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59898835-51E7-462C-A828-F4BCC5D58E74}" xr6:coauthVersionLast="47" xr6:coauthVersionMax="47" xr10:uidLastSave="{00000000-0000-0000-0000-000000000000}"/>
  <bookViews>
    <workbookView xWindow="28680" yWindow="-120" windowWidth="29040" windowHeight="15840" firstSheet="1" activeTab="1" xr2:uid="{E1118E13-7FCF-432D-8365-42727D1DE015}"/>
  </bookViews>
  <sheets>
    <sheet name="Scenarier" sheetId="3" r:id="rId1"/>
    <sheet name="Resume" sheetId="18" r:id="rId2"/>
    <sheet name="Arealanvendelse pivot" sheetId="11" r:id="rId3"/>
    <sheet name="Arealanvendelse pivot 2019" sheetId="19" r:id="rId4"/>
    <sheet name="Arealanvendelse landbrug pivot" sheetId="12" r:id="rId5"/>
    <sheet name="Arealanvendelse landbrug p2019" sheetId="21" r:id="rId6"/>
    <sheet name="CO2e-udledning pivot" sheetId="10" r:id="rId7"/>
    <sheet name="CO2e-udledning pivot 2019" sheetId="22" r:id="rId8"/>
    <sheet name="Potentiale PJ" sheetId="13" r:id="rId9"/>
    <sheet name="Potentiale PJ 2019" sheetId="23" r:id="rId10"/>
    <sheet name="Potentiale TS" sheetId="16" r:id="rId11"/>
    <sheet name="Potentiale TS 2019" sheetId="24" r:id="rId12"/>
    <sheet name="Import" sheetId="17" r:id="rId13"/>
    <sheet name="Forbrug af biomasse" sheetId="1" r:id="rId14"/>
    <sheet name="Produktion &amp; forbrug" sheetId="2" r:id="rId15"/>
    <sheet name="CO2e-udledning" sheetId="7" r:id="rId16"/>
    <sheet name="Arealanvendelse" sheetId="8" r:id="rId17"/>
    <sheet name="Arealanvendelse - landbrug" sheetId="9" r:id="rId18"/>
  </sheets>
  <externalReferences>
    <externalReference r:id="rId19"/>
  </externalReferences>
  <definedNames>
    <definedName name="_xlnm._FilterDatabase" localSheetId="3" hidden="1">'Arealanvendelse pivot 2019'!$A$4:$H$13</definedName>
    <definedName name="År1">[1]Overblik!$D$18</definedName>
    <definedName name="År2">[1]Overblik!$D$19</definedName>
    <definedName name="År3">[1]Overblik!$D$20</definedName>
    <definedName name="Scenarienavne">Scenarier!$A$2:$A$27</definedName>
  </definedNames>
  <calcPr calcId="191029"/>
  <pivotCaches>
    <pivotCache cacheId="54" r:id="rId20"/>
    <pivotCache cacheId="58" r:id="rId21"/>
    <pivotCache cacheId="62" r:id="rId22"/>
    <pivotCache cacheId="66" r:id="rId23"/>
    <pivotCache cacheId="70" r:id="rId24"/>
    <pivotCache cacheId="74" r:id="rId25"/>
    <pivotCache cacheId="78" r:id="rId26"/>
    <pivotCache cacheId="82" r:id="rId27"/>
    <pivotCache cacheId="87" r:id="rId28"/>
    <pivotCache cacheId="91" r:id="rId29"/>
    <pivotCache cacheId="95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<sst xmlns="http://schemas.openxmlformats.org/spreadsheetml/2006/main" count="13149" uniqueCount="146">
  <si>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</si>
  <si>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</si>
  <si>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</si>
  <si>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</si>
  <si>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</si>
  <si>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</si>
  <si>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</si>
  <si>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</si>
  <si>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</si>
  <si>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</si>
  <si>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</si>
  <si>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</si>
  <si>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</si>
  <si>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</si>
  <si>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</si>
  <si>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</si>
  <si>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</si>
  <si>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</si>
  <si>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</si>
  <si>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</si>
  <si>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</si>
  <si>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</si>
  <si>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</si>
  <si>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</si>
  <si>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</si>
  <si>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</si>
  <si>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</si>
  <si>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</si>
  <si>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</si>
  <si>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</si>
  <si>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</si>
  <si>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</si>
  <si>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</si>
  <si>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</si>
  <si>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</si>
  <si>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</si>
  <si>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</si>
  <si>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</si>
  <si>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</si>
  <si>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</si>
  <si>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</si>
  <si>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</si>
  <si>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</si>
  <si>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</si>
  <si>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</si>
  <si>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</si>
  <si>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</si>
  <si>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</si>
  <si>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</si>
  <si>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</si>
  <si>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</si>
  <si>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</si>
  <si>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</si>
  <si>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</si>
  <si>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</si>
  <si>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</si>
  <si>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</si>
  <si>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</si>
  <si>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</si>
  <si>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</si>
  <si>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</si>
  <si>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</si>
  <si>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</si>
  <si>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</si>
  <si>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</si>
  <si>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</si>
  <si>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</si>
  <si>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</si>
  <si>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</si>
  <si>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</si>
  <si>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</si>
  <si>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</si>
  <si>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</si>
  <si>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</si>
  <si>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</si>
  <si>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</si>
  <si>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</si>
  <si>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</si>
  <si>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</si>
  <si>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</si>
  <si>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</si>
  <si>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</si>
  <si>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</si>
  <si>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</si>
  <si>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</si>
  <si>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</si>
  <si>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</si>
  <si>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</si>
  <si>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</si>
  <si>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</si>
  <si>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</si>
  <si>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</si>
  <si>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</si>
  <si>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</si>
  <si>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</si>
  <si>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</si>
  <si>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</si>
  <si>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</si>
  <si>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</si>
  <si>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</si>
  <si>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</si>
  <si>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</si>
  <si>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</si>
  <si>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</si>
  <si>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</si>
  <si>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</si>
  <si>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</si>
  <si>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</si>
  <si>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</si>
  <si>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</si>
  <si>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</si>
  <si>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</si>
  <si>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</si>
  <si>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</si>
  <si>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</si>
  <si>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</si>
  <si>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</si>
  <si>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</si>
  <si>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</si>
  <si>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</si>
  <si>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</si>
  <si>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</si>
  <si>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</si>
  <si>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</si>
  <si>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</si>
  <si>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</si>
  <si>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</si>
  <si>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</si>
  <si>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</si>
  <si>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</si>
  <si>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</si>
  <si>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</si>
  <si>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</si>
  <si>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</si>
  <si>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</si>
  <si>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</si>
  <si>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</si>
  <si>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</si>
  <si>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</si>
  <si>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</si>
  <si>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</si>
  <si>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</si>
  <si>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</si>
  <si>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</si>
  <si>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HWP</t>
  </si>
  <si>
    <t>Træprodukter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</si>
</sst>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</cellXfs>
  <cellStyles count="1">
    <cellStyle name="Normal" xfId="0" builtinId="0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pivot'!$B$4:$B$10</c:f>
              <c:numCache>
                <c:formatCode>#,##0</c:formatCode>
                <c:ptCount val="4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pivot'!$C$4:$C$10</c:f>
              <c:numCache>
                <c:formatCode>#,##0</c:formatCode>
                <c:ptCount val="4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pivot'!$D$4:$D$10</c:f>
              <c:numCache>
                <c:formatCode>#,##0</c:formatCode>
                <c:ptCount val="4"/>
                <c:pt idx="0">
                  <c:v>2542469.9999999995</c:v>
                </c:pt>
                <c:pt idx="1">
                  <c:v>2542469.9999999995</c:v>
                </c:pt>
                <c:pt idx="2">
                  <c:v>2504470</c:v>
                </c:pt>
                <c:pt idx="3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pivot'!$E$4:$E$10</c:f>
              <c:numCache>
                <c:formatCode>#,##0</c:formatCode>
                <c:ptCount val="4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pivot'!$F$4:$F$10</c:f>
              <c:numCache>
                <c:formatCode>#,##0</c:formatCode>
                <c:ptCount val="4"/>
                <c:pt idx="0">
                  <c:v>582800</c:v>
                </c:pt>
                <c:pt idx="1">
                  <c:v>582800</c:v>
                </c:pt>
                <c:pt idx="2">
                  <c:v>620800</c:v>
                </c:pt>
                <c:pt idx="3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pivot'!$B$4:$B$10</c:f>
              <c:numCache>
                <c:formatCode>#,##0</c:formatCode>
                <c:ptCount val="4"/>
                <c:pt idx="0">
                  <c:v>75894.211512917434</c:v>
                </c:pt>
                <c:pt idx="1">
                  <c:v>75894.211512917464</c:v>
                </c:pt>
                <c:pt idx="2">
                  <c:v>74611.772091610444</c:v>
                </c:pt>
                <c:pt idx="3">
                  <c:v>74611.772091610459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pivot'!$C$4:$C$10</c:f>
              <c:numCache>
                <c:formatCode>#,##0</c:formatCode>
                <c:ptCount val="4"/>
                <c:pt idx="0">
                  <c:v>106321.49282550839</c:v>
                </c:pt>
                <c:pt idx="1">
                  <c:v>106321.49282550841</c:v>
                </c:pt>
                <c:pt idx="2">
                  <c:v>104996.92661899899</c:v>
                </c:pt>
                <c:pt idx="3">
                  <c:v>104996.926618999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pivot'!$D$4:$D$10</c:f>
              <c:numCache>
                <c:formatCode>#,##0</c:formatCode>
                <c:ptCount val="4"/>
                <c:pt idx="0">
                  <c:v>5061.7462007604217</c:v>
                </c:pt>
                <c:pt idx="1">
                  <c:v>5061.746200760419</c:v>
                </c:pt>
                <c:pt idx="2">
                  <c:v>4992.9413474389539</c:v>
                </c:pt>
                <c:pt idx="3">
                  <c:v>4992.9413474389548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pivot'!$E$4:$E$10</c:f>
              <c:numCache>
                <c:formatCode>#,##0</c:formatCode>
                <c:ptCount val="4"/>
                <c:pt idx="0">
                  <c:v>282589.13188024791</c:v>
                </c:pt>
                <c:pt idx="1">
                  <c:v>282589.13188024791</c:v>
                </c:pt>
                <c:pt idx="2">
                  <c:v>278445.99362396839</c:v>
                </c:pt>
                <c:pt idx="3">
                  <c:v>278445.99362396845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pivot'!$F$4:$F$10</c:f>
              <c:numCache>
                <c:formatCode>#,##0</c:formatCode>
                <c:ptCount val="4"/>
                <c:pt idx="0">
                  <c:v>12639.370816764706</c:v>
                </c:pt>
                <c:pt idx="1">
                  <c:v>12639.370816764706</c:v>
                </c:pt>
                <c:pt idx="2">
                  <c:v>12457.143108539938</c:v>
                </c:pt>
                <c:pt idx="3">
                  <c:v>12457.14310853994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pivot'!$G$4:$G$10</c:f>
              <c:numCache>
                <c:formatCode>#,##0</c:formatCode>
                <c:ptCount val="4"/>
                <c:pt idx="0">
                  <c:v>18710.553661240276</c:v>
                </c:pt>
                <c:pt idx="1">
                  <c:v>18710.553661240279</c:v>
                </c:pt>
                <c:pt idx="2">
                  <c:v>18409.47067327406</c:v>
                </c:pt>
                <c:pt idx="3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pivot'!$H$4:$H$10</c:f>
              <c:numCache>
                <c:formatCode>#,##0</c:formatCode>
                <c:ptCount val="4"/>
                <c:pt idx="0">
                  <c:v>54298.35247077707</c:v>
                </c:pt>
                <c:pt idx="1">
                  <c:v>54298.35247077707</c:v>
                </c:pt>
                <c:pt idx="2">
                  <c:v>53367.370861566276</c:v>
                </c:pt>
                <c:pt idx="3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pivot'!$I$4:$I$10</c:f>
              <c:numCache>
                <c:formatCode>#,##0</c:formatCode>
                <c:ptCount val="4"/>
                <c:pt idx="0">
                  <c:v>1323109.1146040615</c:v>
                </c:pt>
                <c:pt idx="1">
                  <c:v>1323109.1146040612</c:v>
                </c:pt>
                <c:pt idx="2">
                  <c:v>1303035.234021947</c:v>
                </c:pt>
                <c:pt idx="3">
                  <c:v>1303035.2340219466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pivot'!$J$4:$J$10</c:f>
              <c:numCache>
                <c:formatCode>#,##0</c:formatCode>
                <c:ptCount val="4"/>
                <c:pt idx="0">
                  <c:v>177819.27950831145</c:v>
                </c:pt>
                <c:pt idx="1">
                  <c:v>177819.27950831148</c:v>
                </c:pt>
                <c:pt idx="2">
                  <c:v>174714.53228951979</c:v>
                </c:pt>
                <c:pt idx="3">
                  <c:v>174714.53228951976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pivot'!$K$4:$K$10</c:f>
              <c:numCache>
                <c:formatCode>#,##0</c:formatCode>
                <c:ptCount val="4"/>
                <c:pt idx="0">
                  <c:v>69104.195969111795</c:v>
                </c:pt>
                <c:pt idx="1">
                  <c:v>69104.195969111825</c:v>
                </c:pt>
                <c:pt idx="2">
                  <c:v>68021.901921824086</c:v>
                </c:pt>
                <c:pt idx="3">
                  <c:v>68021.901921824072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pivot'!$L$4:$L$10</c:f>
              <c:numCache>
                <c:formatCode>#,##0</c:formatCode>
                <c:ptCount val="4"/>
                <c:pt idx="0">
                  <c:v>214938.45789911941</c:v>
                </c:pt>
                <c:pt idx="1">
                  <c:v>214938.45789911941</c:v>
                </c:pt>
                <c:pt idx="2">
                  <c:v>212209.58099609043</c:v>
                </c:pt>
                <c:pt idx="3">
                  <c:v>212209.58099609049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pivot'!$M$4:$M$10</c:f>
              <c:numCache>
                <c:formatCode>#,##0</c:formatCode>
                <c:ptCount val="4"/>
                <c:pt idx="0">
                  <c:v>8385.8091715253049</c:v>
                </c:pt>
                <c:pt idx="1">
                  <c:v>8385.8091715253049</c:v>
                </c:pt>
                <c:pt idx="2">
                  <c:v>8272.9113069354553</c:v>
                </c:pt>
                <c:pt idx="3">
                  <c:v>8272.9113069354571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pivot'!$N$4:$N$10</c:f>
              <c:numCache>
                <c:formatCode>#,##0</c:formatCode>
                <c:ptCount val="4"/>
                <c:pt idx="0">
                  <c:v>159802.81644068591</c:v>
                </c:pt>
                <c:pt idx="1">
                  <c:v>159802.81644068591</c:v>
                </c:pt>
                <c:pt idx="2">
                  <c:v>157421.73721827005</c:v>
                </c:pt>
                <c:pt idx="3">
                  <c:v>157421.73721826999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pivot'!$O$4:$O$10</c:f>
              <c:numCache>
                <c:formatCode>#,##0</c:formatCode>
                <c:ptCount val="4"/>
                <c:pt idx="0">
                  <c:v>33795.467038967829</c:v>
                </c:pt>
                <c:pt idx="1">
                  <c:v>33795.467038967829</c:v>
                </c:pt>
                <c:pt idx="2">
                  <c:v>33512.483920016224</c:v>
                </c:pt>
                <c:pt idx="3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pivot'!$C$4:$C$10</c:f>
              <c:numCache>
                <c:formatCode>#,##0</c:formatCode>
                <c:ptCount val="4"/>
                <c:pt idx="0">
                  <c:v>-24610.813181900667</c:v>
                </c:pt>
                <c:pt idx="1">
                  <c:v>-24610.813181900667</c:v>
                </c:pt>
                <c:pt idx="2">
                  <c:v>-40179.115818099352</c:v>
                </c:pt>
                <c:pt idx="3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pivot'!$D$4:$D$10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4405853.505497627</c:v>
                </c:pt>
                <c:pt idx="2">
                  <c:v>5485230.909845111</c:v>
                </c:pt>
                <c:pt idx="3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pivot'!$E$4:$E$10</c:f>
              <c:numCache>
                <c:formatCode>#,##0</c:formatCode>
                <c:ptCount val="4"/>
                <c:pt idx="0">
                  <c:v>9296833.4976137169</c:v>
                </c:pt>
                <c:pt idx="1">
                  <c:v>9296833.4976137187</c:v>
                </c:pt>
                <c:pt idx="2">
                  <c:v>9211339.4377100542</c:v>
                </c:pt>
                <c:pt idx="3">
                  <c:v>9211339.4377100561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pivot'!$F$4:$F$10</c:f>
              <c:numCache>
                <c:formatCode>#,##0</c:formatCode>
                <c:ptCount val="4"/>
                <c:pt idx="0">
                  <c:v>-673493.54240423942</c:v>
                </c:pt>
                <c:pt idx="1">
                  <c:v>-673493.54240423942</c:v>
                </c:pt>
                <c:pt idx="2">
                  <c:v>-1554610.6284261232</c:v>
                </c:pt>
                <c:pt idx="3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pivot'!$G$4:$G$10</c:f>
              <c:numCache>
                <c:formatCode>#,##0</c:formatCode>
                <c:ptCount val="4"/>
                <c:pt idx="0">
                  <c:v>-427424.28054807242</c:v>
                </c:pt>
                <c:pt idx="1">
                  <c:v>-341939.42443845799</c:v>
                </c:pt>
                <c:pt idx="2">
                  <c:v>-416519.2646097627</c:v>
                </c:pt>
                <c:pt idx="3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pivot'!$H$4:$H$10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7"/>
          <c:order val="7"/>
          <c:tx>
            <c:strRef>
              <c:f>'CO2e-udledning pivot'!$I$2:$I$3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pivot'!$I$4:$I$10</c:f>
              <c:numCache>
                <c:formatCode>#,##0</c:formatCode>
                <c:ptCount val="4"/>
                <c:pt idx="0">
                  <c:v>-573396.54662085196</c:v>
                </c:pt>
                <c:pt idx="1">
                  <c:v>-573396.54662085196</c:v>
                </c:pt>
                <c:pt idx="2">
                  <c:v>-541640.22643362987</c:v>
                </c:pt>
                <c:pt idx="3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F-4D1D-8BEC-8F603078C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pivot'!$B$4:$B$10</c:f>
              <c:numCache>
                <c:formatCode>#,##0</c:formatCode>
                <c:ptCount val="4"/>
                <c:pt idx="0">
                  <c:v>13105225.196730688</c:v>
                </c:pt>
                <c:pt idx="1">
                  <c:v>12089246.676465897</c:v>
                </c:pt>
                <c:pt idx="2">
                  <c:v>12143621.112267544</c:v>
                </c:pt>
                <c:pt idx="3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5249214350200447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PJ'!$B$5:$B$11</c:f>
              <c:numCache>
                <c:formatCode>#,##0.0</c:formatCode>
                <c:ptCount val="4"/>
                <c:pt idx="0">
                  <c:v>19.810752704992638</c:v>
                </c:pt>
                <c:pt idx="1">
                  <c:v>19.802671473587466</c:v>
                </c:pt>
                <c:pt idx="2">
                  <c:v>19.90496446847807</c:v>
                </c:pt>
                <c:pt idx="3">
                  <c:v>19.897035061438991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PJ'!$C$5:$C$11</c:f>
              <c:numCache>
                <c:formatCode>#,##0.0</c:formatCode>
                <c:ptCount val="4"/>
                <c:pt idx="0">
                  <c:v>5.2990046407365288</c:v>
                </c:pt>
                <c:pt idx="1">
                  <c:v>5.2940684669341911</c:v>
                </c:pt>
                <c:pt idx="2">
                  <c:v>5.3654495190523503</c:v>
                </c:pt>
                <c:pt idx="3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PJ'!$D$5:$D$11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PJ'!$E$5:$E$11</c:f>
              <c:numCache>
                <c:formatCode>#,##0.0</c:formatCode>
                <c:ptCount val="4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PJ'!$F$5:$F$11</c:f>
              <c:numCache>
                <c:formatCode>#,##0.0</c:formatCode>
                <c:ptCount val="4"/>
                <c:pt idx="0">
                  <c:v>19.850360529489283</c:v>
                </c:pt>
                <c:pt idx="1">
                  <c:v>29.979193434395683</c:v>
                </c:pt>
                <c:pt idx="2">
                  <c:v>18.206836134418594</c:v>
                </c:pt>
                <c:pt idx="3">
                  <c:v>28.335669039324991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PJ'!$G$5:$G$11</c:f>
              <c:numCache>
                <c:formatCode>#,##0.0</c:formatCode>
                <c:ptCount val="4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PJ'!$H$5:$H$11</c:f>
              <c:numCache>
                <c:formatCode>#,##0.0</c:formatCode>
                <c:ptCount val="4"/>
                <c:pt idx="0">
                  <c:v>26.93090541898259</c:v>
                </c:pt>
                <c:pt idx="1">
                  <c:v>34.963307596754014</c:v>
                </c:pt>
                <c:pt idx="2">
                  <c:v>24.858803548597578</c:v>
                </c:pt>
                <c:pt idx="3">
                  <c:v>32.884136275413141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PJ'!$I$5:$I$11</c:f>
              <c:numCache>
                <c:formatCode>#,##0.0</c:formatCode>
                <c:ptCount val="4"/>
                <c:pt idx="0">
                  <c:v>0.45076703431999998</c:v>
                </c:pt>
                <c:pt idx="1">
                  <c:v>0.45076703432000009</c:v>
                </c:pt>
                <c:pt idx="2">
                  <c:v>0.45076703432000009</c:v>
                </c:pt>
                <c:pt idx="3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PJ'!$J$5:$J$11</c:f>
              <c:numCache>
                <c:formatCode>#,##0.0</c:formatCode>
                <c:ptCount val="4"/>
                <c:pt idx="0">
                  <c:v>0.14596282488120896</c:v>
                </c:pt>
                <c:pt idx="1">
                  <c:v>0.14596282488120893</c:v>
                </c:pt>
                <c:pt idx="2">
                  <c:v>0.23461711386879117</c:v>
                </c:pt>
                <c:pt idx="3">
                  <c:v>0.23461711386879117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PJ'!$K$5:$K$11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PJ'!$L$5:$L$11</c:f>
              <c:numCache>
                <c:formatCode>#,##0.0</c:formatCode>
                <c:ptCount val="4"/>
                <c:pt idx="0">
                  <c:v>2.0151850141246661</c:v>
                </c:pt>
                <c:pt idx="1">
                  <c:v>1.6121480112997326</c:v>
                </c:pt>
                <c:pt idx="2">
                  <c:v>2.1115978762570289</c:v>
                </c:pt>
                <c:pt idx="3">
                  <c:v>1.6892783010056229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PJ'!$M$5:$M$11</c:f>
              <c:numCache>
                <c:formatCode>#,##0.0</c:formatCode>
                <c:ptCount val="4"/>
                <c:pt idx="0">
                  <c:v>12.535436512334408</c:v>
                </c:pt>
                <c:pt idx="1">
                  <c:v>10.028349209867528</c:v>
                </c:pt>
                <c:pt idx="2">
                  <c:v>12.420463246039292</c:v>
                </c:pt>
                <c:pt idx="3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PJ'!$N$5:$N$11</c:f>
              <c:numCache>
                <c:formatCode>#,##0.0</c:formatCode>
                <c:ptCount val="4"/>
                <c:pt idx="0">
                  <c:v>45.280222691386172</c:v>
                </c:pt>
                <c:pt idx="1">
                  <c:v>45.280222691386165</c:v>
                </c:pt>
                <c:pt idx="2">
                  <c:v>41.35400000763542</c:v>
                </c:pt>
                <c:pt idx="3">
                  <c:v>41.35400000763542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PJ'!$O$5:$O$11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PJ'!$P$5:$P$11</c:f>
              <c:numCache>
                <c:formatCode>#,##0.0</c:formatCode>
                <c:ptCount val="4"/>
                <c:pt idx="0">
                  <c:v>7.9766231601288453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7.7078751185296177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PJ'!$Q$5:$Q$11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PJ'!$R$5:$R$11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PJ'!$S$5:$S$11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59302774069129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3.951047127829578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TS'!$B$4:$B$10</c:f>
              <c:numCache>
                <c:formatCode>#,##0</c:formatCode>
                <c:ptCount val="4"/>
                <c:pt idx="0">
                  <c:v>1140745.9345080981</c:v>
                </c:pt>
                <c:pt idx="1">
                  <c:v>1139180.7875059044</c:v>
                </c:pt>
                <c:pt idx="2">
                  <c:v>1159380.5453773013</c:v>
                </c:pt>
                <c:pt idx="3">
                  <c:v>1157844.6374687569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TS'!$C$4:$C$10</c:f>
              <c:numCache>
                <c:formatCode>#,##0</c:formatCode>
                <c:ptCount val="4"/>
                <c:pt idx="0">
                  <c:v>1993192.5254781183</c:v>
                </c:pt>
                <c:pt idx="1">
                  <c:v>1594554.0203824949</c:v>
                </c:pt>
                <c:pt idx="2">
                  <c:v>1993395.3314738162</c:v>
                </c:pt>
                <c:pt idx="3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TS'!$D$4:$D$10</c:f>
              <c:numCache>
                <c:formatCode>#,##0</c:formatCode>
                <c:ptCount val="4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TS'!$E$4:$E$10</c:f>
              <c:numCache>
                <c:formatCode>#,##0</c:formatCode>
                <c:ptCount val="4"/>
                <c:pt idx="0">
                  <c:v>2348840.8844847302</c:v>
                </c:pt>
                <c:pt idx="1">
                  <c:v>3537128.2942940318</c:v>
                </c:pt>
                <c:pt idx="2">
                  <c:v>2164142.1080060382</c:v>
                </c:pt>
                <c:pt idx="3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TS'!$F$4:$F$10</c:f>
              <c:numCache>
                <c:formatCode>#,##0</c:formatCode>
                <c:ptCount val="4"/>
                <c:pt idx="0">
                  <c:v>2349166.8466086616</c:v>
                </c:pt>
                <c:pt idx="1">
                  <c:v>3047158.8251946424</c:v>
                </c:pt>
                <c:pt idx="2">
                  <c:v>2170312.3964539068</c:v>
                </c:pt>
                <c:pt idx="3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TS'!$G$4:$G$10</c:f>
              <c:numCache>
                <c:formatCode>#,##0</c:formatCode>
                <c:ptCount val="4"/>
                <c:pt idx="0">
                  <c:v>24394.901094352466</c:v>
                </c:pt>
                <c:pt idx="1">
                  <c:v>24394.90109435247</c:v>
                </c:pt>
                <c:pt idx="2">
                  <c:v>39211.773905647548</c:v>
                </c:pt>
                <c:pt idx="3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TS'!$H$4:$H$10</c:f>
              <c:numCache>
                <c:formatCode>#,##0</c:formatCode>
                <c:ptCount val="4"/>
                <c:pt idx="0">
                  <c:v>1498974.2460576054</c:v>
                </c:pt>
                <c:pt idx="1">
                  <c:v>1498974.2460576054</c:v>
                </c:pt>
                <c:pt idx="2">
                  <c:v>1366418.955561334</c:v>
                </c:pt>
                <c:pt idx="3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679442726889882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Import!$C$5:$C$14</c:f>
              <c:numCache>
                <c:formatCode>#,##0</c:formatCode>
                <c:ptCount val="6"/>
                <c:pt idx="0">
                  <c:v>370459.67448149773</c:v>
                </c:pt>
                <c:pt idx="1">
                  <c:v>370459.67448149773</c:v>
                </c:pt>
                <c:pt idx="2">
                  <c:v>2.825725611182861E-2</c:v>
                </c:pt>
                <c:pt idx="3">
                  <c:v>2.825725611182861E-2</c:v>
                </c:pt>
                <c:pt idx="4">
                  <c:v>0.18489040050189942</c:v>
                </c:pt>
                <c:pt idx="5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Import!$D$5:$D$14</c:f>
              <c:numCache>
                <c:formatCode>#,##0</c:formatCode>
                <c:ptCount val="6"/>
                <c:pt idx="0">
                  <c:v>420629.98984142789</c:v>
                </c:pt>
                <c:pt idx="1">
                  <c:v>420629.98984142789</c:v>
                </c:pt>
                <c:pt idx="2">
                  <c:v>437443.77822737186</c:v>
                </c:pt>
                <c:pt idx="3">
                  <c:v>437443.77822737186</c:v>
                </c:pt>
                <c:pt idx="4">
                  <c:v>459349.41813660081</c:v>
                </c:pt>
                <c:pt idx="5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Import!$E$5:$E$14</c:f>
              <c:numCache>
                <c:formatCode>#,##0</c:formatCode>
                <c:ptCount val="6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Import!$F$5:$F$14</c:f>
              <c:numCache>
                <c:formatCode>#,##0</c:formatCode>
                <c:ptCount val="6"/>
                <c:pt idx="0">
                  <c:v>203649.62100550608</c:v>
                </c:pt>
                <c:pt idx="1">
                  <c:v>203649.62100550608</c:v>
                </c:pt>
                <c:pt idx="2">
                  <c:v>210965.35838487741</c:v>
                </c:pt>
                <c:pt idx="3">
                  <c:v>210965.35838487741</c:v>
                </c:pt>
                <c:pt idx="4">
                  <c:v>241953.74133540038</c:v>
                </c:pt>
                <c:pt idx="5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Import!$G$5:$G$14</c:f>
              <c:numCache>
                <c:formatCode>#,##0</c:formatCode>
                <c:ptCount val="6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5421074.2654714435</c:v>
                </c:pt>
                <c:pt idx="3">
                  <c:v>4336859.4123771554</c:v>
                </c:pt>
                <c:pt idx="4">
                  <c:v>5421074.2654714435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Import!$H$5:$H$14</c:f>
              <c:numCache>
                <c:formatCode>#,##0</c:formatCode>
                <c:ptCount val="6"/>
                <c:pt idx="0">
                  <c:v>282332.03034110228</c:v>
                </c:pt>
                <c:pt idx="1">
                  <c:v>282332.03034110228</c:v>
                </c:pt>
                <c:pt idx="2">
                  <c:v>0</c:v>
                </c:pt>
                <c:pt idx="3">
                  <c:v>74189.67769150075</c:v>
                </c:pt>
                <c:pt idx="4">
                  <c:v>0.11492812394862995</c:v>
                </c:pt>
                <c:pt idx="5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Import!$I$5:$I$14</c:f>
              <c:numCache>
                <c:formatCode>#,##0</c:formatCode>
                <c:ptCount val="6"/>
                <c:pt idx="0">
                  <c:v>944815.08868008247</c:v>
                </c:pt>
                <c:pt idx="1">
                  <c:v>944815.08868008247</c:v>
                </c:pt>
                <c:pt idx="2">
                  <c:v>936058.04505746253</c:v>
                </c:pt>
                <c:pt idx="3">
                  <c:v>1205503.2861523256</c:v>
                </c:pt>
                <c:pt idx="4">
                  <c:v>904078.84028084262</c:v>
                </c:pt>
                <c:pt idx="5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</c:v>
                  </c:pt>
                  <c:pt idx="3">
                    <c:v>BAUm20</c:v>
                  </c:pt>
                  <c:pt idx="4">
                    <c:v>BAU</c:v>
                  </c:pt>
                  <c:pt idx="5">
                    <c:v>BAUm20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Import!$J$5:$J$14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21032.815128937291</c:v>
                </c:pt>
                <c:pt idx="4">
                  <c:v>6687.6021110492293</c:v>
                </c:pt>
                <c:pt idx="5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512017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253732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570779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6053706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298511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ergymodellinglab.sharepoint.com/sites/EnergyModellingLab/Shared%20Documents/Projects/DEA/DK%20Bioressource/Deliverables/Biomassemodel%207.%20september%202021/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3935183" createdVersion="3" refreshedVersion="7" minRefreshableVersion="3" recordCount="120" xr:uid="{062CDAEE-5562-49BD-8528-BE76ED2DCE74}">
  <cacheSource type="worksheet">
    <worksheetSource ref="A1:G121" sheet="CO2e-udledning"/>
  </cacheSource>
  <cacheFields count="7">
    <cacheField name="Scenarie" numFmtId="0">
      <sharedItems count="2">
        <s v="BAU"/>
        <s v="BAUm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4166668" createdVersion="3" refreshedVersion="7" minRefreshableVersion="3" recordCount="120" xr:uid="{99699A59-633B-4078-948D-24EB6939C633}">
  <cacheSource type="worksheet">
    <worksheetSource ref="A1:G121" sheet="CO2e-udledning"/>
  </cacheSource>
  <cacheFields count="7">
    <cacheField name="Scenarie" numFmtId="0">
      <sharedItems count="2">
        <s v="BAU"/>
        <s v="BAUm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4861114" createdVersion="3" refreshedVersion="7" minRefreshableVersion="3" recordCount="180" xr:uid="{A7409AB5-57AF-460D-A10F-12B60F924DD2}">
  <cacheSource type="worksheet">
    <worksheetSource ref="A1:F181" sheet="Arealanvendelse"/>
  </cacheSource>
  <cacheFields count="6">
    <cacheField name="Scenarie" numFmtId="0">
      <sharedItems count="2">
        <s v="BAU"/>
        <s v="BAUm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4976853" createdVersion="3" refreshedVersion="7" minRefreshableVersion="3" recordCount="180" xr:uid="{7A8225E9-2492-469E-B862-1A860ACBFD53}">
  <cacheSource type="worksheet">
    <worksheetSource ref="A1:F181" sheet="Arealanvendelse"/>
  </cacheSource>
  <cacheFields count="6">
    <cacheField name="Scenarie" numFmtId="0">
      <sharedItems count="2">
        <s v="BAU"/>
        <s v="BAUm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5439815" createdVersion="3" refreshedVersion="7" minRefreshableVersion="3" recordCount="1008" xr:uid="{C36B4612-55AA-486E-BF96-75A0564F24DA}">
  <cacheSource type="worksheet">
    <worksheetSource ref="A1:K1009" sheet="Arealanvendelse - landbrug"/>
  </cacheSource>
  <cacheFields count="11">
    <cacheField name="Scenarie" numFmtId="0">
      <sharedItems count="2">
        <s v="BAU"/>
        <s v="BAUm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5671299" createdVersion="3" refreshedVersion="7" minRefreshableVersion="3" recordCount="1008" xr:uid="{6D38A720-CDE6-471A-A91C-7A933032AD87}">
  <cacheSource type="worksheet">
    <worksheetSource ref="A1:K1009" sheet="Arealanvendelse - landbrug"/>
  </cacheSource>
  <cacheFields count="11">
    <cacheField name="Scenarie" numFmtId="0">
      <sharedItems count="2">
        <s v="BAU"/>
        <s v="BAUm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6365738" createdVersion="3" refreshedVersion="7" minRefreshableVersion="3" recordCount="576" xr:uid="{008B9B2A-342A-4067-A6AD-4E82DDCA2DBA}">
  <cacheSource type="worksheet">
    <worksheetSource ref="A1:Z577" sheet="Produktion &amp; forbrug"/>
  </cacheSource>
  <cacheFields count="26">
    <cacheField name="Scenarie" numFmtId="0">
      <sharedItems count="2">
        <s v="BAU"/>
        <s v="BAUm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00535240.1510521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9867457.5006151944"/>
    </cacheField>
    <cacheField name="Gødning" numFmtId="0">
      <sharedItems containsSemiMixedTypes="0" containsString="0" containsNumber="1" minValue="0" maxValue="17711207.128625918"/>
    </cacheField>
    <cacheField name="Energi" numFmtId="0">
      <sharedItems containsSemiMixedTypes="0" containsString="0" containsNumber="1" minValue="0" maxValue="500535240.1510521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4828427.539045623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749926.77004675474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6597223" createdVersion="3" refreshedVersion="7" minRefreshableVersion="3" recordCount="576" xr:uid="{75073EB6-D138-428B-8124-02F517115330}">
  <cacheSource type="worksheet">
    <worksheetSource ref="A1:Z577" sheet="Produktion &amp; forbrug"/>
  </cacheSource>
  <cacheFields count="26">
    <cacheField name="Scenarie" numFmtId="0">
      <sharedItems count="2">
        <s v="BAU"/>
        <s v="BAUm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00535240.1510521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9867457.5006151944"/>
    </cacheField>
    <cacheField name="Gødning" numFmtId="0">
      <sharedItems containsSemiMixedTypes="0" containsString="0" containsNumber="1" minValue="0" maxValue="17711207.128625918"/>
    </cacheField>
    <cacheField name="Energi" numFmtId="0">
      <sharedItems containsSemiMixedTypes="0" containsString="0" containsNumber="1" minValue="0" maxValue="500535240.1510521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4828427.539045623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749926.77004675474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68287" createdVersion="3" refreshedVersion="7" minRefreshableVersion="3" recordCount="576" xr:uid="{DFFBEA0B-3455-4354-AA5C-9AA15E718B72}">
  <cacheSource type="worksheet">
    <worksheetSource ref="A1:Z577" sheet="Produktion &amp; forbrug"/>
  </cacheSource>
  <cacheFields count="27">
    <cacheField name="Scenarie" numFmtId="0">
      <sharedItems count="2">
        <s v="BAU"/>
        <s v="BAUm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00535240.1510521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9867457.5006151944"/>
    </cacheField>
    <cacheField name="Gødning" numFmtId="0">
      <sharedItems containsSemiMixedTypes="0" containsString="0" containsNumber="1" minValue="0" maxValue="17711207.128625918"/>
    </cacheField>
    <cacheField name="Energi" numFmtId="0">
      <sharedItems containsSemiMixedTypes="0" containsString="0" containsNumber="1" minValue="0" maxValue="500535240.1510521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4828427.539045623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749926.77004675474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6944446" createdVersion="3" refreshedVersion="7" minRefreshableVersion="3" recordCount="576" xr:uid="{8240BF25-C81D-42C9-AB7A-A5D5EFFF2892}">
  <cacheSource type="worksheet">
    <worksheetSource ref="A1:Z577" sheet="Produktion &amp; forbrug"/>
  </cacheSource>
  <cacheFields count="26">
    <cacheField name="Scenarie" numFmtId="0">
      <sharedItems count="2">
        <s v="BAU"/>
        <s v="BAUm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00535240.1510521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9867457.5006151944"/>
    </cacheField>
    <cacheField name="Gødning" numFmtId="0">
      <sharedItems containsSemiMixedTypes="0" containsString="0" containsNumber="1" minValue="0" maxValue="17711207.128625918"/>
    </cacheField>
    <cacheField name="Energi" numFmtId="0">
      <sharedItems containsSemiMixedTypes="0" containsString="0" containsNumber="1" minValue="0" maxValue="500535240.1510521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4828427.539045623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749926.77004675474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0.706107291669" createdVersion="3" refreshedVersion="7" minRefreshableVersion="3" recordCount="576" xr:uid="{983C1A3F-CEDD-468B-88AC-A1B63C562C9D}">
  <cacheSource type="worksheet">
    <worksheetSource ref="A1:Z577" sheet="Produktion &amp; forbrug"/>
  </cacheSource>
  <cacheFields count="26">
    <cacheField name="Scenarie" numFmtId="0">
      <sharedItems count="2">
        <s v="BAU"/>
        <s v="BAUm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00535240.1510521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9867457.5006151944"/>
    </cacheField>
    <cacheField name="Gødning" numFmtId="0">
      <sharedItems containsSemiMixedTypes="0" containsString="0" containsNumber="1" minValue="0" maxValue="17711207.128625918"/>
    </cacheField>
    <cacheField name="Energi" numFmtId="0">
      <sharedItems containsSemiMixedTypes="0" containsString="0" containsNumber="1" minValue="0" maxValue="500535240.1510521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4828427.539045623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749926.77004675474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E2CDC8-95C0-44FD-BF74-BB88B0CEA08E}" name="Areal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10" firstHeaderRow="1" firstDataRow="2" firstDataCol="1"/>
  <pivotFields count="6">
    <pivotField axis="axisRow" showAll="0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7B9955-3A50-4DF1-B5FF-A0F4F1ADBD74}" name="Areal2019" cacheId="6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7905B4-E13C-49FB-989A-1D007102D6B1}" name="Areal land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0" firstHeaderRow="1" firstDataRow="2" firstDataCol="1"/>
  <pivotFields count="11">
    <pivotField axis="axisRow" showAll="0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115CBF-5959-4BAC-8934-A5040992CB79}" name="Areal land 2019" cacheId="7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7F20B8-3A29-449C-BB65-340CAAA34611}" name="CO2-all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J10" firstHeaderRow="1" firstDataRow="2" firstDataCol="1"/>
  <pivotFields count="7">
    <pivotField axis="axisRow" showAll="0">
      <items count="3">
        <item x="0"/>
        <item x="1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1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20FF40-C35A-474D-B611-31B93424EA58}" name="CO2-2019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J6" firstHeaderRow="1" firstDataRow="2" firstDataCol="1" rowPageCount="1" colPageCount="1"/>
  <pivotFields count="7">
    <pivotField axis="axisPage" showAll="0" sortType="ascending">
      <items count="3">
        <item x="0"/>
        <item x="1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9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176F9-80A1-4AAF-B0CE-26E5FE344973}" name="PotentialePJ" cacheId="7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1" firstHeaderRow="1" firstDataRow="3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68087C-049E-4DD5-AC7A-4EE24484B9E5}" name="PotentialePJ2019" cacheId="9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4EB34-4327-45E2-85C1-8E44279B4FB7}" name="PotentialeTS" cacheId="8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0" firstHeaderRow="1" firstDataRow="2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52AA38-0F8A-4E8A-9E7A-3B035DEF2817}" name="PotentialeTS2019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1BD15D-A5A1-45A2-8B3A-702EDBAE02F7}" name="Import" cacheId="8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14" firstHeaderRow="1" firstDataRow="2" firstDataCol="2" rowPageCount="1" colPageCount="1"/>
  <pivotFields count="27">
    <pivotField axis="axisRow" compact="0" outline="0" subtotalTop="0" showAll="0">
      <items count="3">
        <item x="0"/>
        <item x="1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0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 t="grand">
      <x/>
    </i>
  </rowItems>
  <colFields count="1">
    <field x="1"/>
  </colFields>
  <colItems count="9">
    <i>
      <x v="5"/>
    </i>
    <i>
      <x v="14"/>
    </i>
    <i>
      <x v="15"/>
    </i>
    <i>
      <x v="18"/>
    </i>
    <i>
      <x v="21"/>
    </i>
    <i>
      <x v="22"/>
    </i>
    <i>
      <x v="26"/>
    </i>
    <i>
      <x v="32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theme="4" tint="-0.249977111117893"/>
  </sheetPr>
  <dimension ref="A1:C3"/>
  <sheetViews>
    <sheetView showGridLines="0" workbookViewId="0">
      <selection activeCell="A3" sqref="A3"/>
    </sheetView>
  </sheetViews>
  <sheetFormatPr defaultRowHeight="15" x14ac:dyDescent="0.25"/>
  <sheetData>
    <row r="1" spans="1:3" ht="15.75" thickBot="1" x14ac:dyDescent="0.3">
      <c r="A1" s="1" t="s">
        <v>87</v>
      </c>
    </row>
    <row r="2" spans="1:3" ht="15.75" thickBot="1" x14ac:dyDescent="0.3">
      <c r="A2" s="14" t="s">
        <v>27</v>
      </c>
      <c r="C2" t="s">
        <v>137</v>
      </c>
    </row>
    <row r="3" spans="1:3" x14ac:dyDescent="0.25">
      <c r="A3" t="s">
        <v>129</v>
      </c>
      <c r="C3" t="s">
        <v>142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theme="4" tint="-0.249977111117893"/>
  </sheetPr>
  <dimension ref="A1"/>
  <sheetViews>
    <sheetView tabSelected="1" topLeftCell="A60" zoomScale="70" zoomScaleNormal="70" workbookViewId="0">
      <selection activeCell="AD81" sqref="AD81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0"/>
  <sheetViews>
    <sheetView workbookViewId="0">
      <selection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123</v>
      </c>
      <c r="B2" s="6" t="s">
        <v>90</v>
      </c>
    </row>
    <row r="3" spans="1:7" x14ac:dyDescent="0.25">
      <c r="A3" s="6" t="s">
        <v>88</v>
      </c>
      <c r="B3" t="s">
        <v>117</v>
      </c>
      <c r="C3" t="s">
        <v>114</v>
      </c>
      <c r="D3" t="s">
        <v>115</v>
      </c>
      <c r="E3" t="s">
        <v>116</v>
      </c>
      <c r="F3" t="s">
        <v>112</v>
      </c>
      <c r="G3" t="s">
        <v>89</v>
      </c>
    </row>
    <row r="4" spans="1:7" x14ac:dyDescent="0.25">
      <c r="A4" s="7">
        <v>2030</v>
      </c>
      <c r="B4" s="12">
        <v>131720</v>
      </c>
      <c r="C4" s="12">
        <v>1182460</v>
      </c>
      <c r="D4" s="12">
        <v>5084939.9999999991</v>
      </c>
      <c r="E4" s="12">
        <v>975840</v>
      </c>
      <c r="F4" s="12">
        <v>1165600</v>
      </c>
      <c r="G4" s="12">
        <v>8540560</v>
      </c>
    </row>
    <row r="5" spans="1:7" x14ac:dyDescent="0.25">
      <c r="A5" s="9" t="s">
        <v>27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129</v>
      </c>
      <c r="B6" s="12">
        <v>65860</v>
      </c>
      <c r="C6" s="12">
        <v>591230</v>
      </c>
      <c r="D6" s="12">
        <v>2542469.9999999995</v>
      </c>
      <c r="E6" s="12">
        <v>487920</v>
      </c>
      <c r="F6" s="12">
        <v>582800</v>
      </c>
      <c r="G6" s="12">
        <v>4270280</v>
      </c>
    </row>
    <row r="7" spans="1:7" x14ac:dyDescent="0.25">
      <c r="A7" s="7">
        <v>2050</v>
      </c>
      <c r="B7" s="12">
        <v>131720</v>
      </c>
      <c r="C7" s="12">
        <v>1182460</v>
      </c>
      <c r="D7" s="12">
        <v>5008940</v>
      </c>
      <c r="E7" s="12">
        <v>975840</v>
      </c>
      <c r="F7" s="12">
        <v>1241600</v>
      </c>
      <c r="G7" s="12">
        <v>8540560</v>
      </c>
    </row>
    <row r="8" spans="1:7" x14ac:dyDescent="0.25">
      <c r="A8" s="9" t="s">
        <v>27</v>
      </c>
      <c r="B8" s="12">
        <v>65860</v>
      </c>
      <c r="C8" s="12">
        <v>591230</v>
      </c>
      <c r="D8" s="12">
        <v>2504470</v>
      </c>
      <c r="E8" s="12">
        <v>487920</v>
      </c>
      <c r="F8" s="12">
        <v>620800</v>
      </c>
      <c r="G8" s="12">
        <v>4270280</v>
      </c>
    </row>
    <row r="9" spans="1:7" x14ac:dyDescent="0.25">
      <c r="A9" s="9" t="s">
        <v>129</v>
      </c>
      <c r="B9" s="12">
        <v>65860</v>
      </c>
      <c r="C9" s="12">
        <v>591230</v>
      </c>
      <c r="D9" s="12">
        <v>2504470</v>
      </c>
      <c r="E9" s="12">
        <v>487920</v>
      </c>
      <c r="F9" s="12">
        <v>620800</v>
      </c>
      <c r="G9" s="12">
        <v>4270280</v>
      </c>
    </row>
    <row r="10" spans="1:7" x14ac:dyDescent="0.25">
      <c r="A10" s="7" t="s">
        <v>89</v>
      </c>
      <c r="B10" s="12">
        <v>263440</v>
      </c>
      <c r="C10" s="12">
        <v>2364920</v>
      </c>
      <c r="D10" s="12">
        <v>10093880</v>
      </c>
      <c r="E10" s="12">
        <v>1951680</v>
      </c>
      <c r="F10" s="12">
        <v>2407200</v>
      </c>
      <c r="G10" s="12">
        <v>17081120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27</v>
      </c>
    </row>
    <row r="3" spans="1:7" x14ac:dyDescent="0.25">
      <c r="A3" s="6" t="s">
        <v>123</v>
      </c>
      <c r="B3" s="6" t="s">
        <v>90</v>
      </c>
    </row>
    <row r="4" spans="1:7" x14ac:dyDescent="0.25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89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0"/>
  <sheetViews>
    <sheetView workbookViewId="0">
      <selection activeCell="B2" sqref="B2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1" width="7.5703125" bestFit="1" customWidth="1"/>
    <col min="12" max="12" width="15.7109375" bestFit="1" customWidth="1"/>
    <col min="13" max="13" width="12" bestFit="1" customWidth="1"/>
    <col min="14" max="15" width="7.5703125" bestFit="1" customWidth="1"/>
    <col min="16" max="16" width="11.28515625" bestFit="1" customWidth="1"/>
  </cols>
  <sheetData>
    <row r="1" spans="1:16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124</v>
      </c>
      <c r="B2" s="6" t="s">
        <v>90</v>
      </c>
    </row>
    <row r="3" spans="1:16" x14ac:dyDescent="0.25">
      <c r="A3" s="6" t="s">
        <v>88</v>
      </c>
      <c r="B3" t="s">
        <v>34</v>
      </c>
      <c r="C3" t="s">
        <v>75</v>
      </c>
      <c r="D3" t="s">
        <v>41</v>
      </c>
      <c r="E3" t="s">
        <v>53</v>
      </c>
      <c r="F3" t="s">
        <v>30</v>
      </c>
      <c r="G3" t="s">
        <v>78</v>
      </c>
      <c r="H3" t="s">
        <v>31</v>
      </c>
      <c r="I3" t="s">
        <v>29</v>
      </c>
      <c r="J3" t="s">
        <v>54</v>
      </c>
      <c r="K3" t="s">
        <v>80</v>
      </c>
      <c r="L3" t="s">
        <v>120</v>
      </c>
      <c r="M3" t="s">
        <v>65</v>
      </c>
      <c r="N3" t="s">
        <v>72</v>
      </c>
      <c r="O3" t="s">
        <v>55</v>
      </c>
      <c r="P3" t="s">
        <v>89</v>
      </c>
    </row>
    <row r="4" spans="1:16" x14ac:dyDescent="0.25">
      <c r="A4" s="7">
        <v>2030</v>
      </c>
      <c r="B4" s="12">
        <v>151788.4230258349</v>
      </c>
      <c r="C4" s="12">
        <v>212642.98565101682</v>
      </c>
      <c r="D4" s="12">
        <v>10123.492401520842</v>
      </c>
      <c r="E4" s="12">
        <v>565178.26376049581</v>
      </c>
      <c r="F4" s="12">
        <v>25278.741633529411</v>
      </c>
      <c r="G4" s="12">
        <v>37421.107322480559</v>
      </c>
      <c r="H4" s="12">
        <v>108596.70494155414</v>
      </c>
      <c r="I4" s="12">
        <v>2646218.2292081229</v>
      </c>
      <c r="J4" s="12">
        <v>355638.55901662295</v>
      </c>
      <c r="K4" s="12">
        <v>138208.39193822362</v>
      </c>
      <c r="L4" s="12">
        <v>429876.91579823883</v>
      </c>
      <c r="M4" s="12">
        <v>16771.61834305061</v>
      </c>
      <c r="N4" s="12">
        <v>319605.63288137183</v>
      </c>
      <c r="O4" s="12">
        <v>67590.934077935657</v>
      </c>
      <c r="P4" s="12">
        <v>5084939.9999999981</v>
      </c>
    </row>
    <row r="5" spans="1:16" x14ac:dyDescent="0.25">
      <c r="A5" s="9" t="s">
        <v>27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129</v>
      </c>
      <c r="B6" s="12">
        <v>75894.211512917464</v>
      </c>
      <c r="C6" s="12">
        <v>106321.49282550841</v>
      </c>
      <c r="D6" s="12">
        <v>5061.746200760419</v>
      </c>
      <c r="E6" s="12">
        <v>282589.13188024791</v>
      </c>
      <c r="F6" s="12">
        <v>12639.370816764706</v>
      </c>
      <c r="G6" s="12">
        <v>18710.553661240279</v>
      </c>
      <c r="H6" s="12">
        <v>54298.35247077707</v>
      </c>
      <c r="I6" s="12">
        <v>1323109.1146040612</v>
      </c>
      <c r="J6" s="12">
        <v>177819.27950831148</v>
      </c>
      <c r="K6" s="12">
        <v>69104.195969111825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2542469.9999999991</v>
      </c>
    </row>
    <row r="7" spans="1:16" x14ac:dyDescent="0.25">
      <c r="A7" s="7">
        <v>2050</v>
      </c>
      <c r="B7" s="12">
        <v>149223.54418322089</v>
      </c>
      <c r="C7" s="12">
        <v>209993.85323799797</v>
      </c>
      <c r="D7" s="12">
        <v>9985.8826948779097</v>
      </c>
      <c r="E7" s="12">
        <v>556891.98724793689</v>
      </c>
      <c r="F7" s="12">
        <v>24914.286217079876</v>
      </c>
      <c r="G7" s="12">
        <v>36818.941346548119</v>
      </c>
      <c r="H7" s="12">
        <v>106734.74172313255</v>
      </c>
      <c r="I7" s="12">
        <v>2606070.4680438936</v>
      </c>
      <c r="J7" s="12">
        <v>349429.06457903958</v>
      </c>
      <c r="K7" s="12">
        <v>136043.80384364817</v>
      </c>
      <c r="L7" s="12">
        <v>424419.16199218092</v>
      </c>
      <c r="M7" s="12">
        <v>16545.822613870914</v>
      </c>
      <c r="N7" s="12">
        <v>314843.47443654004</v>
      </c>
      <c r="O7" s="12">
        <v>67024.967840032448</v>
      </c>
      <c r="P7" s="12">
        <v>5008940</v>
      </c>
    </row>
    <row r="8" spans="1:16" x14ac:dyDescent="0.25">
      <c r="A8" s="9" t="s">
        <v>27</v>
      </c>
      <c r="B8" s="12">
        <v>74611.772091610444</v>
      </c>
      <c r="C8" s="12">
        <v>104996.92661899899</v>
      </c>
      <c r="D8" s="12">
        <v>4992.9413474389539</v>
      </c>
      <c r="E8" s="12">
        <v>278445.99362396839</v>
      </c>
      <c r="F8" s="12">
        <v>12457.143108539938</v>
      </c>
      <c r="G8" s="12">
        <v>18409.47067327406</v>
      </c>
      <c r="H8" s="12">
        <v>53367.370861566276</v>
      </c>
      <c r="I8" s="12">
        <v>1303035.234021947</v>
      </c>
      <c r="J8" s="12">
        <v>174714.53228951979</v>
      </c>
      <c r="K8" s="12">
        <v>68021.901921824086</v>
      </c>
      <c r="L8" s="12">
        <v>212209.58099609043</v>
      </c>
      <c r="M8" s="12">
        <v>8272.9113069354553</v>
      </c>
      <c r="N8" s="12">
        <v>157421.73721827005</v>
      </c>
      <c r="O8" s="12">
        <v>33512.483920016224</v>
      </c>
      <c r="P8" s="12">
        <v>2504470.0000000005</v>
      </c>
    </row>
    <row r="9" spans="1:16" x14ac:dyDescent="0.25">
      <c r="A9" s="9" t="s">
        <v>129</v>
      </c>
      <c r="B9" s="12">
        <v>74611.772091610459</v>
      </c>
      <c r="C9" s="12">
        <v>104996.926618999</v>
      </c>
      <c r="D9" s="12">
        <v>4992.9413474389548</v>
      </c>
      <c r="E9" s="12">
        <v>278445.99362396845</v>
      </c>
      <c r="F9" s="12">
        <v>12457.14310853994</v>
      </c>
      <c r="G9" s="12">
        <v>18409.47067327406</v>
      </c>
      <c r="H9" s="12">
        <v>53367.370861566276</v>
      </c>
      <c r="I9" s="12">
        <v>1303035.2340219466</v>
      </c>
      <c r="J9" s="12">
        <v>174714.53228951976</v>
      </c>
      <c r="K9" s="12">
        <v>68021.901921824072</v>
      </c>
      <c r="L9" s="12">
        <v>212209.58099609049</v>
      </c>
      <c r="M9" s="12">
        <v>8272.9113069354571</v>
      </c>
      <c r="N9" s="12">
        <v>157421.73721826999</v>
      </c>
      <c r="O9" s="12">
        <v>33512.483920016224</v>
      </c>
      <c r="P9" s="12">
        <v>2504469.9999999995</v>
      </c>
    </row>
    <row r="10" spans="1:16" x14ac:dyDescent="0.25">
      <c r="A10" s="7" t="s">
        <v>89</v>
      </c>
      <c r="B10" s="12">
        <v>301011.96720905579</v>
      </c>
      <c r="C10" s="12">
        <v>422636.83888901479</v>
      </c>
      <c r="D10" s="12">
        <v>20109.375096398751</v>
      </c>
      <c r="E10" s="12">
        <v>1122070.2510084326</v>
      </c>
      <c r="F10" s="12">
        <v>50193.027850609287</v>
      </c>
      <c r="G10" s="12">
        <v>74240.048669028678</v>
      </c>
      <c r="H10" s="12">
        <v>215331.44666468669</v>
      </c>
      <c r="I10" s="12">
        <v>5252288.6972520165</v>
      </c>
      <c r="J10" s="12">
        <v>705067.62359566253</v>
      </c>
      <c r="K10" s="12">
        <v>274252.19578187179</v>
      </c>
      <c r="L10" s="12">
        <v>854296.0777904198</v>
      </c>
      <c r="M10" s="12">
        <v>33317.44095692152</v>
      </c>
      <c r="N10" s="12">
        <v>634449.10731791181</v>
      </c>
      <c r="O10" s="12">
        <v>134615.90191796812</v>
      </c>
      <c r="P10" s="12">
        <v>10093879.999999998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27</v>
      </c>
    </row>
    <row r="3" spans="1:16" x14ac:dyDescent="0.25">
      <c r="A3" s="6" t="s">
        <v>124</v>
      </c>
      <c r="B3" s="6" t="s">
        <v>90</v>
      </c>
    </row>
    <row r="4" spans="1:16" x14ac:dyDescent="0.25">
      <c r="A4" s="6" t="s">
        <v>88</v>
      </c>
      <c r="B4" t="s">
        <v>34</v>
      </c>
      <c r="C4" t="s">
        <v>75</v>
      </c>
      <c r="D4" t="s">
        <v>41</v>
      </c>
      <c r="E4" t="s">
        <v>53</v>
      </c>
      <c r="F4" t="s">
        <v>30</v>
      </c>
      <c r="G4" t="s">
        <v>78</v>
      </c>
      <c r="H4" t="s">
        <v>31</v>
      </c>
      <c r="I4" t="s">
        <v>29</v>
      </c>
      <c r="J4" t="s">
        <v>54</v>
      </c>
      <c r="K4" t="s">
        <v>80</v>
      </c>
      <c r="L4" t="s">
        <v>120</v>
      </c>
      <c r="M4" t="s">
        <v>65</v>
      </c>
      <c r="N4" t="s">
        <v>72</v>
      </c>
      <c r="O4" t="s">
        <v>55</v>
      </c>
      <c r="P4" t="s">
        <v>89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89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J10"/>
  <sheetViews>
    <sheetView workbookViewId="0">
      <selection activeCell="B1"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9" max="19" width="12" bestFit="1" customWidth="1"/>
  </cols>
  <sheetData>
    <row r="1" spans="1:10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10" x14ac:dyDescent="0.25">
      <c r="A2" s="6" t="s">
        <v>122</v>
      </c>
      <c r="B2" s="6" t="s">
        <v>90</v>
      </c>
    </row>
    <row r="3" spans="1:10" x14ac:dyDescent="0.25">
      <c r="A3" s="6" t="s">
        <v>88</v>
      </c>
      <c r="B3" t="s">
        <v>104</v>
      </c>
      <c r="C3" t="s">
        <v>111</v>
      </c>
      <c r="D3" t="s">
        <v>106</v>
      </c>
      <c r="E3" t="s">
        <v>107</v>
      </c>
      <c r="F3" t="s">
        <v>112</v>
      </c>
      <c r="G3" t="s">
        <v>135</v>
      </c>
      <c r="H3" t="s">
        <v>138</v>
      </c>
      <c r="I3" t="s">
        <v>145</v>
      </c>
      <c r="J3" t="s">
        <v>89</v>
      </c>
    </row>
    <row r="4" spans="1:10" x14ac:dyDescent="0.25">
      <c r="A4" s="7">
        <v>2030</v>
      </c>
      <c r="B4" s="12">
        <v>25194471.873196587</v>
      </c>
      <c r="C4" s="12">
        <v>-49221.626363801333</v>
      </c>
      <c r="D4" s="12">
        <v>9913170.3873696607</v>
      </c>
      <c r="E4" s="12">
        <v>18593666.995227434</v>
      </c>
      <c r="F4" s="12">
        <v>-1346987.0848084788</v>
      </c>
      <c r="G4" s="12">
        <v>-769363.70498653036</v>
      </c>
      <c r="H4" s="12">
        <v>0</v>
      </c>
      <c r="I4" s="12">
        <v>-1146793.0932417039</v>
      </c>
      <c r="J4" s="12">
        <v>50388943.746393159</v>
      </c>
    </row>
    <row r="5" spans="1:10" x14ac:dyDescent="0.25">
      <c r="A5" s="9" t="s">
        <v>27</v>
      </c>
      <c r="B5" s="12">
        <v>13105225.196730688</v>
      </c>
      <c r="C5" s="12">
        <v>-24610.813181900667</v>
      </c>
      <c r="D5" s="12">
        <v>5507316.8818720337</v>
      </c>
      <c r="E5" s="12">
        <v>9296833.4976137169</v>
      </c>
      <c r="F5" s="12">
        <v>-673493.54240423942</v>
      </c>
      <c r="G5" s="12">
        <v>-427424.28054807242</v>
      </c>
      <c r="H5" s="12">
        <v>0</v>
      </c>
      <c r="I5" s="12">
        <v>-573396.54662085196</v>
      </c>
      <c r="J5" s="12">
        <v>26210450.393461373</v>
      </c>
    </row>
    <row r="6" spans="1:10" x14ac:dyDescent="0.25">
      <c r="A6" s="9" t="s">
        <v>129</v>
      </c>
      <c r="B6" s="12">
        <v>12089246.676465897</v>
      </c>
      <c r="C6" s="12">
        <v>-24610.813181900667</v>
      </c>
      <c r="D6" s="12">
        <v>4405853.505497627</v>
      </c>
      <c r="E6" s="12">
        <v>9296833.4976137187</v>
      </c>
      <c r="F6" s="12">
        <v>-673493.54240423942</v>
      </c>
      <c r="G6" s="12">
        <v>-341939.42443845799</v>
      </c>
      <c r="H6" s="12">
        <v>0</v>
      </c>
      <c r="I6" s="12">
        <v>-573396.54662085196</v>
      </c>
      <c r="J6" s="12">
        <v>24178493.35293179</v>
      </c>
    </row>
    <row r="7" spans="1:10" x14ac:dyDescent="0.25">
      <c r="A7" s="7">
        <v>2050</v>
      </c>
      <c r="B7" s="12">
        <v>23273499.895488031</v>
      </c>
      <c r="C7" s="12">
        <v>-80358.231636198703</v>
      </c>
      <c r="D7" s="12">
        <v>9873415.6377211995</v>
      </c>
      <c r="E7" s="12">
        <v>18422678.875420108</v>
      </c>
      <c r="F7" s="12">
        <v>-3109221.2568522464</v>
      </c>
      <c r="G7" s="12">
        <v>-749734.67629757291</v>
      </c>
      <c r="H7" s="12">
        <v>0</v>
      </c>
      <c r="I7" s="12">
        <v>-1083280.4528672597</v>
      </c>
      <c r="J7" s="12">
        <v>46546999.790976062</v>
      </c>
    </row>
    <row r="8" spans="1:10" x14ac:dyDescent="0.25">
      <c r="A8" s="9" t="s">
        <v>27</v>
      </c>
      <c r="B8" s="12">
        <v>12143621.112267544</v>
      </c>
      <c r="C8" s="12">
        <v>-40179.115818099352</v>
      </c>
      <c r="D8" s="12">
        <v>5485230.909845111</v>
      </c>
      <c r="E8" s="12">
        <v>9211339.4377100542</v>
      </c>
      <c r="F8" s="12">
        <v>-1554610.6284261232</v>
      </c>
      <c r="G8" s="12">
        <v>-416519.2646097627</v>
      </c>
      <c r="H8" s="12">
        <v>0</v>
      </c>
      <c r="I8" s="12">
        <v>-541640.22643362987</v>
      </c>
      <c r="J8" s="12">
        <v>24287242.224535093</v>
      </c>
    </row>
    <row r="9" spans="1:10" x14ac:dyDescent="0.25">
      <c r="A9" s="9" t="s">
        <v>129</v>
      </c>
      <c r="B9" s="12">
        <v>11129878.783220485</v>
      </c>
      <c r="C9" s="12">
        <v>-40179.115818099352</v>
      </c>
      <c r="D9" s="12">
        <v>4388184.7278760895</v>
      </c>
      <c r="E9" s="12">
        <v>9211339.4377100561</v>
      </c>
      <c r="F9" s="12">
        <v>-1554610.6284261232</v>
      </c>
      <c r="G9" s="12">
        <v>-333215.41168781015</v>
      </c>
      <c r="H9" s="12">
        <v>0</v>
      </c>
      <c r="I9" s="12">
        <v>-541640.22643362987</v>
      </c>
      <c r="J9" s="12">
        <v>22259757.566440966</v>
      </c>
    </row>
    <row r="10" spans="1:10" x14ac:dyDescent="0.25">
      <c r="A10" s="7" t="s">
        <v>89</v>
      </c>
      <c r="B10" s="12">
        <v>48467971.768684618</v>
      </c>
      <c r="C10" s="12">
        <v>-129579.85800000004</v>
      </c>
      <c r="D10" s="12">
        <v>19786586.025090862</v>
      </c>
      <c r="E10" s="12">
        <v>37016345.870647542</v>
      </c>
      <c r="F10" s="12">
        <v>-4456208.341660725</v>
      </c>
      <c r="G10" s="12">
        <v>-1519098.3812841033</v>
      </c>
      <c r="H10" s="12">
        <v>0</v>
      </c>
      <c r="I10" s="12">
        <v>-2230073.5461089639</v>
      </c>
      <c r="J10" s="12">
        <v>96935943.537369221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122</v>
      </c>
      <c r="B3" s="6" t="s">
        <v>90</v>
      </c>
    </row>
    <row r="4" spans="1:10" x14ac:dyDescent="0.25">
      <c r="A4" s="6" t="s">
        <v>88</v>
      </c>
      <c r="B4" t="s">
        <v>104</v>
      </c>
      <c r="C4" t="s">
        <v>111</v>
      </c>
      <c r="D4" t="s">
        <v>106</v>
      </c>
      <c r="E4" t="s">
        <v>107</v>
      </c>
      <c r="F4" t="s">
        <v>112</v>
      </c>
      <c r="G4" t="s">
        <v>135</v>
      </c>
      <c r="H4" t="s">
        <v>138</v>
      </c>
      <c r="I4" t="s">
        <v>145</v>
      </c>
      <c r="J4" t="s">
        <v>89</v>
      </c>
    </row>
    <row r="5" spans="1:10" x14ac:dyDescent="0.25">
      <c r="A5" s="7">
        <v>2019</v>
      </c>
      <c r="B5" s="12">
        <v>13911562.11827757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-605900.32409827493</v>
      </c>
      <c r="J5" s="12">
        <v>27823124.236555133</v>
      </c>
    </row>
    <row r="6" spans="1:10" x14ac:dyDescent="0.25">
      <c r="A6" s="7" t="s">
        <v>89</v>
      </c>
      <c r="B6" s="12">
        <v>13911562.11827757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-605900.32409827493</v>
      </c>
      <c r="J6" s="12">
        <v>27823124.236555133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1"/>
  <sheetViews>
    <sheetView zoomScaleNormal="100" workbookViewId="0">
      <selection activeCell="B6" sqref="B6:U19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143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180</v>
      </c>
    </row>
    <row r="2" spans="1:21" x14ac:dyDescent="0.25">
      <c r="B2" s="6" t="s">
        <v>90</v>
      </c>
    </row>
    <row r="3" spans="1:21" x14ac:dyDescent="0.25">
      <c r="B3" t="s">
        <v>73</v>
      </c>
      <c r="D3" t="s">
        <v>57</v>
      </c>
      <c r="F3" t="s">
        <v>76</v>
      </c>
      <c r="H3" t="s">
        <v>77</v>
      </c>
      <c r="J3" t="s">
        <v>79</v>
      </c>
      <c r="L3" t="s">
        <v>74</v>
      </c>
      <c r="N3" t="s">
        <v>81</v>
      </c>
      <c r="P3" t="s">
        <v>64</v>
      </c>
      <c r="R3" t="s">
        <v>141</v>
      </c>
      <c r="T3" t="s">
        <v>127</v>
      </c>
      <c r="U3" t="s">
        <v>126</v>
      </c>
    </row>
    <row r="4" spans="1:21" x14ac:dyDescent="0.25">
      <c r="A4" s="6" t="s">
        <v>88</v>
      </c>
      <c r="B4" t="s">
        <v>128</v>
      </c>
      <c r="C4" t="s">
        <v>125</v>
      </c>
      <c r="D4" t="s">
        <v>128</v>
      </c>
      <c r="E4" t="s">
        <v>125</v>
      </c>
      <c r="F4" t="s">
        <v>128</v>
      </c>
      <c r="G4" t="s">
        <v>125</v>
      </c>
      <c r="H4" t="s">
        <v>128</v>
      </c>
      <c r="I4" t="s">
        <v>125</v>
      </c>
      <c r="J4" t="s">
        <v>128</v>
      </c>
      <c r="K4" t="s">
        <v>125</v>
      </c>
      <c r="L4" t="s">
        <v>128</v>
      </c>
      <c r="M4" t="s">
        <v>125</v>
      </c>
      <c r="N4" t="s">
        <v>128</v>
      </c>
      <c r="O4" t="s">
        <v>125</v>
      </c>
      <c r="P4" t="s">
        <v>128</v>
      </c>
      <c r="Q4" t="s">
        <v>125</v>
      </c>
      <c r="R4" t="s">
        <v>128</v>
      </c>
      <c r="S4" t="s">
        <v>125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27</v>
      </c>
      <c r="B6" s="15">
        <v>19.810752704992638</v>
      </c>
      <c r="C6" s="15">
        <v>5.2990046407365288</v>
      </c>
      <c r="D6" s="15">
        <v>0</v>
      </c>
      <c r="E6" s="15">
        <v>2.1694819870080004</v>
      </c>
      <c r="F6" s="15">
        <v>19.850360529489283</v>
      </c>
      <c r="G6" s="15">
        <v>1.4201719861750004</v>
      </c>
      <c r="H6" s="15">
        <v>26.93090541898259</v>
      </c>
      <c r="I6" s="15">
        <v>0.45076703431999998</v>
      </c>
      <c r="J6" s="15">
        <v>0.14596282488120896</v>
      </c>
      <c r="K6" s="15">
        <v>0</v>
      </c>
      <c r="L6" s="15">
        <v>2.0151850141246661</v>
      </c>
      <c r="M6" s="15">
        <v>12.535436512334408</v>
      </c>
      <c r="N6" s="15">
        <v>45.280222691386172</v>
      </c>
      <c r="O6" s="15">
        <v>0</v>
      </c>
      <c r="P6" s="15">
        <v>7.9766231601288453</v>
      </c>
      <c r="Q6" s="15">
        <v>0</v>
      </c>
      <c r="R6" s="15">
        <v>0</v>
      </c>
      <c r="S6" s="15">
        <v>0</v>
      </c>
      <c r="T6" s="15">
        <v>122.01001234398541</v>
      </c>
      <c r="U6" s="15">
        <v>21.87486216057394</v>
      </c>
    </row>
    <row r="7" spans="1:21" x14ac:dyDescent="0.25">
      <c r="A7" s="9" t="s">
        <v>129</v>
      </c>
      <c r="B7" s="15">
        <v>19.802671473587466</v>
      </c>
      <c r="C7" s="15">
        <v>5.2940684669341911</v>
      </c>
      <c r="D7" s="15">
        <v>0</v>
      </c>
      <c r="E7" s="15">
        <v>2.1694819870080004</v>
      </c>
      <c r="F7" s="15">
        <v>29.979193434395683</v>
      </c>
      <c r="G7" s="15">
        <v>1.4201719861750004</v>
      </c>
      <c r="H7" s="15">
        <v>34.963307596754014</v>
      </c>
      <c r="I7" s="15">
        <v>0.45076703432000009</v>
      </c>
      <c r="J7" s="15">
        <v>0.14596282488120893</v>
      </c>
      <c r="K7" s="15">
        <v>0</v>
      </c>
      <c r="L7" s="15">
        <v>1.6121480112997326</v>
      </c>
      <c r="M7" s="15">
        <v>10.028349209867528</v>
      </c>
      <c r="N7" s="15">
        <v>45.280222691386165</v>
      </c>
      <c r="O7" s="15">
        <v>0</v>
      </c>
      <c r="P7" s="15">
        <v>7.9766231601288453</v>
      </c>
      <c r="Q7" s="15">
        <v>0</v>
      </c>
      <c r="R7" s="15">
        <v>0</v>
      </c>
      <c r="S7" s="15">
        <v>0</v>
      </c>
      <c r="T7" s="15">
        <v>139.76012919243311</v>
      </c>
      <c r="U7" s="15">
        <v>19.36283868430472</v>
      </c>
    </row>
    <row r="8" spans="1:21" x14ac:dyDescent="0.25">
      <c r="A8" s="7">
        <v>2050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9" t="s">
        <v>27</v>
      </c>
      <c r="B9" s="15">
        <v>19.90496446847807</v>
      </c>
      <c r="C9" s="15">
        <v>5.3654495190523503</v>
      </c>
      <c r="D9" s="15">
        <v>0</v>
      </c>
      <c r="E9" s="15">
        <v>2.1694819870080004</v>
      </c>
      <c r="F9" s="15">
        <v>18.206836134418594</v>
      </c>
      <c r="G9" s="15">
        <v>1.4201719861750004</v>
      </c>
      <c r="H9" s="15">
        <v>24.858803548597578</v>
      </c>
      <c r="I9" s="15">
        <v>0.45076703432000009</v>
      </c>
      <c r="J9" s="15">
        <v>0.23461711386879117</v>
      </c>
      <c r="K9" s="15">
        <v>0</v>
      </c>
      <c r="L9" s="15">
        <v>2.1115978762570289</v>
      </c>
      <c r="M9" s="15">
        <v>12.420463246039292</v>
      </c>
      <c r="N9" s="15">
        <v>41.35400000763542</v>
      </c>
      <c r="O9" s="15">
        <v>0</v>
      </c>
      <c r="P9" s="15">
        <v>7.7078751185296177</v>
      </c>
      <c r="Q9" s="15">
        <v>0</v>
      </c>
      <c r="R9" s="15">
        <v>0</v>
      </c>
      <c r="S9" s="15">
        <v>0</v>
      </c>
      <c r="T9" s="15">
        <v>114.37869426778509</v>
      </c>
      <c r="U9" s="15">
        <v>21.826333772594644</v>
      </c>
    </row>
    <row r="10" spans="1:21" x14ac:dyDescent="0.25">
      <c r="A10" s="9" t="s">
        <v>129</v>
      </c>
      <c r="B10" s="15">
        <v>19.897035061438991</v>
      </c>
      <c r="C10" s="15">
        <v>5.3606050360007158</v>
      </c>
      <c r="D10" s="15">
        <v>0</v>
      </c>
      <c r="E10" s="15">
        <v>2.1694819870080004</v>
      </c>
      <c r="F10" s="15">
        <v>28.335669039324991</v>
      </c>
      <c r="G10" s="15">
        <v>1.4201719861750002</v>
      </c>
      <c r="H10" s="15">
        <v>32.884136275413141</v>
      </c>
      <c r="I10" s="15">
        <v>0.45076703432000009</v>
      </c>
      <c r="J10" s="15">
        <v>0.23461711386879117</v>
      </c>
      <c r="K10" s="15">
        <v>0</v>
      </c>
      <c r="L10" s="15">
        <v>1.6892783010056229</v>
      </c>
      <c r="M10" s="15">
        <v>9.9363705968314342</v>
      </c>
      <c r="N10" s="15">
        <v>41.35400000763542</v>
      </c>
      <c r="O10" s="15">
        <v>0</v>
      </c>
      <c r="P10" s="15">
        <v>7.7078751185296177</v>
      </c>
      <c r="Q10" s="15">
        <v>0</v>
      </c>
      <c r="R10" s="15">
        <v>0</v>
      </c>
      <c r="S10" s="15">
        <v>0</v>
      </c>
      <c r="T10" s="15">
        <v>132.10261091721659</v>
      </c>
      <c r="U10" s="15">
        <v>19.33739664033515</v>
      </c>
    </row>
    <row r="11" spans="1:21" x14ac:dyDescent="0.25">
      <c r="A11" s="7" t="s">
        <v>89</v>
      </c>
      <c r="B11" s="15">
        <v>79.415423708497173</v>
      </c>
      <c r="C11" s="15">
        <v>21.319127662723787</v>
      </c>
      <c r="D11" s="15">
        <v>0</v>
      </c>
      <c r="E11" s="15">
        <v>8.6779279480320017</v>
      </c>
      <c r="F11" s="15">
        <v>96.372059137628554</v>
      </c>
      <c r="G11" s="15">
        <v>5.6806879447000016</v>
      </c>
      <c r="H11" s="15">
        <v>119.63715283974733</v>
      </c>
      <c r="I11" s="15">
        <v>1.8030681372800004</v>
      </c>
      <c r="J11" s="15">
        <v>0.76115987750000014</v>
      </c>
      <c r="K11" s="15">
        <v>0</v>
      </c>
      <c r="L11" s="15">
        <v>7.428209202687051</v>
      </c>
      <c r="M11" s="15">
        <v>44.920619565072656</v>
      </c>
      <c r="N11" s="15">
        <v>173.26844539804318</v>
      </c>
      <c r="O11" s="15">
        <v>0</v>
      </c>
      <c r="P11" s="15">
        <v>31.368996557316926</v>
      </c>
      <c r="Q11" s="15">
        <v>0</v>
      </c>
      <c r="R11" s="15">
        <v>0</v>
      </c>
      <c r="S11" s="15">
        <v>0</v>
      </c>
      <c r="T11" s="15">
        <v>508.25144672142017</v>
      </c>
      <c r="U11" s="15">
        <v>82.401431257808454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27</v>
      </c>
    </row>
    <row r="3" spans="1:21" x14ac:dyDescent="0.25">
      <c r="B3" s="6" t="s">
        <v>90</v>
      </c>
    </row>
    <row r="4" spans="1:21" x14ac:dyDescent="0.25">
      <c r="B4" t="s">
        <v>73</v>
      </c>
      <c r="D4" t="s">
        <v>57</v>
      </c>
      <c r="F4" t="s">
        <v>76</v>
      </c>
      <c r="H4" t="s">
        <v>77</v>
      </c>
      <c r="J4" t="s">
        <v>79</v>
      </c>
      <c r="L4" t="s">
        <v>74</v>
      </c>
      <c r="N4" t="s">
        <v>81</v>
      </c>
      <c r="P4" t="s">
        <v>64</v>
      </c>
      <c r="R4" t="s">
        <v>141</v>
      </c>
      <c r="T4" t="s">
        <v>127</v>
      </c>
      <c r="U4" t="s">
        <v>126</v>
      </c>
    </row>
    <row r="5" spans="1:21" x14ac:dyDescent="0.25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  <c r="R5" t="s">
        <v>128</v>
      </c>
      <c r="S5" t="s">
        <v>125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19.573590488557194</v>
      </c>
      <c r="I6" s="15">
        <v>0.45076703431999998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47.489094924341856</v>
      </c>
      <c r="O6" s="15">
        <v>0</v>
      </c>
      <c r="P6" s="15">
        <v>3.951047127829578</v>
      </c>
      <c r="Q6" s="15">
        <v>0</v>
      </c>
      <c r="R6" s="15">
        <v>0</v>
      </c>
      <c r="S6" s="15">
        <v>0</v>
      </c>
      <c r="T6" s="15">
        <v>88.55766306523094</v>
      </c>
      <c r="U6" s="15">
        <v>16.615858669715003</v>
      </c>
    </row>
    <row r="7" spans="1:21" x14ac:dyDescent="0.25">
      <c r="A7" s="7" t="s">
        <v>89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19.573590488557194</v>
      </c>
      <c r="I7" s="15">
        <v>0.45076703431999998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47.489094924341856</v>
      </c>
      <c r="O7" s="15">
        <v>0</v>
      </c>
      <c r="P7" s="15">
        <v>3.951047127829578</v>
      </c>
      <c r="Q7" s="15">
        <v>0</v>
      </c>
      <c r="R7" s="15">
        <v>0</v>
      </c>
      <c r="S7" s="15">
        <v>0</v>
      </c>
      <c r="T7" s="15">
        <v>88.55766306523094</v>
      </c>
      <c r="U7" s="15">
        <v>16.615858669715003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0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143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12000000</v>
      </c>
    </row>
    <row r="2" spans="1:9" x14ac:dyDescent="0.25">
      <c r="A2" s="6" t="s">
        <v>130</v>
      </c>
      <c r="B2" s="6" t="s">
        <v>90</v>
      </c>
    </row>
    <row r="3" spans="1:9" x14ac:dyDescent="0.25">
      <c r="A3" s="6" t="s">
        <v>88</v>
      </c>
      <c r="B3" t="s">
        <v>73</v>
      </c>
      <c r="C3" t="s">
        <v>74</v>
      </c>
      <c r="D3" t="s">
        <v>57</v>
      </c>
      <c r="E3" t="s">
        <v>76</v>
      </c>
      <c r="F3" t="s">
        <v>77</v>
      </c>
      <c r="G3" t="s">
        <v>79</v>
      </c>
      <c r="H3" t="s">
        <v>81</v>
      </c>
      <c r="I3" t="s">
        <v>89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27</v>
      </c>
      <c r="B5" s="12">
        <v>1140745.9345080981</v>
      </c>
      <c r="C5" s="12">
        <v>1993192.5254781183</v>
      </c>
      <c r="D5" s="12">
        <v>128467.8</v>
      </c>
      <c r="E5" s="12">
        <v>2348840.8844847302</v>
      </c>
      <c r="F5" s="12">
        <v>2349166.8466086616</v>
      </c>
      <c r="G5" s="12">
        <v>24394.901094352466</v>
      </c>
      <c r="H5" s="12">
        <v>1498974.2460576054</v>
      </c>
      <c r="I5" s="12">
        <v>9483783.1382315662</v>
      </c>
    </row>
    <row r="6" spans="1:9" x14ac:dyDescent="0.25">
      <c r="A6" s="9" t="s">
        <v>129</v>
      </c>
      <c r="B6" s="12">
        <v>1139180.7875059044</v>
      </c>
      <c r="C6" s="12">
        <v>1594554.0203824949</v>
      </c>
      <c r="D6" s="12">
        <v>128467.8</v>
      </c>
      <c r="E6" s="12">
        <v>3537128.2942940318</v>
      </c>
      <c r="F6" s="12">
        <v>3047158.8251946424</v>
      </c>
      <c r="G6" s="12">
        <v>24394.90109435247</v>
      </c>
      <c r="H6" s="12">
        <v>1498974.2460576054</v>
      </c>
      <c r="I6" s="12">
        <v>10969858.874529032</v>
      </c>
    </row>
    <row r="7" spans="1:9" x14ac:dyDescent="0.25">
      <c r="A7" s="7">
        <v>2050</v>
      </c>
      <c r="B7" s="12"/>
      <c r="C7" s="12"/>
      <c r="D7" s="12"/>
      <c r="E7" s="12"/>
      <c r="F7" s="12"/>
      <c r="G7" s="12"/>
      <c r="H7" s="12"/>
      <c r="I7" s="12"/>
    </row>
    <row r="8" spans="1:9" x14ac:dyDescent="0.25">
      <c r="A8" s="9" t="s">
        <v>27</v>
      </c>
      <c r="B8" s="12">
        <v>1159380.5453773013</v>
      </c>
      <c r="C8" s="12">
        <v>1993395.3314738162</v>
      </c>
      <c r="D8" s="12">
        <v>128467.8</v>
      </c>
      <c r="E8" s="12">
        <v>2164142.1080060382</v>
      </c>
      <c r="F8" s="12">
        <v>2170312.3964539068</v>
      </c>
      <c r="G8" s="12">
        <v>39211.773905647548</v>
      </c>
      <c r="H8" s="12">
        <v>1366418.955561334</v>
      </c>
      <c r="I8" s="12">
        <v>9021328.9107780438</v>
      </c>
    </row>
    <row r="9" spans="1:9" x14ac:dyDescent="0.25">
      <c r="A9" s="9" t="s">
        <v>129</v>
      </c>
      <c r="B9" s="12">
        <v>1157844.6374687569</v>
      </c>
      <c r="C9" s="12">
        <v>1594716.2651790529</v>
      </c>
      <c r="D9" s="12">
        <v>128467.8</v>
      </c>
      <c r="E9" s="12">
        <v>3352429.5178153403</v>
      </c>
      <c r="F9" s="12">
        <v>2867722.9948248072</v>
      </c>
      <c r="G9" s="12">
        <v>39211.773905647548</v>
      </c>
      <c r="H9" s="12">
        <v>1366418.955561334</v>
      </c>
      <c r="I9" s="12">
        <v>10506811.94475494</v>
      </c>
    </row>
    <row r="10" spans="1:9" x14ac:dyDescent="0.25">
      <c r="A10" s="7" t="s">
        <v>89</v>
      </c>
      <c r="B10" s="12">
        <v>4597151.9048600607</v>
      </c>
      <c r="C10" s="12">
        <v>7175858.1425134819</v>
      </c>
      <c r="D10" s="12">
        <v>513871.2</v>
      </c>
      <c r="E10" s="12">
        <v>11402540.80460014</v>
      </c>
      <c r="F10" s="12">
        <v>10434361.063082017</v>
      </c>
      <c r="G10" s="12">
        <v>127213.35000000003</v>
      </c>
      <c r="H10" s="12">
        <v>5730786.4032378793</v>
      </c>
      <c r="I10" s="12">
        <v>39981782.868293583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130</v>
      </c>
      <c r="B3" s="6" t="s">
        <v>90</v>
      </c>
    </row>
    <row r="4" spans="1:10" x14ac:dyDescent="0.25">
      <c r="A4" s="6" t="s">
        <v>88</v>
      </c>
      <c r="B4" t="s">
        <v>73</v>
      </c>
      <c r="C4" t="s">
        <v>74</v>
      </c>
      <c r="D4" t="s">
        <v>57</v>
      </c>
      <c r="E4" t="s">
        <v>76</v>
      </c>
      <c r="F4" t="s">
        <v>77</v>
      </c>
      <c r="G4" t="s">
        <v>79</v>
      </c>
      <c r="H4" t="s">
        <v>81</v>
      </c>
      <c r="I4" t="s">
        <v>141</v>
      </c>
      <c r="J4" t="s">
        <v>89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128726.35999999999</v>
      </c>
      <c r="F5" s="12">
        <v>1675417.9906552273</v>
      </c>
      <c r="G5" s="12">
        <v>0</v>
      </c>
      <c r="H5" s="12">
        <v>1575873.4784311759</v>
      </c>
      <c r="I5" s="12">
        <v>0</v>
      </c>
      <c r="J5" s="12">
        <v>5289806.6849197373</v>
      </c>
    </row>
    <row r="6" spans="1:10" x14ac:dyDescent="0.25">
      <c r="A6" s="7" t="s">
        <v>89</v>
      </c>
      <c r="B6" s="12">
        <v>1077304.9400000002</v>
      </c>
      <c r="C6" s="12">
        <v>704016.11583333346</v>
      </c>
      <c r="D6" s="12">
        <v>128467.8</v>
      </c>
      <c r="E6" s="12">
        <v>128726.35999999999</v>
      </c>
      <c r="F6" s="12">
        <v>1675417.9906552273</v>
      </c>
      <c r="G6" s="12">
        <v>0</v>
      </c>
      <c r="H6" s="12">
        <v>1575873.4784311759</v>
      </c>
      <c r="I6" s="12">
        <v>0</v>
      </c>
      <c r="J6" s="12">
        <v>5289806.6849197373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14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0.85546875" bestFit="1" customWidth="1"/>
    <col min="3" max="10" width="14.5703125" bestFit="1" customWidth="1"/>
    <col min="11" max="11" width="11.28515625" bestFit="1" customWidth="1"/>
    <col min="12" max="13" width="14.5703125" bestFit="1" customWidth="1"/>
    <col min="14" max="14" width="11.28515625" bestFit="1" customWidth="1"/>
    <col min="15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134</v>
      </c>
      <c r="B1" s="7">
        <v>1</v>
      </c>
    </row>
    <row r="3" spans="1:11" x14ac:dyDescent="0.25">
      <c r="A3" s="6" t="s">
        <v>136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48</v>
      </c>
      <c r="D4" t="s">
        <v>41</v>
      </c>
      <c r="E4" t="s">
        <v>57</v>
      </c>
      <c r="F4" t="s">
        <v>30</v>
      </c>
      <c r="G4" t="s">
        <v>63</v>
      </c>
      <c r="H4" t="s">
        <v>49</v>
      </c>
      <c r="I4" t="s">
        <v>69</v>
      </c>
      <c r="J4" t="s">
        <v>33</v>
      </c>
      <c r="K4" t="s">
        <v>89</v>
      </c>
    </row>
    <row r="5" spans="1:11" x14ac:dyDescent="0.25">
      <c r="A5">
        <v>2019</v>
      </c>
      <c r="B5" t="s">
        <v>27</v>
      </c>
      <c r="C5" s="12">
        <v>370459.67448149773</v>
      </c>
      <c r="D5" s="12">
        <v>420629.98984142789</v>
      </c>
      <c r="E5" s="12">
        <v>142742</v>
      </c>
      <c r="F5" s="12">
        <v>203649.62100550608</v>
      </c>
      <c r="G5" s="12">
        <v>5421074.2654714445</v>
      </c>
      <c r="H5" s="12">
        <v>282332.03034110228</v>
      </c>
      <c r="I5" s="12">
        <v>944815.08868008247</v>
      </c>
      <c r="J5" s="12">
        <v>0</v>
      </c>
      <c r="K5" s="12">
        <v>7785702.6698210603</v>
      </c>
    </row>
    <row r="6" spans="1:11" x14ac:dyDescent="0.25">
      <c r="B6" t="s">
        <v>129</v>
      </c>
      <c r="C6" s="12">
        <v>370459.67448149773</v>
      </c>
      <c r="D6" s="12">
        <v>420629.98984142789</v>
      </c>
      <c r="E6" s="12">
        <v>142742</v>
      </c>
      <c r="F6" s="12">
        <v>203649.62100550608</v>
      </c>
      <c r="G6" s="12">
        <v>5421074.2654714445</v>
      </c>
      <c r="H6" s="12">
        <v>282332.03034110228</v>
      </c>
      <c r="I6" s="12">
        <v>944815.08868008247</v>
      </c>
      <c r="J6" s="12">
        <v>0</v>
      </c>
      <c r="K6" s="12">
        <v>7785702.6698210603</v>
      </c>
    </row>
    <row r="7" spans="1:11" x14ac:dyDescent="0.25">
      <c r="A7" t="s">
        <v>131</v>
      </c>
      <c r="C7" s="12">
        <v>740919.34896299546</v>
      </c>
      <c r="D7" s="12">
        <v>841259.97968285577</v>
      </c>
      <c r="E7" s="12">
        <v>285484</v>
      </c>
      <c r="F7" s="12">
        <v>407299.24201101216</v>
      </c>
      <c r="G7" s="12">
        <v>10842148.530942889</v>
      </c>
      <c r="H7" s="12">
        <v>564664.06068220455</v>
      </c>
      <c r="I7" s="12">
        <v>1889630.1773601649</v>
      </c>
      <c r="J7" s="12">
        <v>0</v>
      </c>
      <c r="K7" s="12">
        <v>15571405.339642121</v>
      </c>
    </row>
    <row r="8" spans="1:11" x14ac:dyDescent="0.25">
      <c r="A8">
        <v>2030</v>
      </c>
      <c r="B8" t="s">
        <v>27</v>
      </c>
      <c r="C8" s="12">
        <v>2.825725611182861E-2</v>
      </c>
      <c r="D8" s="12">
        <v>437443.77822737186</v>
      </c>
      <c r="E8" s="12">
        <v>142742</v>
      </c>
      <c r="F8" s="12">
        <v>210965.35838487741</v>
      </c>
      <c r="G8" s="12">
        <v>5421074.2654714435</v>
      </c>
      <c r="H8" s="12">
        <v>0</v>
      </c>
      <c r="I8" s="12">
        <v>936058.04505746253</v>
      </c>
      <c r="J8" s="12">
        <v>0</v>
      </c>
      <c r="K8" s="12">
        <v>7148283.475398412</v>
      </c>
    </row>
    <row r="9" spans="1:11" x14ac:dyDescent="0.25">
      <c r="B9" t="s">
        <v>129</v>
      </c>
      <c r="C9" s="12">
        <v>2.825725611182861E-2</v>
      </c>
      <c r="D9" s="12">
        <v>437443.77822737186</v>
      </c>
      <c r="E9" s="12">
        <v>142742</v>
      </c>
      <c r="F9" s="12">
        <v>210965.35838487741</v>
      </c>
      <c r="G9" s="12">
        <v>4336859.4123771554</v>
      </c>
      <c r="H9" s="12">
        <v>74189.67769150075</v>
      </c>
      <c r="I9" s="12">
        <v>1205503.2861523256</v>
      </c>
      <c r="J9" s="12">
        <v>21032.815128937291</v>
      </c>
      <c r="K9" s="12">
        <v>6428736.3562194239</v>
      </c>
    </row>
    <row r="10" spans="1:11" x14ac:dyDescent="0.25">
      <c r="A10" t="s">
        <v>132</v>
      </c>
      <c r="C10" s="12">
        <v>5.6514512223657221E-2</v>
      </c>
      <c r="D10" s="12">
        <v>874887.55645474372</v>
      </c>
      <c r="E10" s="12">
        <v>285484</v>
      </c>
      <c r="F10" s="12">
        <v>421930.71676975489</v>
      </c>
      <c r="G10" s="12">
        <v>9757933.677848598</v>
      </c>
      <c r="H10" s="12">
        <v>74189.67769150075</v>
      </c>
      <c r="I10" s="12">
        <v>2141561.3312097881</v>
      </c>
      <c r="J10" s="12">
        <v>21032.815128937291</v>
      </c>
      <c r="K10" s="12">
        <v>13577019.831617836</v>
      </c>
    </row>
    <row r="11" spans="1:11" x14ac:dyDescent="0.25">
      <c r="A11">
        <v>2050</v>
      </c>
      <c r="B11" t="s">
        <v>27</v>
      </c>
      <c r="C11" s="12">
        <v>0.18489040050189942</v>
      </c>
      <c r="D11" s="12">
        <v>459349.41813660081</v>
      </c>
      <c r="E11" s="12">
        <v>142742</v>
      </c>
      <c r="F11" s="12">
        <v>241953.74133540038</v>
      </c>
      <c r="G11" s="12">
        <v>5421074.2654714435</v>
      </c>
      <c r="H11" s="12">
        <v>0.11492812394862995</v>
      </c>
      <c r="I11" s="12">
        <v>904078.84028084262</v>
      </c>
      <c r="J11" s="12">
        <v>6687.6021110492293</v>
      </c>
      <c r="K11" s="12">
        <v>7175886.1671538632</v>
      </c>
    </row>
    <row r="12" spans="1:11" x14ac:dyDescent="0.25">
      <c r="B12" t="s">
        <v>129</v>
      </c>
      <c r="C12" s="12">
        <v>0.18489040050189942</v>
      </c>
      <c r="D12" s="12">
        <v>459349.41813660081</v>
      </c>
      <c r="E12" s="12">
        <v>142742</v>
      </c>
      <c r="F12" s="12">
        <v>241953.74133540038</v>
      </c>
      <c r="G12" s="12">
        <v>4336859.4123771554</v>
      </c>
      <c r="H12" s="12">
        <v>73602.891942499205</v>
      </c>
      <c r="I12" s="12">
        <v>1166952.7931766696</v>
      </c>
      <c r="J12" s="12">
        <v>28706.337967901869</v>
      </c>
      <c r="K12" s="12">
        <v>6450166.7798266271</v>
      </c>
    </row>
    <row r="13" spans="1:11" x14ac:dyDescent="0.25">
      <c r="A13" t="s">
        <v>133</v>
      </c>
      <c r="C13" s="12">
        <v>0.36978080100379884</v>
      </c>
      <c r="D13" s="12">
        <v>918698.83627320162</v>
      </c>
      <c r="E13" s="12">
        <v>285484</v>
      </c>
      <c r="F13" s="12">
        <v>483907.48267080076</v>
      </c>
      <c r="G13" s="12">
        <v>9757933.677848598</v>
      </c>
      <c r="H13" s="12">
        <v>73603.006870623154</v>
      </c>
      <c r="I13" s="12">
        <v>2071031.6334575121</v>
      </c>
      <c r="J13" s="12">
        <v>35393.940078951098</v>
      </c>
      <c r="K13" s="12">
        <v>13626052.946980491</v>
      </c>
    </row>
    <row r="14" spans="1:11" x14ac:dyDescent="0.25">
      <c r="A14" t="s">
        <v>89</v>
      </c>
      <c r="C14" s="12">
        <v>740919.77525830874</v>
      </c>
      <c r="D14" s="12">
        <v>2634846.3724108012</v>
      </c>
      <c r="E14" s="12">
        <v>856452</v>
      </c>
      <c r="F14" s="12">
        <v>1313137.4414515677</v>
      </c>
      <c r="G14" s="12">
        <v>30358015.886640087</v>
      </c>
      <c r="H14" s="12">
        <v>712456.7452443284</v>
      </c>
      <c r="I14" s="12">
        <v>6102223.1420274656</v>
      </c>
      <c r="J14" s="12">
        <v>56426.755207888389</v>
      </c>
      <c r="K14" s="12">
        <v>42774478.118240446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829"/>
  <sheetViews>
    <sheetView topLeftCell="A398" workbookViewId="0">
      <selection activeCell="B416" sqref="B416:F829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75527.053678542041</v>
      </c>
    </row>
    <row r="131" spans="1:6" x14ac:dyDescent="0.25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</v>
      </c>
    </row>
    <row r="133" spans="1:6" x14ac:dyDescent="0.25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960.24397829585632</v>
      </c>
    </row>
    <row r="181" spans="1:6" x14ac:dyDescent="0.25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10149.946321457959</v>
      </c>
    </row>
    <row r="182" spans="1:6" x14ac:dyDescent="0.25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24610.929224370728</v>
      </c>
    </row>
    <row r="184" spans="1:6" x14ac:dyDescent="0.25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80676.325166481722</v>
      </c>
    </row>
    <row r="280" spans="1:6" x14ac:dyDescent="0.25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25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25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74470.453999829275</v>
      </c>
    </row>
    <row r="286" spans="1:6" x14ac:dyDescent="0.25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25">
      <c r="A287" t="s">
        <v>27</v>
      </c>
      <c r="B287" t="s">
        <v>67</v>
      </c>
      <c r="C287" t="s">
        <v>28</v>
      </c>
      <c r="D287" t="s">
        <v>85</v>
      </c>
      <c r="E287">
        <v>2019</v>
      </c>
      <c r="F287">
        <v>640280.13059892249</v>
      </c>
    </row>
    <row r="288" spans="1:6" x14ac:dyDescent="0.25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25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32210.735628649098</v>
      </c>
    </row>
    <row r="292" spans="1:6" x14ac:dyDescent="0.25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25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25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29732.986734137623</v>
      </c>
    </row>
    <row r="298" spans="1:6" x14ac:dyDescent="0.25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25">
      <c r="A299" t="s">
        <v>27</v>
      </c>
      <c r="B299" t="s">
        <v>67</v>
      </c>
      <c r="C299" t="s">
        <v>43</v>
      </c>
      <c r="D299" t="s">
        <v>85</v>
      </c>
      <c r="E299">
        <v>2019</v>
      </c>
      <c r="F299">
        <v>187413.07432328182</v>
      </c>
    </row>
    <row r="300" spans="1:6" x14ac:dyDescent="0.25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25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25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25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25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25">
      <c r="A311" t="s">
        <v>27</v>
      </c>
      <c r="B311" t="s">
        <v>67</v>
      </c>
      <c r="C311" t="s">
        <v>28</v>
      </c>
      <c r="D311" t="s">
        <v>85</v>
      </c>
      <c r="E311">
        <v>2030</v>
      </c>
      <c r="F311">
        <v>605932.0339558397</v>
      </c>
    </row>
    <row r="312" spans="1:6" x14ac:dyDescent="0.25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25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25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25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25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25">
      <c r="A323" t="s">
        <v>27</v>
      </c>
      <c r="B323" t="s">
        <v>67</v>
      </c>
      <c r="C323" t="s">
        <v>43</v>
      </c>
      <c r="D323" t="s">
        <v>85</v>
      </c>
      <c r="E323">
        <v>2030</v>
      </c>
      <c r="F323">
        <v>177359.22120275494</v>
      </c>
    </row>
    <row r="324" spans="1:6" x14ac:dyDescent="0.25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25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156492.78628542495</v>
      </c>
    </row>
    <row r="328" spans="1:6" x14ac:dyDescent="0.25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171775.11908496951</v>
      </c>
    </row>
    <row r="329" spans="1:6" x14ac:dyDescent="0.25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2001216.64646261</v>
      </c>
    </row>
    <row r="330" spans="1:6" x14ac:dyDescent="0.25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25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25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25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25">
      <c r="A335" t="s">
        <v>27</v>
      </c>
      <c r="B335" t="s">
        <v>67</v>
      </c>
      <c r="C335" t="s">
        <v>28</v>
      </c>
      <c r="D335" t="s">
        <v>85</v>
      </c>
      <c r="E335">
        <v>2050</v>
      </c>
      <c r="F335">
        <v>551684.14080425573</v>
      </c>
    </row>
    <row r="336" spans="1:6" x14ac:dyDescent="0.25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25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63732.21710113556</v>
      </c>
    </row>
    <row r="340" spans="1:6" x14ac:dyDescent="0.25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38470.033999756291</v>
      </c>
    </row>
    <row r="341" spans="1:6" x14ac:dyDescent="0.25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585136.614594521</v>
      </c>
    </row>
    <row r="342" spans="1:6" x14ac:dyDescent="0.25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25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25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25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25">
      <c r="A347" t="s">
        <v>27</v>
      </c>
      <c r="B347" t="s">
        <v>67</v>
      </c>
      <c r="C347" t="s">
        <v>43</v>
      </c>
      <c r="D347" t="s">
        <v>85</v>
      </c>
      <c r="E347">
        <v>2050</v>
      </c>
      <c r="F347">
        <v>161190.90184954062</v>
      </c>
    </row>
    <row r="348" spans="1:6" x14ac:dyDescent="0.25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25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9058051.1739541572</v>
      </c>
    </row>
    <row r="352" spans="1:6" x14ac:dyDescent="0.25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4103.8061780475591</v>
      </c>
    </row>
    <row r="353" spans="1:6" x14ac:dyDescent="0.25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567745.18896312197</v>
      </c>
    </row>
    <row r="356" spans="1:6" x14ac:dyDescent="0.25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3116039.2107205875</v>
      </c>
    </row>
    <row r="358" spans="1:6" x14ac:dyDescent="0.25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4171.3630677727415</v>
      </c>
    </row>
    <row r="359" spans="1:6" x14ac:dyDescent="0.25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567909.91116279981</v>
      </c>
    </row>
    <row r="362" spans="1:6" x14ac:dyDescent="0.25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3056497.5606119577</v>
      </c>
    </row>
    <row r="364" spans="1:6" x14ac:dyDescent="0.25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4307.7658612412106</v>
      </c>
    </row>
    <row r="365" spans="1:6" x14ac:dyDescent="0.25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545485.8482453922</v>
      </c>
    </row>
    <row r="368" spans="1:6" x14ac:dyDescent="0.25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638439.1593791761</v>
      </c>
    </row>
    <row r="370" spans="1:6" x14ac:dyDescent="0.25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337.693821952441</v>
      </c>
    </row>
    <row r="371" spans="1:6" x14ac:dyDescent="0.25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377069.89971696056</v>
      </c>
    </row>
    <row r="374" spans="1:6" x14ac:dyDescent="0.25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221469.40143989015</v>
      </c>
    </row>
    <row r="376" spans="1:6" x14ac:dyDescent="0.25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350.10096257642732</v>
      </c>
    </row>
    <row r="377" spans="1:6" x14ac:dyDescent="0.25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368148.13389466272</v>
      </c>
    </row>
    <row r="380" spans="1:6" x14ac:dyDescent="0.25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217237.5376157978</v>
      </c>
    </row>
    <row r="382" spans="1:6" x14ac:dyDescent="0.25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361.54919868427658</v>
      </c>
    </row>
    <row r="383" spans="1:6" x14ac:dyDescent="0.25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358592.99203545041</v>
      </c>
    </row>
    <row r="386" spans="1:6" x14ac:dyDescent="0.25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25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25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25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25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25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25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489039.95714195294</v>
      </c>
    </row>
    <row r="395" spans="1:6" x14ac:dyDescent="0.25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199163.17844104863</v>
      </c>
    </row>
    <row r="398" spans="1:6" x14ac:dyDescent="0.25">
      <c r="A398" t="s">
        <v>27</v>
      </c>
      <c r="B398" t="s">
        <v>138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25">
      <c r="A399" t="s">
        <v>27</v>
      </c>
      <c r="B399" t="s">
        <v>138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25">
      <c r="A400" t="s">
        <v>27</v>
      </c>
      <c r="B400" t="s">
        <v>138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25">
      <c r="A401" t="s">
        <v>27</v>
      </c>
      <c r="B401" t="s">
        <v>138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25">
      <c r="A402" t="s">
        <v>27</v>
      </c>
      <c r="B402" t="s">
        <v>138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25">
      <c r="A403" t="s">
        <v>27</v>
      </c>
      <c r="B403" t="s">
        <v>138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25">
      <c r="A404" t="s">
        <v>27</v>
      </c>
      <c r="B404" t="s">
        <v>13</v>
      </c>
      <c r="C404" t="s">
        <v>28</v>
      </c>
      <c r="D404" t="s">
        <v>139</v>
      </c>
      <c r="E404">
        <v>2019</v>
      </c>
      <c r="F404">
        <v>0</v>
      </c>
    </row>
    <row r="405" spans="1:6" x14ac:dyDescent="0.25">
      <c r="A405" t="s">
        <v>27</v>
      </c>
      <c r="B405" t="s">
        <v>13</v>
      </c>
      <c r="C405" t="s">
        <v>28</v>
      </c>
      <c r="D405" t="s">
        <v>140</v>
      </c>
      <c r="E405">
        <v>2019</v>
      </c>
      <c r="F405">
        <v>0</v>
      </c>
    </row>
    <row r="406" spans="1:6" x14ac:dyDescent="0.25">
      <c r="A406" t="s">
        <v>27</v>
      </c>
      <c r="B406" t="s">
        <v>13</v>
      </c>
      <c r="C406" t="s">
        <v>28</v>
      </c>
      <c r="D406" t="s">
        <v>139</v>
      </c>
      <c r="E406">
        <v>2030</v>
      </c>
      <c r="F406">
        <v>0</v>
      </c>
    </row>
    <row r="407" spans="1:6" x14ac:dyDescent="0.25">
      <c r="A407" t="s">
        <v>27</v>
      </c>
      <c r="B407" t="s">
        <v>13</v>
      </c>
      <c r="C407" t="s">
        <v>28</v>
      </c>
      <c r="D407" t="s">
        <v>140</v>
      </c>
      <c r="E407">
        <v>2030</v>
      </c>
      <c r="F407">
        <v>0</v>
      </c>
    </row>
    <row r="408" spans="1:6" x14ac:dyDescent="0.25">
      <c r="A408" t="s">
        <v>27</v>
      </c>
      <c r="B408" t="s">
        <v>13</v>
      </c>
      <c r="C408" t="s">
        <v>28</v>
      </c>
      <c r="D408" t="s">
        <v>139</v>
      </c>
      <c r="E408">
        <v>2050</v>
      </c>
      <c r="F408">
        <v>0</v>
      </c>
    </row>
    <row r="409" spans="1:6" x14ac:dyDescent="0.25">
      <c r="A409" t="s">
        <v>27</v>
      </c>
      <c r="B409" t="s">
        <v>13</v>
      </c>
      <c r="C409" t="s">
        <v>28</v>
      </c>
      <c r="D409" t="s">
        <v>140</v>
      </c>
      <c r="E409">
        <v>2050</v>
      </c>
      <c r="F409">
        <v>0</v>
      </c>
    </row>
    <row r="410" spans="1:6" x14ac:dyDescent="0.25">
      <c r="A410" t="s">
        <v>27</v>
      </c>
      <c r="B410" t="s">
        <v>13</v>
      </c>
      <c r="C410" t="s">
        <v>43</v>
      </c>
      <c r="D410" t="s">
        <v>139</v>
      </c>
      <c r="E410">
        <v>2019</v>
      </c>
      <c r="F410">
        <v>0</v>
      </c>
    </row>
    <row r="411" spans="1:6" x14ac:dyDescent="0.25">
      <c r="A411" t="s">
        <v>27</v>
      </c>
      <c r="B411" t="s">
        <v>13</v>
      </c>
      <c r="C411" t="s">
        <v>43</v>
      </c>
      <c r="D411" t="s">
        <v>140</v>
      </c>
      <c r="E411">
        <v>2019</v>
      </c>
      <c r="F411">
        <v>0</v>
      </c>
    </row>
    <row r="412" spans="1:6" x14ac:dyDescent="0.25">
      <c r="A412" t="s">
        <v>27</v>
      </c>
      <c r="B412" t="s">
        <v>13</v>
      </c>
      <c r="C412" t="s">
        <v>43</v>
      </c>
      <c r="D412" t="s">
        <v>139</v>
      </c>
      <c r="E412">
        <v>2030</v>
      </c>
      <c r="F412">
        <v>0</v>
      </c>
    </row>
    <row r="413" spans="1:6" x14ac:dyDescent="0.25">
      <c r="A413" t="s">
        <v>27</v>
      </c>
      <c r="B413" t="s">
        <v>13</v>
      </c>
      <c r="C413" t="s">
        <v>43</v>
      </c>
      <c r="D413" t="s">
        <v>140</v>
      </c>
      <c r="E413">
        <v>2030</v>
      </c>
      <c r="F413">
        <v>0</v>
      </c>
    </row>
    <row r="414" spans="1:6" x14ac:dyDescent="0.25">
      <c r="A414" t="s">
        <v>27</v>
      </c>
      <c r="B414" t="s">
        <v>13</v>
      </c>
      <c r="C414" t="s">
        <v>43</v>
      </c>
      <c r="D414" t="s">
        <v>139</v>
      </c>
      <c r="E414">
        <v>2050</v>
      </c>
      <c r="F414">
        <v>0</v>
      </c>
    </row>
    <row r="415" spans="1:6" x14ac:dyDescent="0.25">
      <c r="A415" t="s">
        <v>27</v>
      </c>
      <c r="B415" t="s">
        <v>13</v>
      </c>
      <c r="C415" t="s">
        <v>43</v>
      </c>
      <c r="D415" t="s">
        <v>140</v>
      </c>
      <c r="E415">
        <v>2050</v>
      </c>
      <c r="F415">
        <v>0</v>
      </c>
    </row>
    <row r="416" spans="1:6" x14ac:dyDescent="0.25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25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25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25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25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25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25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25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25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25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25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25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25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25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25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25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25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25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25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25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25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25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25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25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25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25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25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25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25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25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25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25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25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25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25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25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25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25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25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25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25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25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25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25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25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25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25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25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25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25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25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25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25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25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25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25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25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25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25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25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25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25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25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25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25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25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25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25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25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25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25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25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25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25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25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25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25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25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25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25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25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25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25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25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25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25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25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25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25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25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25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25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25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25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25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25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25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25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25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25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25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25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6391729.2665735735</v>
      </c>
    </row>
    <row r="518" spans="1:6" x14ac:dyDescent="0.25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7893966.0004921574</v>
      </c>
    </row>
    <row r="519" spans="1:6" x14ac:dyDescent="0.25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3337.0904542181925</v>
      </c>
    </row>
    <row r="520" spans="1:6" x14ac:dyDescent="0.25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1497865.6247316466</v>
      </c>
    </row>
    <row r="521" spans="1:6" x14ac:dyDescent="0.25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25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508461.98144503916</v>
      </c>
    </row>
    <row r="523" spans="1:6" x14ac:dyDescent="0.25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1061170.3273835385</v>
      </c>
    </row>
    <row r="524" spans="1:6" x14ac:dyDescent="0.25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25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53644.580306161413</v>
      </c>
    </row>
    <row r="526" spans="1:6" x14ac:dyDescent="0.25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25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25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25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25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25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25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25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25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25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25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25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25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25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25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25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25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25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25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75527.053678542041</v>
      </c>
    </row>
    <row r="545" spans="1:6" x14ac:dyDescent="0.25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25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</v>
      </c>
    </row>
    <row r="547" spans="1:6" x14ac:dyDescent="0.25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25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25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25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25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25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25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25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25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25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25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25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25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25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25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25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25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25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25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25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25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25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926143.13133016659</v>
      </c>
    </row>
    <row r="569" spans="1:6" x14ac:dyDescent="0.25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561055.81698105508</v>
      </c>
    </row>
    <row r="570" spans="1:6" x14ac:dyDescent="0.25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280.08077006114183</v>
      </c>
    </row>
    <row r="571" spans="1:6" x14ac:dyDescent="0.25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1267572.2425659813</v>
      </c>
    </row>
    <row r="572" spans="1:6" x14ac:dyDescent="0.25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25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217506.01855496093</v>
      </c>
    </row>
    <row r="574" spans="1:6" x14ac:dyDescent="0.25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143222.04383687259</v>
      </c>
    </row>
    <row r="575" spans="1:6" x14ac:dyDescent="0.25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25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22289.419693838598</v>
      </c>
    </row>
    <row r="577" spans="1:6" x14ac:dyDescent="0.25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25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25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25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25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25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25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25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25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25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25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25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25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25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25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25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25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25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960.24397829585632</v>
      </c>
    </row>
    <row r="595" spans="1:6" x14ac:dyDescent="0.25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10149.946321457959</v>
      </c>
    </row>
    <row r="596" spans="1:6" x14ac:dyDescent="0.25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25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24610.929224370728</v>
      </c>
    </row>
    <row r="598" spans="1:6" x14ac:dyDescent="0.25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25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25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25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25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25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25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25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25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25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25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25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25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25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25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25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25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25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25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25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4703372.1615964994</v>
      </c>
    </row>
    <row r="618" spans="1:6" x14ac:dyDescent="0.25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618468.71483434096</v>
      </c>
    </row>
    <row r="619" spans="1:6" x14ac:dyDescent="0.25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25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51598.780380153592</v>
      </c>
    </row>
    <row r="621" spans="1:6" x14ac:dyDescent="0.25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672934.09412450308</v>
      </c>
    </row>
    <row r="622" spans="1:6" x14ac:dyDescent="0.25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4525643.0291759707</v>
      </c>
    </row>
    <row r="623" spans="1:6" x14ac:dyDescent="0.25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171279.2848730098</v>
      </c>
    </row>
    <row r="624" spans="1:6" x14ac:dyDescent="0.25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25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25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9790151.9274066389</v>
      </c>
    </row>
    <row r="627" spans="1:6" x14ac:dyDescent="0.25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1212571.3389336092</v>
      </c>
    </row>
    <row r="628" spans="1:6" x14ac:dyDescent="0.25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25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25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31532.588010093863</v>
      </c>
    </row>
    <row r="631" spans="1:6" x14ac:dyDescent="0.25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3862742.0312364982</v>
      </c>
    </row>
    <row r="632" spans="1:6" x14ac:dyDescent="0.25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25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25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25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25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25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25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25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25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25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25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25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25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25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25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25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25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25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25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25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25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25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25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25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25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25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25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25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25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25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25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577297.28616440261</v>
      </c>
    </row>
    <row r="663" spans="1:6" x14ac:dyDescent="0.25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75911.558427530035</v>
      </c>
    </row>
    <row r="664" spans="1:6" x14ac:dyDescent="0.25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25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6333.2934029920762</v>
      </c>
    </row>
    <row r="666" spans="1:6" x14ac:dyDescent="0.25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82596.701464021666</v>
      </c>
    </row>
    <row r="667" spans="1:6" x14ac:dyDescent="0.25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555482.60888742993</v>
      </c>
    </row>
    <row r="668" spans="1:6" x14ac:dyDescent="0.25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21023.015601598698</v>
      </c>
    </row>
    <row r="669" spans="1:6" x14ac:dyDescent="0.25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25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25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1201654.4608093714</v>
      </c>
    </row>
    <row r="672" spans="1:6" x14ac:dyDescent="0.25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148832.39497031379</v>
      </c>
    </row>
    <row r="673" spans="1:6" x14ac:dyDescent="0.25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25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25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3870.3459684951581</v>
      </c>
    </row>
    <row r="676" spans="1:6" x14ac:dyDescent="0.25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474117.38114065683</v>
      </c>
    </row>
    <row r="677" spans="1:6" x14ac:dyDescent="0.25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25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25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25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25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25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25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25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25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25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25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25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25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25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25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25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25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80676.325166481722</v>
      </c>
    </row>
    <row r="694" spans="1:6" x14ac:dyDescent="0.25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25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25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25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25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25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74470.453999829275</v>
      </c>
    </row>
    <row r="700" spans="1:6" x14ac:dyDescent="0.25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25">
      <c r="A701" t="s">
        <v>129</v>
      </c>
      <c r="B701" t="s">
        <v>67</v>
      </c>
      <c r="C701" t="s">
        <v>28</v>
      </c>
      <c r="D701" t="s">
        <v>85</v>
      </c>
      <c r="E701">
        <v>2019</v>
      </c>
      <c r="F701">
        <v>640280.13059892249</v>
      </c>
    </row>
    <row r="702" spans="1:6" x14ac:dyDescent="0.25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25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25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25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32210.735628649098</v>
      </c>
    </row>
    <row r="706" spans="1:6" x14ac:dyDescent="0.25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25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25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25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25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25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29732.986734137623</v>
      </c>
    </row>
    <row r="712" spans="1:6" x14ac:dyDescent="0.25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25">
      <c r="A713" t="s">
        <v>129</v>
      </c>
      <c r="B713" t="s">
        <v>67</v>
      </c>
      <c r="C713" t="s">
        <v>43</v>
      </c>
      <c r="D713" t="s">
        <v>85</v>
      </c>
      <c r="E713">
        <v>2019</v>
      </c>
      <c r="F713">
        <v>187413.07432328182</v>
      </c>
    </row>
    <row r="714" spans="1:6" x14ac:dyDescent="0.25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25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25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1385491.0293729189</v>
      </c>
    </row>
    <row r="717" spans="1:6" x14ac:dyDescent="0.25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25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25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25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25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25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25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25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25">
      <c r="A725" t="s">
        <v>129</v>
      </c>
      <c r="B725" t="s">
        <v>67</v>
      </c>
      <c r="C725" t="s">
        <v>28</v>
      </c>
      <c r="D725" t="s">
        <v>85</v>
      </c>
      <c r="E725">
        <v>2030</v>
      </c>
      <c r="F725">
        <v>605932.0339558397</v>
      </c>
    </row>
    <row r="726" spans="1:6" x14ac:dyDescent="0.25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25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25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756737.32303016982</v>
      </c>
    </row>
    <row r="729" spans="1:6" x14ac:dyDescent="0.25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25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25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25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25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25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25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25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25">
      <c r="A737" t="s">
        <v>129</v>
      </c>
      <c r="B737" t="s">
        <v>67</v>
      </c>
      <c r="C737" t="s">
        <v>43</v>
      </c>
      <c r="D737" t="s">
        <v>85</v>
      </c>
      <c r="E737">
        <v>2030</v>
      </c>
      <c r="F737">
        <v>177359.22120275494</v>
      </c>
    </row>
    <row r="738" spans="1:6" x14ac:dyDescent="0.25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25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25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25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156492.78628542495</v>
      </c>
    </row>
    <row r="742" spans="1:6" x14ac:dyDescent="0.25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171775.11908496951</v>
      </c>
    </row>
    <row r="743" spans="1:6" x14ac:dyDescent="0.25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2001216.64646261</v>
      </c>
    </row>
    <row r="744" spans="1:6" x14ac:dyDescent="0.25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25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25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25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25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25">
      <c r="A749" t="s">
        <v>129</v>
      </c>
      <c r="B749" t="s">
        <v>67</v>
      </c>
      <c r="C749" t="s">
        <v>28</v>
      </c>
      <c r="D749" t="s">
        <v>85</v>
      </c>
      <c r="E749">
        <v>2050</v>
      </c>
      <c r="F749">
        <v>551684.14080425573</v>
      </c>
    </row>
    <row r="750" spans="1:6" x14ac:dyDescent="0.25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25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25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25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63732.21710113556</v>
      </c>
    </row>
    <row r="754" spans="1:6" x14ac:dyDescent="0.25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38470.033999756291</v>
      </c>
    </row>
    <row r="755" spans="1:6" x14ac:dyDescent="0.25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585136.614594521</v>
      </c>
    </row>
    <row r="756" spans="1:6" x14ac:dyDescent="0.25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25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25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25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25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25">
      <c r="A761" t="s">
        <v>129</v>
      </c>
      <c r="B761" t="s">
        <v>67</v>
      </c>
      <c r="C761" t="s">
        <v>43</v>
      </c>
      <c r="D761" t="s">
        <v>85</v>
      </c>
      <c r="E761">
        <v>2050</v>
      </c>
      <c r="F761">
        <v>161190.90184954062</v>
      </c>
    </row>
    <row r="762" spans="1:6" x14ac:dyDescent="0.25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25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25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25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9058051.1739541572</v>
      </c>
    </row>
    <row r="766" spans="1:6" x14ac:dyDescent="0.25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4103.8061780475591</v>
      </c>
    </row>
    <row r="767" spans="1:6" x14ac:dyDescent="0.25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25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25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567745.18896312197</v>
      </c>
    </row>
    <row r="770" spans="1:6" x14ac:dyDescent="0.25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5668137.2741312822</v>
      </c>
    </row>
    <row r="771" spans="1:6" x14ac:dyDescent="0.25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2492831.3685764708</v>
      </c>
    </row>
    <row r="772" spans="1:6" x14ac:dyDescent="0.25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3337.0904542181925</v>
      </c>
    </row>
    <row r="773" spans="1:6" x14ac:dyDescent="0.25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401728.76679519669</v>
      </c>
    </row>
    <row r="774" spans="1:6" x14ac:dyDescent="0.25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14170727.436337013</v>
      </c>
    </row>
    <row r="775" spans="1:6" x14ac:dyDescent="0.25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809729.86780953256</v>
      </c>
    </row>
    <row r="776" spans="1:6" x14ac:dyDescent="0.25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25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2445198.048489566</v>
      </c>
    </row>
    <row r="778" spans="1:6" x14ac:dyDescent="0.25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3446.2126889929687</v>
      </c>
    </row>
    <row r="779" spans="1:6" x14ac:dyDescent="0.25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25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25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781289.12421925121</v>
      </c>
    </row>
    <row r="782" spans="1:6" x14ac:dyDescent="0.25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25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638439.1593791761</v>
      </c>
    </row>
    <row r="784" spans="1:6" x14ac:dyDescent="0.25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337.693821952441</v>
      </c>
    </row>
    <row r="785" spans="1:6" x14ac:dyDescent="0.25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25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25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377069.89971696056</v>
      </c>
    </row>
    <row r="788" spans="1:6" x14ac:dyDescent="0.25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821296.73910410993</v>
      </c>
    </row>
    <row r="789" spans="1:6" x14ac:dyDescent="0.25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177175.52115191214</v>
      </c>
    </row>
    <row r="790" spans="1:6" x14ac:dyDescent="0.25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280.08077006114183</v>
      </c>
    </row>
    <row r="791" spans="1:6" x14ac:dyDescent="0.25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54219.773738244621</v>
      </c>
    </row>
    <row r="792" spans="1:6" x14ac:dyDescent="0.25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2648877.5690380111</v>
      </c>
    </row>
    <row r="793" spans="1:6" x14ac:dyDescent="0.25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395773.41834279301</v>
      </c>
    </row>
    <row r="794" spans="1:6" x14ac:dyDescent="0.25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25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173790.03009263825</v>
      </c>
    </row>
    <row r="796" spans="1:6" x14ac:dyDescent="0.25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289.23935894742124</v>
      </c>
    </row>
    <row r="797" spans="1:6" x14ac:dyDescent="0.25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25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25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385663.66895741841</v>
      </c>
    </row>
    <row r="800" spans="1:6" x14ac:dyDescent="0.25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25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25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25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25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25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25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25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25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489039.95714195294</v>
      </c>
    </row>
    <row r="809" spans="1:6" x14ac:dyDescent="0.25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25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25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199163.17844104863</v>
      </c>
    </row>
    <row r="812" spans="1:6" x14ac:dyDescent="0.25">
      <c r="A812" t="s">
        <v>129</v>
      </c>
      <c r="B812" t="s">
        <v>138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25">
      <c r="A813" t="s">
        <v>129</v>
      </c>
      <c r="B813" t="s">
        <v>138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25">
      <c r="A814" t="s">
        <v>129</v>
      </c>
      <c r="B814" t="s">
        <v>138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25">
      <c r="A815" t="s">
        <v>129</v>
      </c>
      <c r="B815" t="s">
        <v>138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25">
      <c r="A816" t="s">
        <v>129</v>
      </c>
      <c r="B816" t="s">
        <v>138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25">
      <c r="A817" t="s">
        <v>129</v>
      </c>
      <c r="B817" t="s">
        <v>138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25">
      <c r="A818" t="s">
        <v>129</v>
      </c>
      <c r="B818" t="s">
        <v>13</v>
      </c>
      <c r="C818" t="s">
        <v>28</v>
      </c>
      <c r="D818" t="s">
        <v>139</v>
      </c>
      <c r="E818">
        <v>2019</v>
      </c>
      <c r="F818">
        <v>0</v>
      </c>
    </row>
    <row r="819" spans="1:6" x14ac:dyDescent="0.25">
      <c r="A819" t="s">
        <v>129</v>
      </c>
      <c r="B819" t="s">
        <v>13</v>
      </c>
      <c r="C819" t="s">
        <v>28</v>
      </c>
      <c r="D819" t="s">
        <v>140</v>
      </c>
      <c r="E819">
        <v>2019</v>
      </c>
      <c r="F819">
        <v>0</v>
      </c>
    </row>
    <row r="820" spans="1:6" x14ac:dyDescent="0.25">
      <c r="A820" t="s">
        <v>129</v>
      </c>
      <c r="B820" t="s">
        <v>13</v>
      </c>
      <c r="C820" t="s">
        <v>28</v>
      </c>
      <c r="D820" t="s">
        <v>139</v>
      </c>
      <c r="E820">
        <v>2030</v>
      </c>
      <c r="F820">
        <v>0</v>
      </c>
    </row>
    <row r="821" spans="1:6" x14ac:dyDescent="0.25">
      <c r="A821" t="s">
        <v>129</v>
      </c>
      <c r="B821" t="s">
        <v>13</v>
      </c>
      <c r="C821" t="s">
        <v>28</v>
      </c>
      <c r="D821" t="s">
        <v>140</v>
      </c>
      <c r="E821">
        <v>2030</v>
      </c>
      <c r="F821">
        <v>0</v>
      </c>
    </row>
    <row r="822" spans="1:6" x14ac:dyDescent="0.25">
      <c r="A822" t="s">
        <v>129</v>
      </c>
      <c r="B822" t="s">
        <v>13</v>
      </c>
      <c r="C822" t="s">
        <v>28</v>
      </c>
      <c r="D822" t="s">
        <v>139</v>
      </c>
      <c r="E822">
        <v>2050</v>
      </c>
      <c r="F822">
        <v>0</v>
      </c>
    </row>
    <row r="823" spans="1:6" x14ac:dyDescent="0.25">
      <c r="A823" t="s">
        <v>129</v>
      </c>
      <c r="B823" t="s">
        <v>13</v>
      </c>
      <c r="C823" t="s">
        <v>28</v>
      </c>
      <c r="D823" t="s">
        <v>140</v>
      </c>
      <c r="E823">
        <v>2050</v>
      </c>
      <c r="F823">
        <v>0</v>
      </c>
    </row>
    <row r="824" spans="1:6" x14ac:dyDescent="0.25">
      <c r="A824" t="s">
        <v>129</v>
      </c>
      <c r="B824" t="s">
        <v>13</v>
      </c>
      <c r="C824" t="s">
        <v>43</v>
      </c>
      <c r="D824" t="s">
        <v>139</v>
      </c>
      <c r="E824">
        <v>2019</v>
      </c>
      <c r="F824">
        <v>0</v>
      </c>
    </row>
    <row r="825" spans="1:6" x14ac:dyDescent="0.25">
      <c r="A825" t="s">
        <v>129</v>
      </c>
      <c r="B825" t="s">
        <v>13</v>
      </c>
      <c r="C825" t="s">
        <v>43</v>
      </c>
      <c r="D825" t="s">
        <v>140</v>
      </c>
      <c r="E825">
        <v>2019</v>
      </c>
      <c r="F825">
        <v>0</v>
      </c>
    </row>
    <row r="826" spans="1:6" x14ac:dyDescent="0.25">
      <c r="A826" t="s">
        <v>129</v>
      </c>
      <c r="B826" t="s">
        <v>13</v>
      </c>
      <c r="C826" t="s">
        <v>43</v>
      </c>
      <c r="D826" t="s">
        <v>139</v>
      </c>
      <c r="E826">
        <v>2030</v>
      </c>
      <c r="F826">
        <v>0</v>
      </c>
    </row>
    <row r="827" spans="1:6" x14ac:dyDescent="0.25">
      <c r="A827" t="s">
        <v>129</v>
      </c>
      <c r="B827" t="s">
        <v>13</v>
      </c>
      <c r="C827" t="s">
        <v>43</v>
      </c>
      <c r="D827" t="s">
        <v>140</v>
      </c>
      <c r="E827">
        <v>2030</v>
      </c>
      <c r="F827">
        <v>0</v>
      </c>
    </row>
    <row r="828" spans="1:6" x14ac:dyDescent="0.25">
      <c r="A828" t="s">
        <v>129</v>
      </c>
      <c r="B828" t="s">
        <v>13</v>
      </c>
      <c r="C828" t="s">
        <v>43</v>
      </c>
      <c r="D828" t="s">
        <v>139</v>
      </c>
      <c r="E828">
        <v>2050</v>
      </c>
      <c r="F828">
        <v>0</v>
      </c>
    </row>
    <row r="829" spans="1:6" x14ac:dyDescent="0.25">
      <c r="A829" t="s">
        <v>129</v>
      </c>
      <c r="B829" t="s">
        <v>13</v>
      </c>
      <c r="C829" t="s">
        <v>43</v>
      </c>
      <c r="D829" t="s">
        <v>140</v>
      </c>
      <c r="E829">
        <v>2050</v>
      </c>
      <c r="F82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577"/>
  <sheetViews>
    <sheetView topLeftCell="A272" workbookViewId="0">
      <selection activeCell="B290" sqref="B290:Z577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134</v>
      </c>
    </row>
    <row r="2" spans="1:26" x14ac:dyDescent="0.25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567745.18896312197</v>
      </c>
      <c r="M25">
        <v>0</v>
      </c>
      <c r="N25">
        <v>0</v>
      </c>
      <c r="O25">
        <v>-567745.18896312197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139</v>
      </c>
      <c r="C34" t="s">
        <v>141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140</v>
      </c>
      <c r="C35" t="s">
        <v>141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80676.325166481722</v>
      </c>
      <c r="N39">
        <v>74470.453999829275</v>
      </c>
      <c r="O39">
        <v>0</v>
      </c>
      <c r="P39">
        <v>0</v>
      </c>
      <c r="Q39">
        <v>80676.325166481722</v>
      </c>
      <c r="R39">
        <v>0</v>
      </c>
      <c r="S39">
        <v>2.8236713808268599</v>
      </c>
      <c r="T39">
        <v>0</v>
      </c>
      <c r="U39">
        <v>2.8236713808268599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640280.13059892249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4171.3630677727415</v>
      </c>
      <c r="M58">
        <v>0</v>
      </c>
      <c r="N58">
        <v>0</v>
      </c>
      <c r="O58">
        <v>0</v>
      </c>
      <c r="P58">
        <v>0</v>
      </c>
      <c r="Q58">
        <v>4171.3630677727415</v>
      </c>
      <c r="R58">
        <v>0</v>
      </c>
      <c r="S58">
        <v>1.9617503371428427E-3</v>
      </c>
      <c r="T58">
        <v>1.9617503371428427E-3</v>
      </c>
      <c r="U58">
        <v>0</v>
      </c>
      <c r="V58">
        <v>0</v>
      </c>
      <c r="W58">
        <v>262.79587326968272</v>
      </c>
      <c r="X58">
        <v>262.79587326968272</v>
      </c>
      <c r="Y58">
        <v>0</v>
      </c>
      <c r="Z58">
        <v>0</v>
      </c>
    </row>
    <row r="59" spans="1:26" x14ac:dyDescent="0.25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25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25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25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567909.91116279981</v>
      </c>
      <c r="M73">
        <v>0</v>
      </c>
      <c r="N73">
        <v>0</v>
      </c>
      <c r="O73">
        <v>-567909.91116279981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3116039.2107205875</v>
      </c>
      <c r="M74">
        <v>0</v>
      </c>
      <c r="N74">
        <v>0</v>
      </c>
      <c r="O74">
        <v>0</v>
      </c>
      <c r="P74">
        <v>0</v>
      </c>
      <c r="Q74">
        <v>9867457.5006151944</v>
      </c>
      <c r="R74">
        <v>0</v>
      </c>
      <c r="S74">
        <v>4.9948083122364055</v>
      </c>
      <c r="T74">
        <v>4.9948083122364055</v>
      </c>
      <c r="U74">
        <v>0</v>
      </c>
      <c r="V74">
        <v>0</v>
      </c>
      <c r="W74">
        <v>749926.77004675474</v>
      </c>
      <c r="X74">
        <v>749926.77004675474</v>
      </c>
      <c r="Y74">
        <v>0</v>
      </c>
      <c r="Z74">
        <v>0</v>
      </c>
    </row>
    <row r="75" spans="1:26" x14ac:dyDescent="0.25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25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144989.33878430488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144989.33878430488</v>
      </c>
      <c r="P78">
        <v>144989.33878430488</v>
      </c>
      <c r="Q78">
        <v>0</v>
      </c>
      <c r="R78">
        <v>0.13012793155891364</v>
      </c>
      <c r="S78">
        <v>0.13012793155891364</v>
      </c>
      <c r="T78">
        <v>0</v>
      </c>
      <c r="U78">
        <v>0.13012793155891364</v>
      </c>
      <c r="V78">
        <v>21748.400817645732</v>
      </c>
      <c r="W78">
        <v>21748.400817645732</v>
      </c>
      <c r="X78">
        <v>0</v>
      </c>
      <c r="Y78">
        <v>21748.400817645732</v>
      </c>
      <c r="Z78">
        <v>0</v>
      </c>
    </row>
    <row r="79" spans="1:26" x14ac:dyDescent="0.25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25">
      <c r="A82" t="s">
        <v>27</v>
      </c>
      <c r="B82" t="s">
        <v>139</v>
      </c>
      <c r="C82" t="s">
        <v>141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140</v>
      </c>
      <c r="C83" t="s">
        <v>141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25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10800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10800</v>
      </c>
      <c r="P94">
        <v>10800</v>
      </c>
      <c r="Q94">
        <v>0</v>
      </c>
      <c r="R94">
        <v>9.6930000000000002E-3</v>
      </c>
      <c r="S94">
        <v>9.6930000000000002E-3</v>
      </c>
      <c r="T94">
        <v>0</v>
      </c>
      <c r="U94">
        <v>9.6930000000000002E-3</v>
      </c>
      <c r="V94">
        <v>1620</v>
      </c>
      <c r="W94">
        <v>1620</v>
      </c>
      <c r="X94">
        <v>0</v>
      </c>
      <c r="Y94">
        <v>1620</v>
      </c>
      <c r="Z94">
        <v>0</v>
      </c>
    </row>
    <row r="95" spans="1:26" x14ac:dyDescent="0.25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25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605932.0339558397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260463.0327135307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195964.55723833872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4307.7658612412106</v>
      </c>
      <c r="M106">
        <v>0</v>
      </c>
      <c r="N106">
        <v>0</v>
      </c>
      <c r="O106">
        <v>0</v>
      </c>
      <c r="P106">
        <v>0</v>
      </c>
      <c r="Q106">
        <v>4307.7658612412106</v>
      </c>
      <c r="R106">
        <v>0</v>
      </c>
      <c r="S106">
        <v>2.025899206883129E-3</v>
      </c>
      <c r="T106">
        <v>2.025899206883129E-3</v>
      </c>
      <c r="U106">
        <v>0</v>
      </c>
      <c r="V106">
        <v>0</v>
      </c>
      <c r="W106">
        <v>271.38924925819629</v>
      </c>
      <c r="X106">
        <v>271.38924925819629</v>
      </c>
      <c r="Y106">
        <v>0</v>
      </c>
      <c r="Z106">
        <v>0</v>
      </c>
    </row>
    <row r="107" spans="1:26" x14ac:dyDescent="0.25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893493.81900150096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893493.81900150096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26150.496751056631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-241828.42359996482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16099999.551723864</v>
      </c>
      <c r="H111">
        <v>12237689.909258299</v>
      </c>
      <c r="I111">
        <v>0</v>
      </c>
      <c r="J111">
        <v>0</v>
      </c>
      <c r="K111">
        <v>75527.053678542041</v>
      </c>
      <c r="L111">
        <v>0</v>
      </c>
      <c r="M111">
        <v>0</v>
      </c>
      <c r="N111">
        <v>0</v>
      </c>
      <c r="O111">
        <v>3786782.588787023</v>
      </c>
      <c r="P111">
        <v>3786782.588787023</v>
      </c>
      <c r="Q111">
        <v>75527.053678542041</v>
      </c>
      <c r="R111">
        <v>6.9672066155445247</v>
      </c>
      <c r="S111">
        <v>7.1061669534313321</v>
      </c>
      <c r="T111">
        <v>0.13896033788680753</v>
      </c>
      <c r="U111">
        <v>6.9672066155445247</v>
      </c>
      <c r="V111">
        <v>1060299.1248603666</v>
      </c>
      <c r="W111">
        <v>1081446.6998903584</v>
      </c>
      <c r="X111">
        <v>21147.575029991774</v>
      </c>
      <c r="Y111">
        <v>1060299.1248603666</v>
      </c>
      <c r="Z111">
        <v>0</v>
      </c>
    </row>
    <row r="112" spans="1:26" x14ac:dyDescent="0.25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185255.23058853028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-95417.428094907984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25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772432.08575229661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772432.08575229661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2162497.7416876755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2034149.9429932388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6945589.6789912721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756078.17025540397</v>
      </c>
      <c r="P120">
        <v>756078.17025540397</v>
      </c>
      <c r="Q120">
        <v>2825.7560217041437</v>
      </c>
      <c r="R120">
        <v>2.5894618821809234</v>
      </c>
      <c r="S120">
        <v>2.5991397009494173</v>
      </c>
      <c r="T120">
        <v>9.6778187684936554E-3</v>
      </c>
      <c r="U120">
        <v>2.5894618821809234</v>
      </c>
      <c r="V120">
        <v>234384.23277917522</v>
      </c>
      <c r="W120">
        <v>235260.21714590353</v>
      </c>
      <c r="X120">
        <v>875.9843667282845</v>
      </c>
      <c r="Y120">
        <v>234384.23277917525</v>
      </c>
      <c r="Z120">
        <v>0</v>
      </c>
    </row>
    <row r="121" spans="1:26" x14ac:dyDescent="0.25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545485.8482453922</v>
      </c>
      <c r="M121">
        <v>0</v>
      </c>
      <c r="N121">
        <v>0</v>
      </c>
      <c r="O121">
        <v>-545485.8482453922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3056497.5606119577</v>
      </c>
      <c r="M122">
        <v>0</v>
      </c>
      <c r="N122">
        <v>0</v>
      </c>
      <c r="O122">
        <v>0</v>
      </c>
      <c r="P122">
        <v>0</v>
      </c>
      <c r="Q122">
        <v>9678908.9419378657</v>
      </c>
      <c r="R122">
        <v>0</v>
      </c>
      <c r="S122">
        <v>4.8993669173195284</v>
      </c>
      <c r="T122">
        <v>4.8993669173195284</v>
      </c>
      <c r="U122">
        <v>0</v>
      </c>
      <c r="V122">
        <v>0</v>
      </c>
      <c r="W122">
        <v>735597.07958727772</v>
      </c>
      <c r="X122">
        <v>735597.07958727772</v>
      </c>
      <c r="Y122">
        <v>0</v>
      </c>
      <c r="Z122">
        <v>0</v>
      </c>
    </row>
    <row r="123" spans="1:26" x14ac:dyDescent="0.25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7786550.4071108392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1814971.496061408</v>
      </c>
      <c r="P124">
        <v>1488865.2333387681</v>
      </c>
      <c r="Q124">
        <v>314525.12457946909</v>
      </c>
      <c r="R124">
        <v>5.3450261876861784</v>
      </c>
      <c r="S124">
        <v>6.474171384926473</v>
      </c>
      <c r="T124">
        <v>1.1291451972402942</v>
      </c>
      <c r="U124">
        <v>5.3450261876861784</v>
      </c>
      <c r="V124">
        <v>446659.5700016304</v>
      </c>
      <c r="W124">
        <v>541017.10737547115</v>
      </c>
      <c r="X124">
        <v>94357.537373840722</v>
      </c>
      <c r="Y124">
        <v>446659.57000163046</v>
      </c>
      <c r="Z124">
        <v>0</v>
      </c>
    </row>
    <row r="125" spans="1:26" x14ac:dyDescent="0.25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194761.7983669767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194761.7983669767</v>
      </c>
      <c r="P126">
        <v>194761.7983669767</v>
      </c>
      <c r="Q126">
        <v>0</v>
      </c>
      <c r="R126">
        <v>0.17479871403436159</v>
      </c>
      <c r="S126">
        <v>0.17479871403436159</v>
      </c>
      <c r="T126">
        <v>0</v>
      </c>
      <c r="U126">
        <v>0.17479871403436159</v>
      </c>
      <c r="V126">
        <v>29214.269755046505</v>
      </c>
      <c r="W126">
        <v>29214.269755046505</v>
      </c>
      <c r="X126">
        <v>0</v>
      </c>
      <c r="Y126">
        <v>29214.269755046505</v>
      </c>
      <c r="Z126">
        <v>0</v>
      </c>
    </row>
    <row r="127" spans="1:26" x14ac:dyDescent="0.25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1623142.2943438755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1623142.2943438755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171775.11908496951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171775.11908496951</v>
      </c>
      <c r="N129">
        <v>0</v>
      </c>
      <c r="O129">
        <v>0</v>
      </c>
      <c r="P129">
        <v>0</v>
      </c>
      <c r="Q129">
        <v>171775.11908496951</v>
      </c>
      <c r="R129">
        <v>0</v>
      </c>
      <c r="S129">
        <v>3.1606621911634383</v>
      </c>
      <c r="T129">
        <v>0</v>
      </c>
      <c r="U129">
        <v>3.1606621911634383</v>
      </c>
      <c r="V129">
        <v>0</v>
      </c>
      <c r="W129">
        <v>71286.674420262352</v>
      </c>
      <c r="X129">
        <v>0</v>
      </c>
      <c r="Y129">
        <v>71286.674420262352</v>
      </c>
      <c r="Z129">
        <v>0</v>
      </c>
    </row>
    <row r="130" spans="1:26" x14ac:dyDescent="0.25">
      <c r="A130" t="s">
        <v>27</v>
      </c>
      <c r="B130" t="s">
        <v>139</v>
      </c>
      <c r="C130" t="s">
        <v>141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27</v>
      </c>
      <c r="B131" t="s">
        <v>140</v>
      </c>
      <c r="C131" t="s">
        <v>141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489039.95714195294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489039.95714195294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244519.97857097647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30420.87247971422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156492.78628542495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156492.78628542495</v>
      </c>
      <c r="N135">
        <v>0</v>
      </c>
      <c r="O135">
        <v>0</v>
      </c>
      <c r="P135">
        <v>0</v>
      </c>
      <c r="Q135">
        <v>156492.78628542495</v>
      </c>
      <c r="R135">
        <v>0</v>
      </c>
      <c r="S135">
        <v>5.4772475199898727</v>
      </c>
      <c r="T135">
        <v>0</v>
      </c>
      <c r="U135">
        <v>5.4772475199898727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380710.74225422333</v>
      </c>
      <c r="H136">
        <v>841167.61765562883</v>
      </c>
      <c r="I136">
        <v>0</v>
      </c>
      <c r="J136">
        <v>0</v>
      </c>
      <c r="K136">
        <v>4034.07077562927</v>
      </c>
      <c r="L136">
        <v>0</v>
      </c>
      <c r="M136">
        <v>0</v>
      </c>
      <c r="N136">
        <v>0</v>
      </c>
      <c r="O136">
        <v>-464490.94617703476</v>
      </c>
      <c r="P136">
        <v>0</v>
      </c>
      <c r="Q136">
        <v>4034.07077562927</v>
      </c>
      <c r="R136">
        <v>0</v>
      </c>
      <c r="S136">
        <v>1.0948629447888865E-2</v>
      </c>
      <c r="T136">
        <v>1.0948629447888865E-2</v>
      </c>
      <c r="U136">
        <v>0</v>
      </c>
      <c r="V136">
        <v>0</v>
      </c>
      <c r="W136">
        <v>806.81415512585409</v>
      </c>
      <c r="X136">
        <v>806.81415512585409</v>
      </c>
      <c r="Y136">
        <v>0</v>
      </c>
      <c r="Z136">
        <v>0</v>
      </c>
    </row>
    <row r="137" spans="1:26" x14ac:dyDescent="0.25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13500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13500</v>
      </c>
      <c r="P142">
        <v>13500</v>
      </c>
      <c r="Q142">
        <v>0</v>
      </c>
      <c r="R142">
        <v>1.2116250000000002E-2</v>
      </c>
      <c r="S142">
        <v>1.2116250000000002E-2</v>
      </c>
      <c r="T142">
        <v>0</v>
      </c>
      <c r="U142">
        <v>1.2116250000000002E-2</v>
      </c>
      <c r="V142">
        <v>2025</v>
      </c>
      <c r="W142">
        <v>2025</v>
      </c>
      <c r="X142">
        <v>0</v>
      </c>
      <c r="Y142">
        <v>2025</v>
      </c>
      <c r="Z142">
        <v>0</v>
      </c>
    </row>
    <row r="143" spans="1:26" x14ac:dyDescent="0.25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2001216.64646261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2001216.64646261</v>
      </c>
      <c r="N144">
        <v>0</v>
      </c>
      <c r="O144">
        <v>0</v>
      </c>
      <c r="P144">
        <v>0</v>
      </c>
      <c r="Q144">
        <v>2001216.64646261</v>
      </c>
      <c r="R144">
        <v>0</v>
      </c>
      <c r="S144">
        <v>29.004771350884361</v>
      </c>
      <c r="T144">
        <v>0</v>
      </c>
      <c r="U144">
        <v>29.004771350884361</v>
      </c>
      <c r="V144">
        <v>0</v>
      </c>
      <c r="W144">
        <v>989768.39972963254</v>
      </c>
      <c r="X144">
        <v>0</v>
      </c>
      <c r="Y144">
        <v>989768.39972963254</v>
      </c>
      <c r="Z144">
        <v>0</v>
      </c>
    </row>
    <row r="145" spans="1:26" x14ac:dyDescent="0.25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551684.14080425573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551684.14080425573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377069.89971696056</v>
      </c>
      <c r="M169">
        <v>0</v>
      </c>
      <c r="N169">
        <v>0</v>
      </c>
      <c r="O169">
        <v>-377069.89971696056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27</v>
      </c>
      <c r="B178" t="s">
        <v>139</v>
      </c>
      <c r="C178" t="s">
        <v>141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140</v>
      </c>
      <c r="C179" t="s">
        <v>141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32210.735628649098</v>
      </c>
      <c r="N183">
        <v>29732.986734137623</v>
      </c>
      <c r="O183">
        <v>0</v>
      </c>
      <c r="P183">
        <v>0</v>
      </c>
      <c r="Q183">
        <v>32210.735628649098</v>
      </c>
      <c r="R183">
        <v>0</v>
      </c>
      <c r="S183">
        <v>1.1273757470027184</v>
      </c>
      <c r="T183">
        <v>0</v>
      </c>
      <c r="U183">
        <v>1.1273757470027184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187413.07432328182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350.10096257642732</v>
      </c>
      <c r="M202">
        <v>0</v>
      </c>
      <c r="N202">
        <v>0</v>
      </c>
      <c r="O202">
        <v>0</v>
      </c>
      <c r="P202">
        <v>0</v>
      </c>
      <c r="Q202">
        <v>350.10096257642732</v>
      </c>
      <c r="R202">
        <v>0</v>
      </c>
      <c r="S202">
        <v>1.6464898169006801E-4</v>
      </c>
      <c r="T202">
        <v>1.6464898169006801E-4</v>
      </c>
      <c r="U202">
        <v>0</v>
      </c>
      <c r="V202">
        <v>0</v>
      </c>
      <c r="W202">
        <v>22.056360642314921</v>
      </c>
      <c r="X202">
        <v>22.056360642314921</v>
      </c>
      <c r="Y202">
        <v>0</v>
      </c>
      <c r="Z202">
        <v>0</v>
      </c>
    </row>
    <row r="203" spans="1:26" x14ac:dyDescent="0.25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25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25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25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368148.13389466272</v>
      </c>
      <c r="M217">
        <v>0</v>
      </c>
      <c r="N217">
        <v>0</v>
      </c>
      <c r="O217">
        <v>-368148.13389466272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221469.40143989015</v>
      </c>
      <c r="M218">
        <v>0</v>
      </c>
      <c r="N218">
        <v>0</v>
      </c>
      <c r="O218">
        <v>0</v>
      </c>
      <c r="P218">
        <v>0</v>
      </c>
      <c r="Q218">
        <v>701319.77122631879</v>
      </c>
      <c r="R218">
        <v>0</v>
      </c>
      <c r="S218">
        <v>0.35500105499705037</v>
      </c>
      <c r="T218">
        <v>0.35500105499705037</v>
      </c>
      <c r="U218">
        <v>0</v>
      </c>
      <c r="V218">
        <v>0</v>
      </c>
      <c r="W218">
        <v>53300.302613200227</v>
      </c>
      <c r="X218">
        <v>53300.302613200227</v>
      </c>
      <c r="Y218">
        <v>0</v>
      </c>
      <c r="Z218">
        <v>0</v>
      </c>
    </row>
    <row r="219" spans="1:26" x14ac:dyDescent="0.25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25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3243.3351780449079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3243.3351780449079</v>
      </c>
      <c r="P222">
        <v>3243.3351780449079</v>
      </c>
      <c r="Q222">
        <v>0</v>
      </c>
      <c r="R222">
        <v>2.9108933222953054E-3</v>
      </c>
      <c r="S222">
        <v>2.9108933222953054E-3</v>
      </c>
      <c r="T222">
        <v>0</v>
      </c>
      <c r="U222">
        <v>2.9108933222953054E-3</v>
      </c>
      <c r="V222">
        <v>486.50027670673614</v>
      </c>
      <c r="W222">
        <v>486.50027670673614</v>
      </c>
      <c r="X222">
        <v>0</v>
      </c>
      <c r="Y222">
        <v>486.50027670673614</v>
      </c>
      <c r="Z222">
        <v>0</v>
      </c>
    </row>
    <row r="223" spans="1:26" x14ac:dyDescent="0.25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25">
      <c r="A226" t="s">
        <v>27</v>
      </c>
      <c r="B226" t="s">
        <v>139</v>
      </c>
      <c r="C226" t="s">
        <v>141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27</v>
      </c>
      <c r="B227" t="s">
        <v>140</v>
      </c>
      <c r="C227" t="s">
        <v>141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25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</v>
      </c>
      <c r="P238">
        <v>3600</v>
      </c>
      <c r="Q238">
        <v>0</v>
      </c>
      <c r="R238">
        <v>3.2310000000000004E-3</v>
      </c>
      <c r="S238">
        <v>3.2310000000000004E-3</v>
      </c>
      <c r="T238">
        <v>0</v>
      </c>
      <c r="U238">
        <v>3.2310000000000004E-3</v>
      </c>
      <c r="V238">
        <v>540</v>
      </c>
      <c r="W238">
        <v>540</v>
      </c>
      <c r="X238">
        <v>0</v>
      </c>
      <c r="Y238">
        <v>540</v>
      </c>
      <c r="Z238">
        <v>0</v>
      </c>
    </row>
    <row r="239" spans="1:26" x14ac:dyDescent="0.25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25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177359.22120275494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27846.800257878294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19930.183504138196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361.54919868427658</v>
      </c>
      <c r="M250">
        <v>0</v>
      </c>
      <c r="N250">
        <v>0</v>
      </c>
      <c r="O250">
        <v>0</v>
      </c>
      <c r="P250">
        <v>0</v>
      </c>
      <c r="Q250">
        <v>361.54919868427658</v>
      </c>
      <c r="R250">
        <v>0</v>
      </c>
      <c r="S250">
        <v>1.7003297264922844E-4</v>
      </c>
      <c r="T250">
        <v>1.7003297264922844E-4</v>
      </c>
      <c r="U250">
        <v>0</v>
      </c>
      <c r="V250">
        <v>0</v>
      </c>
      <c r="W250">
        <v>22.777599517109426</v>
      </c>
      <c r="X250">
        <v>22.777599517109426</v>
      </c>
      <c r="Y250">
        <v>0</v>
      </c>
      <c r="Z250">
        <v>0</v>
      </c>
    </row>
    <row r="251" spans="1:26" x14ac:dyDescent="0.25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629229.83697533351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629229.83697533351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16274.021455837808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-217520.99453663599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2163650.2851152783</v>
      </c>
      <c r="H255">
        <v>1502068.0760117143</v>
      </c>
      <c r="I255">
        <v>0</v>
      </c>
      <c r="J255">
        <v>0</v>
      </c>
      <c r="K255">
        <v>10149.946321457959</v>
      </c>
      <c r="L255">
        <v>0</v>
      </c>
      <c r="M255">
        <v>0</v>
      </c>
      <c r="N255">
        <v>0</v>
      </c>
      <c r="O255">
        <v>651432.26278210618</v>
      </c>
      <c r="P255">
        <v>651432.26278210618</v>
      </c>
      <c r="Q255">
        <v>10149.946321457959</v>
      </c>
      <c r="R255">
        <v>1.1985539344862277</v>
      </c>
      <c r="S255">
        <v>1.2172285669744203</v>
      </c>
      <c r="T255">
        <v>1.8674632488192462E-2</v>
      </c>
      <c r="U255">
        <v>1.1985539344862277</v>
      </c>
      <c r="V255">
        <v>182401.03357898974</v>
      </c>
      <c r="W255">
        <v>185243.01854899799</v>
      </c>
      <c r="X255">
        <v>2841.9849700082286</v>
      </c>
      <c r="Y255">
        <v>182401.03357898977</v>
      </c>
      <c r="Z255">
        <v>0</v>
      </c>
    </row>
    <row r="256" spans="1:26" x14ac:dyDescent="0.25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98333.203509519633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-146536.3132404924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25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150184.32869116802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150184.32869116802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119824.59197839584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7849.0843188425933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2360239.3885877775</v>
      </c>
      <c r="H264">
        <v>721621.60770550335</v>
      </c>
      <c r="I264">
        <v>0</v>
      </c>
      <c r="J264">
        <v>268249.01834925939</v>
      </c>
      <c r="K264">
        <v>960.24397829585632</v>
      </c>
      <c r="L264">
        <v>0</v>
      </c>
      <c r="M264">
        <v>0</v>
      </c>
      <c r="N264">
        <v>0</v>
      </c>
      <c r="O264">
        <v>1369408.5185547189</v>
      </c>
      <c r="P264">
        <v>1369408.5185547189</v>
      </c>
      <c r="Q264">
        <v>960.24397829585632</v>
      </c>
      <c r="R264">
        <v>4.6900324588573152</v>
      </c>
      <c r="S264">
        <v>4.6933211600488214</v>
      </c>
      <c r="T264">
        <v>3.288701191506347E-3</v>
      </c>
      <c r="U264">
        <v>4.6900324588573152</v>
      </c>
      <c r="V264">
        <v>424516.64075196284</v>
      </c>
      <c r="W264">
        <v>424814.31638523459</v>
      </c>
      <c r="X264">
        <v>297.67563327171547</v>
      </c>
      <c r="Y264">
        <v>424516.6407519629</v>
      </c>
      <c r="Z264">
        <v>0</v>
      </c>
    </row>
    <row r="265" spans="1:26" x14ac:dyDescent="0.25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358592.99203545041</v>
      </c>
      <c r="M265">
        <v>0</v>
      </c>
      <c r="N265">
        <v>0</v>
      </c>
      <c r="O265">
        <v>-358592.99203545041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217237.5376157978</v>
      </c>
      <c r="M266">
        <v>0</v>
      </c>
      <c r="N266">
        <v>0</v>
      </c>
      <c r="O266">
        <v>0</v>
      </c>
      <c r="P266">
        <v>0</v>
      </c>
      <c r="Q266">
        <v>687918.86911669304</v>
      </c>
      <c r="R266">
        <v>0</v>
      </c>
      <c r="S266">
        <v>0.34821765235817886</v>
      </c>
      <c r="T266">
        <v>0.34821765235817886</v>
      </c>
      <c r="U266">
        <v>0</v>
      </c>
      <c r="V266">
        <v>0</v>
      </c>
      <c r="W266">
        <v>52281.834052868668</v>
      </c>
      <c r="X266">
        <v>52281.834052868668</v>
      </c>
      <c r="Y266">
        <v>0</v>
      </c>
      <c r="Z266">
        <v>0</v>
      </c>
    </row>
    <row r="267" spans="1:26" x14ac:dyDescent="0.25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383747.87380717852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-326106.26272263989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25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48650.027670673619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48650.027670673619</v>
      </c>
      <c r="P270">
        <v>48650.027670673619</v>
      </c>
      <c r="Q270">
        <v>0</v>
      </c>
      <c r="R270">
        <v>4.366339983442958E-2</v>
      </c>
      <c r="S270">
        <v>4.366339983442958E-2</v>
      </c>
      <c r="T270">
        <v>0</v>
      </c>
      <c r="U270">
        <v>4.366339983442958E-2</v>
      </c>
      <c r="V270">
        <v>7297.504150601043</v>
      </c>
      <c r="W270">
        <v>7297.504150601043</v>
      </c>
      <c r="X270">
        <v>0</v>
      </c>
      <c r="Y270">
        <v>7297.504150601043</v>
      </c>
      <c r="Z270">
        <v>0</v>
      </c>
    </row>
    <row r="271" spans="1:26" x14ac:dyDescent="0.25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407823.31273083866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407823.31273083866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38470.033999756291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38470.033999756291</v>
      </c>
      <c r="N273">
        <v>0</v>
      </c>
      <c r="O273">
        <v>0</v>
      </c>
      <c r="P273">
        <v>0</v>
      </c>
      <c r="Q273">
        <v>38470.033999756291</v>
      </c>
      <c r="R273">
        <v>0</v>
      </c>
      <c r="S273">
        <v>0.70784862559551565</v>
      </c>
      <c r="T273">
        <v>0</v>
      </c>
      <c r="U273">
        <v>0.70784862559551565</v>
      </c>
      <c r="V273">
        <v>0</v>
      </c>
      <c r="W273">
        <v>15965.064109898862</v>
      </c>
      <c r="X273">
        <v>0</v>
      </c>
      <c r="Y273">
        <v>15965.064109898862</v>
      </c>
      <c r="Z273">
        <v>0</v>
      </c>
    </row>
    <row r="274" spans="1:26" x14ac:dyDescent="0.25">
      <c r="A274" t="s">
        <v>27</v>
      </c>
      <c r="B274" t="s">
        <v>139</v>
      </c>
      <c r="C274" t="s">
        <v>141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27</v>
      </c>
      <c r="B275" t="s">
        <v>140</v>
      </c>
      <c r="C275" t="s">
        <v>141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199163.17844104863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199163.17844104863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99581.589220524314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73302.819718525949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63732.21710113556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63732.21710113556</v>
      </c>
      <c r="N279">
        <v>0</v>
      </c>
      <c r="O279">
        <v>0</v>
      </c>
      <c r="P279">
        <v>0</v>
      </c>
      <c r="Q279">
        <v>63732.21710113556</v>
      </c>
      <c r="R279">
        <v>0</v>
      </c>
      <c r="S279">
        <v>2.2306275985397446</v>
      </c>
      <c r="T279">
        <v>0</v>
      </c>
      <c r="U279">
        <v>2.2306275985397446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2322627.8500566902</v>
      </c>
      <c r="H280">
        <v>103245.87683002709</v>
      </c>
      <c r="I280">
        <v>0</v>
      </c>
      <c r="J280">
        <v>0</v>
      </c>
      <c r="K280">
        <v>24610.929224370728</v>
      </c>
      <c r="L280">
        <v>0</v>
      </c>
      <c r="M280">
        <v>0</v>
      </c>
      <c r="N280">
        <v>0</v>
      </c>
      <c r="O280">
        <v>2194771.0440022922</v>
      </c>
      <c r="P280">
        <v>1730280.0978252576</v>
      </c>
      <c r="Q280">
        <v>24610.929224370728</v>
      </c>
      <c r="R280">
        <v>4.6960493967016621</v>
      </c>
      <c r="S280">
        <v>4.7628444430537735</v>
      </c>
      <c r="T280">
        <v>6.6795046352111129E-2</v>
      </c>
      <c r="U280">
        <v>4.6960493967016621</v>
      </c>
      <c r="V280">
        <v>346056.01956505154</v>
      </c>
      <c r="W280">
        <v>350978.20540992566</v>
      </c>
      <c r="X280">
        <v>4922.1858448741459</v>
      </c>
      <c r="Y280">
        <v>346056.01956505154</v>
      </c>
      <c r="Z280">
        <v>0</v>
      </c>
    </row>
    <row r="281" spans="1:26" x14ac:dyDescent="0.25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4500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4500</v>
      </c>
      <c r="P286">
        <v>4500</v>
      </c>
      <c r="Q286">
        <v>0</v>
      </c>
      <c r="R286">
        <v>4.0387500000000007E-3</v>
      </c>
      <c r="S286">
        <v>4.0387500000000007E-3</v>
      </c>
      <c r="T286">
        <v>0</v>
      </c>
      <c r="U286">
        <v>4.0387500000000007E-3</v>
      </c>
      <c r="V286">
        <v>675</v>
      </c>
      <c r="W286">
        <v>675</v>
      </c>
      <c r="X286">
        <v>0</v>
      </c>
      <c r="Y286">
        <v>675</v>
      </c>
      <c r="Z286">
        <v>0</v>
      </c>
    </row>
    <row r="287" spans="1:26" x14ac:dyDescent="0.25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585136.614594521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585136.614594521</v>
      </c>
      <c r="N288">
        <v>0</v>
      </c>
      <c r="O288">
        <v>0</v>
      </c>
      <c r="P288">
        <v>0</v>
      </c>
      <c r="Q288">
        <v>585136.614594521</v>
      </c>
      <c r="R288">
        <v>0</v>
      </c>
      <c r="S288">
        <v>8.4807178399921028</v>
      </c>
      <c r="T288">
        <v>0</v>
      </c>
      <c r="U288">
        <v>8.4807178399921028</v>
      </c>
      <c r="V288">
        <v>0</v>
      </c>
      <c r="W288">
        <v>289398.81730154017</v>
      </c>
      <c r="X288">
        <v>0</v>
      </c>
      <c r="Y288">
        <v>289398.81730154017</v>
      </c>
      <c r="Z288">
        <v>0</v>
      </c>
    </row>
    <row r="289" spans="1:26" x14ac:dyDescent="0.25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161190.90184954062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161190.90184954062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567745.18896312197</v>
      </c>
      <c r="M313">
        <v>0</v>
      </c>
      <c r="N313">
        <v>0</v>
      </c>
      <c r="O313">
        <v>-567745.18896312197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129</v>
      </c>
      <c r="B322" t="s">
        <v>139</v>
      </c>
      <c r="C322" t="s">
        <v>141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129</v>
      </c>
      <c r="B323" t="s">
        <v>140</v>
      </c>
      <c r="C323" t="s">
        <v>141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80676.325166481722</v>
      </c>
      <c r="N327">
        <v>74470.453999829275</v>
      </c>
      <c r="O327">
        <v>0</v>
      </c>
      <c r="P327">
        <v>0</v>
      </c>
      <c r="Q327">
        <v>80676.325166481722</v>
      </c>
      <c r="R327">
        <v>0</v>
      </c>
      <c r="S327">
        <v>2.8236713808268599</v>
      </c>
      <c r="T327">
        <v>0</v>
      </c>
      <c r="U327">
        <v>2.8236713808268599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640280.13059892249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171033.55988230981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138453.77532930995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51598.780380153592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218519.66268109329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436104134.24282026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436104134.24282026</v>
      </c>
      <c r="N341">
        <v>0</v>
      </c>
      <c r="O341">
        <v>0</v>
      </c>
      <c r="P341">
        <v>0</v>
      </c>
      <c r="Q341">
        <v>436104134.24282026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16654690.164173149</v>
      </c>
      <c r="H342">
        <v>0</v>
      </c>
      <c r="I342">
        <v>0</v>
      </c>
      <c r="J342">
        <v>0</v>
      </c>
      <c r="K342">
        <v>0</v>
      </c>
      <c r="L342">
        <v>14170727.436337013</v>
      </c>
      <c r="M342">
        <v>0</v>
      </c>
      <c r="N342">
        <v>0</v>
      </c>
      <c r="O342">
        <v>2483962.7278361358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2122340.654767077</v>
      </c>
      <c r="H344">
        <v>0</v>
      </c>
      <c r="I344">
        <v>0</v>
      </c>
      <c r="J344">
        <v>0</v>
      </c>
      <c r="K344">
        <v>1061170.3273835385</v>
      </c>
      <c r="L344">
        <v>401728.76679519669</v>
      </c>
      <c r="M344">
        <v>0</v>
      </c>
      <c r="N344">
        <v>0</v>
      </c>
      <c r="O344">
        <v>659441.56058834167</v>
      </c>
      <c r="P344">
        <v>659441.56058834167</v>
      </c>
      <c r="Q344">
        <v>1061170.3273835385</v>
      </c>
      <c r="R344">
        <v>1.420437121507288</v>
      </c>
      <c r="S344">
        <v>3.7061980066914297</v>
      </c>
      <c r="T344">
        <v>2.2857608851841418</v>
      </c>
      <c r="U344">
        <v>1.420437121507288</v>
      </c>
      <c r="V344">
        <v>197832.4681765025</v>
      </c>
      <c r="W344">
        <v>516183.56639156403</v>
      </c>
      <c r="X344">
        <v>318351.09821506153</v>
      </c>
      <c r="Y344">
        <v>197832.4681765025</v>
      </c>
      <c r="Z344">
        <v>0</v>
      </c>
    </row>
    <row r="345" spans="1:26" x14ac:dyDescent="0.25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6674.1809084363849</v>
      </c>
      <c r="H346">
        <v>0</v>
      </c>
      <c r="I346">
        <v>0</v>
      </c>
      <c r="J346">
        <v>0</v>
      </c>
      <c r="K346">
        <v>3337.0904542181925</v>
      </c>
      <c r="L346">
        <v>3337.0904542181925</v>
      </c>
      <c r="M346">
        <v>0</v>
      </c>
      <c r="N346">
        <v>0</v>
      </c>
      <c r="O346">
        <v>0</v>
      </c>
      <c r="P346">
        <v>0</v>
      </c>
      <c r="Q346">
        <v>3337.0904542181925</v>
      </c>
      <c r="R346">
        <v>0</v>
      </c>
      <c r="S346">
        <v>1.5694002697142738E-3</v>
      </c>
      <c r="T346">
        <v>1.5694002697142738E-3</v>
      </c>
      <c r="U346">
        <v>0</v>
      </c>
      <c r="V346">
        <v>0</v>
      </c>
      <c r="W346">
        <v>210.23669861574612</v>
      </c>
      <c r="X346">
        <v>210.23669861574612</v>
      </c>
      <c r="Y346">
        <v>0</v>
      </c>
      <c r="Z346">
        <v>0</v>
      </c>
    </row>
    <row r="347" spans="1:26" x14ac:dyDescent="0.25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145303.11165081069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110008.34505172751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9790151.9274066389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6597597.615337275</v>
      </c>
      <c r="P351">
        <v>6597597.615337275</v>
      </c>
      <c r="Q351">
        <v>75614.059561949907</v>
      </c>
      <c r="R351">
        <v>12.138754912518669</v>
      </c>
      <c r="S351">
        <v>12.277875330355212</v>
      </c>
      <c r="T351">
        <v>0.13912041783654258</v>
      </c>
      <c r="U351">
        <v>12.138754912518669</v>
      </c>
      <c r="V351">
        <v>1847327.3322944371</v>
      </c>
      <c r="W351">
        <v>1868499.2689717831</v>
      </c>
      <c r="X351">
        <v>21171.936677345977</v>
      </c>
      <c r="Y351">
        <v>1847327.3322944371</v>
      </c>
      <c r="Z351">
        <v>0</v>
      </c>
    </row>
    <row r="352" spans="1:26" x14ac:dyDescent="0.25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618468.71483434096</v>
      </c>
      <c r="I354">
        <v>581579.9632190367</v>
      </c>
      <c r="J354">
        <v>0</v>
      </c>
      <c r="K354">
        <v>53644.580306161413</v>
      </c>
      <c r="L354">
        <v>0</v>
      </c>
      <c r="M354">
        <v>1385491.0293729189</v>
      </c>
      <c r="N354">
        <v>0</v>
      </c>
      <c r="O354">
        <v>0</v>
      </c>
      <c r="P354">
        <v>0</v>
      </c>
      <c r="Q354">
        <v>1439135.6096790803</v>
      </c>
      <c r="R354">
        <v>0</v>
      </c>
      <c r="S354">
        <v>14.629456937744798</v>
      </c>
      <c r="T354">
        <v>0.30928997353838589</v>
      </c>
      <c r="U354">
        <v>14.320166964206413</v>
      </c>
      <c r="V354">
        <v>0</v>
      </c>
      <c r="W354">
        <v>1223265.2682272182</v>
      </c>
      <c r="X354">
        <v>45597.893260237201</v>
      </c>
      <c r="Y354">
        <v>1177667.3749669809</v>
      </c>
      <c r="Z354">
        <v>0</v>
      </c>
    </row>
    <row r="355" spans="1:26" x14ac:dyDescent="0.25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3862742.0312364982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-3862742.0312364982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456500.14494289405</v>
      </c>
      <c r="H357">
        <v>0</v>
      </c>
      <c r="I357">
        <v>0</v>
      </c>
      <c r="J357">
        <v>0</v>
      </c>
      <c r="K357">
        <v>508461.98144503916</v>
      </c>
      <c r="L357">
        <v>0</v>
      </c>
      <c r="M357">
        <v>0</v>
      </c>
      <c r="N357">
        <v>0</v>
      </c>
      <c r="O357">
        <v>-51961.836502145103</v>
      </c>
      <c r="P357">
        <v>0</v>
      </c>
      <c r="Q357">
        <v>508461.98144503916</v>
      </c>
      <c r="R357">
        <v>0</v>
      </c>
      <c r="S357">
        <v>1.8727470858101014</v>
      </c>
      <c r="T357">
        <v>1.8727470858101014</v>
      </c>
      <c r="U357">
        <v>0</v>
      </c>
      <c r="V357">
        <v>0</v>
      </c>
      <c r="W357">
        <v>213554.03220691642</v>
      </c>
      <c r="X357">
        <v>213554.03220691642</v>
      </c>
      <c r="Y357">
        <v>0</v>
      </c>
      <c r="Z357">
        <v>1</v>
      </c>
    </row>
    <row r="358" spans="1:26" x14ac:dyDescent="0.25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4703372.1615964994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2169017.6219496708</v>
      </c>
      <c r="P360">
        <v>2169017.6219496708</v>
      </c>
      <c r="Q360">
        <v>2833.9333697705197</v>
      </c>
      <c r="R360">
        <v>7.4285816927105506</v>
      </c>
      <c r="S360">
        <v>7.438287517751343</v>
      </c>
      <c r="T360">
        <v>9.7058250407922632E-3</v>
      </c>
      <c r="U360">
        <v>7.4285816927105506</v>
      </c>
      <c r="V360">
        <v>672395.46280439792</v>
      </c>
      <c r="W360">
        <v>673273.98214902682</v>
      </c>
      <c r="X360">
        <v>878.51934462886106</v>
      </c>
      <c r="Y360">
        <v>672395.46280439792</v>
      </c>
      <c r="Z360">
        <v>0</v>
      </c>
    </row>
    <row r="361" spans="1:26" x14ac:dyDescent="0.25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809729.86780953256</v>
      </c>
      <c r="M361">
        <v>0</v>
      </c>
      <c r="N361">
        <v>0</v>
      </c>
      <c r="O361">
        <v>-809729.86780953256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10386797.369068628</v>
      </c>
      <c r="H362">
        <v>0</v>
      </c>
      <c r="I362">
        <v>0</v>
      </c>
      <c r="J362">
        <v>0</v>
      </c>
      <c r="K362">
        <v>7893966.0004921574</v>
      </c>
      <c r="L362">
        <v>2492831.3685764708</v>
      </c>
      <c r="M362">
        <v>0</v>
      </c>
      <c r="N362">
        <v>0</v>
      </c>
      <c r="O362">
        <v>0</v>
      </c>
      <c r="P362">
        <v>0</v>
      </c>
      <c r="Q362">
        <v>7893966.0004921574</v>
      </c>
      <c r="R362">
        <v>0</v>
      </c>
      <c r="S362">
        <v>3.9958466497891258</v>
      </c>
      <c r="T362">
        <v>3.9958466497891258</v>
      </c>
      <c r="U362">
        <v>0</v>
      </c>
      <c r="V362">
        <v>0</v>
      </c>
      <c r="W362">
        <v>599941.41603740398</v>
      </c>
      <c r="X362">
        <v>599941.41603740398</v>
      </c>
      <c r="Y362">
        <v>0</v>
      </c>
      <c r="Z362">
        <v>0</v>
      </c>
    </row>
    <row r="363" spans="1:26" x14ac:dyDescent="0.25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1296795.0922933305</v>
      </c>
      <c r="H363">
        <v>1212571.3389336092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84223.753359721275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4525643.0291759707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3142972.4098101053</v>
      </c>
      <c r="P364">
        <v>2961150.4845719668</v>
      </c>
      <c r="Q364">
        <v>314692.31350359169</v>
      </c>
      <c r="R364">
        <v>10.630530239613362</v>
      </c>
      <c r="S364">
        <v>11.760275645091257</v>
      </c>
      <c r="T364">
        <v>1.1297454054778944</v>
      </c>
      <c r="U364">
        <v>10.630530239613362</v>
      </c>
      <c r="V364">
        <v>888345.14537159004</v>
      </c>
      <c r="W364">
        <v>982752.83942266752</v>
      </c>
      <c r="X364">
        <v>94407.694051077502</v>
      </c>
      <c r="Y364">
        <v>888345.14537159004</v>
      </c>
      <c r="Z364">
        <v>0</v>
      </c>
    </row>
    <row r="365" spans="1:26" x14ac:dyDescent="0.25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2502141.5052936058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2029734.6292751078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144989.33878430488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144989.33878430488</v>
      </c>
      <c r="P366">
        <v>144989.33878430488</v>
      </c>
      <c r="Q366">
        <v>0</v>
      </c>
      <c r="R366">
        <v>0.13012793155891364</v>
      </c>
      <c r="S366">
        <v>0.13012793155891364</v>
      </c>
      <c r="T366">
        <v>0</v>
      </c>
      <c r="U366">
        <v>0.13012793155891364</v>
      </c>
      <c r="V366">
        <v>21748.400817645732</v>
      </c>
      <c r="W366">
        <v>21748.400817645732</v>
      </c>
      <c r="X366">
        <v>0</v>
      </c>
      <c r="Y366">
        <v>21748.400817645732</v>
      </c>
      <c r="Z366">
        <v>0</v>
      </c>
    </row>
    <row r="367" spans="1:26" x14ac:dyDescent="0.25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84934.510833187902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24906.257794285637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</row>
    <row r="368" spans="1:26" x14ac:dyDescent="0.25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25">
      <c r="A370" t="s">
        <v>129</v>
      </c>
      <c r="B370" t="s">
        <v>139</v>
      </c>
      <c r="C370" t="s">
        <v>141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129</v>
      </c>
      <c r="B371" t="s">
        <v>140</v>
      </c>
      <c r="C371" t="s">
        <v>141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3896345.2282942934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3896345.2282942934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171279.2848730098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82616.067703844164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672934.09412450308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-281910.65780216159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25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152898.46172507474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152898.46172507474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103754.66217102103</v>
      </c>
      <c r="H378">
        <v>31532.588010093863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72222.074160927164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3949558.8398278607</v>
      </c>
      <c r="H379">
        <v>0</v>
      </c>
      <c r="I379">
        <v>0</v>
      </c>
      <c r="J379">
        <v>0</v>
      </c>
      <c r="K379">
        <v>1497865.6247316466</v>
      </c>
      <c r="L379">
        <v>0</v>
      </c>
      <c r="M379">
        <v>0</v>
      </c>
      <c r="N379">
        <v>0</v>
      </c>
      <c r="O379">
        <v>2451693.2150962139</v>
      </c>
      <c r="P379">
        <v>2451693.2150962139</v>
      </c>
      <c r="Q379">
        <v>1497865.6247316466</v>
      </c>
      <c r="R379">
        <v>1.2234194312651618</v>
      </c>
      <c r="S379">
        <v>1.9708693566625008</v>
      </c>
      <c r="T379">
        <v>0.74744992539733912</v>
      </c>
      <c r="U379">
        <v>1.2234194312651616</v>
      </c>
      <c r="V379">
        <v>147101.59290577282</v>
      </c>
      <c r="W379">
        <v>236973.53038967162</v>
      </c>
      <c r="X379">
        <v>89871.937483898801</v>
      </c>
      <c r="Y379">
        <v>147101.59290577282</v>
      </c>
      <c r="Z379">
        <v>0</v>
      </c>
    </row>
    <row r="380" spans="1:26" x14ac:dyDescent="0.25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12059866.540704856</v>
      </c>
      <c r="H380">
        <v>0</v>
      </c>
      <c r="I380">
        <v>0</v>
      </c>
      <c r="J380">
        <v>0</v>
      </c>
      <c r="K380">
        <v>6391729.2665735735</v>
      </c>
      <c r="L380">
        <v>5668137.2741312822</v>
      </c>
      <c r="M380">
        <v>0</v>
      </c>
      <c r="N380">
        <v>0</v>
      </c>
      <c r="O380">
        <v>0</v>
      </c>
      <c r="P380">
        <v>0</v>
      </c>
      <c r="Q380">
        <v>6391729.2665735735</v>
      </c>
      <c r="R380">
        <v>0</v>
      </c>
      <c r="S380">
        <v>2.7535569680398959</v>
      </c>
      <c r="T380">
        <v>2.7535569680398959</v>
      </c>
      <c r="U380">
        <v>0</v>
      </c>
      <c r="V380">
        <v>0</v>
      </c>
      <c r="W380">
        <v>319586.46332867868</v>
      </c>
      <c r="X380">
        <v>319586.46332867868</v>
      </c>
      <c r="Y380">
        <v>0</v>
      </c>
      <c r="Z380">
        <v>0</v>
      </c>
    </row>
    <row r="381" spans="1:26" x14ac:dyDescent="0.25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1102410.4206254377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980534.87657675741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10800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10800</v>
      </c>
      <c r="P382">
        <v>10800</v>
      </c>
      <c r="Q382">
        <v>0</v>
      </c>
      <c r="R382">
        <v>9.6930000000000002E-3</v>
      </c>
      <c r="S382">
        <v>9.6930000000000002E-3</v>
      </c>
      <c r="T382">
        <v>0</v>
      </c>
      <c r="U382">
        <v>9.6930000000000002E-3</v>
      </c>
      <c r="V382">
        <v>1620</v>
      </c>
      <c r="W382">
        <v>1620</v>
      </c>
      <c r="X382">
        <v>0</v>
      </c>
      <c r="Y382">
        <v>1620</v>
      </c>
      <c r="Z382">
        <v>0</v>
      </c>
    </row>
    <row r="383" spans="1:26" x14ac:dyDescent="0.25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25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605932.0339558397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260463.0327135307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208864.25233337711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3446.2126889929687</v>
      </c>
      <c r="M394">
        <v>0</v>
      </c>
      <c r="N394">
        <v>0</v>
      </c>
      <c r="O394">
        <v>0</v>
      </c>
      <c r="P394">
        <v>0</v>
      </c>
      <c r="Q394">
        <v>3446.2126889929687</v>
      </c>
      <c r="R394">
        <v>0</v>
      </c>
      <c r="S394">
        <v>1.6207193655065032E-3</v>
      </c>
      <c r="T394">
        <v>1.6207193655065032E-3</v>
      </c>
      <c r="U394">
        <v>0</v>
      </c>
      <c r="V394">
        <v>0</v>
      </c>
      <c r="W394">
        <v>217.11139940655701</v>
      </c>
      <c r="X394">
        <v>217.11139940655701</v>
      </c>
      <c r="Y394">
        <v>0</v>
      </c>
      <c r="Z394">
        <v>0</v>
      </c>
    </row>
    <row r="395" spans="1:26" x14ac:dyDescent="0.25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893493.81900150096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893493.81900150096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26150.496751056631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-241828.42359996482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16099999.551723864</v>
      </c>
      <c r="H399">
        <v>9790151.9274066389</v>
      </c>
      <c r="I399">
        <v>0</v>
      </c>
      <c r="J399">
        <v>0</v>
      </c>
      <c r="K399">
        <v>75527.053678542041</v>
      </c>
      <c r="L399">
        <v>0</v>
      </c>
      <c r="M399">
        <v>0</v>
      </c>
      <c r="N399">
        <v>0</v>
      </c>
      <c r="O399">
        <v>6234320.5706386827</v>
      </c>
      <c r="P399">
        <v>6234320.5706386827</v>
      </c>
      <c r="Q399">
        <v>75527.053678542041</v>
      </c>
      <c r="R399">
        <v>11.470370559903847</v>
      </c>
      <c r="S399">
        <v>11.609330897790654</v>
      </c>
      <c r="T399">
        <v>0.13896033788680753</v>
      </c>
      <c r="U399">
        <v>11.470370559903847</v>
      </c>
      <c r="V399">
        <v>1745609.7597788314</v>
      </c>
      <c r="W399">
        <v>1766757.3348088232</v>
      </c>
      <c r="X399">
        <v>21147.575029991774</v>
      </c>
      <c r="Y399">
        <v>1745609.7597788314</v>
      </c>
      <c r="Z399">
        <v>0</v>
      </c>
    </row>
    <row r="400" spans="1:26" x14ac:dyDescent="0.25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185255.23058853028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-95417.428094907984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25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772432.08575229661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772432.08575229661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2162497.7416876755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2034149.9429932388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6945589.6789912721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1931921.2106545279</v>
      </c>
      <c r="P408">
        <v>1931921.2106545279</v>
      </c>
      <c r="Q408">
        <v>2825.7560217041437</v>
      </c>
      <c r="R408">
        <v>6.6165596775222673</v>
      </c>
      <c r="S408">
        <v>6.6262374962907611</v>
      </c>
      <c r="T408">
        <v>9.6778187684936554E-3</v>
      </c>
      <c r="U408">
        <v>6.6165596775222673</v>
      </c>
      <c r="V408">
        <v>598895.57530290366</v>
      </c>
      <c r="W408">
        <v>599771.55966963188</v>
      </c>
      <c r="X408">
        <v>875.9843667282845</v>
      </c>
      <c r="Y408">
        <v>598895.57530290354</v>
      </c>
      <c r="Z408">
        <v>0</v>
      </c>
    </row>
    <row r="409" spans="1:26" x14ac:dyDescent="0.25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781289.12421925121</v>
      </c>
      <c r="M409">
        <v>0</v>
      </c>
      <c r="N409">
        <v>0</v>
      </c>
      <c r="O409">
        <v>-781289.12421925121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2445198.048489566</v>
      </c>
      <c r="M410">
        <v>0</v>
      </c>
      <c r="N410">
        <v>0</v>
      </c>
      <c r="O410">
        <v>0</v>
      </c>
      <c r="P410">
        <v>0</v>
      </c>
      <c r="Q410">
        <v>7743127.1535502924</v>
      </c>
      <c r="R410">
        <v>0</v>
      </c>
      <c r="S410">
        <v>3.9194935338556229</v>
      </c>
      <c r="T410">
        <v>3.9194935338556229</v>
      </c>
      <c r="U410">
        <v>0</v>
      </c>
      <c r="V410">
        <v>0</v>
      </c>
      <c r="W410">
        <v>588477.66366982216</v>
      </c>
      <c r="X410">
        <v>588477.66366982216</v>
      </c>
      <c r="Y410">
        <v>0</v>
      </c>
      <c r="Z410">
        <v>0</v>
      </c>
    </row>
    <row r="411" spans="1:26" x14ac:dyDescent="0.25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7786550.4071108392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2946382.2533553997</v>
      </c>
      <c r="P412">
        <v>2759146.6428546174</v>
      </c>
      <c r="Q412">
        <v>314525.12457946909</v>
      </c>
      <c r="R412">
        <v>9.905336447848077</v>
      </c>
      <c r="S412">
        <v>11.034481645088372</v>
      </c>
      <c r="T412">
        <v>1.1291451972402942</v>
      </c>
      <c r="U412">
        <v>9.905336447848077</v>
      </c>
      <c r="V412">
        <v>827743.99285638519</v>
      </c>
      <c r="W412">
        <v>922101.530230226</v>
      </c>
      <c r="X412">
        <v>94357.537373840722</v>
      </c>
      <c r="Y412">
        <v>827743.9928563853</v>
      </c>
      <c r="Z412">
        <v>0</v>
      </c>
    </row>
    <row r="413" spans="1:26" x14ac:dyDescent="0.25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194761.7983669767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194761.7983669767</v>
      </c>
      <c r="P414">
        <v>194761.7983669767</v>
      </c>
      <c r="Q414">
        <v>0</v>
      </c>
      <c r="R414">
        <v>0.17479871403436159</v>
      </c>
      <c r="S414">
        <v>0.17479871403436159</v>
      </c>
      <c r="T414">
        <v>0</v>
      </c>
      <c r="U414">
        <v>0.17479871403436159</v>
      </c>
      <c r="V414">
        <v>29214.269755046505</v>
      </c>
      <c r="W414">
        <v>29214.269755046505</v>
      </c>
      <c r="X414">
        <v>0</v>
      </c>
      <c r="Y414">
        <v>29214.269755046505</v>
      </c>
      <c r="Z414">
        <v>0</v>
      </c>
    </row>
    <row r="415" spans="1:26" x14ac:dyDescent="0.25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1623142.2943438755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1623142.2943438755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171775.11908496951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171775.11908496951</v>
      </c>
      <c r="N417">
        <v>0</v>
      </c>
      <c r="O417">
        <v>0</v>
      </c>
      <c r="P417">
        <v>0</v>
      </c>
      <c r="Q417">
        <v>171775.11908496951</v>
      </c>
      <c r="R417">
        <v>0</v>
      </c>
      <c r="S417">
        <v>3.1606621911634383</v>
      </c>
      <c r="T417">
        <v>0</v>
      </c>
      <c r="U417">
        <v>3.1606621911634383</v>
      </c>
      <c r="V417">
        <v>0</v>
      </c>
      <c r="W417">
        <v>71286.674420262352</v>
      </c>
      <c r="X417">
        <v>0</v>
      </c>
      <c r="Y417">
        <v>71286.674420262352</v>
      </c>
      <c r="Z417">
        <v>0</v>
      </c>
    </row>
    <row r="418" spans="1:26" x14ac:dyDescent="0.25">
      <c r="A418" t="s">
        <v>129</v>
      </c>
      <c r="B418" t="s">
        <v>139</v>
      </c>
      <c r="C418" t="s">
        <v>141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129</v>
      </c>
      <c r="B419" t="s">
        <v>140</v>
      </c>
      <c r="C419" t="s">
        <v>141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489039.95714195294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489039.95714195294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244519.97857097647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73240.693697966664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156492.78628542495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156492.78628542495</v>
      </c>
      <c r="N423">
        <v>0</v>
      </c>
      <c r="O423">
        <v>0</v>
      </c>
      <c r="P423">
        <v>0</v>
      </c>
      <c r="Q423">
        <v>156492.78628542495</v>
      </c>
      <c r="R423">
        <v>0</v>
      </c>
      <c r="S423">
        <v>5.4772475199898727</v>
      </c>
      <c r="T423">
        <v>0</v>
      </c>
      <c r="U423">
        <v>5.4772475199898727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380710.74225422333</v>
      </c>
      <c r="H424">
        <v>672934.09412450308</v>
      </c>
      <c r="I424">
        <v>0</v>
      </c>
      <c r="J424">
        <v>0</v>
      </c>
      <c r="K424">
        <v>4034.07077562927</v>
      </c>
      <c r="L424">
        <v>0</v>
      </c>
      <c r="M424">
        <v>0</v>
      </c>
      <c r="N424">
        <v>0</v>
      </c>
      <c r="O424">
        <v>-296257.42264590901</v>
      </c>
      <c r="P424">
        <v>0</v>
      </c>
      <c r="Q424">
        <v>4034.07077562927</v>
      </c>
      <c r="R424">
        <v>0</v>
      </c>
      <c r="S424">
        <v>1.0948629447888865E-2</v>
      </c>
      <c r="T424">
        <v>1.0948629447888865E-2</v>
      </c>
      <c r="U424">
        <v>0</v>
      </c>
      <c r="V424">
        <v>0</v>
      </c>
      <c r="W424">
        <v>806.81415512585409</v>
      </c>
      <c r="X424">
        <v>806.81415512585409</v>
      </c>
      <c r="Y424">
        <v>0</v>
      </c>
      <c r="Z424">
        <v>0</v>
      </c>
    </row>
    <row r="425" spans="1:26" x14ac:dyDescent="0.25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13500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13500</v>
      </c>
      <c r="P430">
        <v>13500</v>
      </c>
      <c r="Q430">
        <v>0</v>
      </c>
      <c r="R430">
        <v>1.2116250000000002E-2</v>
      </c>
      <c r="S430">
        <v>1.2116250000000002E-2</v>
      </c>
      <c r="T430">
        <v>0</v>
      </c>
      <c r="U430">
        <v>1.2116250000000002E-2</v>
      </c>
      <c r="V430">
        <v>2025</v>
      </c>
      <c r="W430">
        <v>2025</v>
      </c>
      <c r="X430">
        <v>0</v>
      </c>
      <c r="Y430">
        <v>2025</v>
      </c>
      <c r="Z430">
        <v>0</v>
      </c>
    </row>
    <row r="431" spans="1:26" x14ac:dyDescent="0.25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2001216.64646261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2001216.64646261</v>
      </c>
      <c r="N432">
        <v>0</v>
      </c>
      <c r="O432">
        <v>0</v>
      </c>
      <c r="P432">
        <v>0</v>
      </c>
      <c r="Q432">
        <v>2001216.64646261</v>
      </c>
      <c r="R432">
        <v>0</v>
      </c>
      <c r="S432">
        <v>29.004771350884361</v>
      </c>
      <c r="T432">
        <v>0</v>
      </c>
      <c r="U432">
        <v>29.004771350884361</v>
      </c>
      <c r="V432">
        <v>0</v>
      </c>
      <c r="W432">
        <v>989768.39972963254</v>
      </c>
      <c r="X432">
        <v>0</v>
      </c>
      <c r="Y432">
        <v>989768.39972963254</v>
      </c>
      <c r="Z432">
        <v>0</v>
      </c>
    </row>
    <row r="433" spans="1:26" x14ac:dyDescent="0.25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551684.14080425573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551684.14080425573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377069.89971696056</v>
      </c>
      <c r="M457">
        <v>0</v>
      </c>
      <c r="N457">
        <v>0</v>
      </c>
      <c r="O457">
        <v>-377069.89971696056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129</v>
      </c>
      <c r="B466" t="s">
        <v>139</v>
      </c>
      <c r="C466" t="s">
        <v>141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129</v>
      </c>
      <c r="B467" t="s">
        <v>140</v>
      </c>
      <c r="C467" t="s">
        <v>141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32210.735628649098</v>
      </c>
      <c r="N471">
        <v>29732.986734137623</v>
      </c>
      <c r="O471">
        <v>0</v>
      </c>
      <c r="P471">
        <v>0</v>
      </c>
      <c r="Q471">
        <v>32210.735628649098</v>
      </c>
      <c r="R471">
        <v>0</v>
      </c>
      <c r="S471">
        <v>1.1273757470027184</v>
      </c>
      <c r="T471">
        <v>0</v>
      </c>
      <c r="U471">
        <v>1.1273757470027184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187413.07432328182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14354.783550318367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-13854.556574310172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6333.2934029920762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22219.132039015061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103250703.76009664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103250703.76009664</v>
      </c>
      <c r="N485">
        <v>0</v>
      </c>
      <c r="O485">
        <v>0</v>
      </c>
      <c r="P485">
        <v>0</v>
      </c>
      <c r="Q485">
        <v>103250703.76009664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3113194.8160989988</v>
      </c>
      <c r="H486">
        <v>0</v>
      </c>
      <c r="I486">
        <v>0</v>
      </c>
      <c r="J486">
        <v>0</v>
      </c>
      <c r="K486">
        <v>0</v>
      </c>
      <c r="L486">
        <v>2648877.5690380111</v>
      </c>
      <c r="M486">
        <v>0</v>
      </c>
      <c r="N486">
        <v>0</v>
      </c>
      <c r="O486">
        <v>464317.24706098763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286444.08767374518</v>
      </c>
      <c r="H488">
        <v>0</v>
      </c>
      <c r="I488">
        <v>0</v>
      </c>
      <c r="J488">
        <v>0</v>
      </c>
      <c r="K488">
        <v>143222.04383687259</v>
      </c>
      <c r="L488">
        <v>54219.773738244621</v>
      </c>
      <c r="M488">
        <v>0</v>
      </c>
      <c r="N488">
        <v>0</v>
      </c>
      <c r="O488">
        <v>89002.270098627952</v>
      </c>
      <c r="P488">
        <v>89002.270098627952</v>
      </c>
      <c r="Q488">
        <v>143222.04383687259</v>
      </c>
      <c r="R488">
        <v>0.19171088979244461</v>
      </c>
      <c r="S488">
        <v>0.50021117221706812</v>
      </c>
      <c r="T488">
        <v>0.30850028242462357</v>
      </c>
      <c r="U488">
        <v>0.19171088979244455</v>
      </c>
      <c r="V488">
        <v>26700.681029588384</v>
      </c>
      <c r="W488">
        <v>69667.294180650162</v>
      </c>
      <c r="X488">
        <v>42966.613151061778</v>
      </c>
      <c r="Y488">
        <v>26700.681029588384</v>
      </c>
      <c r="Z488">
        <v>0</v>
      </c>
    </row>
    <row r="489" spans="1:26" x14ac:dyDescent="0.25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560.16154012228367</v>
      </c>
      <c r="H490">
        <v>0</v>
      </c>
      <c r="I490">
        <v>0</v>
      </c>
      <c r="J490">
        <v>0</v>
      </c>
      <c r="K490">
        <v>280.08077006114183</v>
      </c>
      <c r="L490">
        <v>280.08077006114183</v>
      </c>
      <c r="M490">
        <v>0</v>
      </c>
      <c r="N490">
        <v>0</v>
      </c>
      <c r="O490">
        <v>0</v>
      </c>
      <c r="P490">
        <v>0</v>
      </c>
      <c r="Q490">
        <v>280.08077006114183</v>
      </c>
      <c r="R490">
        <v>0</v>
      </c>
      <c r="S490">
        <v>1.317191853520544E-4</v>
      </c>
      <c r="T490">
        <v>1.317191853520544E-4</v>
      </c>
      <c r="U490">
        <v>0</v>
      </c>
      <c r="V490">
        <v>0</v>
      </c>
      <c r="W490">
        <v>17.645088513851935</v>
      </c>
      <c r="X490">
        <v>17.645088513851935</v>
      </c>
      <c r="Y490">
        <v>0</v>
      </c>
      <c r="Z490">
        <v>0</v>
      </c>
    </row>
    <row r="491" spans="1:26" x14ac:dyDescent="0.25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12195.236527675561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-18364.881940672021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1201654.4608093714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979275.23027812573</v>
      </c>
      <c r="P495">
        <v>979275.23027812573</v>
      </c>
      <c r="Q495">
        <v>10062.940438050116</v>
      </c>
      <c r="R495">
        <v>1.8017440143079666</v>
      </c>
      <c r="S495">
        <v>1.820258566846424</v>
      </c>
      <c r="T495">
        <v>1.8514552538457459E-2</v>
      </c>
      <c r="U495">
        <v>1.8017440143079666</v>
      </c>
      <c r="V495">
        <v>274197.06447787525</v>
      </c>
      <c r="W495">
        <v>277014.68780052924</v>
      </c>
      <c r="X495">
        <v>2817.623322654033</v>
      </c>
      <c r="Y495">
        <v>274197.06447787519</v>
      </c>
      <c r="Z495">
        <v>0</v>
      </c>
    </row>
    <row r="496" spans="1:26" x14ac:dyDescent="0.25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75911.558427530035</v>
      </c>
      <c r="I498">
        <v>82816.687681498166</v>
      </c>
      <c r="J498">
        <v>0</v>
      </c>
      <c r="K498">
        <v>22289.419693838598</v>
      </c>
      <c r="L498">
        <v>0</v>
      </c>
      <c r="M498">
        <v>756737.32303016982</v>
      </c>
      <c r="N498">
        <v>0</v>
      </c>
      <c r="O498">
        <v>0</v>
      </c>
      <c r="P498">
        <v>0</v>
      </c>
      <c r="Q498">
        <v>779026.74272400839</v>
      </c>
      <c r="R498">
        <v>0</v>
      </c>
      <c r="S498">
        <v>7.9500009612564133</v>
      </c>
      <c r="T498">
        <v>0.1285105408216142</v>
      </c>
      <c r="U498">
        <v>7.8214904204347988</v>
      </c>
      <c r="V498">
        <v>0</v>
      </c>
      <c r="W498">
        <v>662172.73131540709</v>
      </c>
      <c r="X498">
        <v>18946.006739762808</v>
      </c>
      <c r="Y498">
        <v>643226.72457564424</v>
      </c>
      <c r="Z498">
        <v>0</v>
      </c>
    </row>
    <row r="499" spans="1:26" x14ac:dyDescent="0.25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474117.38114065683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-474117.38114065683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195278.17736560528</v>
      </c>
      <c r="H501">
        <v>0</v>
      </c>
      <c r="I501">
        <v>0</v>
      </c>
      <c r="J501">
        <v>0</v>
      </c>
      <c r="K501">
        <v>217506.01855496093</v>
      </c>
      <c r="L501">
        <v>0</v>
      </c>
      <c r="M501">
        <v>0</v>
      </c>
      <c r="N501">
        <v>0</v>
      </c>
      <c r="O501">
        <v>-22227.841189355648</v>
      </c>
      <c r="P501">
        <v>0</v>
      </c>
      <c r="Q501">
        <v>217506.01855496093</v>
      </c>
      <c r="R501">
        <v>0</v>
      </c>
      <c r="S501">
        <v>0.80110957605389932</v>
      </c>
      <c r="T501">
        <v>0.80110957605389932</v>
      </c>
      <c r="U501">
        <v>0</v>
      </c>
      <c r="V501">
        <v>0</v>
      </c>
      <c r="W501">
        <v>91352.527793083587</v>
      </c>
      <c r="X501">
        <v>91352.527793083587</v>
      </c>
      <c r="Y501">
        <v>0</v>
      </c>
      <c r="Z501">
        <v>1</v>
      </c>
    </row>
    <row r="502" spans="1:26" x14ac:dyDescent="0.25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577297.28616440261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1574682.9124116749</v>
      </c>
      <c r="P504">
        <v>1574682.9124116749</v>
      </c>
      <c r="Q504">
        <v>952.06663022948101</v>
      </c>
      <c r="R504">
        <v>5.3930685194022496</v>
      </c>
      <c r="S504">
        <v>5.3963292143214572</v>
      </c>
      <c r="T504">
        <v>3.2606949192077409E-3</v>
      </c>
      <c r="U504">
        <v>5.3930685194022496</v>
      </c>
      <c r="V504">
        <v>488151.70284761919</v>
      </c>
      <c r="W504">
        <v>488446.84350299038</v>
      </c>
      <c r="X504">
        <v>295.14065537113913</v>
      </c>
      <c r="Y504">
        <v>488151.70284761925</v>
      </c>
      <c r="Z504">
        <v>0</v>
      </c>
    </row>
    <row r="505" spans="1:26" x14ac:dyDescent="0.25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395773.41834279301</v>
      </c>
      <c r="M505">
        <v>0</v>
      </c>
      <c r="N505">
        <v>0</v>
      </c>
      <c r="O505">
        <v>-395773.41834279301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738231.33813296724</v>
      </c>
      <c r="H506">
        <v>0</v>
      </c>
      <c r="I506">
        <v>0</v>
      </c>
      <c r="J506">
        <v>0</v>
      </c>
      <c r="K506">
        <v>561055.81698105508</v>
      </c>
      <c r="L506">
        <v>177175.52115191214</v>
      </c>
      <c r="M506">
        <v>0</v>
      </c>
      <c r="N506">
        <v>0</v>
      </c>
      <c r="O506">
        <v>0</v>
      </c>
      <c r="P506">
        <v>0</v>
      </c>
      <c r="Q506">
        <v>561055.81698105508</v>
      </c>
      <c r="R506">
        <v>0</v>
      </c>
      <c r="S506">
        <v>0.28400084399764031</v>
      </c>
      <c r="T506">
        <v>0.28400084399764031</v>
      </c>
      <c r="U506">
        <v>0</v>
      </c>
      <c r="V506">
        <v>0</v>
      </c>
      <c r="W506">
        <v>42640.242090560183</v>
      </c>
      <c r="X506">
        <v>42640.242090560183</v>
      </c>
      <c r="Y506">
        <v>0</v>
      </c>
      <c r="Z506">
        <v>0</v>
      </c>
    </row>
    <row r="507" spans="1:26" x14ac:dyDescent="0.25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92168.427114874314</v>
      </c>
      <c r="H507">
        <v>148832.39497031379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-56663.967855439478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555482.60888742993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-181821.92523813841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25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177837.22990030446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-231198.20190680941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3243.3351780449079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3243.3351780449079</v>
      </c>
      <c r="P510">
        <v>3243.3351780449079</v>
      </c>
      <c r="Q510">
        <v>0</v>
      </c>
      <c r="R510">
        <v>2.9108933222953054E-3</v>
      </c>
      <c r="S510">
        <v>2.9108933222953054E-3</v>
      </c>
      <c r="T510">
        <v>0</v>
      </c>
      <c r="U510">
        <v>2.9108933222953054E-3</v>
      </c>
      <c r="V510">
        <v>486.50027670673614</v>
      </c>
      <c r="W510">
        <v>486.50027670673614</v>
      </c>
      <c r="X510">
        <v>0</v>
      </c>
      <c r="Y510">
        <v>486.50027670673614</v>
      </c>
      <c r="Z510">
        <v>0</v>
      </c>
    </row>
    <row r="511" spans="1:26" x14ac:dyDescent="0.25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6036.6362564051497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-45939.072923222928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</row>
    <row r="512" spans="1:26" x14ac:dyDescent="0.25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25">
      <c r="A514" t="s">
        <v>129</v>
      </c>
      <c r="B514" t="s">
        <v>139</v>
      </c>
      <c r="C514" t="s">
        <v>141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129</v>
      </c>
      <c r="B515" t="s">
        <v>140</v>
      </c>
      <c r="C515" t="s">
        <v>141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276928.87898992695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276928.87898992695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21023.015601598698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81180.880041585086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82596.701464021666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2274572.6185528086</v>
      </c>
      <c r="P520">
        <v>1992661.9607506471</v>
      </c>
      <c r="Q520">
        <v>24569.279216726416</v>
      </c>
      <c r="R520">
        <v>5.4081642679556863</v>
      </c>
      <c r="S520">
        <v>5.4748462745210507</v>
      </c>
      <c r="T520">
        <v>6.668200656536416E-2</v>
      </c>
      <c r="U520">
        <v>5.4081642679556863</v>
      </c>
      <c r="V520">
        <v>398532.39215012942</v>
      </c>
      <c r="W520">
        <v>403446.24799347471</v>
      </c>
      <c r="X520">
        <v>4913.8558433452836</v>
      </c>
      <c r="Y520">
        <v>398532.39215012942</v>
      </c>
      <c r="Z520">
        <v>0</v>
      </c>
    </row>
    <row r="521" spans="1:26" x14ac:dyDescent="0.25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18028.658633856463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18028.658633856463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14632.341003448482</v>
      </c>
      <c r="H522">
        <v>3870.3459684951581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10761.995034953325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3342323.2852705466</v>
      </c>
      <c r="H523">
        <v>0</v>
      </c>
      <c r="I523">
        <v>0</v>
      </c>
      <c r="J523">
        <v>0</v>
      </c>
      <c r="K523">
        <v>1267572.2425659813</v>
      </c>
      <c r="L523">
        <v>0</v>
      </c>
      <c r="M523">
        <v>0</v>
      </c>
      <c r="N523">
        <v>0</v>
      </c>
      <c r="O523">
        <v>2074751.0427045652</v>
      </c>
      <c r="P523">
        <v>2074751.0427045652</v>
      </c>
      <c r="Q523">
        <v>1267572.2425659813</v>
      </c>
      <c r="R523">
        <v>1.0353215178200053</v>
      </c>
      <c r="S523">
        <v>1.6678527425828555</v>
      </c>
      <c r="T523">
        <v>0.6325312247628504</v>
      </c>
      <c r="U523">
        <v>1.0353215178200053</v>
      </c>
      <c r="V523">
        <v>124485.0625622739</v>
      </c>
      <c r="W523">
        <v>200539.39711623278</v>
      </c>
      <c r="X523">
        <v>76054.334553958877</v>
      </c>
      <c r="Y523">
        <v>124485.0625622739</v>
      </c>
      <c r="Z523">
        <v>0</v>
      </c>
    </row>
    <row r="524" spans="1:26" x14ac:dyDescent="0.25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1747439.8704342765</v>
      </c>
      <c r="H524">
        <v>0</v>
      </c>
      <c r="I524">
        <v>0</v>
      </c>
      <c r="J524">
        <v>0</v>
      </c>
      <c r="K524">
        <v>926143.13133016659</v>
      </c>
      <c r="L524">
        <v>821296.73910410993</v>
      </c>
      <c r="M524">
        <v>0</v>
      </c>
      <c r="N524">
        <v>0</v>
      </c>
      <c r="O524">
        <v>0</v>
      </c>
      <c r="P524">
        <v>0</v>
      </c>
      <c r="Q524">
        <v>926143.13133016659</v>
      </c>
      <c r="R524">
        <v>0</v>
      </c>
      <c r="S524">
        <v>0.39898246097703582</v>
      </c>
      <c r="T524">
        <v>0.39898246097703582</v>
      </c>
      <c r="U524">
        <v>0</v>
      </c>
      <c r="V524">
        <v>0</v>
      </c>
      <c r="W524">
        <v>46307.156566508333</v>
      </c>
      <c r="X524">
        <v>46307.156566508333</v>
      </c>
      <c r="Y524">
        <v>0</v>
      </c>
      <c r="Z524">
        <v>0</v>
      </c>
    </row>
    <row r="525" spans="1:26" x14ac:dyDescent="0.25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159736.08962264023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54209.6497730923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</v>
      </c>
      <c r="P526">
        <v>3600</v>
      </c>
      <c r="Q526">
        <v>0</v>
      </c>
      <c r="R526">
        <v>3.2310000000000004E-3</v>
      </c>
      <c r="S526">
        <v>3.2310000000000004E-3</v>
      </c>
      <c r="T526">
        <v>0</v>
      </c>
      <c r="U526">
        <v>3.2310000000000004E-3</v>
      </c>
      <c r="V526">
        <v>540</v>
      </c>
      <c r="W526">
        <v>540</v>
      </c>
      <c r="X526">
        <v>0</v>
      </c>
      <c r="Y526">
        <v>540</v>
      </c>
      <c r="Z526">
        <v>0</v>
      </c>
    </row>
    <row r="527" spans="1:26" x14ac:dyDescent="0.25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25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177359.22120275494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27846.800257878294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21513.506854886218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289.23935894742124</v>
      </c>
      <c r="M538">
        <v>0</v>
      </c>
      <c r="N538">
        <v>0</v>
      </c>
      <c r="O538">
        <v>0</v>
      </c>
      <c r="P538">
        <v>0</v>
      </c>
      <c r="Q538">
        <v>289.23935894742124</v>
      </c>
      <c r="R538">
        <v>0</v>
      </c>
      <c r="S538">
        <v>1.3602637811938273E-4</v>
      </c>
      <c r="T538">
        <v>1.3602637811938273E-4</v>
      </c>
      <c r="U538">
        <v>0</v>
      </c>
      <c r="V538">
        <v>0</v>
      </c>
      <c r="W538">
        <v>18.222079613687537</v>
      </c>
      <c r="X538">
        <v>18.222079613687537</v>
      </c>
      <c r="Y538">
        <v>0</v>
      </c>
      <c r="Z538">
        <v>0</v>
      </c>
    </row>
    <row r="539" spans="1:26" x14ac:dyDescent="0.25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629229.83697533351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629229.83697533351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16274.021455837808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-217520.99453663599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2163650.2851152783</v>
      </c>
      <c r="H543">
        <v>1201654.4608093717</v>
      </c>
      <c r="I543">
        <v>0</v>
      </c>
      <c r="J543">
        <v>0</v>
      </c>
      <c r="K543">
        <v>10149.946321457959</v>
      </c>
      <c r="L543">
        <v>0</v>
      </c>
      <c r="M543">
        <v>0</v>
      </c>
      <c r="N543">
        <v>0</v>
      </c>
      <c r="O543">
        <v>951845.8779844488</v>
      </c>
      <c r="P543">
        <v>951845.8779844488</v>
      </c>
      <c r="Q543">
        <v>10149.946321457959</v>
      </c>
      <c r="R543">
        <v>1.7512774347566378</v>
      </c>
      <c r="S543">
        <v>1.7699520672448303</v>
      </c>
      <c r="T543">
        <v>1.8674632488192462E-2</v>
      </c>
      <c r="U543">
        <v>1.7512774347566378</v>
      </c>
      <c r="V543">
        <v>266516.84583564568</v>
      </c>
      <c r="W543">
        <v>269358.83080565394</v>
      </c>
      <c r="X543">
        <v>2841.9849700082286</v>
      </c>
      <c r="Y543">
        <v>266516.84583564568</v>
      </c>
      <c r="Z543">
        <v>0</v>
      </c>
    </row>
    <row r="544" spans="1:26" x14ac:dyDescent="0.25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98333.203509519633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-146536.3132404924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25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150184.32869116802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150184.32869116802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119824.59197839584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7849.0843188425933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2360239.3885877775</v>
      </c>
      <c r="H552">
        <v>577297.28616440273</v>
      </c>
      <c r="I552">
        <v>0</v>
      </c>
      <c r="J552">
        <v>268249.01834925939</v>
      </c>
      <c r="K552">
        <v>960.24397829585632</v>
      </c>
      <c r="L552">
        <v>0</v>
      </c>
      <c r="M552">
        <v>0</v>
      </c>
      <c r="N552">
        <v>0</v>
      </c>
      <c r="O552">
        <v>1513732.8400958194</v>
      </c>
      <c r="P552">
        <v>1513732.8400958194</v>
      </c>
      <c r="Q552">
        <v>960.24397829585632</v>
      </c>
      <c r="R552">
        <v>5.1843230547305694</v>
      </c>
      <c r="S552">
        <v>5.1876117559220756</v>
      </c>
      <c r="T552">
        <v>3.288701191506347E-3</v>
      </c>
      <c r="U552">
        <v>5.1843230547305694</v>
      </c>
      <c r="V552">
        <v>469257.18042970402</v>
      </c>
      <c r="W552">
        <v>469554.85606297577</v>
      </c>
      <c r="X552">
        <v>297.67563327171547</v>
      </c>
      <c r="Y552">
        <v>469257.18042970408</v>
      </c>
      <c r="Z552">
        <v>0</v>
      </c>
    </row>
    <row r="553" spans="1:26" x14ac:dyDescent="0.25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385663.66895741841</v>
      </c>
      <c r="M553">
        <v>0</v>
      </c>
      <c r="N553">
        <v>0</v>
      </c>
      <c r="O553">
        <v>-385663.66895741841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173790.03009263825</v>
      </c>
      <c r="M554">
        <v>0</v>
      </c>
      <c r="N554">
        <v>0</v>
      </c>
      <c r="O554">
        <v>0</v>
      </c>
      <c r="P554">
        <v>0</v>
      </c>
      <c r="Q554">
        <v>550335.09529335448</v>
      </c>
      <c r="R554">
        <v>0</v>
      </c>
      <c r="S554">
        <v>0.27857412188654312</v>
      </c>
      <c r="T554">
        <v>0.27857412188654312</v>
      </c>
      <c r="U554">
        <v>0</v>
      </c>
      <c r="V554">
        <v>0</v>
      </c>
      <c r="W554">
        <v>41825.467242294937</v>
      </c>
      <c r="X554">
        <v>41825.467242294937</v>
      </c>
      <c r="Y554">
        <v>0</v>
      </c>
      <c r="Z554">
        <v>0</v>
      </c>
    </row>
    <row r="555" spans="1:26" x14ac:dyDescent="0.25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383747.87380717852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-187235.61050078244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25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48650.027670673619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48650.027670673619</v>
      </c>
      <c r="P558">
        <v>48650.027670673619</v>
      </c>
      <c r="Q558">
        <v>0</v>
      </c>
      <c r="R558">
        <v>4.366339983442958E-2</v>
      </c>
      <c r="S558">
        <v>4.366339983442958E-2</v>
      </c>
      <c r="T558">
        <v>0</v>
      </c>
      <c r="U558">
        <v>4.366339983442958E-2</v>
      </c>
      <c r="V558">
        <v>7297.504150601043</v>
      </c>
      <c r="W558">
        <v>7297.504150601043</v>
      </c>
      <c r="X558">
        <v>0</v>
      </c>
      <c r="Y558">
        <v>7297.504150601043</v>
      </c>
      <c r="Z558">
        <v>0</v>
      </c>
    </row>
    <row r="559" spans="1:26" x14ac:dyDescent="0.25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407823.31273083866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407823.31273083866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38470.033999756291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38470.033999756291</v>
      </c>
      <c r="N561">
        <v>0</v>
      </c>
      <c r="O561">
        <v>0</v>
      </c>
      <c r="P561">
        <v>0</v>
      </c>
      <c r="Q561">
        <v>38470.033999756291</v>
      </c>
      <c r="R561">
        <v>0</v>
      </c>
      <c r="S561">
        <v>0.70784862559551565</v>
      </c>
      <c r="T561">
        <v>0</v>
      </c>
      <c r="U561">
        <v>0.70784862559551565</v>
      </c>
      <c r="V561">
        <v>0</v>
      </c>
      <c r="W561">
        <v>15965.064109898862</v>
      </c>
      <c r="X561">
        <v>0</v>
      </c>
      <c r="Y561">
        <v>15965.064109898862</v>
      </c>
      <c r="Z561">
        <v>0</v>
      </c>
    </row>
    <row r="562" spans="1:26" x14ac:dyDescent="0.25">
      <c r="A562" t="s">
        <v>129</v>
      </c>
      <c r="B562" t="s">
        <v>139</v>
      </c>
      <c r="C562" t="s">
        <v>141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129</v>
      </c>
      <c r="B563" t="s">
        <v>140</v>
      </c>
      <c r="C563" t="s">
        <v>141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199163.17844104863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199163.17844104863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99581.589220524314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78558.573618925613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63732.21710113556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63732.21710113556</v>
      </c>
      <c r="N567">
        <v>0</v>
      </c>
      <c r="O567">
        <v>0</v>
      </c>
      <c r="P567">
        <v>0</v>
      </c>
      <c r="Q567">
        <v>63732.21710113556</v>
      </c>
      <c r="R567">
        <v>0</v>
      </c>
      <c r="S567">
        <v>2.2306275985397446</v>
      </c>
      <c r="T567">
        <v>0</v>
      </c>
      <c r="U567">
        <v>2.2306275985397446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2322627.8500566902</v>
      </c>
      <c r="H568">
        <v>82596.70146402168</v>
      </c>
      <c r="I568">
        <v>0</v>
      </c>
      <c r="J568">
        <v>0</v>
      </c>
      <c r="K568">
        <v>24610.929224370728</v>
      </c>
      <c r="L568">
        <v>0</v>
      </c>
      <c r="M568">
        <v>0</v>
      </c>
      <c r="N568">
        <v>0</v>
      </c>
      <c r="O568">
        <v>2215420.2193682976</v>
      </c>
      <c r="P568">
        <v>1919162.7967223886</v>
      </c>
      <c r="Q568">
        <v>24610.929224370728</v>
      </c>
      <c r="R568">
        <v>5.2086845968164317</v>
      </c>
      <c r="S568">
        <v>5.2754796431685431</v>
      </c>
      <c r="T568">
        <v>6.6795046352111129E-2</v>
      </c>
      <c r="U568">
        <v>5.2086845968164317</v>
      </c>
      <c r="V568">
        <v>383832.55934447772</v>
      </c>
      <c r="W568">
        <v>388754.7451893519</v>
      </c>
      <c r="X568">
        <v>4922.1858448741459</v>
      </c>
      <c r="Y568">
        <v>383832.55934447778</v>
      </c>
      <c r="Z568">
        <v>0</v>
      </c>
    </row>
    <row r="569" spans="1:26" x14ac:dyDescent="0.25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4500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4500</v>
      </c>
      <c r="P574">
        <v>4500</v>
      </c>
      <c r="Q574">
        <v>0</v>
      </c>
      <c r="R574">
        <v>4.0387500000000007E-3</v>
      </c>
      <c r="S574">
        <v>4.0387500000000007E-3</v>
      </c>
      <c r="T574">
        <v>0</v>
      </c>
      <c r="U574">
        <v>4.0387500000000007E-3</v>
      </c>
      <c r="V574">
        <v>675</v>
      </c>
      <c r="W574">
        <v>675</v>
      </c>
      <c r="X574">
        <v>0</v>
      </c>
      <c r="Y574">
        <v>675</v>
      </c>
      <c r="Z574">
        <v>0</v>
      </c>
    </row>
    <row r="575" spans="1:26" x14ac:dyDescent="0.25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585136.614594521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585136.614594521</v>
      </c>
      <c r="N576">
        <v>0</v>
      </c>
      <c r="O576">
        <v>0</v>
      </c>
      <c r="P576">
        <v>0</v>
      </c>
      <c r="Q576">
        <v>585136.614594521</v>
      </c>
      <c r="R576">
        <v>0</v>
      </c>
      <c r="S576">
        <v>8.4807178399921028</v>
      </c>
      <c r="T576">
        <v>0</v>
      </c>
      <c r="U576">
        <v>8.4807178399921028</v>
      </c>
      <c r="V576">
        <v>0</v>
      </c>
      <c r="W576">
        <v>289398.81730154017</v>
      </c>
      <c r="X576">
        <v>0</v>
      </c>
      <c r="Y576">
        <v>289398.81730154017</v>
      </c>
      <c r="Z576">
        <v>0</v>
      </c>
    </row>
    <row r="577" spans="1:26" x14ac:dyDescent="0.25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161190.90184954062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161190.90184954062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21"/>
  <sheetViews>
    <sheetView topLeftCell="A44" workbookViewId="0">
      <selection activeCell="B62" sqref="B62:G12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25">
      <c r="A2" t="s">
        <v>27</v>
      </c>
      <c r="B2" t="s">
        <v>28</v>
      </c>
      <c r="C2">
        <v>2019</v>
      </c>
      <c r="D2">
        <v>12077371.923325727</v>
      </c>
      <c r="E2" t="s">
        <v>104</v>
      </c>
      <c r="F2" t="s">
        <v>104</v>
      </c>
    </row>
    <row r="3" spans="1:7" x14ac:dyDescent="0.25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25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25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25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25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25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25">
      <c r="A9" t="s">
        <v>27</v>
      </c>
      <c r="B9" t="s">
        <v>28</v>
      </c>
      <c r="C9">
        <v>2019</v>
      </c>
      <c r="D9">
        <v>-468707.41035023518</v>
      </c>
      <c r="E9" t="s">
        <v>144</v>
      </c>
      <c r="F9" t="s">
        <v>145</v>
      </c>
    </row>
    <row r="10" spans="1:7" x14ac:dyDescent="0.25">
      <c r="A10" t="s">
        <v>27</v>
      </c>
      <c r="B10" t="s">
        <v>28</v>
      </c>
      <c r="C10">
        <v>2019</v>
      </c>
      <c r="D10">
        <v>-151930.36566196129</v>
      </c>
      <c r="E10" t="s">
        <v>135</v>
      </c>
      <c r="F10" t="s">
        <v>135</v>
      </c>
    </row>
    <row r="11" spans="1:7" x14ac:dyDescent="0.25">
      <c r="A11" t="s">
        <v>27</v>
      </c>
      <c r="B11" t="s">
        <v>28</v>
      </c>
      <c r="C11">
        <v>2019</v>
      </c>
      <c r="D11">
        <v>0</v>
      </c>
      <c r="E11" t="s">
        <v>138</v>
      </c>
      <c r="F11" t="s">
        <v>138</v>
      </c>
    </row>
    <row r="12" spans="1:7" x14ac:dyDescent="0.25">
      <c r="A12" t="s">
        <v>27</v>
      </c>
      <c r="B12" t="s">
        <v>28</v>
      </c>
      <c r="C12">
        <v>2030</v>
      </c>
      <c r="D12">
        <v>11343403.726621546</v>
      </c>
      <c r="E12" t="s">
        <v>104</v>
      </c>
      <c r="F12" t="s">
        <v>104</v>
      </c>
      <c r="G12" t="s">
        <v>86</v>
      </c>
    </row>
    <row r="13" spans="1:7" x14ac:dyDescent="0.25">
      <c r="A13" t="s">
        <v>27</v>
      </c>
      <c r="B13" t="s">
        <v>28</v>
      </c>
      <c r="C13">
        <v>2030</v>
      </c>
      <c r="D13">
        <v>5058223.5325662289</v>
      </c>
      <c r="E13" t="s">
        <v>105</v>
      </c>
      <c r="F13" t="s">
        <v>106</v>
      </c>
      <c r="G13" t="s">
        <v>86</v>
      </c>
    </row>
    <row r="14" spans="1:7" x14ac:dyDescent="0.25">
      <c r="A14" t="s">
        <v>27</v>
      </c>
      <c r="B14" t="s">
        <v>28</v>
      </c>
      <c r="C14">
        <v>2030</v>
      </c>
      <c r="D14">
        <v>4113293.0454159677</v>
      </c>
      <c r="E14" t="s">
        <v>105</v>
      </c>
      <c r="F14" t="s">
        <v>107</v>
      </c>
      <c r="G14" t="s">
        <v>108</v>
      </c>
    </row>
    <row r="15" spans="1:7" x14ac:dyDescent="0.25">
      <c r="A15" t="s">
        <v>27</v>
      </c>
      <c r="B15" t="s">
        <v>28</v>
      </c>
      <c r="C15">
        <v>2030</v>
      </c>
      <c r="D15">
        <v>1225816.3211630862</v>
      </c>
      <c r="E15" t="s">
        <v>105</v>
      </c>
      <c r="F15" t="s">
        <v>107</v>
      </c>
      <c r="G15" t="s">
        <v>109</v>
      </c>
    </row>
    <row r="16" spans="1:7" x14ac:dyDescent="0.25">
      <c r="A16" t="s">
        <v>27</v>
      </c>
      <c r="B16" t="s">
        <v>28</v>
      </c>
      <c r="C16">
        <v>2030</v>
      </c>
      <c r="D16">
        <v>2334101.8595699249</v>
      </c>
      <c r="E16" t="s">
        <v>105</v>
      </c>
      <c r="F16" t="s">
        <v>107</v>
      </c>
      <c r="G16" t="s">
        <v>110</v>
      </c>
    </row>
    <row r="17" spans="1:7" x14ac:dyDescent="0.25">
      <c r="A17" t="s">
        <v>27</v>
      </c>
      <c r="B17" t="s">
        <v>28</v>
      </c>
      <c r="C17">
        <v>2030</v>
      </c>
      <c r="D17">
        <v>-23936.112883057391</v>
      </c>
      <c r="E17" t="s">
        <v>111</v>
      </c>
      <c r="F17" t="s">
        <v>111</v>
      </c>
      <c r="G17" t="s">
        <v>86</v>
      </c>
    </row>
    <row r="18" spans="1:7" x14ac:dyDescent="0.25">
      <c r="A18" t="s">
        <v>27</v>
      </c>
      <c r="B18" t="s">
        <v>28</v>
      </c>
      <c r="C18">
        <v>2030</v>
      </c>
      <c r="D18">
        <v>-528478.99286293855</v>
      </c>
      <c r="E18" t="s">
        <v>112</v>
      </c>
      <c r="F18" t="s">
        <v>112</v>
      </c>
      <c r="G18" t="s">
        <v>86</v>
      </c>
    </row>
    <row r="19" spans="1:7" x14ac:dyDescent="0.25">
      <c r="A19" t="s">
        <v>27</v>
      </c>
      <c r="B19" t="s">
        <v>28</v>
      </c>
      <c r="C19">
        <v>2030</v>
      </c>
      <c r="D19">
        <v>-443563.40437744389</v>
      </c>
      <c r="E19" t="s">
        <v>144</v>
      </c>
      <c r="F19" t="s">
        <v>145</v>
      </c>
    </row>
    <row r="20" spans="1:7" x14ac:dyDescent="0.25">
      <c r="A20" t="s">
        <v>27</v>
      </c>
      <c r="B20" t="s">
        <v>28</v>
      </c>
      <c r="C20">
        <v>2030</v>
      </c>
      <c r="D20">
        <v>-392052.52197022288</v>
      </c>
      <c r="E20" t="s">
        <v>135</v>
      </c>
      <c r="F20" t="s">
        <v>135</v>
      </c>
      <c r="G20" t="s">
        <v>86</v>
      </c>
    </row>
    <row r="21" spans="1:7" x14ac:dyDescent="0.25">
      <c r="A21" t="s">
        <v>27</v>
      </c>
      <c r="B21" t="s">
        <v>28</v>
      </c>
      <c r="C21">
        <v>2030</v>
      </c>
      <c r="D21">
        <v>0</v>
      </c>
      <c r="E21" t="s">
        <v>138</v>
      </c>
      <c r="F21" t="s">
        <v>138</v>
      </c>
      <c r="G21" t="s">
        <v>86</v>
      </c>
    </row>
    <row r="22" spans="1:7" x14ac:dyDescent="0.25">
      <c r="A22" t="s">
        <v>27</v>
      </c>
      <c r="B22" t="s">
        <v>28</v>
      </c>
      <c r="C22">
        <v>2050</v>
      </c>
      <c r="D22">
        <v>10538718.069025125</v>
      </c>
      <c r="E22" t="s">
        <v>104</v>
      </c>
      <c r="F22" t="s">
        <v>104</v>
      </c>
      <c r="G22" t="s">
        <v>86</v>
      </c>
    </row>
    <row r="23" spans="1:7" x14ac:dyDescent="0.25">
      <c r="A23" t="s">
        <v>27</v>
      </c>
      <c r="B23" t="s">
        <v>28</v>
      </c>
      <c r="C23">
        <v>2050</v>
      </c>
      <c r="D23">
        <v>5037270.6270728866</v>
      </c>
      <c r="E23" t="s">
        <v>105</v>
      </c>
      <c r="F23" t="s">
        <v>106</v>
      </c>
      <c r="G23" t="s">
        <v>86</v>
      </c>
    </row>
    <row r="24" spans="1:7" x14ac:dyDescent="0.25">
      <c r="A24" t="s">
        <v>27</v>
      </c>
      <c r="B24" t="s">
        <v>28</v>
      </c>
      <c r="C24">
        <v>2050</v>
      </c>
      <c r="D24">
        <v>4036132.4350935114</v>
      </c>
      <c r="E24" t="s">
        <v>105</v>
      </c>
      <c r="F24" t="s">
        <v>107</v>
      </c>
      <c r="G24" t="s">
        <v>108</v>
      </c>
    </row>
    <row r="25" spans="1:7" x14ac:dyDescent="0.25">
      <c r="A25" t="s">
        <v>27</v>
      </c>
      <c r="B25" t="s">
        <v>28</v>
      </c>
      <c r="C25">
        <v>2050</v>
      </c>
      <c r="D25">
        <v>1225816.3211630862</v>
      </c>
      <c r="E25" t="s">
        <v>105</v>
      </c>
      <c r="F25" t="s">
        <v>107</v>
      </c>
      <c r="G25" t="s">
        <v>109</v>
      </c>
    </row>
    <row r="26" spans="1:7" x14ac:dyDescent="0.25">
      <c r="A26" t="s">
        <v>27</v>
      </c>
      <c r="B26" t="s">
        <v>28</v>
      </c>
      <c r="C26">
        <v>2050</v>
      </c>
      <c r="D26">
        <v>2334101.8595699244</v>
      </c>
      <c r="E26" t="s">
        <v>105</v>
      </c>
      <c r="F26" t="s">
        <v>107</v>
      </c>
      <c r="G26" t="s">
        <v>110</v>
      </c>
    </row>
    <row r="27" spans="1:7" x14ac:dyDescent="0.25">
      <c r="A27" t="s">
        <v>27</v>
      </c>
      <c r="B27" t="s">
        <v>28</v>
      </c>
      <c r="C27">
        <v>2050</v>
      </c>
      <c r="D27">
        <v>-32111.211335450222</v>
      </c>
      <c r="E27" t="s">
        <v>111</v>
      </c>
      <c r="F27" t="s">
        <v>111</v>
      </c>
      <c r="G27" t="s">
        <v>86</v>
      </c>
    </row>
    <row r="28" spans="1:7" x14ac:dyDescent="0.25">
      <c r="A28" t="s">
        <v>27</v>
      </c>
      <c r="B28" t="s">
        <v>28</v>
      </c>
      <c r="C28">
        <v>2050</v>
      </c>
      <c r="D28">
        <v>-1260129.3549508662</v>
      </c>
      <c r="E28" t="s">
        <v>112</v>
      </c>
      <c r="F28" t="s">
        <v>112</v>
      </c>
      <c r="G28" t="s">
        <v>86</v>
      </c>
    </row>
    <row r="29" spans="1:7" x14ac:dyDescent="0.25">
      <c r="A29" t="s">
        <v>27</v>
      </c>
      <c r="B29" t="s">
        <v>28</v>
      </c>
      <c r="C29">
        <v>2050</v>
      </c>
      <c r="D29">
        <v>-420192.72772237897</v>
      </c>
      <c r="E29" t="s">
        <v>144</v>
      </c>
      <c r="F29" t="s">
        <v>145</v>
      </c>
    </row>
    <row r="30" spans="1:7" x14ac:dyDescent="0.25">
      <c r="A30" t="s">
        <v>27</v>
      </c>
      <c r="B30" t="s">
        <v>28</v>
      </c>
      <c r="C30">
        <v>2050</v>
      </c>
      <c r="D30">
        <v>-382169.87986558012</v>
      </c>
      <c r="E30" t="s">
        <v>135</v>
      </c>
      <c r="F30" t="s">
        <v>135</v>
      </c>
      <c r="G30" t="s">
        <v>86</v>
      </c>
    </row>
    <row r="31" spans="1:7" x14ac:dyDescent="0.25">
      <c r="A31" t="s">
        <v>27</v>
      </c>
      <c r="B31" t="s">
        <v>28</v>
      </c>
      <c r="C31">
        <v>2050</v>
      </c>
      <c r="D31">
        <v>0</v>
      </c>
      <c r="E31" t="s">
        <v>138</v>
      </c>
      <c r="F31" t="s">
        <v>138</v>
      </c>
      <c r="G31" t="s">
        <v>86</v>
      </c>
    </row>
    <row r="32" spans="1:7" x14ac:dyDescent="0.25">
      <c r="A32" t="s">
        <v>27</v>
      </c>
      <c r="B32" t="s">
        <v>43</v>
      </c>
      <c r="C32">
        <v>2019</v>
      </c>
      <c r="D32">
        <v>1834190.1949518428</v>
      </c>
      <c r="E32" t="s">
        <v>104</v>
      </c>
      <c r="F32" t="s">
        <v>104</v>
      </c>
      <c r="G32" t="s">
        <v>86</v>
      </c>
    </row>
    <row r="33" spans="1:7" x14ac:dyDescent="0.25">
      <c r="A33" t="s">
        <v>27</v>
      </c>
      <c r="B33" t="s">
        <v>43</v>
      </c>
      <c r="C33">
        <v>2019</v>
      </c>
      <c r="D33">
        <v>448426.54673213884</v>
      </c>
      <c r="E33" t="s">
        <v>105</v>
      </c>
      <c r="F33" t="s">
        <v>106</v>
      </c>
      <c r="G33" t="s">
        <v>86</v>
      </c>
    </row>
    <row r="34" spans="1:7" x14ac:dyDescent="0.25">
      <c r="A34" t="s">
        <v>27</v>
      </c>
      <c r="B34" t="s">
        <v>43</v>
      </c>
      <c r="C34">
        <v>2019</v>
      </c>
      <c r="D34">
        <v>1244619.4009225217</v>
      </c>
      <c r="E34" t="s">
        <v>105</v>
      </c>
      <c r="F34" t="s">
        <v>107</v>
      </c>
      <c r="G34" t="s">
        <v>108</v>
      </c>
    </row>
    <row r="35" spans="1:7" x14ac:dyDescent="0.25">
      <c r="A35" t="s">
        <v>27</v>
      </c>
      <c r="B35" t="s">
        <v>43</v>
      </c>
      <c r="C35">
        <v>2019</v>
      </c>
      <c r="D35">
        <v>142699.41800214813</v>
      </c>
      <c r="E35" t="s">
        <v>105</v>
      </c>
      <c r="F35" t="s">
        <v>107</v>
      </c>
      <c r="G35" t="s">
        <v>109</v>
      </c>
    </row>
    <row r="36" spans="1:7" x14ac:dyDescent="0.25">
      <c r="A36" t="s">
        <v>27</v>
      </c>
      <c r="B36" t="s">
        <v>43</v>
      </c>
      <c r="C36">
        <v>2019</v>
      </c>
      <c r="D36">
        <v>276144.78230139322</v>
      </c>
      <c r="E36" t="s">
        <v>105</v>
      </c>
      <c r="F36" t="s">
        <v>107</v>
      </c>
      <c r="G36" t="s">
        <v>110</v>
      </c>
    </row>
    <row r="37" spans="1:7" x14ac:dyDescent="0.25">
      <c r="A37" t="s">
        <v>27</v>
      </c>
      <c r="B37" t="s">
        <v>43</v>
      </c>
      <c r="C37">
        <v>2019</v>
      </c>
      <c r="D37">
        <v>-0.19402522113858015</v>
      </c>
      <c r="E37" t="s">
        <v>111</v>
      </c>
      <c r="F37" t="s">
        <v>111</v>
      </c>
      <c r="G37" t="s">
        <v>86</v>
      </c>
    </row>
    <row r="38" spans="1:7" x14ac:dyDescent="0.25">
      <c r="A38" t="s">
        <v>27</v>
      </c>
      <c r="B38" t="s">
        <v>43</v>
      </c>
      <c r="C38">
        <v>2019</v>
      </c>
      <c r="D38">
        <v>-127230</v>
      </c>
      <c r="E38" t="s">
        <v>112</v>
      </c>
      <c r="F38" t="s">
        <v>112</v>
      </c>
      <c r="G38" t="s">
        <v>86</v>
      </c>
    </row>
    <row r="39" spans="1:7" x14ac:dyDescent="0.25">
      <c r="A39" t="s">
        <v>27</v>
      </c>
      <c r="B39" t="s">
        <v>43</v>
      </c>
      <c r="C39">
        <v>2019</v>
      </c>
      <c r="D39">
        <v>-137192.91374803972</v>
      </c>
      <c r="E39" t="s">
        <v>144</v>
      </c>
      <c r="F39" t="s">
        <v>145</v>
      </c>
    </row>
    <row r="40" spans="1:7" x14ac:dyDescent="0.25">
      <c r="A40" t="s">
        <v>27</v>
      </c>
      <c r="B40" t="s">
        <v>43</v>
      </c>
      <c r="C40">
        <v>2019</v>
      </c>
      <c r="D40">
        <v>-13276.84523309844</v>
      </c>
      <c r="E40" t="s">
        <v>135</v>
      </c>
      <c r="F40" t="s">
        <v>135</v>
      </c>
      <c r="G40" t="s">
        <v>86</v>
      </c>
    </row>
    <row r="41" spans="1:7" x14ac:dyDescent="0.25">
      <c r="A41" t="s">
        <v>27</v>
      </c>
      <c r="B41" t="s">
        <v>43</v>
      </c>
      <c r="C41">
        <v>2019</v>
      </c>
      <c r="D41">
        <v>0</v>
      </c>
      <c r="E41" t="s">
        <v>138</v>
      </c>
      <c r="F41" t="s">
        <v>138</v>
      </c>
      <c r="G41" t="s">
        <v>86</v>
      </c>
    </row>
    <row r="42" spans="1:7" x14ac:dyDescent="0.25">
      <c r="A42" t="s">
        <v>27</v>
      </c>
      <c r="B42" t="s">
        <v>43</v>
      </c>
      <c r="C42">
        <v>2030</v>
      </c>
      <c r="D42">
        <v>1761821.4701091428</v>
      </c>
      <c r="E42" t="s">
        <v>104</v>
      </c>
      <c r="F42" t="s">
        <v>104</v>
      </c>
      <c r="G42" t="s">
        <v>86</v>
      </c>
    </row>
    <row r="43" spans="1:7" x14ac:dyDescent="0.25">
      <c r="A43" t="s">
        <v>27</v>
      </c>
      <c r="B43" t="s">
        <v>43</v>
      </c>
      <c r="C43">
        <v>2030</v>
      </c>
      <c r="D43">
        <v>449093.3493058047</v>
      </c>
      <c r="E43" t="s">
        <v>105</v>
      </c>
      <c r="F43" t="s">
        <v>106</v>
      </c>
      <c r="G43" t="s">
        <v>86</v>
      </c>
    </row>
    <row r="44" spans="1:7" x14ac:dyDescent="0.25">
      <c r="A44" t="s">
        <v>27</v>
      </c>
      <c r="B44" t="s">
        <v>43</v>
      </c>
      <c r="C44">
        <v>2030</v>
      </c>
      <c r="D44">
        <v>1240035.0657402945</v>
      </c>
      <c r="E44" t="s">
        <v>105</v>
      </c>
      <c r="F44" t="s">
        <v>107</v>
      </c>
      <c r="G44" t="s">
        <v>108</v>
      </c>
    </row>
    <row r="45" spans="1:7" x14ac:dyDescent="0.25">
      <c r="A45" t="s">
        <v>27</v>
      </c>
      <c r="B45" t="s">
        <v>43</v>
      </c>
      <c r="C45">
        <v>2030</v>
      </c>
      <c r="D45">
        <v>132118.63988943215</v>
      </c>
      <c r="E45" t="s">
        <v>105</v>
      </c>
      <c r="F45" t="s">
        <v>107</v>
      </c>
      <c r="G45" t="s">
        <v>109</v>
      </c>
    </row>
    <row r="46" spans="1:7" x14ac:dyDescent="0.25">
      <c r="A46" t="s">
        <v>27</v>
      </c>
      <c r="B46" t="s">
        <v>43</v>
      </c>
      <c r="C46">
        <v>2030</v>
      </c>
      <c r="D46">
        <v>251468.565835013</v>
      </c>
      <c r="E46" t="s">
        <v>105</v>
      </c>
      <c r="F46" t="s">
        <v>107</v>
      </c>
      <c r="G46" t="s">
        <v>110</v>
      </c>
    </row>
    <row r="47" spans="1:7" x14ac:dyDescent="0.25">
      <c r="A47" t="s">
        <v>27</v>
      </c>
      <c r="B47" t="s">
        <v>43</v>
      </c>
      <c r="C47">
        <v>2030</v>
      </c>
      <c r="D47">
        <v>-674.70029884327505</v>
      </c>
      <c r="E47" t="s">
        <v>111</v>
      </c>
      <c r="F47" t="s">
        <v>111</v>
      </c>
      <c r="G47" t="s">
        <v>86</v>
      </c>
    </row>
    <row r="48" spans="1:7" x14ac:dyDescent="0.25">
      <c r="A48" t="s">
        <v>27</v>
      </c>
      <c r="B48" t="s">
        <v>43</v>
      </c>
      <c r="C48">
        <v>2030</v>
      </c>
      <c r="D48">
        <v>-145014.54954130086</v>
      </c>
      <c r="E48" t="s">
        <v>112</v>
      </c>
      <c r="F48" t="s">
        <v>112</v>
      </c>
      <c r="G48" t="s">
        <v>86</v>
      </c>
    </row>
    <row r="49" spans="1:7" x14ac:dyDescent="0.25">
      <c r="A49" t="s">
        <v>27</v>
      </c>
      <c r="B49" t="s">
        <v>43</v>
      </c>
      <c r="C49">
        <v>2030</v>
      </c>
      <c r="D49">
        <v>-129833.14224340807</v>
      </c>
      <c r="E49" t="s">
        <v>144</v>
      </c>
      <c r="F49" t="s">
        <v>145</v>
      </c>
    </row>
    <row r="50" spans="1:7" x14ac:dyDescent="0.25">
      <c r="A50" t="s">
        <v>27</v>
      </c>
      <c r="B50" t="s">
        <v>43</v>
      </c>
      <c r="C50">
        <v>2030</v>
      </c>
      <c r="D50">
        <v>-35371.758577849541</v>
      </c>
      <c r="E50" t="s">
        <v>135</v>
      </c>
      <c r="F50" t="s">
        <v>135</v>
      </c>
      <c r="G50" t="s">
        <v>86</v>
      </c>
    </row>
    <row r="51" spans="1:7" x14ac:dyDescent="0.25">
      <c r="A51" t="s">
        <v>27</v>
      </c>
      <c r="B51" t="s">
        <v>43</v>
      </c>
      <c r="C51">
        <v>2030</v>
      </c>
      <c r="D51">
        <v>0</v>
      </c>
      <c r="E51" t="s">
        <v>138</v>
      </c>
      <c r="F51" t="s">
        <v>138</v>
      </c>
      <c r="G51" t="s">
        <v>86</v>
      </c>
    </row>
    <row r="52" spans="1:7" x14ac:dyDescent="0.25">
      <c r="A52" t="s">
        <v>27</v>
      </c>
      <c r="B52" t="s">
        <v>43</v>
      </c>
      <c r="C52">
        <v>2050</v>
      </c>
      <c r="D52">
        <v>1604903.0432424184</v>
      </c>
      <c r="E52" t="s">
        <v>104</v>
      </c>
      <c r="F52" t="s">
        <v>104</v>
      </c>
      <c r="G52" t="s">
        <v>86</v>
      </c>
    </row>
    <row r="53" spans="1:7" x14ac:dyDescent="0.25">
      <c r="A53" t="s">
        <v>27</v>
      </c>
      <c r="B53" t="s">
        <v>43</v>
      </c>
      <c r="C53">
        <v>2050</v>
      </c>
      <c r="D53">
        <v>447960.28277222451</v>
      </c>
      <c r="E53" t="s">
        <v>105</v>
      </c>
      <c r="F53" t="s">
        <v>106</v>
      </c>
      <c r="G53" t="s">
        <v>86</v>
      </c>
    </row>
    <row r="54" spans="1:7" x14ac:dyDescent="0.25">
      <c r="A54" t="s">
        <v>27</v>
      </c>
      <c r="B54" t="s">
        <v>43</v>
      </c>
      <c r="C54">
        <v>2050</v>
      </c>
      <c r="D54">
        <v>1231701.6161590884</v>
      </c>
      <c r="E54" t="s">
        <v>105</v>
      </c>
      <c r="F54" t="s">
        <v>107</v>
      </c>
      <c r="G54" t="s">
        <v>108</v>
      </c>
    </row>
    <row r="55" spans="1:7" x14ac:dyDescent="0.25">
      <c r="A55" t="s">
        <v>27</v>
      </c>
      <c r="B55" t="s">
        <v>43</v>
      </c>
      <c r="C55">
        <v>2050</v>
      </c>
      <c r="D55">
        <v>132118.63988943212</v>
      </c>
      <c r="E55" t="s">
        <v>105</v>
      </c>
      <c r="F55" t="s">
        <v>107</v>
      </c>
      <c r="G55" t="s">
        <v>109</v>
      </c>
    </row>
    <row r="56" spans="1:7" x14ac:dyDescent="0.25">
      <c r="A56" t="s">
        <v>27</v>
      </c>
      <c r="B56" t="s">
        <v>43</v>
      </c>
      <c r="C56">
        <v>2050</v>
      </c>
      <c r="D56">
        <v>251468.56583501303</v>
      </c>
      <c r="E56" t="s">
        <v>105</v>
      </c>
      <c r="F56" t="s">
        <v>107</v>
      </c>
      <c r="G56" t="s">
        <v>110</v>
      </c>
    </row>
    <row r="57" spans="1:7" x14ac:dyDescent="0.25">
      <c r="A57" t="s">
        <v>27</v>
      </c>
      <c r="B57" t="s">
        <v>43</v>
      </c>
      <c r="C57">
        <v>2050</v>
      </c>
      <c r="D57">
        <v>-8067.9044826491263</v>
      </c>
      <c r="E57" t="s">
        <v>111</v>
      </c>
      <c r="F57" t="s">
        <v>111</v>
      </c>
      <c r="G57" t="s">
        <v>86</v>
      </c>
    </row>
    <row r="58" spans="1:7" x14ac:dyDescent="0.25">
      <c r="A58" t="s">
        <v>27</v>
      </c>
      <c r="B58" t="s">
        <v>43</v>
      </c>
      <c r="C58">
        <v>2050</v>
      </c>
      <c r="D58">
        <v>-294481.27347525692</v>
      </c>
      <c r="E58" t="s">
        <v>112</v>
      </c>
      <c r="F58" t="s">
        <v>112</v>
      </c>
      <c r="G58" t="s">
        <v>86</v>
      </c>
    </row>
    <row r="59" spans="1:7" x14ac:dyDescent="0.25">
      <c r="A59" t="s">
        <v>27</v>
      </c>
      <c r="B59" t="s">
        <v>43</v>
      </c>
      <c r="C59">
        <v>2050</v>
      </c>
      <c r="D59">
        <v>-121447.49871125096</v>
      </c>
      <c r="E59" t="s">
        <v>144</v>
      </c>
      <c r="F59" t="s">
        <v>145</v>
      </c>
    </row>
    <row r="60" spans="1:7" x14ac:dyDescent="0.25">
      <c r="A60" t="s">
        <v>27</v>
      </c>
      <c r="B60" t="s">
        <v>43</v>
      </c>
      <c r="C60">
        <v>2050</v>
      </c>
      <c r="D60">
        <v>-34349.384744182549</v>
      </c>
      <c r="E60" t="s">
        <v>135</v>
      </c>
      <c r="F60" t="s">
        <v>135</v>
      </c>
      <c r="G60" t="s">
        <v>86</v>
      </c>
    </row>
    <row r="61" spans="1:7" x14ac:dyDescent="0.25">
      <c r="A61" t="s">
        <v>27</v>
      </c>
      <c r="B61" t="s">
        <v>43</v>
      </c>
      <c r="C61">
        <v>2050</v>
      </c>
      <c r="D61">
        <v>0</v>
      </c>
      <c r="E61" t="s">
        <v>138</v>
      </c>
      <c r="F61" t="s">
        <v>138</v>
      </c>
      <c r="G61" t="s">
        <v>86</v>
      </c>
    </row>
    <row r="62" spans="1:7" x14ac:dyDescent="0.25">
      <c r="A62" t="s">
        <v>129</v>
      </c>
      <c r="B62" t="s">
        <v>28</v>
      </c>
      <c r="C62">
        <v>2019</v>
      </c>
      <c r="D62">
        <v>12077371.923325727</v>
      </c>
      <c r="E62" t="s">
        <v>104</v>
      </c>
      <c r="F62" t="s">
        <v>104</v>
      </c>
    </row>
    <row r="63" spans="1:7" x14ac:dyDescent="0.25">
      <c r="A63" t="s">
        <v>129</v>
      </c>
      <c r="B63" t="s">
        <v>28</v>
      </c>
      <c r="C63">
        <v>2019</v>
      </c>
      <c r="D63">
        <v>5070835.3540045777</v>
      </c>
      <c r="E63" t="s">
        <v>105</v>
      </c>
      <c r="F63" t="s">
        <v>106</v>
      </c>
    </row>
    <row r="64" spans="1:7" x14ac:dyDescent="0.25">
      <c r="A64" t="s">
        <v>129</v>
      </c>
      <c r="B64" t="s">
        <v>28</v>
      </c>
      <c r="C64">
        <v>2019</v>
      </c>
      <c r="D64">
        <v>4155736.1194644454</v>
      </c>
      <c r="E64" t="s">
        <v>105</v>
      </c>
      <c r="F64" t="s">
        <v>107</v>
      </c>
      <c r="G64" t="s">
        <v>108</v>
      </c>
    </row>
    <row r="65" spans="1:7" x14ac:dyDescent="0.25">
      <c r="A65" t="s">
        <v>129</v>
      </c>
      <c r="B65" t="s">
        <v>28</v>
      </c>
      <c r="C65">
        <v>2019</v>
      </c>
      <c r="D65">
        <v>1324670.350202495</v>
      </c>
      <c r="E65" t="s">
        <v>105</v>
      </c>
      <c r="F65" t="s">
        <v>107</v>
      </c>
      <c r="G65" t="s">
        <v>109</v>
      </c>
    </row>
    <row r="66" spans="1:7" x14ac:dyDescent="0.25">
      <c r="A66" t="s">
        <v>129</v>
      </c>
      <c r="B66" t="s">
        <v>28</v>
      </c>
      <c r="C66">
        <v>2019</v>
      </c>
      <c r="D66">
        <v>2581596.1188411801</v>
      </c>
      <c r="E66" t="s">
        <v>105</v>
      </c>
      <c r="F66" t="s">
        <v>107</v>
      </c>
      <c r="G66" t="s">
        <v>110</v>
      </c>
    </row>
    <row r="67" spans="1:7" x14ac:dyDescent="0.25">
      <c r="A67" t="s">
        <v>129</v>
      </c>
      <c r="B67" t="s">
        <v>28</v>
      </c>
      <c r="C67">
        <v>2019</v>
      </c>
      <c r="D67">
        <v>-158.24317477886137</v>
      </c>
      <c r="E67" t="s">
        <v>111</v>
      </c>
      <c r="F67" t="s">
        <v>111</v>
      </c>
    </row>
    <row r="68" spans="1:7" x14ac:dyDescent="0.25">
      <c r="A68" t="s">
        <v>129</v>
      </c>
      <c r="B68" t="s">
        <v>28</v>
      </c>
      <c r="C68">
        <v>2019</v>
      </c>
      <c r="D68">
        <v>-434670</v>
      </c>
      <c r="E68" t="s">
        <v>112</v>
      </c>
      <c r="F68" t="s">
        <v>112</v>
      </c>
    </row>
    <row r="69" spans="1:7" x14ac:dyDescent="0.25">
      <c r="A69" t="s">
        <v>129</v>
      </c>
      <c r="B69" t="s">
        <v>28</v>
      </c>
      <c r="C69">
        <v>2019</v>
      </c>
      <c r="D69">
        <v>-468707.41035023518</v>
      </c>
      <c r="E69" t="s">
        <v>144</v>
      </c>
      <c r="F69" t="s">
        <v>145</v>
      </c>
    </row>
    <row r="70" spans="1:7" x14ac:dyDescent="0.25">
      <c r="A70" t="s">
        <v>129</v>
      </c>
      <c r="B70" t="s">
        <v>28</v>
      </c>
      <c r="C70">
        <v>2019</v>
      </c>
      <c r="D70">
        <v>-151930.36566196129</v>
      </c>
      <c r="E70" t="s">
        <v>135</v>
      </c>
      <c r="F70" t="s">
        <v>135</v>
      </c>
    </row>
    <row r="71" spans="1:7" x14ac:dyDescent="0.25">
      <c r="A71" t="s">
        <v>129</v>
      </c>
      <c r="B71" t="s">
        <v>28</v>
      </c>
      <c r="C71">
        <v>2019</v>
      </c>
      <c r="D71">
        <v>0</v>
      </c>
      <c r="E71" t="s">
        <v>138</v>
      </c>
      <c r="F71" t="s">
        <v>138</v>
      </c>
    </row>
    <row r="72" spans="1:7" x14ac:dyDescent="0.25">
      <c r="A72" t="s">
        <v>129</v>
      </c>
      <c r="B72" t="s">
        <v>28</v>
      </c>
      <c r="C72">
        <v>2030</v>
      </c>
      <c r="D72">
        <v>10410169.524502344</v>
      </c>
      <c r="E72" t="s">
        <v>104</v>
      </c>
      <c r="F72" t="s">
        <v>104</v>
      </c>
      <c r="G72" t="s">
        <v>86</v>
      </c>
    </row>
    <row r="73" spans="1:7" x14ac:dyDescent="0.25">
      <c r="A73" t="s">
        <v>129</v>
      </c>
      <c r="B73" t="s">
        <v>28</v>
      </c>
      <c r="C73">
        <v>2030</v>
      </c>
      <c r="D73">
        <v>4046578.8260529838</v>
      </c>
      <c r="E73" t="s">
        <v>105</v>
      </c>
      <c r="F73" t="s">
        <v>106</v>
      </c>
      <c r="G73" t="s">
        <v>86</v>
      </c>
    </row>
    <row r="74" spans="1:7" x14ac:dyDescent="0.25">
      <c r="A74" t="s">
        <v>129</v>
      </c>
      <c r="B74" t="s">
        <v>28</v>
      </c>
      <c r="C74">
        <v>2030</v>
      </c>
      <c r="D74">
        <v>4113293.0454159677</v>
      </c>
      <c r="E74" t="s">
        <v>105</v>
      </c>
      <c r="F74" t="s">
        <v>107</v>
      </c>
      <c r="G74" t="s">
        <v>108</v>
      </c>
    </row>
    <row r="75" spans="1:7" x14ac:dyDescent="0.25">
      <c r="A75" t="s">
        <v>129</v>
      </c>
      <c r="B75" t="s">
        <v>28</v>
      </c>
      <c r="C75">
        <v>2030</v>
      </c>
      <c r="D75">
        <v>1225816.3211630862</v>
      </c>
      <c r="E75" t="s">
        <v>105</v>
      </c>
      <c r="F75" t="s">
        <v>107</v>
      </c>
      <c r="G75" t="s">
        <v>109</v>
      </c>
    </row>
    <row r="76" spans="1:7" x14ac:dyDescent="0.25">
      <c r="A76" t="s">
        <v>129</v>
      </c>
      <c r="B76" t="s">
        <v>28</v>
      </c>
      <c r="C76">
        <v>2030</v>
      </c>
      <c r="D76">
        <v>2334101.8595699249</v>
      </c>
      <c r="E76" t="s">
        <v>105</v>
      </c>
      <c r="F76" t="s">
        <v>107</v>
      </c>
      <c r="G76" t="s">
        <v>110</v>
      </c>
    </row>
    <row r="77" spans="1:7" x14ac:dyDescent="0.25">
      <c r="A77" t="s">
        <v>129</v>
      </c>
      <c r="B77" t="s">
        <v>28</v>
      </c>
      <c r="C77">
        <v>2030</v>
      </c>
      <c r="D77">
        <v>-23936.112883057391</v>
      </c>
      <c r="E77" t="s">
        <v>111</v>
      </c>
      <c r="F77" t="s">
        <v>111</v>
      </c>
      <c r="G77" t="s">
        <v>86</v>
      </c>
    </row>
    <row r="78" spans="1:7" x14ac:dyDescent="0.25">
      <c r="A78" t="s">
        <v>129</v>
      </c>
      <c r="B78" t="s">
        <v>28</v>
      </c>
      <c r="C78">
        <v>2030</v>
      </c>
      <c r="D78">
        <v>-528478.99286293855</v>
      </c>
      <c r="E78" t="s">
        <v>112</v>
      </c>
      <c r="F78" t="s">
        <v>112</v>
      </c>
      <c r="G78" t="s">
        <v>86</v>
      </c>
    </row>
    <row r="79" spans="1:7" x14ac:dyDescent="0.25">
      <c r="A79" t="s">
        <v>129</v>
      </c>
      <c r="B79" t="s">
        <v>28</v>
      </c>
      <c r="C79">
        <v>2030</v>
      </c>
      <c r="D79">
        <v>-443563.40437744389</v>
      </c>
      <c r="E79" t="s">
        <v>144</v>
      </c>
      <c r="F79" t="s">
        <v>145</v>
      </c>
    </row>
    <row r="80" spans="1:7" x14ac:dyDescent="0.25">
      <c r="A80" t="s">
        <v>129</v>
      </c>
      <c r="B80" t="s">
        <v>28</v>
      </c>
      <c r="C80">
        <v>2030</v>
      </c>
      <c r="D80">
        <v>-313642.01757617836</v>
      </c>
      <c r="E80" t="s">
        <v>135</v>
      </c>
      <c r="F80" t="s">
        <v>135</v>
      </c>
      <c r="G80" t="s">
        <v>86</v>
      </c>
    </row>
    <row r="81" spans="1:7" x14ac:dyDescent="0.25">
      <c r="A81" t="s">
        <v>129</v>
      </c>
      <c r="B81" t="s">
        <v>28</v>
      </c>
      <c r="C81">
        <v>2030</v>
      </c>
      <c r="D81">
        <v>0</v>
      </c>
      <c r="E81" t="s">
        <v>138</v>
      </c>
      <c r="F81" t="s">
        <v>138</v>
      </c>
      <c r="G81" t="s">
        <v>86</v>
      </c>
    </row>
    <row r="82" spans="1:7" x14ac:dyDescent="0.25">
      <c r="A82" t="s">
        <v>129</v>
      </c>
      <c r="B82" t="s">
        <v>28</v>
      </c>
      <c r="C82">
        <v>2050</v>
      </c>
      <c r="D82">
        <v>9607697.9195836745</v>
      </c>
      <c r="E82" t="s">
        <v>104</v>
      </c>
      <c r="F82" t="s">
        <v>104</v>
      </c>
      <c r="G82" t="s">
        <v>86</v>
      </c>
    </row>
    <row r="83" spans="1:7" x14ac:dyDescent="0.25">
      <c r="A83" t="s">
        <v>129</v>
      </c>
      <c r="B83" t="s">
        <v>28</v>
      </c>
      <c r="C83">
        <v>2050</v>
      </c>
      <c r="D83">
        <v>4029816.5016583097</v>
      </c>
      <c r="E83" t="s">
        <v>105</v>
      </c>
      <c r="F83" t="s">
        <v>106</v>
      </c>
      <c r="G83" t="s">
        <v>86</v>
      </c>
    </row>
    <row r="84" spans="1:7" x14ac:dyDescent="0.25">
      <c r="A84" t="s">
        <v>129</v>
      </c>
      <c r="B84" t="s">
        <v>28</v>
      </c>
      <c r="C84">
        <v>2050</v>
      </c>
      <c r="D84">
        <v>4036132.4350935114</v>
      </c>
      <c r="E84" t="s">
        <v>105</v>
      </c>
      <c r="F84" t="s">
        <v>107</v>
      </c>
      <c r="G84" t="s">
        <v>108</v>
      </c>
    </row>
    <row r="85" spans="1:7" x14ac:dyDescent="0.25">
      <c r="A85" t="s">
        <v>129</v>
      </c>
      <c r="B85" t="s">
        <v>28</v>
      </c>
      <c r="C85">
        <v>2050</v>
      </c>
      <c r="D85">
        <v>1225816.3211630862</v>
      </c>
      <c r="E85" t="s">
        <v>105</v>
      </c>
      <c r="F85" t="s">
        <v>107</v>
      </c>
      <c r="G85" t="s">
        <v>109</v>
      </c>
    </row>
    <row r="86" spans="1:7" x14ac:dyDescent="0.25">
      <c r="A86" t="s">
        <v>129</v>
      </c>
      <c r="B86" t="s">
        <v>28</v>
      </c>
      <c r="C86">
        <v>2050</v>
      </c>
      <c r="D86">
        <v>2334101.8595699244</v>
      </c>
      <c r="E86" t="s">
        <v>105</v>
      </c>
      <c r="F86" t="s">
        <v>107</v>
      </c>
      <c r="G86" t="s">
        <v>110</v>
      </c>
    </row>
    <row r="87" spans="1:7" x14ac:dyDescent="0.25">
      <c r="A87" t="s">
        <v>129</v>
      </c>
      <c r="B87" t="s">
        <v>28</v>
      </c>
      <c r="C87">
        <v>2050</v>
      </c>
      <c r="D87">
        <v>-32111.211335450222</v>
      </c>
      <c r="E87" t="s">
        <v>111</v>
      </c>
      <c r="F87" t="s">
        <v>111</v>
      </c>
      <c r="G87" t="s">
        <v>86</v>
      </c>
    </row>
    <row r="88" spans="1:7" x14ac:dyDescent="0.25">
      <c r="A88" t="s">
        <v>129</v>
      </c>
      <c r="B88" t="s">
        <v>28</v>
      </c>
      <c r="C88">
        <v>2050</v>
      </c>
      <c r="D88">
        <v>-1260129.3549508662</v>
      </c>
      <c r="E88" t="s">
        <v>112</v>
      </c>
      <c r="F88" t="s">
        <v>112</v>
      </c>
      <c r="G88" t="s">
        <v>86</v>
      </c>
    </row>
    <row r="89" spans="1:7" x14ac:dyDescent="0.25">
      <c r="A89" t="s">
        <v>129</v>
      </c>
      <c r="B89" t="s">
        <v>28</v>
      </c>
      <c r="C89">
        <v>2050</v>
      </c>
      <c r="D89">
        <v>-420192.72772237897</v>
      </c>
      <c r="E89" t="s">
        <v>144</v>
      </c>
      <c r="F89" t="s">
        <v>145</v>
      </c>
    </row>
    <row r="90" spans="1:7" x14ac:dyDescent="0.25">
      <c r="A90" t="s">
        <v>129</v>
      </c>
      <c r="B90" t="s">
        <v>28</v>
      </c>
      <c r="C90">
        <v>2050</v>
      </c>
      <c r="D90">
        <v>-305735.90389246412</v>
      </c>
      <c r="E90" t="s">
        <v>135</v>
      </c>
      <c r="F90" t="s">
        <v>135</v>
      </c>
      <c r="G90" t="s">
        <v>86</v>
      </c>
    </row>
    <row r="91" spans="1:7" x14ac:dyDescent="0.25">
      <c r="A91" t="s">
        <v>129</v>
      </c>
      <c r="B91" t="s">
        <v>28</v>
      </c>
      <c r="C91">
        <v>2050</v>
      </c>
      <c r="D91">
        <v>0</v>
      </c>
      <c r="E91" t="s">
        <v>138</v>
      </c>
      <c r="F91" t="s">
        <v>138</v>
      </c>
      <c r="G91" t="s">
        <v>86</v>
      </c>
    </row>
    <row r="92" spans="1:7" x14ac:dyDescent="0.25">
      <c r="A92" t="s">
        <v>129</v>
      </c>
      <c r="B92" t="s">
        <v>43</v>
      </c>
      <c r="C92">
        <v>2019</v>
      </c>
      <c r="D92">
        <v>1834190.1949518428</v>
      </c>
      <c r="E92" t="s">
        <v>104</v>
      </c>
      <c r="F92" t="s">
        <v>104</v>
      </c>
      <c r="G92" t="s">
        <v>86</v>
      </c>
    </row>
    <row r="93" spans="1:7" x14ac:dyDescent="0.25">
      <c r="A93" t="s">
        <v>129</v>
      </c>
      <c r="B93" t="s">
        <v>43</v>
      </c>
      <c r="C93">
        <v>2019</v>
      </c>
      <c r="D93">
        <v>448426.54673213884</v>
      </c>
      <c r="E93" t="s">
        <v>105</v>
      </c>
      <c r="F93" t="s">
        <v>106</v>
      </c>
      <c r="G93" t="s">
        <v>86</v>
      </c>
    </row>
    <row r="94" spans="1:7" x14ac:dyDescent="0.25">
      <c r="A94" t="s">
        <v>129</v>
      </c>
      <c r="B94" t="s">
        <v>43</v>
      </c>
      <c r="C94">
        <v>2019</v>
      </c>
      <c r="D94">
        <v>1244619.4009225217</v>
      </c>
      <c r="E94" t="s">
        <v>105</v>
      </c>
      <c r="F94" t="s">
        <v>107</v>
      </c>
      <c r="G94" t="s">
        <v>108</v>
      </c>
    </row>
    <row r="95" spans="1:7" x14ac:dyDescent="0.25">
      <c r="A95" t="s">
        <v>129</v>
      </c>
      <c r="B95" t="s">
        <v>43</v>
      </c>
      <c r="C95">
        <v>2019</v>
      </c>
      <c r="D95">
        <v>142699.41800214813</v>
      </c>
      <c r="E95" t="s">
        <v>105</v>
      </c>
      <c r="F95" t="s">
        <v>107</v>
      </c>
      <c r="G95" t="s">
        <v>109</v>
      </c>
    </row>
    <row r="96" spans="1:7" x14ac:dyDescent="0.25">
      <c r="A96" t="s">
        <v>129</v>
      </c>
      <c r="B96" t="s">
        <v>43</v>
      </c>
      <c r="C96">
        <v>2019</v>
      </c>
      <c r="D96">
        <v>276144.78230139322</v>
      </c>
      <c r="E96" t="s">
        <v>105</v>
      </c>
      <c r="F96" t="s">
        <v>107</v>
      </c>
      <c r="G96" t="s">
        <v>110</v>
      </c>
    </row>
    <row r="97" spans="1:7" x14ac:dyDescent="0.25">
      <c r="A97" t="s">
        <v>129</v>
      </c>
      <c r="B97" t="s">
        <v>43</v>
      </c>
      <c r="C97">
        <v>2019</v>
      </c>
      <c r="D97">
        <v>-0.19402522113858015</v>
      </c>
      <c r="E97" t="s">
        <v>111</v>
      </c>
      <c r="F97" t="s">
        <v>111</v>
      </c>
      <c r="G97" t="s">
        <v>86</v>
      </c>
    </row>
    <row r="98" spans="1:7" x14ac:dyDescent="0.25">
      <c r="A98" t="s">
        <v>129</v>
      </c>
      <c r="B98" t="s">
        <v>43</v>
      </c>
      <c r="C98">
        <v>2019</v>
      </c>
      <c r="D98">
        <v>-127230</v>
      </c>
      <c r="E98" t="s">
        <v>112</v>
      </c>
      <c r="F98" t="s">
        <v>112</v>
      </c>
      <c r="G98" t="s">
        <v>86</v>
      </c>
    </row>
    <row r="99" spans="1:7" x14ac:dyDescent="0.25">
      <c r="A99" t="s">
        <v>129</v>
      </c>
      <c r="B99" t="s">
        <v>43</v>
      </c>
      <c r="C99">
        <v>2019</v>
      </c>
      <c r="D99">
        <v>-137192.91374803972</v>
      </c>
      <c r="E99" t="s">
        <v>144</v>
      </c>
      <c r="F99" t="s">
        <v>145</v>
      </c>
    </row>
    <row r="100" spans="1:7" x14ac:dyDescent="0.25">
      <c r="A100" t="s">
        <v>129</v>
      </c>
      <c r="B100" t="s">
        <v>43</v>
      </c>
      <c r="C100">
        <v>2019</v>
      </c>
      <c r="D100">
        <v>-13276.84523309844</v>
      </c>
      <c r="E100" t="s">
        <v>135</v>
      </c>
      <c r="F100" t="s">
        <v>135</v>
      </c>
      <c r="G100" t="s">
        <v>86</v>
      </c>
    </row>
    <row r="101" spans="1:7" x14ac:dyDescent="0.25">
      <c r="A101" t="s">
        <v>129</v>
      </c>
      <c r="B101" t="s">
        <v>43</v>
      </c>
      <c r="C101">
        <v>2019</v>
      </c>
      <c r="D101">
        <v>0</v>
      </c>
      <c r="E101" t="s">
        <v>138</v>
      </c>
      <c r="F101" t="s">
        <v>138</v>
      </c>
      <c r="G101" t="s">
        <v>86</v>
      </c>
    </row>
    <row r="102" spans="1:7" x14ac:dyDescent="0.25">
      <c r="A102" t="s">
        <v>129</v>
      </c>
      <c r="B102" t="s">
        <v>43</v>
      </c>
      <c r="C102">
        <v>2030</v>
      </c>
      <c r="D102">
        <v>1679077.1519635522</v>
      </c>
      <c r="E102" t="s">
        <v>104</v>
      </c>
      <c r="F102" t="s">
        <v>104</v>
      </c>
      <c r="G102" t="s">
        <v>86</v>
      </c>
    </row>
    <row r="103" spans="1:7" x14ac:dyDescent="0.25">
      <c r="A103" t="s">
        <v>129</v>
      </c>
      <c r="B103" t="s">
        <v>43</v>
      </c>
      <c r="C103">
        <v>2030</v>
      </c>
      <c r="D103">
        <v>359274.67944464367</v>
      </c>
      <c r="E103" t="s">
        <v>105</v>
      </c>
      <c r="F103" t="s">
        <v>106</v>
      </c>
      <c r="G103" t="s">
        <v>86</v>
      </c>
    </row>
    <row r="104" spans="1:7" x14ac:dyDescent="0.25">
      <c r="A104" t="s">
        <v>129</v>
      </c>
      <c r="B104" t="s">
        <v>43</v>
      </c>
      <c r="C104">
        <v>2030</v>
      </c>
      <c r="D104">
        <v>1240035.0657402945</v>
      </c>
      <c r="E104" t="s">
        <v>105</v>
      </c>
      <c r="F104" t="s">
        <v>107</v>
      </c>
      <c r="G104" t="s">
        <v>108</v>
      </c>
    </row>
    <row r="105" spans="1:7" x14ac:dyDescent="0.25">
      <c r="A105" t="s">
        <v>129</v>
      </c>
      <c r="B105" t="s">
        <v>43</v>
      </c>
      <c r="C105">
        <v>2030</v>
      </c>
      <c r="D105">
        <v>132118.63988943215</v>
      </c>
      <c r="E105" t="s">
        <v>105</v>
      </c>
      <c r="F105" t="s">
        <v>107</v>
      </c>
      <c r="G105" t="s">
        <v>109</v>
      </c>
    </row>
    <row r="106" spans="1:7" x14ac:dyDescent="0.25">
      <c r="A106" t="s">
        <v>129</v>
      </c>
      <c r="B106" t="s">
        <v>43</v>
      </c>
      <c r="C106">
        <v>2030</v>
      </c>
      <c r="D106">
        <v>251468.565835013</v>
      </c>
      <c r="E106" t="s">
        <v>105</v>
      </c>
      <c r="F106" t="s">
        <v>107</v>
      </c>
      <c r="G106" t="s">
        <v>110</v>
      </c>
    </row>
    <row r="107" spans="1:7" x14ac:dyDescent="0.25">
      <c r="A107" t="s">
        <v>129</v>
      </c>
      <c r="B107" t="s">
        <v>43</v>
      </c>
      <c r="C107">
        <v>2030</v>
      </c>
      <c r="D107">
        <v>-674.70029884327505</v>
      </c>
      <c r="E107" t="s">
        <v>111</v>
      </c>
      <c r="F107" t="s">
        <v>111</v>
      </c>
      <c r="G107" t="s">
        <v>86</v>
      </c>
    </row>
    <row r="108" spans="1:7" x14ac:dyDescent="0.25">
      <c r="A108" t="s">
        <v>129</v>
      </c>
      <c r="B108" t="s">
        <v>43</v>
      </c>
      <c r="C108">
        <v>2030</v>
      </c>
      <c r="D108">
        <v>-145014.54954130086</v>
      </c>
      <c r="E108" t="s">
        <v>112</v>
      </c>
      <c r="F108" t="s">
        <v>112</v>
      </c>
      <c r="G108" t="s">
        <v>86</v>
      </c>
    </row>
    <row r="109" spans="1:7" x14ac:dyDescent="0.25">
      <c r="A109" t="s">
        <v>129</v>
      </c>
      <c r="B109" t="s">
        <v>43</v>
      </c>
      <c r="C109">
        <v>2030</v>
      </c>
      <c r="D109">
        <v>-129833.14224340807</v>
      </c>
      <c r="E109" t="s">
        <v>144</v>
      </c>
      <c r="F109" t="s">
        <v>145</v>
      </c>
    </row>
    <row r="110" spans="1:7" x14ac:dyDescent="0.25">
      <c r="A110" t="s">
        <v>129</v>
      </c>
      <c r="B110" t="s">
        <v>43</v>
      </c>
      <c r="C110">
        <v>2030</v>
      </c>
      <c r="D110">
        <v>-28297.406862279633</v>
      </c>
      <c r="E110" t="s">
        <v>135</v>
      </c>
      <c r="F110" t="s">
        <v>135</v>
      </c>
      <c r="G110" t="s">
        <v>86</v>
      </c>
    </row>
    <row r="111" spans="1:7" x14ac:dyDescent="0.25">
      <c r="A111" t="s">
        <v>129</v>
      </c>
      <c r="B111" t="s">
        <v>43</v>
      </c>
      <c r="C111">
        <v>2030</v>
      </c>
      <c r="D111">
        <v>0</v>
      </c>
      <c r="E111" t="s">
        <v>138</v>
      </c>
      <c r="F111" t="s">
        <v>138</v>
      </c>
      <c r="G111" t="s">
        <v>86</v>
      </c>
    </row>
    <row r="112" spans="1:7" x14ac:dyDescent="0.25">
      <c r="A112" t="s">
        <v>129</v>
      </c>
      <c r="B112" t="s">
        <v>43</v>
      </c>
      <c r="C112">
        <v>2050</v>
      </c>
      <c r="D112">
        <v>1522180.8636368103</v>
      </c>
      <c r="E112" t="s">
        <v>104</v>
      </c>
      <c r="F112" t="s">
        <v>104</v>
      </c>
      <c r="G112" t="s">
        <v>86</v>
      </c>
    </row>
    <row r="113" spans="1:7" x14ac:dyDescent="0.25">
      <c r="A113" t="s">
        <v>129</v>
      </c>
      <c r="B113" t="s">
        <v>43</v>
      </c>
      <c r="C113">
        <v>2050</v>
      </c>
      <c r="D113">
        <v>358368.22621777962</v>
      </c>
      <c r="E113" t="s">
        <v>105</v>
      </c>
      <c r="F113" t="s">
        <v>106</v>
      </c>
      <c r="G113" t="s">
        <v>86</v>
      </c>
    </row>
    <row r="114" spans="1:7" x14ac:dyDescent="0.25">
      <c r="A114" t="s">
        <v>129</v>
      </c>
      <c r="B114" t="s">
        <v>43</v>
      </c>
      <c r="C114">
        <v>2050</v>
      </c>
      <c r="D114">
        <v>1231701.6161590884</v>
      </c>
      <c r="E114" t="s">
        <v>105</v>
      </c>
      <c r="F114" t="s">
        <v>107</v>
      </c>
      <c r="G114" t="s">
        <v>108</v>
      </c>
    </row>
    <row r="115" spans="1:7" x14ac:dyDescent="0.25">
      <c r="A115" t="s">
        <v>129</v>
      </c>
      <c r="B115" t="s">
        <v>43</v>
      </c>
      <c r="C115">
        <v>2050</v>
      </c>
      <c r="D115">
        <v>132118.63988943212</v>
      </c>
      <c r="E115" t="s">
        <v>105</v>
      </c>
      <c r="F115" t="s">
        <v>107</v>
      </c>
      <c r="G115" t="s">
        <v>109</v>
      </c>
    </row>
    <row r="116" spans="1:7" x14ac:dyDescent="0.25">
      <c r="A116" t="s">
        <v>129</v>
      </c>
      <c r="B116" t="s">
        <v>43</v>
      </c>
      <c r="C116">
        <v>2050</v>
      </c>
      <c r="D116">
        <v>251468.56583501303</v>
      </c>
      <c r="E116" t="s">
        <v>105</v>
      </c>
      <c r="F116" t="s">
        <v>107</v>
      </c>
      <c r="G116" t="s">
        <v>110</v>
      </c>
    </row>
    <row r="117" spans="1:7" x14ac:dyDescent="0.25">
      <c r="A117" t="s">
        <v>129</v>
      </c>
      <c r="B117" t="s">
        <v>43</v>
      </c>
      <c r="C117">
        <v>2050</v>
      </c>
      <c r="D117">
        <v>-8067.9044826491263</v>
      </c>
      <c r="E117" t="s">
        <v>111</v>
      </c>
      <c r="F117" t="s">
        <v>111</v>
      </c>
      <c r="G117" t="s">
        <v>86</v>
      </c>
    </row>
    <row r="118" spans="1:7" x14ac:dyDescent="0.25">
      <c r="A118" t="s">
        <v>129</v>
      </c>
      <c r="B118" t="s">
        <v>43</v>
      </c>
      <c r="C118">
        <v>2050</v>
      </c>
      <c r="D118">
        <v>-294481.27347525692</v>
      </c>
      <c r="E118" t="s">
        <v>112</v>
      </c>
      <c r="F118" t="s">
        <v>112</v>
      </c>
      <c r="G118" t="s">
        <v>86</v>
      </c>
    </row>
    <row r="119" spans="1:7" x14ac:dyDescent="0.25">
      <c r="A119" t="s">
        <v>129</v>
      </c>
      <c r="B119" t="s">
        <v>43</v>
      </c>
      <c r="C119">
        <v>2050</v>
      </c>
      <c r="D119">
        <v>-121447.49871125096</v>
      </c>
      <c r="E119" t="s">
        <v>144</v>
      </c>
      <c r="F119" t="s">
        <v>145</v>
      </c>
    </row>
    <row r="120" spans="1:7" x14ac:dyDescent="0.25">
      <c r="A120" t="s">
        <v>129</v>
      </c>
      <c r="B120" t="s">
        <v>43</v>
      </c>
      <c r="C120">
        <v>2050</v>
      </c>
      <c r="D120">
        <v>-27479.507795346046</v>
      </c>
      <c r="E120" t="s">
        <v>135</v>
      </c>
      <c r="F120" t="s">
        <v>135</v>
      </c>
      <c r="G120" t="s">
        <v>86</v>
      </c>
    </row>
    <row r="121" spans="1:7" x14ac:dyDescent="0.25">
      <c r="A121" t="s">
        <v>129</v>
      </c>
      <c r="B121" t="s">
        <v>43</v>
      </c>
      <c r="C121">
        <v>2050</v>
      </c>
      <c r="D121">
        <v>0</v>
      </c>
      <c r="E121" t="s">
        <v>138</v>
      </c>
      <c r="F121" t="s">
        <v>138</v>
      </c>
      <c r="G121" t="s">
        <v>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181"/>
  <sheetViews>
    <sheetView topLeftCell="A74" workbookViewId="0">
      <selection activeCell="B92" sqref="B92:F18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25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25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25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25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25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25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25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25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25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25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25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25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25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25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25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25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25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25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25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25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25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25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25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25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25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25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25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25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25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25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25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25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25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25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25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25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25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25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25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25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25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25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25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25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25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25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25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25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25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25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25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25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25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25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25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25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25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25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25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25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25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25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25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25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25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25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25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25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25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25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25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25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25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25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25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25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25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25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25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25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25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25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25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25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25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25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25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25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25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25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25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25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25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25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25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25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25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25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25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25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25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25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25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25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25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25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25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25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25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25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25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25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25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25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25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25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25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25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25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25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25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25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25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25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25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25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25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25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25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25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25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25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25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25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25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25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25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25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25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25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25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25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25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25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25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25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25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25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25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25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25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25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25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25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25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25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25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25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25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25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25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25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25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25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25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25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25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25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25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25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25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25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25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25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25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25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25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25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25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25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009"/>
  <sheetViews>
    <sheetView topLeftCell="A488" workbookViewId="0">
      <selection activeCell="B506" sqref="B506:K1009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25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Scenarier</vt:lpstr>
      <vt:lpstr>Resume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2021-09-21T14:57:46Z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343955457210540</vt:r8>
  </property>
</Properties>
</file>