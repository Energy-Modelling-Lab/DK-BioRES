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2FD64216-5562-4C3E-A6E8-A9962D06DA69}" xr6:coauthVersionLast="47" xr6:coauthVersionMax="47" xr10:uidLastSave="{00000000-0000-0000-0000-000000000000}"/>
  <bookViews>
    <workbookView xWindow="-120" yWindow="-120" windowWidth="29040" windowHeight="15840" activeTab="1" xr2:uid="{E1118E13-7FCF-432D-8365-42727D1DE015}"/>
  </bookViews>
  <sheets>
    <sheet name="Scenarier" sheetId="3" r:id="rId1"/>
    <sheet name="Resume" sheetId="18" r:id="rId2"/>
    <sheet name="Arealanvendelse pivot" sheetId="11" r:id="rId3"/>
    <sheet name="Arealanvendelse pivot 2019" sheetId="19" r:id="rId4"/>
    <sheet name="Arealanvendelse landbrug pivot" sheetId="12" r:id="rId5"/>
    <sheet name="Arealanvendelse landbrug p2019" sheetId="21" r:id="rId6"/>
    <sheet name="CO2e-udledning pivot" sheetId="10" r:id="rId7"/>
    <sheet name="CO2e-udledning pivot 2019" sheetId="22" r:id="rId8"/>
    <sheet name="Potentiale PJ" sheetId="13" r:id="rId9"/>
    <sheet name="Potentiale PJ 2019" sheetId="23" r:id="rId10"/>
    <sheet name="Potentiale TS" sheetId="16" r:id="rId11"/>
    <sheet name="Potentiale TS 2019" sheetId="24" r:id="rId12"/>
    <sheet name="Import" sheetId="17" r:id="rId13"/>
    <sheet name="Forbrug af biomasse" sheetId="1" r:id="rId14"/>
    <sheet name="Produktion &amp; forbrug" sheetId="2" r:id="rId15"/>
    <sheet name="CO2e-udledning" sheetId="7" r:id="rId16"/>
    <sheet name="Arealanvendelse" sheetId="8" r:id="rId17"/>
    <sheet name="Arealanvendelse - landbrug" sheetId="9" r:id="rId18"/>
  </sheets>
  <externalReferences>
    <externalReference r:id="rId19"/>
  </externalReferences>
  <definedNames>
    <definedName name="_xlnm._FilterDatabase" localSheetId="3" hidden="1">'Arealanvendelse pivot 2019'!$A$4:$H$13</definedName>
    <definedName name="År1">[1]Overblik!$D$18</definedName>
    <definedName name="År2">[1]Overblik!$D$19</definedName>
    <definedName name="År3">[1]Overblik!$D$20</definedName>
    <definedName name="Scenarienavne">Scenarier!$A$2:$A$27</definedName>
  </definedNames>
  <calcPr calcId="191029"/>
  <pivotCaches>
    <pivotCache cacheId="975" r:id="rId20"/>
    <pivotCache cacheId="979" r:id="rId21"/>
    <pivotCache cacheId="983" r:id="rId22"/>
    <pivotCache cacheId="987" r:id="rId23"/>
    <pivotCache cacheId="991" r:id="rId24"/>
    <pivotCache cacheId="995" r:id="rId25"/>
    <pivotCache cacheId="999" r:id="rId26"/>
    <pivotCache cacheId="1003" r:id="rId27"/>
    <pivotCache cacheId="1008" r:id="rId28"/>
    <pivotCache cacheId="1012" r:id="rId29"/>
    <pivotCache cacheId="1016" r:id="rId3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16" l="1"/>
  <c r="B1" i="13"/>
  <c r="B1" i="12"/>
  <c r="B1" i="11"/>
  <c r="B1" i="10"/>
</calcChain>
</file>

<file path=xl/sharedStrings.xml><?xml version="1.0" encoding="utf-8"?>
<sst xmlns="http://schemas.openxmlformats.org/spreadsheetml/2006/main" count="25930" uniqueCount="146">
  <si>
    <t>Type</t>
  </si>
  <si>
    <t>Region</t>
  </si>
  <si>
    <t>Commodity</t>
  </si>
  <si>
    <t>År</t>
  </si>
  <si>
    <t>Mængde [ton]</t>
  </si>
  <si>
    <t>Biomassekateogri</t>
  </si>
  <si>
    <t>Til energi</t>
  </si>
  <si>
    <t>Produktion [ton]</t>
  </si>
  <si>
    <t>Foder</t>
  </si>
  <si>
    <t>Strøelse</t>
  </si>
  <si>
    <t>Fødevarer</t>
  </si>
  <si>
    <t>Biogas</t>
  </si>
  <si>
    <t>Gødning</t>
  </si>
  <si>
    <t>Energi</t>
  </si>
  <si>
    <t>Materialer og processer</t>
  </si>
  <si>
    <t>Produktion minus forbrug [ton]</t>
  </si>
  <si>
    <t>Potentiale til energi [ton]</t>
  </si>
  <si>
    <t>Forbrug energi [ton/m3]</t>
  </si>
  <si>
    <t>Potentiale til energi [PJ]</t>
  </si>
  <si>
    <t>Forbrug/potentiale [PJ]</t>
  </si>
  <si>
    <t>Biogasproduktion [PJ]</t>
  </si>
  <si>
    <t>Restprodukter til energi [PJ]</t>
  </si>
  <si>
    <t>Potentiale til energi [Ton TS]</t>
  </si>
  <si>
    <t>Forbrug/potentiale [Ton TS]</t>
  </si>
  <si>
    <t>Biogasproduktion [Ton TS]</t>
  </si>
  <si>
    <t>Restprodukter til energi [Ton TS]</t>
  </si>
  <si>
    <t>Scenarie</t>
  </si>
  <si>
    <t>BAU</t>
  </si>
  <si>
    <t>Vestdanmark</t>
  </si>
  <si>
    <t>Korn</t>
  </si>
  <si>
    <t>Grøntsager</t>
  </si>
  <si>
    <t>Kartofler</t>
  </si>
  <si>
    <t>Svinekød</t>
  </si>
  <si>
    <t>Oksekød</t>
  </si>
  <si>
    <t>Bælgsæd</t>
  </si>
  <si>
    <t>Muslinger</t>
  </si>
  <si>
    <t>Tang</t>
  </si>
  <si>
    <t>Kunstigt kød</t>
  </si>
  <si>
    <t>Mejeriprodukter</t>
  </si>
  <si>
    <t>Fjerkrækød</t>
  </si>
  <si>
    <t>Æg</t>
  </si>
  <si>
    <t>Frugt</t>
  </si>
  <si>
    <t>Fisk</t>
  </si>
  <si>
    <t>Østdanmark</t>
  </si>
  <si>
    <t>Svinegylle</t>
  </si>
  <si>
    <t>Kvæggylle</t>
  </si>
  <si>
    <t>Fjerkrægylle</t>
  </si>
  <si>
    <t>Spildevandsslam</t>
  </si>
  <si>
    <t>Bioaffald</t>
  </si>
  <si>
    <t>Industriaffald</t>
  </si>
  <si>
    <t>Dybstrøelse</t>
  </si>
  <si>
    <t>Brun saft</t>
  </si>
  <si>
    <t>Halm</t>
  </si>
  <si>
    <t>Græs</t>
  </si>
  <si>
    <t>Majs</t>
  </si>
  <si>
    <t>Roer</t>
  </si>
  <si>
    <t>Have/parkaffald</t>
  </si>
  <si>
    <t>Glycerin</t>
  </si>
  <si>
    <t>Rapskage</t>
  </si>
  <si>
    <t>Mælk til foder</t>
  </si>
  <si>
    <t>Fiberfraktion</t>
  </si>
  <si>
    <t>Græsprotein</t>
  </si>
  <si>
    <t>Slagteriaffald til foder</t>
  </si>
  <si>
    <t>Import af foder</t>
  </si>
  <si>
    <t>Rapsolie</t>
  </si>
  <si>
    <t>Pil &amp; poppel</t>
  </si>
  <si>
    <t>Træ til energi</t>
  </si>
  <si>
    <t>Materialer</t>
  </si>
  <si>
    <t>Biogasgylle</t>
  </si>
  <si>
    <t>Kunstgødning</t>
  </si>
  <si>
    <t>Proteinproces</t>
  </si>
  <si>
    <t>Rapskageproduktion</t>
  </si>
  <si>
    <t>Raps</t>
  </si>
  <si>
    <t>Bionedbrydeligt affald</t>
  </si>
  <si>
    <t>Husdyrgødning</t>
  </si>
  <si>
    <t>Frø</t>
  </si>
  <si>
    <t>Græs og urter</t>
  </si>
  <si>
    <t>Halm og strå</t>
  </si>
  <si>
    <t>Juletræer</t>
  </si>
  <si>
    <t>Havbiomasse</t>
  </si>
  <si>
    <t>Øvrige</t>
  </si>
  <si>
    <t>Vedmasse</t>
  </si>
  <si>
    <t>Råmælk</t>
  </si>
  <si>
    <t>Slagteriaffald til andet</t>
  </si>
  <si>
    <t>Total til biogas</t>
  </si>
  <si>
    <t>Træmaterialer</t>
  </si>
  <si>
    <t/>
  </si>
  <si>
    <t>Scenarienavn - her angives, hvilke scenarier der skal sammenlignes</t>
  </si>
  <si>
    <t>Row Labels</t>
  </si>
  <si>
    <t>Grand Total</t>
  </si>
  <si>
    <t>Column Labels</t>
  </si>
  <si>
    <t>Total</t>
  </si>
  <si>
    <t>Sted</t>
  </si>
  <si>
    <t>Sted2</t>
  </si>
  <si>
    <t>Areal</t>
  </si>
  <si>
    <t>Jordbund</t>
  </si>
  <si>
    <t>Værdi</t>
  </si>
  <si>
    <t>Afgrøde</t>
  </si>
  <si>
    <t>Kon/Øko</t>
  </si>
  <si>
    <t>Bioenergi-navn</t>
  </si>
  <si>
    <t>Arealanvendelse</t>
  </si>
  <si>
    <t>Udbytte, hovedafgrøde</t>
  </si>
  <si>
    <t>Halmudbytte</t>
  </si>
  <si>
    <t>Potentielt til bioenergi</t>
  </si>
  <si>
    <t>CO2 - atmosfære</t>
  </si>
  <si>
    <t>Landbrug</t>
  </si>
  <si>
    <t>Husdyr</t>
  </si>
  <si>
    <t>Marker</t>
  </si>
  <si>
    <t>JB1-10</t>
  </si>
  <si>
    <t>OC6</t>
  </si>
  <si>
    <t>OC12</t>
  </si>
  <si>
    <t>Hav</t>
  </si>
  <si>
    <t>Skov</t>
  </si>
  <si>
    <t>Vest</t>
  </si>
  <si>
    <t>Bebyggelse &amp; infrastruktur</t>
  </si>
  <si>
    <t>Landbrugsafgrøder</t>
  </si>
  <si>
    <t>Natur</t>
  </si>
  <si>
    <t>Ikke klassificeret</t>
  </si>
  <si>
    <t>Øst</t>
  </si>
  <si>
    <t>Konventionel</t>
  </si>
  <si>
    <t>Permanent græs</t>
  </si>
  <si>
    <t>Økologisk</t>
  </si>
  <si>
    <t>Sum of Total</t>
  </si>
  <si>
    <t>Sum of Værdi</t>
  </si>
  <si>
    <t>Sum of Arealanvendelse</t>
  </si>
  <si>
    <t>Sum of Biogasproduktion [PJ]</t>
  </si>
  <si>
    <t>Total Sum of Biogasproduktion [PJ]</t>
  </si>
  <si>
    <t>Total Sum of Restprodukter til energi [PJ]</t>
  </si>
  <si>
    <t>Sum of Restprodukter til energi [PJ]</t>
  </si>
  <si>
    <t>BAUm20</t>
  </si>
  <si>
    <t>BAUp20</t>
  </si>
  <si>
    <t>Sum of Forbrug/potentiale [Ton TS]</t>
  </si>
  <si>
    <t>2019 Total</t>
  </si>
  <si>
    <t>2030 Total</t>
  </si>
  <si>
    <t>2050 Total</t>
  </si>
  <si>
    <t>Import mindst et år</t>
  </si>
  <si>
    <t>Biogasanlæg</t>
  </si>
  <si>
    <t>Sum of Field1</t>
  </si>
  <si>
    <t>Indholdet i denne celle er det, der sammenlignes med i sammenlignings-figurerne</t>
  </si>
  <si>
    <t>Pyrolyseproces</t>
  </si>
  <si>
    <t>Pyrolysegas</t>
  </si>
  <si>
    <t>Pyrolyseolie</t>
  </si>
  <si>
    <t>Pyrolyseprodukter</t>
  </si>
  <si>
    <t>Alfa</t>
  </si>
  <si>
    <t>Scenarierne vil blive sorteret i rækkefølgen specificeret her</t>
  </si>
  <si>
    <t>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</si>
</sst>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2" borderId="0" xfId="0" applyFill="1"/>
    <xf numFmtId="0" fontId="1" fillId="0" borderId="0" xfId="0" applyFont="1" applyFill="1" applyBorder="1"/>
    <xf numFmtId="3" fontId="0" fillId="0" borderId="0" xfId="0" applyNumberFormat="1"/>
    <xf numFmtId="4" fontId="0" fillId="0" borderId="0" xfId="0" applyNumberFormat="1"/>
    <xf numFmtId="0" fontId="0" fillId="3" borderId="5" xfId="0" applyFill="1" applyBorder="1"/>
  </cellXfs>
  <cellStyles count="1">
    <cellStyle name="Normal" xfId="0" builtinId="0"/>
  </cellStyles>
  <dxfs count="5"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7.xml"/><Relationship Id="rId21" Type="http://schemas.openxmlformats.org/officeDocument/2006/relationships/pivotCacheDefinition" Target="pivotCache/pivotCacheDefinition2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6.xml"/><Relationship Id="rId33" Type="http://schemas.openxmlformats.org/officeDocument/2006/relationships/sharedStrings" Target="sharedStrings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openxmlformats.org/officeDocument/2006/relationships/pivotCacheDefinition" Target="pivotCache/pivotCacheDefinition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5.xml"/><Relationship Id="rId32" Type="http://schemas.openxmlformats.org/officeDocument/2006/relationships/styles" Target="styles.xml"/><Relationship Id="rId37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4.xml"/><Relationship Id="rId28" Type="http://schemas.openxmlformats.org/officeDocument/2006/relationships/pivotCacheDefinition" Target="pivotCache/pivotCacheDefinition9.xml"/><Relationship Id="rId36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pivotCacheDefinition" Target="pivotCache/pivotCacheDefinition8.xml"/><Relationship Id="rId30" Type="http://schemas.openxmlformats.org/officeDocument/2006/relationships/pivotCacheDefinition" Target="pivotCache/pivotCacheDefinition11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scenarier.xlsm]Arealanvendelse pivot!Areal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Arealanvendelse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1124765942227181"/>
          <c:y val="0.10679194181402747"/>
          <c:w val="0.7603971618522648"/>
          <c:h val="0.559043890620614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pivot'!$B$2:$B$3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pivot'!$A$4:$A$14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pivot'!$B$4:$B$14</c:f>
              <c:numCache>
                <c:formatCode>#,##0</c:formatCode>
                <c:ptCount val="8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  <c:pt idx="3">
                  <c:v>65860</c:v>
                </c:pt>
                <c:pt idx="4">
                  <c:v>65860</c:v>
                </c:pt>
                <c:pt idx="5">
                  <c:v>65860</c:v>
                </c:pt>
                <c:pt idx="6">
                  <c:v>65860</c:v>
                </c:pt>
                <c:pt idx="7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8-46AB-9186-0611D161CFC6}"/>
            </c:ext>
          </c:extLst>
        </c:ser>
        <c:ser>
          <c:idx val="1"/>
          <c:order val="1"/>
          <c:tx>
            <c:strRef>
              <c:f>'Arealanvendelse pivot'!$C$2:$C$3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pivot'!$A$4:$A$14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pivot'!$C$4:$C$14</c:f>
              <c:numCache>
                <c:formatCode>#,##0</c:formatCode>
                <c:ptCount val="8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  <c:pt idx="3">
                  <c:v>591230</c:v>
                </c:pt>
                <c:pt idx="4">
                  <c:v>591230</c:v>
                </c:pt>
                <c:pt idx="5">
                  <c:v>591230</c:v>
                </c:pt>
                <c:pt idx="6">
                  <c:v>591230</c:v>
                </c:pt>
                <c:pt idx="7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8-46AB-9186-0611D161CFC6}"/>
            </c:ext>
          </c:extLst>
        </c:ser>
        <c:ser>
          <c:idx val="2"/>
          <c:order val="2"/>
          <c:tx>
            <c:strRef>
              <c:f>'Arealanvendelse pivot'!$D$2:$D$3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pivot'!$A$4:$A$14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pivot'!$D$4:$D$14</c:f>
              <c:numCache>
                <c:formatCode>#,##0</c:formatCode>
                <c:ptCount val="8"/>
                <c:pt idx="0">
                  <c:v>2542469.9999999995</c:v>
                </c:pt>
                <c:pt idx="1">
                  <c:v>2542469.9999999995</c:v>
                </c:pt>
                <c:pt idx="2">
                  <c:v>2542470</c:v>
                </c:pt>
                <c:pt idx="3">
                  <c:v>2542470</c:v>
                </c:pt>
                <c:pt idx="4">
                  <c:v>2504470</c:v>
                </c:pt>
                <c:pt idx="5">
                  <c:v>2504470</c:v>
                </c:pt>
                <c:pt idx="6">
                  <c:v>2504470</c:v>
                </c:pt>
                <c:pt idx="7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8-46AB-9186-0611D161CFC6}"/>
            </c:ext>
          </c:extLst>
        </c:ser>
        <c:ser>
          <c:idx val="3"/>
          <c:order val="3"/>
          <c:tx>
            <c:strRef>
              <c:f>'Arealanvendelse pivot'!$E$2:$E$3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pivot'!$A$4:$A$14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pivot'!$E$4:$E$14</c:f>
              <c:numCache>
                <c:formatCode>#,##0</c:formatCode>
                <c:ptCount val="8"/>
                <c:pt idx="0">
                  <c:v>487920</c:v>
                </c:pt>
                <c:pt idx="1">
                  <c:v>487920</c:v>
                </c:pt>
                <c:pt idx="2">
                  <c:v>487920</c:v>
                </c:pt>
                <c:pt idx="3">
                  <c:v>487920</c:v>
                </c:pt>
                <c:pt idx="4">
                  <c:v>487920</c:v>
                </c:pt>
                <c:pt idx="5">
                  <c:v>487920</c:v>
                </c:pt>
                <c:pt idx="6">
                  <c:v>487920</c:v>
                </c:pt>
                <c:pt idx="7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498-46AB-9186-0611D161CFC6}"/>
            </c:ext>
          </c:extLst>
        </c:ser>
        <c:ser>
          <c:idx val="4"/>
          <c:order val="4"/>
          <c:tx>
            <c:strRef>
              <c:f>'Arealanvendelse pivot'!$F$2:$F$3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pivot'!$A$4:$A$14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pivot'!$F$4:$F$14</c:f>
              <c:numCache>
                <c:formatCode>#,##0</c:formatCode>
                <c:ptCount val="8"/>
                <c:pt idx="0">
                  <c:v>582800</c:v>
                </c:pt>
                <c:pt idx="1">
                  <c:v>582800</c:v>
                </c:pt>
                <c:pt idx="2">
                  <c:v>582800</c:v>
                </c:pt>
                <c:pt idx="3">
                  <c:v>582800</c:v>
                </c:pt>
                <c:pt idx="4">
                  <c:v>620800</c:v>
                </c:pt>
                <c:pt idx="5">
                  <c:v>620800</c:v>
                </c:pt>
                <c:pt idx="6">
                  <c:v>620800</c:v>
                </c:pt>
                <c:pt idx="7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498-46AB-9186-0611D161C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5"/>
        <c:overlap val="100"/>
        <c:axId val="835835296"/>
        <c:axId val="835835712"/>
      </c:barChart>
      <c:catAx>
        <c:axId val="835835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5835712"/>
        <c:crosses val="autoZero"/>
        <c:auto val="1"/>
        <c:lblAlgn val="ctr"/>
        <c:lblOffset val="100"/>
        <c:noMultiLvlLbl val="0"/>
      </c:catAx>
      <c:valAx>
        <c:axId val="835835712"/>
        <c:scaling>
          <c:orientation val="minMax"/>
          <c:max val="45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layout>
            <c:manualLayout>
              <c:xMode val="edge"/>
              <c:yMode val="edge"/>
              <c:x val="6.7633145791832338E-3"/>
              <c:y val="9.111679051375609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583529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scenarier.xlsm]Arealanvendelse pivot 2019!Areal2019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733041253785764"/>
          <c:y val="0.10858431836091409"/>
          <c:w val="0.39268866235257482"/>
          <c:h val="0.55927423167848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pivot 2019'!$B$3:$B$4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2019'!$B$5:$B$6</c:f>
              <c:numCache>
                <c:formatCode>General</c:formatCode>
                <c:ptCount val="1"/>
                <c:pt idx="0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24-44E1-B7F9-9DFB6B20E9C9}"/>
            </c:ext>
          </c:extLst>
        </c:ser>
        <c:ser>
          <c:idx val="1"/>
          <c:order val="1"/>
          <c:tx>
            <c:strRef>
              <c:f>'Arealanvendelse pivot 2019'!$C$3:$C$4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2019'!$C$5:$C$6</c:f>
              <c:numCache>
                <c:formatCode>General</c:formatCode>
                <c:ptCount val="1"/>
                <c:pt idx="0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24-44E1-B7F9-9DFB6B20E9C9}"/>
            </c:ext>
          </c:extLst>
        </c:ser>
        <c:ser>
          <c:idx val="2"/>
          <c:order val="2"/>
          <c:tx>
            <c:strRef>
              <c:f>'Arealanvendelse pivot 2019'!$D$3:$D$4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2019'!$D$5:$D$6</c:f>
              <c:numCache>
                <c:formatCode>General</c:formatCode>
                <c:ptCount val="1"/>
                <c:pt idx="0">
                  <c:v>2578370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24-44E1-B7F9-9DFB6B20E9C9}"/>
            </c:ext>
          </c:extLst>
        </c:ser>
        <c:ser>
          <c:idx val="3"/>
          <c:order val="3"/>
          <c:tx>
            <c:strRef>
              <c:f>'Arealanvendelse pivot 2019'!$E$3:$E$4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2019'!$E$5:$E$6</c:f>
              <c:numCache>
                <c:formatCode>General</c:formatCode>
                <c:ptCount val="1"/>
                <c:pt idx="0">
                  <c:v>472920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24-44E1-B7F9-9DFB6B20E9C9}"/>
            </c:ext>
          </c:extLst>
        </c:ser>
        <c:ser>
          <c:idx val="4"/>
          <c:order val="4"/>
          <c:tx>
            <c:strRef>
              <c:f>'Arealanvendelse pivot 2019'!$F$3:$F$4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2019'!$F$5:$F$6</c:f>
              <c:numCache>
                <c:formatCode>General</c:formatCode>
                <c:ptCount val="1"/>
                <c:pt idx="0">
                  <c:v>561900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24-44E1-B7F9-9DFB6B20E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6927487"/>
        <c:axId val="836925407"/>
      </c:barChart>
      <c:catAx>
        <c:axId val="836927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6925407"/>
        <c:crosses val="autoZero"/>
        <c:auto val="1"/>
        <c:lblAlgn val="ctr"/>
        <c:lblOffset val="0"/>
        <c:noMultiLvlLbl val="0"/>
      </c:catAx>
      <c:valAx>
        <c:axId val="836925407"/>
        <c:scaling>
          <c:orientation val="minMax"/>
          <c:max val="45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6927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scenarier.xlsm]Arealanvendelse landbrug pivot!Areal land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Afgrødefordeling landbrugsjord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4169703036678977"/>
          <c:y val="0.10811505303410107"/>
          <c:w val="0.73912639672248159"/>
          <c:h val="0.4197211980908285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landbrug pivot'!$B$2:$B$3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landbrug pivot'!$B$4:$B$14</c:f>
              <c:numCache>
                <c:formatCode>#,##0</c:formatCode>
                <c:ptCount val="8"/>
                <c:pt idx="0">
                  <c:v>75894.211512917434</c:v>
                </c:pt>
                <c:pt idx="1">
                  <c:v>75894.211512917434</c:v>
                </c:pt>
                <c:pt idx="2">
                  <c:v>75894.211512917434</c:v>
                </c:pt>
                <c:pt idx="3">
                  <c:v>75894.211512917464</c:v>
                </c:pt>
                <c:pt idx="4">
                  <c:v>74611.772091610444</c:v>
                </c:pt>
                <c:pt idx="5">
                  <c:v>74611.772091610444</c:v>
                </c:pt>
                <c:pt idx="6">
                  <c:v>74611.772091610444</c:v>
                </c:pt>
                <c:pt idx="7">
                  <c:v>74611.772091610459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82-4D5E-9DC0-CB4558CE8AB3}"/>
            </c:ext>
          </c:extLst>
        </c:ser>
        <c:ser>
          <c:idx val="1"/>
          <c:order val="1"/>
          <c:tx>
            <c:strRef>
              <c:f>'Arealanvendelse landbrug pivot'!$C$2:$C$3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landbrug pivot'!$C$4:$C$14</c:f>
              <c:numCache>
                <c:formatCode>#,##0</c:formatCode>
                <c:ptCount val="8"/>
                <c:pt idx="0">
                  <c:v>106321.49282550839</c:v>
                </c:pt>
                <c:pt idx="1">
                  <c:v>106321.49282550839</c:v>
                </c:pt>
                <c:pt idx="2">
                  <c:v>106321.49282550839</c:v>
                </c:pt>
                <c:pt idx="3">
                  <c:v>106321.49282550841</c:v>
                </c:pt>
                <c:pt idx="4">
                  <c:v>104996.92661899899</c:v>
                </c:pt>
                <c:pt idx="5">
                  <c:v>104996.92661899899</c:v>
                </c:pt>
                <c:pt idx="6">
                  <c:v>104996.926618999</c:v>
                </c:pt>
                <c:pt idx="7">
                  <c:v>104996.926618999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82-4D5E-9DC0-CB4558CE8AB3}"/>
            </c:ext>
          </c:extLst>
        </c:ser>
        <c:ser>
          <c:idx val="2"/>
          <c:order val="2"/>
          <c:tx>
            <c:strRef>
              <c:f>'Arealanvendelse landbrug pivot'!$D$2:$D$3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landbrug pivot'!$D$4:$D$14</c:f>
              <c:numCache>
                <c:formatCode>#,##0</c:formatCode>
                <c:ptCount val="8"/>
                <c:pt idx="0">
                  <c:v>5061.7462007604217</c:v>
                </c:pt>
                <c:pt idx="1">
                  <c:v>5061.7462007604217</c:v>
                </c:pt>
                <c:pt idx="2">
                  <c:v>5061.7462007604208</c:v>
                </c:pt>
                <c:pt idx="3">
                  <c:v>5061.7462007604208</c:v>
                </c:pt>
                <c:pt idx="4">
                  <c:v>4992.9413474389539</c:v>
                </c:pt>
                <c:pt idx="5">
                  <c:v>4992.9413474389539</c:v>
                </c:pt>
                <c:pt idx="6">
                  <c:v>4992.9413474389539</c:v>
                </c:pt>
                <c:pt idx="7">
                  <c:v>4992.9413474389548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82-4D5E-9DC0-CB4558CE8AB3}"/>
            </c:ext>
          </c:extLst>
        </c:ser>
        <c:ser>
          <c:idx val="3"/>
          <c:order val="3"/>
          <c:tx>
            <c:strRef>
              <c:f>'Arealanvendelse landbrug pivot'!$E$2:$E$3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landbrug pivot'!$E$4:$E$14</c:f>
              <c:numCache>
                <c:formatCode>#,##0</c:formatCode>
                <c:ptCount val="8"/>
                <c:pt idx="0">
                  <c:v>282589.13188024791</c:v>
                </c:pt>
                <c:pt idx="1">
                  <c:v>282589.13188024791</c:v>
                </c:pt>
                <c:pt idx="2">
                  <c:v>282589.13188024791</c:v>
                </c:pt>
                <c:pt idx="3">
                  <c:v>282589.13188024791</c:v>
                </c:pt>
                <c:pt idx="4">
                  <c:v>278445.99362396839</c:v>
                </c:pt>
                <c:pt idx="5">
                  <c:v>278445.99362396839</c:v>
                </c:pt>
                <c:pt idx="6">
                  <c:v>278445.99362396839</c:v>
                </c:pt>
                <c:pt idx="7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382-4D5E-9DC0-CB4558CE8AB3}"/>
            </c:ext>
          </c:extLst>
        </c:ser>
        <c:ser>
          <c:idx val="4"/>
          <c:order val="4"/>
          <c:tx>
            <c:strRef>
              <c:f>'Arealanvendelse landbrug pivot'!$F$2:$F$3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landbrug pivot'!$F$4:$F$14</c:f>
              <c:numCache>
                <c:formatCode>#,##0</c:formatCode>
                <c:ptCount val="8"/>
                <c:pt idx="0">
                  <c:v>12639.370816764706</c:v>
                </c:pt>
                <c:pt idx="1">
                  <c:v>12639.370816764706</c:v>
                </c:pt>
                <c:pt idx="2">
                  <c:v>12639.370816764704</c:v>
                </c:pt>
                <c:pt idx="3">
                  <c:v>12639.370816764704</c:v>
                </c:pt>
                <c:pt idx="4">
                  <c:v>12457.143108539938</c:v>
                </c:pt>
                <c:pt idx="5">
                  <c:v>12457.143108539938</c:v>
                </c:pt>
                <c:pt idx="6">
                  <c:v>12457.143108539938</c:v>
                </c:pt>
                <c:pt idx="7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382-4D5E-9DC0-CB4558CE8AB3}"/>
            </c:ext>
          </c:extLst>
        </c:ser>
        <c:ser>
          <c:idx val="5"/>
          <c:order val="5"/>
          <c:tx>
            <c:strRef>
              <c:f>'Arealanvendelse landbrug pivot'!$G$2:$G$3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landbrug pivot'!$G$4:$G$14</c:f>
              <c:numCache>
                <c:formatCode>#,##0</c:formatCode>
                <c:ptCount val="8"/>
                <c:pt idx="0">
                  <c:v>18710.553661240276</c:v>
                </c:pt>
                <c:pt idx="1">
                  <c:v>18710.553661240276</c:v>
                </c:pt>
                <c:pt idx="2">
                  <c:v>18710.553661240276</c:v>
                </c:pt>
                <c:pt idx="3">
                  <c:v>18710.553661240279</c:v>
                </c:pt>
                <c:pt idx="4">
                  <c:v>18409.47067327406</c:v>
                </c:pt>
                <c:pt idx="5">
                  <c:v>18409.47067327406</c:v>
                </c:pt>
                <c:pt idx="6">
                  <c:v>18409.470673274052</c:v>
                </c:pt>
                <c:pt idx="7">
                  <c:v>18409.470673274056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382-4D5E-9DC0-CB4558CE8AB3}"/>
            </c:ext>
          </c:extLst>
        </c:ser>
        <c:ser>
          <c:idx val="6"/>
          <c:order val="6"/>
          <c:tx>
            <c:strRef>
              <c:f>'Arealanvendelse landbrug pivot'!$H$2:$H$3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landbrug pivot'!$H$4:$H$14</c:f>
              <c:numCache>
                <c:formatCode>#,##0</c:formatCode>
                <c:ptCount val="8"/>
                <c:pt idx="0">
                  <c:v>54298.35247077707</c:v>
                </c:pt>
                <c:pt idx="1">
                  <c:v>54298.35247077707</c:v>
                </c:pt>
                <c:pt idx="2">
                  <c:v>54298.352470777063</c:v>
                </c:pt>
                <c:pt idx="3">
                  <c:v>54298.35247077707</c:v>
                </c:pt>
                <c:pt idx="4">
                  <c:v>53367.370861566276</c:v>
                </c:pt>
                <c:pt idx="5">
                  <c:v>53367.370861566276</c:v>
                </c:pt>
                <c:pt idx="6">
                  <c:v>53367.370861566276</c:v>
                </c:pt>
                <c:pt idx="7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382-4D5E-9DC0-CB4558CE8AB3}"/>
            </c:ext>
          </c:extLst>
        </c:ser>
        <c:ser>
          <c:idx val="7"/>
          <c:order val="7"/>
          <c:tx>
            <c:strRef>
              <c:f>'Arealanvendelse landbrug pivot'!$I$2:$I$3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landbrug pivot'!$I$4:$I$14</c:f>
              <c:numCache>
                <c:formatCode>#,##0</c:formatCode>
                <c:ptCount val="8"/>
                <c:pt idx="0">
                  <c:v>1323109.1146040615</c:v>
                </c:pt>
                <c:pt idx="1">
                  <c:v>1323109.1146040615</c:v>
                </c:pt>
                <c:pt idx="2">
                  <c:v>1323109.1146040615</c:v>
                </c:pt>
                <c:pt idx="3">
                  <c:v>1323109.1146040615</c:v>
                </c:pt>
                <c:pt idx="4">
                  <c:v>1303035.234021947</c:v>
                </c:pt>
                <c:pt idx="5">
                  <c:v>1303035.234021947</c:v>
                </c:pt>
                <c:pt idx="6">
                  <c:v>1303035.2340219468</c:v>
                </c:pt>
                <c:pt idx="7">
                  <c:v>1303035.2340219466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382-4D5E-9DC0-CB4558CE8AB3}"/>
            </c:ext>
          </c:extLst>
        </c:ser>
        <c:ser>
          <c:idx val="8"/>
          <c:order val="8"/>
          <c:tx>
            <c:strRef>
              <c:f>'Arealanvendelse landbrug pivot'!$J$2:$J$3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landbrug pivot'!$J$4:$J$14</c:f>
              <c:numCache>
                <c:formatCode>#,##0</c:formatCode>
                <c:ptCount val="8"/>
                <c:pt idx="0">
                  <c:v>177819.27950831145</c:v>
                </c:pt>
                <c:pt idx="1">
                  <c:v>177819.27950831145</c:v>
                </c:pt>
                <c:pt idx="2">
                  <c:v>177819.27950831145</c:v>
                </c:pt>
                <c:pt idx="3">
                  <c:v>177819.27950831153</c:v>
                </c:pt>
                <c:pt idx="4">
                  <c:v>174714.53228951979</c:v>
                </c:pt>
                <c:pt idx="5">
                  <c:v>174714.53228951979</c:v>
                </c:pt>
                <c:pt idx="6">
                  <c:v>174714.53228951979</c:v>
                </c:pt>
                <c:pt idx="7">
                  <c:v>174714.53228951976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82-4D5E-9DC0-CB4558CE8AB3}"/>
            </c:ext>
          </c:extLst>
        </c:ser>
        <c:ser>
          <c:idx val="9"/>
          <c:order val="9"/>
          <c:tx>
            <c:strRef>
              <c:f>'Arealanvendelse landbrug pivot'!$K$2:$K$3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landbrug pivot'!$K$4:$K$14</c:f>
              <c:numCache>
                <c:formatCode>#,##0</c:formatCode>
                <c:ptCount val="8"/>
                <c:pt idx="0">
                  <c:v>69104.195969111795</c:v>
                </c:pt>
                <c:pt idx="1">
                  <c:v>69104.195969111795</c:v>
                </c:pt>
                <c:pt idx="2">
                  <c:v>69104.19596911181</c:v>
                </c:pt>
                <c:pt idx="3">
                  <c:v>69104.195969111825</c:v>
                </c:pt>
                <c:pt idx="4">
                  <c:v>68021.901921824086</c:v>
                </c:pt>
                <c:pt idx="5">
                  <c:v>68021.901921824086</c:v>
                </c:pt>
                <c:pt idx="6">
                  <c:v>68021.901921824072</c:v>
                </c:pt>
                <c:pt idx="7">
                  <c:v>68021.901921824072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382-4D5E-9DC0-CB4558CE8AB3}"/>
            </c:ext>
          </c:extLst>
        </c:ser>
        <c:ser>
          <c:idx val="10"/>
          <c:order val="10"/>
          <c:tx>
            <c:strRef>
              <c:f>'Arealanvendelse landbrug pivot'!$L$2:$L$3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landbrug pivot'!$L$4:$L$14</c:f>
              <c:numCache>
                <c:formatCode>#,##0</c:formatCode>
                <c:ptCount val="8"/>
                <c:pt idx="0">
                  <c:v>214938.45789911941</c:v>
                </c:pt>
                <c:pt idx="1">
                  <c:v>214938.45789911941</c:v>
                </c:pt>
                <c:pt idx="2">
                  <c:v>214938.45789911941</c:v>
                </c:pt>
                <c:pt idx="3">
                  <c:v>214938.45789911941</c:v>
                </c:pt>
                <c:pt idx="4">
                  <c:v>212209.58099609043</c:v>
                </c:pt>
                <c:pt idx="5">
                  <c:v>212209.58099609043</c:v>
                </c:pt>
                <c:pt idx="6">
                  <c:v>212209.58099609046</c:v>
                </c:pt>
                <c:pt idx="7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382-4D5E-9DC0-CB4558CE8AB3}"/>
            </c:ext>
          </c:extLst>
        </c:ser>
        <c:ser>
          <c:idx val="11"/>
          <c:order val="11"/>
          <c:tx>
            <c:strRef>
              <c:f>'Arealanvendelse landbrug pivot'!$M$2:$M$3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landbrug pivot'!$M$4:$M$14</c:f>
              <c:numCache>
                <c:formatCode>#,##0</c:formatCode>
                <c:ptCount val="8"/>
                <c:pt idx="0">
                  <c:v>8385.8091715253049</c:v>
                </c:pt>
                <c:pt idx="1">
                  <c:v>8385.8091715253049</c:v>
                </c:pt>
                <c:pt idx="2">
                  <c:v>8385.8091715253049</c:v>
                </c:pt>
                <c:pt idx="3">
                  <c:v>8385.8091715253031</c:v>
                </c:pt>
                <c:pt idx="4">
                  <c:v>8272.9113069354553</c:v>
                </c:pt>
                <c:pt idx="5">
                  <c:v>8272.9113069354553</c:v>
                </c:pt>
                <c:pt idx="6">
                  <c:v>8272.9113069354553</c:v>
                </c:pt>
                <c:pt idx="7">
                  <c:v>8272.9113069354571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382-4D5E-9DC0-CB4558CE8AB3}"/>
            </c:ext>
          </c:extLst>
        </c:ser>
        <c:ser>
          <c:idx val="12"/>
          <c:order val="12"/>
          <c:tx>
            <c:strRef>
              <c:f>'Arealanvendelse landbrug pivot'!$N$2:$N$3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landbrug pivot'!$N$4:$N$14</c:f>
              <c:numCache>
                <c:formatCode>#,##0</c:formatCode>
                <c:ptCount val="8"/>
                <c:pt idx="0">
                  <c:v>159802.81644068591</c:v>
                </c:pt>
                <c:pt idx="1">
                  <c:v>159802.81644068591</c:v>
                </c:pt>
                <c:pt idx="2">
                  <c:v>159802.81644068591</c:v>
                </c:pt>
                <c:pt idx="3">
                  <c:v>159802.81644068589</c:v>
                </c:pt>
                <c:pt idx="4">
                  <c:v>157421.73721827005</c:v>
                </c:pt>
                <c:pt idx="5">
                  <c:v>157421.73721827005</c:v>
                </c:pt>
                <c:pt idx="6">
                  <c:v>157421.73721827002</c:v>
                </c:pt>
                <c:pt idx="7">
                  <c:v>157421.73721826999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382-4D5E-9DC0-CB4558CE8AB3}"/>
            </c:ext>
          </c:extLst>
        </c:ser>
        <c:ser>
          <c:idx val="13"/>
          <c:order val="13"/>
          <c:tx>
            <c:strRef>
              <c:f>'Arealanvendelse landbrug pivot'!$O$2:$O$3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'Arealanvendelse landbrug pivot'!$O$4:$O$14</c:f>
              <c:numCache>
                <c:formatCode>#,##0</c:formatCode>
                <c:ptCount val="8"/>
                <c:pt idx="0">
                  <c:v>33795.467038967829</c:v>
                </c:pt>
                <c:pt idx="1">
                  <c:v>33795.467038967829</c:v>
                </c:pt>
                <c:pt idx="2">
                  <c:v>33795.467038967829</c:v>
                </c:pt>
                <c:pt idx="3">
                  <c:v>33795.467038967829</c:v>
                </c:pt>
                <c:pt idx="4">
                  <c:v>33512.483920016224</c:v>
                </c:pt>
                <c:pt idx="5">
                  <c:v>33512.483920016224</c:v>
                </c:pt>
                <c:pt idx="6">
                  <c:v>33512.483920016224</c:v>
                </c:pt>
                <c:pt idx="7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382-4D5E-9DC0-CB4558CE8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5"/>
        <c:overlap val="100"/>
        <c:axId val="769569248"/>
        <c:axId val="769586304"/>
      </c:barChart>
      <c:catAx>
        <c:axId val="76956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69586304"/>
        <c:crosses val="autoZero"/>
        <c:auto val="1"/>
        <c:lblAlgn val="ctr"/>
        <c:lblOffset val="100"/>
        <c:noMultiLvlLbl val="0"/>
      </c:catAx>
      <c:valAx>
        <c:axId val="769586304"/>
        <c:scaling>
          <c:orientation val="minMax"/>
          <c:max val="3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layout>
            <c:manualLayout>
              <c:xMode val="edge"/>
              <c:yMode val="edge"/>
              <c:x val="4.4849108399413584E-2"/>
              <c:y val="0.101616268338712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695692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scenarier.xlsm]Arealanvendelse landbrug p2019!Areal land 2019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3002530831005215"/>
          <c:y val="0.13813031026133329"/>
          <c:w val="0.36060179067404735"/>
          <c:h val="0.5372236776701875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landbrug p2019'!$B$3:$B$4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p2019'!$B$5:$B$6</c:f>
              <c:numCache>
                <c:formatCode>#,##0</c:formatCode>
                <c:ptCount val="1"/>
                <c:pt idx="0">
                  <c:v>76853.212866422313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3F-46A8-8B4E-F81A9D50703A}"/>
            </c:ext>
          </c:extLst>
        </c:ser>
        <c:ser>
          <c:idx val="1"/>
          <c:order val="1"/>
          <c:tx>
            <c:strRef>
              <c:f>'Arealanvendelse landbrug p2019'!$C$3:$C$4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p2019'!$C$5:$C$6</c:f>
              <c:numCache>
                <c:formatCode>#,##0</c:formatCode>
                <c:ptCount val="1"/>
                <c:pt idx="0">
                  <c:v>107817.02845272887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3F-46A8-8B4E-F81A9D50703A}"/>
            </c:ext>
          </c:extLst>
        </c:ser>
        <c:ser>
          <c:idx val="2"/>
          <c:order val="2"/>
          <c:tx>
            <c:strRef>
              <c:f>'Arealanvendelse landbrug p2019'!$D$3:$D$4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p2019'!$D$5:$D$6</c:f>
              <c:numCache>
                <c:formatCode>#,##0</c:formatCode>
                <c:ptCount val="1"/>
                <c:pt idx="0">
                  <c:v>5114.780893105908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3F-46A8-8B4E-F81A9D50703A}"/>
            </c:ext>
          </c:extLst>
        </c:ser>
        <c:ser>
          <c:idx val="3"/>
          <c:order val="3"/>
          <c:tx>
            <c:strRef>
              <c:f>'Arealanvendelse landbrug p2019'!$E$3:$E$4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p2019'!$E$5:$E$6</c:f>
              <c:numCache>
                <c:formatCode>#,##0</c:formatCode>
                <c:ptCount val="1"/>
                <c:pt idx="0">
                  <c:v>288931.41565564787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3F-46A8-8B4E-F81A9D50703A}"/>
            </c:ext>
          </c:extLst>
        </c:ser>
        <c:ser>
          <c:idx val="4"/>
          <c:order val="4"/>
          <c:tx>
            <c:strRef>
              <c:f>'Arealanvendelse landbrug p2019'!$F$3:$F$4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p2019'!$F$5:$F$6</c:f>
              <c:numCache>
                <c:formatCode>#,##0</c:formatCode>
                <c:ptCount val="1"/>
                <c:pt idx="0">
                  <c:v>12752.078568827996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D3F-46A8-8B4E-F81A9D50703A}"/>
            </c:ext>
          </c:extLst>
        </c:ser>
        <c:ser>
          <c:idx val="5"/>
          <c:order val="5"/>
          <c:tx>
            <c:strRef>
              <c:f>'Arealanvendelse landbrug p2019'!$G$3:$G$4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p2019'!$G$5:$G$6</c:f>
              <c:numCache>
                <c:formatCode>#,##0</c:formatCode>
                <c:ptCount val="1"/>
                <c:pt idx="0">
                  <c:v>18942.696466746223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D3F-46A8-8B4E-F81A9D50703A}"/>
            </c:ext>
          </c:extLst>
        </c:ser>
        <c:ser>
          <c:idx val="6"/>
          <c:order val="6"/>
          <c:tx>
            <c:strRef>
              <c:f>'Arealanvendelse landbrug p2019'!$H$3:$H$4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p2019'!$H$5:$H$6</c:f>
              <c:numCache>
                <c:formatCode>#,##0</c:formatCode>
                <c:ptCount val="1"/>
                <c:pt idx="0">
                  <c:v>55075.520801981504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D3F-46A8-8B4E-F81A9D50703A}"/>
            </c:ext>
          </c:extLst>
        </c:ser>
        <c:ser>
          <c:idx val="7"/>
          <c:order val="7"/>
          <c:tx>
            <c:strRef>
              <c:f>'Arealanvendelse landbrug p2019'!$I$3:$I$4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p2019'!$I$5:$I$6</c:f>
              <c:numCache>
                <c:formatCode>#,##0</c:formatCode>
                <c:ptCount val="1"/>
                <c:pt idx="0">
                  <c:v>1337821.3326830012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D3F-46A8-8B4E-F81A9D50703A}"/>
            </c:ext>
          </c:extLst>
        </c:ser>
        <c:ser>
          <c:idx val="8"/>
          <c:order val="8"/>
          <c:tx>
            <c:strRef>
              <c:f>'Arealanvendelse landbrug p2019'!$J$3:$J$4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p2019'!$J$5:$J$6</c:f>
              <c:numCache>
                <c:formatCode>#,##0</c:formatCode>
                <c:ptCount val="1"/>
                <c:pt idx="0">
                  <c:v>180140.67588310441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3F-46A8-8B4E-F81A9D50703A}"/>
            </c:ext>
          </c:extLst>
        </c:ser>
        <c:ser>
          <c:idx val="9"/>
          <c:order val="9"/>
          <c:tx>
            <c:strRef>
              <c:f>'Arealanvendelse landbrug p2019'!$K$3:$K$4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p2019'!$K$5:$K$6</c:f>
              <c:numCache>
                <c:formatCode>#,##0</c:formatCode>
                <c:ptCount val="1"/>
                <c:pt idx="0">
                  <c:v>69938.636069140412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3F-46A8-8B4E-F81A9D50703A}"/>
            </c:ext>
          </c:extLst>
        </c:ser>
        <c:ser>
          <c:idx val="10"/>
          <c:order val="10"/>
          <c:tx>
            <c:strRef>
              <c:f>'Arealanvendelse landbrug p2019'!$L$3:$L$4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p2019'!$L$5:$L$6</c:f>
              <c:numCache>
                <c:formatCode>#,##0</c:formatCode>
                <c:ptCount val="1"/>
                <c:pt idx="0">
                  <c:v>221005.01507630604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D3F-46A8-8B4E-F81A9D50703A}"/>
            </c:ext>
          </c:extLst>
        </c:ser>
        <c:ser>
          <c:idx val="11"/>
          <c:order val="11"/>
          <c:tx>
            <c:strRef>
              <c:f>'Arealanvendelse landbrug p2019'!$M$3:$M$4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p2019'!$M$5:$M$6</c:f>
              <c:numCache>
                <c:formatCode>#,##0</c:formatCode>
                <c:ptCount val="1"/>
                <c:pt idx="0">
                  <c:v>8579.6273865744079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D3F-46A8-8B4E-F81A9D50703A}"/>
            </c:ext>
          </c:extLst>
        </c:ser>
        <c:ser>
          <c:idx val="12"/>
          <c:order val="12"/>
          <c:tx>
            <c:strRef>
              <c:f>'Arealanvendelse landbrug p2019'!$N$3:$N$4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p2019'!$N$5:$N$6</c:f>
              <c:numCache>
                <c:formatCode>#,##0</c:formatCode>
                <c:ptCount val="1"/>
                <c:pt idx="0">
                  <c:v>161431.62233269325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D3F-46A8-8B4E-F81A9D50703A}"/>
            </c:ext>
          </c:extLst>
        </c:ser>
        <c:ser>
          <c:idx val="13"/>
          <c:order val="13"/>
          <c:tx>
            <c:strRef>
              <c:f>'Arealanvendelse landbrug p2019'!$O$3:$O$4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p2019'!$O$5:$O$6</c:f>
              <c:numCache>
                <c:formatCode>#,##0</c:formatCode>
                <c:ptCount val="1"/>
                <c:pt idx="0">
                  <c:v>33966.356863719026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D3F-46A8-8B4E-F81A9D507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8173327"/>
        <c:axId val="838177903"/>
      </c:barChart>
      <c:catAx>
        <c:axId val="838173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77903"/>
        <c:crosses val="autoZero"/>
        <c:auto val="1"/>
        <c:lblAlgn val="ctr"/>
        <c:lblOffset val="100"/>
        <c:noMultiLvlLbl val="0"/>
      </c:catAx>
      <c:valAx>
        <c:axId val="838177903"/>
        <c:scaling>
          <c:orientation val="minMax"/>
          <c:max val="3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73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scenarier.xlsm]CO2e-udledning pivot!CO2-all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1587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2135725239887738"/>
          <c:y val="0.10872587254276832"/>
          <c:w val="0.75377292041728039"/>
          <c:h val="0.52683245102836718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'CO2e-udledning pivot'!$C$2:$C$3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'CO2e-udledning pivot'!$A$4:$A$14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'CO2e-udledning pivot'!$C$4:$C$14</c:f>
              <c:numCache>
                <c:formatCode>#,##0</c:formatCode>
                <c:ptCount val="8"/>
                <c:pt idx="0">
                  <c:v>-24610.813181900667</c:v>
                </c:pt>
                <c:pt idx="1">
                  <c:v>-24610.813181900667</c:v>
                </c:pt>
                <c:pt idx="2">
                  <c:v>-24610.813181900667</c:v>
                </c:pt>
                <c:pt idx="3">
                  <c:v>-24610.813181900667</c:v>
                </c:pt>
                <c:pt idx="4">
                  <c:v>-40179.115818099352</c:v>
                </c:pt>
                <c:pt idx="5">
                  <c:v>-40179.115818099352</c:v>
                </c:pt>
                <c:pt idx="6">
                  <c:v>-40179.115818099352</c:v>
                </c:pt>
                <c:pt idx="7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17-44F2-9719-805AD449E950}"/>
            </c:ext>
          </c:extLst>
        </c:ser>
        <c:ser>
          <c:idx val="2"/>
          <c:order val="2"/>
          <c:tx>
            <c:strRef>
              <c:f>'CO2e-udledning pivot'!$D$2:$D$3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'CO2e-udledning pivot'!$A$4:$A$14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'CO2e-udledning pivot'!$D$4:$D$14</c:f>
              <c:numCache>
                <c:formatCode>#,##0</c:formatCode>
                <c:ptCount val="8"/>
                <c:pt idx="0">
                  <c:v>5507316.8818720337</c:v>
                </c:pt>
                <c:pt idx="1">
                  <c:v>5507316.8818720337</c:v>
                </c:pt>
                <c:pt idx="2">
                  <c:v>5507316.8818720337</c:v>
                </c:pt>
                <c:pt idx="3">
                  <c:v>5507316.8818720337</c:v>
                </c:pt>
                <c:pt idx="4">
                  <c:v>5485230.909845111</c:v>
                </c:pt>
                <c:pt idx="5">
                  <c:v>4388184.7278760895</c:v>
                </c:pt>
                <c:pt idx="6">
                  <c:v>6582277.0918141343</c:v>
                </c:pt>
                <c:pt idx="7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17-44F2-9719-805AD449E950}"/>
            </c:ext>
          </c:extLst>
        </c:ser>
        <c:ser>
          <c:idx val="3"/>
          <c:order val="3"/>
          <c:tx>
            <c:strRef>
              <c:f>'CO2e-udledning pivot'!$E$2:$E$3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'CO2e-udledning pivot'!$A$4:$A$14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'CO2e-udledning pivot'!$E$4:$E$14</c:f>
              <c:numCache>
                <c:formatCode>#,##0</c:formatCode>
                <c:ptCount val="8"/>
                <c:pt idx="0">
                  <c:v>9296833.4976137169</c:v>
                </c:pt>
                <c:pt idx="1">
                  <c:v>9296833.4976137169</c:v>
                </c:pt>
                <c:pt idx="2">
                  <c:v>9296833.4976137187</c:v>
                </c:pt>
                <c:pt idx="3">
                  <c:v>9296833.4976137187</c:v>
                </c:pt>
                <c:pt idx="4">
                  <c:v>9211339.4377100542</c:v>
                </c:pt>
                <c:pt idx="5">
                  <c:v>9211339.4377100542</c:v>
                </c:pt>
                <c:pt idx="6">
                  <c:v>9211339.4377100561</c:v>
                </c:pt>
                <c:pt idx="7">
                  <c:v>9211339.4377100561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17-44F2-9719-805AD449E950}"/>
            </c:ext>
          </c:extLst>
        </c:ser>
        <c:ser>
          <c:idx val="4"/>
          <c:order val="4"/>
          <c:tx>
            <c:strRef>
              <c:f>'CO2e-udledning pivot'!$F$2:$F$3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'CO2e-udledning pivot'!$A$4:$A$14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'CO2e-udledning pivot'!$F$4:$F$14</c:f>
              <c:numCache>
                <c:formatCode>#,##0</c:formatCode>
                <c:ptCount val="8"/>
                <c:pt idx="0">
                  <c:v>-673285.95920501021</c:v>
                </c:pt>
                <c:pt idx="1">
                  <c:v>-673285.95920501021</c:v>
                </c:pt>
                <c:pt idx="2">
                  <c:v>-673285.95920501021</c:v>
                </c:pt>
                <c:pt idx="3">
                  <c:v>-673285.95920501021</c:v>
                </c:pt>
                <c:pt idx="4">
                  <c:v>-1552855.8846793412</c:v>
                </c:pt>
                <c:pt idx="5">
                  <c:v>-1552855.8846793412</c:v>
                </c:pt>
                <c:pt idx="6">
                  <c:v>-1552855.8846793412</c:v>
                </c:pt>
                <c:pt idx="7">
                  <c:v>-1552855.8846793412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17-44F2-9719-805AD449E950}"/>
            </c:ext>
          </c:extLst>
        </c:ser>
        <c:ser>
          <c:idx val="5"/>
          <c:order val="5"/>
          <c:tx>
            <c:strRef>
              <c:f>'CO2e-udledning pivot'!$G$2:$G$3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multiLvlStrRef>
              <c:f>'CO2e-udledning pivot'!$A$4:$A$14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'CO2e-udledning pivot'!$G$4:$G$14</c:f>
              <c:numCache>
                <c:formatCode>#,##0</c:formatCode>
                <c:ptCount val="8"/>
                <c:pt idx="0">
                  <c:v>-427424.28054807242</c:v>
                </c:pt>
                <c:pt idx="1">
                  <c:v>-427424.28054807242</c:v>
                </c:pt>
                <c:pt idx="2">
                  <c:v>-427424.28054807242</c:v>
                </c:pt>
                <c:pt idx="3">
                  <c:v>-427424.28054807242</c:v>
                </c:pt>
                <c:pt idx="4">
                  <c:v>-416519.2646097627</c:v>
                </c:pt>
                <c:pt idx="5">
                  <c:v>-333215.41168781015</c:v>
                </c:pt>
                <c:pt idx="6">
                  <c:v>-499823.11753171525</c:v>
                </c:pt>
                <c:pt idx="7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D-497E-85DF-2E3B18556516}"/>
            </c:ext>
          </c:extLst>
        </c:ser>
        <c:ser>
          <c:idx val="6"/>
          <c:order val="6"/>
          <c:tx>
            <c:strRef>
              <c:f>'CO2e-udledning pivot'!$H$2:$H$3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invertIfNegative val="0"/>
          <c:cat>
            <c:multiLvlStrRef>
              <c:f>'CO2e-udledning pivot'!$A$4:$A$14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'CO2e-udledning pivot'!$H$4:$H$14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E0-4CFC-B5D6-749C2220F2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5"/>
        <c:overlap val="100"/>
        <c:axId val="943497744"/>
        <c:axId val="943491088"/>
      </c:barChart>
      <c:lineChart>
        <c:grouping val="standard"/>
        <c:varyColors val="0"/>
        <c:ser>
          <c:idx val="0"/>
          <c:order val="0"/>
          <c:tx>
            <c:strRef>
              <c:f>'CO2e-udledning pivot'!$B$2:$B$3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'CO2e-udledning pivot'!$A$4:$A$14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'CO2e-udledning pivot'!$B$4:$B$14</c:f>
              <c:numCache>
                <c:formatCode>#,##0</c:formatCode>
                <c:ptCount val="8"/>
                <c:pt idx="0">
                  <c:v>13678829.326550771</c:v>
                </c:pt>
                <c:pt idx="1">
                  <c:v>13678829.326550771</c:v>
                </c:pt>
                <c:pt idx="2">
                  <c:v>13678829.326550771</c:v>
                </c:pt>
                <c:pt idx="3">
                  <c:v>13678829.326550771</c:v>
                </c:pt>
                <c:pt idx="4">
                  <c:v>12687016.082447957</c:v>
                </c:pt>
                <c:pt idx="5">
                  <c:v>11673273.753400896</c:v>
                </c:pt>
                <c:pt idx="6">
                  <c:v>13700758.411495024</c:v>
                </c:pt>
                <c:pt idx="7">
                  <c:v>12687016.082447957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817-44F2-9719-805AD449E9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3497744"/>
        <c:axId val="943491088"/>
      </c:lineChart>
      <c:catAx>
        <c:axId val="94349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43491088"/>
        <c:crosses val="autoZero"/>
        <c:auto val="1"/>
        <c:lblAlgn val="ctr"/>
        <c:lblOffset val="100"/>
        <c:noMultiLvlLbl val="0"/>
      </c:catAx>
      <c:valAx>
        <c:axId val="943491088"/>
        <c:scaling>
          <c:orientation val="minMax"/>
          <c:max val="2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  <a:r>
                  <a:rPr lang="en-GB" baseline="0"/>
                  <a:t> CO2-ækvivalenter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6.352372812520833E-3"/>
              <c:y val="6.314531341525997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4349774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scenarier.xlsm]CO2e-udledning pivot 2019!CO2-2019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2280135050722266"/>
          <c:y val="6.8502042277813979E-2"/>
          <c:w val="0.36895389900440417"/>
          <c:h val="0.5163856899914861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'CO2e-udledning pivot 2019'!$C$3:$C$4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2019'!$C$5:$C$6</c:f>
              <c:numCache>
                <c:formatCode>#,##0</c:formatCode>
                <c:ptCount val="1"/>
                <c:pt idx="0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7F-4569-8991-A8A01BCCADB3}"/>
            </c:ext>
          </c:extLst>
        </c:ser>
        <c:ser>
          <c:idx val="2"/>
          <c:order val="2"/>
          <c:tx>
            <c:strRef>
              <c:f>'CO2e-udledning pivot 2019'!$D$3:$D$4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2019'!$D$5:$D$6</c:f>
              <c:numCache>
                <c:formatCode>#,##0</c:formatCode>
                <c:ptCount val="1"/>
                <c:pt idx="0">
                  <c:v>5519261.9007367166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7F-4569-8991-A8A01BCCADB3}"/>
            </c:ext>
          </c:extLst>
        </c:ser>
        <c:ser>
          <c:idx val="3"/>
          <c:order val="3"/>
          <c:tx>
            <c:strRef>
              <c:f>'CO2e-udledning pivot 2019'!$E$3:$E$4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2019'!$E$5:$E$6</c:f>
              <c:numCache>
                <c:formatCode>#,##0</c:formatCode>
                <c:ptCount val="1"/>
                <c:pt idx="0">
                  <c:v>9725466.1897341833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7F-4569-8991-A8A01BCCADB3}"/>
            </c:ext>
          </c:extLst>
        </c:ser>
        <c:ser>
          <c:idx val="4"/>
          <c:order val="4"/>
          <c:tx>
            <c:strRef>
              <c:f>'CO2e-udledning pivot 2019'!$F$3:$F$4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2019'!$F$5:$F$6</c:f>
              <c:numCache>
                <c:formatCode>#,##0</c:formatCode>
                <c:ptCount val="1"/>
                <c:pt idx="0">
                  <c:v>-561900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7F-4569-8991-A8A01BCCADB3}"/>
            </c:ext>
          </c:extLst>
        </c:ser>
        <c:ser>
          <c:idx val="5"/>
          <c:order val="5"/>
          <c:tx>
            <c:strRef>
              <c:f>'CO2e-udledning pivot 2019'!$G$3:$G$4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2019'!$G$5:$G$6</c:f>
              <c:numCache>
                <c:formatCode>#,##0</c:formatCode>
                <c:ptCount val="1"/>
                <c:pt idx="0">
                  <c:v>-165207.21089505972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D7-443F-B210-0FF99BA58A6F}"/>
            </c:ext>
          </c:extLst>
        </c:ser>
        <c:ser>
          <c:idx val="6"/>
          <c:order val="6"/>
          <c:tx>
            <c:strRef>
              <c:f>'CO2e-udledning pivot 2019'!$H$3:$H$4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2019'!$H$5:$H$6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8-4EE2-9100-992BF0477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44411855"/>
        <c:axId val="1044412271"/>
      </c:barChart>
      <c:lineChart>
        <c:grouping val="standard"/>
        <c:varyColors val="0"/>
        <c:ser>
          <c:idx val="0"/>
          <c:order val="0"/>
          <c:tx>
            <c:strRef>
              <c:f>'CO2e-udledning pivot 2019'!$B$3:$B$4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2019'!$B$5:$B$6</c:f>
              <c:numCache>
                <c:formatCode>#,##0</c:formatCode>
                <c:ptCount val="1"/>
                <c:pt idx="0">
                  <c:v>14517462.442375844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E7F-4569-8991-A8A01BCCA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4411855"/>
        <c:axId val="1044412271"/>
      </c:lineChart>
      <c:catAx>
        <c:axId val="1044411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44412271"/>
        <c:crosses val="autoZero"/>
        <c:auto val="1"/>
        <c:lblAlgn val="ctr"/>
        <c:lblOffset val="100"/>
        <c:noMultiLvlLbl val="0"/>
      </c:catAx>
      <c:valAx>
        <c:axId val="1044412271"/>
        <c:scaling>
          <c:orientation val="minMax"/>
          <c:max val="20000000"/>
          <c:min val="-5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44411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scenarier.xlsm]Potentiale PJ!PotentialePJ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Potentiale til energianvendelse</a:t>
            </a:r>
            <a:endParaRPr lang="en-DK">
              <a:effectLst/>
            </a:endParaRPr>
          </a:p>
        </c:rich>
      </c:tx>
      <c:layout>
        <c:manualLayout>
          <c:xMode val="edge"/>
          <c:yMode val="edge"/>
          <c:x val="0.40369540064227194"/>
          <c:y val="1.41342912340735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dkUpDiag">
            <a:fgClr>
              <a:schemeClr val="accent4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dkUpDiag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dk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dkUpDiag">
            <a:fgClr>
              <a:schemeClr val="accent6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dkUpDiag">
            <a:fgClr>
              <a:schemeClr val="accent2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pattFill prst="dkUpDiag">
            <a:fgClr>
              <a:schemeClr val="accent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pattFill prst="dkUpDiag">
            <a:fgClr>
              <a:schemeClr val="accent2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pattFill prst="dkUpDiag">
            <a:fgClr>
              <a:schemeClr val="accent3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pattFill prst="dkUpDiag">
            <a:fgClr>
              <a:schemeClr val="accent4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pattFill prst="dkUpDiag">
            <a:fgClr>
              <a:schemeClr val="accent6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pattFill prst="dkUpDiag">
            <a:fgClr>
              <a:schemeClr val="accent1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pattFill prst="dkUpDiag">
            <a:fgClr>
              <a:schemeClr val="accent2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3210062637233095"/>
          <c:y val="9.6572325909267454E-2"/>
          <c:w val="0.7469753547984167"/>
          <c:h val="0.432608040035951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PJ'!$B$2:$B$4</c:f>
              <c:strCache>
                <c:ptCount val="1"/>
                <c:pt idx="0">
                  <c:v>Halm og strå - Sum of Restprodukter til energi [PJ]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'Potentiale PJ'!$A$5:$A$15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PJ'!$B$5:$B$15</c:f>
              <c:numCache>
                <c:formatCode>#,##0.00</c:formatCode>
                <c:ptCount val="8"/>
                <c:pt idx="0">
                  <c:v>26.93090541898259</c:v>
                </c:pt>
                <c:pt idx="1">
                  <c:v>26.93090541898259</c:v>
                </c:pt>
                <c:pt idx="2">
                  <c:v>26.93090541898259</c:v>
                </c:pt>
                <c:pt idx="3">
                  <c:v>26.93090541898259</c:v>
                </c:pt>
                <c:pt idx="4">
                  <c:v>24.858803548597578</c:v>
                </c:pt>
                <c:pt idx="5">
                  <c:v>32.884136275413141</c:v>
                </c:pt>
                <c:pt idx="6">
                  <c:v>16.833470821782004</c:v>
                </c:pt>
                <c:pt idx="7">
                  <c:v>24.858803548597574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A6-43AE-83F4-D8B6201B0735}"/>
            </c:ext>
          </c:extLst>
        </c:ser>
        <c:ser>
          <c:idx val="1"/>
          <c:order val="1"/>
          <c:tx>
            <c:strRef>
              <c:f>'Potentiale PJ'!$C$2:$C$4</c:f>
              <c:strCache>
                <c:ptCount val="1"/>
                <c:pt idx="0">
                  <c:v>Halm og strå - Sum of Biogasproduktion [PJ]</c:v>
                </c:pt>
              </c:strCache>
            </c:strRef>
          </c:tx>
          <c:spPr>
            <a:pattFill prst="dkUpDiag">
              <a:fgClr>
                <a:schemeClr val="accent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PJ'!$A$5:$A$15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PJ'!$C$5:$C$15</c:f>
              <c:numCache>
                <c:formatCode>#,##0.00</c:formatCode>
                <c:ptCount val="8"/>
                <c:pt idx="0">
                  <c:v>0.45076703431999993</c:v>
                </c:pt>
                <c:pt idx="1">
                  <c:v>0.45076703431999998</c:v>
                </c:pt>
                <c:pt idx="2">
                  <c:v>0.45076703431999998</c:v>
                </c:pt>
                <c:pt idx="3">
                  <c:v>0.45076703431999998</c:v>
                </c:pt>
                <c:pt idx="4">
                  <c:v>0.45076703432000009</c:v>
                </c:pt>
                <c:pt idx="5">
                  <c:v>0.45076703432000009</c:v>
                </c:pt>
                <c:pt idx="6">
                  <c:v>0.45076703432000009</c:v>
                </c:pt>
                <c:pt idx="7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A6-43AE-83F4-D8B6201B0735}"/>
            </c:ext>
          </c:extLst>
        </c:ser>
        <c:ser>
          <c:idx val="2"/>
          <c:order val="2"/>
          <c:tx>
            <c:strRef>
              <c:f>'Potentiale PJ'!$D$2:$D$4</c:f>
              <c:strCache>
                <c:ptCount val="1"/>
                <c:pt idx="0">
                  <c:v>Græs og urter - Sum of Restprodukter til energi [PJ]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'Potentiale PJ'!$A$5:$A$15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PJ'!$D$5:$D$15</c:f>
              <c:numCache>
                <c:formatCode>#,##0.00</c:formatCode>
                <c:ptCount val="8"/>
                <c:pt idx="0">
                  <c:v>19.850360529489279</c:v>
                </c:pt>
                <c:pt idx="1">
                  <c:v>19.850360529489279</c:v>
                </c:pt>
                <c:pt idx="2">
                  <c:v>19.850360529489279</c:v>
                </c:pt>
                <c:pt idx="3">
                  <c:v>19.850360529489279</c:v>
                </c:pt>
                <c:pt idx="4">
                  <c:v>18.206836134418594</c:v>
                </c:pt>
                <c:pt idx="5">
                  <c:v>28.335669039324991</c:v>
                </c:pt>
                <c:pt idx="6">
                  <c:v>8.0780032295121842</c:v>
                </c:pt>
                <c:pt idx="7">
                  <c:v>18.206836134418594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A6-43AE-83F4-D8B6201B0735}"/>
            </c:ext>
          </c:extLst>
        </c:ser>
        <c:ser>
          <c:idx val="3"/>
          <c:order val="3"/>
          <c:tx>
            <c:strRef>
              <c:f>'Potentiale PJ'!$E$2:$E$4</c:f>
              <c:strCache>
                <c:ptCount val="1"/>
                <c:pt idx="0">
                  <c:v>Græs og urter - Sum of Biogasproduktion [PJ]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PJ'!$A$5:$A$15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PJ'!$E$5:$E$15</c:f>
              <c:numCache>
                <c:formatCode>#,##0.00</c:formatCode>
                <c:ptCount val="8"/>
                <c:pt idx="0">
                  <c:v>1.4201719861750004</c:v>
                </c:pt>
                <c:pt idx="1">
                  <c:v>1.4201719861750004</c:v>
                </c:pt>
                <c:pt idx="2">
                  <c:v>1.4201719861750004</c:v>
                </c:pt>
                <c:pt idx="3">
                  <c:v>1.4201719861750004</c:v>
                </c:pt>
                <c:pt idx="4">
                  <c:v>1.4201719861750004</c:v>
                </c:pt>
                <c:pt idx="5">
                  <c:v>1.4201719861750002</c:v>
                </c:pt>
                <c:pt idx="6">
                  <c:v>1.4201719861750002</c:v>
                </c:pt>
                <c:pt idx="7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8A6-43AE-83F4-D8B6201B0735}"/>
            </c:ext>
          </c:extLst>
        </c:ser>
        <c:ser>
          <c:idx val="4"/>
          <c:order val="4"/>
          <c:tx>
            <c:strRef>
              <c:f>'Potentiale PJ'!$F$2:$F$4</c:f>
              <c:strCache>
                <c:ptCount val="1"/>
                <c:pt idx="0">
                  <c:v>Vedmasse - Sum of Restprodukter til energi [PJ]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'Potentiale PJ'!$A$5:$A$15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PJ'!$F$5:$F$15</c:f>
              <c:numCache>
                <c:formatCode>#,##0.00</c:formatCode>
                <c:ptCount val="8"/>
                <c:pt idx="0">
                  <c:v>45.280222691386172</c:v>
                </c:pt>
                <c:pt idx="1">
                  <c:v>45.280222691386165</c:v>
                </c:pt>
                <c:pt idx="2">
                  <c:v>45.280222691386165</c:v>
                </c:pt>
                <c:pt idx="3">
                  <c:v>45.280222691386165</c:v>
                </c:pt>
                <c:pt idx="4">
                  <c:v>41.352452170508414</c:v>
                </c:pt>
                <c:pt idx="5">
                  <c:v>41.352452170508407</c:v>
                </c:pt>
                <c:pt idx="6">
                  <c:v>41.352452170508407</c:v>
                </c:pt>
                <c:pt idx="7">
                  <c:v>41.352452170508407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8A6-43AE-83F4-D8B6201B0735}"/>
            </c:ext>
          </c:extLst>
        </c:ser>
        <c:ser>
          <c:idx val="5"/>
          <c:order val="5"/>
          <c:tx>
            <c:strRef>
              <c:f>'Potentiale PJ'!$G$2:$G$4</c:f>
              <c:strCache>
                <c:ptCount val="1"/>
                <c:pt idx="0">
                  <c:v>Vedmasse - Sum of Biogasproduktion [PJ]</c:v>
                </c:pt>
              </c:strCache>
            </c:strRef>
          </c:tx>
          <c:spPr>
            <a:pattFill prst="dkUpDiag">
              <a:fgClr>
                <a:schemeClr val="accent3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PJ'!$A$5:$A$15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PJ'!$G$5:$G$15</c:f>
              <c:numCache>
                <c:formatCode>#,##0.00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8A6-43AE-83F4-D8B6201B0735}"/>
            </c:ext>
          </c:extLst>
        </c:ser>
        <c:ser>
          <c:idx val="6"/>
          <c:order val="6"/>
          <c:tx>
            <c:strRef>
              <c:f>'Potentiale PJ'!$H$2:$H$4</c:f>
              <c:strCache>
                <c:ptCount val="1"/>
                <c:pt idx="0">
                  <c:v>Rapsolie - Sum of Restprodukter til energi [PJ]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'Potentiale PJ'!$A$5:$A$15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PJ'!$H$5:$H$15</c:f>
              <c:numCache>
                <c:formatCode>#,##0.00</c:formatCode>
                <c:ptCount val="8"/>
                <c:pt idx="0">
                  <c:v>7.9766231601288453</c:v>
                </c:pt>
                <c:pt idx="1">
                  <c:v>7.9766231601288453</c:v>
                </c:pt>
                <c:pt idx="2">
                  <c:v>7.9766231601288453</c:v>
                </c:pt>
                <c:pt idx="3">
                  <c:v>7.9766231601288453</c:v>
                </c:pt>
                <c:pt idx="4">
                  <c:v>7.7078751185296177</c:v>
                </c:pt>
                <c:pt idx="5">
                  <c:v>7.7078751185296177</c:v>
                </c:pt>
                <c:pt idx="6">
                  <c:v>7.7078751185296177</c:v>
                </c:pt>
                <c:pt idx="7">
                  <c:v>7.7078751185296177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8A6-43AE-83F4-D8B6201B0735}"/>
            </c:ext>
          </c:extLst>
        </c:ser>
        <c:ser>
          <c:idx val="7"/>
          <c:order val="7"/>
          <c:tx>
            <c:strRef>
              <c:f>'Potentiale PJ'!$I$2:$I$4</c:f>
              <c:strCache>
                <c:ptCount val="1"/>
                <c:pt idx="0">
                  <c:v>Rapsolie - Sum of Biogasproduktion [PJ]</c:v>
                </c:pt>
              </c:strCache>
            </c:strRef>
          </c:tx>
          <c:spPr>
            <a:pattFill prst="dkUpDiag">
              <a:fgClr>
                <a:schemeClr val="accent4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PJ'!$A$5:$A$15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PJ'!$I$5:$I$15</c:f>
              <c:numCache>
                <c:formatCode>#,##0.00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8A6-43AE-83F4-D8B6201B0735}"/>
            </c:ext>
          </c:extLst>
        </c:ser>
        <c:ser>
          <c:idx val="8"/>
          <c:order val="8"/>
          <c:tx>
            <c:strRef>
              <c:f>'Potentiale PJ'!$J$2:$J$4</c:f>
              <c:strCache>
                <c:ptCount val="1"/>
                <c:pt idx="0">
                  <c:v>Husdyrgødning - Sum of Restprodukter til energi [PJ]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'Potentiale PJ'!$A$5:$A$15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PJ'!$J$5:$J$15</c:f>
              <c:numCache>
                <c:formatCode>#,##0.00</c:formatCode>
                <c:ptCount val="8"/>
                <c:pt idx="0">
                  <c:v>2.5858784763692717</c:v>
                </c:pt>
                <c:pt idx="1">
                  <c:v>2.5858784763692717</c:v>
                </c:pt>
                <c:pt idx="2">
                  <c:v>2.5858784763692717</c:v>
                </c:pt>
                <c:pt idx="3">
                  <c:v>2.5858784763692717</c:v>
                </c:pt>
                <c:pt idx="4">
                  <c:v>2.671413213735077</c:v>
                </c:pt>
                <c:pt idx="5">
                  <c:v>2.1371305709880613</c:v>
                </c:pt>
                <c:pt idx="6">
                  <c:v>3.2056958564820937</c:v>
                </c:pt>
                <c:pt idx="7">
                  <c:v>2.6714132137350779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8A6-43AE-83F4-D8B6201B0735}"/>
            </c:ext>
          </c:extLst>
        </c:ser>
        <c:ser>
          <c:idx val="9"/>
          <c:order val="9"/>
          <c:tx>
            <c:strRef>
              <c:f>'Potentiale PJ'!$K$2:$K$4</c:f>
              <c:strCache>
                <c:ptCount val="1"/>
                <c:pt idx="0">
                  <c:v>Husdyrgødning - Sum of Biogasproduktion [PJ]</c:v>
                </c:pt>
              </c:strCache>
            </c:strRef>
          </c:tx>
          <c:spPr>
            <a:pattFill prst="dkUpDiag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PJ'!$A$5:$A$15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PJ'!$K$5:$K$15</c:f>
              <c:numCache>
                <c:formatCode>#,##0.00</c:formatCode>
                <c:ptCount val="8"/>
                <c:pt idx="0">
                  <c:v>12.53543651233441</c:v>
                </c:pt>
                <c:pt idx="1">
                  <c:v>12.53543651233441</c:v>
                </c:pt>
                <c:pt idx="2">
                  <c:v>12.53543651233441</c:v>
                </c:pt>
                <c:pt idx="3">
                  <c:v>12.53543651233441</c:v>
                </c:pt>
                <c:pt idx="4">
                  <c:v>12.420463246039292</c:v>
                </c:pt>
                <c:pt idx="5">
                  <c:v>9.9363705968314342</c:v>
                </c:pt>
                <c:pt idx="6">
                  <c:v>14.90455589524715</c:v>
                </c:pt>
                <c:pt idx="7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8A6-43AE-83F4-D8B6201B0735}"/>
            </c:ext>
          </c:extLst>
        </c:ser>
        <c:ser>
          <c:idx val="10"/>
          <c:order val="10"/>
          <c:tx>
            <c:strRef>
              <c:f>'Potentiale PJ'!$L$2:$L$4</c:f>
              <c:strCache>
                <c:ptCount val="1"/>
                <c:pt idx="0">
                  <c:v>Glycerin - Sum of Restprodukter til energi [PJ]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'Potentiale PJ'!$A$5:$A$15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PJ'!$L$5:$L$15</c:f>
              <c:numCache>
                <c:formatCode>#,##0.00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8A6-43AE-83F4-D8B6201B0735}"/>
            </c:ext>
          </c:extLst>
        </c:ser>
        <c:ser>
          <c:idx val="11"/>
          <c:order val="11"/>
          <c:tx>
            <c:strRef>
              <c:f>'Potentiale PJ'!$M$2:$M$4</c:f>
              <c:strCache>
                <c:ptCount val="1"/>
                <c:pt idx="0">
                  <c:v>Glycerin - Sum of Biogasproduktion [PJ]</c:v>
                </c:pt>
              </c:strCache>
            </c:strRef>
          </c:tx>
          <c:spPr>
            <a:pattFill prst="dkUp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PJ'!$A$5:$A$15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PJ'!$M$5:$M$15</c:f>
              <c:numCache>
                <c:formatCode>#,##0.00</c:formatCode>
                <c:ptCount val="8"/>
                <c:pt idx="0">
                  <c:v>2.1694819870080004</c:v>
                </c:pt>
                <c:pt idx="1">
                  <c:v>2.1694819870080004</c:v>
                </c:pt>
                <c:pt idx="2">
                  <c:v>2.1694819870080004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  <c:pt idx="6">
                  <c:v>2.1694819870080004</c:v>
                </c:pt>
                <c:pt idx="7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8A6-43AE-83F4-D8B6201B0735}"/>
            </c:ext>
          </c:extLst>
        </c:ser>
        <c:ser>
          <c:idx val="12"/>
          <c:order val="12"/>
          <c:tx>
            <c:strRef>
              <c:f>'Potentiale PJ'!$N$2:$N$4</c:f>
              <c:strCache>
                <c:ptCount val="1"/>
                <c:pt idx="0">
                  <c:v>Bionedbrydeligt affald - Sum of Restprodukter til energi [PJ]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'Potentiale PJ'!$A$5:$A$15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PJ'!$N$5:$N$15</c:f>
              <c:numCache>
                <c:formatCode>#,##0.00</c:formatCode>
                <c:ptCount val="8"/>
                <c:pt idx="0">
                  <c:v>19.810752704992641</c:v>
                </c:pt>
                <c:pt idx="1">
                  <c:v>19.810752704992638</c:v>
                </c:pt>
                <c:pt idx="2">
                  <c:v>19.810752704992638</c:v>
                </c:pt>
                <c:pt idx="3">
                  <c:v>19.810752704992638</c:v>
                </c:pt>
                <c:pt idx="4">
                  <c:v>19.90496446847807</c:v>
                </c:pt>
                <c:pt idx="5">
                  <c:v>19.897035061438991</c:v>
                </c:pt>
                <c:pt idx="6">
                  <c:v>20.231823778682944</c:v>
                </c:pt>
                <c:pt idx="7">
                  <c:v>19.90496446847807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8A6-43AE-83F4-D8B6201B0735}"/>
            </c:ext>
          </c:extLst>
        </c:ser>
        <c:ser>
          <c:idx val="13"/>
          <c:order val="13"/>
          <c:tx>
            <c:strRef>
              <c:f>'Potentiale PJ'!$O$2:$O$4</c:f>
              <c:strCache>
                <c:ptCount val="1"/>
                <c:pt idx="0">
                  <c:v>Bionedbrydeligt affald - Sum of Biogasproduktion [PJ]</c:v>
                </c:pt>
              </c:strCache>
            </c:strRef>
          </c:tx>
          <c:spPr>
            <a:pattFill prst="dkUpDiag">
              <a:fgClr>
                <a:schemeClr val="accent1">
                  <a:lumMod val="5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PJ'!$A$5:$A$15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PJ'!$O$5:$O$15</c:f>
              <c:numCache>
                <c:formatCode>#,##0.00</c:formatCode>
                <c:ptCount val="8"/>
                <c:pt idx="0">
                  <c:v>5.2990046407365279</c:v>
                </c:pt>
                <c:pt idx="1">
                  <c:v>5.2990046407365279</c:v>
                </c:pt>
                <c:pt idx="2">
                  <c:v>5.2990046407365279</c:v>
                </c:pt>
                <c:pt idx="3">
                  <c:v>5.2990046407365279</c:v>
                </c:pt>
                <c:pt idx="4">
                  <c:v>5.3654495190523512</c:v>
                </c:pt>
                <c:pt idx="5">
                  <c:v>5.3606050360007158</c:v>
                </c:pt>
                <c:pt idx="6">
                  <c:v>5.3702940021039831</c:v>
                </c:pt>
                <c:pt idx="7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8A6-43AE-83F4-D8B6201B0735}"/>
            </c:ext>
          </c:extLst>
        </c:ser>
        <c:ser>
          <c:idx val="14"/>
          <c:order val="14"/>
          <c:tx>
            <c:strRef>
              <c:f>'Potentiale PJ'!$P$2:$P$4</c:f>
              <c:strCache>
                <c:ptCount val="1"/>
                <c:pt idx="0">
                  <c:v>Havbiomasse - Sum of Restprodukter til energi [PJ]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'Potentiale PJ'!$A$5:$A$15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PJ'!$P$5:$P$15</c:f>
              <c:numCache>
                <c:formatCode>#,##0.00</c:formatCode>
                <c:ptCount val="8"/>
                <c:pt idx="0">
                  <c:v>0.14596282488120896</c:v>
                </c:pt>
                <c:pt idx="1">
                  <c:v>0.14596282488120893</c:v>
                </c:pt>
                <c:pt idx="2">
                  <c:v>0.14596282488120893</c:v>
                </c:pt>
                <c:pt idx="3">
                  <c:v>0.14596282488120893</c:v>
                </c:pt>
                <c:pt idx="4">
                  <c:v>0.23461711386879117</c:v>
                </c:pt>
                <c:pt idx="5">
                  <c:v>0.23461711386879117</c:v>
                </c:pt>
                <c:pt idx="6">
                  <c:v>0.23461711386879117</c:v>
                </c:pt>
                <c:pt idx="7">
                  <c:v>0.23461711386879117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8A6-43AE-83F4-D8B6201B0735}"/>
            </c:ext>
          </c:extLst>
        </c:ser>
        <c:ser>
          <c:idx val="15"/>
          <c:order val="15"/>
          <c:tx>
            <c:strRef>
              <c:f>'Potentiale PJ'!$Q$2:$Q$4</c:f>
              <c:strCache>
                <c:ptCount val="1"/>
                <c:pt idx="0">
                  <c:v>Havbiomasse - Sum of Biogasproduktion [PJ]</c:v>
                </c:pt>
              </c:strCache>
            </c:strRef>
          </c:tx>
          <c:spPr>
            <a:pattFill prst="dkUpDiag">
              <a:fgClr>
                <a:schemeClr val="accent2">
                  <a:lumMod val="5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PJ'!$A$5:$A$15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PJ'!$Q$5:$Q$15</c:f>
              <c:numCache>
                <c:formatCode>#,##0.00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8A6-43AE-83F4-D8B6201B07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9"/>
        <c:overlap val="100"/>
        <c:axId val="964273536"/>
        <c:axId val="964290176"/>
      </c:barChart>
      <c:catAx>
        <c:axId val="964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90176"/>
        <c:crosses val="autoZero"/>
        <c:auto val="1"/>
        <c:lblAlgn val="ctr"/>
        <c:lblOffset val="100"/>
        <c:noMultiLvlLbl val="0"/>
      </c:catAx>
      <c:valAx>
        <c:axId val="964290176"/>
        <c:scaling>
          <c:orientation val="minMax"/>
          <c:max val="1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PJ</a:t>
                </a:r>
              </a:p>
            </c:rich>
          </c:tx>
          <c:layout>
            <c:manualLayout>
              <c:xMode val="edge"/>
              <c:yMode val="edge"/>
              <c:x val="8.4477276377469518E-2"/>
              <c:y val="4.472369281484865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7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scenarier.xlsm]Potentiale PJ 2019!PotentialePJ2019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pattFill prst="dkUpDiag">
            <a:fgClr>
              <a:schemeClr val="accent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pattFill prst="dkUpDiag">
            <a:fgClr>
              <a:schemeClr val="accent2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pattFill prst="dkUpDiag">
            <a:fgClr>
              <a:schemeClr val="accent3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pattFill prst="dkUpDiag">
            <a:fgClr>
              <a:schemeClr val="accent4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pattFill prst="dkUpDiag">
            <a:fgClr>
              <a:schemeClr val="accent6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pattFill prst="dkUpDiag">
            <a:fgClr>
              <a:schemeClr val="tx2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pattFill prst="dkUpDiag">
            <a:fgClr>
              <a:schemeClr val="accent2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9522785694422774"/>
          <c:y val="0.13898290313009939"/>
          <c:w val="0.6047721430557722"/>
          <c:h val="0.5770523661177866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PJ 2019'!$B$3:$B$5</c:f>
              <c:strCache>
                <c:ptCount val="1"/>
                <c:pt idx="0">
                  <c:v>Halm og strå - Sum of Restprodukter til energi [PJ]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2019'!$B$6:$B$7</c:f>
              <c:numCache>
                <c:formatCode>#,##0.00</c:formatCode>
                <c:ptCount val="1"/>
                <c:pt idx="0">
                  <c:v>19.573590488557194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09-448C-83DE-1CC42C6DFE84}"/>
            </c:ext>
          </c:extLst>
        </c:ser>
        <c:ser>
          <c:idx val="1"/>
          <c:order val="1"/>
          <c:tx>
            <c:strRef>
              <c:f>'Potentiale PJ 2019'!$C$3:$C$5</c:f>
              <c:strCache>
                <c:ptCount val="1"/>
                <c:pt idx="0">
                  <c:v>Halm og strå - Sum of Biogasproduktion [PJ]</c:v>
                </c:pt>
              </c:strCache>
            </c:strRef>
          </c:tx>
          <c:spPr>
            <a:pattFill prst="dkUpDiag">
              <a:fgClr>
                <a:schemeClr val="accent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2019'!$C$6:$C$7</c:f>
              <c:numCache>
                <c:formatCode>#,##0.00</c:formatCode>
                <c:ptCount val="1"/>
                <c:pt idx="0">
                  <c:v>0.45076703431999998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09-448C-83DE-1CC42C6DFE84}"/>
            </c:ext>
          </c:extLst>
        </c:ser>
        <c:ser>
          <c:idx val="2"/>
          <c:order val="2"/>
          <c:tx>
            <c:strRef>
              <c:f>'Potentiale PJ 2019'!$D$3:$D$5</c:f>
              <c:strCache>
                <c:ptCount val="1"/>
                <c:pt idx="0">
                  <c:v>Græs og urter - Sum of Restprodukter til energi [PJ]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2019'!$D$6:$D$7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09-448C-83DE-1CC42C6DFE84}"/>
            </c:ext>
          </c:extLst>
        </c:ser>
        <c:ser>
          <c:idx val="3"/>
          <c:order val="3"/>
          <c:tx>
            <c:strRef>
              <c:f>'Potentiale PJ 2019'!$E$3:$E$5</c:f>
              <c:strCache>
                <c:ptCount val="1"/>
                <c:pt idx="0">
                  <c:v>Græs og urter - Sum of Biogasproduktion [PJ]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2019'!$E$6:$E$7</c:f>
              <c:numCache>
                <c:formatCode>#,##0.00</c:formatCode>
                <c:ptCount val="1"/>
                <c:pt idx="0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B09-448C-83DE-1CC42C6DFE84}"/>
            </c:ext>
          </c:extLst>
        </c:ser>
        <c:ser>
          <c:idx val="4"/>
          <c:order val="4"/>
          <c:tx>
            <c:strRef>
              <c:f>'Potentiale PJ 2019'!$F$3:$F$5</c:f>
              <c:strCache>
                <c:ptCount val="1"/>
                <c:pt idx="0">
                  <c:v>Vedmasse - Sum of Restprodukter til energi [PJ]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2019'!$F$6:$F$7</c:f>
              <c:numCache>
                <c:formatCode>#,##0.00</c:formatCode>
                <c:ptCount val="1"/>
                <c:pt idx="0">
                  <c:v>47.489094924341856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09-448C-83DE-1CC42C6DFE84}"/>
            </c:ext>
          </c:extLst>
        </c:ser>
        <c:ser>
          <c:idx val="5"/>
          <c:order val="5"/>
          <c:tx>
            <c:strRef>
              <c:f>'Potentiale PJ 2019'!$G$3:$G$5</c:f>
              <c:strCache>
                <c:ptCount val="1"/>
                <c:pt idx="0">
                  <c:v>Vedmasse - Sum of Biogasproduktion [PJ]</c:v>
                </c:pt>
              </c:strCache>
            </c:strRef>
          </c:tx>
          <c:spPr>
            <a:pattFill prst="dkUpDiag">
              <a:fgClr>
                <a:schemeClr val="accent3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2019'!$G$6:$G$7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B09-448C-83DE-1CC42C6DFE84}"/>
            </c:ext>
          </c:extLst>
        </c:ser>
        <c:ser>
          <c:idx val="6"/>
          <c:order val="6"/>
          <c:tx>
            <c:strRef>
              <c:f>'Potentiale PJ 2019'!$H$3:$H$5</c:f>
              <c:strCache>
                <c:ptCount val="1"/>
                <c:pt idx="0">
                  <c:v>Rapsolie - Sum of Restprodukter til energi [PJ]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2019'!$H$6:$H$7</c:f>
              <c:numCache>
                <c:formatCode>#,##0.00</c:formatCode>
                <c:ptCount val="1"/>
                <c:pt idx="0">
                  <c:v>0.15196335107036851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B09-448C-83DE-1CC42C6DFE84}"/>
            </c:ext>
          </c:extLst>
        </c:ser>
        <c:ser>
          <c:idx val="7"/>
          <c:order val="7"/>
          <c:tx>
            <c:strRef>
              <c:f>'Potentiale PJ 2019'!$I$3:$I$5</c:f>
              <c:strCache>
                <c:ptCount val="1"/>
                <c:pt idx="0">
                  <c:v>Rapsolie - Sum of Biogasproduktion [PJ]</c:v>
                </c:pt>
              </c:strCache>
            </c:strRef>
          </c:tx>
          <c:spPr>
            <a:pattFill prst="dkUpDiag">
              <a:fgClr>
                <a:schemeClr val="accent4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2019'!$I$6:$I$7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B09-448C-83DE-1CC42C6DFE84}"/>
            </c:ext>
          </c:extLst>
        </c:ser>
        <c:ser>
          <c:idx val="8"/>
          <c:order val="8"/>
          <c:tx>
            <c:strRef>
              <c:f>'Potentiale PJ 2019'!$J$3:$J$5</c:f>
              <c:strCache>
                <c:ptCount val="1"/>
                <c:pt idx="0">
                  <c:v>Husdyrgødning - Sum of Restprodukter til energi [PJ]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2019'!$J$6:$J$7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B09-448C-83DE-1CC42C6DFE84}"/>
            </c:ext>
          </c:extLst>
        </c:ser>
        <c:ser>
          <c:idx val="9"/>
          <c:order val="9"/>
          <c:tx>
            <c:strRef>
              <c:f>'Potentiale PJ 2019'!$K$3:$K$5</c:f>
              <c:strCache>
                <c:ptCount val="1"/>
                <c:pt idx="0">
                  <c:v>Husdyrgødning - Sum of Biogasproduktion [PJ]</c:v>
                </c:pt>
              </c:strCache>
            </c:strRef>
          </c:tx>
          <c:spPr>
            <a:pattFill prst="dkUpDiag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2019'!$K$6:$K$7</c:f>
              <c:numCache>
                <c:formatCode>#,##0.00</c:formatCode>
                <c:ptCount val="1"/>
                <c:pt idx="0">
                  <c:v>5.0922829580050006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B09-448C-83DE-1CC42C6DFE84}"/>
            </c:ext>
          </c:extLst>
        </c:ser>
        <c:ser>
          <c:idx val="10"/>
          <c:order val="10"/>
          <c:tx>
            <c:strRef>
              <c:f>'Potentiale PJ 2019'!$L$3:$L$5</c:f>
              <c:strCache>
                <c:ptCount val="1"/>
                <c:pt idx="0">
                  <c:v>Glycerin - Sum of Restprodukter til energi [PJ]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2019'!$L$6:$L$7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B09-448C-83DE-1CC42C6DFE84}"/>
            </c:ext>
          </c:extLst>
        </c:ser>
        <c:ser>
          <c:idx val="11"/>
          <c:order val="11"/>
          <c:tx>
            <c:strRef>
              <c:f>'Potentiale PJ 2019'!$M$3:$M$5</c:f>
              <c:strCache>
                <c:ptCount val="1"/>
                <c:pt idx="0">
                  <c:v>Glycerin - Sum of Biogasproduktion [PJ]</c:v>
                </c:pt>
              </c:strCache>
            </c:strRef>
          </c:tx>
          <c:spPr>
            <a:pattFill prst="dkUp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2019'!$M$6:$M$7</c:f>
              <c:numCache>
                <c:formatCode>#,##0.00</c:formatCode>
                <c:ptCount val="1"/>
                <c:pt idx="0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B09-448C-83DE-1CC42C6DFE84}"/>
            </c:ext>
          </c:extLst>
        </c:ser>
        <c:ser>
          <c:idx val="12"/>
          <c:order val="12"/>
          <c:tx>
            <c:strRef>
              <c:f>'Potentiale PJ 2019'!$N$3:$N$5</c:f>
              <c:strCache>
                <c:ptCount val="1"/>
                <c:pt idx="0">
                  <c:v>Bionedbrydeligt affald - Sum of Restprodukter til energi [PJ]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2019'!$N$6:$N$7</c:f>
              <c:numCache>
                <c:formatCode>#,##0.00</c:formatCode>
                <c:ptCount val="1"/>
                <c:pt idx="0">
                  <c:v>17.543930524502301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B09-448C-83DE-1CC42C6DFE84}"/>
            </c:ext>
          </c:extLst>
        </c:ser>
        <c:ser>
          <c:idx val="13"/>
          <c:order val="13"/>
          <c:tx>
            <c:strRef>
              <c:f>'Potentiale PJ 2019'!$O$3:$O$5</c:f>
              <c:strCache>
                <c:ptCount val="1"/>
                <c:pt idx="0">
                  <c:v>Bionedbrydeligt affald - Sum of Biogasproduktion [PJ]</c:v>
                </c:pt>
              </c:strCache>
            </c:strRef>
          </c:tx>
          <c:spPr>
            <a:pattFill prst="dkUpDiag">
              <a:fgClr>
                <a:schemeClr val="tx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2019'!$O$6:$O$7</c:f>
              <c:numCache>
                <c:formatCode>#,##0.00</c:formatCode>
                <c:ptCount val="1"/>
                <c:pt idx="0">
                  <c:v>7.483154704207001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B09-448C-83DE-1CC42C6DFE84}"/>
            </c:ext>
          </c:extLst>
        </c:ser>
        <c:ser>
          <c:idx val="14"/>
          <c:order val="14"/>
          <c:tx>
            <c:strRef>
              <c:f>'Potentiale PJ 2019'!$P$3:$P$5</c:f>
              <c:strCache>
                <c:ptCount val="1"/>
                <c:pt idx="0">
                  <c:v>Havbiomasse - Sum of Restprodukter til energi [PJ]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2019'!$P$6:$P$7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B09-448C-83DE-1CC42C6DFE84}"/>
            </c:ext>
          </c:extLst>
        </c:ser>
        <c:ser>
          <c:idx val="15"/>
          <c:order val="15"/>
          <c:tx>
            <c:strRef>
              <c:f>'Potentiale PJ 2019'!$Q$3:$Q$5</c:f>
              <c:strCache>
                <c:ptCount val="1"/>
                <c:pt idx="0">
                  <c:v>Havbiomasse - Sum of Biogasproduktion [PJ]</c:v>
                </c:pt>
              </c:strCache>
            </c:strRef>
          </c:tx>
          <c:spPr>
            <a:pattFill prst="dkUpDiag">
              <a:fgClr>
                <a:schemeClr val="accent2">
                  <a:lumMod val="5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2019'!$Q$6:$Q$7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B09-448C-83DE-1CC42C6DF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0216079"/>
        <c:axId val="370205679"/>
      </c:barChart>
      <c:catAx>
        <c:axId val="370216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370205679"/>
        <c:crosses val="autoZero"/>
        <c:auto val="1"/>
        <c:lblAlgn val="ctr"/>
        <c:lblOffset val="0"/>
        <c:noMultiLvlLbl val="0"/>
      </c:catAx>
      <c:valAx>
        <c:axId val="370205679"/>
        <c:scaling>
          <c:orientation val="minMax"/>
          <c:max val="1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370216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scenarier.xlsm]Potentiale TS!PotentialeTS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Potentiale til energianvendelse i tørstof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dkUpDiag">
            <a:fgClr>
              <a:schemeClr val="accent4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dkUpDiag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dk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dkUpDiag">
            <a:fgClr>
              <a:schemeClr val="accent6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dkUpDiag">
            <a:fgClr>
              <a:schemeClr val="accent2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1619818160628604"/>
          <c:y val="9.4935403392597137E-2"/>
          <c:w val="0.76986036220144149"/>
          <c:h val="0.453769222382227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TS'!$B$2:$B$3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'Potentiale TS'!$A$4:$A$14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TS'!$B$4:$B$14</c:f>
              <c:numCache>
                <c:formatCode>#,##0</c:formatCode>
                <c:ptCount val="8"/>
                <c:pt idx="0">
                  <c:v>2349166.8466086616</c:v>
                </c:pt>
                <c:pt idx="1">
                  <c:v>2349166.8466086611</c:v>
                </c:pt>
                <c:pt idx="2">
                  <c:v>2349166.8466086611</c:v>
                </c:pt>
                <c:pt idx="3">
                  <c:v>2349166.8466086611</c:v>
                </c:pt>
                <c:pt idx="4">
                  <c:v>2170312.3964539068</c:v>
                </c:pt>
                <c:pt idx="5">
                  <c:v>2867722.9948248072</c:v>
                </c:pt>
                <c:pt idx="6">
                  <c:v>1472901.7980830062</c:v>
                </c:pt>
                <c:pt idx="7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61-4A8F-8809-FF78B12E47AE}"/>
            </c:ext>
          </c:extLst>
        </c:ser>
        <c:ser>
          <c:idx val="1"/>
          <c:order val="1"/>
          <c:tx>
            <c:strRef>
              <c:f>'Potentiale TS'!$C$2:$C$3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'Potentiale TS'!$A$4:$A$14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TS'!$C$4:$C$14</c:f>
              <c:numCache>
                <c:formatCode>#,##0</c:formatCode>
                <c:ptCount val="8"/>
                <c:pt idx="0">
                  <c:v>2348840.8844847302</c:v>
                </c:pt>
                <c:pt idx="1">
                  <c:v>2348840.8844847297</c:v>
                </c:pt>
                <c:pt idx="2">
                  <c:v>2348840.8844847297</c:v>
                </c:pt>
                <c:pt idx="3">
                  <c:v>2348840.8844847297</c:v>
                </c:pt>
                <c:pt idx="4">
                  <c:v>2164142.1080060382</c:v>
                </c:pt>
                <c:pt idx="5">
                  <c:v>3352429.5178153403</c:v>
                </c:pt>
                <c:pt idx="6">
                  <c:v>975854.69819673605</c:v>
                </c:pt>
                <c:pt idx="7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61-4A8F-8809-FF78B12E47AE}"/>
            </c:ext>
          </c:extLst>
        </c:ser>
        <c:ser>
          <c:idx val="2"/>
          <c:order val="2"/>
          <c:tx>
            <c:strRef>
              <c:f>'Potentiale TS'!$D$2:$D$3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'Potentiale TS'!$A$4:$A$14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TS'!$D$4:$D$14</c:f>
              <c:numCache>
                <c:formatCode>#,##0</c:formatCode>
                <c:ptCount val="8"/>
                <c:pt idx="0">
                  <c:v>1498974.2460576054</c:v>
                </c:pt>
                <c:pt idx="1">
                  <c:v>1498974.2460576054</c:v>
                </c:pt>
                <c:pt idx="2">
                  <c:v>1498974.2460576054</c:v>
                </c:pt>
                <c:pt idx="3">
                  <c:v>1498974.2460576054</c:v>
                </c:pt>
                <c:pt idx="4">
                  <c:v>1366366.136655861</c:v>
                </c:pt>
                <c:pt idx="5">
                  <c:v>1366366.1366558613</c:v>
                </c:pt>
                <c:pt idx="6">
                  <c:v>1366366.1366558613</c:v>
                </c:pt>
                <c:pt idx="7">
                  <c:v>1366366.1366558613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61-4A8F-8809-FF78B12E47AE}"/>
            </c:ext>
          </c:extLst>
        </c:ser>
        <c:ser>
          <c:idx val="3"/>
          <c:order val="3"/>
          <c:tx>
            <c:strRef>
              <c:f>'Potentiale TS'!$E$2:$E$3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'Potentiale TS'!$A$4:$A$14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TS'!$E$4:$E$14</c:f>
              <c:numCache>
                <c:formatCode>#,##0</c:formatCode>
                <c:ptCount val="8"/>
                <c:pt idx="0">
                  <c:v>207392.20216335001</c:v>
                </c:pt>
                <c:pt idx="1">
                  <c:v>207392.20216335001</c:v>
                </c:pt>
                <c:pt idx="2">
                  <c:v>207392.20216335001</c:v>
                </c:pt>
                <c:pt idx="3">
                  <c:v>207392.20216335001</c:v>
                </c:pt>
                <c:pt idx="4">
                  <c:v>200404.75308177009</c:v>
                </c:pt>
                <c:pt idx="5">
                  <c:v>200404.75308177009</c:v>
                </c:pt>
                <c:pt idx="6">
                  <c:v>200404.75308177009</c:v>
                </c:pt>
                <c:pt idx="7">
                  <c:v>200404.75308177009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61-4A8F-8809-FF78B12E47AE}"/>
            </c:ext>
          </c:extLst>
        </c:ser>
        <c:ser>
          <c:idx val="4"/>
          <c:order val="4"/>
          <c:tx>
            <c:strRef>
              <c:f>'Potentiale TS'!$F$2:$F$3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'Potentiale TS'!$A$4:$A$14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TS'!$F$4:$F$14</c:f>
              <c:numCache>
                <c:formatCode>#,##0</c:formatCode>
                <c:ptCount val="8"/>
                <c:pt idx="0">
                  <c:v>2078868.7997796992</c:v>
                </c:pt>
                <c:pt idx="1">
                  <c:v>2078868.7997796992</c:v>
                </c:pt>
                <c:pt idx="2">
                  <c:v>2078868.7997796992</c:v>
                </c:pt>
                <c:pt idx="3">
                  <c:v>2078868.7997796992</c:v>
                </c:pt>
                <c:pt idx="4">
                  <c:v>2077438.077263775</c:v>
                </c:pt>
                <c:pt idx="5">
                  <c:v>1661950.46181102</c:v>
                </c:pt>
                <c:pt idx="6">
                  <c:v>2492925.6927165301</c:v>
                </c:pt>
                <c:pt idx="7">
                  <c:v>2077438.0772637753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61-4A8F-8809-FF78B12E47AE}"/>
            </c:ext>
          </c:extLst>
        </c:ser>
        <c:ser>
          <c:idx val="5"/>
          <c:order val="5"/>
          <c:tx>
            <c:strRef>
              <c:f>'Potentiale TS'!$G$2:$G$3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'Potentiale TS'!$A$4:$A$14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TS'!$G$4:$G$14</c:f>
              <c:numCache>
                <c:formatCode>#,##0</c:formatCode>
                <c:ptCount val="8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  <c:pt idx="3">
                  <c:v>128467.8</c:v>
                </c:pt>
                <c:pt idx="4">
                  <c:v>128467.8</c:v>
                </c:pt>
                <c:pt idx="5">
                  <c:v>128467.8</c:v>
                </c:pt>
                <c:pt idx="6">
                  <c:v>128467.8</c:v>
                </c:pt>
                <c:pt idx="7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61-4A8F-8809-FF78B12E47AE}"/>
            </c:ext>
          </c:extLst>
        </c:ser>
        <c:ser>
          <c:idx val="6"/>
          <c:order val="6"/>
          <c:tx>
            <c:strRef>
              <c:f>'Potentiale TS'!$H$2:$H$3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'Potentiale TS'!$A$4:$A$14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TS'!$H$4:$H$14</c:f>
              <c:numCache>
                <c:formatCode>#,##0</c:formatCode>
                <c:ptCount val="8"/>
                <c:pt idx="0">
                  <c:v>1140745.9345080981</c:v>
                </c:pt>
                <c:pt idx="1">
                  <c:v>1140745.9345080981</c:v>
                </c:pt>
                <c:pt idx="2">
                  <c:v>1140745.9345080981</c:v>
                </c:pt>
                <c:pt idx="3">
                  <c:v>1140745.9345080981</c:v>
                </c:pt>
                <c:pt idx="4">
                  <c:v>1159380.5453773013</c:v>
                </c:pt>
                <c:pt idx="5">
                  <c:v>1157844.6374687569</c:v>
                </c:pt>
                <c:pt idx="6">
                  <c:v>1191829.5713620714</c:v>
                </c:pt>
                <c:pt idx="7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61-4A8F-8809-FF78B12E47AE}"/>
            </c:ext>
          </c:extLst>
        </c:ser>
        <c:ser>
          <c:idx val="7"/>
          <c:order val="7"/>
          <c:tx>
            <c:strRef>
              <c:f>'Potentiale TS'!$I$2:$I$3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'Potentiale TS'!$A$4:$A$14</c:f>
              <c:multiLvlStrCache>
                <c:ptCount val="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</c:lvl>
                <c:lvl>
                  <c:pt idx="0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'Potentiale TS'!$I$4:$I$14</c:f>
              <c:numCache>
                <c:formatCode>#,##0</c:formatCode>
                <c:ptCount val="8"/>
                <c:pt idx="0">
                  <c:v>24394.901094352466</c:v>
                </c:pt>
                <c:pt idx="1">
                  <c:v>24394.90109435247</c:v>
                </c:pt>
                <c:pt idx="2">
                  <c:v>24394.90109435247</c:v>
                </c:pt>
                <c:pt idx="3">
                  <c:v>24394.90109435247</c:v>
                </c:pt>
                <c:pt idx="4">
                  <c:v>39211.773905647548</c:v>
                </c:pt>
                <c:pt idx="5">
                  <c:v>39211.773905647548</c:v>
                </c:pt>
                <c:pt idx="6">
                  <c:v>39211.773905647548</c:v>
                </c:pt>
                <c:pt idx="7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D61-4A8F-8809-FF78B12E4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9"/>
        <c:overlap val="100"/>
        <c:axId val="964273536"/>
        <c:axId val="964290176"/>
      </c:barChart>
      <c:catAx>
        <c:axId val="964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90176"/>
        <c:crosses val="autoZero"/>
        <c:auto val="1"/>
        <c:lblAlgn val="ctr"/>
        <c:lblOffset val="100"/>
        <c:noMultiLvlLbl val="0"/>
      </c:catAx>
      <c:valAx>
        <c:axId val="964290176"/>
        <c:scaling>
          <c:orientation val="minMax"/>
          <c:max val="12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3.6374440061784047E-3"/>
              <c:y val="7.975021862826013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7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scenarier.xlsm]Potentiale TS 2019!PotentialeTS2019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394434238788435"/>
          <c:y val="0.11225417264830846"/>
          <c:w val="0.42593493913125857"/>
          <c:h val="0.5438380147232977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TS 2019'!$B$3:$B$4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2019'!$B$5:$B$6</c:f>
              <c:numCache>
                <c:formatCode>#,##0</c:formatCode>
                <c:ptCount val="1"/>
                <c:pt idx="0">
                  <c:v>1675417.9906552273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F9-4158-93D0-4F1368B5D453}"/>
            </c:ext>
          </c:extLst>
        </c:ser>
        <c:ser>
          <c:idx val="1"/>
          <c:order val="1"/>
          <c:tx>
            <c:strRef>
              <c:f>'Potentiale TS 2019'!$C$3:$C$4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2019'!$C$5:$C$6</c:f>
              <c:numCache>
                <c:formatCode>#,##0</c:formatCode>
                <c:ptCount val="1"/>
                <c:pt idx="0">
                  <c:v>128726.35999999999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F9-4158-93D0-4F1368B5D453}"/>
            </c:ext>
          </c:extLst>
        </c:ser>
        <c:ser>
          <c:idx val="2"/>
          <c:order val="2"/>
          <c:tx>
            <c:strRef>
              <c:f>'Potentiale TS 2019'!$D$3:$D$4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2019'!$D$5:$D$6</c:f>
              <c:numCache>
                <c:formatCode>#,##0</c:formatCode>
                <c:ptCount val="1"/>
                <c:pt idx="0">
                  <c:v>1575873.4784311759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F9-4158-93D0-4F1368B5D453}"/>
            </c:ext>
          </c:extLst>
        </c:ser>
        <c:ser>
          <c:idx val="3"/>
          <c:order val="3"/>
          <c:tx>
            <c:strRef>
              <c:f>'Potentiale TS 2019'!$E$3:$E$4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2019'!$E$5:$E$6</c:f>
              <c:numCache>
                <c:formatCode>#,##0</c:formatCode>
                <c:ptCount val="1"/>
                <c:pt idx="0">
                  <c:v>3951.0471278295822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F9-4158-93D0-4F1368B5D453}"/>
            </c:ext>
          </c:extLst>
        </c:ser>
        <c:ser>
          <c:idx val="4"/>
          <c:order val="4"/>
          <c:tx>
            <c:strRef>
              <c:f>'Potentiale TS 2019'!$F$3:$F$4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2019'!$F$5:$F$6</c:f>
              <c:numCache>
                <c:formatCode>#,##0</c:formatCode>
                <c:ptCount val="1"/>
                <c:pt idx="0">
                  <c:v>704016.11583333346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CF9-4158-93D0-4F1368B5D453}"/>
            </c:ext>
          </c:extLst>
        </c:ser>
        <c:ser>
          <c:idx val="5"/>
          <c:order val="5"/>
          <c:tx>
            <c:strRef>
              <c:f>'Potentiale TS 2019'!$G$3:$G$4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2019'!$G$5:$G$6</c:f>
              <c:numCache>
                <c:formatCode>#,##0</c:formatCode>
                <c:ptCount val="1"/>
                <c:pt idx="0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F9-4158-93D0-4F1368B5D453}"/>
            </c:ext>
          </c:extLst>
        </c:ser>
        <c:ser>
          <c:idx val="6"/>
          <c:order val="6"/>
          <c:tx>
            <c:strRef>
              <c:f>'Potentiale TS 2019'!$H$3:$H$4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2019'!$H$5:$H$6</c:f>
              <c:numCache>
                <c:formatCode>#,##0</c:formatCode>
                <c:ptCount val="1"/>
                <c:pt idx="0">
                  <c:v>1077304.9400000002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CF9-4158-93D0-4F1368B5D453}"/>
            </c:ext>
          </c:extLst>
        </c:ser>
        <c:ser>
          <c:idx val="7"/>
          <c:order val="7"/>
          <c:tx>
            <c:strRef>
              <c:f>'Potentiale TS 2019'!$I$3:$I$4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2019'!$I$5:$I$6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CF9-4158-93D0-4F1368B5D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8173327"/>
        <c:axId val="838183311"/>
      </c:barChart>
      <c:catAx>
        <c:axId val="838173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83311"/>
        <c:crosses val="autoZero"/>
        <c:auto val="1"/>
        <c:lblAlgn val="ctr"/>
        <c:lblOffset val="0"/>
        <c:noMultiLvlLbl val="0"/>
      </c:catAx>
      <c:valAx>
        <c:axId val="838183311"/>
        <c:scaling>
          <c:orientation val="minMax"/>
          <c:max val="12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73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scenarier.xlsm]Import!Import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layout>
        <c:manualLayout>
          <c:xMode val="edge"/>
          <c:yMode val="edge"/>
          <c:x val="0.4484418896932712"/>
          <c:y val="2.39234449760765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dkUpDiag">
            <a:fgClr>
              <a:schemeClr val="accent4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dkUpDiag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dk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dkUpDiag">
            <a:fgClr>
              <a:schemeClr val="accent6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dkUpDiag">
            <a:fgClr>
              <a:schemeClr val="accent2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9214745884037231E-2"/>
          <c:y val="6.431032111874399E-2"/>
          <c:w val="0.9068374377984485"/>
          <c:h val="0.467844839440627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Import!$C$3:$C$4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Import!$A$5:$B$20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  <c:pt idx="8">
                    <c:v>BAU</c:v>
                  </c:pt>
                  <c:pt idx="9">
                    <c:v>BAUm20</c:v>
                  </c:pt>
                  <c:pt idx="10">
                    <c:v>BAUp20</c:v>
                  </c:pt>
                  <c:pt idx="11">
                    <c:v>Alfa</c:v>
                  </c:pt>
                </c:lvl>
                <c:lvl>
                  <c:pt idx="0">
                    <c:v>2019</c:v>
                  </c:pt>
                  <c:pt idx="4">
                    <c:v>2030</c:v>
                  </c:pt>
                  <c:pt idx="8">
                    <c:v>2050</c:v>
                  </c:pt>
                </c:lvl>
              </c:multiLvlStrCache>
            </c:multiLvlStrRef>
          </c:cat>
          <c:val>
            <c:numRef>
              <c:f>Import!$C$5:$C$20</c:f>
              <c:numCache>
                <c:formatCode>#,##0</c:formatCode>
                <c:ptCount val="12"/>
                <c:pt idx="0">
                  <c:v>370459.67448149773</c:v>
                </c:pt>
                <c:pt idx="1">
                  <c:v>370459.67448149773</c:v>
                </c:pt>
                <c:pt idx="2">
                  <c:v>370459.67448149773</c:v>
                </c:pt>
                <c:pt idx="3">
                  <c:v>370459.67448149773</c:v>
                </c:pt>
                <c:pt idx="4">
                  <c:v>2.825725611182861E-2</c:v>
                </c:pt>
                <c:pt idx="5">
                  <c:v>2.825725611182861E-2</c:v>
                </c:pt>
                <c:pt idx="6">
                  <c:v>2.825725611182861E-2</c:v>
                </c:pt>
                <c:pt idx="7">
                  <c:v>2.825725611182861E-2</c:v>
                </c:pt>
                <c:pt idx="8">
                  <c:v>0.18489040050189942</c:v>
                </c:pt>
                <c:pt idx="9">
                  <c:v>0.18489040050189942</c:v>
                </c:pt>
                <c:pt idx="10">
                  <c:v>0.18489040050189942</c:v>
                </c:pt>
                <c:pt idx="11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5D-45C0-9479-4A1B1C020F07}"/>
            </c:ext>
          </c:extLst>
        </c:ser>
        <c:ser>
          <c:idx val="1"/>
          <c:order val="1"/>
          <c:tx>
            <c:strRef>
              <c:f>Import!$D$3:$D$4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Import!$A$5:$B$20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  <c:pt idx="8">
                    <c:v>BAU</c:v>
                  </c:pt>
                  <c:pt idx="9">
                    <c:v>BAUm20</c:v>
                  </c:pt>
                  <c:pt idx="10">
                    <c:v>BAUp20</c:v>
                  </c:pt>
                  <c:pt idx="11">
                    <c:v>Alfa</c:v>
                  </c:pt>
                </c:lvl>
                <c:lvl>
                  <c:pt idx="0">
                    <c:v>2019</c:v>
                  </c:pt>
                  <c:pt idx="4">
                    <c:v>2030</c:v>
                  </c:pt>
                  <c:pt idx="8">
                    <c:v>2050</c:v>
                  </c:pt>
                </c:lvl>
              </c:multiLvlStrCache>
            </c:multiLvlStrRef>
          </c:cat>
          <c:val>
            <c:numRef>
              <c:f>Import!$D$5:$D$20</c:f>
              <c:numCache>
                <c:formatCode>#,##0</c:formatCode>
                <c:ptCount val="12"/>
                <c:pt idx="0">
                  <c:v>420629.98984142789</c:v>
                </c:pt>
                <c:pt idx="1">
                  <c:v>420629.98984142789</c:v>
                </c:pt>
                <c:pt idx="2">
                  <c:v>420629.98984142789</c:v>
                </c:pt>
                <c:pt idx="3">
                  <c:v>420629.98984142789</c:v>
                </c:pt>
                <c:pt idx="4">
                  <c:v>437443.77822737186</c:v>
                </c:pt>
                <c:pt idx="5">
                  <c:v>437443.77822737186</c:v>
                </c:pt>
                <c:pt idx="6">
                  <c:v>437443.77822737186</c:v>
                </c:pt>
                <c:pt idx="7">
                  <c:v>437443.77822737186</c:v>
                </c:pt>
                <c:pt idx="8">
                  <c:v>459349.41813660081</c:v>
                </c:pt>
                <c:pt idx="9">
                  <c:v>459349.41813660081</c:v>
                </c:pt>
                <c:pt idx="10">
                  <c:v>459349.41813660081</c:v>
                </c:pt>
                <c:pt idx="11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5D-45C0-9479-4A1B1C020F07}"/>
            </c:ext>
          </c:extLst>
        </c:ser>
        <c:ser>
          <c:idx val="2"/>
          <c:order val="2"/>
          <c:tx>
            <c:strRef>
              <c:f>Import!$E$3:$E$4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Import!$A$5:$B$20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  <c:pt idx="8">
                    <c:v>BAU</c:v>
                  </c:pt>
                  <c:pt idx="9">
                    <c:v>BAUm20</c:v>
                  </c:pt>
                  <c:pt idx="10">
                    <c:v>BAUp20</c:v>
                  </c:pt>
                  <c:pt idx="11">
                    <c:v>Alfa</c:v>
                  </c:pt>
                </c:lvl>
                <c:lvl>
                  <c:pt idx="0">
                    <c:v>2019</c:v>
                  </c:pt>
                  <c:pt idx="4">
                    <c:v>2030</c:v>
                  </c:pt>
                  <c:pt idx="8">
                    <c:v>2050</c:v>
                  </c:pt>
                </c:lvl>
              </c:multiLvlStrCache>
            </c:multiLvlStrRef>
          </c:cat>
          <c:val>
            <c:numRef>
              <c:f>Import!$E$5:$E$20</c:f>
              <c:numCache>
                <c:formatCode>#,##0</c:formatCode>
                <c:ptCount val="12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  <c:pt idx="3">
                  <c:v>142742</c:v>
                </c:pt>
                <c:pt idx="4">
                  <c:v>142742</c:v>
                </c:pt>
                <c:pt idx="5">
                  <c:v>142742</c:v>
                </c:pt>
                <c:pt idx="6">
                  <c:v>142742</c:v>
                </c:pt>
                <c:pt idx="7">
                  <c:v>142742</c:v>
                </c:pt>
                <c:pt idx="8">
                  <c:v>142742</c:v>
                </c:pt>
                <c:pt idx="9">
                  <c:v>142742</c:v>
                </c:pt>
                <c:pt idx="10">
                  <c:v>142742</c:v>
                </c:pt>
                <c:pt idx="11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5D-45C0-9479-4A1B1C020F07}"/>
            </c:ext>
          </c:extLst>
        </c:ser>
        <c:ser>
          <c:idx val="3"/>
          <c:order val="3"/>
          <c:tx>
            <c:strRef>
              <c:f>Import!$F$3:$F$4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Import!$A$5:$B$20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  <c:pt idx="8">
                    <c:v>BAU</c:v>
                  </c:pt>
                  <c:pt idx="9">
                    <c:v>BAUm20</c:v>
                  </c:pt>
                  <c:pt idx="10">
                    <c:v>BAUp20</c:v>
                  </c:pt>
                  <c:pt idx="11">
                    <c:v>Alfa</c:v>
                  </c:pt>
                </c:lvl>
                <c:lvl>
                  <c:pt idx="0">
                    <c:v>2019</c:v>
                  </c:pt>
                  <c:pt idx="4">
                    <c:v>2030</c:v>
                  </c:pt>
                  <c:pt idx="8">
                    <c:v>2050</c:v>
                  </c:pt>
                </c:lvl>
              </c:multiLvlStrCache>
            </c:multiLvlStrRef>
          </c:cat>
          <c:val>
            <c:numRef>
              <c:f>Import!$F$5:$F$20</c:f>
              <c:numCache>
                <c:formatCode>#,##0</c:formatCode>
                <c:ptCount val="12"/>
                <c:pt idx="0">
                  <c:v>203649.62100550608</c:v>
                </c:pt>
                <c:pt idx="1">
                  <c:v>203649.62100550608</c:v>
                </c:pt>
                <c:pt idx="2">
                  <c:v>203649.62100550608</c:v>
                </c:pt>
                <c:pt idx="3">
                  <c:v>203649.62100550608</c:v>
                </c:pt>
                <c:pt idx="4">
                  <c:v>210965.35838487741</c:v>
                </c:pt>
                <c:pt idx="5">
                  <c:v>210965.35838487741</c:v>
                </c:pt>
                <c:pt idx="6">
                  <c:v>210965.35838487741</c:v>
                </c:pt>
                <c:pt idx="7">
                  <c:v>210965.35838487741</c:v>
                </c:pt>
                <c:pt idx="8">
                  <c:v>241953.74133540038</c:v>
                </c:pt>
                <c:pt idx="9">
                  <c:v>241953.74133540038</c:v>
                </c:pt>
                <c:pt idx="10">
                  <c:v>241953.74133540038</c:v>
                </c:pt>
                <c:pt idx="11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85D-45C0-9479-4A1B1C020F07}"/>
            </c:ext>
          </c:extLst>
        </c:ser>
        <c:ser>
          <c:idx val="4"/>
          <c:order val="4"/>
          <c:tx>
            <c:strRef>
              <c:f>Import!$G$3:$G$4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Import!$A$5:$B$20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  <c:pt idx="8">
                    <c:v>BAU</c:v>
                  </c:pt>
                  <c:pt idx="9">
                    <c:v>BAUm20</c:v>
                  </c:pt>
                  <c:pt idx="10">
                    <c:v>BAUp20</c:v>
                  </c:pt>
                  <c:pt idx="11">
                    <c:v>Alfa</c:v>
                  </c:pt>
                </c:lvl>
                <c:lvl>
                  <c:pt idx="0">
                    <c:v>2019</c:v>
                  </c:pt>
                  <c:pt idx="4">
                    <c:v>2030</c:v>
                  </c:pt>
                  <c:pt idx="8">
                    <c:v>2050</c:v>
                  </c:pt>
                </c:lvl>
              </c:multiLvlStrCache>
            </c:multiLvlStrRef>
          </c:cat>
          <c:val>
            <c:numRef>
              <c:f>Import!$G$5:$G$20</c:f>
              <c:numCache>
                <c:formatCode>#,##0</c:formatCode>
                <c:ptCount val="12"/>
                <c:pt idx="0">
                  <c:v>5421074.2654714445</c:v>
                </c:pt>
                <c:pt idx="1">
                  <c:v>5421074.2654714445</c:v>
                </c:pt>
                <c:pt idx="2">
                  <c:v>5421074.2654714445</c:v>
                </c:pt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  <c:pt idx="6">
                  <c:v>5421074.2654714435</c:v>
                </c:pt>
                <c:pt idx="7">
                  <c:v>5421074.2654714435</c:v>
                </c:pt>
                <c:pt idx="8">
                  <c:v>5421074.2654714435</c:v>
                </c:pt>
                <c:pt idx="9">
                  <c:v>4336859.4123771554</c:v>
                </c:pt>
                <c:pt idx="10">
                  <c:v>6505289.1185657317</c:v>
                </c:pt>
                <c:pt idx="11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85D-45C0-9479-4A1B1C020F07}"/>
            </c:ext>
          </c:extLst>
        </c:ser>
        <c:ser>
          <c:idx val="5"/>
          <c:order val="5"/>
          <c:tx>
            <c:strRef>
              <c:f>Import!$H$3:$H$4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Import!$A$5:$B$20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  <c:pt idx="8">
                    <c:v>BAU</c:v>
                  </c:pt>
                  <c:pt idx="9">
                    <c:v>BAUm20</c:v>
                  </c:pt>
                  <c:pt idx="10">
                    <c:v>BAUp20</c:v>
                  </c:pt>
                  <c:pt idx="11">
                    <c:v>Alfa</c:v>
                  </c:pt>
                </c:lvl>
                <c:lvl>
                  <c:pt idx="0">
                    <c:v>2019</c:v>
                  </c:pt>
                  <c:pt idx="4">
                    <c:v>2030</c:v>
                  </c:pt>
                  <c:pt idx="8">
                    <c:v>2050</c:v>
                  </c:pt>
                </c:lvl>
              </c:multiLvlStrCache>
            </c:multiLvlStrRef>
          </c:cat>
          <c:val>
            <c:numRef>
              <c:f>Import!$H$5:$H$20</c:f>
              <c:numCache>
                <c:formatCode>#,##0</c:formatCode>
                <c:ptCount val="12"/>
                <c:pt idx="0">
                  <c:v>282332.03034110228</c:v>
                </c:pt>
                <c:pt idx="1">
                  <c:v>282332.03034110228</c:v>
                </c:pt>
                <c:pt idx="2">
                  <c:v>282332.03034110228</c:v>
                </c:pt>
                <c:pt idx="3">
                  <c:v>282332.03034110228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0.11492812394862995</c:v>
                </c:pt>
                <c:pt idx="9">
                  <c:v>73602.891942499205</c:v>
                </c:pt>
                <c:pt idx="10">
                  <c:v>0</c:v>
                </c:pt>
                <c:pt idx="11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85D-45C0-9479-4A1B1C020F07}"/>
            </c:ext>
          </c:extLst>
        </c:ser>
        <c:ser>
          <c:idx val="6"/>
          <c:order val="6"/>
          <c:tx>
            <c:strRef>
              <c:f>Import!$I$3:$I$4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Import!$A$5:$B$20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  <c:pt idx="8">
                    <c:v>BAU</c:v>
                  </c:pt>
                  <c:pt idx="9">
                    <c:v>BAUm20</c:v>
                  </c:pt>
                  <c:pt idx="10">
                    <c:v>BAUp20</c:v>
                  </c:pt>
                  <c:pt idx="11">
                    <c:v>Alfa</c:v>
                  </c:pt>
                </c:lvl>
                <c:lvl>
                  <c:pt idx="0">
                    <c:v>2019</c:v>
                  </c:pt>
                  <c:pt idx="4">
                    <c:v>2030</c:v>
                  </c:pt>
                  <c:pt idx="8">
                    <c:v>2050</c:v>
                  </c:pt>
                </c:lvl>
              </c:multiLvlStrCache>
            </c:multiLvlStrRef>
          </c:cat>
          <c:val>
            <c:numRef>
              <c:f>Import!$I$5:$I$20</c:f>
              <c:numCache>
                <c:formatCode>#,##0</c:formatCode>
                <c:ptCount val="12"/>
                <c:pt idx="0">
                  <c:v>1108490.5539925825</c:v>
                </c:pt>
                <c:pt idx="1">
                  <c:v>1108490.5539925825</c:v>
                </c:pt>
                <c:pt idx="2">
                  <c:v>1108490.5539925825</c:v>
                </c:pt>
                <c:pt idx="3">
                  <c:v>1108490.5539925825</c:v>
                </c:pt>
                <c:pt idx="4">
                  <c:v>992426.54344299308</c:v>
                </c:pt>
                <c:pt idx="5">
                  <c:v>992426.54344299308</c:v>
                </c:pt>
                <c:pt idx="6">
                  <c:v>992426.54344299308</c:v>
                </c:pt>
                <c:pt idx="7">
                  <c:v>992426.54344299308</c:v>
                </c:pt>
                <c:pt idx="8">
                  <c:v>959372.73153594765</c:v>
                </c:pt>
                <c:pt idx="9">
                  <c:v>1211187.9061807538</c:v>
                </c:pt>
                <c:pt idx="10">
                  <c:v>708052.01776419138</c:v>
                </c:pt>
                <c:pt idx="11">
                  <c:v>959372.73153594765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85D-45C0-9479-4A1B1C020F07}"/>
            </c:ext>
          </c:extLst>
        </c:ser>
        <c:ser>
          <c:idx val="7"/>
          <c:order val="7"/>
          <c:tx>
            <c:strRef>
              <c:f>Import!$J$3:$J$4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Import!$A$5:$B$20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Alfa</c:v>
                  </c:pt>
                  <c:pt idx="4">
                    <c:v>BAU</c:v>
                  </c:pt>
                  <c:pt idx="5">
                    <c:v>BAUm20</c:v>
                  </c:pt>
                  <c:pt idx="6">
                    <c:v>BAUp20</c:v>
                  </c:pt>
                  <c:pt idx="7">
                    <c:v>Alfa</c:v>
                  </c:pt>
                  <c:pt idx="8">
                    <c:v>BAU</c:v>
                  </c:pt>
                  <c:pt idx="9">
                    <c:v>BAUm20</c:v>
                  </c:pt>
                  <c:pt idx="10">
                    <c:v>BAUp20</c:v>
                  </c:pt>
                  <c:pt idx="11">
                    <c:v>Alfa</c:v>
                  </c:pt>
                </c:lvl>
                <c:lvl>
                  <c:pt idx="0">
                    <c:v>2019</c:v>
                  </c:pt>
                  <c:pt idx="4">
                    <c:v>2030</c:v>
                  </c:pt>
                  <c:pt idx="8">
                    <c:v>2050</c:v>
                  </c:pt>
                </c:lvl>
              </c:multiLvlStrCache>
            </c:multiLvlStrRef>
          </c:cat>
          <c:val>
            <c:numRef>
              <c:f>Import!$J$5:$J$20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6687.6021110492293</c:v>
                </c:pt>
                <c:pt idx="9">
                  <c:v>28706.337967901869</c:v>
                </c:pt>
                <c:pt idx="10">
                  <c:v>0</c:v>
                </c:pt>
                <c:pt idx="11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85D-45C0-9479-4A1B1C020F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6"/>
        <c:overlap val="100"/>
        <c:axId val="964273536"/>
        <c:axId val="964290176"/>
      </c:barChart>
      <c:catAx>
        <c:axId val="964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90176"/>
        <c:crosses val="autoZero"/>
        <c:auto val="1"/>
        <c:lblAlgn val="ctr"/>
        <c:lblOffset val="100"/>
        <c:noMultiLvlLbl val="0"/>
      </c:catAx>
      <c:valAx>
        <c:axId val="96429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layout>
            <c:manualLayout>
              <c:xMode val="edge"/>
              <c:yMode val="edge"/>
              <c:x val="9.8500111931945373E-3"/>
              <c:y val="5.861221219784884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7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3</xdr:row>
          <xdr:rowOff>76200</xdr:rowOff>
        </xdr:from>
        <xdr:to>
          <xdr:col>7</xdr:col>
          <xdr:colOff>228600</xdr:colOff>
          <xdr:row>6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Importer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7620</xdr:colOff>
      <xdr:row>1</xdr:row>
      <xdr:rowOff>95250</xdr:rowOff>
    </xdr:from>
    <xdr:to>
      <xdr:col>1</xdr:col>
      <xdr:colOff>605790</xdr:colOff>
      <xdr:row>1</xdr:row>
      <xdr:rowOff>99060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 flipV="1">
          <a:off x="647700" y="281940"/>
          <a:ext cx="598170" cy="381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47626</xdr:colOff>
      <xdr:row>0</xdr:row>
      <xdr:rowOff>0</xdr:rowOff>
    </xdr:from>
    <xdr:to>
      <xdr:col>23</xdr:col>
      <xdr:colOff>476250</xdr:colOff>
      <xdr:row>26</xdr:row>
      <xdr:rowOff>123825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47626" y="0"/>
          <a:ext cx="14369760" cy="5076825"/>
          <a:chOff x="47626" y="0"/>
          <a:chExt cx="8820150" cy="5076825"/>
        </a:xfrm>
      </xdr:grpSpPr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GraphicFramePr>
            <a:graphicFrameLocks/>
          </xdr:cNvGraphicFramePr>
        </xdr:nvGraphicFramePr>
        <xdr:xfrm>
          <a:off x="47626" y="0"/>
          <a:ext cx="8820150" cy="50768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0" name="Chart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GraphicFramePr>
            <a:graphicFrameLocks/>
          </xdr:cNvGraphicFramePr>
        </xdr:nvGraphicFramePr>
        <xdr:xfrm>
          <a:off x="234038" y="0"/>
          <a:ext cx="1619250" cy="507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0</xdr:col>
      <xdr:colOff>0</xdr:colOff>
      <xdr:row>27</xdr:row>
      <xdr:rowOff>47625</xdr:rowOff>
    </xdr:from>
    <xdr:to>
      <xdr:col>26</xdr:col>
      <xdr:colOff>333375</xdr:colOff>
      <xdr:row>72</xdr:row>
      <xdr:rowOff>152399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0" y="5191125"/>
          <a:ext cx="16092920" cy="8677274"/>
          <a:chOff x="8867775" y="0"/>
          <a:chExt cx="8258175" cy="5763774"/>
        </a:xfrm>
      </xdr:grpSpPr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GraphicFramePr>
            <a:graphicFrameLocks/>
          </xdr:cNvGraphicFramePr>
        </xdr:nvGraphicFramePr>
        <xdr:xfrm>
          <a:off x="8867775" y="1"/>
          <a:ext cx="8258175" cy="57637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1" name="Chart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GraphicFramePr>
            <a:graphicFrameLocks/>
          </xdr:cNvGraphicFramePr>
        </xdr:nvGraphicFramePr>
        <xdr:xfrm>
          <a:off x="9124951" y="0"/>
          <a:ext cx="1630408" cy="450472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0</xdr:col>
      <xdr:colOff>57151</xdr:colOff>
      <xdr:row>71</xdr:row>
      <xdr:rowOff>114299</xdr:rowOff>
    </xdr:from>
    <xdr:to>
      <xdr:col>27</xdr:col>
      <xdr:colOff>95251</xdr:colOff>
      <xdr:row>102</xdr:row>
      <xdr:rowOff>190499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pSpPr/>
      </xdr:nvGrpSpPr>
      <xdr:grpSpPr>
        <a:xfrm>
          <a:off x="57151" y="13639799"/>
          <a:ext cx="16403782" cy="5981700"/>
          <a:chOff x="8823384" y="5962049"/>
          <a:chExt cx="9610725" cy="5083715"/>
        </a:xfrm>
      </xdr:grpSpPr>
      <xdr:graphicFrame macro="">
        <xdr:nvGraphicFramePr>
          <xdr:cNvPr id="2" name="CO2-all chart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GraphicFramePr>
            <a:graphicFrameLocks/>
          </xdr:cNvGraphicFramePr>
        </xdr:nvGraphicFramePr>
        <xdr:xfrm>
          <a:off x="8823384" y="5962049"/>
          <a:ext cx="9610725" cy="50577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4" name="Chart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GraphicFramePr>
            <a:graphicFrameLocks/>
          </xdr:cNvGraphicFramePr>
        </xdr:nvGraphicFramePr>
        <xdr:xfrm>
          <a:off x="9121892" y="5987764"/>
          <a:ext cx="2047875" cy="5058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0</xdr:col>
      <xdr:colOff>361951</xdr:colOff>
      <xdr:row>104</xdr:row>
      <xdr:rowOff>0</xdr:rowOff>
    </xdr:from>
    <xdr:to>
      <xdr:col>26</xdr:col>
      <xdr:colOff>495300</xdr:colOff>
      <xdr:row>147</xdr:row>
      <xdr:rowOff>180975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pSpPr/>
      </xdr:nvGrpSpPr>
      <xdr:grpSpPr>
        <a:xfrm>
          <a:off x="361951" y="19812000"/>
          <a:ext cx="15892894" cy="8372475"/>
          <a:chOff x="383017" y="19573875"/>
          <a:chExt cx="13882839" cy="8372475"/>
        </a:xfrm>
      </xdr:grpSpPr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GraphicFramePr>
            <a:graphicFrameLocks/>
          </xdr:cNvGraphicFramePr>
        </xdr:nvGraphicFramePr>
        <xdr:xfrm>
          <a:off x="383017" y="19573875"/>
          <a:ext cx="13882839" cy="83724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6" name="Chart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GraphicFramePr>
            <a:graphicFrameLocks/>
          </xdr:cNvGraphicFramePr>
        </xdr:nvGraphicFramePr>
        <xdr:xfrm>
          <a:off x="1690220" y="19621500"/>
          <a:ext cx="1536792" cy="5392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0</xdr:col>
      <xdr:colOff>28575</xdr:colOff>
      <xdr:row>145</xdr:row>
      <xdr:rowOff>28576</xdr:rowOff>
    </xdr:from>
    <xdr:to>
      <xdr:col>25</xdr:col>
      <xdr:colOff>19050</xdr:colOff>
      <xdr:row>177</xdr:row>
      <xdr:rowOff>114302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pSpPr/>
      </xdr:nvGrpSpPr>
      <xdr:grpSpPr>
        <a:xfrm>
          <a:off x="28575" y="27651076"/>
          <a:ext cx="15143884" cy="6181726"/>
          <a:chOff x="0" y="27508200"/>
          <a:chExt cx="9612000" cy="6445539"/>
        </a:xfrm>
      </xdr:grpSpPr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GraphicFramePr>
            <a:graphicFrameLocks/>
          </xdr:cNvGraphicFramePr>
        </xdr:nvGraphicFramePr>
        <xdr:xfrm>
          <a:off x="0" y="27508200"/>
          <a:ext cx="9612000" cy="644553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8" name="Chart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GraphicFramePr>
            <a:graphicFrameLocks/>
          </xdr:cNvGraphicFramePr>
        </xdr:nvGraphicFramePr>
        <xdr:xfrm>
          <a:off x="0" y="27508200"/>
          <a:ext cx="1688880" cy="5392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1</xdr:col>
      <xdr:colOff>266700</xdr:colOff>
      <xdr:row>176</xdr:row>
      <xdr:rowOff>104775</xdr:rowOff>
    </xdr:from>
    <xdr:to>
      <xdr:col>24</xdr:col>
      <xdr:colOff>428625</xdr:colOff>
      <xdr:row>220</xdr:row>
      <xdr:rowOff>85725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nergymodellinglab.sharepoint.com/sites/EnergyModellingLab/Shared%20Documents/Projects/DEA/DK%20Bioressource/Deliverables/Biomassemodel%207.%20september%202021/BAU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Resume"/>
      <sheetName val="Arealanvendelse"/>
      <sheetName val="Landbrug"/>
      <sheetName val="Fodersammensætning"/>
      <sheetName val="Skovbrug"/>
      <sheetName val="Havbrug"/>
      <sheetName val="Adfærd"/>
      <sheetName val="Forbrug af materialer"/>
      <sheetName val="Biogasanlæg"/>
      <sheetName val="Avanceret"/>
      <sheetName val="Direkte input"/>
      <sheetName val="Forbrug af biomasser"/>
      <sheetName val="Restprodukter"/>
      <sheetName val="Resultater - Vestdanmark"/>
      <sheetName val="Resultater - Østdanmark"/>
      <sheetName val="Resultater - Danmark"/>
      <sheetName val="Resultat-Produktion &amp; forbrug"/>
      <sheetName val="Pivot tabeller og data"/>
      <sheetName val="Resultat-Forbrug af biomasse"/>
      <sheetName val="Resultat-Import"/>
      <sheetName val="Resultat-Eksport"/>
      <sheetName val="Landbrugsareal - resultat"/>
      <sheetName val="Resultat-Potentiale til energi"/>
      <sheetName val="Resultat-Tørstof til energi"/>
      <sheetName val="CO2-pivot"/>
      <sheetName val="CO2-udledning"/>
      <sheetName val="Produktion afgrøder-pivot"/>
      <sheetName val="Produktion af afgrøder"/>
      <sheetName val="Produkt skovbrug"/>
      <sheetName val="Produkt havbrug"/>
      <sheetName val="Arealanvendelse - pivot"/>
      <sheetName val="Pivot chart - landbrug"/>
      <sheetName val="Arealanvendelsesresultater-big"/>
      <sheetName val="Landbrugsresultater - pivot"/>
    </sheetNames>
    <sheetDataSet>
      <sheetData sheetId="0">
        <row r="18">
          <cell r="D18">
            <v>2019</v>
          </cell>
        </row>
        <row r="19">
          <cell r="D19">
            <v>2030</v>
          </cell>
        </row>
        <row r="20">
          <cell r="D20">
            <v>2050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9.502841782407" createdVersion="3" refreshedVersion="7" minRefreshableVersion="3" recordCount="216" xr:uid="{E76DF3CD-DE9D-42A8-8EE0-D34B365C13BB}">
  <cacheSource type="worksheet">
    <worksheetSource ref="A1:G217" sheet="CO2e-udledning"/>
  </cacheSource>
  <cacheFields count="7">
    <cacheField name="Scenarie" numFmtId="0">
      <sharedItems count="4">
        <s v="BAU"/>
        <s v="BAUm20"/>
        <s v="BAUp20"/>
        <s v="Alfa"/>
      </sharedItems>
    </cacheField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58781.6445090303" maxValue="12546079.333675962"/>
    </cacheField>
    <cacheField name="Sted" numFmtId="0">
      <sharedItems/>
    </cacheField>
    <cacheField name="Sted2" numFmtId="0">
      <sharedItems count="7">
        <s v="CO2 - atmosfære"/>
        <s v="Husdyr"/>
        <s v="Marker"/>
        <s v="Hav"/>
        <s v="Skov"/>
        <s v="Biogasanlæg"/>
        <s v="Pyrolyseproces"/>
      </sharedItems>
    </cacheField>
    <cacheField name="Jordbun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9.502841898146" createdVersion="3" refreshedVersion="7" minRefreshableVersion="3" recordCount="216" xr:uid="{4C1EE90B-A70E-409E-858A-3878C8B04755}">
  <cacheSource type="worksheet">
    <worksheetSource ref="A1:G217" sheet="CO2e-udledning"/>
  </cacheSource>
  <cacheFields count="7">
    <cacheField name="Scenarie" numFmtId="0">
      <sharedItems count="4">
        <s v="BAU"/>
        <s v="BAUm20"/>
        <s v="BAUp20"/>
        <s v="Alfa"/>
      </sharedItems>
    </cacheField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58781.6445090303" maxValue="12546079.333675962"/>
    </cacheField>
    <cacheField name="Sted" numFmtId="0">
      <sharedItems/>
    </cacheField>
    <cacheField name="Sted2" numFmtId="0">
      <sharedItems count="7">
        <s v="CO2 - atmosfære"/>
        <s v="Husdyr"/>
        <s v="Marker"/>
        <s v="Hav"/>
        <s v="Skov"/>
        <s v="Biogasanlæg"/>
        <s v="Pyrolyseproces"/>
      </sharedItems>
    </cacheField>
    <cacheField name="Jordbun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9.502842824077" createdVersion="3" refreshedVersion="7" minRefreshableVersion="3" recordCount="360" xr:uid="{0829FA45-47AF-4F72-AFA1-39CF1C7D31DD}">
  <cacheSource type="worksheet">
    <worksheetSource ref="A1:F361" sheet="Arealanvendelse"/>
  </cacheSource>
  <cacheFields count="6">
    <cacheField name="Scenarie" numFmtId="0">
      <sharedItems count="4">
        <s v="BAU"/>
        <s v="BAUm20"/>
        <s v="BAUp20"/>
        <s v="Alfa"/>
      </sharedItems>
    </cacheField>
    <cacheField name="Region" numFmtId="0">
      <sharedItems/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0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9.502842939815" createdVersion="3" refreshedVersion="7" minRefreshableVersion="3" recordCount="360" xr:uid="{975474C2-2D57-46AA-BC32-784B38311D9F}">
  <cacheSource type="worksheet">
    <worksheetSource ref="A1:F361" sheet="Arealanvendelse"/>
  </cacheSource>
  <cacheFields count="6">
    <cacheField name="Scenarie" numFmtId="0">
      <sharedItems count="4">
        <s v="BAU"/>
        <s v="BAUm20"/>
        <s v="BAUp20"/>
        <s v="Alfa"/>
      </sharedItems>
    </cacheField>
    <cacheField name="Region" numFmtId="0">
      <sharedItems/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0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9.502843981485" createdVersion="3" refreshedVersion="7" minRefreshableVersion="3" recordCount="2016" xr:uid="{9DAFA339-EB48-4E38-B154-FBFC8E7307BC}">
  <cacheSource type="worksheet">
    <worksheetSource ref="A1:K2017" sheet="Arealanvendelse - landbrug"/>
  </cacheSource>
  <cacheFields count="11">
    <cacheField name="Scenarie" numFmtId="0">
      <sharedItems count="4">
        <s v="BAU"/>
        <s v="BAUm20"/>
        <s v="BAUp20"/>
        <s v="Alfa"/>
      </sharedItems>
    </cacheField>
    <cacheField name="Region" numFmtId="0">
      <sharedItems/>
    </cacheField>
    <cacheField name="Afgrøde" numFmtId="0">
      <sharedItems count="14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/>
    </cacheField>
    <cacheField name="Bioenergi-navn" numFmtId="0">
      <sharedItems/>
    </cacheField>
    <cacheField name="Arealanvendelse" numFmtId="0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0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9.502844328701" createdVersion="3" refreshedVersion="7" minRefreshableVersion="3" recordCount="2016" xr:uid="{3A40EE74-5359-487E-BD9F-56AE0E0E7E43}">
  <cacheSource type="worksheet">
    <worksheetSource ref="A1:K2017" sheet="Arealanvendelse - landbrug"/>
  </cacheSource>
  <cacheFields count="11">
    <cacheField name="Scenarie" numFmtId="0">
      <sharedItems count="4">
        <s v="BAU"/>
        <s v="BAUm20"/>
        <s v="BAUp20"/>
        <s v="Alfa"/>
      </sharedItems>
    </cacheField>
    <cacheField name="Region" numFmtId="0">
      <sharedItems/>
    </cacheField>
    <cacheField name="Afgrøde" numFmtId="0">
      <sharedItems count="14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/>
    </cacheField>
    <cacheField name="Bioenergi-navn" numFmtId="0">
      <sharedItems/>
    </cacheField>
    <cacheField name="Arealanvendelse" numFmtId="0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0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9.502845949071" createdVersion="3" refreshedVersion="7" minRefreshableVersion="3" recordCount="1152" xr:uid="{BFC97A0E-5E26-412A-BF1F-847676C403FA}">
  <cacheSource type="worksheet">
    <worksheetSource ref="A1:Z1153" sheet="Produktion &amp; forbrug"/>
  </cacheSource>
  <cacheFields count="26">
    <cacheField name="Scenarie" numFmtId="0">
      <sharedItems count="4">
        <s v="BAU"/>
        <s v="BAUm20"/>
        <s v="BAUp20"/>
        <s v="Alfa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561658711.83836472"/>
    </cacheField>
    <cacheField name="Foder" numFmtId="0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68816.20672013925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1614690.73032544"/>
    </cacheField>
    <cacheField name="Gødning" numFmtId="0">
      <sharedItems containsSemiMixedTypes="0" containsString="0" containsNumber="1" minValue="0" maxValue="20673448.784384709"/>
    </cacheField>
    <cacheField name="Energi" numFmtId="0">
      <sharedItems containsSemiMixedTypes="0" containsString="0" containsNumber="1" minValue="0" maxValue="561658711.83836472"/>
    </cacheField>
    <cacheField name="Materialer og processer" numFmtId="0">
      <sharedItems containsSemiMixedTypes="0" containsString="0" containsNumber="1" minValue="0" maxValue="507790.70515370794"/>
    </cacheField>
    <cacheField name="Produktion minus forbrug [ton]" numFmtId="0">
      <sharedItems containsSemiMixedTypes="0" containsString="0" containsNumber="1" minValue="-5794113.0468547465" maxValue="6234320.5706386827"/>
    </cacheField>
    <cacheField name="Potentiale til energi [ton]" numFmtId="0">
      <sharedItems containsSemiMixedTypes="0" containsString="0" containsNumber="1" minValue="0" maxValue="6234320.5706386827"/>
    </cacheField>
    <cacheField name="Forbrug energi [ton/m3]" numFmtId="0">
      <sharedItems containsSemiMixedTypes="0" containsString="0" containsNumber="1" minValue="0" maxValue="561658711.83836472"/>
    </cacheField>
    <cacheField name="Potentiale til energi [PJ]" numFmtId="0">
      <sharedItems containsSemiMixedTypes="0" containsString="0" containsNumber="1" minValue="0" maxValue="11.4703705599038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8792403007834348"/>
    </cacheField>
    <cacheField name="Restprodukter til energi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745609.7597788314"/>
    </cacheField>
    <cacheField name="Forbrug/potentiale [Ton TS]" numFmtId="0">
      <sharedItems containsSemiMixedTypes="0" containsString="0" containsNumber="1" minValue="0" maxValue="1766757.3348088232"/>
    </cacheField>
    <cacheField name="Biogasproduktion [Ton TS]" numFmtId="0">
      <sharedItems containsSemiMixedTypes="0" containsString="0" containsNumber="1" minValue="0" maxValue="882716.49550473341"/>
    </cacheField>
    <cacheField name="Restprodukter til energi [Ton TS]" numFmtId="0">
      <sharedItems containsSemiMixedTypes="0" containsString="0" containsNumber="1" minValue="0" maxValue="1745609.7597788314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9.502846643518" createdVersion="3" refreshedVersion="7" minRefreshableVersion="3" recordCount="1152" xr:uid="{EBA711B1-1416-4BF1-BA18-637B0E1D28BB}">
  <cacheSource type="worksheet">
    <worksheetSource ref="A1:Z1153" sheet="Produktion &amp; forbrug"/>
  </cacheSource>
  <cacheFields count="26">
    <cacheField name="Scenarie" numFmtId="0">
      <sharedItems count="4">
        <s v="BAU"/>
        <s v="BAUm20"/>
        <s v="BAUp20"/>
        <s v="Alfa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561658711.83836472"/>
    </cacheField>
    <cacheField name="Foder" numFmtId="0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68816.20672013925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1614690.73032544"/>
    </cacheField>
    <cacheField name="Gødning" numFmtId="0">
      <sharedItems containsSemiMixedTypes="0" containsString="0" containsNumber="1" minValue="0" maxValue="20673448.784384709"/>
    </cacheField>
    <cacheField name="Energi" numFmtId="0">
      <sharedItems containsSemiMixedTypes="0" containsString="0" containsNumber="1" minValue="0" maxValue="561658711.83836472"/>
    </cacheField>
    <cacheField name="Materialer og processer" numFmtId="0">
      <sharedItems containsSemiMixedTypes="0" containsString="0" containsNumber="1" minValue="0" maxValue="507790.70515370794"/>
    </cacheField>
    <cacheField name="Produktion minus forbrug [ton]" numFmtId="0">
      <sharedItems containsSemiMixedTypes="0" containsString="0" containsNumber="1" minValue="-5794113.0468547465" maxValue="6234320.5706386827"/>
    </cacheField>
    <cacheField name="Potentiale til energi [ton]" numFmtId="0">
      <sharedItems containsSemiMixedTypes="0" containsString="0" containsNumber="1" minValue="0" maxValue="6234320.5706386827"/>
    </cacheField>
    <cacheField name="Forbrug energi [ton/m3]" numFmtId="0">
      <sharedItems containsSemiMixedTypes="0" containsString="0" containsNumber="1" minValue="0" maxValue="561658711.83836472"/>
    </cacheField>
    <cacheField name="Potentiale til energi [PJ]" numFmtId="0">
      <sharedItems containsSemiMixedTypes="0" containsString="0" containsNumber="1" minValue="0" maxValue="11.4703705599038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8792403007834348"/>
    </cacheField>
    <cacheField name="Restprodukter til energi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745609.7597788314"/>
    </cacheField>
    <cacheField name="Forbrug/potentiale [Ton TS]" numFmtId="0">
      <sharedItems containsSemiMixedTypes="0" containsString="0" containsNumber="1" minValue="0" maxValue="1766757.3348088232"/>
    </cacheField>
    <cacheField name="Biogasproduktion [Ton TS]" numFmtId="0">
      <sharedItems containsSemiMixedTypes="0" containsString="0" containsNumber="1" minValue="0" maxValue="882716.49550473341"/>
    </cacheField>
    <cacheField name="Restprodukter til energi [Ton TS]" numFmtId="0">
      <sharedItems containsSemiMixedTypes="0" containsString="0" containsNumber="1" minValue="0" maxValue="1745609.7597788314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9.502846875002" createdVersion="3" refreshedVersion="7" minRefreshableVersion="3" recordCount="1152" xr:uid="{65A83A3D-8D23-42D4-80C2-E0B42049B3CF}">
  <cacheSource type="worksheet">
    <worksheetSource ref="A1:Z1153" sheet="Produktion &amp; forbrug"/>
  </cacheSource>
  <cacheFields count="27">
    <cacheField name="Scenarie" numFmtId="0">
      <sharedItems count="4">
        <s v="BAU"/>
        <s v="BAUm20"/>
        <s v="BAUp20"/>
        <s v="Alfa"/>
      </sharedItems>
    </cacheField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og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561658711.83836472"/>
    </cacheField>
    <cacheField name="Foder" numFmtId="0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68816.20672013925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1614690.73032544"/>
    </cacheField>
    <cacheField name="Gødning" numFmtId="0">
      <sharedItems containsSemiMixedTypes="0" containsString="0" containsNumber="1" minValue="0" maxValue="20673448.784384709"/>
    </cacheField>
    <cacheField name="Energi" numFmtId="0">
      <sharedItems containsSemiMixedTypes="0" containsString="0" containsNumber="1" minValue="0" maxValue="561658711.83836472"/>
    </cacheField>
    <cacheField name="Materialer og processer" numFmtId="0">
      <sharedItems containsSemiMixedTypes="0" containsString="0" containsNumber="1" minValue="0" maxValue="507790.70515370794"/>
    </cacheField>
    <cacheField name="Produktion minus forbrug [ton]" numFmtId="0">
      <sharedItems containsSemiMixedTypes="0" containsString="0" containsNumber="1" minValue="-5794113.0468547465" maxValue="6234320.5706386827"/>
    </cacheField>
    <cacheField name="Potentiale til energi [ton]" numFmtId="0">
      <sharedItems containsSemiMixedTypes="0" containsString="0" containsNumber="1" minValue="0" maxValue="6234320.5706386827"/>
    </cacheField>
    <cacheField name="Forbrug energi [ton/m3]" numFmtId="0">
      <sharedItems containsSemiMixedTypes="0" containsString="0" containsNumber="1" minValue="0" maxValue="561658711.83836472"/>
    </cacheField>
    <cacheField name="Potentiale til energi [PJ]" numFmtId="0">
      <sharedItems containsSemiMixedTypes="0" containsString="0" containsNumber="1" minValue="0" maxValue="11.4703705599038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8792403007834348"/>
    </cacheField>
    <cacheField name="Restprodukter til energi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745609.7597788314"/>
    </cacheField>
    <cacheField name="Forbrug/potentiale [Ton TS]" numFmtId="0">
      <sharedItems containsSemiMixedTypes="0" containsString="0" containsNumber="1" minValue="0" maxValue="1766757.3348088232"/>
    </cacheField>
    <cacheField name="Biogasproduktion [Ton TS]" numFmtId="0">
      <sharedItems containsSemiMixedTypes="0" containsString="0" containsNumber="1" minValue="0" maxValue="882716.49550473341"/>
    </cacheField>
    <cacheField name="Restprodukter til energi [Ton TS]" numFmtId="0">
      <sharedItems containsSemiMixedTypes="0" containsString="0" containsNumber="1" minValue="0" maxValue="1745609.7597788314"/>
    </cacheField>
    <cacheField name="Import mindst et år" numFmtId="0">
      <sharedItems containsSemiMixedTypes="0" containsString="0" containsNumber="1" containsInteger="1" minValue="0" maxValue="1" count="2">
        <n v="0"/>
        <n v="1"/>
      </sharedItems>
    </cacheField>
    <cacheField name="Field1" numFmtId="0" formula="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9.50284710648" createdVersion="3" refreshedVersion="7" minRefreshableVersion="3" recordCount="1152" xr:uid="{FB3F8C78-FE59-46A0-AB4B-F60ADB3F1C1F}">
  <cacheSource type="worksheet">
    <worksheetSource ref="A1:Z1153" sheet="Produktion &amp; forbrug"/>
  </cacheSource>
  <cacheFields count="26">
    <cacheField name="Scenarie" numFmtId="0">
      <sharedItems count="4">
        <s v="BAU"/>
        <s v="BAUm20"/>
        <s v="BAUp20"/>
        <s v="Alfa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561658711.83836472"/>
    </cacheField>
    <cacheField name="Foder" numFmtId="0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68816.20672013925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1614690.73032544"/>
    </cacheField>
    <cacheField name="Gødning" numFmtId="0">
      <sharedItems containsSemiMixedTypes="0" containsString="0" containsNumber="1" minValue="0" maxValue="20673448.784384709"/>
    </cacheField>
    <cacheField name="Energi" numFmtId="0">
      <sharedItems containsSemiMixedTypes="0" containsString="0" containsNumber="1" minValue="0" maxValue="561658711.83836472"/>
    </cacheField>
    <cacheField name="Materialer og processer" numFmtId="0">
      <sharedItems containsSemiMixedTypes="0" containsString="0" containsNumber="1" minValue="0" maxValue="507790.70515370794"/>
    </cacheField>
    <cacheField name="Produktion minus forbrug [ton]" numFmtId="0">
      <sharedItems containsSemiMixedTypes="0" containsString="0" containsNumber="1" minValue="-5794113.0468547465" maxValue="6234320.5706386827"/>
    </cacheField>
    <cacheField name="Potentiale til energi [ton]" numFmtId="0">
      <sharedItems containsSemiMixedTypes="0" containsString="0" containsNumber="1" minValue="0" maxValue="6234320.5706386827"/>
    </cacheField>
    <cacheField name="Forbrug energi [ton/m3]" numFmtId="0">
      <sharedItems containsSemiMixedTypes="0" containsString="0" containsNumber="1" minValue="0" maxValue="561658711.83836472"/>
    </cacheField>
    <cacheField name="Potentiale til energi [PJ]" numFmtId="0">
      <sharedItems containsSemiMixedTypes="0" containsString="0" containsNumber="1" minValue="0" maxValue="11.4703705599038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8792403007834348"/>
    </cacheField>
    <cacheField name="Restprodukter til energi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745609.7597788314"/>
    </cacheField>
    <cacheField name="Forbrug/potentiale [Ton TS]" numFmtId="0">
      <sharedItems containsSemiMixedTypes="0" containsString="0" containsNumber="1" minValue="0" maxValue="1766757.3348088232"/>
    </cacheField>
    <cacheField name="Biogasproduktion [Ton TS]" numFmtId="0">
      <sharedItems containsSemiMixedTypes="0" containsString="0" containsNumber="1" minValue="0" maxValue="882716.49550473341"/>
    </cacheField>
    <cacheField name="Restprodukter til energi [Ton TS]" numFmtId="0">
      <sharedItems containsSemiMixedTypes="0" containsString="0" containsNumber="1" minValue="0" maxValue="1745609.7597788314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9.502847222226" createdVersion="3" refreshedVersion="7" minRefreshableVersion="3" recordCount="1152" xr:uid="{9DF3C331-E145-483F-9A14-E95A9E6BBF71}">
  <cacheSource type="worksheet">
    <worksheetSource ref="A1:Z1153" sheet="Produktion &amp; forbrug"/>
  </cacheSource>
  <cacheFields count="26">
    <cacheField name="Scenarie" numFmtId="0">
      <sharedItems count="4">
        <s v="BAU"/>
        <s v="BAUm20"/>
        <s v="BAUp20"/>
        <s v="Alfa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561658711.83836472"/>
    </cacheField>
    <cacheField name="Foder" numFmtId="0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68816.20672013925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1614690.73032544"/>
    </cacheField>
    <cacheField name="Gødning" numFmtId="0">
      <sharedItems containsSemiMixedTypes="0" containsString="0" containsNumber="1" minValue="0" maxValue="20673448.784384709"/>
    </cacheField>
    <cacheField name="Energi" numFmtId="0">
      <sharedItems containsSemiMixedTypes="0" containsString="0" containsNumber="1" minValue="0" maxValue="561658711.83836472"/>
    </cacheField>
    <cacheField name="Materialer og processer" numFmtId="0">
      <sharedItems containsSemiMixedTypes="0" containsString="0" containsNumber="1" minValue="0" maxValue="507790.70515370794"/>
    </cacheField>
    <cacheField name="Produktion minus forbrug [ton]" numFmtId="0">
      <sharedItems containsSemiMixedTypes="0" containsString="0" containsNumber="1" minValue="-5794113.0468547465" maxValue="6234320.5706386827"/>
    </cacheField>
    <cacheField name="Potentiale til energi [ton]" numFmtId="0">
      <sharedItems containsSemiMixedTypes="0" containsString="0" containsNumber="1" minValue="0" maxValue="6234320.5706386827"/>
    </cacheField>
    <cacheField name="Forbrug energi [ton/m3]" numFmtId="0">
      <sharedItems containsSemiMixedTypes="0" containsString="0" containsNumber="1" minValue="0" maxValue="561658711.83836472"/>
    </cacheField>
    <cacheField name="Potentiale til energi [PJ]" numFmtId="0">
      <sharedItems containsSemiMixedTypes="0" containsString="0" containsNumber="1" minValue="0" maxValue="11.4703705599038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8792403007834348"/>
    </cacheField>
    <cacheField name="Restprodukter til energi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745609.7597788314"/>
    </cacheField>
    <cacheField name="Forbrug/potentiale [Ton TS]" numFmtId="0">
      <sharedItems containsSemiMixedTypes="0" containsString="0" containsNumber="1" minValue="0" maxValue="1766757.3348088232"/>
    </cacheField>
    <cacheField name="Biogasproduktion [Ton TS]" numFmtId="0">
      <sharedItems containsSemiMixedTypes="0" containsString="0" containsNumber="1" minValue="0" maxValue="882716.49550473341"/>
    </cacheField>
    <cacheField name="Restprodukter til energi [Ton TS]" numFmtId="0">
      <sharedItems containsSemiMixedTypes="0" containsString="0" containsNumber="1" minValue="0" maxValue="1745609.7597788314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82D7E1-A61C-4321-B9C2-0510112CCD75}" name="Areal" cacheId="98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>
  <location ref="A2:G14" firstHeaderRow="1" firstDataRow="2" firstDataCol="1"/>
  <pivotFields count="6">
    <pivotField axis="axisRow" showAll="0">
      <items count="5">
        <item x="0"/>
        <item x="1"/>
        <item x="2"/>
        <item x="3"/>
        <item t="default"/>
      </items>
    </pivotField>
    <pivotField showAll="0"/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h="1" x="0"/>
        <item x="1"/>
        <item x="2"/>
        <item t="default"/>
      </items>
    </pivotField>
    <pivotField showAll="0"/>
    <pivotField dataField="1" showAll="0"/>
  </pivotFields>
  <rowFields count="2">
    <field x="3"/>
    <field x="0"/>
  </rowFields>
  <rowItems count="11"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Værdi" fld="5" baseField="3" baseItem="1" numFmtId="3"/>
  </dataFields>
  <chartFormats count="5"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7E89FA-D032-4E17-9502-69998D1AE5BD}" name="Areal2019" cacheId="98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1">
  <location ref="A3:G6" firstHeaderRow="1" firstDataRow="2" firstDataCol="1" rowPageCount="1" colPageCount="1"/>
  <pivotFields count="6">
    <pivotField axis="axisPage" showAll="0" sortType="ascending">
      <items count="5">
        <item x="3"/>
        <item x="0"/>
        <item x="1"/>
        <item x="2"/>
        <item t="default"/>
      </items>
    </pivotField>
    <pivotField showAll="0"/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h="1" x="1"/>
        <item h="1" x="2"/>
        <item t="default"/>
      </items>
    </pivotField>
    <pivotField showAll="0"/>
    <pivotField dataField="1" showAll="0"/>
  </pivotFields>
  <rowFields count="1">
    <field x="3"/>
  </rowFields>
  <rowItems count="2">
    <i>
      <x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item="1" hier="-1"/>
  </pageFields>
  <dataFields count="1">
    <dataField name="Sum of Værdi" fld="5" baseField="3" baseItem="0"/>
  </dataFields>
  <chartFormats count="10"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7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7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7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7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3D2924-96CD-46DF-9162-BF479907FDA8}" name="Areal land" cacheId="99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A2:P14" firstHeaderRow="1" firstDataRow="2" firstDataCol="1"/>
  <pivotFields count="11">
    <pivotField axis="axisRow" showAll="0">
      <items count="5">
        <item x="0"/>
        <item x="1"/>
        <item x="2"/>
        <item x="3"/>
        <item t="default"/>
      </items>
    </pivotField>
    <pivotField showAll="0"/>
    <pivotField axis="axisCol" showAll="0">
      <items count="15">
        <item x="1"/>
        <item x="10"/>
        <item x="8"/>
        <item x="3"/>
        <item x="4"/>
        <item x="11"/>
        <item x="5"/>
        <item x="0"/>
        <item x="7"/>
        <item x="9"/>
        <item x="13"/>
        <item x="12"/>
        <item x="2"/>
        <item x="6"/>
        <item t="default"/>
      </items>
    </pivotField>
    <pivotField axis="axisRow" showAll="0">
      <items count="4">
        <item h="1" x="0"/>
        <item x="1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</pivotFields>
  <rowFields count="2">
    <field x="3"/>
    <field x="0"/>
  </rowFields>
  <rowItems count="11"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 t="grand">
      <x/>
    </i>
  </rowItems>
  <colFields count="1">
    <field x="2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dataFields count="1">
    <dataField name="Sum of Arealanvendelse" fld="7" baseField="3" baseItem="1" numFmtId="3"/>
  </dataFields>
  <chartFormats count="14">
    <chartFormat chart="2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2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2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2" format="5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2" format="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A2BD65-6C4D-498F-9494-614692077D04}" name="Areal land 2019" cacheId="99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>
  <location ref="A3:P6" firstHeaderRow="1" firstDataRow="2" firstDataCol="1" rowPageCount="1" colPageCount="1"/>
  <pivotFields count="11">
    <pivotField axis="axisPage" showAll="0" sortType="ascending">
      <items count="5">
        <item x="3"/>
        <item x="0"/>
        <item x="1"/>
        <item x="2"/>
        <item t="default"/>
      </items>
    </pivotField>
    <pivotField showAll="0"/>
    <pivotField axis="axisCol" showAll="0">
      <items count="15">
        <item x="1"/>
        <item x="10"/>
        <item x="8"/>
        <item x="3"/>
        <item x="4"/>
        <item x="11"/>
        <item x="5"/>
        <item x="0"/>
        <item x="7"/>
        <item x="9"/>
        <item x="13"/>
        <item x="12"/>
        <item x="2"/>
        <item x="6"/>
        <item t="default"/>
      </items>
    </pivotField>
    <pivotField axis="axisRow" showAll="0">
      <items count="4">
        <item x="0"/>
        <item h="1" x="1"/>
        <item h="1"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3"/>
  </rowFields>
  <rowItems count="2">
    <i>
      <x/>
    </i>
    <i t="grand">
      <x/>
    </i>
  </rowItems>
  <colFields count="1">
    <field x="2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pageFields count="1">
    <pageField fld="0" item="1" hier="-1"/>
  </pageFields>
  <dataFields count="1">
    <dataField name="Sum of Arealanvendelse" fld="7" baseField="3" baseItem="0" numFmtId="3"/>
  </dataFields>
  <chartFormats count="28">
    <chartFormat chart="2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2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2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2" format="5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2" format="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5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5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" format="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5" format="3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5" format="3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5" format="3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5" format="3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5" format="3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5" format="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5" format="3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A86353-C653-428D-B7F0-74FB55AE5CDF}" name="CO2-all" cacheId="97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8">
  <location ref="A2:I14" firstHeaderRow="1" firstDataRow="2" firstDataCol="1"/>
  <pivotFields count="7">
    <pivotField axis="axisRow" showAll="0">
      <items count="5">
        <item x="0"/>
        <item x="1"/>
        <item x="2"/>
        <item x="3"/>
        <item t="default"/>
      </items>
    </pivotField>
    <pivotField showAll="0"/>
    <pivotField axis="axisRow" showAll="0">
      <items count="4">
        <item h="1" x="0"/>
        <item x="1"/>
        <item x="2"/>
        <item t="default"/>
      </items>
    </pivotField>
    <pivotField dataField="1" showAll="0"/>
    <pivotField showAll="0"/>
    <pivotField axis="axisCol" showAll="0">
      <items count="8">
        <item x="0"/>
        <item x="3"/>
        <item x="1"/>
        <item x="2"/>
        <item x="4"/>
        <item x="5"/>
        <item x="6"/>
        <item t="default"/>
      </items>
    </pivotField>
    <pivotField showAll="0"/>
  </pivotFields>
  <rowFields count="2">
    <field x="2"/>
    <field x="0"/>
  </rowFields>
  <rowItems count="11"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 t="grand">
      <x/>
    </i>
  </rowItems>
  <colFields count="1">
    <field x="5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Total" fld="3" baseField="2" baseItem="1" numFmtId="3"/>
  </dataFields>
  <chartFormats count="13"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4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" format="2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7" format="2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7" format="2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7" format="2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7" format="3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7" format="3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7" format="3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" format="2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652F18-C209-408E-A4D2-B916ED84F8B3}" name="CO2-2019" cacheId="97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1">
  <location ref="A3:I6" firstHeaderRow="1" firstDataRow="2" firstDataCol="1" rowPageCount="1" colPageCount="1"/>
  <pivotFields count="7">
    <pivotField axis="axisPage" showAll="0" sortType="ascending">
      <items count="5">
        <item x="3"/>
        <item x="0"/>
        <item x="1"/>
        <item x="2"/>
        <item t="default"/>
      </items>
    </pivotField>
    <pivotField showAll="0"/>
    <pivotField axis="axisRow" showAll="0">
      <items count="4">
        <item x="0"/>
        <item h="1" x="1"/>
        <item h="1" x="2"/>
        <item t="default"/>
      </items>
    </pivotField>
    <pivotField dataField="1" showAll="0"/>
    <pivotField showAll="0"/>
    <pivotField axis="axisCol" showAll="0">
      <items count="8">
        <item x="0"/>
        <item x="3"/>
        <item x="1"/>
        <item x="2"/>
        <item x="4"/>
        <item x="5"/>
        <item x="6"/>
        <item t="default"/>
      </items>
    </pivotField>
    <pivotField showAll="0"/>
  </pivotFields>
  <rowFields count="1">
    <field x="2"/>
  </rowFields>
  <rowItems count="2">
    <i>
      <x/>
    </i>
    <i t="grand">
      <x/>
    </i>
  </rowItems>
  <colFields count="1">
    <field x="5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pageFields count="1">
    <pageField fld="0" item="1" hier="-1"/>
  </pageFields>
  <dataFields count="1">
    <dataField name="Sum of Total" fld="3" baseField="2" baseItem="0" numFmtId="3"/>
  </dataFields>
  <chartFormats count="18"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4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7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7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7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10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0" format="1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0" format="1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0" format="1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10" format="2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10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4C64B3-79B8-45CE-A1E4-D648588B614A}" name="PotentialePJ" cacheId="99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5">
  <location ref="A2:S15" firstHeaderRow="1" firstDataRow="3" firstDataCol="1"/>
  <pivotFields count="26">
    <pivotField axis="axisRow" showAll="0" defaultSubtotal="0">
      <items count="4">
        <item x="0"/>
        <item x="1"/>
        <item x="2"/>
        <item x="3"/>
      </items>
    </pivotField>
    <pivotField showAll="0" defaultSubtotal="0"/>
    <pivotField axis="axisCol" showAll="0" defaultSubtotal="0">
      <items count="11">
        <item x="5"/>
        <item x="4"/>
        <item x="7"/>
        <item x="9"/>
        <item x="2"/>
        <item x="3"/>
        <item h="1" x="0"/>
        <item x="1"/>
        <item x="6"/>
        <item h="1" x="10"/>
        <item h="1" x="8"/>
      </items>
    </pivotField>
    <pivotField showAll="0" defaultSubtotal="0"/>
    <pivotField axis="axisRow" showAll="0" defaultSubtotal="0">
      <items count="3">
        <item h="1" x="0"/>
        <item x="1"/>
        <item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ubtotalTop="0" showAll="0" defaultSubtotal="0"/>
  </pivotFields>
  <rowFields count="2">
    <field x="4"/>
    <field x="0"/>
  </rowFields>
  <rowItems count="11"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 t="grand">
      <x/>
    </i>
  </rowItems>
  <colFields count="2">
    <field x="2"/>
    <field x="-2"/>
  </colFields>
  <colItems count="18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7"/>
      <x/>
    </i>
    <i r="1" i="1">
      <x v="1"/>
    </i>
    <i>
      <x v="8"/>
      <x/>
    </i>
    <i r="1" i="1">
      <x v="1"/>
    </i>
    <i t="grand">
      <x/>
    </i>
    <i t="grand" i="1">
      <x/>
    </i>
  </colItems>
  <dataFields count="2">
    <dataField name="Sum of Restprodukter til energi [PJ]" fld="20" baseField="0" baseItem="5" numFmtId="4"/>
    <dataField name="Sum of Biogasproduktion [PJ]" fld="19" baseField="0" baseItem="0"/>
  </dataFields>
  <formats count="3">
    <format dxfId="4">
      <pivotArea collapsedLevelsAreSubtotals="1" fieldPosition="0">
        <references count="2">
          <reference field="0" count="0"/>
          <reference field="4" count="1" selected="0">
            <x v="2"/>
          </reference>
        </references>
      </pivotArea>
    </format>
    <format dxfId="3">
      <pivotArea grandRow="1" outline="0" collapsedLevelsAreSubtotals="1" fieldPosition="0"/>
    </format>
    <format dxfId="2">
      <pivotArea collapsedLevelsAreSubtotals="1" fieldPosition="0">
        <references count="2">
          <reference field="0" count="0"/>
          <reference field="4" count="1" selected="0">
            <x v="1"/>
          </reference>
        </references>
      </pivotArea>
    </format>
  </formats>
  <chartFormats count="16">
    <chartFormat chart="4" format="1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4" format="14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4" format="1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4" format="15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4" format="1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4" format="15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4" format="1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4" format="15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4" format="1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4" format="15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4" format="1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4" format="15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4" format="16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4" format="16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4" format="16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4" format="16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03C2EF-3154-4A4C-A654-581E59E31117}" name="PotentialePJ2019" cacheId="101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8">
  <location ref="A3:S7" firstHeaderRow="1" firstDataRow="3" firstDataCol="1" rowPageCount="1" colPageCount="1"/>
  <pivotFields count="26">
    <pivotField axis="axisPage" showAll="0" sortType="ascending" defaultSubtotal="0">
      <items count="4">
        <item x="3"/>
        <item x="0"/>
        <item x="1"/>
        <item x="2"/>
      </items>
    </pivotField>
    <pivotField showAll="0" defaultSubtotal="0"/>
    <pivotField axis="axisCol" showAll="0" defaultSubtotal="0">
      <items count="11">
        <item x="5"/>
        <item x="4"/>
        <item x="7"/>
        <item x="9"/>
        <item x="2"/>
        <item x="3"/>
        <item h="1" x="0"/>
        <item x="1"/>
        <item x="6"/>
        <item h="1" x="10"/>
        <item h="1" x="8"/>
      </items>
    </pivotField>
    <pivotField showAll="0" defaultSubtotal="0"/>
    <pivotField axis="axisRow" multipleItemSelectionAllowed="1" showAll="0" defaultSubtotal="0">
      <items count="3">
        <item x="0"/>
        <item h="1" x="1"/>
        <item h="1"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ubtotalTop="0" showAll="0" defaultSubtotal="0"/>
  </pivotFields>
  <rowFields count="1">
    <field x="4"/>
  </rowFields>
  <rowItems count="2">
    <i>
      <x/>
    </i>
    <i t="grand">
      <x/>
    </i>
  </rowItems>
  <colFields count="2">
    <field x="2"/>
    <field x="-2"/>
  </colFields>
  <colItems count="18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7"/>
      <x/>
    </i>
    <i r="1" i="1">
      <x v="1"/>
    </i>
    <i>
      <x v="8"/>
      <x/>
    </i>
    <i r="1" i="1">
      <x v="1"/>
    </i>
    <i t="grand">
      <x/>
    </i>
    <i t="grand" i="1">
      <x/>
    </i>
  </colItems>
  <pageFields count="1">
    <pageField fld="0" item="1" hier="-1"/>
  </pageFields>
  <dataFields count="2">
    <dataField name="Sum of Restprodukter til energi [PJ]" fld="20" baseField="0" baseItem="3" numFmtId="4"/>
    <dataField name="Sum of Biogasproduktion [PJ]" fld="19" baseField="0" baseItem="0"/>
  </dataFields>
  <formats count="2">
    <format dxfId="1">
      <pivotArea collapsedLevelsAreSubtotals="1" fieldPosition="0">
        <references count="2">
          <reference field="0" count="0"/>
          <reference field="4" count="0" selected="0"/>
        </references>
      </pivotArea>
    </format>
    <format dxfId="0">
      <pivotArea grandRow="1" outline="0" collapsedLevelsAreSubtotals="1" fieldPosition="0"/>
    </format>
  </formats>
  <chartFormats count="32">
    <chartFormat chart="4" format="1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4" format="14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4" format="1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4" format="15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4" format="1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4" format="15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4" format="1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4" format="15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4" format="1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4" format="15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4" format="1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4" format="15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4" format="16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4" format="16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4" format="16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4" format="16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8"/>
          </reference>
        </references>
      </pivotArea>
    </chartFormat>
    <chartFormat chart="7" format="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7" format="3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7" format="3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7" format="3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7" format="3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7" format="3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7" format="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7" format="3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7" format="4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7" format="4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7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7" format="4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7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7" format="4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7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7" format="4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F4D07A-3982-462E-8C5D-8074A495DD98}" name="PotentialeTS" cacheId="100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>
  <location ref="A2:J14" firstHeaderRow="1" firstDataRow="2" firstDataCol="1"/>
  <pivotFields count="26">
    <pivotField axis="axisRow" showAll="0" defaultSubtotal="0">
      <items count="4">
        <item x="0"/>
        <item x="1"/>
        <item x="2"/>
        <item x="3"/>
      </items>
    </pivotField>
    <pivotField showAll="0" defaultSubtotal="0"/>
    <pivotField axis="axisCol" showAll="0" defaultSubtotal="0">
      <items count="11">
        <item x="5"/>
        <item x="4"/>
        <item x="7"/>
        <item x="9"/>
        <item x="2"/>
        <item x="3"/>
        <item h="1" x="0"/>
        <item x="1"/>
        <item x="6"/>
        <item h="1" x="10"/>
        <item h="1" x="8"/>
      </items>
    </pivotField>
    <pivotField showAll="0" defaultSubtotal="0"/>
    <pivotField axis="axisRow" showAll="0" defaultSubtotal="0">
      <items count="3">
        <item h="1" x="0"/>
        <item x="1"/>
        <item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ubtotalTop="0" showAll="0" defaultSubtotal="0"/>
  </pivotFields>
  <rowFields count="2">
    <field x="4"/>
    <field x="0"/>
  </rowFields>
  <rowItems count="11"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 t="grand">
      <x/>
    </i>
  </rowItems>
  <colFields count="1">
    <field x="2"/>
  </colFields>
  <colItems count="9">
    <i>
      <x/>
    </i>
    <i>
      <x v="1"/>
    </i>
    <i>
      <x v="2"/>
    </i>
    <i>
      <x v="3"/>
    </i>
    <i>
      <x v="4"/>
    </i>
    <i>
      <x v="5"/>
    </i>
    <i>
      <x v="7"/>
    </i>
    <i>
      <x v="8"/>
    </i>
    <i t="grand">
      <x/>
    </i>
  </colItems>
  <dataFields count="1">
    <dataField name="Sum of Forbrug/potentiale [Ton TS]" fld="22" baseField="0" baseItem="0" numFmtId="3"/>
  </dataFields>
  <chartFormats count="10">
    <chartFormat chart="0" format="2" series="1">
      <pivotArea type="data" outline="0" fieldPosition="0">
        <references count="1"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1">
          <reference field="2" count="1" selected="0">
            <x v="3"/>
          </reference>
        </references>
      </pivotArea>
    </chartFormat>
    <chartFormat chart="5" format="18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18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5" format="1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1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" format="1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5" format="1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5" format="1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5" format="1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34399F-E421-43F5-B0CE-BCB7A87D9978}" name="PotentialeTS2019" cacheId="101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9">
  <location ref="A3:J6" firstHeaderRow="1" firstDataRow="2" firstDataCol="1" rowPageCount="1" colPageCount="1"/>
  <pivotFields count="26">
    <pivotField axis="axisPage" showAll="0" sortType="ascending" defaultSubtotal="0">
      <items count="4">
        <item x="3"/>
        <item x="0"/>
        <item x="1"/>
        <item x="2"/>
      </items>
    </pivotField>
    <pivotField showAll="0" defaultSubtotal="0"/>
    <pivotField axis="axisCol" showAll="0" defaultSubtotal="0">
      <items count="11">
        <item x="5"/>
        <item x="4"/>
        <item x="7"/>
        <item x="9"/>
        <item x="2"/>
        <item x="3"/>
        <item h="1" x="0"/>
        <item x="1"/>
        <item x="6"/>
        <item h="1" x="10"/>
        <item h="1" x="8"/>
      </items>
    </pivotField>
    <pivotField showAll="0" defaultSubtotal="0"/>
    <pivotField axis="axisRow" showAll="0" defaultSubtotal="0">
      <items count="3">
        <item x="0"/>
        <item h="1" x="1"/>
        <item h="1"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ubtotalTop="0" showAll="0" defaultSubtotal="0"/>
  </pivotFields>
  <rowFields count="1">
    <field x="4"/>
  </rowFields>
  <rowItems count="2">
    <i>
      <x/>
    </i>
    <i t="grand">
      <x/>
    </i>
  </rowItems>
  <colFields count="1">
    <field x="2"/>
  </colFields>
  <colItems count="9">
    <i>
      <x/>
    </i>
    <i>
      <x v="1"/>
    </i>
    <i>
      <x v="2"/>
    </i>
    <i>
      <x v="3"/>
    </i>
    <i>
      <x v="4"/>
    </i>
    <i>
      <x v="5"/>
    </i>
    <i>
      <x v="7"/>
    </i>
    <i>
      <x v="8"/>
    </i>
    <i t="grand">
      <x/>
    </i>
  </colItems>
  <pageFields count="1">
    <pageField fld="0" item="1" hier="-1"/>
  </pageFields>
  <dataFields count="1">
    <dataField name="Sum of Forbrug/potentiale [Ton TS]" fld="22" baseField="0" baseItem="3" numFmtId="3"/>
  </dataFields>
  <chartFormats count="18">
    <chartFormat chart="0" format="2" series="1">
      <pivotArea type="data" outline="0" fieldPosition="0">
        <references count="1"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1">
          <reference field="2" count="1" selected="0">
            <x v="3"/>
          </reference>
        </references>
      </pivotArea>
    </chartFormat>
    <chartFormat chart="5" format="18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18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5" format="1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1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" format="1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5" format="1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5" format="1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5" format="1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8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8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8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8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8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8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8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8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D5A1E3-326E-48E2-93FC-5C2943D0FDA5}" name="Import" cacheId="100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multipleFieldFilters="0" chartFormat="8">
  <location ref="A3:K20" firstHeaderRow="1" firstDataRow="2" firstDataCol="2" rowPageCount="1" colPageCount="1"/>
  <pivotFields count="27">
    <pivotField axis="axisRow" compact="0" outline="0" subtotalTop="0" showAll="0">
      <items count="5">
        <item x="0"/>
        <item x="1"/>
        <item x="2"/>
        <item x="3"/>
        <item t="default"/>
      </items>
    </pivotField>
    <pivotField axis="axisCol" compact="0" outline="0" subtotalTop="0" showAll="0">
      <items count="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32"/>
        <item x="33"/>
        <item t="default"/>
      </items>
    </pivotField>
    <pivotField compact="0" outline="0" subtotalTop="0" showAll="0"/>
    <pivotField compact="0" outline="0" subtotalTop="0" showAll="0"/>
    <pivotField axis="axisRow" compact="0" outline="0" subtotalTop="0" showAll="0">
      <items count="4">
        <item x="0"/>
        <item x="1"/>
        <item x="2"/>
        <item t="default"/>
      </items>
    </pivotField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axis="axisPage" compact="0" outline="0" subtotalTop="0" showAll="0">
      <items count="3">
        <item x="0"/>
        <item x="1"/>
        <item t="default"/>
      </items>
    </pivotField>
    <pivotField dataField="1" compact="0" outline="0" subtotalTop="0" dragToRow="0" dragToCol="0" dragToPage="0" showAll="0" defaultSubtotal="0"/>
  </pivotFields>
  <rowFields count="2">
    <field x="4"/>
    <field x="0"/>
  </rowFields>
  <rowItems count="16">
    <i>
      <x/>
      <x/>
    </i>
    <i r="1">
      <x v="1"/>
    </i>
    <i r="1">
      <x v="2"/>
    </i>
    <i r="1">
      <x v="3"/>
    </i>
    <i t="default">
      <x/>
    </i>
    <i>
      <x v="1"/>
      <x/>
    </i>
    <i r="1">
      <x v="1"/>
    </i>
    <i r="1">
      <x v="2"/>
    </i>
    <i r="1">
      <x v="3"/>
    </i>
    <i t="default">
      <x v="1"/>
    </i>
    <i>
      <x v="2"/>
      <x/>
    </i>
    <i r="1">
      <x v="1"/>
    </i>
    <i r="1">
      <x v="2"/>
    </i>
    <i r="1">
      <x v="3"/>
    </i>
    <i t="default">
      <x v="2"/>
    </i>
    <i t="grand">
      <x/>
    </i>
  </rowItems>
  <colFields count="1">
    <field x="1"/>
  </colFields>
  <colItems count="9">
    <i>
      <x v="2"/>
    </i>
    <i>
      <x v="11"/>
    </i>
    <i>
      <x v="12"/>
    </i>
    <i>
      <x v="15"/>
    </i>
    <i>
      <x v="18"/>
    </i>
    <i>
      <x v="19"/>
    </i>
    <i>
      <x v="23"/>
    </i>
    <i>
      <x v="29"/>
    </i>
    <i t="grand">
      <x/>
    </i>
  </colItems>
  <pageFields count="1">
    <pageField fld="25" item="1" hier="-1"/>
  </pageFields>
  <dataFields count="1">
    <dataField name="Sum of Field1" fld="26" baseField="0" baseItem="0" numFmtId="3"/>
  </dataFields>
  <chartFormats count="11">
    <chartFormat chart="7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7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7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7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7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7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7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7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7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7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7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7C794-5CCF-4E97-BB49-3E6E72F436C2}">
  <sheetPr codeName="Sheet3">
    <tabColor theme="4" tint="-0.249977111117893"/>
  </sheetPr>
  <dimension ref="A1:C5"/>
  <sheetViews>
    <sheetView showGridLines="0" workbookViewId="0">
      <selection activeCell="A2" sqref="A2"/>
    </sheetView>
  </sheetViews>
  <sheetFormatPr defaultRowHeight="15" x14ac:dyDescent="0.25"/>
  <sheetData>
    <row r="1" spans="1:3" ht="15.75" thickBot="1" x14ac:dyDescent="0.3">
      <c r="A1" s="1" t="s">
        <v>87</v>
      </c>
    </row>
    <row r="2" spans="1:3" ht="15.75" thickBot="1" x14ac:dyDescent="0.3">
      <c r="A2" s="14" t="s">
        <v>27</v>
      </c>
      <c r="C2" t="s">
        <v>138</v>
      </c>
    </row>
    <row r="3" spans="1:3" x14ac:dyDescent="0.25">
      <c r="A3" t="s">
        <v>129</v>
      </c>
      <c r="C3" t="s">
        <v>144</v>
      </c>
    </row>
    <row r="4" spans="1:3" x14ac:dyDescent="0.25">
      <c r="A4" t="s">
        <v>130</v>
      </c>
    </row>
    <row r="5" spans="1:3" x14ac:dyDescent="0.25">
      <c r="A5" t="s">
        <v>143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CopyData">
                <anchor moveWithCells="1" sizeWithCells="1">
                  <from>
                    <xdr:col>4</xdr:col>
                    <xdr:colOff>85725</xdr:colOff>
                    <xdr:row>3</xdr:row>
                    <xdr:rowOff>76200</xdr:rowOff>
                  </from>
                  <to>
                    <xdr:col>7</xdr:col>
                    <xdr:colOff>228600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F00C6-EA93-4B0E-9C3B-23D79181773E}">
  <sheetPr codeName="Sheet4">
    <tabColor theme="4" tint="-0.249977111117893"/>
  </sheetPr>
  <dimension ref="A1"/>
  <sheetViews>
    <sheetView tabSelected="1" topLeftCell="A139" zoomScale="55" zoomScaleNormal="55" workbookViewId="0">
      <selection activeCell="AD182" sqref="AD182"/>
    </sheetView>
  </sheetViews>
  <sheetFormatPr defaultColWidth="9.140625" defaultRowHeight="15" x14ac:dyDescent="0.25"/>
  <cols>
    <col min="1" max="16384" width="9.140625" style="10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89583-3928-48CA-8A38-D2402769A72A}">
  <sheetPr codeName="Sheet10">
    <tabColor theme="7" tint="0.39997558519241921"/>
  </sheetPr>
  <dimension ref="A1:G14"/>
  <sheetViews>
    <sheetView workbookViewId="0">
      <selection sqref="A1:B1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9.140625" bestFit="1" customWidth="1"/>
    <col min="7" max="7" width="11.28515625" bestFit="1" customWidth="1"/>
  </cols>
  <sheetData>
    <row r="1" spans="1:7" x14ac:dyDescent="0.25">
      <c r="A1" t="s">
        <v>145</v>
      </c>
      <c r="B1" s="12">
        <f>ROUNDUP(MAX(_xlfn.MAXIFS(INDEX($A$4:$R$200,0,MATCH("Grand Total",$A$3:$R$3,0)),$A$4:$A$200,"&lt;&gt;2030",$A$4:$A$200,"&lt;&gt;2050",$A$4:$A$200,"&lt;&gt;"&amp;"Grand Total"),_xlfn.MAXIFS(INDEX('Arealanvendelse pivot 2019'!$A$5:$R$201,0,MATCH("Grand Total",'Arealanvendelse pivot 2019'!$A$4:$R$4,0)),'Arealanvendelse pivot 2019'!$A$5:$A$201,"Grand Total"))/500000,0)*500000</f>
        <v>4500000</v>
      </c>
    </row>
    <row r="2" spans="1:7" x14ac:dyDescent="0.25">
      <c r="A2" s="6" t="s">
        <v>123</v>
      </c>
      <c r="B2" s="6" t="s">
        <v>90</v>
      </c>
    </row>
    <row r="3" spans="1:7" x14ac:dyDescent="0.25">
      <c r="A3" s="6" t="s">
        <v>88</v>
      </c>
      <c r="B3" t="s">
        <v>117</v>
      </c>
      <c r="C3" t="s">
        <v>114</v>
      </c>
      <c r="D3" t="s">
        <v>115</v>
      </c>
      <c r="E3" t="s">
        <v>116</v>
      </c>
      <c r="F3" t="s">
        <v>112</v>
      </c>
      <c r="G3" t="s">
        <v>89</v>
      </c>
    </row>
    <row r="4" spans="1:7" x14ac:dyDescent="0.25">
      <c r="A4" s="7">
        <v>2030</v>
      </c>
      <c r="B4" s="12">
        <v>263440</v>
      </c>
      <c r="C4" s="12">
        <v>2364920</v>
      </c>
      <c r="D4" s="12">
        <v>10169880</v>
      </c>
      <c r="E4" s="12">
        <v>1951680</v>
      </c>
      <c r="F4" s="12">
        <v>2331200</v>
      </c>
      <c r="G4" s="12">
        <v>17081120</v>
      </c>
    </row>
    <row r="5" spans="1:7" x14ac:dyDescent="0.25">
      <c r="A5" s="9" t="s">
        <v>27</v>
      </c>
      <c r="B5" s="12">
        <v>65860</v>
      </c>
      <c r="C5" s="12">
        <v>591230</v>
      </c>
      <c r="D5" s="12">
        <v>2542469.9999999995</v>
      </c>
      <c r="E5" s="12">
        <v>487920</v>
      </c>
      <c r="F5" s="12">
        <v>582800</v>
      </c>
      <c r="G5" s="12">
        <v>4270280</v>
      </c>
    </row>
    <row r="6" spans="1:7" x14ac:dyDescent="0.25">
      <c r="A6" s="9" t="s">
        <v>129</v>
      </c>
      <c r="B6" s="12">
        <v>65860</v>
      </c>
      <c r="C6" s="12">
        <v>591230</v>
      </c>
      <c r="D6" s="12">
        <v>2542469.9999999995</v>
      </c>
      <c r="E6" s="12">
        <v>487920</v>
      </c>
      <c r="F6" s="12">
        <v>582800</v>
      </c>
      <c r="G6" s="12">
        <v>4270280</v>
      </c>
    </row>
    <row r="7" spans="1:7" x14ac:dyDescent="0.25">
      <c r="A7" s="9" t="s">
        <v>130</v>
      </c>
      <c r="B7" s="12">
        <v>65860</v>
      </c>
      <c r="C7" s="12">
        <v>591230</v>
      </c>
      <c r="D7" s="12">
        <v>2542470</v>
      </c>
      <c r="E7" s="12">
        <v>487920</v>
      </c>
      <c r="F7" s="12">
        <v>582800</v>
      </c>
      <c r="G7" s="12">
        <v>4270280</v>
      </c>
    </row>
    <row r="8" spans="1:7" x14ac:dyDescent="0.25">
      <c r="A8" s="9" t="s">
        <v>143</v>
      </c>
      <c r="B8" s="12">
        <v>65860</v>
      </c>
      <c r="C8" s="12">
        <v>591230</v>
      </c>
      <c r="D8" s="12">
        <v>2542470</v>
      </c>
      <c r="E8" s="12">
        <v>487920</v>
      </c>
      <c r="F8" s="12">
        <v>582800</v>
      </c>
      <c r="G8" s="12">
        <v>4270280</v>
      </c>
    </row>
    <row r="9" spans="1:7" x14ac:dyDescent="0.25">
      <c r="A9" s="7">
        <v>2050</v>
      </c>
      <c r="B9" s="12">
        <v>263440</v>
      </c>
      <c r="C9" s="12">
        <v>2364920</v>
      </c>
      <c r="D9" s="12">
        <v>10017880</v>
      </c>
      <c r="E9" s="12">
        <v>1951680</v>
      </c>
      <c r="F9" s="12">
        <v>2483200</v>
      </c>
      <c r="G9" s="12">
        <v>17081120</v>
      </c>
    </row>
    <row r="10" spans="1:7" x14ac:dyDescent="0.25">
      <c r="A10" s="9" t="s">
        <v>27</v>
      </c>
      <c r="B10" s="12">
        <v>65860</v>
      </c>
      <c r="C10" s="12">
        <v>591230</v>
      </c>
      <c r="D10" s="12">
        <v>2504470</v>
      </c>
      <c r="E10" s="12">
        <v>487920</v>
      </c>
      <c r="F10" s="12">
        <v>620800</v>
      </c>
      <c r="G10" s="12">
        <v>4270280</v>
      </c>
    </row>
    <row r="11" spans="1:7" x14ac:dyDescent="0.25">
      <c r="A11" s="9" t="s">
        <v>129</v>
      </c>
      <c r="B11" s="12">
        <v>65860</v>
      </c>
      <c r="C11" s="12">
        <v>591230</v>
      </c>
      <c r="D11" s="12">
        <v>2504470</v>
      </c>
      <c r="E11" s="12">
        <v>487920</v>
      </c>
      <c r="F11" s="12">
        <v>620800</v>
      </c>
      <c r="G11" s="12">
        <v>4270280</v>
      </c>
    </row>
    <row r="12" spans="1:7" x14ac:dyDescent="0.25">
      <c r="A12" s="9" t="s">
        <v>130</v>
      </c>
      <c r="B12" s="12">
        <v>65860</v>
      </c>
      <c r="C12" s="12">
        <v>591230</v>
      </c>
      <c r="D12" s="12">
        <v>2504470</v>
      </c>
      <c r="E12" s="12">
        <v>487920</v>
      </c>
      <c r="F12" s="12">
        <v>620800</v>
      </c>
      <c r="G12" s="12">
        <v>4270280</v>
      </c>
    </row>
    <row r="13" spans="1:7" x14ac:dyDescent="0.25">
      <c r="A13" s="9" t="s">
        <v>143</v>
      </c>
      <c r="B13" s="12">
        <v>65860</v>
      </c>
      <c r="C13" s="12">
        <v>591230</v>
      </c>
      <c r="D13" s="12">
        <v>2504470</v>
      </c>
      <c r="E13" s="12">
        <v>487920</v>
      </c>
      <c r="F13" s="12">
        <v>620800</v>
      </c>
      <c r="G13" s="12">
        <v>4270280</v>
      </c>
    </row>
    <row r="14" spans="1:7" x14ac:dyDescent="0.25">
      <c r="A14" s="7" t="s">
        <v>89</v>
      </c>
      <c r="B14" s="12">
        <v>526880</v>
      </c>
      <c r="C14" s="12">
        <v>4729840</v>
      </c>
      <c r="D14" s="12">
        <v>20187760</v>
      </c>
      <c r="E14" s="12">
        <v>3903360</v>
      </c>
      <c r="F14" s="12">
        <v>4814400</v>
      </c>
      <c r="G14" s="12">
        <v>34162240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2F5A1-D24C-48F7-8D02-08FE436494E8}">
  <sheetPr codeName="Sheet15">
    <tabColor theme="7" tint="0.39997558519241921"/>
  </sheetPr>
  <dimension ref="A1:G6"/>
  <sheetViews>
    <sheetView workbookViewId="0">
      <selection activeCell="A4" sqref="A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7" bestFit="1" customWidth="1"/>
    <col min="7" max="8" width="11.28515625" bestFit="1" customWidth="1"/>
  </cols>
  <sheetData>
    <row r="1" spans="1:7" x14ac:dyDescent="0.25">
      <c r="A1" s="6" t="s">
        <v>26</v>
      </c>
      <c r="B1" t="s">
        <v>27</v>
      </c>
    </row>
    <row r="3" spans="1:7" x14ac:dyDescent="0.25">
      <c r="A3" s="6" t="s">
        <v>123</v>
      </c>
      <c r="B3" s="6" t="s">
        <v>90</v>
      </c>
    </row>
    <row r="4" spans="1:7" x14ac:dyDescent="0.25">
      <c r="A4" s="6" t="s">
        <v>88</v>
      </c>
      <c r="B4" t="s">
        <v>117</v>
      </c>
      <c r="C4" t="s">
        <v>114</v>
      </c>
      <c r="D4" t="s">
        <v>115</v>
      </c>
      <c r="E4" t="s">
        <v>116</v>
      </c>
      <c r="F4" t="s">
        <v>112</v>
      </c>
      <c r="G4" t="s">
        <v>89</v>
      </c>
    </row>
    <row r="5" spans="1:7" x14ac:dyDescent="0.25">
      <c r="A5" s="7">
        <v>2019</v>
      </c>
      <c r="B5" s="8">
        <v>65860</v>
      </c>
      <c r="C5" s="8">
        <v>591230</v>
      </c>
      <c r="D5" s="8">
        <v>2578370</v>
      </c>
      <c r="E5" s="8">
        <v>472920</v>
      </c>
      <c r="F5" s="8">
        <v>561900</v>
      </c>
      <c r="G5" s="8">
        <v>4270280</v>
      </c>
    </row>
    <row r="6" spans="1:7" x14ac:dyDescent="0.25">
      <c r="A6" s="7" t="s">
        <v>89</v>
      </c>
      <c r="B6" s="8">
        <v>65860</v>
      </c>
      <c r="C6" s="8">
        <v>591230</v>
      </c>
      <c r="D6" s="8">
        <v>2578370</v>
      </c>
      <c r="E6" s="8">
        <v>472920</v>
      </c>
      <c r="F6" s="8">
        <v>561900</v>
      </c>
      <c r="G6" s="8">
        <v>4270280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EC6C9-1C17-46A9-90D9-ABF65F377AE7}">
  <sheetPr codeName="Sheet11">
    <tabColor theme="7" tint="0.39997558519241921"/>
  </sheetPr>
  <dimension ref="A1:P14"/>
  <sheetViews>
    <sheetView workbookViewId="0">
      <selection activeCell="B2" sqref="B2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7.5703125" bestFit="1" customWidth="1"/>
    <col min="4" max="4" width="6.5703125" bestFit="1" customWidth="1"/>
    <col min="5" max="5" width="9.140625" bestFit="1" customWidth="1"/>
    <col min="6" max="6" width="10.85546875" bestFit="1" customWidth="1"/>
    <col min="7" max="7" width="9.5703125" bestFit="1" customWidth="1"/>
    <col min="8" max="8" width="8.85546875" bestFit="1" customWidth="1"/>
    <col min="9" max="9" width="10.140625" bestFit="1" customWidth="1"/>
    <col min="10" max="10" width="9.140625" bestFit="1" customWidth="1"/>
    <col min="11" max="11" width="7.5703125" bestFit="1" customWidth="1"/>
    <col min="12" max="12" width="15.7109375" bestFit="1" customWidth="1"/>
    <col min="13" max="13" width="12" bestFit="1" customWidth="1"/>
    <col min="14" max="14" width="9.140625" bestFit="1" customWidth="1"/>
    <col min="15" max="15" width="7.5703125" bestFit="1" customWidth="1"/>
    <col min="16" max="16" width="11.28515625" bestFit="1" customWidth="1"/>
  </cols>
  <sheetData>
    <row r="1" spans="1:16" x14ac:dyDescent="0.25">
      <c r="A1" t="s">
        <v>145</v>
      </c>
      <c r="B1" s="12">
        <f>ROUNDUP(MAX(_xlfn.MAXIFS(INDEX($A$4:$R$200,0,MATCH("Grand Total",$A$3:$R$3,0)),$A$4:$A$200,"&lt;&gt;2030",$A$4:$A$200,"&lt;&gt;2050",$A$4:$A$200,"&lt;&gt;"&amp;"Grand Total"),_xlfn.MAXIFS(INDEX('Arealanvendelse landbrug p2019'!$A$5:$R$201,0,MATCH("Grand Total",'Arealanvendelse landbrug p2019'!$A$4:$R$4,0)),'Arealanvendelse landbrug p2019'!$A$5:$A$201,"Grand Total"))/500000,0)*500000</f>
        <v>3000000</v>
      </c>
    </row>
    <row r="2" spans="1:16" x14ac:dyDescent="0.25">
      <c r="A2" s="6" t="s">
        <v>124</v>
      </c>
      <c r="B2" s="6" t="s">
        <v>90</v>
      </c>
    </row>
    <row r="3" spans="1:16" x14ac:dyDescent="0.25">
      <c r="A3" s="6" t="s">
        <v>88</v>
      </c>
      <c r="B3" t="s">
        <v>34</v>
      </c>
      <c r="C3" t="s">
        <v>75</v>
      </c>
      <c r="D3" t="s">
        <v>41</v>
      </c>
      <c r="E3" t="s">
        <v>53</v>
      </c>
      <c r="F3" t="s">
        <v>30</v>
      </c>
      <c r="G3" t="s">
        <v>78</v>
      </c>
      <c r="H3" t="s">
        <v>31</v>
      </c>
      <c r="I3" t="s">
        <v>29</v>
      </c>
      <c r="J3" t="s">
        <v>54</v>
      </c>
      <c r="K3" t="s">
        <v>80</v>
      </c>
      <c r="L3" t="s">
        <v>120</v>
      </c>
      <c r="M3" t="s">
        <v>65</v>
      </c>
      <c r="N3" t="s">
        <v>72</v>
      </c>
      <c r="O3" t="s">
        <v>55</v>
      </c>
      <c r="P3" t="s">
        <v>89</v>
      </c>
    </row>
    <row r="4" spans="1:16" x14ac:dyDescent="0.25">
      <c r="A4" s="7">
        <v>2030</v>
      </c>
      <c r="B4" s="12">
        <v>303576.8460516698</v>
      </c>
      <c r="C4" s="12">
        <v>425285.97130203358</v>
      </c>
      <c r="D4" s="12">
        <v>20246.984803041683</v>
      </c>
      <c r="E4" s="12">
        <v>1130356.5275209916</v>
      </c>
      <c r="F4" s="12">
        <v>50557.483267058822</v>
      </c>
      <c r="G4" s="12">
        <v>74842.214644961103</v>
      </c>
      <c r="H4" s="12">
        <v>217193.40988310828</v>
      </c>
      <c r="I4" s="12">
        <v>5292436.4584162459</v>
      </c>
      <c r="J4" s="12">
        <v>711277.1180332459</v>
      </c>
      <c r="K4" s="12">
        <v>276416.78387644724</v>
      </c>
      <c r="L4" s="12">
        <v>859753.83159647766</v>
      </c>
      <c r="M4" s="12">
        <v>33543.23668610122</v>
      </c>
      <c r="N4" s="12">
        <v>639211.26576274366</v>
      </c>
      <c r="O4" s="12">
        <v>135181.86815587131</v>
      </c>
      <c r="P4" s="12">
        <v>10169879.999999996</v>
      </c>
    </row>
    <row r="5" spans="1:16" x14ac:dyDescent="0.25">
      <c r="A5" s="9" t="s">
        <v>27</v>
      </c>
      <c r="B5" s="12">
        <v>75894.211512917434</v>
      </c>
      <c r="C5" s="12">
        <v>106321.49282550839</v>
      </c>
      <c r="D5" s="12">
        <v>5061.7462007604217</v>
      </c>
      <c r="E5" s="12">
        <v>282589.13188024791</v>
      </c>
      <c r="F5" s="12">
        <v>12639.370816764706</v>
      </c>
      <c r="G5" s="12">
        <v>18710.553661240276</v>
      </c>
      <c r="H5" s="12">
        <v>54298.35247077707</v>
      </c>
      <c r="I5" s="12">
        <v>1323109.1146040615</v>
      </c>
      <c r="J5" s="12">
        <v>177819.27950831145</v>
      </c>
      <c r="K5" s="12">
        <v>69104.195969111795</v>
      </c>
      <c r="L5" s="12">
        <v>214938.45789911941</v>
      </c>
      <c r="M5" s="12">
        <v>8385.8091715253049</v>
      </c>
      <c r="N5" s="12">
        <v>159802.81644068591</v>
      </c>
      <c r="O5" s="12">
        <v>33795.467038967829</v>
      </c>
      <c r="P5" s="12">
        <v>2542469.9999999995</v>
      </c>
    </row>
    <row r="6" spans="1:16" x14ac:dyDescent="0.25">
      <c r="A6" s="9" t="s">
        <v>129</v>
      </c>
      <c r="B6" s="12">
        <v>75894.211512917434</v>
      </c>
      <c r="C6" s="12">
        <v>106321.49282550839</v>
      </c>
      <c r="D6" s="12">
        <v>5061.7462007604217</v>
      </c>
      <c r="E6" s="12">
        <v>282589.13188024791</v>
      </c>
      <c r="F6" s="12">
        <v>12639.370816764706</v>
      </c>
      <c r="G6" s="12">
        <v>18710.553661240276</v>
      </c>
      <c r="H6" s="12">
        <v>54298.35247077707</v>
      </c>
      <c r="I6" s="12">
        <v>1323109.1146040615</v>
      </c>
      <c r="J6" s="12">
        <v>177819.27950831145</v>
      </c>
      <c r="K6" s="12">
        <v>69104.195969111795</v>
      </c>
      <c r="L6" s="12">
        <v>214938.45789911941</v>
      </c>
      <c r="M6" s="12">
        <v>8385.8091715253049</v>
      </c>
      <c r="N6" s="12">
        <v>159802.81644068591</v>
      </c>
      <c r="O6" s="12">
        <v>33795.467038967829</v>
      </c>
      <c r="P6" s="12">
        <v>2542469.9999999995</v>
      </c>
    </row>
    <row r="7" spans="1:16" x14ac:dyDescent="0.25">
      <c r="A7" s="9" t="s">
        <v>130</v>
      </c>
      <c r="B7" s="12">
        <v>75894.211512917434</v>
      </c>
      <c r="C7" s="12">
        <v>106321.49282550839</v>
      </c>
      <c r="D7" s="12">
        <v>5061.7462007604208</v>
      </c>
      <c r="E7" s="12">
        <v>282589.13188024791</v>
      </c>
      <c r="F7" s="12">
        <v>12639.370816764704</v>
      </c>
      <c r="G7" s="12">
        <v>18710.553661240276</v>
      </c>
      <c r="H7" s="12">
        <v>54298.352470777063</v>
      </c>
      <c r="I7" s="12">
        <v>1323109.1146040615</v>
      </c>
      <c r="J7" s="12">
        <v>177819.27950831145</v>
      </c>
      <c r="K7" s="12">
        <v>69104.19596911181</v>
      </c>
      <c r="L7" s="12">
        <v>214938.45789911941</v>
      </c>
      <c r="M7" s="12">
        <v>8385.8091715253049</v>
      </c>
      <c r="N7" s="12">
        <v>159802.81644068591</v>
      </c>
      <c r="O7" s="12">
        <v>33795.467038967829</v>
      </c>
      <c r="P7" s="12">
        <v>2542469.9999999995</v>
      </c>
    </row>
    <row r="8" spans="1:16" x14ac:dyDescent="0.25">
      <c r="A8" s="9" t="s">
        <v>143</v>
      </c>
      <c r="B8" s="12">
        <v>75894.211512917464</v>
      </c>
      <c r="C8" s="12">
        <v>106321.49282550841</v>
      </c>
      <c r="D8" s="12">
        <v>5061.7462007604208</v>
      </c>
      <c r="E8" s="12">
        <v>282589.13188024791</v>
      </c>
      <c r="F8" s="12">
        <v>12639.370816764704</v>
      </c>
      <c r="G8" s="12">
        <v>18710.553661240279</v>
      </c>
      <c r="H8" s="12">
        <v>54298.35247077707</v>
      </c>
      <c r="I8" s="12">
        <v>1323109.1146040615</v>
      </c>
      <c r="J8" s="12">
        <v>177819.27950831153</v>
      </c>
      <c r="K8" s="12">
        <v>69104.195969111825</v>
      </c>
      <c r="L8" s="12">
        <v>214938.45789911941</v>
      </c>
      <c r="M8" s="12">
        <v>8385.8091715253031</v>
      </c>
      <c r="N8" s="12">
        <v>159802.81644068589</v>
      </c>
      <c r="O8" s="12">
        <v>33795.467038967829</v>
      </c>
      <c r="P8" s="12">
        <v>2542469.9999999991</v>
      </c>
    </row>
    <row r="9" spans="1:16" x14ac:dyDescent="0.25">
      <c r="A9" s="7">
        <v>2050</v>
      </c>
      <c r="B9" s="12">
        <v>298447.08836644178</v>
      </c>
      <c r="C9" s="12">
        <v>419987.70647599595</v>
      </c>
      <c r="D9" s="12">
        <v>19971.765389755816</v>
      </c>
      <c r="E9" s="12">
        <v>1113783.9744958736</v>
      </c>
      <c r="F9" s="12">
        <v>49828.572434159752</v>
      </c>
      <c r="G9" s="12">
        <v>73637.882693096224</v>
      </c>
      <c r="H9" s="12">
        <v>213469.48344626511</v>
      </c>
      <c r="I9" s="12">
        <v>5212140.9360877872</v>
      </c>
      <c r="J9" s="12">
        <v>698858.12915807916</v>
      </c>
      <c r="K9" s="12">
        <v>272087.60768729635</v>
      </c>
      <c r="L9" s="12">
        <v>848838.32398436172</v>
      </c>
      <c r="M9" s="12">
        <v>33091.645227741821</v>
      </c>
      <c r="N9" s="12">
        <v>629686.94887308008</v>
      </c>
      <c r="O9" s="12">
        <v>134049.9356800649</v>
      </c>
      <c r="P9" s="12">
        <v>10017880</v>
      </c>
    </row>
    <row r="10" spans="1:16" x14ac:dyDescent="0.25">
      <c r="A10" s="9" t="s">
        <v>27</v>
      </c>
      <c r="B10" s="12">
        <v>74611.772091610444</v>
      </c>
      <c r="C10" s="12">
        <v>104996.92661899899</v>
      </c>
      <c r="D10" s="12">
        <v>4992.9413474389539</v>
      </c>
      <c r="E10" s="12">
        <v>278445.99362396839</v>
      </c>
      <c r="F10" s="12">
        <v>12457.143108539938</v>
      </c>
      <c r="G10" s="12">
        <v>18409.47067327406</v>
      </c>
      <c r="H10" s="12">
        <v>53367.370861566276</v>
      </c>
      <c r="I10" s="12">
        <v>1303035.234021947</v>
      </c>
      <c r="J10" s="12">
        <v>174714.53228951979</v>
      </c>
      <c r="K10" s="12">
        <v>68021.901921824086</v>
      </c>
      <c r="L10" s="12">
        <v>212209.58099609043</v>
      </c>
      <c r="M10" s="12">
        <v>8272.9113069354553</v>
      </c>
      <c r="N10" s="12">
        <v>157421.73721827005</v>
      </c>
      <c r="O10" s="12">
        <v>33512.483920016224</v>
      </c>
      <c r="P10" s="12">
        <v>2504470.0000000005</v>
      </c>
    </row>
    <row r="11" spans="1:16" x14ac:dyDescent="0.25">
      <c r="A11" s="9" t="s">
        <v>129</v>
      </c>
      <c r="B11" s="12">
        <v>74611.772091610444</v>
      </c>
      <c r="C11" s="12">
        <v>104996.92661899899</v>
      </c>
      <c r="D11" s="12">
        <v>4992.9413474389539</v>
      </c>
      <c r="E11" s="12">
        <v>278445.99362396839</v>
      </c>
      <c r="F11" s="12">
        <v>12457.143108539938</v>
      </c>
      <c r="G11" s="12">
        <v>18409.47067327406</v>
      </c>
      <c r="H11" s="12">
        <v>53367.370861566276</v>
      </c>
      <c r="I11" s="12">
        <v>1303035.234021947</v>
      </c>
      <c r="J11" s="12">
        <v>174714.53228951979</v>
      </c>
      <c r="K11" s="12">
        <v>68021.901921824086</v>
      </c>
      <c r="L11" s="12">
        <v>212209.58099609043</v>
      </c>
      <c r="M11" s="12">
        <v>8272.9113069354553</v>
      </c>
      <c r="N11" s="12">
        <v>157421.73721827005</v>
      </c>
      <c r="O11" s="12">
        <v>33512.483920016224</v>
      </c>
      <c r="P11" s="12">
        <v>2504470.0000000005</v>
      </c>
    </row>
    <row r="12" spans="1:16" x14ac:dyDescent="0.25">
      <c r="A12" s="9" t="s">
        <v>130</v>
      </c>
      <c r="B12" s="12">
        <v>74611.772091610444</v>
      </c>
      <c r="C12" s="12">
        <v>104996.926618999</v>
      </c>
      <c r="D12" s="12">
        <v>4992.9413474389539</v>
      </c>
      <c r="E12" s="12">
        <v>278445.99362396839</v>
      </c>
      <c r="F12" s="12">
        <v>12457.143108539938</v>
      </c>
      <c r="G12" s="12">
        <v>18409.470673274052</v>
      </c>
      <c r="H12" s="12">
        <v>53367.370861566276</v>
      </c>
      <c r="I12" s="12">
        <v>1303035.2340219468</v>
      </c>
      <c r="J12" s="12">
        <v>174714.53228951979</v>
      </c>
      <c r="K12" s="12">
        <v>68021.901921824072</v>
      </c>
      <c r="L12" s="12">
        <v>212209.58099609046</v>
      </c>
      <c r="M12" s="12">
        <v>8272.9113069354553</v>
      </c>
      <c r="N12" s="12">
        <v>157421.73721827002</v>
      </c>
      <c r="O12" s="12">
        <v>33512.483920016224</v>
      </c>
      <c r="P12" s="12">
        <v>2504470</v>
      </c>
    </row>
    <row r="13" spans="1:16" x14ac:dyDescent="0.25">
      <c r="A13" s="9" t="s">
        <v>143</v>
      </c>
      <c r="B13" s="12">
        <v>74611.772091610459</v>
      </c>
      <c r="C13" s="12">
        <v>104996.926618999</v>
      </c>
      <c r="D13" s="12">
        <v>4992.9413474389548</v>
      </c>
      <c r="E13" s="12">
        <v>278445.99362396839</v>
      </c>
      <c r="F13" s="12">
        <v>12457.143108539938</v>
      </c>
      <c r="G13" s="12">
        <v>18409.470673274056</v>
      </c>
      <c r="H13" s="12">
        <v>53367.370861566276</v>
      </c>
      <c r="I13" s="12">
        <v>1303035.2340219466</v>
      </c>
      <c r="J13" s="12">
        <v>174714.53228951976</v>
      </c>
      <c r="K13" s="12">
        <v>68021.901921824072</v>
      </c>
      <c r="L13" s="12">
        <v>212209.58099609043</v>
      </c>
      <c r="M13" s="12">
        <v>8272.9113069354571</v>
      </c>
      <c r="N13" s="12">
        <v>157421.73721826999</v>
      </c>
      <c r="O13" s="12">
        <v>33512.483920016224</v>
      </c>
      <c r="P13" s="12">
        <v>2504469.9999999995</v>
      </c>
    </row>
    <row r="14" spans="1:16" x14ac:dyDescent="0.25">
      <c r="A14" s="7" t="s">
        <v>89</v>
      </c>
      <c r="B14" s="12">
        <v>602023.93441811169</v>
      </c>
      <c r="C14" s="12">
        <v>845273.67777802947</v>
      </c>
      <c r="D14" s="12">
        <v>40218.750192797495</v>
      </c>
      <c r="E14" s="12">
        <v>2244140.5020168652</v>
      </c>
      <c r="F14" s="12">
        <v>100386.05570121857</v>
      </c>
      <c r="G14" s="12">
        <v>148480.09733805733</v>
      </c>
      <c r="H14" s="12">
        <v>430662.89332937339</v>
      </c>
      <c r="I14" s="12">
        <v>10504577.394504033</v>
      </c>
      <c r="J14" s="12">
        <v>1410135.2471913251</v>
      </c>
      <c r="K14" s="12">
        <v>548504.39156374359</v>
      </c>
      <c r="L14" s="12">
        <v>1708592.1555808396</v>
      </c>
      <c r="M14" s="12">
        <v>66634.881913843041</v>
      </c>
      <c r="N14" s="12">
        <v>1268898.2146358239</v>
      </c>
      <c r="O14" s="12">
        <v>269231.80383593618</v>
      </c>
      <c r="P14" s="12">
        <v>20187759.999999996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5E448-F06B-4374-98FD-BF6EBAB7D8DF}">
  <sheetPr codeName="Sheet16">
    <tabColor theme="7" tint="0.39997558519241921"/>
  </sheetPr>
  <dimension ref="A1:P6"/>
  <sheetViews>
    <sheetView workbookViewId="0">
      <selection activeCell="B3" sqref="B3:P5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7.5703125" bestFit="1" customWidth="1"/>
    <col min="4" max="4" width="5.5703125" bestFit="1" customWidth="1"/>
    <col min="5" max="5" width="7.5703125" bestFit="1" customWidth="1"/>
    <col min="6" max="6" width="10.85546875" bestFit="1" customWidth="1"/>
    <col min="7" max="7" width="9.5703125" bestFit="1" customWidth="1"/>
    <col min="8" max="8" width="8.85546875" bestFit="1" customWidth="1"/>
    <col min="9" max="9" width="9.140625" bestFit="1" customWidth="1"/>
    <col min="10" max="10" width="7.5703125" bestFit="1" customWidth="1"/>
    <col min="11" max="11" width="6.85546875" bestFit="1" customWidth="1"/>
    <col min="12" max="12" width="15.7109375" bestFit="1" customWidth="1"/>
    <col min="13" max="13" width="12" bestFit="1" customWidth="1"/>
    <col min="14" max="14" width="7.5703125" bestFit="1" customWidth="1"/>
    <col min="15" max="15" width="6.5703125" bestFit="1" customWidth="1"/>
    <col min="16" max="16" width="11.28515625" bestFit="1" customWidth="1"/>
  </cols>
  <sheetData>
    <row r="1" spans="1:16" x14ac:dyDescent="0.25">
      <c r="A1" s="6" t="s">
        <v>26</v>
      </c>
      <c r="B1" t="s">
        <v>27</v>
      </c>
    </row>
    <row r="3" spans="1:16" x14ac:dyDescent="0.25">
      <c r="A3" s="6" t="s">
        <v>124</v>
      </c>
      <c r="B3" s="6" t="s">
        <v>90</v>
      </c>
    </row>
    <row r="4" spans="1:16" x14ac:dyDescent="0.25">
      <c r="A4" s="6" t="s">
        <v>88</v>
      </c>
      <c r="B4" t="s">
        <v>34</v>
      </c>
      <c r="C4" t="s">
        <v>75</v>
      </c>
      <c r="D4" t="s">
        <v>41</v>
      </c>
      <c r="E4" t="s">
        <v>53</v>
      </c>
      <c r="F4" t="s">
        <v>30</v>
      </c>
      <c r="G4" t="s">
        <v>78</v>
      </c>
      <c r="H4" t="s">
        <v>31</v>
      </c>
      <c r="I4" t="s">
        <v>29</v>
      </c>
      <c r="J4" t="s">
        <v>54</v>
      </c>
      <c r="K4" t="s">
        <v>80</v>
      </c>
      <c r="L4" t="s">
        <v>120</v>
      </c>
      <c r="M4" t="s">
        <v>65</v>
      </c>
      <c r="N4" t="s">
        <v>72</v>
      </c>
      <c r="O4" t="s">
        <v>55</v>
      </c>
      <c r="P4" t="s">
        <v>89</v>
      </c>
    </row>
    <row r="5" spans="1:16" x14ac:dyDescent="0.25">
      <c r="A5" s="7">
        <v>2019</v>
      </c>
      <c r="B5" s="12">
        <v>76853.212866422313</v>
      </c>
      <c r="C5" s="12">
        <v>107817.02845272887</v>
      </c>
      <c r="D5" s="12">
        <v>5114.780893105908</v>
      </c>
      <c r="E5" s="12">
        <v>288931.41565564787</v>
      </c>
      <c r="F5" s="12">
        <v>12752.078568827996</v>
      </c>
      <c r="G5" s="12">
        <v>18942.696466746223</v>
      </c>
      <c r="H5" s="12">
        <v>55075.520801981504</v>
      </c>
      <c r="I5" s="12">
        <v>1337821.3326830012</v>
      </c>
      <c r="J5" s="12">
        <v>180140.67588310441</v>
      </c>
      <c r="K5" s="12">
        <v>69938.636069140412</v>
      </c>
      <c r="L5" s="12">
        <v>221005.01507630604</v>
      </c>
      <c r="M5" s="12">
        <v>8579.6273865744079</v>
      </c>
      <c r="N5" s="12">
        <v>161431.62233269325</v>
      </c>
      <c r="O5" s="12">
        <v>33966.356863719026</v>
      </c>
      <c r="P5" s="12">
        <v>2578369.9999999995</v>
      </c>
    </row>
    <row r="6" spans="1:16" x14ac:dyDescent="0.25">
      <c r="A6" s="7" t="s">
        <v>89</v>
      </c>
      <c r="B6" s="12">
        <v>76853.212866422313</v>
      </c>
      <c r="C6" s="12">
        <v>107817.02845272887</v>
      </c>
      <c r="D6" s="12">
        <v>5114.780893105908</v>
      </c>
      <c r="E6" s="12">
        <v>288931.41565564787</v>
      </c>
      <c r="F6" s="12">
        <v>12752.078568827996</v>
      </c>
      <c r="G6" s="12">
        <v>18942.696466746223</v>
      </c>
      <c r="H6" s="12">
        <v>55075.520801981504</v>
      </c>
      <c r="I6" s="12">
        <v>1337821.3326830012</v>
      </c>
      <c r="J6" s="12">
        <v>180140.67588310441</v>
      </c>
      <c r="K6" s="12">
        <v>69938.636069140412</v>
      </c>
      <c r="L6" s="12">
        <v>221005.01507630604</v>
      </c>
      <c r="M6" s="12">
        <v>8579.6273865744079</v>
      </c>
      <c r="N6" s="12">
        <v>161431.62233269325</v>
      </c>
      <c r="O6" s="12">
        <v>33966.356863719026</v>
      </c>
      <c r="P6" s="12">
        <v>2578369.9999999995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0D633-2D3E-4108-9C0F-9843AAAA683B}">
  <sheetPr codeName="Sheet9">
    <tabColor theme="7" tint="0.39997558519241921"/>
  </sheetPr>
  <dimension ref="A1:I14"/>
  <sheetViews>
    <sheetView workbookViewId="0">
      <selection activeCell="B1" sqref="A1:B1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1.28515625" bestFit="1" customWidth="1"/>
    <col min="19" max="19" width="12" bestFit="1" customWidth="1"/>
  </cols>
  <sheetData>
    <row r="1" spans="1:9" x14ac:dyDescent="0.25">
      <c r="A1" t="s">
        <v>145</v>
      </c>
      <c r="B1" s="12">
        <f>ROUNDUP(MAX(_xlfn.MAXIFS(INDEX($A$4:$R$200,0,MATCH("Grand Total",$A$3:$R$3,0)),$A$4:$A$200,"&lt;&gt;2030",$A$4:$A$200,"&lt;&gt;2050",$A$4:$A$200,"&lt;&gt;"&amp;"Grand Total")-_xlfn.MAXIFS(INDEX($A$4:$R$200,0,MATCH("CO2 - atmosfære",$A$3:$R$3,0)),$A$4:$A$200,"&lt;&gt;2030",$A$4:$A$200,"&lt;&gt;2050",$A$4:$A$200,"&lt;&gt;"&amp;"Grand Total"),_xlfn.MAXIFS(INDEX('CO2e-udledning pivot 2019'!$A$5:$R$201,0,MATCH("Grand Total",'CO2e-udledning pivot 2019'!$A$4:$R$4,0)),'CO2e-udledning pivot 2019'!$A$5:$A$201,"Grand Total")-_xlfn.MAXIFS(INDEX('CO2e-udledning pivot 2019'!$A$5:$R$201,0,MATCH("CO2 - atmosfære",'CO2e-udledning pivot 2019'!$A$4:$R$4,0)),'CO2e-udledning pivot 2019'!$A$5:$A$201,"Grand Total"))/10000000,0)*10000000</f>
        <v>20000000</v>
      </c>
    </row>
    <row r="2" spans="1:9" x14ac:dyDescent="0.25">
      <c r="A2" s="6" t="s">
        <v>122</v>
      </c>
      <c r="B2" s="6" t="s">
        <v>90</v>
      </c>
    </row>
    <row r="3" spans="1:9" x14ac:dyDescent="0.25">
      <c r="A3" s="6" t="s">
        <v>88</v>
      </c>
      <c r="B3" t="s">
        <v>104</v>
      </c>
      <c r="C3" t="s">
        <v>111</v>
      </c>
      <c r="D3" t="s">
        <v>106</v>
      </c>
      <c r="E3" t="s">
        <v>107</v>
      </c>
      <c r="F3" t="s">
        <v>112</v>
      </c>
      <c r="G3" t="s">
        <v>136</v>
      </c>
      <c r="H3" t="s">
        <v>139</v>
      </c>
      <c r="I3" t="s">
        <v>89</v>
      </c>
    </row>
    <row r="4" spans="1:9" x14ac:dyDescent="0.25">
      <c r="A4" s="7">
        <v>2030</v>
      </c>
      <c r="B4" s="12">
        <v>54715317.306203082</v>
      </c>
      <c r="C4" s="12">
        <v>-98443.252727602667</v>
      </c>
      <c r="D4" s="12">
        <v>22029267.527488135</v>
      </c>
      <c r="E4" s="12">
        <v>37187333.990454875</v>
      </c>
      <c r="F4" s="12">
        <v>-2693143.8368200408</v>
      </c>
      <c r="G4" s="12">
        <v>-1709697.1221922897</v>
      </c>
      <c r="H4" s="12">
        <v>0</v>
      </c>
      <c r="I4" s="12">
        <v>109430634.61240616</v>
      </c>
    </row>
    <row r="5" spans="1:9" x14ac:dyDescent="0.25">
      <c r="A5" s="9" t="s">
        <v>27</v>
      </c>
      <c r="B5" s="12">
        <v>13678829.326550771</v>
      </c>
      <c r="C5" s="12">
        <v>-24610.813181900667</v>
      </c>
      <c r="D5" s="12">
        <v>5507316.8818720337</v>
      </c>
      <c r="E5" s="12">
        <v>9296833.4976137169</v>
      </c>
      <c r="F5" s="12">
        <v>-673285.95920501021</v>
      </c>
      <c r="G5" s="12">
        <v>-427424.28054807242</v>
      </c>
      <c r="H5" s="12">
        <v>0</v>
      </c>
      <c r="I5" s="12">
        <v>27357658.653101537</v>
      </c>
    </row>
    <row r="6" spans="1:9" x14ac:dyDescent="0.25">
      <c r="A6" s="9" t="s">
        <v>129</v>
      </c>
      <c r="B6" s="12">
        <v>13678829.326550771</v>
      </c>
      <c r="C6" s="12">
        <v>-24610.813181900667</v>
      </c>
      <c r="D6" s="12">
        <v>5507316.8818720337</v>
      </c>
      <c r="E6" s="12">
        <v>9296833.4976137169</v>
      </c>
      <c r="F6" s="12">
        <v>-673285.95920501021</v>
      </c>
      <c r="G6" s="12">
        <v>-427424.28054807242</v>
      </c>
      <c r="H6" s="12">
        <v>0</v>
      </c>
      <c r="I6" s="12">
        <v>27357658.653101537</v>
      </c>
    </row>
    <row r="7" spans="1:9" x14ac:dyDescent="0.25">
      <c r="A7" s="9" t="s">
        <v>130</v>
      </c>
      <c r="B7" s="12">
        <v>13678829.326550771</v>
      </c>
      <c r="C7" s="12">
        <v>-24610.813181900667</v>
      </c>
      <c r="D7" s="12">
        <v>5507316.8818720337</v>
      </c>
      <c r="E7" s="12">
        <v>9296833.4976137187</v>
      </c>
      <c r="F7" s="12">
        <v>-673285.95920501021</v>
      </c>
      <c r="G7" s="12">
        <v>-427424.28054807242</v>
      </c>
      <c r="H7" s="12">
        <v>0</v>
      </c>
      <c r="I7" s="12">
        <v>27357658.653101541</v>
      </c>
    </row>
    <row r="8" spans="1:9" x14ac:dyDescent="0.25">
      <c r="A8" s="9" t="s">
        <v>143</v>
      </c>
      <c r="B8" s="12">
        <v>13678829.326550771</v>
      </c>
      <c r="C8" s="12">
        <v>-24610.813181900667</v>
      </c>
      <c r="D8" s="12">
        <v>5507316.8818720337</v>
      </c>
      <c r="E8" s="12">
        <v>9296833.4976137187</v>
      </c>
      <c r="F8" s="12">
        <v>-673285.95920501021</v>
      </c>
      <c r="G8" s="12">
        <v>-427424.28054807242</v>
      </c>
      <c r="H8" s="12">
        <v>0</v>
      </c>
      <c r="I8" s="12">
        <v>27357658.653101541</v>
      </c>
    </row>
    <row r="9" spans="1:9" x14ac:dyDescent="0.25">
      <c r="A9" s="7">
        <v>2050</v>
      </c>
      <c r="B9" s="12">
        <v>50748064.329791829</v>
      </c>
      <c r="C9" s="12">
        <v>-160716.46327239741</v>
      </c>
      <c r="D9" s="12">
        <v>21940923.639380444</v>
      </c>
      <c r="E9" s="12">
        <v>36845357.750840217</v>
      </c>
      <c r="F9" s="12">
        <v>-6211423.5387173649</v>
      </c>
      <c r="G9" s="12">
        <v>-1666077.0584390508</v>
      </c>
      <c r="H9" s="12">
        <v>0</v>
      </c>
      <c r="I9" s="12">
        <v>101496128.65958369</v>
      </c>
    </row>
    <row r="10" spans="1:9" x14ac:dyDescent="0.25">
      <c r="A10" s="9" t="s">
        <v>27</v>
      </c>
      <c r="B10" s="12">
        <v>12687016.082447957</v>
      </c>
      <c r="C10" s="12">
        <v>-40179.115818099352</v>
      </c>
      <c r="D10" s="12">
        <v>5485230.909845111</v>
      </c>
      <c r="E10" s="12">
        <v>9211339.4377100542</v>
      </c>
      <c r="F10" s="12">
        <v>-1552855.8846793412</v>
      </c>
      <c r="G10" s="12">
        <v>-416519.2646097627</v>
      </c>
      <c r="H10" s="12">
        <v>0</v>
      </c>
      <c r="I10" s="12">
        <v>25374032.164895922</v>
      </c>
    </row>
    <row r="11" spans="1:9" x14ac:dyDescent="0.25">
      <c r="A11" s="9" t="s">
        <v>129</v>
      </c>
      <c r="B11" s="12">
        <v>11673273.753400896</v>
      </c>
      <c r="C11" s="12">
        <v>-40179.115818099352</v>
      </c>
      <c r="D11" s="12">
        <v>4388184.7278760895</v>
      </c>
      <c r="E11" s="12">
        <v>9211339.4377100542</v>
      </c>
      <c r="F11" s="12">
        <v>-1552855.8846793412</v>
      </c>
      <c r="G11" s="12">
        <v>-333215.41168781015</v>
      </c>
      <c r="H11" s="12">
        <v>0</v>
      </c>
      <c r="I11" s="12">
        <v>23346547.506801788</v>
      </c>
    </row>
    <row r="12" spans="1:9" x14ac:dyDescent="0.25">
      <c r="A12" s="9" t="s">
        <v>130</v>
      </c>
      <c r="B12" s="12">
        <v>13700758.411495024</v>
      </c>
      <c r="C12" s="12">
        <v>-40179.115818099352</v>
      </c>
      <c r="D12" s="12">
        <v>6582277.0918141343</v>
      </c>
      <c r="E12" s="12">
        <v>9211339.4377100561</v>
      </c>
      <c r="F12" s="12">
        <v>-1552855.8846793412</v>
      </c>
      <c r="G12" s="12">
        <v>-499823.11753171525</v>
      </c>
      <c r="H12" s="12">
        <v>0</v>
      </c>
      <c r="I12" s="12">
        <v>27401516.82299006</v>
      </c>
    </row>
    <row r="13" spans="1:9" x14ac:dyDescent="0.25">
      <c r="A13" s="9" t="s">
        <v>143</v>
      </c>
      <c r="B13" s="12">
        <v>12687016.082447957</v>
      </c>
      <c r="C13" s="12">
        <v>-40179.115818099352</v>
      </c>
      <c r="D13" s="12">
        <v>5485230.909845111</v>
      </c>
      <c r="E13" s="12">
        <v>9211339.4377100561</v>
      </c>
      <c r="F13" s="12">
        <v>-1552855.8846793412</v>
      </c>
      <c r="G13" s="12">
        <v>-416519.2646097627</v>
      </c>
      <c r="H13" s="12">
        <v>0</v>
      </c>
      <c r="I13" s="12">
        <v>25374032.164895922</v>
      </c>
    </row>
    <row r="14" spans="1:9" x14ac:dyDescent="0.25">
      <c r="A14" s="7" t="s">
        <v>89</v>
      </c>
      <c r="B14" s="12">
        <v>105463381.63599493</v>
      </c>
      <c r="C14" s="12">
        <v>-259159.71600000007</v>
      </c>
      <c r="D14" s="12">
        <v>43970191.166868582</v>
      </c>
      <c r="E14" s="12">
        <v>74032691.741295099</v>
      </c>
      <c r="F14" s="12">
        <v>-8904567.3755374067</v>
      </c>
      <c r="G14" s="12">
        <v>-3375774.1806313405</v>
      </c>
      <c r="H14" s="12">
        <v>0</v>
      </c>
      <c r="I14" s="12">
        <v>210926763.27198985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78DF1-7A2F-479F-A168-FE71F45529C5}">
  <sheetPr codeName="Sheet17">
    <tabColor theme="7" tint="0.39997558519241921"/>
  </sheetPr>
  <dimension ref="A1:I6"/>
  <sheetViews>
    <sheetView workbookViewId="0">
      <selection activeCell="C11" sqref="C11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4.7109375" bestFit="1" customWidth="1"/>
    <col min="4" max="5" width="9.140625" bestFit="1" customWidth="1"/>
    <col min="6" max="6" width="8.28515625" bestFit="1" customWidth="1"/>
    <col min="7" max="7" width="12.140625" bestFit="1" customWidth="1"/>
    <col min="8" max="8" width="14.5703125" bestFit="1" customWidth="1"/>
    <col min="9" max="9" width="11.28515625" bestFit="1" customWidth="1"/>
  </cols>
  <sheetData>
    <row r="1" spans="1:9" x14ac:dyDescent="0.25">
      <c r="A1" s="6" t="s">
        <v>26</v>
      </c>
      <c r="B1" t="s">
        <v>27</v>
      </c>
    </row>
    <row r="3" spans="1:9" x14ac:dyDescent="0.25">
      <c r="A3" s="6" t="s">
        <v>122</v>
      </c>
      <c r="B3" s="6" t="s">
        <v>90</v>
      </c>
    </row>
    <row r="4" spans="1:9" x14ac:dyDescent="0.25">
      <c r="A4" s="6" t="s">
        <v>88</v>
      </c>
      <c r="B4" t="s">
        <v>104</v>
      </c>
      <c r="C4" t="s">
        <v>111</v>
      </c>
      <c r="D4" t="s">
        <v>106</v>
      </c>
      <c r="E4" t="s">
        <v>107</v>
      </c>
      <c r="F4" t="s">
        <v>112</v>
      </c>
      <c r="G4" t="s">
        <v>136</v>
      </c>
      <c r="H4" t="s">
        <v>139</v>
      </c>
      <c r="I4" t="s">
        <v>89</v>
      </c>
    </row>
    <row r="5" spans="1:9" x14ac:dyDescent="0.25">
      <c r="A5" s="7">
        <v>2019</v>
      </c>
      <c r="B5" s="12">
        <v>14517462.442375844</v>
      </c>
      <c r="C5" s="12">
        <v>-158.43719999999996</v>
      </c>
      <c r="D5" s="12">
        <v>5519261.9007367166</v>
      </c>
      <c r="E5" s="12">
        <v>9725466.1897341833</v>
      </c>
      <c r="F5" s="12">
        <v>-561900</v>
      </c>
      <c r="G5" s="12">
        <v>-165207.21089505972</v>
      </c>
      <c r="H5" s="12">
        <v>0</v>
      </c>
      <c r="I5" s="12">
        <v>29034924.884751681</v>
      </c>
    </row>
    <row r="6" spans="1:9" x14ac:dyDescent="0.25">
      <c r="A6" s="7" t="s">
        <v>89</v>
      </c>
      <c r="B6" s="12">
        <v>14517462.442375844</v>
      </c>
      <c r="C6" s="12">
        <v>-158.43719999999996</v>
      </c>
      <c r="D6" s="12">
        <v>5519261.9007367166</v>
      </c>
      <c r="E6" s="12">
        <v>9725466.1897341833</v>
      </c>
      <c r="F6" s="12">
        <v>-561900</v>
      </c>
      <c r="G6" s="12">
        <v>-165207.21089505972</v>
      </c>
      <c r="H6" s="12">
        <v>0</v>
      </c>
      <c r="I6" s="12">
        <v>29034924.884751681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39AC2-38D9-43F6-8E8B-A85DFEBCFE62}">
  <sheetPr codeName="Sheet12">
    <tabColor theme="7" tint="0.39997558519241921"/>
  </sheetPr>
  <dimension ref="A1:S15"/>
  <sheetViews>
    <sheetView zoomScaleNormal="100" workbookViewId="0">
      <selection activeCell="B1" sqref="A1:B1"/>
    </sheetView>
  </sheetViews>
  <sheetFormatPr defaultRowHeight="15" x14ac:dyDescent="0.25"/>
  <cols>
    <col min="1" max="1" width="13.140625" bestFit="1" customWidth="1"/>
    <col min="2" max="2" width="33.140625" bestFit="1" customWidth="1"/>
    <col min="3" max="3" width="27.42578125" customWidth="1"/>
    <col min="4" max="4" width="33.140625" bestFit="1" customWidth="1"/>
    <col min="5" max="5" width="27.42578125" bestFit="1" customWidth="1"/>
    <col min="6" max="6" width="33.140625" bestFit="1" customWidth="1"/>
    <col min="7" max="7" width="27.42578125" bestFit="1" customWidth="1"/>
    <col min="8" max="8" width="33.140625" bestFit="1" customWidth="1"/>
    <col min="9" max="9" width="27.42578125" bestFit="1" customWidth="1"/>
    <col min="10" max="10" width="33.140625" bestFit="1" customWidth="1"/>
    <col min="11" max="11" width="27.42578125" bestFit="1" customWidth="1"/>
    <col min="12" max="12" width="33.140625" bestFit="1" customWidth="1"/>
    <col min="13" max="13" width="27.42578125" bestFit="1" customWidth="1"/>
    <col min="14" max="14" width="33.140625" bestFit="1" customWidth="1"/>
    <col min="15" max="15" width="27.42578125" bestFit="1" customWidth="1"/>
    <col min="16" max="16" width="33.140625" bestFit="1" customWidth="1"/>
    <col min="17" max="17" width="27.42578125" bestFit="1" customWidth="1"/>
    <col min="18" max="18" width="38.28515625" bestFit="1" customWidth="1"/>
    <col min="19" max="19" width="32.42578125" bestFit="1" customWidth="1"/>
    <col min="20" max="20" width="33.140625" bestFit="1" customWidth="1"/>
    <col min="21" max="21" width="27.42578125" bestFit="1" customWidth="1"/>
    <col min="22" max="22" width="38.28515625" bestFit="1" customWidth="1"/>
    <col min="23" max="23" width="32.42578125" bestFit="1" customWidth="1"/>
    <col min="24" max="24" width="33.140625" bestFit="1" customWidth="1"/>
    <col min="25" max="25" width="27.42578125" bestFit="1" customWidth="1"/>
    <col min="26" max="26" width="33.140625" bestFit="1" customWidth="1"/>
    <col min="27" max="27" width="27.42578125" bestFit="1" customWidth="1"/>
    <col min="28" max="28" width="33.140625" bestFit="1" customWidth="1"/>
    <col min="29" max="29" width="27.42578125" bestFit="1" customWidth="1"/>
    <col min="30" max="30" width="33.140625" bestFit="1" customWidth="1"/>
    <col min="31" max="31" width="27.42578125" bestFit="1" customWidth="1"/>
    <col min="32" max="32" width="33.140625" bestFit="1" customWidth="1"/>
    <col min="33" max="33" width="27.42578125" bestFit="1" customWidth="1"/>
    <col min="34" max="34" width="33.140625" bestFit="1" customWidth="1"/>
    <col min="35" max="35" width="27.42578125" bestFit="1" customWidth="1"/>
    <col min="36" max="36" width="33.140625" bestFit="1" customWidth="1"/>
    <col min="37" max="37" width="27.42578125" bestFit="1" customWidth="1"/>
    <col min="38" max="38" width="33.140625" bestFit="1" customWidth="1"/>
    <col min="39" max="39" width="27.42578125" bestFit="1" customWidth="1"/>
    <col min="40" max="40" width="33.140625" bestFit="1" customWidth="1"/>
    <col min="41" max="41" width="27.42578125" bestFit="1" customWidth="1"/>
    <col min="42" max="42" width="33.140625" bestFit="1" customWidth="1"/>
    <col min="43" max="43" width="27.42578125" bestFit="1" customWidth="1"/>
    <col min="44" max="44" width="33.140625" bestFit="1" customWidth="1"/>
    <col min="45" max="45" width="27.42578125" bestFit="1" customWidth="1"/>
    <col min="46" max="46" width="33.140625" bestFit="1" customWidth="1"/>
    <col min="47" max="47" width="27.42578125" bestFit="1" customWidth="1"/>
    <col min="48" max="48" width="33.140625" bestFit="1" customWidth="1"/>
    <col min="49" max="49" width="27.42578125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19" x14ac:dyDescent="0.25">
      <c r="A1" t="s">
        <v>145</v>
      </c>
      <c r="B1" s="12">
        <f>ROUNDUP(MAX(_xlfn.MAXIFS(INDEX($A$4:$Y$200,0,MATCH("Total Sum of Restprodukter til energi [PJ]",$A$3:$Y$3,0)),$A$4:$A$200,"&lt;&gt;2030",$A$4:$A$200,"&lt;&gt;2050",$A$4:$A$200,"&lt;&gt;"&amp;"Grand Total")+_xlfn.MAXIFS(INDEX($A$4:$Y$200,0,MATCH("Total Sum of Biogasproduktion [PJ]",$A$3:$Y$3,0)),$A$4:$A$200,"&lt;&gt;2030",$A$4:$A$200,"&lt;&gt;2050",$A$4:$A$200,"&lt;&gt;"&amp;"Grand Total"),_xlfn.MAXIFS(INDEX('Potentiale PJ 2019'!$A$5:$Y$201,0,MATCH("Total Sum of Restprodukter til energi [PJ]",'Potentiale PJ 2019'!$A$4:$Y$4,0)),'Potentiale PJ 2019'!$A$5:$A$201,"Grand Total")+_xlfn.MAXIFS(INDEX('Potentiale PJ 2019'!$A$5:$Y$201,0,MATCH("Total Sum of Biogasproduktion [PJ]",'Potentiale PJ 2019'!$A$4:$Y$4,0)),'Potentiale PJ 2019'!$A$5:$A$201,"Grand Total"))/20,0)*20</f>
        <v>160</v>
      </c>
    </row>
    <row r="2" spans="1:19" x14ac:dyDescent="0.25">
      <c r="B2" s="6" t="s">
        <v>90</v>
      </c>
    </row>
    <row r="3" spans="1:19" x14ac:dyDescent="0.25">
      <c r="B3" t="s">
        <v>77</v>
      </c>
      <c r="D3" t="s">
        <v>76</v>
      </c>
      <c r="F3" t="s">
        <v>81</v>
      </c>
      <c r="H3" t="s">
        <v>64</v>
      </c>
      <c r="J3" t="s">
        <v>74</v>
      </c>
      <c r="L3" t="s">
        <v>57</v>
      </c>
      <c r="N3" t="s">
        <v>73</v>
      </c>
      <c r="P3" t="s">
        <v>79</v>
      </c>
      <c r="R3" t="s">
        <v>127</v>
      </c>
      <c r="S3" t="s">
        <v>126</v>
      </c>
    </row>
    <row r="4" spans="1:19" x14ac:dyDescent="0.25">
      <c r="A4" s="6" t="s">
        <v>88</v>
      </c>
      <c r="B4" t="s">
        <v>128</v>
      </c>
      <c r="C4" t="s">
        <v>125</v>
      </c>
      <c r="D4" t="s">
        <v>128</v>
      </c>
      <c r="E4" t="s">
        <v>125</v>
      </c>
      <c r="F4" t="s">
        <v>128</v>
      </c>
      <c r="G4" t="s">
        <v>125</v>
      </c>
      <c r="H4" t="s">
        <v>128</v>
      </c>
      <c r="I4" t="s">
        <v>125</v>
      </c>
      <c r="J4" t="s">
        <v>128</v>
      </c>
      <c r="K4" t="s">
        <v>125</v>
      </c>
      <c r="L4" t="s">
        <v>128</v>
      </c>
      <c r="M4" t="s">
        <v>125</v>
      </c>
      <c r="N4" t="s">
        <v>128</v>
      </c>
      <c r="O4" t="s">
        <v>125</v>
      </c>
      <c r="P4" t="s">
        <v>128</v>
      </c>
      <c r="Q4" t="s">
        <v>125</v>
      </c>
    </row>
    <row r="5" spans="1:19" x14ac:dyDescent="0.25">
      <c r="A5" s="7">
        <v>2030</v>
      </c>
      <c r="B5" s="13"/>
      <c r="C5" s="8"/>
      <c r="D5" s="13"/>
      <c r="E5" s="8"/>
      <c r="F5" s="13"/>
      <c r="G5" s="8"/>
      <c r="H5" s="13"/>
      <c r="I5" s="8"/>
      <c r="J5" s="13"/>
      <c r="K5" s="8"/>
      <c r="L5" s="13"/>
      <c r="M5" s="8"/>
      <c r="N5" s="13"/>
      <c r="O5" s="8"/>
      <c r="P5" s="13"/>
      <c r="Q5" s="8"/>
      <c r="R5" s="13"/>
      <c r="S5" s="8"/>
    </row>
    <row r="6" spans="1:19" x14ac:dyDescent="0.25">
      <c r="A6" s="9" t="s">
        <v>27</v>
      </c>
      <c r="B6" s="13">
        <v>26.93090541898259</v>
      </c>
      <c r="C6" s="13">
        <v>0.45076703431999993</v>
      </c>
      <c r="D6" s="13">
        <v>19.850360529489279</v>
      </c>
      <c r="E6" s="13">
        <v>1.4201719861750004</v>
      </c>
      <c r="F6" s="13">
        <v>45.280222691386172</v>
      </c>
      <c r="G6" s="13">
        <v>0</v>
      </c>
      <c r="H6" s="13">
        <v>7.9766231601288453</v>
      </c>
      <c r="I6" s="13">
        <v>0</v>
      </c>
      <c r="J6" s="13">
        <v>2.5858784763692717</v>
      </c>
      <c r="K6" s="13">
        <v>12.53543651233441</v>
      </c>
      <c r="L6" s="13">
        <v>0</v>
      </c>
      <c r="M6" s="13">
        <v>2.1694819870080004</v>
      </c>
      <c r="N6" s="13">
        <v>19.810752704992641</v>
      </c>
      <c r="O6" s="13">
        <v>5.2990046407365279</v>
      </c>
      <c r="P6" s="13">
        <v>0.14596282488120896</v>
      </c>
      <c r="Q6" s="13">
        <v>0</v>
      </c>
      <c r="R6" s="13">
        <v>122.58070580623001</v>
      </c>
      <c r="S6" s="13">
        <v>21.87486216057394</v>
      </c>
    </row>
    <row r="7" spans="1:19" x14ac:dyDescent="0.25">
      <c r="A7" s="9" t="s">
        <v>129</v>
      </c>
      <c r="B7" s="13">
        <v>26.93090541898259</v>
      </c>
      <c r="C7" s="13">
        <v>0.45076703431999998</v>
      </c>
      <c r="D7" s="13">
        <v>19.850360529489279</v>
      </c>
      <c r="E7" s="13">
        <v>1.4201719861750004</v>
      </c>
      <c r="F7" s="13">
        <v>45.280222691386165</v>
      </c>
      <c r="G7" s="13">
        <v>0</v>
      </c>
      <c r="H7" s="13">
        <v>7.9766231601288453</v>
      </c>
      <c r="I7" s="13">
        <v>0</v>
      </c>
      <c r="J7" s="13">
        <v>2.5858784763692717</v>
      </c>
      <c r="K7" s="13">
        <v>12.53543651233441</v>
      </c>
      <c r="L7" s="13">
        <v>0</v>
      </c>
      <c r="M7" s="13">
        <v>2.1694819870080004</v>
      </c>
      <c r="N7" s="13">
        <v>19.810752704992638</v>
      </c>
      <c r="O7" s="13">
        <v>5.2990046407365279</v>
      </c>
      <c r="P7" s="13">
        <v>0.14596282488120893</v>
      </c>
      <c r="Q7" s="13">
        <v>0</v>
      </c>
      <c r="R7" s="13">
        <v>122.58070580622999</v>
      </c>
      <c r="S7" s="13">
        <v>21.87486216057394</v>
      </c>
    </row>
    <row r="8" spans="1:19" x14ac:dyDescent="0.25">
      <c r="A8" s="9" t="s">
        <v>130</v>
      </c>
      <c r="B8" s="13">
        <v>26.93090541898259</v>
      </c>
      <c r="C8" s="13">
        <v>0.45076703431999998</v>
      </c>
      <c r="D8" s="13">
        <v>19.850360529489279</v>
      </c>
      <c r="E8" s="13">
        <v>1.4201719861750004</v>
      </c>
      <c r="F8" s="13">
        <v>45.280222691386165</v>
      </c>
      <c r="G8" s="13">
        <v>0</v>
      </c>
      <c r="H8" s="13">
        <v>7.9766231601288453</v>
      </c>
      <c r="I8" s="13">
        <v>0</v>
      </c>
      <c r="J8" s="13">
        <v>2.5858784763692717</v>
      </c>
      <c r="K8" s="13">
        <v>12.53543651233441</v>
      </c>
      <c r="L8" s="13">
        <v>0</v>
      </c>
      <c r="M8" s="13">
        <v>2.1694819870080004</v>
      </c>
      <c r="N8" s="13">
        <v>19.810752704992638</v>
      </c>
      <c r="O8" s="13">
        <v>5.2990046407365279</v>
      </c>
      <c r="P8" s="13">
        <v>0.14596282488120893</v>
      </c>
      <c r="Q8" s="13">
        <v>0</v>
      </c>
      <c r="R8" s="13">
        <v>122.58070580622999</v>
      </c>
      <c r="S8" s="13">
        <v>21.87486216057394</v>
      </c>
    </row>
    <row r="9" spans="1:19" x14ac:dyDescent="0.25">
      <c r="A9" s="9" t="s">
        <v>143</v>
      </c>
      <c r="B9" s="13">
        <v>26.93090541898259</v>
      </c>
      <c r="C9" s="13">
        <v>0.45076703431999998</v>
      </c>
      <c r="D9" s="13">
        <v>19.850360529489279</v>
      </c>
      <c r="E9" s="13">
        <v>1.4201719861750004</v>
      </c>
      <c r="F9" s="13">
        <v>45.280222691386165</v>
      </c>
      <c r="G9" s="13">
        <v>0</v>
      </c>
      <c r="H9" s="13">
        <v>7.9766231601288453</v>
      </c>
      <c r="I9" s="13">
        <v>0</v>
      </c>
      <c r="J9" s="13">
        <v>2.5858784763692717</v>
      </c>
      <c r="K9" s="13">
        <v>12.53543651233441</v>
      </c>
      <c r="L9" s="13">
        <v>0</v>
      </c>
      <c r="M9" s="13">
        <v>2.1694819870080004</v>
      </c>
      <c r="N9" s="13">
        <v>19.810752704992638</v>
      </c>
      <c r="O9" s="13">
        <v>5.2990046407365279</v>
      </c>
      <c r="P9" s="13">
        <v>0.14596282488120893</v>
      </c>
      <c r="Q9" s="13">
        <v>0</v>
      </c>
      <c r="R9" s="13">
        <v>122.58070580622999</v>
      </c>
      <c r="S9" s="13">
        <v>21.87486216057394</v>
      </c>
    </row>
    <row r="10" spans="1:19" x14ac:dyDescent="0.25">
      <c r="A10" s="7">
        <v>2050</v>
      </c>
      <c r="B10" s="13"/>
      <c r="C10" s="8"/>
      <c r="D10" s="13"/>
      <c r="E10" s="8"/>
      <c r="F10" s="13"/>
      <c r="G10" s="8"/>
      <c r="H10" s="13"/>
      <c r="I10" s="8"/>
      <c r="J10" s="13"/>
      <c r="K10" s="8"/>
      <c r="L10" s="13"/>
      <c r="M10" s="8"/>
      <c r="N10" s="13"/>
      <c r="O10" s="8"/>
      <c r="P10" s="13"/>
      <c r="Q10" s="8"/>
      <c r="R10" s="13"/>
      <c r="S10" s="8"/>
    </row>
    <row r="11" spans="1:19" x14ac:dyDescent="0.25">
      <c r="A11" s="9" t="s">
        <v>27</v>
      </c>
      <c r="B11" s="13">
        <v>24.858803548597578</v>
      </c>
      <c r="C11" s="13">
        <v>0.45076703432000009</v>
      </c>
      <c r="D11" s="13">
        <v>18.206836134418594</v>
      </c>
      <c r="E11" s="13">
        <v>1.4201719861750004</v>
      </c>
      <c r="F11" s="13">
        <v>41.352452170508414</v>
      </c>
      <c r="G11" s="13">
        <v>0</v>
      </c>
      <c r="H11" s="13">
        <v>7.7078751185296177</v>
      </c>
      <c r="I11" s="13">
        <v>0</v>
      </c>
      <c r="J11" s="13">
        <v>2.671413213735077</v>
      </c>
      <c r="K11" s="13">
        <v>12.420463246039292</v>
      </c>
      <c r="L11" s="13">
        <v>0</v>
      </c>
      <c r="M11" s="13">
        <v>2.1694819870080004</v>
      </c>
      <c r="N11" s="13">
        <v>19.90496446847807</v>
      </c>
      <c r="O11" s="13">
        <v>5.3654495190523512</v>
      </c>
      <c r="P11" s="13">
        <v>0.23461711386879117</v>
      </c>
      <c r="Q11" s="13">
        <v>0</v>
      </c>
      <c r="R11" s="13">
        <v>114.93696176813614</v>
      </c>
      <c r="S11" s="13">
        <v>21.826333772594644</v>
      </c>
    </row>
    <row r="12" spans="1:19" x14ac:dyDescent="0.25">
      <c r="A12" s="9" t="s">
        <v>129</v>
      </c>
      <c r="B12" s="13">
        <v>32.884136275413141</v>
      </c>
      <c r="C12" s="13">
        <v>0.45076703432000009</v>
      </c>
      <c r="D12" s="13">
        <v>28.335669039324991</v>
      </c>
      <c r="E12" s="13">
        <v>1.4201719861750002</v>
      </c>
      <c r="F12" s="13">
        <v>41.352452170508407</v>
      </c>
      <c r="G12" s="13">
        <v>0</v>
      </c>
      <c r="H12" s="13">
        <v>7.7078751185296177</v>
      </c>
      <c r="I12" s="13">
        <v>0</v>
      </c>
      <c r="J12" s="13">
        <v>2.1371305709880613</v>
      </c>
      <c r="K12" s="13">
        <v>9.9363705968314342</v>
      </c>
      <c r="L12" s="13">
        <v>0</v>
      </c>
      <c r="M12" s="13">
        <v>2.1694819870080004</v>
      </c>
      <c r="N12" s="13">
        <v>19.897035061438991</v>
      </c>
      <c r="O12" s="13">
        <v>5.3606050360007158</v>
      </c>
      <c r="P12" s="13">
        <v>0.23461711386879117</v>
      </c>
      <c r="Q12" s="13">
        <v>0</v>
      </c>
      <c r="R12" s="13">
        <v>132.54891535007198</v>
      </c>
      <c r="S12" s="13">
        <v>19.33739664033515</v>
      </c>
    </row>
    <row r="13" spans="1:19" x14ac:dyDescent="0.25">
      <c r="A13" s="9" t="s">
        <v>130</v>
      </c>
      <c r="B13" s="13">
        <v>16.833470821782004</v>
      </c>
      <c r="C13" s="13">
        <v>0.45076703432000009</v>
      </c>
      <c r="D13" s="13">
        <v>8.0780032295121842</v>
      </c>
      <c r="E13" s="13">
        <v>1.4201719861750002</v>
      </c>
      <c r="F13" s="13">
        <v>41.352452170508407</v>
      </c>
      <c r="G13" s="13">
        <v>0</v>
      </c>
      <c r="H13" s="13">
        <v>7.7078751185296177</v>
      </c>
      <c r="I13" s="13">
        <v>0</v>
      </c>
      <c r="J13" s="13">
        <v>3.2056958564820937</v>
      </c>
      <c r="K13" s="13">
        <v>14.90455589524715</v>
      </c>
      <c r="L13" s="13">
        <v>0</v>
      </c>
      <c r="M13" s="13">
        <v>2.1694819870080004</v>
      </c>
      <c r="N13" s="13">
        <v>20.231823778682944</v>
      </c>
      <c r="O13" s="13">
        <v>5.3702940021039831</v>
      </c>
      <c r="P13" s="13">
        <v>0.23461711386879117</v>
      </c>
      <c r="Q13" s="13">
        <v>0</v>
      </c>
      <c r="R13" s="13">
        <v>97.643938089366046</v>
      </c>
      <c r="S13" s="13">
        <v>24.315270904854135</v>
      </c>
    </row>
    <row r="14" spans="1:19" x14ac:dyDescent="0.25">
      <c r="A14" s="9" t="s">
        <v>143</v>
      </c>
      <c r="B14" s="13">
        <v>24.858803548597574</v>
      </c>
      <c r="C14" s="13">
        <v>0.45076703432000004</v>
      </c>
      <c r="D14" s="13">
        <v>18.206836134418594</v>
      </c>
      <c r="E14" s="13">
        <v>1.4201719861750002</v>
      </c>
      <c r="F14" s="13">
        <v>41.352452170508407</v>
      </c>
      <c r="G14" s="13">
        <v>0</v>
      </c>
      <c r="H14" s="13">
        <v>7.7078751185296177</v>
      </c>
      <c r="I14" s="13">
        <v>0</v>
      </c>
      <c r="J14" s="13">
        <v>2.6714132137350779</v>
      </c>
      <c r="K14" s="13">
        <v>12.420463246039292</v>
      </c>
      <c r="L14" s="13">
        <v>0</v>
      </c>
      <c r="M14" s="13">
        <v>2.1694819870080004</v>
      </c>
      <c r="N14" s="13">
        <v>19.90496446847807</v>
      </c>
      <c r="O14" s="13">
        <v>5.3654495190523503</v>
      </c>
      <c r="P14" s="13">
        <v>0.23461711386879117</v>
      </c>
      <c r="Q14" s="13">
        <v>0</v>
      </c>
      <c r="R14" s="13">
        <v>114.93696176813613</v>
      </c>
      <c r="S14" s="13">
        <v>21.826333772594644</v>
      </c>
    </row>
    <row r="15" spans="1:19" x14ac:dyDescent="0.25">
      <c r="A15" s="7" t="s">
        <v>89</v>
      </c>
      <c r="B15" s="13">
        <v>207.15883587032064</v>
      </c>
      <c r="C15" s="13">
        <v>3.6061362745600003</v>
      </c>
      <c r="D15" s="13">
        <v>152.2287866556315</v>
      </c>
      <c r="E15" s="13">
        <v>11.361375889400001</v>
      </c>
      <c r="F15" s="13">
        <v>346.53069944757829</v>
      </c>
      <c r="G15" s="13">
        <v>0</v>
      </c>
      <c r="H15" s="13">
        <v>62.737993114633838</v>
      </c>
      <c r="I15" s="13">
        <v>0</v>
      </c>
      <c r="J15" s="13">
        <v>21.029166760417397</v>
      </c>
      <c r="K15" s="13">
        <v>99.823599033494801</v>
      </c>
      <c r="L15" s="13">
        <v>0</v>
      </c>
      <c r="M15" s="13">
        <v>17.355855896064003</v>
      </c>
      <c r="N15" s="13">
        <v>159.18179859704861</v>
      </c>
      <c r="O15" s="13">
        <v>42.657816639155513</v>
      </c>
      <c r="P15" s="13">
        <v>1.5223197550000003</v>
      </c>
      <c r="Q15" s="13">
        <v>0</v>
      </c>
      <c r="R15" s="13">
        <v>950.3896002006303</v>
      </c>
      <c r="S15" s="13">
        <v>174.80478373267434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DE8EC-A3E7-4A33-8A1D-4B05DBD8E3E1}">
  <sheetPr codeName="Sheet18">
    <tabColor theme="7" tint="0.39997558519241921"/>
  </sheetPr>
  <dimension ref="A1:S7"/>
  <sheetViews>
    <sheetView zoomScaleNormal="100" workbookViewId="0">
      <selection activeCell="B5" sqref="B5:S6"/>
    </sheetView>
  </sheetViews>
  <sheetFormatPr defaultRowHeight="15" x14ac:dyDescent="0.25"/>
  <cols>
    <col min="1" max="1" width="13.140625" bestFit="1" customWidth="1"/>
    <col min="2" max="2" width="33.140625" bestFit="1" customWidth="1"/>
    <col min="3" max="3" width="27.42578125" bestFit="1" customWidth="1"/>
    <col min="4" max="4" width="33.140625" bestFit="1" customWidth="1"/>
    <col min="5" max="5" width="27.42578125" bestFit="1" customWidth="1"/>
    <col min="6" max="6" width="33.140625" bestFit="1" customWidth="1"/>
    <col min="7" max="7" width="27.42578125" bestFit="1" customWidth="1"/>
    <col min="8" max="8" width="33.140625" bestFit="1" customWidth="1"/>
    <col min="9" max="9" width="27.42578125" bestFit="1" customWidth="1"/>
    <col min="10" max="10" width="33.140625" bestFit="1" customWidth="1"/>
    <col min="11" max="11" width="27.42578125" bestFit="1" customWidth="1"/>
    <col min="12" max="12" width="33.140625" bestFit="1" customWidth="1"/>
    <col min="13" max="13" width="27.42578125" bestFit="1" customWidth="1"/>
    <col min="14" max="14" width="33.140625" bestFit="1" customWidth="1"/>
    <col min="15" max="15" width="27.42578125" bestFit="1" customWidth="1"/>
    <col min="16" max="16" width="33.140625" bestFit="1" customWidth="1"/>
    <col min="17" max="17" width="27.42578125" bestFit="1" customWidth="1"/>
    <col min="18" max="18" width="38.28515625" bestFit="1" customWidth="1"/>
    <col min="19" max="19" width="32.42578125" bestFit="1" customWidth="1"/>
    <col min="20" max="20" width="33.140625" bestFit="1" customWidth="1"/>
    <col min="21" max="21" width="27.42578125" bestFit="1" customWidth="1"/>
    <col min="22" max="22" width="38.28515625" bestFit="1" customWidth="1"/>
    <col min="23" max="23" width="32.42578125" bestFit="1" customWidth="1"/>
    <col min="24" max="24" width="33.140625" bestFit="1" customWidth="1"/>
    <col min="25" max="25" width="27.42578125" bestFit="1" customWidth="1"/>
    <col min="26" max="26" width="33.140625" bestFit="1" customWidth="1"/>
    <col min="27" max="27" width="27.42578125" bestFit="1" customWidth="1"/>
    <col min="28" max="28" width="33.140625" bestFit="1" customWidth="1"/>
    <col min="29" max="29" width="27.42578125" bestFit="1" customWidth="1"/>
    <col min="30" max="30" width="33.140625" bestFit="1" customWidth="1"/>
    <col min="31" max="31" width="27.42578125" bestFit="1" customWidth="1"/>
    <col min="32" max="32" width="33.140625" bestFit="1" customWidth="1"/>
    <col min="33" max="33" width="27.42578125" bestFit="1" customWidth="1"/>
    <col min="34" max="34" width="33.140625" bestFit="1" customWidth="1"/>
    <col min="35" max="35" width="27.42578125" bestFit="1" customWidth="1"/>
    <col min="36" max="36" width="33.140625" bestFit="1" customWidth="1"/>
    <col min="37" max="37" width="27.42578125" bestFit="1" customWidth="1"/>
    <col min="38" max="38" width="33.140625" bestFit="1" customWidth="1"/>
    <col min="39" max="39" width="27.42578125" bestFit="1" customWidth="1"/>
    <col min="40" max="40" width="33.140625" bestFit="1" customWidth="1"/>
    <col min="41" max="41" width="27.42578125" bestFit="1" customWidth="1"/>
    <col min="42" max="42" width="33.140625" bestFit="1" customWidth="1"/>
    <col min="43" max="43" width="27.42578125" bestFit="1" customWidth="1"/>
    <col min="44" max="44" width="33.140625" bestFit="1" customWidth="1"/>
    <col min="45" max="45" width="27.42578125" bestFit="1" customWidth="1"/>
    <col min="46" max="46" width="33.140625" bestFit="1" customWidth="1"/>
    <col min="47" max="47" width="27.42578125" bestFit="1" customWidth="1"/>
    <col min="48" max="48" width="33.140625" bestFit="1" customWidth="1"/>
    <col min="49" max="49" width="27.42578125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19" x14ac:dyDescent="0.25">
      <c r="A1" s="6" t="s">
        <v>26</v>
      </c>
      <c r="B1" t="s">
        <v>27</v>
      </c>
    </row>
    <row r="3" spans="1:19" x14ac:dyDescent="0.25">
      <c r="B3" s="6" t="s">
        <v>90</v>
      </c>
    </row>
    <row r="4" spans="1:19" x14ac:dyDescent="0.25">
      <c r="B4" t="s">
        <v>77</v>
      </c>
      <c r="D4" t="s">
        <v>76</v>
      </c>
      <c r="F4" t="s">
        <v>81</v>
      </c>
      <c r="H4" t="s">
        <v>64</v>
      </c>
      <c r="J4" t="s">
        <v>74</v>
      </c>
      <c r="L4" t="s">
        <v>57</v>
      </c>
      <c r="N4" t="s">
        <v>73</v>
      </c>
      <c r="P4" t="s">
        <v>79</v>
      </c>
      <c r="R4" t="s">
        <v>127</v>
      </c>
      <c r="S4" t="s">
        <v>126</v>
      </c>
    </row>
    <row r="5" spans="1:19" x14ac:dyDescent="0.25">
      <c r="A5" s="6" t="s">
        <v>88</v>
      </c>
      <c r="B5" t="s">
        <v>128</v>
      </c>
      <c r="C5" t="s">
        <v>125</v>
      </c>
      <c r="D5" t="s">
        <v>128</v>
      </c>
      <c r="E5" t="s">
        <v>125</v>
      </c>
      <c r="F5" t="s">
        <v>128</v>
      </c>
      <c r="G5" t="s">
        <v>125</v>
      </c>
      <c r="H5" t="s">
        <v>128</v>
      </c>
      <c r="I5" t="s">
        <v>125</v>
      </c>
      <c r="J5" t="s">
        <v>128</v>
      </c>
      <c r="K5" t="s">
        <v>125</v>
      </c>
      <c r="L5" t="s">
        <v>128</v>
      </c>
      <c r="M5" t="s">
        <v>125</v>
      </c>
      <c r="N5" t="s">
        <v>128</v>
      </c>
      <c r="O5" t="s">
        <v>125</v>
      </c>
      <c r="P5" t="s">
        <v>128</v>
      </c>
      <c r="Q5" t="s">
        <v>125</v>
      </c>
    </row>
    <row r="6" spans="1:19" x14ac:dyDescent="0.25">
      <c r="A6" s="7">
        <v>2019</v>
      </c>
      <c r="B6" s="13">
        <v>19.573590488557194</v>
      </c>
      <c r="C6" s="13">
        <v>0.45076703431999998</v>
      </c>
      <c r="D6" s="13">
        <v>0</v>
      </c>
      <c r="E6" s="13">
        <v>1.4201719861750002</v>
      </c>
      <c r="F6" s="13">
        <v>47.489094924341856</v>
      </c>
      <c r="G6" s="13">
        <v>0</v>
      </c>
      <c r="H6" s="13">
        <v>0.15196335107036851</v>
      </c>
      <c r="I6" s="13">
        <v>0</v>
      </c>
      <c r="J6" s="13">
        <v>0</v>
      </c>
      <c r="K6" s="13">
        <v>5.0922829580050006</v>
      </c>
      <c r="L6" s="13">
        <v>0</v>
      </c>
      <c r="M6" s="13">
        <v>2.1694819870080004</v>
      </c>
      <c r="N6" s="13">
        <v>17.543930524502301</v>
      </c>
      <c r="O6" s="13">
        <v>7.483154704207001</v>
      </c>
      <c r="P6" s="13">
        <v>0</v>
      </c>
      <c r="Q6" s="13">
        <v>0</v>
      </c>
      <c r="R6" s="13">
        <v>84.758579288471708</v>
      </c>
      <c r="S6" s="13">
        <v>16.615858669715003</v>
      </c>
    </row>
    <row r="7" spans="1:19" x14ac:dyDescent="0.25">
      <c r="A7" s="7" t="s">
        <v>89</v>
      </c>
      <c r="B7" s="13">
        <v>19.573590488557194</v>
      </c>
      <c r="C7" s="13">
        <v>0.45076703431999998</v>
      </c>
      <c r="D7" s="13">
        <v>0</v>
      </c>
      <c r="E7" s="13">
        <v>1.4201719861750002</v>
      </c>
      <c r="F7" s="13">
        <v>47.489094924341856</v>
      </c>
      <c r="G7" s="13">
        <v>0</v>
      </c>
      <c r="H7" s="13">
        <v>0.15196335107036851</v>
      </c>
      <c r="I7" s="13">
        <v>0</v>
      </c>
      <c r="J7" s="13">
        <v>0</v>
      </c>
      <c r="K7" s="13">
        <v>5.0922829580050006</v>
      </c>
      <c r="L7" s="13">
        <v>0</v>
      </c>
      <c r="M7" s="13">
        <v>2.1694819870080004</v>
      </c>
      <c r="N7" s="13">
        <v>17.543930524502301</v>
      </c>
      <c r="O7" s="13">
        <v>7.483154704207001</v>
      </c>
      <c r="P7" s="13">
        <v>0</v>
      </c>
      <c r="Q7" s="13">
        <v>0</v>
      </c>
      <c r="R7" s="13">
        <v>84.758579288471708</v>
      </c>
      <c r="S7" s="13">
        <v>16.615858669715003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6C94E-779C-4333-A273-65AE808E7C96}">
  <sheetPr codeName="Sheet13">
    <tabColor theme="7" tint="0.39997558519241921"/>
  </sheetPr>
  <dimension ref="A1:J14"/>
  <sheetViews>
    <sheetView zoomScaleNormal="100" workbookViewId="0">
      <selection activeCell="B2" sqref="B2"/>
    </sheetView>
  </sheetViews>
  <sheetFormatPr defaultRowHeight="15" x14ac:dyDescent="0.25"/>
  <cols>
    <col min="1" max="1" width="32.85546875" bestFit="1" customWidth="1"/>
    <col min="2" max="2" width="16.28515625" bestFit="1" customWidth="1"/>
    <col min="3" max="3" width="13.28515625" bestFit="1" customWidth="1"/>
    <col min="4" max="4" width="10.140625" bestFit="1" customWidth="1"/>
    <col min="5" max="5" width="9.140625" bestFit="1" customWidth="1"/>
    <col min="6" max="6" width="14.42578125" bestFit="1" customWidth="1"/>
    <col min="7" max="7" width="9.140625" bestFit="1" customWidth="1"/>
    <col min="8" max="8" width="21.140625" bestFit="1" customWidth="1"/>
    <col min="9" max="9" width="12.7109375" bestFit="1" customWidth="1"/>
    <col min="10" max="10" width="11.28515625" bestFit="1" customWidth="1"/>
    <col min="11" max="11" width="37.140625" bestFit="1" customWidth="1"/>
    <col min="12" max="12" width="31.42578125" bestFit="1" customWidth="1"/>
    <col min="13" max="13" width="37.140625" bestFit="1" customWidth="1"/>
    <col min="14" max="14" width="31.42578125" bestFit="1" customWidth="1"/>
    <col min="15" max="15" width="37.140625" bestFit="1" customWidth="1"/>
    <col min="16" max="16" width="31.42578125" bestFit="1" customWidth="1"/>
    <col min="17" max="17" width="37.140625" bestFit="1" customWidth="1"/>
    <col min="18" max="18" width="36.42578125" bestFit="1" customWidth="1"/>
    <col min="19" max="19" width="42.28515625" bestFit="1" customWidth="1"/>
    <col min="20" max="20" width="33.140625" bestFit="1" customWidth="1"/>
    <col min="21" max="21" width="27.42578125" bestFit="1" customWidth="1"/>
    <col min="22" max="22" width="38.28515625" bestFit="1" customWidth="1"/>
    <col min="23" max="23" width="32.42578125" bestFit="1" customWidth="1"/>
    <col min="24" max="24" width="33.140625" bestFit="1" customWidth="1"/>
    <col min="25" max="25" width="27.42578125" bestFit="1" customWidth="1"/>
    <col min="26" max="26" width="33.140625" bestFit="1" customWidth="1"/>
    <col min="27" max="27" width="27.42578125" bestFit="1" customWidth="1"/>
    <col min="28" max="28" width="33.140625" bestFit="1" customWidth="1"/>
    <col min="29" max="29" width="27.42578125" bestFit="1" customWidth="1"/>
    <col min="30" max="30" width="33.140625" bestFit="1" customWidth="1"/>
    <col min="31" max="31" width="27.42578125" bestFit="1" customWidth="1"/>
    <col min="32" max="32" width="33.140625" bestFit="1" customWidth="1"/>
    <col min="33" max="33" width="27.42578125" bestFit="1" customWidth="1"/>
    <col min="34" max="34" width="33.140625" bestFit="1" customWidth="1"/>
    <col min="35" max="35" width="27.42578125" bestFit="1" customWidth="1"/>
    <col min="36" max="36" width="33.140625" bestFit="1" customWidth="1"/>
    <col min="37" max="37" width="27.42578125" bestFit="1" customWidth="1"/>
    <col min="38" max="38" width="33.140625" bestFit="1" customWidth="1"/>
    <col min="39" max="39" width="27.42578125" bestFit="1" customWidth="1"/>
    <col min="40" max="40" width="33.140625" bestFit="1" customWidth="1"/>
    <col min="41" max="41" width="27.42578125" bestFit="1" customWidth="1"/>
    <col min="42" max="42" width="33.140625" bestFit="1" customWidth="1"/>
    <col min="43" max="43" width="27.42578125" bestFit="1" customWidth="1"/>
    <col min="44" max="44" width="33.140625" bestFit="1" customWidth="1"/>
    <col min="45" max="45" width="27.42578125" bestFit="1" customWidth="1"/>
    <col min="46" max="46" width="33.140625" bestFit="1" customWidth="1"/>
    <col min="47" max="47" width="27.42578125" bestFit="1" customWidth="1"/>
    <col min="48" max="48" width="33.140625" bestFit="1" customWidth="1"/>
    <col min="49" max="49" width="27.42578125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10" x14ac:dyDescent="0.25">
      <c r="A1" t="s">
        <v>145</v>
      </c>
      <c r="B1" s="12">
        <f>ROUNDUP(MAX(_xlfn.MAXIFS(INDEX($A$4:$Y$200,0,MATCH("Grand Total",$A$3:$Y$3,0)),$A$4:$A$200,"&lt;&gt;2030",$A$4:$A$200,"&lt;&gt;2050",$A$4:$A$200,"&lt;&gt;"&amp;"Grand Total"),_xlfn.MAXIFS(INDEX('Potentiale TS 2019'!$A$5:$Y$201,0,MATCH("Grand Total",'Potentiale TS 2019'!$A$4:$Y$4,0)),'Potentiale TS 2019'!$A$5:$A$201,"Grand Total"))/2000000,0)*2000000</f>
        <v>12000000</v>
      </c>
    </row>
    <row r="2" spans="1:10" x14ac:dyDescent="0.25">
      <c r="A2" s="6" t="s">
        <v>131</v>
      </c>
      <c r="B2" s="6" t="s">
        <v>90</v>
      </c>
    </row>
    <row r="3" spans="1:10" x14ac:dyDescent="0.25">
      <c r="A3" s="6" t="s">
        <v>88</v>
      </c>
      <c r="B3" t="s">
        <v>77</v>
      </c>
      <c r="C3" t="s">
        <v>76</v>
      </c>
      <c r="D3" t="s">
        <v>81</v>
      </c>
      <c r="E3" t="s">
        <v>64</v>
      </c>
      <c r="F3" t="s">
        <v>74</v>
      </c>
      <c r="G3" t="s">
        <v>57</v>
      </c>
      <c r="H3" t="s">
        <v>73</v>
      </c>
      <c r="I3" t="s">
        <v>79</v>
      </c>
      <c r="J3" t="s">
        <v>89</v>
      </c>
    </row>
    <row r="4" spans="1:10" x14ac:dyDescent="0.25">
      <c r="A4" s="7">
        <v>2030</v>
      </c>
      <c r="B4" s="12"/>
      <c r="C4" s="12"/>
      <c r="D4" s="12"/>
      <c r="E4" s="12"/>
      <c r="F4" s="12"/>
      <c r="G4" s="12"/>
      <c r="H4" s="12"/>
      <c r="I4" s="12"/>
      <c r="J4" s="12"/>
    </row>
    <row r="5" spans="1:10" x14ac:dyDescent="0.25">
      <c r="A5" s="9" t="s">
        <v>27</v>
      </c>
      <c r="B5" s="12">
        <v>2349166.8466086616</v>
      </c>
      <c r="C5" s="12">
        <v>2348840.8844847302</v>
      </c>
      <c r="D5" s="12">
        <v>1498974.2460576054</v>
      </c>
      <c r="E5" s="12">
        <v>207392.20216335001</v>
      </c>
      <c r="F5" s="12">
        <v>2078868.7997796992</v>
      </c>
      <c r="G5" s="12">
        <v>128467.8</v>
      </c>
      <c r="H5" s="12">
        <v>1140745.9345080981</v>
      </c>
      <c r="I5" s="12">
        <v>24394.901094352466</v>
      </c>
      <c r="J5" s="12">
        <v>9776851.614696499</v>
      </c>
    </row>
    <row r="6" spans="1:10" x14ac:dyDescent="0.25">
      <c r="A6" s="9" t="s">
        <v>129</v>
      </c>
      <c r="B6" s="12">
        <v>2349166.8466086611</v>
      </c>
      <c r="C6" s="12">
        <v>2348840.8844847297</v>
      </c>
      <c r="D6" s="12">
        <v>1498974.2460576054</v>
      </c>
      <c r="E6" s="12">
        <v>207392.20216335001</v>
      </c>
      <c r="F6" s="12">
        <v>2078868.7997796992</v>
      </c>
      <c r="G6" s="12">
        <v>128467.8</v>
      </c>
      <c r="H6" s="12">
        <v>1140745.9345080981</v>
      </c>
      <c r="I6" s="12">
        <v>24394.90109435247</v>
      </c>
      <c r="J6" s="12">
        <v>9776851.6146964971</v>
      </c>
    </row>
    <row r="7" spans="1:10" x14ac:dyDescent="0.25">
      <c r="A7" s="9" t="s">
        <v>130</v>
      </c>
      <c r="B7" s="12">
        <v>2349166.8466086611</v>
      </c>
      <c r="C7" s="12">
        <v>2348840.8844847297</v>
      </c>
      <c r="D7" s="12">
        <v>1498974.2460576054</v>
      </c>
      <c r="E7" s="12">
        <v>207392.20216335001</v>
      </c>
      <c r="F7" s="12">
        <v>2078868.7997796992</v>
      </c>
      <c r="G7" s="12">
        <v>128467.8</v>
      </c>
      <c r="H7" s="12">
        <v>1140745.9345080981</v>
      </c>
      <c r="I7" s="12">
        <v>24394.90109435247</v>
      </c>
      <c r="J7" s="12">
        <v>9776851.6146964971</v>
      </c>
    </row>
    <row r="8" spans="1:10" x14ac:dyDescent="0.25">
      <c r="A8" s="9" t="s">
        <v>143</v>
      </c>
      <c r="B8" s="12">
        <v>2349166.8466086611</v>
      </c>
      <c r="C8" s="12">
        <v>2348840.8844847297</v>
      </c>
      <c r="D8" s="12">
        <v>1498974.2460576054</v>
      </c>
      <c r="E8" s="12">
        <v>207392.20216335001</v>
      </c>
      <c r="F8" s="12">
        <v>2078868.7997796992</v>
      </c>
      <c r="G8" s="12">
        <v>128467.8</v>
      </c>
      <c r="H8" s="12">
        <v>1140745.9345080981</v>
      </c>
      <c r="I8" s="12">
        <v>24394.90109435247</v>
      </c>
      <c r="J8" s="12">
        <v>9776851.6146964971</v>
      </c>
    </row>
    <row r="9" spans="1:10" x14ac:dyDescent="0.25">
      <c r="A9" s="7">
        <v>2050</v>
      </c>
      <c r="B9" s="12"/>
      <c r="C9" s="12"/>
      <c r="D9" s="12"/>
      <c r="E9" s="12"/>
      <c r="F9" s="12"/>
      <c r="G9" s="12"/>
      <c r="H9" s="12"/>
      <c r="I9" s="12"/>
      <c r="J9" s="12"/>
    </row>
    <row r="10" spans="1:10" x14ac:dyDescent="0.25">
      <c r="A10" s="9" t="s">
        <v>27</v>
      </c>
      <c r="B10" s="12">
        <v>2170312.3964539068</v>
      </c>
      <c r="C10" s="12">
        <v>2164142.1080060382</v>
      </c>
      <c r="D10" s="12">
        <v>1366366.136655861</v>
      </c>
      <c r="E10" s="12">
        <v>200404.75308177009</v>
      </c>
      <c r="F10" s="12">
        <v>2077438.077263775</v>
      </c>
      <c r="G10" s="12">
        <v>128467.8</v>
      </c>
      <c r="H10" s="12">
        <v>1159380.5453773013</v>
      </c>
      <c r="I10" s="12">
        <v>39211.773905647548</v>
      </c>
      <c r="J10" s="12">
        <v>9305723.5907443017</v>
      </c>
    </row>
    <row r="11" spans="1:10" x14ac:dyDescent="0.25">
      <c r="A11" s="9" t="s">
        <v>129</v>
      </c>
      <c r="B11" s="12">
        <v>2867722.9948248072</v>
      </c>
      <c r="C11" s="12">
        <v>3352429.5178153403</v>
      </c>
      <c r="D11" s="12">
        <v>1366366.1366558613</v>
      </c>
      <c r="E11" s="12">
        <v>200404.75308177009</v>
      </c>
      <c r="F11" s="12">
        <v>1661950.46181102</v>
      </c>
      <c r="G11" s="12">
        <v>128467.8</v>
      </c>
      <c r="H11" s="12">
        <v>1157844.6374687569</v>
      </c>
      <c r="I11" s="12">
        <v>39211.773905647548</v>
      </c>
      <c r="J11" s="12">
        <v>10774398.075563204</v>
      </c>
    </row>
    <row r="12" spans="1:10" x14ac:dyDescent="0.25">
      <c r="A12" s="9" t="s">
        <v>130</v>
      </c>
      <c r="B12" s="12">
        <v>1472901.7980830062</v>
      </c>
      <c r="C12" s="12">
        <v>975854.69819673605</v>
      </c>
      <c r="D12" s="12">
        <v>1366366.1366558613</v>
      </c>
      <c r="E12" s="12">
        <v>200404.75308177009</v>
      </c>
      <c r="F12" s="12">
        <v>2492925.6927165301</v>
      </c>
      <c r="G12" s="12">
        <v>128467.8</v>
      </c>
      <c r="H12" s="12">
        <v>1191829.5713620714</v>
      </c>
      <c r="I12" s="12">
        <v>39211.773905647548</v>
      </c>
      <c r="J12" s="12">
        <v>7867962.2240016228</v>
      </c>
    </row>
    <row r="13" spans="1:10" x14ac:dyDescent="0.25">
      <c r="A13" s="9" t="s">
        <v>143</v>
      </c>
      <c r="B13" s="12">
        <v>2170312.3964539068</v>
      </c>
      <c r="C13" s="12">
        <v>2164142.1080060382</v>
      </c>
      <c r="D13" s="12">
        <v>1366366.1366558613</v>
      </c>
      <c r="E13" s="12">
        <v>200404.75308177009</v>
      </c>
      <c r="F13" s="12">
        <v>2077438.0772637753</v>
      </c>
      <c r="G13" s="12">
        <v>128467.8</v>
      </c>
      <c r="H13" s="12">
        <v>1159380.5453773015</v>
      </c>
      <c r="I13" s="12">
        <v>39211.773905647548</v>
      </c>
      <c r="J13" s="12">
        <v>9305723.5907443017</v>
      </c>
    </row>
    <row r="14" spans="1:10" x14ac:dyDescent="0.25">
      <c r="A14" s="7" t="s">
        <v>89</v>
      </c>
      <c r="B14" s="12">
        <v>18077916.972250272</v>
      </c>
      <c r="C14" s="12">
        <v>18051931.96996307</v>
      </c>
      <c r="D14" s="12">
        <v>11461361.530853868</v>
      </c>
      <c r="E14" s="12">
        <v>1631187.8209804806</v>
      </c>
      <c r="F14" s="12">
        <v>16625227.508173894</v>
      </c>
      <c r="G14" s="12">
        <v>1027742.4000000001</v>
      </c>
      <c r="H14" s="12">
        <v>9231419.0376178231</v>
      </c>
      <c r="I14" s="12">
        <v>254426.70000000004</v>
      </c>
      <c r="J14" s="12">
        <v>76361213.939839423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285F1-89A4-48CB-8AA2-B262BB278A22}">
  <sheetPr codeName="Sheet19">
    <tabColor theme="7" tint="0.39997558519241921"/>
  </sheetPr>
  <dimension ref="A1:J6"/>
  <sheetViews>
    <sheetView zoomScaleNormal="100" workbookViewId="0">
      <selection activeCell="B4" sqref="B4:J5"/>
    </sheetView>
  </sheetViews>
  <sheetFormatPr defaultRowHeight="15" x14ac:dyDescent="0.25"/>
  <cols>
    <col min="1" max="1" width="32.85546875" bestFit="1" customWidth="1"/>
    <col min="2" max="2" width="16.28515625" bestFit="1" customWidth="1"/>
    <col min="3" max="3" width="13.28515625" bestFit="1" customWidth="1"/>
    <col min="4" max="4" width="10.140625" bestFit="1" customWidth="1"/>
    <col min="5" max="5" width="8.5703125" bestFit="1" customWidth="1"/>
    <col min="6" max="6" width="14.42578125" bestFit="1" customWidth="1"/>
    <col min="7" max="7" width="8.42578125" bestFit="1" customWidth="1"/>
    <col min="8" max="8" width="21.140625" bestFit="1" customWidth="1"/>
    <col min="9" max="9" width="12.7109375" bestFit="1" customWidth="1"/>
    <col min="10" max="10" width="11.28515625" bestFit="1" customWidth="1"/>
    <col min="11" max="11" width="37.140625" bestFit="1" customWidth="1"/>
    <col min="12" max="12" width="31.42578125" bestFit="1" customWidth="1"/>
    <col min="13" max="13" width="37.140625" bestFit="1" customWidth="1"/>
    <col min="14" max="14" width="31.42578125" bestFit="1" customWidth="1"/>
    <col min="15" max="15" width="37.140625" bestFit="1" customWidth="1"/>
    <col min="16" max="16" width="31.42578125" bestFit="1" customWidth="1"/>
    <col min="17" max="17" width="37.140625" bestFit="1" customWidth="1"/>
    <col min="18" max="18" width="36.42578125" bestFit="1" customWidth="1"/>
    <col min="19" max="19" width="42.28515625" bestFit="1" customWidth="1"/>
    <col min="20" max="20" width="33.140625" bestFit="1" customWidth="1"/>
    <col min="21" max="21" width="27.42578125" bestFit="1" customWidth="1"/>
    <col min="22" max="22" width="38.28515625" bestFit="1" customWidth="1"/>
    <col min="23" max="23" width="32.42578125" bestFit="1" customWidth="1"/>
    <col min="24" max="24" width="33.140625" bestFit="1" customWidth="1"/>
    <col min="25" max="25" width="27.42578125" bestFit="1" customWidth="1"/>
    <col min="26" max="26" width="33.140625" bestFit="1" customWidth="1"/>
    <col min="27" max="27" width="27.42578125" bestFit="1" customWidth="1"/>
    <col min="28" max="28" width="33.140625" bestFit="1" customWidth="1"/>
    <col min="29" max="29" width="27.42578125" bestFit="1" customWidth="1"/>
    <col min="30" max="30" width="33.140625" bestFit="1" customWidth="1"/>
    <col min="31" max="31" width="27.42578125" bestFit="1" customWidth="1"/>
    <col min="32" max="32" width="33.140625" bestFit="1" customWidth="1"/>
    <col min="33" max="33" width="27.42578125" bestFit="1" customWidth="1"/>
    <col min="34" max="34" width="33.140625" bestFit="1" customWidth="1"/>
    <col min="35" max="35" width="27.42578125" bestFit="1" customWidth="1"/>
    <col min="36" max="36" width="33.140625" bestFit="1" customWidth="1"/>
    <col min="37" max="37" width="27.42578125" bestFit="1" customWidth="1"/>
    <col min="38" max="38" width="33.140625" bestFit="1" customWidth="1"/>
    <col min="39" max="39" width="27.42578125" bestFit="1" customWidth="1"/>
    <col min="40" max="40" width="33.140625" bestFit="1" customWidth="1"/>
    <col min="41" max="41" width="27.42578125" bestFit="1" customWidth="1"/>
    <col min="42" max="42" width="33.140625" bestFit="1" customWidth="1"/>
    <col min="43" max="43" width="27.42578125" bestFit="1" customWidth="1"/>
    <col min="44" max="44" width="33.140625" bestFit="1" customWidth="1"/>
    <col min="45" max="45" width="27.42578125" bestFit="1" customWidth="1"/>
    <col min="46" max="46" width="33.140625" bestFit="1" customWidth="1"/>
    <col min="47" max="47" width="27.42578125" bestFit="1" customWidth="1"/>
    <col min="48" max="48" width="33.140625" bestFit="1" customWidth="1"/>
    <col min="49" max="49" width="27.42578125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10" x14ac:dyDescent="0.25">
      <c r="A1" s="6" t="s">
        <v>26</v>
      </c>
      <c r="B1" t="s">
        <v>27</v>
      </c>
    </row>
    <row r="3" spans="1:10" x14ac:dyDescent="0.25">
      <c r="A3" s="6" t="s">
        <v>131</v>
      </c>
      <c r="B3" s="6" t="s">
        <v>90</v>
      </c>
    </row>
    <row r="4" spans="1:10" x14ac:dyDescent="0.25">
      <c r="A4" s="6" t="s">
        <v>88</v>
      </c>
      <c r="B4" t="s">
        <v>77</v>
      </c>
      <c r="C4" t="s">
        <v>76</v>
      </c>
      <c r="D4" t="s">
        <v>81</v>
      </c>
      <c r="E4" t="s">
        <v>64</v>
      </c>
      <c r="F4" t="s">
        <v>74</v>
      </c>
      <c r="G4" t="s">
        <v>57</v>
      </c>
      <c r="H4" t="s">
        <v>73</v>
      </c>
      <c r="I4" t="s">
        <v>79</v>
      </c>
      <c r="J4" t="s">
        <v>89</v>
      </c>
    </row>
    <row r="5" spans="1:10" x14ac:dyDescent="0.25">
      <c r="A5" s="7">
        <v>2019</v>
      </c>
      <c r="B5" s="12">
        <v>1675417.9906552273</v>
      </c>
      <c r="C5" s="12">
        <v>128726.35999999999</v>
      </c>
      <c r="D5" s="12">
        <v>1575873.4784311759</v>
      </c>
      <c r="E5" s="12">
        <v>3951.0471278295822</v>
      </c>
      <c r="F5" s="12">
        <v>704016.11583333346</v>
      </c>
      <c r="G5" s="12">
        <v>128467.8</v>
      </c>
      <c r="H5" s="12">
        <v>1077304.9400000002</v>
      </c>
      <c r="I5" s="12">
        <v>0</v>
      </c>
      <c r="J5" s="12">
        <v>5293757.7320475662</v>
      </c>
    </row>
    <row r="6" spans="1:10" x14ac:dyDescent="0.25">
      <c r="A6" s="7" t="s">
        <v>89</v>
      </c>
      <c r="B6" s="12">
        <v>1675417.9906552273</v>
      </c>
      <c r="C6" s="12">
        <v>128726.35999999999</v>
      </c>
      <c r="D6" s="12">
        <v>1575873.4784311759</v>
      </c>
      <c r="E6" s="12">
        <v>3951.0471278295822</v>
      </c>
      <c r="F6" s="12">
        <v>704016.11583333346</v>
      </c>
      <c r="G6" s="12">
        <v>128467.8</v>
      </c>
      <c r="H6" s="12">
        <v>1077304.9400000002</v>
      </c>
      <c r="I6" s="12">
        <v>0</v>
      </c>
      <c r="J6" s="12">
        <v>5293757.7320475662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58A78-DB0B-4CB3-A8ED-82C7D5189043}">
  <sheetPr codeName="Sheet14">
    <tabColor theme="7" tint="0.39997558519241921"/>
  </sheetPr>
  <dimension ref="A1:K20"/>
  <sheetViews>
    <sheetView topLeftCell="B1" zoomScaleNormal="100" workbookViewId="0">
      <selection activeCell="C5" sqref="C5:N26"/>
    </sheetView>
  </sheetViews>
  <sheetFormatPr defaultRowHeight="15" x14ac:dyDescent="0.25"/>
  <cols>
    <col min="1" max="1" width="36" bestFit="1" customWidth="1"/>
    <col min="2" max="2" width="10.85546875" bestFit="1" customWidth="1"/>
    <col min="3" max="10" width="14.5703125" bestFit="1" customWidth="1"/>
    <col min="11" max="11" width="11.28515625" bestFit="1" customWidth="1"/>
    <col min="12" max="13" width="14.5703125" bestFit="1" customWidth="1"/>
    <col min="14" max="14" width="11.28515625" bestFit="1" customWidth="1"/>
    <col min="15" max="24" width="36" bestFit="1" customWidth="1"/>
    <col min="25" max="25" width="41" bestFit="1" customWidth="1"/>
    <col min="26" max="26" width="18.140625" bestFit="1" customWidth="1"/>
    <col min="27" max="48" width="21" bestFit="1" customWidth="1"/>
    <col min="49" max="49" width="12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11" x14ac:dyDescent="0.25">
      <c r="A1" s="6" t="s">
        <v>135</v>
      </c>
      <c r="B1" s="7">
        <v>1</v>
      </c>
    </row>
    <row r="3" spans="1:11" x14ac:dyDescent="0.25">
      <c r="A3" s="6" t="s">
        <v>137</v>
      </c>
      <c r="C3" s="6" t="s">
        <v>2</v>
      </c>
    </row>
    <row r="4" spans="1:11" x14ac:dyDescent="0.25">
      <c r="A4" s="6" t="s">
        <v>3</v>
      </c>
      <c r="B4" s="6" t="s">
        <v>26</v>
      </c>
      <c r="C4" t="s">
        <v>48</v>
      </c>
      <c r="D4" t="s">
        <v>41</v>
      </c>
      <c r="E4" t="s">
        <v>57</v>
      </c>
      <c r="F4" t="s">
        <v>30</v>
      </c>
      <c r="G4" t="s">
        <v>63</v>
      </c>
      <c r="H4" t="s">
        <v>49</v>
      </c>
      <c r="I4" t="s">
        <v>69</v>
      </c>
      <c r="J4" t="s">
        <v>33</v>
      </c>
      <c r="K4" t="s">
        <v>89</v>
      </c>
    </row>
    <row r="5" spans="1:11" x14ac:dyDescent="0.25">
      <c r="A5">
        <v>2019</v>
      </c>
      <c r="B5" t="s">
        <v>27</v>
      </c>
      <c r="C5" s="12">
        <v>370459.67448149773</v>
      </c>
      <c r="D5" s="12">
        <v>420629.98984142789</v>
      </c>
      <c r="E5" s="12">
        <v>142742</v>
      </c>
      <c r="F5" s="12">
        <v>203649.62100550608</v>
      </c>
      <c r="G5" s="12">
        <v>5421074.2654714445</v>
      </c>
      <c r="H5" s="12">
        <v>282332.03034110228</v>
      </c>
      <c r="I5" s="12">
        <v>1108490.5539925825</v>
      </c>
      <c r="J5" s="12">
        <v>0</v>
      </c>
      <c r="K5" s="12">
        <v>7949378.1351335607</v>
      </c>
    </row>
    <row r="6" spans="1:11" x14ac:dyDescent="0.25">
      <c r="B6" t="s">
        <v>129</v>
      </c>
      <c r="C6" s="12">
        <v>370459.67448149773</v>
      </c>
      <c r="D6" s="12">
        <v>420629.98984142789</v>
      </c>
      <c r="E6" s="12">
        <v>142742</v>
      </c>
      <c r="F6" s="12">
        <v>203649.62100550608</v>
      </c>
      <c r="G6" s="12">
        <v>5421074.2654714445</v>
      </c>
      <c r="H6" s="12">
        <v>282332.03034110228</v>
      </c>
      <c r="I6" s="12">
        <v>1108490.5539925825</v>
      </c>
      <c r="J6" s="12">
        <v>0</v>
      </c>
      <c r="K6" s="12">
        <v>7949378.1351335607</v>
      </c>
    </row>
    <row r="7" spans="1:11" x14ac:dyDescent="0.25">
      <c r="B7" t="s">
        <v>130</v>
      </c>
      <c r="C7" s="12">
        <v>370459.67448149773</v>
      </c>
      <c r="D7" s="12">
        <v>420629.98984142789</v>
      </c>
      <c r="E7" s="12">
        <v>142742</v>
      </c>
      <c r="F7" s="12">
        <v>203649.62100550608</v>
      </c>
      <c r="G7" s="12">
        <v>5421074.2654714445</v>
      </c>
      <c r="H7" s="12">
        <v>282332.03034110228</v>
      </c>
      <c r="I7" s="12">
        <v>1108490.5539925825</v>
      </c>
      <c r="J7" s="12">
        <v>0</v>
      </c>
      <c r="K7" s="12">
        <v>7949378.1351335607</v>
      </c>
    </row>
    <row r="8" spans="1:11" x14ac:dyDescent="0.25">
      <c r="B8" t="s">
        <v>143</v>
      </c>
      <c r="C8" s="12">
        <v>370459.67448149773</v>
      </c>
      <c r="D8" s="12">
        <v>420629.98984142789</v>
      </c>
      <c r="E8" s="12">
        <v>142742</v>
      </c>
      <c r="F8" s="12">
        <v>203649.62100550608</v>
      </c>
      <c r="G8" s="12">
        <v>5421074.2654714445</v>
      </c>
      <c r="H8" s="12">
        <v>282332.03034110228</v>
      </c>
      <c r="I8" s="12">
        <v>1108490.5539925825</v>
      </c>
      <c r="J8" s="12">
        <v>0</v>
      </c>
      <c r="K8" s="12">
        <v>7949378.1351335607</v>
      </c>
    </row>
    <row r="9" spans="1:11" x14ac:dyDescent="0.25">
      <c r="A9" t="s">
        <v>132</v>
      </c>
      <c r="C9" s="12">
        <v>1481838.6979259909</v>
      </c>
      <c r="D9" s="12">
        <v>1682519.9593657115</v>
      </c>
      <c r="E9" s="12">
        <v>570968</v>
      </c>
      <c r="F9" s="12">
        <v>814598.48402202432</v>
      </c>
      <c r="G9" s="12">
        <v>21684297.061885782</v>
      </c>
      <c r="H9" s="12">
        <v>1129328.1213644091</v>
      </c>
      <c r="I9" s="12">
        <v>4433962.2159703299</v>
      </c>
      <c r="J9" s="12">
        <v>0</v>
      </c>
      <c r="K9" s="12">
        <v>31797512.540534243</v>
      </c>
    </row>
    <row r="10" spans="1:11" x14ac:dyDescent="0.25">
      <c r="A10">
        <v>2030</v>
      </c>
      <c r="B10" t="s">
        <v>27</v>
      </c>
      <c r="C10" s="12">
        <v>2.825725611182861E-2</v>
      </c>
      <c r="D10" s="12">
        <v>437443.77822737186</v>
      </c>
      <c r="E10" s="12">
        <v>142742</v>
      </c>
      <c r="F10" s="12">
        <v>210965.35838487741</v>
      </c>
      <c r="G10" s="12">
        <v>5421074.2654714435</v>
      </c>
      <c r="H10" s="12">
        <v>0</v>
      </c>
      <c r="I10" s="12">
        <v>992426.54344299308</v>
      </c>
      <c r="J10" s="12">
        <v>0</v>
      </c>
      <c r="K10" s="12">
        <v>7204651.9737839419</v>
      </c>
    </row>
    <row r="11" spans="1:11" x14ac:dyDescent="0.25">
      <c r="B11" t="s">
        <v>129</v>
      </c>
      <c r="C11" s="12">
        <v>2.825725611182861E-2</v>
      </c>
      <c r="D11" s="12">
        <v>437443.77822737186</v>
      </c>
      <c r="E11" s="12">
        <v>142742</v>
      </c>
      <c r="F11" s="12">
        <v>210965.35838487741</v>
      </c>
      <c r="G11" s="12">
        <v>5421074.2654714435</v>
      </c>
      <c r="H11" s="12">
        <v>0</v>
      </c>
      <c r="I11" s="12">
        <v>992426.54344299308</v>
      </c>
      <c r="J11" s="12">
        <v>0</v>
      </c>
      <c r="K11" s="12">
        <v>7204651.9737839419</v>
      </c>
    </row>
    <row r="12" spans="1:11" x14ac:dyDescent="0.25">
      <c r="B12" t="s">
        <v>130</v>
      </c>
      <c r="C12" s="12">
        <v>2.825725611182861E-2</v>
      </c>
      <c r="D12" s="12">
        <v>437443.77822737186</v>
      </c>
      <c r="E12" s="12">
        <v>142742</v>
      </c>
      <c r="F12" s="12">
        <v>210965.35838487741</v>
      </c>
      <c r="G12" s="12">
        <v>5421074.2654714435</v>
      </c>
      <c r="H12" s="12">
        <v>0</v>
      </c>
      <c r="I12" s="12">
        <v>992426.54344299308</v>
      </c>
      <c r="J12" s="12">
        <v>0</v>
      </c>
      <c r="K12" s="12">
        <v>7204651.9737839419</v>
      </c>
    </row>
    <row r="13" spans="1:11" x14ac:dyDescent="0.25">
      <c r="B13" t="s">
        <v>143</v>
      </c>
      <c r="C13" s="12">
        <v>2.825725611182861E-2</v>
      </c>
      <c r="D13" s="12">
        <v>437443.77822737186</v>
      </c>
      <c r="E13" s="12">
        <v>142742</v>
      </c>
      <c r="F13" s="12">
        <v>210965.35838487741</v>
      </c>
      <c r="G13" s="12">
        <v>5421074.2654714435</v>
      </c>
      <c r="H13" s="12">
        <v>0</v>
      </c>
      <c r="I13" s="12">
        <v>992426.54344299308</v>
      </c>
      <c r="J13" s="12">
        <v>0</v>
      </c>
      <c r="K13" s="12">
        <v>7204651.9737839419</v>
      </c>
    </row>
    <row r="14" spans="1:11" x14ac:dyDescent="0.25">
      <c r="A14" t="s">
        <v>133</v>
      </c>
      <c r="C14" s="12">
        <v>0.11302902444731444</v>
      </c>
      <c r="D14" s="12">
        <v>1749775.1129094877</v>
      </c>
      <c r="E14" s="12">
        <v>570968</v>
      </c>
      <c r="F14" s="12">
        <v>843861.43353950977</v>
      </c>
      <c r="G14" s="12">
        <v>21684297.061885774</v>
      </c>
      <c r="H14" s="12">
        <v>0</v>
      </c>
      <c r="I14" s="12">
        <v>3969706.1737719732</v>
      </c>
      <c r="J14" s="12">
        <v>0</v>
      </c>
      <c r="K14" s="12">
        <v>28818607.895135768</v>
      </c>
    </row>
    <row r="15" spans="1:11" x14ac:dyDescent="0.25">
      <c r="A15">
        <v>2050</v>
      </c>
      <c r="B15" t="s">
        <v>27</v>
      </c>
      <c r="C15" s="12">
        <v>0.18489040050189942</v>
      </c>
      <c r="D15" s="12">
        <v>459349.41813660081</v>
      </c>
      <c r="E15" s="12">
        <v>142742</v>
      </c>
      <c r="F15" s="12">
        <v>241953.74133540038</v>
      </c>
      <c r="G15" s="12">
        <v>5421074.2654714435</v>
      </c>
      <c r="H15" s="12">
        <v>0.11492812394862995</v>
      </c>
      <c r="I15" s="12">
        <v>959372.73153594765</v>
      </c>
      <c r="J15" s="12">
        <v>6687.6021110492293</v>
      </c>
      <c r="K15" s="12">
        <v>7231180.0584089672</v>
      </c>
    </row>
    <row r="16" spans="1:11" x14ac:dyDescent="0.25">
      <c r="B16" t="s">
        <v>129</v>
      </c>
      <c r="C16" s="12">
        <v>0.18489040050189942</v>
      </c>
      <c r="D16" s="12">
        <v>459349.41813660081</v>
      </c>
      <c r="E16" s="12">
        <v>142742</v>
      </c>
      <c r="F16" s="12">
        <v>241953.74133540038</v>
      </c>
      <c r="G16" s="12">
        <v>4336859.4123771554</v>
      </c>
      <c r="H16" s="12">
        <v>73602.891942499205</v>
      </c>
      <c r="I16" s="12">
        <v>1211187.9061807538</v>
      </c>
      <c r="J16" s="12">
        <v>28706.337967901869</v>
      </c>
      <c r="K16" s="12">
        <v>6494401.8928307118</v>
      </c>
    </row>
    <row r="17" spans="1:11" x14ac:dyDescent="0.25">
      <c r="B17" t="s">
        <v>130</v>
      </c>
      <c r="C17" s="12">
        <v>0.18489040050189942</v>
      </c>
      <c r="D17" s="12">
        <v>459349.41813660081</v>
      </c>
      <c r="E17" s="12">
        <v>142742</v>
      </c>
      <c r="F17" s="12">
        <v>241953.74133540038</v>
      </c>
      <c r="G17" s="12">
        <v>6505289.1185657317</v>
      </c>
      <c r="H17" s="12">
        <v>0</v>
      </c>
      <c r="I17" s="12">
        <v>708052.01776419138</v>
      </c>
      <c r="J17" s="12">
        <v>0</v>
      </c>
      <c r="K17" s="12">
        <v>8057386.4806923252</v>
      </c>
    </row>
    <row r="18" spans="1:11" x14ac:dyDescent="0.25">
      <c r="B18" t="s">
        <v>143</v>
      </c>
      <c r="C18" s="12">
        <v>0.18489040050189942</v>
      </c>
      <c r="D18" s="12">
        <v>459349.41813660081</v>
      </c>
      <c r="E18" s="12">
        <v>142742</v>
      </c>
      <c r="F18" s="12">
        <v>241953.74133540038</v>
      </c>
      <c r="G18" s="12">
        <v>5421074.2654714435</v>
      </c>
      <c r="H18" s="12">
        <v>0.11492812394862995</v>
      </c>
      <c r="I18" s="12">
        <v>959372.73153594765</v>
      </c>
      <c r="J18" s="12">
        <v>6687.6021110492293</v>
      </c>
      <c r="K18" s="12">
        <v>7231180.0584089682</v>
      </c>
    </row>
    <row r="19" spans="1:11" x14ac:dyDescent="0.25">
      <c r="A19" t="s">
        <v>134</v>
      </c>
      <c r="C19" s="12">
        <v>0.73956160200759768</v>
      </c>
      <c r="D19" s="12">
        <v>1837397.6725464035</v>
      </c>
      <c r="E19" s="12">
        <v>570968</v>
      </c>
      <c r="F19" s="12">
        <v>967814.96534160152</v>
      </c>
      <c r="G19" s="12">
        <v>21684297.061885774</v>
      </c>
      <c r="H19" s="12">
        <v>73603.121798747103</v>
      </c>
      <c r="I19" s="12">
        <v>3837985.3870168403</v>
      </c>
      <c r="J19" s="12">
        <v>42081.542190000328</v>
      </c>
      <c r="K19" s="12">
        <v>29014148.49034097</v>
      </c>
    </row>
    <row r="20" spans="1:11" x14ac:dyDescent="0.25">
      <c r="A20" t="s">
        <v>89</v>
      </c>
      <c r="C20" s="12">
        <v>1481839.550516618</v>
      </c>
      <c r="D20" s="12">
        <v>5269692.7448216025</v>
      </c>
      <c r="E20" s="12">
        <v>1712904</v>
      </c>
      <c r="F20" s="12">
        <v>2626274.8829031354</v>
      </c>
      <c r="G20" s="12">
        <v>65052891.185657345</v>
      </c>
      <c r="H20" s="12">
        <v>1202931.2431631563</v>
      </c>
      <c r="I20" s="12">
        <v>12241653.776759138</v>
      </c>
      <c r="J20" s="12">
        <v>42081.542190000328</v>
      </c>
      <c r="K20" s="12">
        <v>89630268.926010966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07208-1861-41F2-9E99-7664F946223A}">
  <sheetPr codeName="Sheet1">
    <tabColor rgb="FFFF0000"/>
  </sheetPr>
  <dimension ref="A1:F1657"/>
  <sheetViews>
    <sheetView topLeftCell="A1226" workbookViewId="0">
      <selection activeCell="B1244" sqref="B1244:F1657"/>
    </sheetView>
  </sheetViews>
  <sheetFormatPr defaultRowHeight="15" x14ac:dyDescent="0.25"/>
  <sheetData>
    <row r="1" spans="1:6" x14ac:dyDescent="0.25">
      <c r="A1" t="s">
        <v>26</v>
      </c>
      <c r="B1" t="s">
        <v>0</v>
      </c>
      <c r="C1" t="s">
        <v>1</v>
      </c>
      <c r="D1" t="s">
        <v>2</v>
      </c>
      <c r="E1" t="s">
        <v>3</v>
      </c>
      <c r="F1" t="s">
        <v>4</v>
      </c>
    </row>
    <row r="2" spans="1:6" x14ac:dyDescent="0.25">
      <c r="A2" t="s">
        <v>27</v>
      </c>
      <c r="B2" t="s">
        <v>10</v>
      </c>
      <c r="C2" t="s">
        <v>28</v>
      </c>
      <c r="D2" t="s">
        <v>29</v>
      </c>
      <c r="E2">
        <v>2019</v>
      </c>
      <c r="F2">
        <v>286329.90483694919</v>
      </c>
    </row>
    <row r="3" spans="1:6" x14ac:dyDescent="0.25">
      <c r="A3" t="s">
        <v>27</v>
      </c>
      <c r="B3" t="s">
        <v>10</v>
      </c>
      <c r="C3" t="s">
        <v>28</v>
      </c>
      <c r="D3" t="s">
        <v>30</v>
      </c>
      <c r="E3">
        <v>2019</v>
      </c>
      <c r="F3">
        <v>261374.54615849949</v>
      </c>
    </row>
    <row r="4" spans="1:6" x14ac:dyDescent="0.25">
      <c r="A4" t="s">
        <v>27</v>
      </c>
      <c r="B4" t="s">
        <v>10</v>
      </c>
      <c r="C4" t="s">
        <v>28</v>
      </c>
      <c r="D4" t="s">
        <v>31</v>
      </c>
      <c r="E4">
        <v>2019</v>
      </c>
      <c r="F4">
        <v>119523.03367046962</v>
      </c>
    </row>
    <row r="5" spans="1:6" x14ac:dyDescent="0.25">
      <c r="A5" t="s">
        <v>27</v>
      </c>
      <c r="B5" t="s">
        <v>10</v>
      </c>
      <c r="C5" t="s">
        <v>28</v>
      </c>
      <c r="D5" t="s">
        <v>32</v>
      </c>
      <c r="E5">
        <v>2019</v>
      </c>
      <c r="F5">
        <v>117920.63695532705</v>
      </c>
    </row>
    <row r="6" spans="1:6" x14ac:dyDescent="0.25">
      <c r="A6" t="s">
        <v>27</v>
      </c>
      <c r="B6" t="s">
        <v>10</v>
      </c>
      <c r="C6" t="s">
        <v>28</v>
      </c>
      <c r="D6" t="s">
        <v>33</v>
      </c>
      <c r="E6">
        <v>2019</v>
      </c>
      <c r="F6">
        <v>58080.313724265572</v>
      </c>
    </row>
    <row r="7" spans="1:6" x14ac:dyDescent="0.25">
      <c r="A7" t="s">
        <v>27</v>
      </c>
      <c r="B7" t="s">
        <v>10</v>
      </c>
      <c r="C7" t="s">
        <v>28</v>
      </c>
      <c r="D7" t="s">
        <v>34</v>
      </c>
      <c r="E7">
        <v>2019</v>
      </c>
      <c r="F7">
        <v>0</v>
      </c>
    </row>
    <row r="8" spans="1:6" x14ac:dyDescent="0.25">
      <c r="A8" t="s">
        <v>27</v>
      </c>
      <c r="B8" t="s">
        <v>10</v>
      </c>
      <c r="C8" t="s">
        <v>28</v>
      </c>
      <c r="D8" t="s">
        <v>35</v>
      </c>
      <c r="E8">
        <v>2019</v>
      </c>
      <c r="F8">
        <v>0</v>
      </c>
    </row>
    <row r="9" spans="1:6" x14ac:dyDescent="0.25">
      <c r="A9" t="s">
        <v>27</v>
      </c>
      <c r="B9" t="s">
        <v>10</v>
      </c>
      <c r="C9" t="s">
        <v>28</v>
      </c>
      <c r="D9" t="s">
        <v>36</v>
      </c>
      <c r="E9">
        <v>2019</v>
      </c>
      <c r="F9">
        <v>0</v>
      </c>
    </row>
    <row r="10" spans="1:6" x14ac:dyDescent="0.25">
      <c r="A10" t="s">
        <v>27</v>
      </c>
      <c r="B10" t="s">
        <v>10</v>
      </c>
      <c r="C10" t="s">
        <v>28</v>
      </c>
      <c r="D10" t="s">
        <v>37</v>
      </c>
      <c r="E10">
        <v>2019</v>
      </c>
      <c r="F10">
        <v>0</v>
      </c>
    </row>
    <row r="11" spans="1:6" x14ac:dyDescent="0.25">
      <c r="A11" t="s">
        <v>27</v>
      </c>
      <c r="B11" t="s">
        <v>10</v>
      </c>
      <c r="C11" t="s">
        <v>28</v>
      </c>
      <c r="D11" t="s">
        <v>38</v>
      </c>
      <c r="E11">
        <v>2019</v>
      </c>
      <c r="F11">
        <v>457077.09579476295</v>
      </c>
    </row>
    <row r="12" spans="1:6" x14ac:dyDescent="0.25">
      <c r="A12" t="s">
        <v>27</v>
      </c>
      <c r="B12" t="s">
        <v>10</v>
      </c>
      <c r="C12" t="s">
        <v>28</v>
      </c>
      <c r="D12" t="s">
        <v>39</v>
      </c>
      <c r="E12">
        <v>2019</v>
      </c>
      <c r="F12">
        <v>34149.438191562753</v>
      </c>
    </row>
    <row r="13" spans="1:6" x14ac:dyDescent="0.25">
      <c r="A13" t="s">
        <v>27</v>
      </c>
      <c r="B13" t="s">
        <v>10</v>
      </c>
      <c r="C13" t="s">
        <v>28</v>
      </c>
      <c r="D13" t="s">
        <v>40</v>
      </c>
      <c r="E13">
        <v>2019</v>
      </c>
      <c r="F13">
        <v>31522.55833067331</v>
      </c>
    </row>
    <row r="14" spans="1:6" x14ac:dyDescent="0.25">
      <c r="A14" t="s">
        <v>27</v>
      </c>
      <c r="B14" t="s">
        <v>10</v>
      </c>
      <c r="C14" t="s">
        <v>28</v>
      </c>
      <c r="D14" t="s">
        <v>41</v>
      </c>
      <c r="E14">
        <v>2019</v>
      </c>
      <c r="F14">
        <v>249553.58678449702</v>
      </c>
    </row>
    <row r="15" spans="1:6" x14ac:dyDescent="0.25">
      <c r="A15" t="s">
        <v>27</v>
      </c>
      <c r="B15" t="s">
        <v>10</v>
      </c>
      <c r="C15" t="s">
        <v>28</v>
      </c>
      <c r="D15" t="s">
        <v>42</v>
      </c>
      <c r="E15">
        <v>2019</v>
      </c>
      <c r="F15">
        <v>48597.277426454682</v>
      </c>
    </row>
    <row r="16" spans="1:6" x14ac:dyDescent="0.25">
      <c r="A16" t="s">
        <v>27</v>
      </c>
      <c r="B16" t="s">
        <v>10</v>
      </c>
      <c r="C16" t="s">
        <v>28</v>
      </c>
      <c r="D16" t="s">
        <v>29</v>
      </c>
      <c r="E16">
        <v>2030</v>
      </c>
      <c r="F16">
        <v>295933.04302308214</v>
      </c>
    </row>
    <row r="17" spans="1:6" x14ac:dyDescent="0.25">
      <c r="A17" t="s">
        <v>27</v>
      </c>
      <c r="B17" t="s">
        <v>10</v>
      </c>
      <c r="C17" t="s">
        <v>28</v>
      </c>
      <c r="D17" t="s">
        <v>30</v>
      </c>
      <c r="E17">
        <v>2030</v>
      </c>
      <c r="F17">
        <v>270140.71358529059</v>
      </c>
    </row>
    <row r="18" spans="1:6" x14ac:dyDescent="0.25">
      <c r="A18" t="s">
        <v>27</v>
      </c>
      <c r="B18" t="s">
        <v>10</v>
      </c>
      <c r="C18" t="s">
        <v>28</v>
      </c>
      <c r="D18" t="s">
        <v>31</v>
      </c>
      <c r="E18">
        <v>2030</v>
      </c>
      <c r="F18">
        <v>123531.68309679118</v>
      </c>
    </row>
    <row r="19" spans="1:6" x14ac:dyDescent="0.25">
      <c r="A19" t="s">
        <v>27</v>
      </c>
      <c r="B19" t="s">
        <v>10</v>
      </c>
      <c r="C19" t="s">
        <v>28</v>
      </c>
      <c r="D19" t="s">
        <v>32</v>
      </c>
      <c r="E19">
        <v>2030</v>
      </c>
      <c r="F19">
        <v>121875.54404868034</v>
      </c>
    </row>
    <row r="20" spans="1:6" x14ac:dyDescent="0.25">
      <c r="A20" t="s">
        <v>27</v>
      </c>
      <c r="B20" t="s">
        <v>10</v>
      </c>
      <c r="C20" t="s">
        <v>28</v>
      </c>
      <c r="D20" t="s">
        <v>33</v>
      </c>
      <c r="E20">
        <v>2030</v>
      </c>
      <c r="F20">
        <v>60028.253038902265</v>
      </c>
    </row>
    <row r="21" spans="1:6" x14ac:dyDescent="0.25">
      <c r="A21" t="s">
        <v>27</v>
      </c>
      <c r="B21" t="s">
        <v>10</v>
      </c>
      <c r="C21" t="s">
        <v>28</v>
      </c>
      <c r="D21" t="s">
        <v>34</v>
      </c>
      <c r="E21">
        <v>2030</v>
      </c>
      <c r="F21">
        <v>0</v>
      </c>
    </row>
    <row r="22" spans="1:6" x14ac:dyDescent="0.25">
      <c r="A22" t="s">
        <v>27</v>
      </c>
      <c r="B22" t="s">
        <v>10</v>
      </c>
      <c r="C22" t="s">
        <v>28</v>
      </c>
      <c r="D22" t="s">
        <v>35</v>
      </c>
      <c r="E22">
        <v>2030</v>
      </c>
      <c r="F22">
        <v>0</v>
      </c>
    </row>
    <row r="23" spans="1:6" x14ac:dyDescent="0.25">
      <c r="A23" t="s">
        <v>27</v>
      </c>
      <c r="B23" t="s">
        <v>10</v>
      </c>
      <c r="C23" t="s">
        <v>28</v>
      </c>
      <c r="D23" t="s">
        <v>36</v>
      </c>
      <c r="E23">
        <v>2030</v>
      </c>
      <c r="F23">
        <v>0</v>
      </c>
    </row>
    <row r="24" spans="1:6" x14ac:dyDescent="0.25">
      <c r="A24" t="s">
        <v>27</v>
      </c>
      <c r="B24" t="s">
        <v>10</v>
      </c>
      <c r="C24" t="s">
        <v>28</v>
      </c>
      <c r="D24" t="s">
        <v>37</v>
      </c>
      <c r="E24">
        <v>2030</v>
      </c>
      <c r="F24">
        <v>0</v>
      </c>
    </row>
    <row r="25" spans="1:6" x14ac:dyDescent="0.25">
      <c r="A25" t="s">
        <v>27</v>
      </c>
      <c r="B25" t="s">
        <v>10</v>
      </c>
      <c r="C25" t="s">
        <v>28</v>
      </c>
      <c r="D25" t="s">
        <v>38</v>
      </c>
      <c r="E25">
        <v>2030</v>
      </c>
      <c r="F25">
        <v>472406.87601849809</v>
      </c>
    </row>
    <row r="26" spans="1:6" x14ac:dyDescent="0.25">
      <c r="A26" t="s">
        <v>27</v>
      </c>
      <c r="B26" t="s">
        <v>10</v>
      </c>
      <c r="C26" t="s">
        <v>28</v>
      </c>
      <c r="D26" t="s">
        <v>39</v>
      </c>
      <c r="E26">
        <v>2030</v>
      </c>
      <c r="F26">
        <v>35294.766599083188</v>
      </c>
    </row>
    <row r="27" spans="1:6" x14ac:dyDescent="0.25">
      <c r="A27" t="s">
        <v>27</v>
      </c>
      <c r="B27" t="s">
        <v>10</v>
      </c>
      <c r="C27" t="s">
        <v>28</v>
      </c>
      <c r="D27" t="s">
        <v>40</v>
      </c>
      <c r="E27">
        <v>2030</v>
      </c>
      <c r="F27">
        <v>32579.784552999867</v>
      </c>
    </row>
    <row r="28" spans="1:6" x14ac:dyDescent="0.25">
      <c r="A28" t="s">
        <v>27</v>
      </c>
      <c r="B28" t="s">
        <v>10</v>
      </c>
      <c r="C28" t="s">
        <v>28</v>
      </c>
      <c r="D28" t="s">
        <v>41</v>
      </c>
      <c r="E28">
        <v>2030</v>
      </c>
      <c r="F28">
        <v>257923.29437791562</v>
      </c>
    </row>
    <row r="29" spans="1:6" x14ac:dyDescent="0.25">
      <c r="A29" t="s">
        <v>27</v>
      </c>
      <c r="B29" t="s">
        <v>10</v>
      </c>
      <c r="C29" t="s">
        <v>28</v>
      </c>
      <c r="D29" t="s">
        <v>42</v>
      </c>
      <c r="E29">
        <v>2030</v>
      </c>
      <c r="F29">
        <v>50227.167852541468</v>
      </c>
    </row>
    <row r="30" spans="1:6" x14ac:dyDescent="0.25">
      <c r="A30" t="s">
        <v>27</v>
      </c>
      <c r="B30" t="s">
        <v>10</v>
      </c>
      <c r="C30" t="s">
        <v>28</v>
      </c>
      <c r="D30" t="s">
        <v>29</v>
      </c>
      <c r="E30">
        <v>2050</v>
      </c>
      <c r="F30">
        <v>307470.55071854044</v>
      </c>
    </row>
    <row r="31" spans="1:6" x14ac:dyDescent="0.25">
      <c r="A31" t="s">
        <v>27</v>
      </c>
      <c r="B31" t="s">
        <v>10</v>
      </c>
      <c r="C31" t="s">
        <v>28</v>
      </c>
      <c r="D31" t="s">
        <v>30</v>
      </c>
      <c r="E31">
        <v>2050</v>
      </c>
      <c r="F31">
        <v>280672.65868343826</v>
      </c>
    </row>
    <row r="32" spans="1:6" x14ac:dyDescent="0.25">
      <c r="A32" t="s">
        <v>27</v>
      </c>
      <c r="B32" t="s">
        <v>10</v>
      </c>
      <c r="C32" t="s">
        <v>28</v>
      </c>
      <c r="D32" t="s">
        <v>31</v>
      </c>
      <c r="E32">
        <v>2050</v>
      </c>
      <c r="F32">
        <v>128347.79869443661</v>
      </c>
    </row>
    <row r="33" spans="1:6" x14ac:dyDescent="0.25">
      <c r="A33" t="s">
        <v>27</v>
      </c>
      <c r="B33" t="s">
        <v>10</v>
      </c>
      <c r="C33" t="s">
        <v>28</v>
      </c>
      <c r="D33" t="s">
        <v>32</v>
      </c>
      <c r="E33">
        <v>2050</v>
      </c>
      <c r="F33">
        <v>126627.09194270898</v>
      </c>
    </row>
    <row r="34" spans="1:6" x14ac:dyDescent="0.25">
      <c r="A34" t="s">
        <v>27</v>
      </c>
      <c r="B34" t="s">
        <v>10</v>
      </c>
      <c r="C34" t="s">
        <v>28</v>
      </c>
      <c r="D34" t="s">
        <v>33</v>
      </c>
      <c r="E34">
        <v>2050</v>
      </c>
      <c r="F34">
        <v>62368.567673274578</v>
      </c>
    </row>
    <row r="35" spans="1:6" x14ac:dyDescent="0.25">
      <c r="A35" t="s">
        <v>27</v>
      </c>
      <c r="B35" t="s">
        <v>10</v>
      </c>
      <c r="C35" t="s">
        <v>28</v>
      </c>
      <c r="D35" t="s">
        <v>34</v>
      </c>
      <c r="E35">
        <v>2050</v>
      </c>
      <c r="F35">
        <v>0</v>
      </c>
    </row>
    <row r="36" spans="1:6" x14ac:dyDescent="0.25">
      <c r="A36" t="s">
        <v>27</v>
      </c>
      <c r="B36" t="s">
        <v>10</v>
      </c>
      <c r="C36" t="s">
        <v>28</v>
      </c>
      <c r="D36" t="s">
        <v>35</v>
      </c>
      <c r="E36">
        <v>2050</v>
      </c>
      <c r="F36">
        <v>0</v>
      </c>
    </row>
    <row r="37" spans="1:6" x14ac:dyDescent="0.25">
      <c r="A37" t="s">
        <v>27</v>
      </c>
      <c r="B37" t="s">
        <v>10</v>
      </c>
      <c r="C37" t="s">
        <v>28</v>
      </c>
      <c r="D37" t="s">
        <v>36</v>
      </c>
      <c r="E37">
        <v>2050</v>
      </c>
      <c r="F37">
        <v>0</v>
      </c>
    </row>
    <row r="38" spans="1:6" x14ac:dyDescent="0.25">
      <c r="A38" t="s">
        <v>27</v>
      </c>
      <c r="B38" t="s">
        <v>10</v>
      </c>
      <c r="C38" t="s">
        <v>28</v>
      </c>
      <c r="D38" t="s">
        <v>37</v>
      </c>
      <c r="E38">
        <v>2050</v>
      </c>
      <c r="F38">
        <v>0</v>
      </c>
    </row>
    <row r="39" spans="1:6" x14ac:dyDescent="0.25">
      <c r="A39" t="s">
        <v>27</v>
      </c>
      <c r="B39" t="s">
        <v>10</v>
      </c>
      <c r="C39" t="s">
        <v>28</v>
      </c>
      <c r="D39" t="s">
        <v>38</v>
      </c>
      <c r="E39">
        <v>2050</v>
      </c>
      <c r="F39">
        <v>490824.54885344987</v>
      </c>
    </row>
    <row r="40" spans="1:6" x14ac:dyDescent="0.25">
      <c r="A40" t="s">
        <v>27</v>
      </c>
      <c r="B40" t="s">
        <v>10</v>
      </c>
      <c r="C40" t="s">
        <v>28</v>
      </c>
      <c r="D40" t="s">
        <v>39</v>
      </c>
      <c r="E40">
        <v>2050</v>
      </c>
      <c r="F40">
        <v>36670.799626981883</v>
      </c>
    </row>
    <row r="41" spans="1:6" x14ac:dyDescent="0.25">
      <c r="A41" t="s">
        <v>27</v>
      </c>
      <c r="B41" t="s">
        <v>10</v>
      </c>
      <c r="C41" t="s">
        <v>28</v>
      </c>
      <c r="D41" t="s">
        <v>40</v>
      </c>
      <c r="E41">
        <v>2050</v>
      </c>
      <c r="F41">
        <v>33849.968886444818</v>
      </c>
    </row>
    <row r="42" spans="1:6" x14ac:dyDescent="0.25">
      <c r="A42" t="s">
        <v>27</v>
      </c>
      <c r="B42" t="s">
        <v>10</v>
      </c>
      <c r="C42" t="s">
        <v>28</v>
      </c>
      <c r="D42" t="s">
        <v>41</v>
      </c>
      <c r="E42">
        <v>2050</v>
      </c>
      <c r="F42">
        <v>267978.92035102146</v>
      </c>
    </row>
    <row r="43" spans="1:6" x14ac:dyDescent="0.25">
      <c r="A43" t="s">
        <v>27</v>
      </c>
      <c r="B43" t="s">
        <v>10</v>
      </c>
      <c r="C43" t="s">
        <v>28</v>
      </c>
      <c r="D43" t="s">
        <v>42</v>
      </c>
      <c r="E43">
        <v>2050</v>
      </c>
      <c r="F43">
        <v>52185.36869993576</v>
      </c>
    </row>
    <row r="44" spans="1:6" x14ac:dyDescent="0.25">
      <c r="A44" t="s">
        <v>27</v>
      </c>
      <c r="B44" t="s">
        <v>10</v>
      </c>
      <c r="C44" t="s">
        <v>43</v>
      </c>
      <c r="D44" t="s">
        <v>29</v>
      </c>
      <c r="E44">
        <v>2019</v>
      </c>
      <c r="F44">
        <v>244164.92559492172</v>
      </c>
    </row>
    <row r="45" spans="1:6" x14ac:dyDescent="0.25">
      <c r="A45" t="s">
        <v>27</v>
      </c>
      <c r="B45" t="s">
        <v>10</v>
      </c>
      <c r="C45" t="s">
        <v>43</v>
      </c>
      <c r="D45" t="s">
        <v>30</v>
      </c>
      <c r="E45">
        <v>2019</v>
      </c>
      <c r="F45">
        <v>222884.49629995148</v>
      </c>
    </row>
    <row r="46" spans="1:6" x14ac:dyDescent="0.25">
      <c r="A46" t="s">
        <v>27</v>
      </c>
      <c r="B46" t="s">
        <v>10</v>
      </c>
      <c r="C46" t="s">
        <v>43</v>
      </c>
      <c r="D46" t="s">
        <v>31</v>
      </c>
      <c r="E46">
        <v>2019</v>
      </c>
      <c r="F46">
        <v>101922.05609696274</v>
      </c>
    </row>
    <row r="47" spans="1:6" x14ac:dyDescent="0.25">
      <c r="A47" t="s">
        <v>27</v>
      </c>
      <c r="B47" t="s">
        <v>10</v>
      </c>
      <c r="C47" t="s">
        <v>43</v>
      </c>
      <c r="D47" t="s">
        <v>32</v>
      </c>
      <c r="E47">
        <v>2019</v>
      </c>
      <c r="F47">
        <v>100555.62853170674</v>
      </c>
    </row>
    <row r="48" spans="1:6" x14ac:dyDescent="0.25">
      <c r="A48" t="s">
        <v>27</v>
      </c>
      <c r="B48" t="s">
        <v>10</v>
      </c>
      <c r="C48" t="s">
        <v>43</v>
      </c>
      <c r="D48" t="s">
        <v>33</v>
      </c>
      <c r="E48">
        <v>2019</v>
      </c>
      <c r="F48">
        <v>49527.399127557059</v>
      </c>
    </row>
    <row r="49" spans="1:6" x14ac:dyDescent="0.25">
      <c r="A49" t="s">
        <v>27</v>
      </c>
      <c r="B49" t="s">
        <v>10</v>
      </c>
      <c r="C49" t="s">
        <v>43</v>
      </c>
      <c r="D49" t="s">
        <v>34</v>
      </c>
      <c r="E49">
        <v>2019</v>
      </c>
      <c r="F49">
        <v>0</v>
      </c>
    </row>
    <row r="50" spans="1:6" x14ac:dyDescent="0.25">
      <c r="A50" t="s">
        <v>27</v>
      </c>
      <c r="B50" t="s">
        <v>10</v>
      </c>
      <c r="C50" t="s">
        <v>43</v>
      </c>
      <c r="D50" t="s">
        <v>35</v>
      </c>
      <c r="E50">
        <v>2019</v>
      </c>
      <c r="F50">
        <v>0</v>
      </c>
    </row>
    <row r="51" spans="1:6" x14ac:dyDescent="0.25">
      <c r="A51" t="s">
        <v>27</v>
      </c>
      <c r="B51" t="s">
        <v>10</v>
      </c>
      <c r="C51" t="s">
        <v>43</v>
      </c>
      <c r="D51" t="s">
        <v>36</v>
      </c>
      <c r="E51">
        <v>2019</v>
      </c>
      <c r="F51">
        <v>0</v>
      </c>
    </row>
    <row r="52" spans="1:6" x14ac:dyDescent="0.25">
      <c r="A52" t="s">
        <v>27</v>
      </c>
      <c r="B52" t="s">
        <v>10</v>
      </c>
      <c r="C52" t="s">
        <v>43</v>
      </c>
      <c r="D52" t="s">
        <v>37</v>
      </c>
      <c r="E52">
        <v>2019</v>
      </c>
      <c r="F52">
        <v>0</v>
      </c>
    </row>
    <row r="53" spans="1:6" x14ac:dyDescent="0.25">
      <c r="A53" t="s">
        <v>27</v>
      </c>
      <c r="B53" t="s">
        <v>10</v>
      </c>
      <c r="C53" t="s">
        <v>43</v>
      </c>
      <c r="D53" t="s">
        <v>38</v>
      </c>
      <c r="E53">
        <v>2019</v>
      </c>
      <c r="F53">
        <v>389767.86287629709</v>
      </c>
    </row>
    <row r="54" spans="1:6" x14ac:dyDescent="0.25">
      <c r="A54" t="s">
        <v>27</v>
      </c>
      <c r="B54" t="s">
        <v>10</v>
      </c>
      <c r="C54" t="s">
        <v>43</v>
      </c>
      <c r="D54" t="s">
        <v>39</v>
      </c>
      <c r="E54">
        <v>2019</v>
      </c>
      <c r="F54">
        <v>29120.587456275069</v>
      </c>
    </row>
    <row r="55" spans="1:6" x14ac:dyDescent="0.25">
      <c r="A55" t="s">
        <v>27</v>
      </c>
      <c r="B55" t="s">
        <v>10</v>
      </c>
      <c r="C55" t="s">
        <v>43</v>
      </c>
      <c r="D55" t="s">
        <v>40</v>
      </c>
      <c r="E55">
        <v>2019</v>
      </c>
      <c r="F55">
        <v>26880.542267330831</v>
      </c>
    </row>
    <row r="56" spans="1:6" x14ac:dyDescent="0.25">
      <c r="A56" t="s">
        <v>27</v>
      </c>
      <c r="B56" t="s">
        <v>10</v>
      </c>
      <c r="C56" t="s">
        <v>43</v>
      </c>
      <c r="D56" t="s">
        <v>41</v>
      </c>
      <c r="E56">
        <v>2019</v>
      </c>
      <c r="F56">
        <v>212804.29294970242</v>
      </c>
    </row>
    <row r="57" spans="1:6" x14ac:dyDescent="0.25">
      <c r="A57" t="s">
        <v>27</v>
      </c>
      <c r="B57" t="s">
        <v>10</v>
      </c>
      <c r="C57" t="s">
        <v>43</v>
      </c>
      <c r="D57" t="s">
        <v>42</v>
      </c>
      <c r="E57">
        <v>2019</v>
      </c>
      <c r="F57">
        <v>41440.835995468369</v>
      </c>
    </row>
    <row r="58" spans="1:6" x14ac:dyDescent="0.25">
      <c r="A58" t="s">
        <v>27</v>
      </c>
      <c r="B58" t="s">
        <v>10</v>
      </c>
      <c r="C58" t="s">
        <v>43</v>
      </c>
      <c r="D58" t="s">
        <v>29</v>
      </c>
      <c r="E58">
        <v>2030</v>
      </c>
      <c r="F58">
        <v>256234.83946537593</v>
      </c>
    </row>
    <row r="59" spans="1:6" x14ac:dyDescent="0.25">
      <c r="A59" t="s">
        <v>27</v>
      </c>
      <c r="B59" t="s">
        <v>10</v>
      </c>
      <c r="C59" t="s">
        <v>43</v>
      </c>
      <c r="D59" t="s">
        <v>30</v>
      </c>
      <c r="E59">
        <v>2030</v>
      </c>
      <c r="F59">
        <v>233902.44520004498</v>
      </c>
    </row>
    <row r="60" spans="1:6" x14ac:dyDescent="0.25">
      <c r="A60" t="s">
        <v>27</v>
      </c>
      <c r="B60" t="s">
        <v>10</v>
      </c>
      <c r="C60" t="s">
        <v>43</v>
      </c>
      <c r="D60" t="s">
        <v>31</v>
      </c>
      <c r="E60">
        <v>2030</v>
      </c>
      <c r="F60">
        <v>106960.41463921656</v>
      </c>
    </row>
    <row r="61" spans="1:6" x14ac:dyDescent="0.25">
      <c r="A61" t="s">
        <v>27</v>
      </c>
      <c r="B61" t="s">
        <v>10</v>
      </c>
      <c r="C61" t="s">
        <v>43</v>
      </c>
      <c r="D61" t="s">
        <v>32</v>
      </c>
      <c r="E61">
        <v>2030</v>
      </c>
      <c r="F61">
        <v>105526.43984954793</v>
      </c>
    </row>
    <row r="62" spans="1:6" x14ac:dyDescent="0.25">
      <c r="A62" t="s">
        <v>27</v>
      </c>
      <c r="B62" t="s">
        <v>10</v>
      </c>
      <c r="C62" t="s">
        <v>43</v>
      </c>
      <c r="D62" t="s">
        <v>33</v>
      </c>
      <c r="E62">
        <v>2030</v>
      </c>
      <c r="F62">
        <v>51975.70917962808</v>
      </c>
    </row>
    <row r="63" spans="1:6" x14ac:dyDescent="0.25">
      <c r="A63" t="s">
        <v>27</v>
      </c>
      <c r="B63" t="s">
        <v>10</v>
      </c>
      <c r="C63" t="s">
        <v>43</v>
      </c>
      <c r="D63" t="s">
        <v>34</v>
      </c>
      <c r="E63">
        <v>2030</v>
      </c>
      <c r="F63">
        <v>0</v>
      </c>
    </row>
    <row r="64" spans="1:6" x14ac:dyDescent="0.25">
      <c r="A64" t="s">
        <v>27</v>
      </c>
      <c r="B64" t="s">
        <v>10</v>
      </c>
      <c r="C64" t="s">
        <v>43</v>
      </c>
      <c r="D64" t="s">
        <v>35</v>
      </c>
      <c r="E64">
        <v>2030</v>
      </c>
      <c r="F64">
        <v>0</v>
      </c>
    </row>
    <row r="65" spans="1:6" x14ac:dyDescent="0.25">
      <c r="A65" t="s">
        <v>27</v>
      </c>
      <c r="B65" t="s">
        <v>10</v>
      </c>
      <c r="C65" t="s">
        <v>43</v>
      </c>
      <c r="D65" t="s">
        <v>36</v>
      </c>
      <c r="E65">
        <v>2030</v>
      </c>
      <c r="F65">
        <v>0</v>
      </c>
    </row>
    <row r="66" spans="1:6" x14ac:dyDescent="0.25">
      <c r="A66" t="s">
        <v>27</v>
      </c>
      <c r="B66" t="s">
        <v>10</v>
      </c>
      <c r="C66" t="s">
        <v>43</v>
      </c>
      <c r="D66" t="s">
        <v>37</v>
      </c>
      <c r="E66">
        <v>2030</v>
      </c>
      <c r="F66">
        <v>0</v>
      </c>
    </row>
    <row r="67" spans="1:6" x14ac:dyDescent="0.25">
      <c r="A67" t="s">
        <v>27</v>
      </c>
      <c r="B67" t="s">
        <v>10</v>
      </c>
      <c r="C67" t="s">
        <v>43</v>
      </c>
      <c r="D67" t="s">
        <v>38</v>
      </c>
      <c r="E67">
        <v>2030</v>
      </c>
      <c r="F67">
        <v>409035.43180711387</v>
      </c>
    </row>
    <row r="68" spans="1:6" x14ac:dyDescent="0.25">
      <c r="A68" t="s">
        <v>27</v>
      </c>
      <c r="B68" t="s">
        <v>10</v>
      </c>
      <c r="C68" t="s">
        <v>43</v>
      </c>
      <c r="D68" t="s">
        <v>39</v>
      </c>
      <c r="E68">
        <v>2030</v>
      </c>
      <c r="F68">
        <v>30560.118468347584</v>
      </c>
    </row>
    <row r="69" spans="1:6" x14ac:dyDescent="0.25">
      <c r="A69" t="s">
        <v>27</v>
      </c>
      <c r="B69" t="s">
        <v>10</v>
      </c>
      <c r="C69" t="s">
        <v>43</v>
      </c>
      <c r="D69" t="s">
        <v>40</v>
      </c>
      <c r="E69">
        <v>2030</v>
      </c>
      <c r="F69">
        <v>28209.340124628539</v>
      </c>
    </row>
    <row r="70" spans="1:6" x14ac:dyDescent="0.25">
      <c r="A70" t="s">
        <v>27</v>
      </c>
      <c r="B70" t="s">
        <v>10</v>
      </c>
      <c r="C70" t="s">
        <v>43</v>
      </c>
      <c r="D70" t="s">
        <v>41</v>
      </c>
      <c r="E70">
        <v>2030</v>
      </c>
      <c r="F70">
        <v>223323.94265330929</v>
      </c>
    </row>
    <row r="71" spans="1:6" x14ac:dyDescent="0.25">
      <c r="A71" t="s">
        <v>27</v>
      </c>
      <c r="B71" t="s">
        <v>10</v>
      </c>
      <c r="C71" t="s">
        <v>43</v>
      </c>
      <c r="D71" t="s">
        <v>42</v>
      </c>
      <c r="E71">
        <v>2030</v>
      </c>
      <c r="F71">
        <v>43489.39935880233</v>
      </c>
    </row>
    <row r="72" spans="1:6" x14ac:dyDescent="0.25">
      <c r="A72" t="s">
        <v>27</v>
      </c>
      <c r="B72" t="s">
        <v>10</v>
      </c>
      <c r="C72" t="s">
        <v>43</v>
      </c>
      <c r="D72" t="s">
        <v>29</v>
      </c>
      <c r="E72">
        <v>2050</v>
      </c>
      <c r="F72">
        <v>268249.01834925939</v>
      </c>
    </row>
    <row r="73" spans="1:6" x14ac:dyDescent="0.25">
      <c r="A73" t="s">
        <v>27</v>
      </c>
      <c r="B73" t="s">
        <v>10</v>
      </c>
      <c r="C73" t="s">
        <v>43</v>
      </c>
      <c r="D73" t="s">
        <v>30</v>
      </c>
      <c r="E73">
        <v>2050</v>
      </c>
      <c r="F73">
        <v>244869.51675001203</v>
      </c>
    </row>
    <row r="74" spans="1:6" x14ac:dyDescent="0.25">
      <c r="A74" t="s">
        <v>27</v>
      </c>
      <c r="B74" t="s">
        <v>10</v>
      </c>
      <c r="C74" t="s">
        <v>43</v>
      </c>
      <c r="D74" t="s">
        <v>31</v>
      </c>
      <c r="E74">
        <v>2050</v>
      </c>
      <c r="F74">
        <v>111975.50765955324</v>
      </c>
    </row>
    <row r="75" spans="1:6" x14ac:dyDescent="0.25">
      <c r="A75" t="s">
        <v>27</v>
      </c>
      <c r="B75" t="s">
        <v>10</v>
      </c>
      <c r="C75" t="s">
        <v>43</v>
      </c>
      <c r="D75" t="s">
        <v>32</v>
      </c>
      <c r="E75">
        <v>2050</v>
      </c>
      <c r="F75">
        <v>110474.29755686472</v>
      </c>
    </row>
    <row r="76" spans="1:6" x14ac:dyDescent="0.25">
      <c r="A76" t="s">
        <v>27</v>
      </c>
      <c r="B76" t="s">
        <v>10</v>
      </c>
      <c r="C76" t="s">
        <v>43</v>
      </c>
      <c r="D76" t="s">
        <v>33</v>
      </c>
      <c r="E76">
        <v>2050</v>
      </c>
      <c r="F76">
        <v>54412.71372203785</v>
      </c>
    </row>
    <row r="77" spans="1:6" x14ac:dyDescent="0.25">
      <c r="A77" t="s">
        <v>27</v>
      </c>
      <c r="B77" t="s">
        <v>10</v>
      </c>
      <c r="C77" t="s">
        <v>43</v>
      </c>
      <c r="D77" t="s">
        <v>34</v>
      </c>
      <c r="E77">
        <v>2050</v>
      </c>
      <c r="F77">
        <v>0</v>
      </c>
    </row>
    <row r="78" spans="1:6" x14ac:dyDescent="0.25">
      <c r="A78" t="s">
        <v>27</v>
      </c>
      <c r="B78" t="s">
        <v>10</v>
      </c>
      <c r="C78" t="s">
        <v>43</v>
      </c>
      <c r="D78" t="s">
        <v>35</v>
      </c>
      <c r="E78">
        <v>2050</v>
      </c>
      <c r="F78">
        <v>0</v>
      </c>
    </row>
    <row r="79" spans="1:6" x14ac:dyDescent="0.25">
      <c r="A79" t="s">
        <v>27</v>
      </c>
      <c r="B79" t="s">
        <v>10</v>
      </c>
      <c r="C79" t="s">
        <v>43</v>
      </c>
      <c r="D79" t="s">
        <v>36</v>
      </c>
      <c r="E79">
        <v>2050</v>
      </c>
      <c r="F79">
        <v>0</v>
      </c>
    </row>
    <row r="80" spans="1:6" x14ac:dyDescent="0.25">
      <c r="A80" t="s">
        <v>27</v>
      </c>
      <c r="B80" t="s">
        <v>10</v>
      </c>
      <c r="C80" t="s">
        <v>43</v>
      </c>
      <c r="D80" t="s">
        <v>37</v>
      </c>
      <c r="E80">
        <v>2050</v>
      </c>
      <c r="F80">
        <v>0</v>
      </c>
    </row>
    <row r="81" spans="1:6" x14ac:dyDescent="0.25">
      <c r="A81" t="s">
        <v>27</v>
      </c>
      <c r="B81" t="s">
        <v>10</v>
      </c>
      <c r="C81" t="s">
        <v>43</v>
      </c>
      <c r="D81" t="s">
        <v>38</v>
      </c>
      <c r="E81">
        <v>2050</v>
      </c>
      <c r="F81">
        <v>428214.02929147833</v>
      </c>
    </row>
    <row r="82" spans="1:6" x14ac:dyDescent="0.25">
      <c r="A82" t="s">
        <v>27</v>
      </c>
      <c r="B82" t="s">
        <v>10</v>
      </c>
      <c r="C82" t="s">
        <v>43</v>
      </c>
      <c r="D82" t="s">
        <v>39</v>
      </c>
      <c r="E82">
        <v>2050</v>
      </c>
      <c r="F82">
        <v>31993.002188443785</v>
      </c>
    </row>
    <row r="83" spans="1:6" x14ac:dyDescent="0.25">
      <c r="A83" t="s">
        <v>27</v>
      </c>
      <c r="B83" t="s">
        <v>10</v>
      </c>
      <c r="C83" t="s">
        <v>43</v>
      </c>
      <c r="D83" t="s">
        <v>40</v>
      </c>
      <c r="E83">
        <v>2050</v>
      </c>
      <c r="F83">
        <v>29532.002020101954</v>
      </c>
    </row>
    <row r="84" spans="1:6" x14ac:dyDescent="0.25">
      <c r="A84" t="s">
        <v>27</v>
      </c>
      <c r="B84" t="s">
        <v>10</v>
      </c>
      <c r="C84" t="s">
        <v>43</v>
      </c>
      <c r="D84" t="s">
        <v>41</v>
      </c>
      <c r="E84">
        <v>2050</v>
      </c>
      <c r="F84">
        <v>233795.01599247381</v>
      </c>
    </row>
    <row r="85" spans="1:6" x14ac:dyDescent="0.25">
      <c r="A85" t="s">
        <v>27</v>
      </c>
      <c r="B85" t="s">
        <v>10</v>
      </c>
      <c r="C85" t="s">
        <v>43</v>
      </c>
      <c r="D85" t="s">
        <v>42</v>
      </c>
      <c r="E85">
        <v>2050</v>
      </c>
      <c r="F85">
        <v>45528.503114323845</v>
      </c>
    </row>
    <row r="86" spans="1:6" x14ac:dyDescent="0.25">
      <c r="A86" t="s">
        <v>27</v>
      </c>
      <c r="B86" t="s">
        <v>11</v>
      </c>
      <c r="C86" t="s">
        <v>28</v>
      </c>
      <c r="D86" t="s">
        <v>44</v>
      </c>
      <c r="E86">
        <v>2019</v>
      </c>
      <c r="F86">
        <v>2534442.072977222</v>
      </c>
    </row>
    <row r="87" spans="1:6" x14ac:dyDescent="0.25">
      <c r="A87" t="s">
        <v>27</v>
      </c>
      <c r="B87" t="s">
        <v>11</v>
      </c>
      <c r="C87" t="s">
        <v>28</v>
      </c>
      <c r="D87" t="s">
        <v>45</v>
      </c>
      <c r="E87">
        <v>2019</v>
      </c>
      <c r="F87">
        <v>4066864.6068164087</v>
      </c>
    </row>
    <row r="88" spans="1:6" x14ac:dyDescent="0.25">
      <c r="A88" t="s">
        <v>27</v>
      </c>
      <c r="B88" t="s">
        <v>11</v>
      </c>
      <c r="C88" t="s">
        <v>28</v>
      </c>
      <c r="D88" t="s">
        <v>46</v>
      </c>
      <c r="E88">
        <v>2019</v>
      </c>
      <c r="F88">
        <v>4103.8061780475591</v>
      </c>
    </row>
    <row r="89" spans="1:6" x14ac:dyDescent="0.25">
      <c r="A89" t="s">
        <v>27</v>
      </c>
      <c r="B89" t="s">
        <v>11</v>
      </c>
      <c r="C89" t="s">
        <v>28</v>
      </c>
      <c r="D89" t="s">
        <v>47</v>
      </c>
      <c r="E89">
        <v>2019</v>
      </c>
      <c r="F89">
        <v>1460182.5874658169</v>
      </c>
    </row>
    <row r="90" spans="1:6" x14ac:dyDescent="0.25">
      <c r="A90" t="s">
        <v>27</v>
      </c>
      <c r="B90" t="s">
        <v>11</v>
      </c>
      <c r="C90" t="s">
        <v>28</v>
      </c>
      <c r="D90" t="s">
        <v>48</v>
      </c>
      <c r="E90">
        <v>2019</v>
      </c>
      <c r="F90">
        <v>393543.64426779439</v>
      </c>
    </row>
    <row r="91" spans="1:6" x14ac:dyDescent="0.25">
      <c r="A91" t="s">
        <v>27</v>
      </c>
      <c r="B91" t="s">
        <v>11</v>
      </c>
      <c r="C91" t="s">
        <v>28</v>
      </c>
      <c r="D91" t="s">
        <v>49</v>
      </c>
      <c r="E91">
        <v>2019</v>
      </c>
      <c r="F91">
        <v>716103.75203569303</v>
      </c>
    </row>
    <row r="92" spans="1:6" x14ac:dyDescent="0.25">
      <c r="A92" t="s">
        <v>27</v>
      </c>
      <c r="B92" t="s">
        <v>11</v>
      </c>
      <c r="C92" t="s">
        <v>28</v>
      </c>
      <c r="D92" t="s">
        <v>50</v>
      </c>
      <c r="E92">
        <v>2019</v>
      </c>
      <c r="F92">
        <v>671194.67155029252</v>
      </c>
    </row>
    <row r="93" spans="1:6" x14ac:dyDescent="0.25">
      <c r="A93" t="s">
        <v>27</v>
      </c>
      <c r="B93" t="s">
        <v>11</v>
      </c>
      <c r="C93" t="s">
        <v>28</v>
      </c>
      <c r="D93" t="s">
        <v>51</v>
      </c>
      <c r="E93">
        <v>2019</v>
      </c>
      <c r="F93">
        <v>0</v>
      </c>
    </row>
    <row r="94" spans="1:6" x14ac:dyDescent="0.25">
      <c r="A94" t="s">
        <v>27</v>
      </c>
      <c r="B94" t="s">
        <v>11</v>
      </c>
      <c r="C94" t="s">
        <v>28</v>
      </c>
      <c r="D94" t="s">
        <v>52</v>
      </c>
      <c r="E94">
        <v>2019</v>
      </c>
      <c r="F94">
        <v>53138.892747161146</v>
      </c>
    </row>
    <row r="95" spans="1:6" x14ac:dyDescent="0.25">
      <c r="A95" t="s">
        <v>27</v>
      </c>
      <c r="B95" t="s">
        <v>11</v>
      </c>
      <c r="C95" t="s">
        <v>28</v>
      </c>
      <c r="D95" t="s">
        <v>29</v>
      </c>
      <c r="E95">
        <v>2019</v>
      </c>
      <c r="F95">
        <v>2840.1853290986264</v>
      </c>
    </row>
    <row r="96" spans="1:6" x14ac:dyDescent="0.25">
      <c r="A96" t="s">
        <v>27</v>
      </c>
      <c r="B96" t="s">
        <v>11</v>
      </c>
      <c r="C96" t="s">
        <v>28</v>
      </c>
      <c r="D96" t="s">
        <v>53</v>
      </c>
      <c r="E96">
        <v>2019</v>
      </c>
      <c r="F96">
        <v>75746.163899662715</v>
      </c>
    </row>
    <row r="97" spans="1:6" x14ac:dyDescent="0.25">
      <c r="A97" t="s">
        <v>27</v>
      </c>
      <c r="B97" t="s">
        <v>11</v>
      </c>
      <c r="C97" t="s">
        <v>28</v>
      </c>
      <c r="D97" t="s">
        <v>54</v>
      </c>
      <c r="E97">
        <v>2019</v>
      </c>
      <c r="F97">
        <v>314821.43493156106</v>
      </c>
    </row>
    <row r="98" spans="1:6" x14ac:dyDescent="0.25">
      <c r="A98" t="s">
        <v>27</v>
      </c>
      <c r="B98" t="s">
        <v>11</v>
      </c>
      <c r="C98" t="s">
        <v>28</v>
      </c>
      <c r="D98" t="s">
        <v>55</v>
      </c>
      <c r="E98">
        <v>2019</v>
      </c>
      <c r="F98">
        <v>4101.0489241972273</v>
      </c>
    </row>
    <row r="99" spans="1:6" x14ac:dyDescent="0.25">
      <c r="A99" t="s">
        <v>27</v>
      </c>
      <c r="B99" t="s">
        <v>11</v>
      </c>
      <c r="C99" t="s">
        <v>28</v>
      </c>
      <c r="D99" t="s">
        <v>56</v>
      </c>
      <c r="E99">
        <v>2019</v>
      </c>
      <c r="F99">
        <v>42.099811904105366</v>
      </c>
    </row>
    <row r="100" spans="1:6" x14ac:dyDescent="0.25">
      <c r="A100" t="s">
        <v>27</v>
      </c>
      <c r="B100" t="s">
        <v>11</v>
      </c>
      <c r="C100" t="s">
        <v>28</v>
      </c>
      <c r="D100" t="s">
        <v>57</v>
      </c>
      <c r="E100">
        <v>2019</v>
      </c>
      <c r="F100">
        <v>114193.60000000001</v>
      </c>
    </row>
    <row r="101" spans="1:6" x14ac:dyDescent="0.25">
      <c r="A101" t="s">
        <v>27</v>
      </c>
      <c r="B101" t="s">
        <v>11</v>
      </c>
      <c r="C101" t="s">
        <v>28</v>
      </c>
      <c r="D101" t="s">
        <v>35</v>
      </c>
      <c r="E101">
        <v>2019</v>
      </c>
      <c r="F101">
        <v>0</v>
      </c>
    </row>
    <row r="102" spans="1:6" x14ac:dyDescent="0.25">
      <c r="A102" t="s">
        <v>27</v>
      </c>
      <c r="B102" t="s">
        <v>11</v>
      </c>
      <c r="C102" t="s">
        <v>28</v>
      </c>
      <c r="D102" t="s">
        <v>36</v>
      </c>
      <c r="E102">
        <v>2019</v>
      </c>
      <c r="F102">
        <v>0</v>
      </c>
    </row>
    <row r="103" spans="1:6" x14ac:dyDescent="0.25">
      <c r="A103" t="s">
        <v>27</v>
      </c>
      <c r="B103" t="s">
        <v>11</v>
      </c>
      <c r="C103" t="s">
        <v>28</v>
      </c>
      <c r="D103" t="s">
        <v>44</v>
      </c>
      <c r="E103">
        <v>2030</v>
      </c>
      <c r="F103">
        <v>7989661.5832169671</v>
      </c>
    </row>
    <row r="104" spans="1:6" x14ac:dyDescent="0.25">
      <c r="A104" t="s">
        <v>27</v>
      </c>
      <c r="B104" t="s">
        <v>11</v>
      </c>
      <c r="C104" t="s">
        <v>28</v>
      </c>
      <c r="D104" t="s">
        <v>45</v>
      </c>
      <c r="E104">
        <v>2030</v>
      </c>
      <c r="F104">
        <v>9867457.5006151944</v>
      </c>
    </row>
    <row r="105" spans="1:6" x14ac:dyDescent="0.25">
      <c r="A105" t="s">
        <v>27</v>
      </c>
      <c r="B105" t="s">
        <v>11</v>
      </c>
      <c r="C105" t="s">
        <v>28</v>
      </c>
      <c r="D105" t="s">
        <v>46</v>
      </c>
      <c r="E105">
        <v>2030</v>
      </c>
      <c r="F105">
        <v>4171.3630677727415</v>
      </c>
    </row>
    <row r="106" spans="1:6" x14ac:dyDescent="0.25">
      <c r="A106" t="s">
        <v>27</v>
      </c>
      <c r="B106" t="s">
        <v>11</v>
      </c>
      <c r="C106" t="s">
        <v>28</v>
      </c>
      <c r="D106" t="s">
        <v>47</v>
      </c>
      <c r="E106">
        <v>2030</v>
      </c>
      <c r="F106">
        <v>1507101.1523820646</v>
      </c>
    </row>
    <row r="107" spans="1:6" x14ac:dyDescent="0.25">
      <c r="A107" t="s">
        <v>27</v>
      </c>
      <c r="B107" t="s">
        <v>11</v>
      </c>
      <c r="C107" t="s">
        <v>28</v>
      </c>
      <c r="D107" t="s">
        <v>48</v>
      </c>
      <c r="E107">
        <v>2030</v>
      </c>
      <c r="F107">
        <v>195082.24112879002</v>
      </c>
    </row>
    <row r="108" spans="1:6" x14ac:dyDescent="0.25">
      <c r="A108" t="s">
        <v>27</v>
      </c>
      <c r="B108" t="s">
        <v>11</v>
      </c>
      <c r="C108" t="s">
        <v>28</v>
      </c>
      <c r="D108" t="s">
        <v>49</v>
      </c>
      <c r="E108">
        <v>2030</v>
      </c>
      <c r="F108">
        <v>523057.13098607323</v>
      </c>
    </row>
    <row r="109" spans="1:6" x14ac:dyDescent="0.25">
      <c r="A109" t="s">
        <v>27</v>
      </c>
      <c r="B109" t="s">
        <v>11</v>
      </c>
      <c r="C109" t="s">
        <v>28</v>
      </c>
      <c r="D109" t="s">
        <v>50</v>
      </c>
      <c r="E109">
        <v>2030</v>
      </c>
      <c r="F109">
        <v>1326462.9092294232</v>
      </c>
    </row>
    <row r="110" spans="1:6" x14ac:dyDescent="0.25">
      <c r="A110" t="s">
        <v>27</v>
      </c>
      <c r="B110" t="s">
        <v>11</v>
      </c>
      <c r="C110" t="s">
        <v>28</v>
      </c>
      <c r="D110" t="s">
        <v>51</v>
      </c>
      <c r="E110">
        <v>2030</v>
      </c>
      <c r="F110">
        <v>0</v>
      </c>
    </row>
    <row r="111" spans="1:6" x14ac:dyDescent="0.25">
      <c r="A111" t="s">
        <v>27</v>
      </c>
      <c r="B111" t="s">
        <v>11</v>
      </c>
      <c r="C111" t="s">
        <v>28</v>
      </c>
      <c r="D111" t="s">
        <v>52</v>
      </c>
      <c r="E111">
        <v>2030</v>
      </c>
      <c r="F111">
        <v>52868.994212030084</v>
      </c>
    </row>
    <row r="112" spans="1:6" x14ac:dyDescent="0.25">
      <c r="A112" t="s">
        <v>27</v>
      </c>
      <c r="B112" t="s">
        <v>11</v>
      </c>
      <c r="C112" t="s">
        <v>28</v>
      </c>
      <c r="D112" t="s">
        <v>29</v>
      </c>
      <c r="E112">
        <v>2030</v>
      </c>
      <c r="F112">
        <v>2833.9333697705197</v>
      </c>
    </row>
    <row r="113" spans="1:6" x14ac:dyDescent="0.25">
      <c r="A113" t="s">
        <v>27</v>
      </c>
      <c r="B113" t="s">
        <v>11</v>
      </c>
      <c r="C113" t="s">
        <v>28</v>
      </c>
      <c r="D113" t="s">
        <v>53</v>
      </c>
      <c r="E113">
        <v>2030</v>
      </c>
      <c r="F113">
        <v>75614.059561949907</v>
      </c>
    </row>
    <row r="114" spans="1:6" x14ac:dyDescent="0.25">
      <c r="A114" t="s">
        <v>27</v>
      </c>
      <c r="B114" t="s">
        <v>11</v>
      </c>
      <c r="C114" t="s">
        <v>28</v>
      </c>
      <c r="D114" t="s">
        <v>54</v>
      </c>
      <c r="E114">
        <v>2030</v>
      </c>
      <c r="F114">
        <v>314692.31350359169</v>
      </c>
    </row>
    <row r="115" spans="1:6" x14ac:dyDescent="0.25">
      <c r="A115" t="s">
        <v>27</v>
      </c>
      <c r="B115" t="s">
        <v>11</v>
      </c>
      <c r="C115" t="s">
        <v>28</v>
      </c>
      <c r="D115" t="s">
        <v>55</v>
      </c>
      <c r="E115">
        <v>2030</v>
      </c>
      <c r="F115">
        <v>4075.7207832735812</v>
      </c>
    </row>
    <row r="116" spans="1:6" x14ac:dyDescent="0.25">
      <c r="A116" t="s">
        <v>27</v>
      </c>
      <c r="B116" t="s">
        <v>11</v>
      </c>
      <c r="C116" t="s">
        <v>28</v>
      </c>
      <c r="D116" t="s">
        <v>56</v>
      </c>
      <c r="E116">
        <v>2030</v>
      </c>
      <c r="F116">
        <v>41.80391161429587</v>
      </c>
    </row>
    <row r="117" spans="1:6" x14ac:dyDescent="0.25">
      <c r="A117" t="s">
        <v>27</v>
      </c>
      <c r="B117" t="s">
        <v>11</v>
      </c>
      <c r="C117" t="s">
        <v>28</v>
      </c>
      <c r="D117" t="s">
        <v>57</v>
      </c>
      <c r="E117">
        <v>2030</v>
      </c>
      <c r="F117">
        <v>114193.60000000001</v>
      </c>
    </row>
    <row r="118" spans="1:6" x14ac:dyDescent="0.25">
      <c r="A118" t="s">
        <v>27</v>
      </c>
      <c r="B118" t="s">
        <v>11</v>
      </c>
      <c r="C118" t="s">
        <v>28</v>
      </c>
      <c r="D118" t="s">
        <v>35</v>
      </c>
      <c r="E118">
        <v>2030</v>
      </c>
      <c r="F118">
        <v>0</v>
      </c>
    </row>
    <row r="119" spans="1:6" x14ac:dyDescent="0.25">
      <c r="A119" t="s">
        <v>27</v>
      </c>
      <c r="B119" t="s">
        <v>11</v>
      </c>
      <c r="C119" t="s">
        <v>28</v>
      </c>
      <c r="D119" t="s">
        <v>36</v>
      </c>
      <c r="E119">
        <v>2030</v>
      </c>
      <c r="F119">
        <v>0</v>
      </c>
    </row>
    <row r="120" spans="1:6" x14ac:dyDescent="0.25">
      <c r="A120" t="s">
        <v>27</v>
      </c>
      <c r="B120" t="s">
        <v>11</v>
      </c>
      <c r="C120" t="s">
        <v>28</v>
      </c>
      <c r="D120" t="s">
        <v>44</v>
      </c>
      <c r="E120">
        <v>2050</v>
      </c>
      <c r="F120">
        <v>7649114.6368171675</v>
      </c>
    </row>
    <row r="121" spans="1:6" x14ac:dyDescent="0.25">
      <c r="A121" t="s">
        <v>27</v>
      </c>
      <c r="B121" t="s">
        <v>11</v>
      </c>
      <c r="C121" t="s">
        <v>28</v>
      </c>
      <c r="D121" t="s">
        <v>45</v>
      </c>
      <c r="E121">
        <v>2050</v>
      </c>
      <c r="F121">
        <v>9678908.9419378657</v>
      </c>
    </row>
    <row r="122" spans="1:6" x14ac:dyDescent="0.25">
      <c r="A122" t="s">
        <v>27</v>
      </c>
      <c r="B122" t="s">
        <v>11</v>
      </c>
      <c r="C122" t="s">
        <v>28</v>
      </c>
      <c r="D122" t="s">
        <v>46</v>
      </c>
      <c r="E122">
        <v>2050</v>
      </c>
      <c r="F122">
        <v>4307.7658612412106</v>
      </c>
    </row>
    <row r="123" spans="1:6" x14ac:dyDescent="0.25">
      <c r="A123" t="s">
        <v>27</v>
      </c>
      <c r="B123" t="s">
        <v>11</v>
      </c>
      <c r="C123" t="s">
        <v>28</v>
      </c>
      <c r="D123" t="s">
        <v>47</v>
      </c>
      <c r="E123">
        <v>2050</v>
      </c>
      <c r="F123">
        <v>1563200.2483061554</v>
      </c>
    </row>
    <row r="124" spans="1:6" x14ac:dyDescent="0.25">
      <c r="A124" t="s">
        <v>27</v>
      </c>
      <c r="B124" t="s">
        <v>11</v>
      </c>
      <c r="C124" t="s">
        <v>28</v>
      </c>
      <c r="D124" t="s">
        <v>48</v>
      </c>
      <c r="E124">
        <v>2050</v>
      </c>
      <c r="F124">
        <v>197484.23354298095</v>
      </c>
    </row>
    <row r="125" spans="1:6" x14ac:dyDescent="0.25">
      <c r="A125" t="s">
        <v>27</v>
      </c>
      <c r="B125" t="s">
        <v>11</v>
      </c>
      <c r="C125" t="s">
        <v>28</v>
      </c>
      <c r="D125" t="s">
        <v>49</v>
      </c>
      <c r="E125">
        <v>2050</v>
      </c>
      <c r="F125">
        <v>519697.15308066551</v>
      </c>
    </row>
    <row r="126" spans="1:6" x14ac:dyDescent="0.25">
      <c r="A126" t="s">
        <v>27</v>
      </c>
      <c r="B126" t="s">
        <v>11</v>
      </c>
      <c r="C126" t="s">
        <v>28</v>
      </c>
      <c r="D126" t="s">
        <v>50</v>
      </c>
      <c r="E126">
        <v>2050</v>
      </c>
      <c r="F126">
        <v>1388988.8638442878</v>
      </c>
    </row>
    <row r="127" spans="1:6" x14ac:dyDescent="0.25">
      <c r="A127" t="s">
        <v>27</v>
      </c>
      <c r="B127" t="s">
        <v>11</v>
      </c>
      <c r="C127" t="s">
        <v>28</v>
      </c>
      <c r="D127" t="s">
        <v>51</v>
      </c>
      <c r="E127">
        <v>2050</v>
      </c>
      <c r="F127">
        <v>0</v>
      </c>
    </row>
    <row r="128" spans="1:6" x14ac:dyDescent="0.25">
      <c r="A128" t="s">
        <v>27</v>
      </c>
      <c r="B128" t="s">
        <v>11</v>
      </c>
      <c r="C128" t="s">
        <v>28</v>
      </c>
      <c r="D128" t="s">
        <v>52</v>
      </c>
      <c r="E128">
        <v>2050</v>
      </c>
      <c r="F128">
        <v>52543.907435919093</v>
      </c>
    </row>
    <row r="129" spans="1:6" x14ac:dyDescent="0.25">
      <c r="A129" t="s">
        <v>27</v>
      </c>
      <c r="B129" t="s">
        <v>11</v>
      </c>
      <c r="C129" t="s">
        <v>28</v>
      </c>
      <c r="D129" t="s">
        <v>29</v>
      </c>
      <c r="E129">
        <v>2050</v>
      </c>
      <c r="F129">
        <v>2825.7560217041437</v>
      </c>
    </row>
    <row r="130" spans="1:6" x14ac:dyDescent="0.25">
      <c r="A130" t="s">
        <v>27</v>
      </c>
      <c r="B130" t="s">
        <v>11</v>
      </c>
      <c r="C130" t="s">
        <v>28</v>
      </c>
      <c r="D130" t="s">
        <v>53</v>
      </c>
      <c r="E130">
        <v>2050</v>
      </c>
      <c r="F130">
        <v>75527.053678542041</v>
      </c>
    </row>
    <row r="131" spans="1:6" x14ac:dyDescent="0.25">
      <c r="A131" t="s">
        <v>27</v>
      </c>
      <c r="B131" t="s">
        <v>11</v>
      </c>
      <c r="C131" t="s">
        <v>28</v>
      </c>
      <c r="D131" t="s">
        <v>54</v>
      </c>
      <c r="E131">
        <v>2050</v>
      </c>
      <c r="F131">
        <v>314525.12457946909</v>
      </c>
    </row>
    <row r="132" spans="1:6" x14ac:dyDescent="0.25">
      <c r="A132" t="s">
        <v>27</v>
      </c>
      <c r="B132" t="s">
        <v>11</v>
      </c>
      <c r="C132" t="s">
        <v>28</v>
      </c>
      <c r="D132" t="s">
        <v>55</v>
      </c>
      <c r="E132">
        <v>2050</v>
      </c>
      <c r="F132">
        <v>4034.07077562927</v>
      </c>
    </row>
    <row r="133" spans="1:6" x14ac:dyDescent="0.25">
      <c r="A133" t="s">
        <v>27</v>
      </c>
      <c r="B133" t="s">
        <v>11</v>
      </c>
      <c r="C133" t="s">
        <v>28</v>
      </c>
      <c r="D133" t="s">
        <v>56</v>
      </c>
      <c r="E133">
        <v>2050</v>
      </c>
      <c r="F133">
        <v>41.656918132692169</v>
      </c>
    </row>
    <row r="134" spans="1:6" x14ac:dyDescent="0.25">
      <c r="A134" t="s">
        <v>27</v>
      </c>
      <c r="B134" t="s">
        <v>11</v>
      </c>
      <c r="C134" t="s">
        <v>28</v>
      </c>
      <c r="D134" t="s">
        <v>57</v>
      </c>
      <c r="E134">
        <v>2050</v>
      </c>
      <c r="F134">
        <v>114193.60000000001</v>
      </c>
    </row>
    <row r="135" spans="1:6" x14ac:dyDescent="0.25">
      <c r="A135" t="s">
        <v>27</v>
      </c>
      <c r="B135" t="s">
        <v>11</v>
      </c>
      <c r="C135" t="s">
        <v>28</v>
      </c>
      <c r="D135" t="s">
        <v>35</v>
      </c>
      <c r="E135">
        <v>2050</v>
      </c>
      <c r="F135">
        <v>0</v>
      </c>
    </row>
    <row r="136" spans="1:6" x14ac:dyDescent="0.25">
      <c r="A136" t="s">
        <v>27</v>
      </c>
      <c r="B136" t="s">
        <v>11</v>
      </c>
      <c r="C136" t="s">
        <v>28</v>
      </c>
      <c r="D136" t="s">
        <v>36</v>
      </c>
      <c r="E136">
        <v>2050</v>
      </c>
      <c r="F136">
        <v>0</v>
      </c>
    </row>
    <row r="137" spans="1:6" x14ac:dyDescent="0.25">
      <c r="A137" t="s">
        <v>27</v>
      </c>
      <c r="B137" t="s">
        <v>11</v>
      </c>
      <c r="C137" t="s">
        <v>43</v>
      </c>
      <c r="D137" t="s">
        <v>44</v>
      </c>
      <c r="E137">
        <v>2019</v>
      </c>
      <c r="F137">
        <v>380427.26035611134</v>
      </c>
    </row>
    <row r="138" spans="1:6" x14ac:dyDescent="0.25">
      <c r="A138" t="s">
        <v>27</v>
      </c>
      <c r="B138" t="s">
        <v>11</v>
      </c>
      <c r="C138" t="s">
        <v>43</v>
      </c>
      <c r="D138" t="s">
        <v>45</v>
      </c>
      <c r="E138">
        <v>2019</v>
      </c>
      <c r="F138">
        <v>286645.05985025823</v>
      </c>
    </row>
    <row r="139" spans="1:6" x14ac:dyDescent="0.25">
      <c r="A139" t="s">
        <v>27</v>
      </c>
      <c r="B139" t="s">
        <v>11</v>
      </c>
      <c r="C139" t="s">
        <v>43</v>
      </c>
      <c r="D139" t="s">
        <v>46</v>
      </c>
      <c r="E139">
        <v>2019</v>
      </c>
      <c r="F139">
        <v>337.693821952441</v>
      </c>
    </row>
    <row r="140" spans="1:6" x14ac:dyDescent="0.25">
      <c r="A140" t="s">
        <v>27</v>
      </c>
      <c r="B140" t="s">
        <v>11</v>
      </c>
      <c r="C140" t="s">
        <v>43</v>
      </c>
      <c r="D140" t="s">
        <v>47</v>
      </c>
      <c r="E140">
        <v>2019</v>
      </c>
      <c r="F140">
        <v>1208651.4125341829</v>
      </c>
    </row>
    <row r="141" spans="1:6" x14ac:dyDescent="0.25">
      <c r="A141" t="s">
        <v>27</v>
      </c>
      <c r="B141" t="s">
        <v>11</v>
      </c>
      <c r="C141" t="s">
        <v>43</v>
      </c>
      <c r="D141" t="s">
        <v>48</v>
      </c>
      <c r="E141">
        <v>2019</v>
      </c>
      <c r="F141">
        <v>335590.35573220561</v>
      </c>
    </row>
    <row r="142" spans="1:6" x14ac:dyDescent="0.25">
      <c r="A142" t="s">
        <v>27</v>
      </c>
      <c r="B142" t="s">
        <v>11</v>
      </c>
      <c r="C142" t="s">
        <v>43</v>
      </c>
      <c r="D142" t="s">
        <v>49</v>
      </c>
      <c r="E142">
        <v>2019</v>
      </c>
      <c r="F142">
        <v>279550.24796430691</v>
      </c>
    </row>
    <row r="143" spans="1:6" x14ac:dyDescent="0.25">
      <c r="A143" t="s">
        <v>27</v>
      </c>
      <c r="B143" t="s">
        <v>11</v>
      </c>
      <c r="C143" t="s">
        <v>43</v>
      </c>
      <c r="D143" t="s">
        <v>50</v>
      </c>
      <c r="E143">
        <v>2019</v>
      </c>
      <c r="F143">
        <v>85892.328449707566</v>
      </c>
    </row>
    <row r="144" spans="1:6" x14ac:dyDescent="0.25">
      <c r="A144" t="s">
        <v>27</v>
      </c>
      <c r="B144" t="s">
        <v>11</v>
      </c>
      <c r="C144" t="s">
        <v>43</v>
      </c>
      <c r="D144" t="s">
        <v>51</v>
      </c>
      <c r="E144">
        <v>2019</v>
      </c>
      <c r="F144">
        <v>0</v>
      </c>
    </row>
    <row r="145" spans="1:6" x14ac:dyDescent="0.25">
      <c r="A145" t="s">
        <v>27</v>
      </c>
      <c r="B145" t="s">
        <v>11</v>
      </c>
      <c r="C145" t="s">
        <v>43</v>
      </c>
      <c r="D145" t="s">
        <v>52</v>
      </c>
      <c r="E145">
        <v>2019</v>
      </c>
      <c r="F145">
        <v>22795.107252838847</v>
      </c>
    </row>
    <row r="146" spans="1:6" x14ac:dyDescent="0.25">
      <c r="A146" t="s">
        <v>27</v>
      </c>
      <c r="B146" t="s">
        <v>11</v>
      </c>
      <c r="C146" t="s">
        <v>43</v>
      </c>
      <c r="D146" t="s">
        <v>29</v>
      </c>
      <c r="E146">
        <v>2019</v>
      </c>
      <c r="F146">
        <v>945.81467090137289</v>
      </c>
    </row>
    <row r="147" spans="1:6" x14ac:dyDescent="0.25">
      <c r="A147" t="s">
        <v>27</v>
      </c>
      <c r="B147" t="s">
        <v>11</v>
      </c>
      <c r="C147" t="s">
        <v>43</v>
      </c>
      <c r="D147" t="s">
        <v>53</v>
      </c>
      <c r="E147">
        <v>2019</v>
      </c>
      <c r="F147">
        <v>9930.836100337272</v>
      </c>
    </row>
    <row r="148" spans="1:6" x14ac:dyDescent="0.25">
      <c r="A148" t="s">
        <v>27</v>
      </c>
      <c r="B148" t="s">
        <v>11</v>
      </c>
      <c r="C148" t="s">
        <v>43</v>
      </c>
      <c r="D148" t="s">
        <v>54</v>
      </c>
      <c r="E148">
        <v>2019</v>
      </c>
      <c r="F148">
        <v>15204.565068438918</v>
      </c>
    </row>
    <row r="149" spans="1:6" x14ac:dyDescent="0.25">
      <c r="A149" t="s">
        <v>27</v>
      </c>
      <c r="B149" t="s">
        <v>11</v>
      </c>
      <c r="C149" t="s">
        <v>43</v>
      </c>
      <c r="D149" t="s">
        <v>55</v>
      </c>
      <c r="E149">
        <v>2019</v>
      </c>
      <c r="F149">
        <v>24543.951075802775</v>
      </c>
    </row>
    <row r="150" spans="1:6" x14ac:dyDescent="0.25">
      <c r="A150" t="s">
        <v>27</v>
      </c>
      <c r="B150" t="s">
        <v>11</v>
      </c>
      <c r="C150" t="s">
        <v>43</v>
      </c>
      <c r="D150" t="s">
        <v>56</v>
      </c>
      <c r="E150">
        <v>2019</v>
      </c>
      <c r="F150">
        <v>35.900188095894634</v>
      </c>
    </row>
    <row r="151" spans="1:6" x14ac:dyDescent="0.25">
      <c r="A151" t="s">
        <v>27</v>
      </c>
      <c r="B151" t="s">
        <v>11</v>
      </c>
      <c r="C151" t="s">
        <v>43</v>
      </c>
      <c r="D151" t="s">
        <v>57</v>
      </c>
      <c r="E151">
        <v>2019</v>
      </c>
      <c r="F151">
        <v>28548.400000000001</v>
      </c>
    </row>
    <row r="152" spans="1:6" x14ac:dyDescent="0.25">
      <c r="A152" t="s">
        <v>27</v>
      </c>
      <c r="B152" t="s">
        <v>11</v>
      </c>
      <c r="C152" t="s">
        <v>43</v>
      </c>
      <c r="D152" t="s">
        <v>35</v>
      </c>
      <c r="E152">
        <v>2019</v>
      </c>
      <c r="F152">
        <v>0</v>
      </c>
    </row>
    <row r="153" spans="1:6" x14ac:dyDescent="0.25">
      <c r="A153" t="s">
        <v>27</v>
      </c>
      <c r="B153" t="s">
        <v>11</v>
      </c>
      <c r="C153" t="s">
        <v>43</v>
      </c>
      <c r="D153" t="s">
        <v>36</v>
      </c>
      <c r="E153">
        <v>2019</v>
      </c>
      <c r="F153">
        <v>0</v>
      </c>
    </row>
    <row r="154" spans="1:6" x14ac:dyDescent="0.25">
      <c r="A154" t="s">
        <v>27</v>
      </c>
      <c r="B154" t="s">
        <v>11</v>
      </c>
      <c r="C154" t="s">
        <v>43</v>
      </c>
      <c r="D154" t="s">
        <v>44</v>
      </c>
      <c r="E154">
        <v>2030</v>
      </c>
      <c r="F154">
        <v>1157678.9141627084</v>
      </c>
    </row>
    <row r="155" spans="1:6" x14ac:dyDescent="0.25">
      <c r="A155" t="s">
        <v>27</v>
      </c>
      <c r="B155" t="s">
        <v>11</v>
      </c>
      <c r="C155" t="s">
        <v>43</v>
      </c>
      <c r="D155" t="s">
        <v>45</v>
      </c>
      <c r="E155">
        <v>2030</v>
      </c>
      <c r="F155">
        <v>701319.77122631879</v>
      </c>
    </row>
    <row r="156" spans="1:6" x14ac:dyDescent="0.25">
      <c r="A156" t="s">
        <v>27</v>
      </c>
      <c r="B156" t="s">
        <v>11</v>
      </c>
      <c r="C156" t="s">
        <v>43</v>
      </c>
      <c r="D156" t="s">
        <v>46</v>
      </c>
      <c r="E156">
        <v>2030</v>
      </c>
      <c r="F156">
        <v>350.10096257642732</v>
      </c>
    </row>
    <row r="157" spans="1:6" x14ac:dyDescent="0.25">
      <c r="A157" t="s">
        <v>27</v>
      </c>
      <c r="B157" t="s">
        <v>11</v>
      </c>
      <c r="C157" t="s">
        <v>43</v>
      </c>
      <c r="D157" t="s">
        <v>47</v>
      </c>
      <c r="E157">
        <v>2030</v>
      </c>
      <c r="F157">
        <v>1268228.6485488336</v>
      </c>
    </row>
    <row r="158" spans="1:6" x14ac:dyDescent="0.25">
      <c r="A158" t="s">
        <v>27</v>
      </c>
      <c r="B158" t="s">
        <v>11</v>
      </c>
      <c r="C158" t="s">
        <v>43</v>
      </c>
      <c r="D158" t="s">
        <v>48</v>
      </c>
      <c r="E158">
        <v>2030</v>
      </c>
      <c r="F158">
        <v>168912.75887120995</v>
      </c>
    </row>
    <row r="159" spans="1:6" x14ac:dyDescent="0.25">
      <c r="A159" t="s">
        <v>27</v>
      </c>
      <c r="B159" t="s">
        <v>11</v>
      </c>
      <c r="C159" t="s">
        <v>43</v>
      </c>
      <c r="D159" t="s">
        <v>49</v>
      </c>
      <c r="E159">
        <v>2030</v>
      </c>
      <c r="F159">
        <v>202910.8690139266</v>
      </c>
    </row>
    <row r="160" spans="1:6" x14ac:dyDescent="0.25">
      <c r="A160" t="s">
        <v>27</v>
      </c>
      <c r="B160" t="s">
        <v>11</v>
      </c>
      <c r="C160" t="s">
        <v>43</v>
      </c>
      <c r="D160" t="s">
        <v>50</v>
      </c>
      <c r="E160">
        <v>2030</v>
      </c>
      <c r="F160">
        <v>179027.55479609076</v>
      </c>
    </row>
    <row r="161" spans="1:6" x14ac:dyDescent="0.25">
      <c r="A161" t="s">
        <v>27</v>
      </c>
      <c r="B161" t="s">
        <v>11</v>
      </c>
      <c r="C161" t="s">
        <v>43</v>
      </c>
      <c r="D161" t="s">
        <v>51</v>
      </c>
      <c r="E161">
        <v>2030</v>
      </c>
      <c r="F161">
        <v>0</v>
      </c>
    </row>
    <row r="162" spans="1:6" x14ac:dyDescent="0.25">
      <c r="A162" t="s">
        <v>27</v>
      </c>
      <c r="B162" t="s">
        <v>11</v>
      </c>
      <c r="C162" t="s">
        <v>43</v>
      </c>
      <c r="D162" t="s">
        <v>52</v>
      </c>
      <c r="E162">
        <v>2030</v>
      </c>
      <c r="F162">
        <v>23065.005787969905</v>
      </c>
    </row>
    <row r="163" spans="1:6" x14ac:dyDescent="0.25">
      <c r="A163" t="s">
        <v>27</v>
      </c>
      <c r="B163" t="s">
        <v>11</v>
      </c>
      <c r="C163" t="s">
        <v>43</v>
      </c>
      <c r="D163" t="s">
        <v>29</v>
      </c>
      <c r="E163">
        <v>2030</v>
      </c>
      <c r="F163">
        <v>952.06663022948101</v>
      </c>
    </row>
    <row r="164" spans="1:6" x14ac:dyDescent="0.25">
      <c r="A164" t="s">
        <v>27</v>
      </c>
      <c r="B164" t="s">
        <v>11</v>
      </c>
      <c r="C164" t="s">
        <v>43</v>
      </c>
      <c r="D164" t="s">
        <v>53</v>
      </c>
      <c r="E164">
        <v>2030</v>
      </c>
      <c r="F164">
        <v>10062.940438050116</v>
      </c>
    </row>
    <row r="165" spans="1:6" x14ac:dyDescent="0.25">
      <c r="A165" t="s">
        <v>27</v>
      </c>
      <c r="B165" t="s">
        <v>11</v>
      </c>
      <c r="C165" t="s">
        <v>43</v>
      </c>
      <c r="D165" t="s">
        <v>54</v>
      </c>
      <c r="E165">
        <v>2030</v>
      </c>
      <c r="F165">
        <v>15333.686496408332</v>
      </c>
    </row>
    <row r="166" spans="1:6" x14ac:dyDescent="0.25">
      <c r="A166" t="s">
        <v>27</v>
      </c>
      <c r="B166" t="s">
        <v>11</v>
      </c>
      <c r="C166" t="s">
        <v>43</v>
      </c>
      <c r="D166" t="s">
        <v>55</v>
      </c>
      <c r="E166">
        <v>2030</v>
      </c>
      <c r="F166">
        <v>24569.279216726416</v>
      </c>
    </row>
    <row r="167" spans="1:6" x14ac:dyDescent="0.25">
      <c r="A167" t="s">
        <v>27</v>
      </c>
      <c r="B167" t="s">
        <v>11</v>
      </c>
      <c r="C167" t="s">
        <v>43</v>
      </c>
      <c r="D167" t="s">
        <v>56</v>
      </c>
      <c r="E167">
        <v>2030</v>
      </c>
      <c r="F167">
        <v>36.19608838570413</v>
      </c>
    </row>
    <row r="168" spans="1:6" x14ac:dyDescent="0.25">
      <c r="A168" t="s">
        <v>27</v>
      </c>
      <c r="B168" t="s">
        <v>11</v>
      </c>
      <c r="C168" t="s">
        <v>43</v>
      </c>
      <c r="D168" t="s">
        <v>57</v>
      </c>
      <c r="E168">
        <v>2030</v>
      </c>
      <c r="F168">
        <v>28548.400000000001</v>
      </c>
    </row>
    <row r="169" spans="1:6" x14ac:dyDescent="0.25">
      <c r="A169" t="s">
        <v>27</v>
      </c>
      <c r="B169" t="s">
        <v>11</v>
      </c>
      <c r="C169" t="s">
        <v>43</v>
      </c>
      <c r="D169" t="s">
        <v>35</v>
      </c>
      <c r="E169">
        <v>2030</v>
      </c>
      <c r="F169">
        <v>0</v>
      </c>
    </row>
    <row r="170" spans="1:6" x14ac:dyDescent="0.25">
      <c r="A170" t="s">
        <v>27</v>
      </c>
      <c r="B170" t="s">
        <v>11</v>
      </c>
      <c r="C170" t="s">
        <v>43</v>
      </c>
      <c r="D170" t="s">
        <v>36</v>
      </c>
      <c r="E170">
        <v>2030</v>
      </c>
      <c r="F170">
        <v>0</v>
      </c>
    </row>
    <row r="171" spans="1:6" x14ac:dyDescent="0.25">
      <c r="A171" t="s">
        <v>27</v>
      </c>
      <c r="B171" t="s">
        <v>11</v>
      </c>
      <c r="C171" t="s">
        <v>43</v>
      </c>
      <c r="D171" t="s">
        <v>44</v>
      </c>
      <c r="E171">
        <v>2050</v>
      </c>
      <c r="F171">
        <v>1108334.6440677529</v>
      </c>
    </row>
    <row r="172" spans="1:6" x14ac:dyDescent="0.25">
      <c r="A172" t="s">
        <v>27</v>
      </c>
      <c r="B172" t="s">
        <v>11</v>
      </c>
      <c r="C172" t="s">
        <v>43</v>
      </c>
      <c r="D172" t="s">
        <v>45</v>
      </c>
      <c r="E172">
        <v>2050</v>
      </c>
      <c r="F172">
        <v>687918.86911669304</v>
      </c>
    </row>
    <row r="173" spans="1:6" x14ac:dyDescent="0.25">
      <c r="A173" t="s">
        <v>27</v>
      </c>
      <c r="B173" t="s">
        <v>11</v>
      </c>
      <c r="C173" t="s">
        <v>43</v>
      </c>
      <c r="D173" t="s">
        <v>46</v>
      </c>
      <c r="E173">
        <v>2050</v>
      </c>
      <c r="F173">
        <v>361.54919868427658</v>
      </c>
    </row>
    <row r="174" spans="1:6" x14ac:dyDescent="0.25">
      <c r="A174" t="s">
        <v>27</v>
      </c>
      <c r="B174" t="s">
        <v>11</v>
      </c>
      <c r="C174" t="s">
        <v>43</v>
      </c>
      <c r="D174" t="s">
        <v>47</v>
      </c>
      <c r="E174">
        <v>2050</v>
      </c>
      <c r="F174">
        <v>1327477.7098236387</v>
      </c>
    </row>
    <row r="175" spans="1:6" x14ac:dyDescent="0.25">
      <c r="A175" t="s">
        <v>27</v>
      </c>
      <c r="B175" t="s">
        <v>11</v>
      </c>
      <c r="C175" t="s">
        <v>43</v>
      </c>
      <c r="D175" t="s">
        <v>48</v>
      </c>
      <c r="E175">
        <v>2050</v>
      </c>
      <c r="F175">
        <v>172292.76645701908</v>
      </c>
    </row>
    <row r="176" spans="1:6" x14ac:dyDescent="0.25">
      <c r="A176" t="s">
        <v>27</v>
      </c>
      <c r="B176" t="s">
        <v>11</v>
      </c>
      <c r="C176" t="s">
        <v>43</v>
      </c>
      <c r="D176" t="s">
        <v>49</v>
      </c>
      <c r="E176">
        <v>2050</v>
      </c>
      <c r="F176">
        <v>203334.8469193347</v>
      </c>
    </row>
    <row r="177" spans="1:6" x14ac:dyDescent="0.25">
      <c r="A177" t="s">
        <v>27</v>
      </c>
      <c r="B177" t="s">
        <v>11</v>
      </c>
      <c r="C177" t="s">
        <v>43</v>
      </c>
      <c r="D177" t="s">
        <v>50</v>
      </c>
      <c r="E177">
        <v>2050</v>
      </c>
      <c r="F177">
        <v>188529.05350799995</v>
      </c>
    </row>
    <row r="178" spans="1:6" x14ac:dyDescent="0.25">
      <c r="A178" t="s">
        <v>27</v>
      </c>
      <c r="B178" t="s">
        <v>11</v>
      </c>
      <c r="C178" t="s">
        <v>43</v>
      </c>
      <c r="D178" t="s">
        <v>51</v>
      </c>
      <c r="E178">
        <v>2050</v>
      </c>
      <c r="F178">
        <v>0</v>
      </c>
    </row>
    <row r="179" spans="1:6" x14ac:dyDescent="0.25">
      <c r="A179" t="s">
        <v>27</v>
      </c>
      <c r="B179" t="s">
        <v>11</v>
      </c>
      <c r="C179" t="s">
        <v>43</v>
      </c>
      <c r="D179" t="s">
        <v>52</v>
      </c>
      <c r="E179">
        <v>2050</v>
      </c>
      <c r="F179">
        <v>23390.092564080911</v>
      </c>
    </row>
    <row r="180" spans="1:6" x14ac:dyDescent="0.25">
      <c r="A180" t="s">
        <v>27</v>
      </c>
      <c r="B180" t="s">
        <v>11</v>
      </c>
      <c r="C180" t="s">
        <v>43</v>
      </c>
      <c r="D180" t="s">
        <v>29</v>
      </c>
      <c r="E180">
        <v>2050</v>
      </c>
      <c r="F180">
        <v>960.24397829585632</v>
      </c>
    </row>
    <row r="181" spans="1:6" x14ac:dyDescent="0.25">
      <c r="A181" t="s">
        <v>27</v>
      </c>
      <c r="B181" t="s">
        <v>11</v>
      </c>
      <c r="C181" t="s">
        <v>43</v>
      </c>
      <c r="D181" t="s">
        <v>53</v>
      </c>
      <c r="E181">
        <v>2050</v>
      </c>
      <c r="F181">
        <v>10149.946321457959</v>
      </c>
    </row>
    <row r="182" spans="1:6" x14ac:dyDescent="0.25">
      <c r="A182" t="s">
        <v>27</v>
      </c>
      <c r="B182" t="s">
        <v>11</v>
      </c>
      <c r="C182" t="s">
        <v>43</v>
      </c>
      <c r="D182" t="s">
        <v>54</v>
      </c>
      <c r="E182">
        <v>2050</v>
      </c>
      <c r="F182">
        <v>15500.875420530891</v>
      </c>
    </row>
    <row r="183" spans="1:6" x14ac:dyDescent="0.25">
      <c r="A183" t="s">
        <v>27</v>
      </c>
      <c r="B183" t="s">
        <v>11</v>
      </c>
      <c r="C183" t="s">
        <v>43</v>
      </c>
      <c r="D183" t="s">
        <v>55</v>
      </c>
      <c r="E183">
        <v>2050</v>
      </c>
      <c r="F183">
        <v>24610.929224370728</v>
      </c>
    </row>
    <row r="184" spans="1:6" x14ac:dyDescent="0.25">
      <c r="A184" t="s">
        <v>27</v>
      </c>
      <c r="B184" t="s">
        <v>11</v>
      </c>
      <c r="C184" t="s">
        <v>43</v>
      </c>
      <c r="D184" t="s">
        <v>56</v>
      </c>
      <c r="E184">
        <v>2050</v>
      </c>
      <c r="F184">
        <v>36.343081867307831</v>
      </c>
    </row>
    <row r="185" spans="1:6" x14ac:dyDescent="0.25">
      <c r="A185" t="s">
        <v>27</v>
      </c>
      <c r="B185" t="s">
        <v>11</v>
      </c>
      <c r="C185" t="s">
        <v>43</v>
      </c>
      <c r="D185" t="s">
        <v>57</v>
      </c>
      <c r="E185">
        <v>2050</v>
      </c>
      <c r="F185">
        <v>28548.400000000001</v>
      </c>
    </row>
    <row r="186" spans="1:6" x14ac:dyDescent="0.25">
      <c r="A186" t="s">
        <v>27</v>
      </c>
      <c r="B186" t="s">
        <v>11</v>
      </c>
      <c r="C186" t="s">
        <v>43</v>
      </c>
      <c r="D186" t="s">
        <v>35</v>
      </c>
      <c r="E186">
        <v>2050</v>
      </c>
      <c r="F186">
        <v>0</v>
      </c>
    </row>
    <row r="187" spans="1:6" x14ac:dyDescent="0.25">
      <c r="A187" t="s">
        <v>27</v>
      </c>
      <c r="B187" t="s">
        <v>11</v>
      </c>
      <c r="C187" t="s">
        <v>43</v>
      </c>
      <c r="D187" t="s">
        <v>36</v>
      </c>
      <c r="E187">
        <v>2050</v>
      </c>
      <c r="F187">
        <v>0</v>
      </c>
    </row>
    <row r="188" spans="1:6" x14ac:dyDescent="0.25">
      <c r="A188" t="s">
        <v>27</v>
      </c>
      <c r="B188" t="s">
        <v>8</v>
      </c>
      <c r="C188" t="s">
        <v>28</v>
      </c>
      <c r="D188" t="s">
        <v>29</v>
      </c>
      <c r="E188">
        <v>2019</v>
      </c>
      <c r="F188">
        <v>5879215.2019956242</v>
      </c>
    </row>
    <row r="189" spans="1:6" x14ac:dyDescent="0.25">
      <c r="A189" t="s">
        <v>27</v>
      </c>
      <c r="B189" t="s">
        <v>8</v>
      </c>
      <c r="C189" t="s">
        <v>28</v>
      </c>
      <c r="D189" t="s">
        <v>52</v>
      </c>
      <c r="E189">
        <v>2019</v>
      </c>
      <c r="F189">
        <v>773085.89354292618</v>
      </c>
    </row>
    <row r="190" spans="1:6" x14ac:dyDescent="0.25">
      <c r="A190" t="s">
        <v>27</v>
      </c>
      <c r="B190" t="s">
        <v>8</v>
      </c>
      <c r="C190" t="s">
        <v>28</v>
      </c>
      <c r="D190" t="s">
        <v>31</v>
      </c>
      <c r="E190">
        <v>2019</v>
      </c>
      <c r="F190">
        <v>0</v>
      </c>
    </row>
    <row r="191" spans="1:6" x14ac:dyDescent="0.25">
      <c r="A191" t="s">
        <v>27</v>
      </c>
      <c r="B191" t="s">
        <v>8</v>
      </c>
      <c r="C191" t="s">
        <v>28</v>
      </c>
      <c r="D191" t="s">
        <v>34</v>
      </c>
      <c r="E191">
        <v>2019</v>
      </c>
      <c r="F191">
        <v>64498.47547519199</v>
      </c>
    </row>
    <row r="192" spans="1:6" x14ac:dyDescent="0.25">
      <c r="A192" t="s">
        <v>27</v>
      </c>
      <c r="B192" t="s">
        <v>8</v>
      </c>
      <c r="C192" t="s">
        <v>28</v>
      </c>
      <c r="D192" t="s">
        <v>55</v>
      </c>
      <c r="E192">
        <v>2019</v>
      </c>
      <c r="F192">
        <v>841167.61765562883</v>
      </c>
    </row>
    <row r="193" spans="1:6" x14ac:dyDescent="0.25">
      <c r="A193" t="s">
        <v>27</v>
      </c>
      <c r="B193" t="s">
        <v>8</v>
      </c>
      <c r="C193" t="s">
        <v>28</v>
      </c>
      <c r="D193" t="s">
        <v>54</v>
      </c>
      <c r="E193">
        <v>2019</v>
      </c>
      <c r="F193">
        <v>5657053.7864699634</v>
      </c>
    </row>
    <row r="194" spans="1:6" x14ac:dyDescent="0.25">
      <c r="A194" t="s">
        <v>27</v>
      </c>
      <c r="B194" t="s">
        <v>8</v>
      </c>
      <c r="C194" t="s">
        <v>28</v>
      </c>
      <c r="D194" t="s">
        <v>58</v>
      </c>
      <c r="E194">
        <v>2019</v>
      </c>
      <c r="F194">
        <v>214099.10609126228</v>
      </c>
    </row>
    <row r="195" spans="1:6" x14ac:dyDescent="0.25">
      <c r="A195" t="s">
        <v>27</v>
      </c>
      <c r="B195" t="s">
        <v>8</v>
      </c>
      <c r="C195" t="s">
        <v>28</v>
      </c>
      <c r="D195" t="s">
        <v>36</v>
      </c>
      <c r="E195">
        <v>2019</v>
      </c>
      <c r="F195">
        <v>0</v>
      </c>
    </row>
    <row r="196" spans="1:6" x14ac:dyDescent="0.25">
      <c r="A196" t="s">
        <v>27</v>
      </c>
      <c r="B196" t="s">
        <v>8</v>
      </c>
      <c r="C196" t="s">
        <v>28</v>
      </c>
      <c r="D196" t="s">
        <v>35</v>
      </c>
      <c r="E196">
        <v>2019</v>
      </c>
      <c r="F196">
        <v>0</v>
      </c>
    </row>
    <row r="197" spans="1:6" x14ac:dyDescent="0.25">
      <c r="A197" t="s">
        <v>27</v>
      </c>
      <c r="B197" t="s">
        <v>8</v>
      </c>
      <c r="C197" t="s">
        <v>28</v>
      </c>
      <c r="D197" t="s">
        <v>53</v>
      </c>
      <c r="E197">
        <v>2019</v>
      </c>
      <c r="F197">
        <v>12237689.9092583</v>
      </c>
    </row>
    <row r="198" spans="1:6" x14ac:dyDescent="0.25">
      <c r="A198" t="s">
        <v>27</v>
      </c>
      <c r="B198" t="s">
        <v>8</v>
      </c>
      <c r="C198" t="s">
        <v>28</v>
      </c>
      <c r="D198" t="s">
        <v>59</v>
      </c>
      <c r="E198">
        <v>2019</v>
      </c>
      <c r="F198">
        <v>1515714.1736670118</v>
      </c>
    </row>
    <row r="199" spans="1:6" x14ac:dyDescent="0.25">
      <c r="A199" t="s">
        <v>27</v>
      </c>
      <c r="B199" t="s">
        <v>8</v>
      </c>
      <c r="C199" t="s">
        <v>28</v>
      </c>
      <c r="D199" t="s">
        <v>60</v>
      </c>
      <c r="E199">
        <v>2019</v>
      </c>
      <c r="F199">
        <v>0</v>
      </c>
    </row>
    <row r="200" spans="1:6" x14ac:dyDescent="0.25">
      <c r="A200" t="s">
        <v>27</v>
      </c>
      <c r="B200" t="s">
        <v>8</v>
      </c>
      <c r="C200" t="s">
        <v>28</v>
      </c>
      <c r="D200" t="s">
        <v>61</v>
      </c>
      <c r="E200">
        <v>2019</v>
      </c>
      <c r="F200">
        <v>0</v>
      </c>
    </row>
    <row r="201" spans="1:6" x14ac:dyDescent="0.25">
      <c r="A201" t="s">
        <v>27</v>
      </c>
      <c r="B201" t="s">
        <v>8</v>
      </c>
      <c r="C201" t="s">
        <v>28</v>
      </c>
      <c r="D201" t="s">
        <v>62</v>
      </c>
      <c r="E201">
        <v>2019</v>
      </c>
      <c r="F201">
        <v>39415.735012617326</v>
      </c>
    </row>
    <row r="202" spans="1:6" x14ac:dyDescent="0.25">
      <c r="A202" t="s">
        <v>27</v>
      </c>
      <c r="B202" t="s">
        <v>8</v>
      </c>
      <c r="C202" t="s">
        <v>28</v>
      </c>
      <c r="D202" t="s">
        <v>63</v>
      </c>
      <c r="E202">
        <v>2019</v>
      </c>
      <c r="F202">
        <v>4828427.5390456235</v>
      </c>
    </row>
    <row r="203" spans="1:6" x14ac:dyDescent="0.25">
      <c r="A203" t="s">
        <v>27</v>
      </c>
      <c r="B203" t="s">
        <v>8</v>
      </c>
      <c r="C203" t="s">
        <v>28</v>
      </c>
      <c r="D203" t="s">
        <v>29</v>
      </c>
      <c r="E203">
        <v>2030</v>
      </c>
      <c r="F203">
        <v>5879215.2019956233</v>
      </c>
    </row>
    <row r="204" spans="1:6" x14ac:dyDescent="0.25">
      <c r="A204" t="s">
        <v>27</v>
      </c>
      <c r="B204" t="s">
        <v>8</v>
      </c>
      <c r="C204" t="s">
        <v>28</v>
      </c>
      <c r="D204" t="s">
        <v>52</v>
      </c>
      <c r="E204">
        <v>2030</v>
      </c>
      <c r="F204">
        <v>773085.89354292606</v>
      </c>
    </row>
    <row r="205" spans="1:6" x14ac:dyDescent="0.25">
      <c r="A205" t="s">
        <v>27</v>
      </c>
      <c r="B205" t="s">
        <v>8</v>
      </c>
      <c r="C205" t="s">
        <v>28</v>
      </c>
      <c r="D205" t="s">
        <v>31</v>
      </c>
      <c r="E205">
        <v>2030</v>
      </c>
      <c r="F205">
        <v>0</v>
      </c>
    </row>
    <row r="206" spans="1:6" x14ac:dyDescent="0.25">
      <c r="A206" t="s">
        <v>27</v>
      </c>
      <c r="B206" t="s">
        <v>8</v>
      </c>
      <c r="C206" t="s">
        <v>28</v>
      </c>
      <c r="D206" t="s">
        <v>34</v>
      </c>
      <c r="E206">
        <v>2030</v>
      </c>
      <c r="F206">
        <v>64498.475475191975</v>
      </c>
    </row>
    <row r="207" spans="1:6" x14ac:dyDescent="0.25">
      <c r="A207" t="s">
        <v>27</v>
      </c>
      <c r="B207" t="s">
        <v>8</v>
      </c>
      <c r="C207" t="s">
        <v>28</v>
      </c>
      <c r="D207" t="s">
        <v>55</v>
      </c>
      <c r="E207">
        <v>2030</v>
      </c>
      <c r="F207">
        <v>841167.61765562883</v>
      </c>
    </row>
    <row r="208" spans="1:6" x14ac:dyDescent="0.25">
      <c r="A208" t="s">
        <v>27</v>
      </c>
      <c r="B208" t="s">
        <v>8</v>
      </c>
      <c r="C208" t="s">
        <v>28</v>
      </c>
      <c r="D208" t="s">
        <v>54</v>
      </c>
      <c r="E208">
        <v>2030</v>
      </c>
      <c r="F208">
        <v>5657053.7864699624</v>
      </c>
    </row>
    <row r="209" spans="1:6" x14ac:dyDescent="0.25">
      <c r="A209" t="s">
        <v>27</v>
      </c>
      <c r="B209" t="s">
        <v>8</v>
      </c>
      <c r="C209" t="s">
        <v>28</v>
      </c>
      <c r="D209" t="s">
        <v>58</v>
      </c>
      <c r="E209">
        <v>2030</v>
      </c>
      <c r="F209">
        <v>214099.10609126225</v>
      </c>
    </row>
    <row r="210" spans="1:6" x14ac:dyDescent="0.25">
      <c r="A210" t="s">
        <v>27</v>
      </c>
      <c r="B210" t="s">
        <v>8</v>
      </c>
      <c r="C210" t="s">
        <v>28</v>
      </c>
      <c r="D210" t="s">
        <v>36</v>
      </c>
      <c r="E210">
        <v>2030</v>
      </c>
      <c r="F210">
        <v>0</v>
      </c>
    </row>
    <row r="211" spans="1:6" x14ac:dyDescent="0.25">
      <c r="A211" t="s">
        <v>27</v>
      </c>
      <c r="B211" t="s">
        <v>8</v>
      </c>
      <c r="C211" t="s">
        <v>28</v>
      </c>
      <c r="D211" t="s">
        <v>35</v>
      </c>
      <c r="E211">
        <v>2030</v>
      </c>
      <c r="F211">
        <v>0</v>
      </c>
    </row>
    <row r="212" spans="1:6" x14ac:dyDescent="0.25">
      <c r="A212" t="s">
        <v>27</v>
      </c>
      <c r="B212" t="s">
        <v>8</v>
      </c>
      <c r="C212" t="s">
        <v>28</v>
      </c>
      <c r="D212" t="s">
        <v>53</v>
      </c>
      <c r="E212">
        <v>2030</v>
      </c>
      <c r="F212">
        <v>12237689.909258299</v>
      </c>
    </row>
    <row r="213" spans="1:6" x14ac:dyDescent="0.25">
      <c r="A213" t="s">
        <v>27</v>
      </c>
      <c r="B213" t="s">
        <v>8</v>
      </c>
      <c r="C213" t="s">
        <v>28</v>
      </c>
      <c r="D213" t="s">
        <v>59</v>
      </c>
      <c r="E213">
        <v>2030</v>
      </c>
      <c r="F213">
        <v>1515714.1736670113</v>
      </c>
    </row>
    <row r="214" spans="1:6" x14ac:dyDescent="0.25">
      <c r="A214" t="s">
        <v>27</v>
      </c>
      <c r="B214" t="s">
        <v>8</v>
      </c>
      <c r="C214" t="s">
        <v>28</v>
      </c>
      <c r="D214" t="s">
        <v>60</v>
      </c>
      <c r="E214">
        <v>2030</v>
      </c>
      <c r="F214">
        <v>0</v>
      </c>
    </row>
    <row r="215" spans="1:6" x14ac:dyDescent="0.25">
      <c r="A215" t="s">
        <v>27</v>
      </c>
      <c r="B215" t="s">
        <v>8</v>
      </c>
      <c r="C215" t="s">
        <v>28</v>
      </c>
      <c r="D215" t="s">
        <v>61</v>
      </c>
      <c r="E215">
        <v>2030</v>
      </c>
      <c r="F215">
        <v>0</v>
      </c>
    </row>
    <row r="216" spans="1:6" x14ac:dyDescent="0.25">
      <c r="A216" t="s">
        <v>27</v>
      </c>
      <c r="B216" t="s">
        <v>8</v>
      </c>
      <c r="C216" t="s">
        <v>28</v>
      </c>
      <c r="D216" t="s">
        <v>62</v>
      </c>
      <c r="E216">
        <v>2030</v>
      </c>
      <c r="F216">
        <v>39415.735012617326</v>
      </c>
    </row>
    <row r="217" spans="1:6" x14ac:dyDescent="0.25">
      <c r="A217" t="s">
        <v>27</v>
      </c>
      <c r="B217" t="s">
        <v>8</v>
      </c>
      <c r="C217" t="s">
        <v>28</v>
      </c>
      <c r="D217" t="s">
        <v>63</v>
      </c>
      <c r="E217">
        <v>2030</v>
      </c>
      <c r="F217">
        <v>4828427.5390456226</v>
      </c>
    </row>
    <row r="218" spans="1:6" x14ac:dyDescent="0.25">
      <c r="A218" t="s">
        <v>27</v>
      </c>
      <c r="B218" t="s">
        <v>8</v>
      </c>
      <c r="C218" t="s">
        <v>28</v>
      </c>
      <c r="D218" t="s">
        <v>29</v>
      </c>
      <c r="E218">
        <v>2050</v>
      </c>
      <c r="F218">
        <v>5879215.2019956233</v>
      </c>
    </row>
    <row r="219" spans="1:6" x14ac:dyDescent="0.25">
      <c r="A219" t="s">
        <v>27</v>
      </c>
      <c r="B219" t="s">
        <v>8</v>
      </c>
      <c r="C219" t="s">
        <v>28</v>
      </c>
      <c r="D219" t="s">
        <v>52</v>
      </c>
      <c r="E219">
        <v>2050</v>
      </c>
      <c r="F219">
        <v>773085.89354292606</v>
      </c>
    </row>
    <row r="220" spans="1:6" x14ac:dyDescent="0.25">
      <c r="A220" t="s">
        <v>27</v>
      </c>
      <c r="B220" t="s">
        <v>8</v>
      </c>
      <c r="C220" t="s">
        <v>28</v>
      </c>
      <c r="D220" t="s">
        <v>31</v>
      </c>
      <c r="E220">
        <v>2050</v>
      </c>
      <c r="F220">
        <v>0</v>
      </c>
    </row>
    <row r="221" spans="1:6" x14ac:dyDescent="0.25">
      <c r="A221" t="s">
        <v>27</v>
      </c>
      <c r="B221" t="s">
        <v>8</v>
      </c>
      <c r="C221" t="s">
        <v>28</v>
      </c>
      <c r="D221" t="s">
        <v>34</v>
      </c>
      <c r="E221">
        <v>2050</v>
      </c>
      <c r="F221">
        <v>64498.475475191975</v>
      </c>
    </row>
    <row r="222" spans="1:6" x14ac:dyDescent="0.25">
      <c r="A222" t="s">
        <v>27</v>
      </c>
      <c r="B222" t="s">
        <v>8</v>
      </c>
      <c r="C222" t="s">
        <v>28</v>
      </c>
      <c r="D222" t="s">
        <v>55</v>
      </c>
      <c r="E222">
        <v>2050</v>
      </c>
      <c r="F222">
        <v>841167.61765562883</v>
      </c>
    </row>
    <row r="223" spans="1:6" x14ac:dyDescent="0.25">
      <c r="A223" t="s">
        <v>27</v>
      </c>
      <c r="B223" t="s">
        <v>8</v>
      </c>
      <c r="C223" t="s">
        <v>28</v>
      </c>
      <c r="D223" t="s">
        <v>54</v>
      </c>
      <c r="E223">
        <v>2050</v>
      </c>
      <c r="F223">
        <v>5657053.7864699624</v>
      </c>
    </row>
    <row r="224" spans="1:6" x14ac:dyDescent="0.25">
      <c r="A224" t="s">
        <v>27</v>
      </c>
      <c r="B224" t="s">
        <v>8</v>
      </c>
      <c r="C224" t="s">
        <v>28</v>
      </c>
      <c r="D224" t="s">
        <v>58</v>
      </c>
      <c r="E224">
        <v>2050</v>
      </c>
      <c r="F224">
        <v>214099.10609126225</v>
      </c>
    </row>
    <row r="225" spans="1:6" x14ac:dyDescent="0.25">
      <c r="A225" t="s">
        <v>27</v>
      </c>
      <c r="B225" t="s">
        <v>8</v>
      </c>
      <c r="C225" t="s">
        <v>28</v>
      </c>
      <c r="D225" t="s">
        <v>36</v>
      </c>
      <c r="E225">
        <v>2050</v>
      </c>
      <c r="F225">
        <v>0</v>
      </c>
    </row>
    <row r="226" spans="1:6" x14ac:dyDescent="0.25">
      <c r="A226" t="s">
        <v>27</v>
      </c>
      <c r="B226" t="s">
        <v>8</v>
      </c>
      <c r="C226" t="s">
        <v>28</v>
      </c>
      <c r="D226" t="s">
        <v>35</v>
      </c>
      <c r="E226">
        <v>2050</v>
      </c>
      <c r="F226">
        <v>0</v>
      </c>
    </row>
    <row r="227" spans="1:6" x14ac:dyDescent="0.25">
      <c r="A227" t="s">
        <v>27</v>
      </c>
      <c r="B227" t="s">
        <v>8</v>
      </c>
      <c r="C227" t="s">
        <v>28</v>
      </c>
      <c r="D227" t="s">
        <v>53</v>
      </c>
      <c r="E227">
        <v>2050</v>
      </c>
      <c r="F227">
        <v>12237689.909258299</v>
      </c>
    </row>
    <row r="228" spans="1:6" x14ac:dyDescent="0.25">
      <c r="A228" t="s">
        <v>27</v>
      </c>
      <c r="B228" t="s">
        <v>8</v>
      </c>
      <c r="C228" t="s">
        <v>28</v>
      </c>
      <c r="D228" t="s">
        <v>59</v>
      </c>
      <c r="E228">
        <v>2050</v>
      </c>
      <c r="F228">
        <v>1515714.1736670113</v>
      </c>
    </row>
    <row r="229" spans="1:6" x14ac:dyDescent="0.25">
      <c r="A229" t="s">
        <v>27</v>
      </c>
      <c r="B229" t="s">
        <v>8</v>
      </c>
      <c r="C229" t="s">
        <v>28</v>
      </c>
      <c r="D229" t="s">
        <v>60</v>
      </c>
      <c r="E229">
        <v>2050</v>
      </c>
      <c r="F229">
        <v>0</v>
      </c>
    </row>
    <row r="230" spans="1:6" x14ac:dyDescent="0.25">
      <c r="A230" t="s">
        <v>27</v>
      </c>
      <c r="B230" t="s">
        <v>8</v>
      </c>
      <c r="C230" t="s">
        <v>28</v>
      </c>
      <c r="D230" t="s">
        <v>61</v>
      </c>
      <c r="E230">
        <v>2050</v>
      </c>
      <c r="F230">
        <v>0</v>
      </c>
    </row>
    <row r="231" spans="1:6" x14ac:dyDescent="0.25">
      <c r="A231" t="s">
        <v>27</v>
      </c>
      <c r="B231" t="s">
        <v>8</v>
      </c>
      <c r="C231" t="s">
        <v>28</v>
      </c>
      <c r="D231" t="s">
        <v>62</v>
      </c>
      <c r="E231">
        <v>2050</v>
      </c>
      <c r="F231">
        <v>39415.735012617326</v>
      </c>
    </row>
    <row r="232" spans="1:6" x14ac:dyDescent="0.25">
      <c r="A232" t="s">
        <v>27</v>
      </c>
      <c r="B232" t="s">
        <v>8</v>
      </c>
      <c r="C232" t="s">
        <v>28</v>
      </c>
      <c r="D232" t="s">
        <v>63</v>
      </c>
      <c r="E232">
        <v>2050</v>
      </c>
      <c r="F232">
        <v>4828427.5390456226</v>
      </c>
    </row>
    <row r="233" spans="1:6" x14ac:dyDescent="0.25">
      <c r="A233" t="s">
        <v>27</v>
      </c>
      <c r="B233" t="s">
        <v>8</v>
      </c>
      <c r="C233" t="s">
        <v>43</v>
      </c>
      <c r="D233" t="s">
        <v>29</v>
      </c>
      <c r="E233">
        <v>2019</v>
      </c>
      <c r="F233">
        <v>721621.60770550335</v>
      </c>
    </row>
    <row r="234" spans="1:6" x14ac:dyDescent="0.25">
      <c r="A234" t="s">
        <v>27</v>
      </c>
      <c r="B234" t="s">
        <v>8</v>
      </c>
      <c r="C234" t="s">
        <v>43</v>
      </c>
      <c r="D234" t="s">
        <v>52</v>
      </c>
      <c r="E234">
        <v>2019</v>
      </c>
      <c r="F234">
        <v>94889.448034412548</v>
      </c>
    </row>
    <row r="235" spans="1:6" x14ac:dyDescent="0.25">
      <c r="A235" t="s">
        <v>27</v>
      </c>
      <c r="B235" t="s">
        <v>8</v>
      </c>
      <c r="C235" t="s">
        <v>43</v>
      </c>
      <c r="D235" t="s">
        <v>31</v>
      </c>
      <c r="E235">
        <v>2019</v>
      </c>
      <c r="F235">
        <v>0</v>
      </c>
    </row>
    <row r="236" spans="1:6" x14ac:dyDescent="0.25">
      <c r="A236" t="s">
        <v>27</v>
      </c>
      <c r="B236" t="s">
        <v>8</v>
      </c>
      <c r="C236" t="s">
        <v>43</v>
      </c>
      <c r="D236" t="s">
        <v>34</v>
      </c>
      <c r="E236">
        <v>2019</v>
      </c>
      <c r="F236">
        <v>7916.616753740097</v>
      </c>
    </row>
    <row r="237" spans="1:6" x14ac:dyDescent="0.25">
      <c r="A237" t="s">
        <v>27</v>
      </c>
      <c r="B237" t="s">
        <v>8</v>
      </c>
      <c r="C237" t="s">
        <v>43</v>
      </c>
      <c r="D237" t="s">
        <v>55</v>
      </c>
      <c r="E237">
        <v>2019</v>
      </c>
      <c r="F237">
        <v>103245.87683002709</v>
      </c>
    </row>
    <row r="238" spans="1:6" x14ac:dyDescent="0.25">
      <c r="A238" t="s">
        <v>27</v>
      </c>
      <c r="B238" t="s">
        <v>8</v>
      </c>
      <c r="C238" t="s">
        <v>43</v>
      </c>
      <c r="D238" t="s">
        <v>54</v>
      </c>
      <c r="E238">
        <v>2019</v>
      </c>
      <c r="F238">
        <v>694353.2611092875</v>
      </c>
    </row>
    <row r="239" spans="1:6" x14ac:dyDescent="0.25">
      <c r="A239" t="s">
        <v>27</v>
      </c>
      <c r="B239" t="s">
        <v>8</v>
      </c>
      <c r="C239" t="s">
        <v>43</v>
      </c>
      <c r="D239" t="s">
        <v>58</v>
      </c>
      <c r="E239">
        <v>2019</v>
      </c>
      <c r="F239">
        <v>26278.769501998373</v>
      </c>
    </row>
    <row r="240" spans="1:6" x14ac:dyDescent="0.25">
      <c r="A240" t="s">
        <v>27</v>
      </c>
      <c r="B240" t="s">
        <v>8</v>
      </c>
      <c r="C240" t="s">
        <v>43</v>
      </c>
      <c r="D240" t="s">
        <v>36</v>
      </c>
      <c r="E240">
        <v>2019</v>
      </c>
      <c r="F240">
        <v>0</v>
      </c>
    </row>
    <row r="241" spans="1:6" x14ac:dyDescent="0.25">
      <c r="A241" t="s">
        <v>27</v>
      </c>
      <c r="B241" t="s">
        <v>8</v>
      </c>
      <c r="C241" t="s">
        <v>43</v>
      </c>
      <c r="D241" t="s">
        <v>35</v>
      </c>
      <c r="E241">
        <v>2019</v>
      </c>
      <c r="F241">
        <v>0</v>
      </c>
    </row>
    <row r="242" spans="1:6" x14ac:dyDescent="0.25">
      <c r="A242" t="s">
        <v>27</v>
      </c>
      <c r="B242" t="s">
        <v>8</v>
      </c>
      <c r="C242" t="s">
        <v>43</v>
      </c>
      <c r="D242" t="s">
        <v>53</v>
      </c>
      <c r="E242">
        <v>2019</v>
      </c>
      <c r="F242">
        <v>1502068.0760117143</v>
      </c>
    </row>
    <row r="243" spans="1:6" x14ac:dyDescent="0.25">
      <c r="A243" t="s">
        <v>27</v>
      </c>
      <c r="B243" t="s">
        <v>8</v>
      </c>
      <c r="C243" t="s">
        <v>43</v>
      </c>
      <c r="D243" t="s">
        <v>59</v>
      </c>
      <c r="E243">
        <v>2019</v>
      </c>
      <c r="F243">
        <v>186040.49371289223</v>
      </c>
    </row>
    <row r="244" spans="1:6" x14ac:dyDescent="0.25">
      <c r="A244" t="s">
        <v>27</v>
      </c>
      <c r="B244" t="s">
        <v>8</v>
      </c>
      <c r="C244" t="s">
        <v>43</v>
      </c>
      <c r="D244" t="s">
        <v>60</v>
      </c>
      <c r="E244">
        <v>2019</v>
      </c>
      <c r="F244">
        <v>0</v>
      </c>
    </row>
    <row r="245" spans="1:6" x14ac:dyDescent="0.25">
      <c r="A245" t="s">
        <v>27</v>
      </c>
      <c r="B245" t="s">
        <v>8</v>
      </c>
      <c r="C245" t="s">
        <v>43</v>
      </c>
      <c r="D245" t="s">
        <v>61</v>
      </c>
      <c r="E245">
        <v>2019</v>
      </c>
      <c r="F245">
        <v>0</v>
      </c>
    </row>
    <row r="246" spans="1:6" x14ac:dyDescent="0.25">
      <c r="A246" t="s">
        <v>27</v>
      </c>
      <c r="B246" t="s">
        <v>8</v>
      </c>
      <c r="C246" t="s">
        <v>43</v>
      </c>
      <c r="D246" t="s">
        <v>62</v>
      </c>
      <c r="E246">
        <v>2019</v>
      </c>
      <c r="F246">
        <v>4837.9324606189475</v>
      </c>
    </row>
    <row r="247" spans="1:6" x14ac:dyDescent="0.25">
      <c r="A247" t="s">
        <v>27</v>
      </c>
      <c r="B247" t="s">
        <v>8</v>
      </c>
      <c r="C247" t="s">
        <v>43</v>
      </c>
      <c r="D247" t="s">
        <v>63</v>
      </c>
      <c r="E247">
        <v>2019</v>
      </c>
      <c r="F247">
        <v>592646.72642582108</v>
      </c>
    </row>
    <row r="248" spans="1:6" x14ac:dyDescent="0.25">
      <c r="A248" t="s">
        <v>27</v>
      </c>
      <c r="B248" t="s">
        <v>8</v>
      </c>
      <c r="C248" t="s">
        <v>43</v>
      </c>
      <c r="D248" t="s">
        <v>29</v>
      </c>
      <c r="E248">
        <v>2030</v>
      </c>
      <c r="F248">
        <v>721621.60770550347</v>
      </c>
    </row>
    <row r="249" spans="1:6" x14ac:dyDescent="0.25">
      <c r="A249" t="s">
        <v>27</v>
      </c>
      <c r="B249" t="s">
        <v>8</v>
      </c>
      <c r="C249" t="s">
        <v>43</v>
      </c>
      <c r="D249" t="s">
        <v>52</v>
      </c>
      <c r="E249">
        <v>2030</v>
      </c>
      <c r="F249">
        <v>94889.448034412562</v>
      </c>
    </row>
    <row r="250" spans="1:6" x14ac:dyDescent="0.25">
      <c r="A250" t="s">
        <v>27</v>
      </c>
      <c r="B250" t="s">
        <v>8</v>
      </c>
      <c r="C250" t="s">
        <v>43</v>
      </c>
      <c r="D250" t="s">
        <v>31</v>
      </c>
      <c r="E250">
        <v>2030</v>
      </c>
      <c r="F250">
        <v>0</v>
      </c>
    </row>
    <row r="251" spans="1:6" x14ac:dyDescent="0.25">
      <c r="A251" t="s">
        <v>27</v>
      </c>
      <c r="B251" t="s">
        <v>8</v>
      </c>
      <c r="C251" t="s">
        <v>43</v>
      </c>
      <c r="D251" t="s">
        <v>34</v>
      </c>
      <c r="E251">
        <v>2030</v>
      </c>
      <c r="F251">
        <v>7916.616753740097</v>
      </c>
    </row>
    <row r="252" spans="1:6" x14ac:dyDescent="0.25">
      <c r="A252" t="s">
        <v>27</v>
      </c>
      <c r="B252" t="s">
        <v>8</v>
      </c>
      <c r="C252" t="s">
        <v>43</v>
      </c>
      <c r="D252" t="s">
        <v>55</v>
      </c>
      <c r="E252">
        <v>2030</v>
      </c>
      <c r="F252">
        <v>103245.8768300271</v>
      </c>
    </row>
    <row r="253" spans="1:6" x14ac:dyDescent="0.25">
      <c r="A253" t="s">
        <v>27</v>
      </c>
      <c r="B253" t="s">
        <v>8</v>
      </c>
      <c r="C253" t="s">
        <v>43</v>
      </c>
      <c r="D253" t="s">
        <v>54</v>
      </c>
      <c r="E253">
        <v>2030</v>
      </c>
      <c r="F253">
        <v>694353.26110928762</v>
      </c>
    </row>
    <row r="254" spans="1:6" x14ac:dyDescent="0.25">
      <c r="A254" t="s">
        <v>27</v>
      </c>
      <c r="B254" t="s">
        <v>8</v>
      </c>
      <c r="C254" t="s">
        <v>43</v>
      </c>
      <c r="D254" t="s">
        <v>58</v>
      </c>
      <c r="E254">
        <v>2030</v>
      </c>
      <c r="F254">
        <v>26278.769501998377</v>
      </c>
    </row>
    <row r="255" spans="1:6" x14ac:dyDescent="0.25">
      <c r="A255" t="s">
        <v>27</v>
      </c>
      <c r="B255" t="s">
        <v>8</v>
      </c>
      <c r="C255" t="s">
        <v>43</v>
      </c>
      <c r="D255" t="s">
        <v>36</v>
      </c>
      <c r="E255">
        <v>2030</v>
      </c>
      <c r="F255">
        <v>0</v>
      </c>
    </row>
    <row r="256" spans="1:6" x14ac:dyDescent="0.25">
      <c r="A256" t="s">
        <v>27</v>
      </c>
      <c r="B256" t="s">
        <v>8</v>
      </c>
      <c r="C256" t="s">
        <v>43</v>
      </c>
      <c r="D256" t="s">
        <v>35</v>
      </c>
      <c r="E256">
        <v>2030</v>
      </c>
      <c r="F256">
        <v>0</v>
      </c>
    </row>
    <row r="257" spans="1:6" x14ac:dyDescent="0.25">
      <c r="A257" t="s">
        <v>27</v>
      </c>
      <c r="B257" t="s">
        <v>8</v>
      </c>
      <c r="C257" t="s">
        <v>43</v>
      </c>
      <c r="D257" t="s">
        <v>53</v>
      </c>
      <c r="E257">
        <v>2030</v>
      </c>
      <c r="F257">
        <v>1502068.0760117145</v>
      </c>
    </row>
    <row r="258" spans="1:6" x14ac:dyDescent="0.25">
      <c r="A258" t="s">
        <v>27</v>
      </c>
      <c r="B258" t="s">
        <v>8</v>
      </c>
      <c r="C258" t="s">
        <v>43</v>
      </c>
      <c r="D258" t="s">
        <v>59</v>
      </c>
      <c r="E258">
        <v>2030</v>
      </c>
      <c r="F258">
        <v>186040.49371289229</v>
      </c>
    </row>
    <row r="259" spans="1:6" x14ac:dyDescent="0.25">
      <c r="A259" t="s">
        <v>27</v>
      </c>
      <c r="B259" t="s">
        <v>8</v>
      </c>
      <c r="C259" t="s">
        <v>43</v>
      </c>
      <c r="D259" t="s">
        <v>60</v>
      </c>
      <c r="E259">
        <v>2030</v>
      </c>
      <c r="F259">
        <v>0</v>
      </c>
    </row>
    <row r="260" spans="1:6" x14ac:dyDescent="0.25">
      <c r="A260" t="s">
        <v>27</v>
      </c>
      <c r="B260" t="s">
        <v>8</v>
      </c>
      <c r="C260" t="s">
        <v>43</v>
      </c>
      <c r="D260" t="s">
        <v>61</v>
      </c>
      <c r="E260">
        <v>2030</v>
      </c>
      <c r="F260">
        <v>0</v>
      </c>
    </row>
    <row r="261" spans="1:6" x14ac:dyDescent="0.25">
      <c r="A261" t="s">
        <v>27</v>
      </c>
      <c r="B261" t="s">
        <v>8</v>
      </c>
      <c r="C261" t="s">
        <v>43</v>
      </c>
      <c r="D261" t="s">
        <v>62</v>
      </c>
      <c r="E261">
        <v>2030</v>
      </c>
      <c r="F261">
        <v>4837.9324606189484</v>
      </c>
    </row>
    <row r="262" spans="1:6" x14ac:dyDescent="0.25">
      <c r="A262" t="s">
        <v>27</v>
      </c>
      <c r="B262" t="s">
        <v>8</v>
      </c>
      <c r="C262" t="s">
        <v>43</v>
      </c>
      <c r="D262" t="s">
        <v>63</v>
      </c>
      <c r="E262">
        <v>2030</v>
      </c>
      <c r="F262">
        <v>592646.72642582119</v>
      </c>
    </row>
    <row r="263" spans="1:6" x14ac:dyDescent="0.25">
      <c r="A263" t="s">
        <v>27</v>
      </c>
      <c r="B263" t="s">
        <v>8</v>
      </c>
      <c r="C263" t="s">
        <v>43</v>
      </c>
      <c r="D263" t="s">
        <v>29</v>
      </c>
      <c r="E263">
        <v>2050</v>
      </c>
      <c r="F263">
        <v>721621.60770550335</v>
      </c>
    </row>
    <row r="264" spans="1:6" x14ac:dyDescent="0.25">
      <c r="A264" t="s">
        <v>27</v>
      </c>
      <c r="B264" t="s">
        <v>8</v>
      </c>
      <c r="C264" t="s">
        <v>43</v>
      </c>
      <c r="D264" t="s">
        <v>52</v>
      </c>
      <c r="E264">
        <v>2050</v>
      </c>
      <c r="F264">
        <v>94889.448034412548</v>
      </c>
    </row>
    <row r="265" spans="1:6" x14ac:dyDescent="0.25">
      <c r="A265" t="s">
        <v>27</v>
      </c>
      <c r="B265" t="s">
        <v>8</v>
      </c>
      <c r="C265" t="s">
        <v>43</v>
      </c>
      <c r="D265" t="s">
        <v>31</v>
      </c>
      <c r="E265">
        <v>2050</v>
      </c>
      <c r="F265">
        <v>0</v>
      </c>
    </row>
    <row r="266" spans="1:6" x14ac:dyDescent="0.25">
      <c r="A266" t="s">
        <v>27</v>
      </c>
      <c r="B266" t="s">
        <v>8</v>
      </c>
      <c r="C266" t="s">
        <v>43</v>
      </c>
      <c r="D266" t="s">
        <v>34</v>
      </c>
      <c r="E266">
        <v>2050</v>
      </c>
      <c r="F266">
        <v>7916.616753740097</v>
      </c>
    </row>
    <row r="267" spans="1:6" x14ac:dyDescent="0.25">
      <c r="A267" t="s">
        <v>27</v>
      </c>
      <c r="B267" t="s">
        <v>8</v>
      </c>
      <c r="C267" t="s">
        <v>43</v>
      </c>
      <c r="D267" t="s">
        <v>55</v>
      </c>
      <c r="E267">
        <v>2050</v>
      </c>
      <c r="F267">
        <v>103245.87683002709</v>
      </c>
    </row>
    <row r="268" spans="1:6" x14ac:dyDescent="0.25">
      <c r="A268" t="s">
        <v>27</v>
      </c>
      <c r="B268" t="s">
        <v>8</v>
      </c>
      <c r="C268" t="s">
        <v>43</v>
      </c>
      <c r="D268" t="s">
        <v>54</v>
      </c>
      <c r="E268">
        <v>2050</v>
      </c>
      <c r="F268">
        <v>694353.2611092875</v>
      </c>
    </row>
    <row r="269" spans="1:6" x14ac:dyDescent="0.25">
      <c r="A269" t="s">
        <v>27</v>
      </c>
      <c r="B269" t="s">
        <v>8</v>
      </c>
      <c r="C269" t="s">
        <v>43</v>
      </c>
      <c r="D269" t="s">
        <v>58</v>
      </c>
      <c r="E269">
        <v>2050</v>
      </c>
      <c r="F269">
        <v>26278.769501998373</v>
      </c>
    </row>
    <row r="270" spans="1:6" x14ac:dyDescent="0.25">
      <c r="A270" t="s">
        <v>27</v>
      </c>
      <c r="B270" t="s">
        <v>8</v>
      </c>
      <c r="C270" t="s">
        <v>43</v>
      </c>
      <c r="D270" t="s">
        <v>36</v>
      </c>
      <c r="E270">
        <v>2050</v>
      </c>
      <c r="F270">
        <v>0</v>
      </c>
    </row>
    <row r="271" spans="1:6" x14ac:dyDescent="0.25">
      <c r="A271" t="s">
        <v>27</v>
      </c>
      <c r="B271" t="s">
        <v>8</v>
      </c>
      <c r="C271" t="s">
        <v>43</v>
      </c>
      <c r="D271" t="s">
        <v>35</v>
      </c>
      <c r="E271">
        <v>2050</v>
      </c>
      <c r="F271">
        <v>0</v>
      </c>
    </row>
    <row r="272" spans="1:6" x14ac:dyDescent="0.25">
      <c r="A272" t="s">
        <v>27</v>
      </c>
      <c r="B272" t="s">
        <v>8</v>
      </c>
      <c r="C272" t="s">
        <v>43</v>
      </c>
      <c r="D272" t="s">
        <v>53</v>
      </c>
      <c r="E272">
        <v>2050</v>
      </c>
      <c r="F272">
        <v>1502068.0760117143</v>
      </c>
    </row>
    <row r="273" spans="1:6" x14ac:dyDescent="0.25">
      <c r="A273" t="s">
        <v>27</v>
      </c>
      <c r="B273" t="s">
        <v>8</v>
      </c>
      <c r="C273" t="s">
        <v>43</v>
      </c>
      <c r="D273" t="s">
        <v>59</v>
      </c>
      <c r="E273">
        <v>2050</v>
      </c>
      <c r="F273">
        <v>186040.49371289223</v>
      </c>
    </row>
    <row r="274" spans="1:6" x14ac:dyDescent="0.25">
      <c r="A274" t="s">
        <v>27</v>
      </c>
      <c r="B274" t="s">
        <v>8</v>
      </c>
      <c r="C274" t="s">
        <v>43</v>
      </c>
      <c r="D274" t="s">
        <v>60</v>
      </c>
      <c r="E274">
        <v>2050</v>
      </c>
      <c r="F274">
        <v>0</v>
      </c>
    </row>
    <row r="275" spans="1:6" x14ac:dyDescent="0.25">
      <c r="A275" t="s">
        <v>27</v>
      </c>
      <c r="B275" t="s">
        <v>8</v>
      </c>
      <c r="C275" t="s">
        <v>43</v>
      </c>
      <c r="D275" t="s">
        <v>61</v>
      </c>
      <c r="E275">
        <v>2050</v>
      </c>
      <c r="F275">
        <v>0</v>
      </c>
    </row>
    <row r="276" spans="1:6" x14ac:dyDescent="0.25">
      <c r="A276" t="s">
        <v>27</v>
      </c>
      <c r="B276" t="s">
        <v>8</v>
      </c>
      <c r="C276" t="s">
        <v>43</v>
      </c>
      <c r="D276" t="s">
        <v>62</v>
      </c>
      <c r="E276">
        <v>2050</v>
      </c>
      <c r="F276">
        <v>4837.9324606189475</v>
      </c>
    </row>
    <row r="277" spans="1:6" x14ac:dyDescent="0.25">
      <c r="A277" t="s">
        <v>27</v>
      </c>
      <c r="B277" t="s">
        <v>8</v>
      </c>
      <c r="C277" t="s">
        <v>43</v>
      </c>
      <c r="D277" t="s">
        <v>63</v>
      </c>
      <c r="E277">
        <v>2050</v>
      </c>
      <c r="F277">
        <v>592646.72642582108</v>
      </c>
    </row>
    <row r="278" spans="1:6" x14ac:dyDescent="0.25">
      <c r="A278" t="s">
        <v>27</v>
      </c>
      <c r="B278" t="s">
        <v>13</v>
      </c>
      <c r="C278" t="s">
        <v>28</v>
      </c>
      <c r="D278" t="s">
        <v>52</v>
      </c>
      <c r="E278">
        <v>2019</v>
      </c>
      <c r="F278">
        <v>1159590.3134327475</v>
      </c>
    </row>
    <row r="279" spans="1:6" x14ac:dyDescent="0.25">
      <c r="A279" t="s">
        <v>27</v>
      </c>
      <c r="B279" t="s">
        <v>13</v>
      </c>
      <c r="C279" t="s">
        <v>28</v>
      </c>
      <c r="D279" t="s">
        <v>64</v>
      </c>
      <c r="E279">
        <v>2019</v>
      </c>
      <c r="F279">
        <v>3102.9355833262225</v>
      </c>
    </row>
    <row r="280" spans="1:6" x14ac:dyDescent="0.25">
      <c r="A280" t="s">
        <v>27</v>
      </c>
      <c r="B280" t="s">
        <v>13</v>
      </c>
      <c r="C280" t="s">
        <v>28</v>
      </c>
      <c r="D280" t="s">
        <v>65</v>
      </c>
      <c r="E280">
        <v>2019</v>
      </c>
      <c r="F280">
        <v>172205.06744997756</v>
      </c>
    </row>
    <row r="281" spans="1:6" x14ac:dyDescent="0.25">
      <c r="A281" t="s">
        <v>27</v>
      </c>
      <c r="B281" t="s">
        <v>13</v>
      </c>
      <c r="C281" t="s">
        <v>28</v>
      </c>
      <c r="D281" t="s">
        <v>66</v>
      </c>
      <c r="E281">
        <v>2019</v>
      </c>
      <c r="F281">
        <v>2328635.6388303456</v>
      </c>
    </row>
    <row r="282" spans="1:6" x14ac:dyDescent="0.25">
      <c r="A282" t="s">
        <v>27</v>
      </c>
      <c r="B282" t="s">
        <v>13</v>
      </c>
      <c r="C282" t="s">
        <v>28</v>
      </c>
      <c r="D282" t="s">
        <v>56</v>
      </c>
      <c r="E282">
        <v>2019</v>
      </c>
      <c r="F282">
        <v>530420.38785042788</v>
      </c>
    </row>
    <row r="283" spans="1:6" x14ac:dyDescent="0.25">
      <c r="A283" t="s">
        <v>27</v>
      </c>
      <c r="B283" t="s">
        <v>13</v>
      </c>
      <c r="C283" t="s">
        <v>28</v>
      </c>
      <c r="D283" t="s">
        <v>48</v>
      </c>
      <c r="E283">
        <v>2019</v>
      </c>
      <c r="F283">
        <v>0</v>
      </c>
    </row>
    <row r="284" spans="1:6" x14ac:dyDescent="0.25">
      <c r="A284" t="s">
        <v>27</v>
      </c>
      <c r="B284" t="s">
        <v>67</v>
      </c>
      <c r="C284" t="s">
        <v>28</v>
      </c>
      <c r="D284" t="s">
        <v>52</v>
      </c>
      <c r="E284">
        <v>2019</v>
      </c>
      <c r="F284">
        <v>0</v>
      </c>
    </row>
    <row r="285" spans="1:6" x14ac:dyDescent="0.25">
      <c r="A285" t="s">
        <v>27</v>
      </c>
      <c r="B285" t="s">
        <v>67</v>
      </c>
      <c r="C285" t="s">
        <v>28</v>
      </c>
      <c r="D285" t="s">
        <v>64</v>
      </c>
      <c r="E285">
        <v>2019</v>
      </c>
      <c r="F285">
        <v>152043.84358298479</v>
      </c>
    </row>
    <row r="286" spans="1:6" x14ac:dyDescent="0.25">
      <c r="A286" t="s">
        <v>27</v>
      </c>
      <c r="B286" t="s">
        <v>67</v>
      </c>
      <c r="C286" t="s">
        <v>28</v>
      </c>
      <c r="D286" t="s">
        <v>65</v>
      </c>
      <c r="E286">
        <v>2019</v>
      </c>
      <c r="F286">
        <v>0</v>
      </c>
    </row>
    <row r="287" spans="1:6" x14ac:dyDescent="0.25">
      <c r="A287" t="s">
        <v>27</v>
      </c>
      <c r="B287" t="s">
        <v>67</v>
      </c>
      <c r="C287" t="s">
        <v>28</v>
      </c>
      <c r="D287" t="s">
        <v>66</v>
      </c>
      <c r="E287">
        <v>2019</v>
      </c>
      <c r="F287">
        <v>0</v>
      </c>
    </row>
    <row r="288" spans="1:6" x14ac:dyDescent="0.25">
      <c r="A288" t="s">
        <v>27</v>
      </c>
      <c r="B288" t="s">
        <v>67</v>
      </c>
      <c r="C288" t="s">
        <v>28</v>
      </c>
      <c r="D288" t="s">
        <v>56</v>
      </c>
      <c r="E288">
        <v>2019</v>
      </c>
      <c r="F288">
        <v>0</v>
      </c>
    </row>
    <row r="289" spans="1:6" x14ac:dyDescent="0.25">
      <c r="A289" t="s">
        <v>27</v>
      </c>
      <c r="B289" t="s">
        <v>67</v>
      </c>
      <c r="C289" t="s">
        <v>28</v>
      </c>
      <c r="D289" t="s">
        <v>48</v>
      </c>
      <c r="E289">
        <v>2019</v>
      </c>
      <c r="F289">
        <v>0</v>
      </c>
    </row>
    <row r="290" spans="1:6" x14ac:dyDescent="0.25">
      <c r="A290" t="s">
        <v>27</v>
      </c>
      <c r="B290" t="s">
        <v>13</v>
      </c>
      <c r="C290" t="s">
        <v>43</v>
      </c>
      <c r="D290" t="s">
        <v>52</v>
      </c>
      <c r="E290">
        <v>2019</v>
      </c>
      <c r="F290">
        <v>734174.89910281403</v>
      </c>
    </row>
    <row r="291" spans="1:6" x14ac:dyDescent="0.25">
      <c r="A291" t="s">
        <v>27</v>
      </c>
      <c r="B291" t="s">
        <v>13</v>
      </c>
      <c r="C291" t="s">
        <v>43</v>
      </c>
      <c r="D291" t="s">
        <v>64</v>
      </c>
      <c r="E291">
        <v>2019</v>
      </c>
      <c r="F291">
        <v>1238.8744472557355</v>
      </c>
    </row>
    <row r="292" spans="1:6" x14ac:dyDescent="0.25">
      <c r="A292" t="s">
        <v>27</v>
      </c>
      <c r="B292" t="s">
        <v>13</v>
      </c>
      <c r="C292" t="s">
        <v>43</v>
      </c>
      <c r="D292" t="s">
        <v>65</v>
      </c>
      <c r="E292">
        <v>2019</v>
      </c>
      <c r="F292">
        <v>37577.319945022478</v>
      </c>
    </row>
    <row r="293" spans="1:6" x14ac:dyDescent="0.25">
      <c r="A293" t="s">
        <v>27</v>
      </c>
      <c r="B293" t="s">
        <v>13</v>
      </c>
      <c r="C293" t="s">
        <v>43</v>
      </c>
      <c r="D293" t="s">
        <v>66</v>
      </c>
      <c r="E293">
        <v>2019</v>
      </c>
      <c r="F293">
        <v>681602.85349434032</v>
      </c>
    </row>
    <row r="294" spans="1:6" x14ac:dyDescent="0.25">
      <c r="A294" t="s">
        <v>27</v>
      </c>
      <c r="B294" t="s">
        <v>13</v>
      </c>
      <c r="C294" t="s">
        <v>43</v>
      </c>
      <c r="D294" t="s">
        <v>56</v>
      </c>
      <c r="E294">
        <v>2019</v>
      </c>
      <c r="F294">
        <v>452310.61214957217</v>
      </c>
    </row>
    <row r="295" spans="1:6" x14ac:dyDescent="0.25">
      <c r="A295" t="s">
        <v>27</v>
      </c>
      <c r="B295" t="s">
        <v>13</v>
      </c>
      <c r="C295" t="s">
        <v>43</v>
      </c>
      <c r="D295" t="s">
        <v>48</v>
      </c>
      <c r="E295">
        <v>2019</v>
      </c>
      <c r="F295">
        <v>0</v>
      </c>
    </row>
    <row r="296" spans="1:6" x14ac:dyDescent="0.25">
      <c r="A296" t="s">
        <v>27</v>
      </c>
      <c r="B296" t="s">
        <v>67</v>
      </c>
      <c r="C296" t="s">
        <v>43</v>
      </c>
      <c r="D296" t="s">
        <v>52</v>
      </c>
      <c r="E296">
        <v>2019</v>
      </c>
      <c r="F296">
        <v>0</v>
      </c>
    </row>
    <row r="297" spans="1:6" x14ac:dyDescent="0.25">
      <c r="A297" t="s">
        <v>27</v>
      </c>
      <c r="B297" t="s">
        <v>67</v>
      </c>
      <c r="C297" t="s">
        <v>43</v>
      </c>
      <c r="D297" t="s">
        <v>64</v>
      </c>
      <c r="E297">
        <v>2019</v>
      </c>
      <c r="F297">
        <v>60704.847915530983</v>
      </c>
    </row>
    <row r="298" spans="1:6" x14ac:dyDescent="0.25">
      <c r="A298" t="s">
        <v>27</v>
      </c>
      <c r="B298" t="s">
        <v>67</v>
      </c>
      <c r="C298" t="s">
        <v>43</v>
      </c>
      <c r="D298" t="s">
        <v>65</v>
      </c>
      <c r="E298">
        <v>2019</v>
      </c>
      <c r="F298">
        <v>0</v>
      </c>
    </row>
    <row r="299" spans="1:6" x14ac:dyDescent="0.25">
      <c r="A299" t="s">
        <v>27</v>
      </c>
      <c r="B299" t="s">
        <v>67</v>
      </c>
      <c r="C299" t="s">
        <v>43</v>
      </c>
      <c r="D299" t="s">
        <v>66</v>
      </c>
      <c r="E299">
        <v>2019</v>
      </c>
      <c r="F299">
        <v>0</v>
      </c>
    </row>
    <row r="300" spans="1:6" x14ac:dyDescent="0.25">
      <c r="A300" t="s">
        <v>27</v>
      </c>
      <c r="B300" t="s">
        <v>67</v>
      </c>
      <c r="C300" t="s">
        <v>43</v>
      </c>
      <c r="D300" t="s">
        <v>56</v>
      </c>
      <c r="E300">
        <v>2019</v>
      </c>
      <c r="F300">
        <v>0</v>
      </c>
    </row>
    <row r="301" spans="1:6" x14ac:dyDescent="0.25">
      <c r="A301" t="s">
        <v>27</v>
      </c>
      <c r="B301" t="s">
        <v>67</v>
      </c>
      <c r="C301" t="s">
        <v>43</v>
      </c>
      <c r="D301" t="s">
        <v>48</v>
      </c>
      <c r="E301">
        <v>2019</v>
      </c>
      <c r="F301">
        <v>0</v>
      </c>
    </row>
    <row r="302" spans="1:6" x14ac:dyDescent="0.25">
      <c r="A302" t="s">
        <v>27</v>
      </c>
      <c r="B302" t="s">
        <v>13</v>
      </c>
      <c r="C302" t="s">
        <v>28</v>
      </c>
      <c r="D302" t="s">
        <v>52</v>
      </c>
      <c r="E302">
        <v>2030</v>
      </c>
      <c r="F302">
        <v>1086254.4459537058</v>
      </c>
    </row>
    <row r="303" spans="1:6" x14ac:dyDescent="0.25">
      <c r="A303" t="s">
        <v>27</v>
      </c>
      <c r="B303" t="s">
        <v>13</v>
      </c>
      <c r="C303" t="s">
        <v>28</v>
      </c>
      <c r="D303" t="s">
        <v>64</v>
      </c>
      <c r="E303">
        <v>2030</v>
      </c>
      <c r="F303">
        <v>162493.02564918654</v>
      </c>
    </row>
    <row r="304" spans="1:6" x14ac:dyDescent="0.25">
      <c r="A304" t="s">
        <v>27</v>
      </c>
      <c r="B304" t="s">
        <v>13</v>
      </c>
      <c r="C304" t="s">
        <v>28</v>
      </c>
      <c r="D304" t="s">
        <v>65</v>
      </c>
      <c r="E304">
        <v>2030</v>
      </c>
      <c r="F304">
        <v>177516.46640303911</v>
      </c>
    </row>
    <row r="305" spans="1:6" x14ac:dyDescent="0.25">
      <c r="A305" t="s">
        <v>27</v>
      </c>
      <c r="B305" t="s">
        <v>13</v>
      </c>
      <c r="C305" t="s">
        <v>28</v>
      </c>
      <c r="D305" t="s">
        <v>66</v>
      </c>
      <c r="E305">
        <v>2030</v>
      </c>
      <c r="F305">
        <v>2203715.0015238998</v>
      </c>
    </row>
    <row r="306" spans="1:6" x14ac:dyDescent="0.25">
      <c r="A306" t="s">
        <v>27</v>
      </c>
      <c r="B306" t="s">
        <v>13</v>
      </c>
      <c r="C306" t="s">
        <v>28</v>
      </c>
      <c r="D306" t="s">
        <v>56</v>
      </c>
      <c r="E306">
        <v>2030</v>
      </c>
      <c r="F306">
        <v>526692.30595677684</v>
      </c>
    </row>
    <row r="307" spans="1:6" x14ac:dyDescent="0.25">
      <c r="A307" t="s">
        <v>27</v>
      </c>
      <c r="B307" t="s">
        <v>13</v>
      </c>
      <c r="C307" t="s">
        <v>28</v>
      </c>
      <c r="D307" t="s">
        <v>48</v>
      </c>
      <c r="E307">
        <v>2030</v>
      </c>
      <c r="F307">
        <v>0</v>
      </c>
    </row>
    <row r="308" spans="1:6" x14ac:dyDescent="0.25">
      <c r="A308" t="s">
        <v>27</v>
      </c>
      <c r="B308" t="s">
        <v>67</v>
      </c>
      <c r="C308" t="s">
        <v>28</v>
      </c>
      <c r="D308" t="s">
        <v>52</v>
      </c>
      <c r="E308">
        <v>2030</v>
      </c>
      <c r="F308">
        <v>0</v>
      </c>
    </row>
    <row r="309" spans="1:6" x14ac:dyDescent="0.25">
      <c r="A309" t="s">
        <v>27</v>
      </c>
      <c r="B309" t="s">
        <v>67</v>
      </c>
      <c r="C309" t="s">
        <v>28</v>
      </c>
      <c r="D309" t="s">
        <v>64</v>
      </c>
      <c r="E309">
        <v>2030</v>
      </c>
      <c r="F309">
        <v>0</v>
      </c>
    </row>
    <row r="310" spans="1:6" x14ac:dyDescent="0.25">
      <c r="A310" t="s">
        <v>27</v>
      </c>
      <c r="B310" t="s">
        <v>67</v>
      </c>
      <c r="C310" t="s">
        <v>28</v>
      </c>
      <c r="D310" t="s">
        <v>65</v>
      </c>
      <c r="E310">
        <v>2030</v>
      </c>
      <c r="F310">
        <v>0</v>
      </c>
    </row>
    <row r="311" spans="1:6" x14ac:dyDescent="0.25">
      <c r="A311" t="s">
        <v>27</v>
      </c>
      <c r="B311" t="s">
        <v>67</v>
      </c>
      <c r="C311" t="s">
        <v>28</v>
      </c>
      <c r="D311" t="s">
        <v>66</v>
      </c>
      <c r="E311">
        <v>2030</v>
      </c>
      <c r="F311">
        <v>0</v>
      </c>
    </row>
    <row r="312" spans="1:6" x14ac:dyDescent="0.25">
      <c r="A312" t="s">
        <v>27</v>
      </c>
      <c r="B312" t="s">
        <v>67</v>
      </c>
      <c r="C312" t="s">
        <v>28</v>
      </c>
      <c r="D312" t="s">
        <v>56</v>
      </c>
      <c r="E312">
        <v>2030</v>
      </c>
      <c r="F312">
        <v>0</v>
      </c>
    </row>
    <row r="313" spans="1:6" x14ac:dyDescent="0.25">
      <c r="A313" t="s">
        <v>27</v>
      </c>
      <c r="B313" t="s">
        <v>67</v>
      </c>
      <c r="C313" t="s">
        <v>28</v>
      </c>
      <c r="D313" t="s">
        <v>48</v>
      </c>
      <c r="E313">
        <v>2030</v>
      </c>
      <c r="F313">
        <v>0</v>
      </c>
    </row>
    <row r="314" spans="1:6" x14ac:dyDescent="0.25">
      <c r="A314" t="s">
        <v>27</v>
      </c>
      <c r="B314" t="s">
        <v>13</v>
      </c>
      <c r="C314" t="s">
        <v>43</v>
      </c>
      <c r="D314" t="s">
        <v>52</v>
      </c>
      <c r="E314">
        <v>2030</v>
      </c>
      <c r="F314">
        <v>716279.67540878139</v>
      </c>
    </row>
    <row r="315" spans="1:6" x14ac:dyDescent="0.25">
      <c r="A315" t="s">
        <v>27</v>
      </c>
      <c r="B315" t="s">
        <v>13</v>
      </c>
      <c r="C315" t="s">
        <v>43</v>
      </c>
      <c r="D315" t="s">
        <v>64</v>
      </c>
      <c r="E315">
        <v>2030</v>
      </c>
      <c r="F315">
        <v>65410.493211637622</v>
      </c>
    </row>
    <row r="316" spans="1:6" x14ac:dyDescent="0.25">
      <c r="A316" t="s">
        <v>27</v>
      </c>
      <c r="B316" t="s">
        <v>13</v>
      </c>
      <c r="C316" t="s">
        <v>43</v>
      </c>
      <c r="D316" t="s">
        <v>65</v>
      </c>
      <c r="E316">
        <v>2030</v>
      </c>
      <c r="F316">
        <v>39419.677245239443</v>
      </c>
    </row>
    <row r="317" spans="1:6" x14ac:dyDescent="0.25">
      <c r="A317" t="s">
        <v>27</v>
      </c>
      <c r="B317" t="s">
        <v>13</v>
      </c>
      <c r="C317" t="s">
        <v>43</v>
      </c>
      <c r="D317" t="s">
        <v>66</v>
      </c>
      <c r="E317">
        <v>2030</v>
      </c>
      <c r="F317">
        <v>645037.98201828008</v>
      </c>
    </row>
    <row r="318" spans="1:6" x14ac:dyDescent="0.25">
      <c r="A318" t="s">
        <v>27</v>
      </c>
      <c r="B318" t="s">
        <v>13</v>
      </c>
      <c r="C318" t="s">
        <v>43</v>
      </c>
      <c r="D318" t="s">
        <v>56</v>
      </c>
      <c r="E318">
        <v>2030</v>
      </c>
      <c r="F318">
        <v>456038.69404322316</v>
      </c>
    </row>
    <row r="319" spans="1:6" x14ac:dyDescent="0.25">
      <c r="A319" t="s">
        <v>27</v>
      </c>
      <c r="B319" t="s">
        <v>13</v>
      </c>
      <c r="C319" t="s">
        <v>43</v>
      </c>
      <c r="D319" t="s">
        <v>48</v>
      </c>
      <c r="E319">
        <v>2030</v>
      </c>
      <c r="F319">
        <v>0</v>
      </c>
    </row>
    <row r="320" spans="1:6" x14ac:dyDescent="0.25">
      <c r="A320" t="s">
        <v>27</v>
      </c>
      <c r="B320" t="s">
        <v>67</v>
      </c>
      <c r="C320" t="s">
        <v>43</v>
      </c>
      <c r="D320" t="s">
        <v>52</v>
      </c>
      <c r="E320">
        <v>2030</v>
      </c>
      <c r="F320">
        <v>0</v>
      </c>
    </row>
    <row r="321" spans="1:6" x14ac:dyDescent="0.25">
      <c r="A321" t="s">
        <v>27</v>
      </c>
      <c r="B321" t="s">
        <v>67</v>
      </c>
      <c r="C321" t="s">
        <v>43</v>
      </c>
      <c r="D321" t="s">
        <v>64</v>
      </c>
      <c r="E321">
        <v>2030</v>
      </c>
      <c r="F321">
        <v>0</v>
      </c>
    </row>
    <row r="322" spans="1:6" x14ac:dyDescent="0.25">
      <c r="A322" t="s">
        <v>27</v>
      </c>
      <c r="B322" t="s">
        <v>67</v>
      </c>
      <c r="C322" t="s">
        <v>43</v>
      </c>
      <c r="D322" t="s">
        <v>65</v>
      </c>
      <c r="E322">
        <v>2030</v>
      </c>
      <c r="F322">
        <v>0</v>
      </c>
    </row>
    <row r="323" spans="1:6" x14ac:dyDescent="0.25">
      <c r="A323" t="s">
        <v>27</v>
      </c>
      <c r="B323" t="s">
        <v>67</v>
      </c>
      <c r="C323" t="s">
        <v>43</v>
      </c>
      <c r="D323" t="s">
        <v>66</v>
      </c>
      <c r="E323">
        <v>2030</v>
      </c>
      <c r="F323">
        <v>0</v>
      </c>
    </row>
    <row r="324" spans="1:6" x14ac:dyDescent="0.25">
      <c r="A324" t="s">
        <v>27</v>
      </c>
      <c r="B324" t="s">
        <v>67</v>
      </c>
      <c r="C324" t="s">
        <v>43</v>
      </c>
      <c r="D324" t="s">
        <v>56</v>
      </c>
      <c r="E324">
        <v>2030</v>
      </c>
      <c r="F324">
        <v>0</v>
      </c>
    </row>
    <row r="325" spans="1:6" x14ac:dyDescent="0.25">
      <c r="A325" t="s">
        <v>27</v>
      </c>
      <c r="B325" t="s">
        <v>67</v>
      </c>
      <c r="C325" t="s">
        <v>43</v>
      </c>
      <c r="D325" t="s">
        <v>48</v>
      </c>
      <c r="E325">
        <v>2030</v>
      </c>
      <c r="F325">
        <v>0</v>
      </c>
    </row>
    <row r="326" spans="1:6" x14ac:dyDescent="0.25">
      <c r="A326" t="s">
        <v>27</v>
      </c>
      <c r="B326" t="s">
        <v>13</v>
      </c>
      <c r="C326" t="s">
        <v>28</v>
      </c>
      <c r="D326" t="s">
        <v>52</v>
      </c>
      <c r="E326">
        <v>2050</v>
      </c>
      <c r="F326">
        <v>1004436.1243752033</v>
      </c>
    </row>
    <row r="327" spans="1:6" x14ac:dyDescent="0.25">
      <c r="A327" t="s">
        <v>27</v>
      </c>
      <c r="B327" t="s">
        <v>13</v>
      </c>
      <c r="C327" t="s">
        <v>28</v>
      </c>
      <c r="D327" t="s">
        <v>64</v>
      </c>
      <c r="E327">
        <v>2050</v>
      </c>
      <c r="F327">
        <v>156492.78628542495</v>
      </c>
    </row>
    <row r="328" spans="1:6" x14ac:dyDescent="0.25">
      <c r="A328" t="s">
        <v>27</v>
      </c>
      <c r="B328" t="s">
        <v>13</v>
      </c>
      <c r="C328" t="s">
        <v>28</v>
      </c>
      <c r="D328" t="s">
        <v>65</v>
      </c>
      <c r="E328">
        <v>2050</v>
      </c>
      <c r="F328">
        <v>171775.11908496951</v>
      </c>
    </row>
    <row r="329" spans="1:6" x14ac:dyDescent="0.25">
      <c r="A329" t="s">
        <v>27</v>
      </c>
      <c r="B329" t="s">
        <v>13</v>
      </c>
      <c r="C329" t="s">
        <v>28</v>
      </c>
      <c r="D329" t="s">
        <v>66</v>
      </c>
      <c r="E329">
        <v>2050</v>
      </c>
      <c r="F329">
        <v>2001135.6433479721</v>
      </c>
    </row>
    <row r="330" spans="1:6" x14ac:dyDescent="0.25">
      <c r="A330" t="s">
        <v>27</v>
      </c>
      <c r="B330" t="s">
        <v>13</v>
      </c>
      <c r="C330" t="s">
        <v>28</v>
      </c>
      <c r="D330" t="s">
        <v>56</v>
      </c>
      <c r="E330">
        <v>2050</v>
      </c>
      <c r="F330">
        <v>524840.3181212655</v>
      </c>
    </row>
    <row r="331" spans="1:6" x14ac:dyDescent="0.25">
      <c r="A331" t="s">
        <v>27</v>
      </c>
      <c r="B331" t="s">
        <v>13</v>
      </c>
      <c r="C331" t="s">
        <v>28</v>
      </c>
      <c r="D331" t="s">
        <v>48</v>
      </c>
      <c r="E331">
        <v>2050</v>
      </c>
      <c r="F331">
        <v>0</v>
      </c>
    </row>
    <row r="332" spans="1:6" x14ac:dyDescent="0.25">
      <c r="A332" t="s">
        <v>27</v>
      </c>
      <c r="B332" t="s">
        <v>67</v>
      </c>
      <c r="C332" t="s">
        <v>28</v>
      </c>
      <c r="D332" t="s">
        <v>52</v>
      </c>
      <c r="E332">
        <v>2050</v>
      </c>
      <c r="F332">
        <v>0</v>
      </c>
    </row>
    <row r="333" spans="1:6" x14ac:dyDescent="0.25">
      <c r="A333" t="s">
        <v>27</v>
      </c>
      <c r="B333" t="s">
        <v>67</v>
      </c>
      <c r="C333" t="s">
        <v>28</v>
      </c>
      <c r="D333" t="s">
        <v>64</v>
      </c>
      <c r="E333">
        <v>2050</v>
      </c>
      <c r="F333">
        <v>0</v>
      </c>
    </row>
    <row r="334" spans="1:6" x14ac:dyDescent="0.25">
      <c r="A334" t="s">
        <v>27</v>
      </c>
      <c r="B334" t="s">
        <v>67</v>
      </c>
      <c r="C334" t="s">
        <v>28</v>
      </c>
      <c r="D334" t="s">
        <v>65</v>
      </c>
      <c r="E334">
        <v>2050</v>
      </c>
      <c r="F334">
        <v>0</v>
      </c>
    </row>
    <row r="335" spans="1:6" x14ac:dyDescent="0.25">
      <c r="A335" t="s">
        <v>27</v>
      </c>
      <c r="B335" t="s">
        <v>67</v>
      </c>
      <c r="C335" t="s">
        <v>28</v>
      </c>
      <c r="D335" t="s">
        <v>66</v>
      </c>
      <c r="E335">
        <v>2050</v>
      </c>
      <c r="F335">
        <v>0</v>
      </c>
    </row>
    <row r="336" spans="1:6" x14ac:dyDescent="0.25">
      <c r="A336" t="s">
        <v>27</v>
      </c>
      <c r="B336" t="s">
        <v>67</v>
      </c>
      <c r="C336" t="s">
        <v>28</v>
      </c>
      <c r="D336" t="s">
        <v>56</v>
      </c>
      <c r="E336">
        <v>2050</v>
      </c>
      <c r="F336">
        <v>0</v>
      </c>
    </row>
    <row r="337" spans="1:6" x14ac:dyDescent="0.25">
      <c r="A337" t="s">
        <v>27</v>
      </c>
      <c r="B337" t="s">
        <v>67</v>
      </c>
      <c r="C337" t="s">
        <v>28</v>
      </c>
      <c r="D337" t="s">
        <v>48</v>
      </c>
      <c r="E337">
        <v>2050</v>
      </c>
      <c r="F337">
        <v>0</v>
      </c>
    </row>
    <row r="338" spans="1:6" x14ac:dyDescent="0.25">
      <c r="A338" t="s">
        <v>27</v>
      </c>
      <c r="B338" t="s">
        <v>13</v>
      </c>
      <c r="C338" t="s">
        <v>43</v>
      </c>
      <c r="D338" t="s">
        <v>52</v>
      </c>
      <c r="E338">
        <v>2050</v>
      </c>
      <c r="F338">
        <v>696380.30259275995</v>
      </c>
    </row>
    <row r="339" spans="1:6" x14ac:dyDescent="0.25">
      <c r="A339" t="s">
        <v>27</v>
      </c>
      <c r="B339" t="s">
        <v>13</v>
      </c>
      <c r="C339" t="s">
        <v>43</v>
      </c>
      <c r="D339" t="s">
        <v>64</v>
      </c>
      <c r="E339">
        <v>2050</v>
      </c>
      <c r="F339">
        <v>63732.21710113556</v>
      </c>
    </row>
    <row r="340" spans="1:6" x14ac:dyDescent="0.25">
      <c r="A340" t="s">
        <v>27</v>
      </c>
      <c r="B340" t="s">
        <v>13</v>
      </c>
      <c r="C340" t="s">
        <v>43</v>
      </c>
      <c r="D340" t="s">
        <v>65</v>
      </c>
      <c r="E340">
        <v>2050</v>
      </c>
      <c r="F340">
        <v>38470.033999756291</v>
      </c>
    </row>
    <row r="341" spans="1:6" x14ac:dyDescent="0.25">
      <c r="A341" t="s">
        <v>27</v>
      </c>
      <c r="B341" t="s">
        <v>13</v>
      </c>
      <c r="C341" t="s">
        <v>43</v>
      </c>
      <c r="D341" t="s">
        <v>66</v>
      </c>
      <c r="E341">
        <v>2050</v>
      </c>
      <c r="F341">
        <v>585110.82295504375</v>
      </c>
    </row>
    <row r="342" spans="1:6" x14ac:dyDescent="0.25">
      <c r="A342" t="s">
        <v>27</v>
      </c>
      <c r="B342" t="s">
        <v>13</v>
      </c>
      <c r="C342" t="s">
        <v>43</v>
      </c>
      <c r="D342" t="s">
        <v>56</v>
      </c>
      <c r="E342">
        <v>2050</v>
      </c>
      <c r="F342">
        <v>457890.6818787345</v>
      </c>
    </row>
    <row r="343" spans="1:6" x14ac:dyDescent="0.25">
      <c r="A343" t="s">
        <v>27</v>
      </c>
      <c r="B343" t="s">
        <v>13</v>
      </c>
      <c r="C343" t="s">
        <v>43</v>
      </c>
      <c r="D343" t="s">
        <v>48</v>
      </c>
      <c r="E343">
        <v>2050</v>
      </c>
      <c r="F343">
        <v>0</v>
      </c>
    </row>
    <row r="344" spans="1:6" x14ac:dyDescent="0.25">
      <c r="A344" t="s">
        <v>27</v>
      </c>
      <c r="B344" t="s">
        <v>67</v>
      </c>
      <c r="C344" t="s">
        <v>43</v>
      </c>
      <c r="D344" t="s">
        <v>52</v>
      </c>
      <c r="E344">
        <v>2050</v>
      </c>
      <c r="F344">
        <v>0</v>
      </c>
    </row>
    <row r="345" spans="1:6" x14ac:dyDescent="0.25">
      <c r="A345" t="s">
        <v>27</v>
      </c>
      <c r="B345" t="s">
        <v>67</v>
      </c>
      <c r="C345" t="s">
        <v>43</v>
      </c>
      <c r="D345" t="s">
        <v>64</v>
      </c>
      <c r="E345">
        <v>2050</v>
      </c>
      <c r="F345">
        <v>0</v>
      </c>
    </row>
    <row r="346" spans="1:6" x14ac:dyDescent="0.25">
      <c r="A346" t="s">
        <v>27</v>
      </c>
      <c r="B346" t="s">
        <v>67</v>
      </c>
      <c r="C346" t="s">
        <v>43</v>
      </c>
      <c r="D346" t="s">
        <v>65</v>
      </c>
      <c r="E346">
        <v>2050</v>
      </c>
      <c r="F346">
        <v>0</v>
      </c>
    </row>
    <row r="347" spans="1:6" x14ac:dyDescent="0.25">
      <c r="A347" t="s">
        <v>27</v>
      </c>
      <c r="B347" t="s">
        <v>67</v>
      </c>
      <c r="C347" t="s">
        <v>43</v>
      </c>
      <c r="D347" t="s">
        <v>66</v>
      </c>
      <c r="E347">
        <v>2050</v>
      </c>
      <c r="F347">
        <v>0</v>
      </c>
    </row>
    <row r="348" spans="1:6" x14ac:dyDescent="0.25">
      <c r="A348" t="s">
        <v>27</v>
      </c>
      <c r="B348" t="s">
        <v>67</v>
      </c>
      <c r="C348" t="s">
        <v>43</v>
      </c>
      <c r="D348" t="s">
        <v>56</v>
      </c>
      <c r="E348">
        <v>2050</v>
      </c>
      <c r="F348">
        <v>0</v>
      </c>
    </row>
    <row r="349" spans="1:6" x14ac:dyDescent="0.25">
      <c r="A349" t="s">
        <v>27</v>
      </c>
      <c r="B349" t="s">
        <v>67</v>
      </c>
      <c r="C349" t="s">
        <v>43</v>
      </c>
      <c r="D349" t="s">
        <v>48</v>
      </c>
      <c r="E349">
        <v>2050</v>
      </c>
      <c r="F349">
        <v>0</v>
      </c>
    </row>
    <row r="350" spans="1:6" x14ac:dyDescent="0.25">
      <c r="A350" t="s">
        <v>27</v>
      </c>
      <c r="B350" t="s">
        <v>12</v>
      </c>
      <c r="C350" t="s">
        <v>28</v>
      </c>
      <c r="D350" t="s">
        <v>44</v>
      </c>
      <c r="E350">
        <v>2019</v>
      </c>
      <c r="F350">
        <v>12818096.433914844</v>
      </c>
    </row>
    <row r="351" spans="1:6" x14ac:dyDescent="0.25">
      <c r="A351" t="s">
        <v>27</v>
      </c>
      <c r="B351" t="s">
        <v>12</v>
      </c>
      <c r="C351" t="s">
        <v>28</v>
      </c>
      <c r="D351" t="s">
        <v>45</v>
      </c>
      <c r="E351">
        <v>2019</v>
      </c>
      <c r="F351">
        <v>6000958.9027446285</v>
      </c>
    </row>
    <row r="352" spans="1:6" x14ac:dyDescent="0.25">
      <c r="A352" t="s">
        <v>27</v>
      </c>
      <c r="B352" t="s">
        <v>12</v>
      </c>
      <c r="C352" t="s">
        <v>28</v>
      </c>
      <c r="D352" t="s">
        <v>46</v>
      </c>
      <c r="E352">
        <v>2019</v>
      </c>
      <c r="F352">
        <v>3107.1675348074377</v>
      </c>
    </row>
    <row r="353" spans="1:6" x14ac:dyDescent="0.25">
      <c r="A353" t="s">
        <v>27</v>
      </c>
      <c r="B353" t="s">
        <v>12</v>
      </c>
      <c r="C353" t="s">
        <v>28</v>
      </c>
      <c r="D353" t="s">
        <v>50</v>
      </c>
      <c r="E353">
        <v>2019</v>
      </c>
      <c r="F353">
        <v>730307.97492940596</v>
      </c>
    </row>
    <row r="354" spans="1:6" x14ac:dyDescent="0.25">
      <c r="A354" t="s">
        <v>27</v>
      </c>
      <c r="B354" t="s">
        <v>12</v>
      </c>
      <c r="C354" t="s">
        <v>28</v>
      </c>
      <c r="D354" t="s">
        <v>68</v>
      </c>
      <c r="E354">
        <v>2019</v>
      </c>
      <c r="F354">
        <v>7001759.6428652545</v>
      </c>
    </row>
    <row r="355" spans="1:6" x14ac:dyDescent="0.25">
      <c r="A355" t="s">
        <v>27</v>
      </c>
      <c r="B355" t="s">
        <v>12</v>
      </c>
      <c r="C355" t="s">
        <v>28</v>
      </c>
      <c r="D355" t="s">
        <v>69</v>
      </c>
      <c r="E355">
        <v>2019</v>
      </c>
      <c r="F355">
        <v>720643.40546424</v>
      </c>
    </row>
    <row r="356" spans="1:6" x14ac:dyDescent="0.25">
      <c r="A356" t="s">
        <v>27</v>
      </c>
      <c r="B356" t="s">
        <v>12</v>
      </c>
      <c r="C356" t="s">
        <v>28</v>
      </c>
      <c r="D356" t="s">
        <v>44</v>
      </c>
      <c r="E356">
        <v>2030</v>
      </c>
      <c r="F356">
        <v>7085171.5926641021</v>
      </c>
    </row>
    <row r="357" spans="1:6" x14ac:dyDescent="0.25">
      <c r="A357" t="s">
        <v>27</v>
      </c>
      <c r="B357" t="s">
        <v>12</v>
      </c>
      <c r="C357" t="s">
        <v>28</v>
      </c>
      <c r="D357" t="s">
        <v>45</v>
      </c>
      <c r="E357">
        <v>2030</v>
      </c>
      <c r="F357">
        <v>2064375.9771023891</v>
      </c>
    </row>
    <row r="358" spans="1:6" x14ac:dyDescent="0.25">
      <c r="A358" t="s">
        <v>27</v>
      </c>
      <c r="B358" t="s">
        <v>12</v>
      </c>
      <c r="C358" t="s">
        <v>28</v>
      </c>
      <c r="D358" t="s">
        <v>46</v>
      </c>
      <c r="E358">
        <v>2030</v>
      </c>
      <c r="F358">
        <v>3158.317751313647</v>
      </c>
    </row>
    <row r="359" spans="1:6" x14ac:dyDescent="0.25">
      <c r="A359" t="s">
        <v>27</v>
      </c>
      <c r="B359" t="s">
        <v>12</v>
      </c>
      <c r="C359" t="s">
        <v>28</v>
      </c>
      <c r="D359" t="s">
        <v>50</v>
      </c>
      <c r="E359">
        <v>2030</v>
      </c>
      <c r="F359">
        <v>502160.95849399589</v>
      </c>
    </row>
    <row r="360" spans="1:6" x14ac:dyDescent="0.25">
      <c r="A360" t="s">
        <v>27</v>
      </c>
      <c r="B360" t="s">
        <v>12</v>
      </c>
      <c r="C360" t="s">
        <v>28</v>
      </c>
      <c r="D360" t="s">
        <v>68</v>
      </c>
      <c r="E360">
        <v>2030</v>
      </c>
      <c r="F360">
        <v>17711207.128625918</v>
      </c>
    </row>
    <row r="361" spans="1:6" x14ac:dyDescent="0.25">
      <c r="A361" t="s">
        <v>27</v>
      </c>
      <c r="B361" t="s">
        <v>12</v>
      </c>
      <c r="C361" t="s">
        <v>28</v>
      </c>
      <c r="D361" t="s">
        <v>69</v>
      </c>
      <c r="E361">
        <v>2030</v>
      </c>
      <c r="F361">
        <v>620537.39357630478</v>
      </c>
    </row>
    <row r="362" spans="1:6" x14ac:dyDescent="0.25">
      <c r="A362" t="s">
        <v>27</v>
      </c>
      <c r="B362" t="s">
        <v>12</v>
      </c>
      <c r="C362" t="s">
        <v>28</v>
      </c>
      <c r="D362" t="s">
        <v>44</v>
      </c>
      <c r="E362">
        <v>2050</v>
      </c>
      <c r="F362">
        <v>6783177.1307623936</v>
      </c>
    </row>
    <row r="363" spans="1:6" x14ac:dyDescent="0.25">
      <c r="A363" t="s">
        <v>27</v>
      </c>
      <c r="B363" t="s">
        <v>12</v>
      </c>
      <c r="C363" t="s">
        <v>28</v>
      </c>
      <c r="D363" t="s">
        <v>45</v>
      </c>
      <c r="E363">
        <v>2050</v>
      </c>
      <c r="F363">
        <v>2024929.6339054219</v>
      </c>
    </row>
    <row r="364" spans="1:6" x14ac:dyDescent="0.25">
      <c r="A364" t="s">
        <v>27</v>
      </c>
      <c r="B364" t="s">
        <v>12</v>
      </c>
      <c r="C364" t="s">
        <v>28</v>
      </c>
      <c r="D364" t="s">
        <v>46</v>
      </c>
      <c r="E364">
        <v>2050</v>
      </c>
      <c r="F364">
        <v>3261.5941520826309</v>
      </c>
    </row>
    <row r="365" spans="1:6" x14ac:dyDescent="0.25">
      <c r="A365" t="s">
        <v>27</v>
      </c>
      <c r="B365" t="s">
        <v>12</v>
      </c>
      <c r="C365" t="s">
        <v>28</v>
      </c>
      <c r="D365" t="s">
        <v>50</v>
      </c>
      <c r="E365">
        <v>2050</v>
      </c>
      <c r="F365">
        <v>525831.49845533748</v>
      </c>
    </row>
    <row r="366" spans="1:6" x14ac:dyDescent="0.25">
      <c r="A366" t="s">
        <v>27</v>
      </c>
      <c r="B366" t="s">
        <v>12</v>
      </c>
      <c r="C366" t="s">
        <v>28</v>
      </c>
      <c r="D366" t="s">
        <v>68</v>
      </c>
      <c r="E366">
        <v>2050</v>
      </c>
      <c r="F366">
        <v>17222483.674164686</v>
      </c>
    </row>
    <row r="367" spans="1:6" x14ac:dyDescent="0.25">
      <c r="A367" t="s">
        <v>27</v>
      </c>
      <c r="B367" t="s">
        <v>12</v>
      </c>
      <c r="C367" t="s">
        <v>28</v>
      </c>
      <c r="D367" t="s">
        <v>69</v>
      </c>
      <c r="E367">
        <v>2050</v>
      </c>
      <c r="F367">
        <v>597110.0145929947</v>
      </c>
    </row>
    <row r="368" spans="1:6" x14ac:dyDescent="0.25">
      <c r="A368" t="s">
        <v>27</v>
      </c>
      <c r="B368" t="s">
        <v>12</v>
      </c>
      <c r="C368" t="s">
        <v>43</v>
      </c>
      <c r="D368" t="s">
        <v>44</v>
      </c>
      <c r="E368">
        <v>2019</v>
      </c>
      <c r="F368">
        <v>1924034.2327518209</v>
      </c>
    </row>
    <row r="369" spans="1:6" x14ac:dyDescent="0.25">
      <c r="A369" t="s">
        <v>27</v>
      </c>
      <c r="B369" t="s">
        <v>12</v>
      </c>
      <c r="C369" t="s">
        <v>43</v>
      </c>
      <c r="D369" t="s">
        <v>45</v>
      </c>
      <c r="E369">
        <v>2019</v>
      </c>
      <c r="F369">
        <v>422965.94308870414</v>
      </c>
    </row>
    <row r="370" spans="1:6" x14ac:dyDescent="0.25">
      <c r="A370" t="s">
        <v>27</v>
      </c>
      <c r="B370" t="s">
        <v>12</v>
      </c>
      <c r="C370" t="s">
        <v>43</v>
      </c>
      <c r="D370" t="s">
        <v>46</v>
      </c>
      <c r="E370">
        <v>2019</v>
      </c>
      <c r="F370">
        <v>255.68246519256246</v>
      </c>
    </row>
    <row r="371" spans="1:6" x14ac:dyDescent="0.25">
      <c r="A371" t="s">
        <v>27</v>
      </c>
      <c r="B371" t="s">
        <v>12</v>
      </c>
      <c r="C371" t="s">
        <v>43</v>
      </c>
      <c r="D371" t="s">
        <v>50</v>
      </c>
      <c r="E371">
        <v>2019</v>
      </c>
      <c r="F371">
        <v>93457.017927737121</v>
      </c>
    </row>
    <row r="372" spans="1:6" x14ac:dyDescent="0.25">
      <c r="A372" t="s">
        <v>27</v>
      </c>
      <c r="B372" t="s">
        <v>12</v>
      </c>
      <c r="C372" t="s">
        <v>43</v>
      </c>
      <c r="D372" t="s">
        <v>68</v>
      </c>
      <c r="E372">
        <v>2019</v>
      </c>
      <c r="F372">
        <v>1801732.0926432305</v>
      </c>
    </row>
    <row r="373" spans="1:6" x14ac:dyDescent="0.25">
      <c r="A373" t="s">
        <v>27</v>
      </c>
      <c r="B373" t="s">
        <v>12</v>
      </c>
      <c r="C373" t="s">
        <v>43</v>
      </c>
      <c r="D373" t="s">
        <v>69</v>
      </c>
      <c r="E373">
        <v>2019</v>
      </c>
      <c r="F373">
        <v>387847.14852834243</v>
      </c>
    </row>
    <row r="374" spans="1:6" x14ac:dyDescent="0.25">
      <c r="A374" t="s">
        <v>27</v>
      </c>
      <c r="B374" t="s">
        <v>12</v>
      </c>
      <c r="C374" t="s">
        <v>43</v>
      </c>
      <c r="D374" t="s">
        <v>44</v>
      </c>
      <c r="E374">
        <v>2030</v>
      </c>
      <c r="F374">
        <v>1026620.9238801375</v>
      </c>
    </row>
    <row r="375" spans="1:6" x14ac:dyDescent="0.25">
      <c r="A375" t="s">
        <v>27</v>
      </c>
      <c r="B375" t="s">
        <v>12</v>
      </c>
      <c r="C375" t="s">
        <v>43</v>
      </c>
      <c r="D375" t="s">
        <v>45</v>
      </c>
      <c r="E375">
        <v>2030</v>
      </c>
      <c r="F375">
        <v>146723.47845392721</v>
      </c>
    </row>
    <row r="376" spans="1:6" x14ac:dyDescent="0.25">
      <c r="A376" t="s">
        <v>27</v>
      </c>
      <c r="B376" t="s">
        <v>12</v>
      </c>
      <c r="C376" t="s">
        <v>43</v>
      </c>
      <c r="D376" t="s">
        <v>46</v>
      </c>
      <c r="E376">
        <v>2030</v>
      </c>
      <c r="F376">
        <v>265.07644309358068</v>
      </c>
    </row>
    <row r="377" spans="1:6" x14ac:dyDescent="0.25">
      <c r="A377" t="s">
        <v>27</v>
      </c>
      <c r="B377" t="s">
        <v>12</v>
      </c>
      <c r="C377" t="s">
        <v>43</v>
      </c>
      <c r="D377" t="s">
        <v>50</v>
      </c>
      <c r="E377">
        <v>2030</v>
      </c>
      <c r="F377">
        <v>67774.717172805787</v>
      </c>
    </row>
    <row r="378" spans="1:6" x14ac:dyDescent="0.25">
      <c r="A378" t="s">
        <v>27</v>
      </c>
      <c r="B378" t="s">
        <v>12</v>
      </c>
      <c r="C378" t="s">
        <v>43</v>
      </c>
      <c r="D378" t="s">
        <v>68</v>
      </c>
      <c r="E378">
        <v>2030</v>
      </c>
      <c r="F378">
        <v>3047051.4177026679</v>
      </c>
    </row>
    <row r="379" spans="1:6" x14ac:dyDescent="0.25">
      <c r="A379" t="s">
        <v>27</v>
      </c>
      <c r="B379" t="s">
        <v>12</v>
      </c>
      <c r="C379" t="s">
        <v>43</v>
      </c>
      <c r="D379" t="s">
        <v>69</v>
      </c>
      <c r="E379">
        <v>2030</v>
      </c>
      <c r="F379">
        <v>371889.1498666883</v>
      </c>
    </row>
    <row r="380" spans="1:6" x14ac:dyDescent="0.25">
      <c r="A380" t="s">
        <v>27</v>
      </c>
      <c r="B380" t="s">
        <v>12</v>
      </c>
      <c r="C380" t="s">
        <v>43</v>
      </c>
      <c r="D380" t="s">
        <v>44</v>
      </c>
      <c r="E380">
        <v>2050</v>
      </c>
      <c r="F380">
        <v>982862.79756951681</v>
      </c>
    </row>
    <row r="381" spans="1:6" x14ac:dyDescent="0.25">
      <c r="A381" t="s">
        <v>27</v>
      </c>
      <c r="B381" t="s">
        <v>12</v>
      </c>
      <c r="C381" t="s">
        <v>43</v>
      </c>
      <c r="D381" t="s">
        <v>45</v>
      </c>
      <c r="E381">
        <v>2050</v>
      </c>
      <c r="F381">
        <v>143919.86867046604</v>
      </c>
    </row>
    <row r="382" spans="1:6" x14ac:dyDescent="0.25">
      <c r="A382" t="s">
        <v>27</v>
      </c>
      <c r="B382" t="s">
        <v>12</v>
      </c>
      <c r="C382" t="s">
        <v>43</v>
      </c>
      <c r="D382" t="s">
        <v>46</v>
      </c>
      <c r="E382">
        <v>2050</v>
      </c>
      <c r="F382">
        <v>273.74439328952366</v>
      </c>
    </row>
    <row r="383" spans="1:6" x14ac:dyDescent="0.25">
      <c r="A383" t="s">
        <v>27</v>
      </c>
      <c r="B383" t="s">
        <v>12</v>
      </c>
      <c r="C383" t="s">
        <v>43</v>
      </c>
      <c r="D383" t="s">
        <v>50</v>
      </c>
      <c r="E383">
        <v>2050</v>
      </c>
      <c r="F383">
        <v>71371.713113742837</v>
      </c>
    </row>
    <row r="384" spans="1:6" x14ac:dyDescent="0.25">
      <c r="A384" t="s">
        <v>27</v>
      </c>
      <c r="B384" t="s">
        <v>12</v>
      </c>
      <c r="C384" t="s">
        <v>43</v>
      </c>
      <c r="D384" t="s">
        <v>68</v>
      </c>
      <c r="E384">
        <v>2050</v>
      </c>
      <c r="F384">
        <v>3027912.4262798992</v>
      </c>
    </row>
    <row r="385" spans="1:6" x14ac:dyDescent="0.25">
      <c r="A385" t="s">
        <v>27</v>
      </c>
      <c r="B385" t="s">
        <v>12</v>
      </c>
      <c r="C385" t="s">
        <v>43</v>
      </c>
      <c r="D385" t="s">
        <v>69</v>
      </c>
      <c r="E385">
        <v>2050</v>
      </c>
      <c r="F385">
        <v>362262.716942953</v>
      </c>
    </row>
    <row r="386" spans="1:6" x14ac:dyDescent="0.25">
      <c r="A386" t="s">
        <v>27</v>
      </c>
      <c r="B386" t="s">
        <v>70</v>
      </c>
      <c r="C386" t="s">
        <v>28</v>
      </c>
      <c r="D386" t="s">
        <v>53</v>
      </c>
      <c r="E386">
        <v>2019</v>
      </c>
      <c r="F386">
        <v>0</v>
      </c>
    </row>
    <row r="387" spans="1:6" x14ac:dyDescent="0.25">
      <c r="A387" t="s">
        <v>27</v>
      </c>
      <c r="B387" t="s">
        <v>70</v>
      </c>
      <c r="C387" t="s">
        <v>28</v>
      </c>
      <c r="D387" t="s">
        <v>53</v>
      </c>
      <c r="E387">
        <v>2030</v>
      </c>
      <c r="F387">
        <v>0</v>
      </c>
    </row>
    <row r="388" spans="1:6" x14ac:dyDescent="0.25">
      <c r="A388" t="s">
        <v>27</v>
      </c>
      <c r="B388" t="s">
        <v>70</v>
      </c>
      <c r="C388" t="s">
        <v>28</v>
      </c>
      <c r="D388" t="s">
        <v>53</v>
      </c>
      <c r="E388">
        <v>2050</v>
      </c>
      <c r="F388">
        <v>0</v>
      </c>
    </row>
    <row r="389" spans="1:6" x14ac:dyDescent="0.25">
      <c r="A389" t="s">
        <v>27</v>
      </c>
      <c r="B389" t="s">
        <v>70</v>
      </c>
      <c r="C389" t="s">
        <v>43</v>
      </c>
      <c r="D389" t="s">
        <v>53</v>
      </c>
      <c r="E389">
        <v>2019</v>
      </c>
      <c r="F389">
        <v>0</v>
      </c>
    </row>
    <row r="390" spans="1:6" x14ac:dyDescent="0.25">
      <c r="A390" t="s">
        <v>27</v>
      </c>
      <c r="B390" t="s">
        <v>70</v>
      </c>
      <c r="C390" t="s">
        <v>43</v>
      </c>
      <c r="D390" t="s">
        <v>53</v>
      </c>
      <c r="E390">
        <v>2030</v>
      </c>
      <c r="F390">
        <v>0</v>
      </c>
    </row>
    <row r="391" spans="1:6" x14ac:dyDescent="0.25">
      <c r="A391" t="s">
        <v>27</v>
      </c>
      <c r="B391" t="s">
        <v>70</v>
      </c>
      <c r="C391" t="s">
        <v>43</v>
      </c>
      <c r="D391" t="s">
        <v>53</v>
      </c>
      <c r="E391">
        <v>2050</v>
      </c>
      <c r="F391">
        <v>0</v>
      </c>
    </row>
    <row r="392" spans="1:6" x14ac:dyDescent="0.25">
      <c r="A392" t="s">
        <v>27</v>
      </c>
      <c r="B392" t="s">
        <v>71</v>
      </c>
      <c r="C392" t="s">
        <v>28</v>
      </c>
      <c r="D392" t="s">
        <v>72</v>
      </c>
      <c r="E392">
        <v>2019</v>
      </c>
      <c r="F392">
        <v>484833.6848947219</v>
      </c>
    </row>
    <row r="393" spans="1:6" x14ac:dyDescent="0.25">
      <c r="A393" t="s">
        <v>27</v>
      </c>
      <c r="B393" t="s">
        <v>71</v>
      </c>
      <c r="C393" t="s">
        <v>28</v>
      </c>
      <c r="D393" t="s">
        <v>72</v>
      </c>
      <c r="E393">
        <v>2030</v>
      </c>
      <c r="F393">
        <v>507790.70515370794</v>
      </c>
    </row>
    <row r="394" spans="1:6" x14ac:dyDescent="0.25">
      <c r="A394" t="s">
        <v>27</v>
      </c>
      <c r="B394" t="s">
        <v>71</v>
      </c>
      <c r="C394" t="s">
        <v>28</v>
      </c>
      <c r="D394" t="s">
        <v>72</v>
      </c>
      <c r="E394">
        <v>2050</v>
      </c>
      <c r="F394">
        <v>489039.95714195294</v>
      </c>
    </row>
    <row r="395" spans="1:6" x14ac:dyDescent="0.25">
      <c r="A395" t="s">
        <v>27</v>
      </c>
      <c r="B395" t="s">
        <v>71</v>
      </c>
      <c r="C395" t="s">
        <v>43</v>
      </c>
      <c r="D395" t="s">
        <v>72</v>
      </c>
      <c r="E395">
        <v>2019</v>
      </c>
      <c r="F395">
        <v>193574.13238370849</v>
      </c>
    </row>
    <row r="396" spans="1:6" x14ac:dyDescent="0.25">
      <c r="A396" t="s">
        <v>27</v>
      </c>
      <c r="B396" t="s">
        <v>71</v>
      </c>
      <c r="C396" t="s">
        <v>43</v>
      </c>
      <c r="D396" t="s">
        <v>72</v>
      </c>
      <c r="E396">
        <v>2030</v>
      </c>
      <c r="F396">
        <v>204407.79128636757</v>
      </c>
    </row>
    <row r="397" spans="1:6" x14ac:dyDescent="0.25">
      <c r="A397" t="s">
        <v>27</v>
      </c>
      <c r="B397" t="s">
        <v>71</v>
      </c>
      <c r="C397" t="s">
        <v>43</v>
      </c>
      <c r="D397" t="s">
        <v>72</v>
      </c>
      <c r="E397">
        <v>2050</v>
      </c>
      <c r="F397">
        <v>199163.17844104863</v>
      </c>
    </row>
    <row r="398" spans="1:6" x14ac:dyDescent="0.25">
      <c r="A398" t="s">
        <v>27</v>
      </c>
      <c r="B398" t="s">
        <v>139</v>
      </c>
      <c r="C398" t="s">
        <v>28</v>
      </c>
      <c r="D398" t="s">
        <v>52</v>
      </c>
      <c r="E398">
        <v>2019</v>
      </c>
      <c r="F398">
        <v>0</v>
      </c>
    </row>
    <row r="399" spans="1:6" x14ac:dyDescent="0.25">
      <c r="A399" t="s">
        <v>27</v>
      </c>
      <c r="B399" t="s">
        <v>139</v>
      </c>
      <c r="C399" t="s">
        <v>28</v>
      </c>
      <c r="D399" t="s">
        <v>52</v>
      </c>
      <c r="E399">
        <v>2030</v>
      </c>
      <c r="F399">
        <v>0</v>
      </c>
    </row>
    <row r="400" spans="1:6" x14ac:dyDescent="0.25">
      <c r="A400" t="s">
        <v>27</v>
      </c>
      <c r="B400" t="s">
        <v>139</v>
      </c>
      <c r="C400" t="s">
        <v>28</v>
      </c>
      <c r="D400" t="s">
        <v>52</v>
      </c>
      <c r="E400">
        <v>2050</v>
      </c>
      <c r="F400">
        <v>0</v>
      </c>
    </row>
    <row r="401" spans="1:6" x14ac:dyDescent="0.25">
      <c r="A401" t="s">
        <v>27</v>
      </c>
      <c r="B401" t="s">
        <v>139</v>
      </c>
      <c r="C401" t="s">
        <v>43</v>
      </c>
      <c r="D401" t="s">
        <v>52</v>
      </c>
      <c r="E401">
        <v>2019</v>
      </c>
      <c r="F401">
        <v>0</v>
      </c>
    </row>
    <row r="402" spans="1:6" x14ac:dyDescent="0.25">
      <c r="A402" t="s">
        <v>27</v>
      </c>
      <c r="B402" t="s">
        <v>139</v>
      </c>
      <c r="C402" t="s">
        <v>43</v>
      </c>
      <c r="D402" t="s">
        <v>52</v>
      </c>
      <c r="E402">
        <v>2030</v>
      </c>
      <c r="F402">
        <v>0</v>
      </c>
    </row>
    <row r="403" spans="1:6" x14ac:dyDescent="0.25">
      <c r="A403" t="s">
        <v>27</v>
      </c>
      <c r="B403" t="s">
        <v>139</v>
      </c>
      <c r="C403" t="s">
        <v>43</v>
      </c>
      <c r="D403" t="s">
        <v>52</v>
      </c>
      <c r="E403">
        <v>2050</v>
      </c>
      <c r="F403">
        <v>0</v>
      </c>
    </row>
    <row r="404" spans="1:6" x14ac:dyDescent="0.25">
      <c r="A404" t="s">
        <v>27</v>
      </c>
      <c r="B404" t="s">
        <v>13</v>
      </c>
      <c r="C404" t="s">
        <v>28</v>
      </c>
      <c r="D404" t="s">
        <v>140</v>
      </c>
      <c r="E404">
        <v>2019</v>
      </c>
      <c r="F404">
        <v>0</v>
      </c>
    </row>
    <row r="405" spans="1:6" x14ac:dyDescent="0.25">
      <c r="A405" t="s">
        <v>27</v>
      </c>
      <c r="B405" t="s">
        <v>13</v>
      </c>
      <c r="C405" t="s">
        <v>28</v>
      </c>
      <c r="D405" t="s">
        <v>141</v>
      </c>
      <c r="E405">
        <v>2019</v>
      </c>
      <c r="F405">
        <v>0</v>
      </c>
    </row>
    <row r="406" spans="1:6" x14ac:dyDescent="0.25">
      <c r="A406" t="s">
        <v>27</v>
      </c>
      <c r="B406" t="s">
        <v>13</v>
      </c>
      <c r="C406" t="s">
        <v>28</v>
      </c>
      <c r="D406" t="s">
        <v>140</v>
      </c>
      <c r="E406">
        <v>2030</v>
      </c>
      <c r="F406">
        <v>0</v>
      </c>
    </row>
    <row r="407" spans="1:6" x14ac:dyDescent="0.25">
      <c r="A407" t="s">
        <v>27</v>
      </c>
      <c r="B407" t="s">
        <v>13</v>
      </c>
      <c r="C407" t="s">
        <v>28</v>
      </c>
      <c r="D407" t="s">
        <v>141</v>
      </c>
      <c r="E407">
        <v>2030</v>
      </c>
      <c r="F407">
        <v>0</v>
      </c>
    </row>
    <row r="408" spans="1:6" x14ac:dyDescent="0.25">
      <c r="A408" t="s">
        <v>27</v>
      </c>
      <c r="B408" t="s">
        <v>13</v>
      </c>
      <c r="C408" t="s">
        <v>28</v>
      </c>
      <c r="D408" t="s">
        <v>140</v>
      </c>
      <c r="E408">
        <v>2050</v>
      </c>
      <c r="F408">
        <v>0</v>
      </c>
    </row>
    <row r="409" spans="1:6" x14ac:dyDescent="0.25">
      <c r="A409" t="s">
        <v>27</v>
      </c>
      <c r="B409" t="s">
        <v>13</v>
      </c>
      <c r="C409" t="s">
        <v>28</v>
      </c>
      <c r="D409" t="s">
        <v>141</v>
      </c>
      <c r="E409">
        <v>2050</v>
      </c>
      <c r="F409">
        <v>0</v>
      </c>
    </row>
    <row r="410" spans="1:6" x14ac:dyDescent="0.25">
      <c r="A410" t="s">
        <v>27</v>
      </c>
      <c r="B410" t="s">
        <v>13</v>
      </c>
      <c r="C410" t="s">
        <v>43</v>
      </c>
      <c r="D410" t="s">
        <v>140</v>
      </c>
      <c r="E410">
        <v>2019</v>
      </c>
      <c r="F410">
        <v>0</v>
      </c>
    </row>
    <row r="411" spans="1:6" x14ac:dyDescent="0.25">
      <c r="A411" t="s">
        <v>27</v>
      </c>
      <c r="B411" t="s">
        <v>13</v>
      </c>
      <c r="C411" t="s">
        <v>43</v>
      </c>
      <c r="D411" t="s">
        <v>141</v>
      </c>
      <c r="E411">
        <v>2019</v>
      </c>
      <c r="F411">
        <v>0</v>
      </c>
    </row>
    <row r="412" spans="1:6" x14ac:dyDescent="0.25">
      <c r="A412" t="s">
        <v>27</v>
      </c>
      <c r="B412" t="s">
        <v>13</v>
      </c>
      <c r="C412" t="s">
        <v>43</v>
      </c>
      <c r="D412" t="s">
        <v>140</v>
      </c>
      <c r="E412">
        <v>2030</v>
      </c>
      <c r="F412">
        <v>0</v>
      </c>
    </row>
    <row r="413" spans="1:6" x14ac:dyDescent="0.25">
      <c r="A413" t="s">
        <v>27</v>
      </c>
      <c r="B413" t="s">
        <v>13</v>
      </c>
      <c r="C413" t="s">
        <v>43</v>
      </c>
      <c r="D413" t="s">
        <v>141</v>
      </c>
      <c r="E413">
        <v>2030</v>
      </c>
      <c r="F413">
        <v>0</v>
      </c>
    </row>
    <row r="414" spans="1:6" x14ac:dyDescent="0.25">
      <c r="A414" t="s">
        <v>27</v>
      </c>
      <c r="B414" t="s">
        <v>13</v>
      </c>
      <c r="C414" t="s">
        <v>43</v>
      </c>
      <c r="D414" t="s">
        <v>140</v>
      </c>
      <c r="E414">
        <v>2050</v>
      </c>
      <c r="F414">
        <v>0</v>
      </c>
    </row>
    <row r="415" spans="1:6" x14ac:dyDescent="0.25">
      <c r="A415" t="s">
        <v>27</v>
      </c>
      <c r="B415" t="s">
        <v>13</v>
      </c>
      <c r="C415" t="s">
        <v>43</v>
      </c>
      <c r="D415" t="s">
        <v>141</v>
      </c>
      <c r="E415">
        <v>2050</v>
      </c>
      <c r="F415">
        <v>0</v>
      </c>
    </row>
    <row r="416" spans="1:6" x14ac:dyDescent="0.25">
      <c r="A416" t="s">
        <v>129</v>
      </c>
      <c r="B416" t="s">
        <v>10</v>
      </c>
      <c r="C416" t="s">
        <v>28</v>
      </c>
      <c r="D416" t="s">
        <v>29</v>
      </c>
      <c r="E416">
        <v>2019</v>
      </c>
      <c r="F416">
        <v>286329.90483694919</v>
      </c>
    </row>
    <row r="417" spans="1:6" x14ac:dyDescent="0.25">
      <c r="A417" t="s">
        <v>129</v>
      </c>
      <c r="B417" t="s">
        <v>10</v>
      </c>
      <c r="C417" t="s">
        <v>28</v>
      </c>
      <c r="D417" t="s">
        <v>30</v>
      </c>
      <c r="E417">
        <v>2019</v>
      </c>
      <c r="F417">
        <v>261374.54615849949</v>
      </c>
    </row>
    <row r="418" spans="1:6" x14ac:dyDescent="0.25">
      <c r="A418" t="s">
        <v>129</v>
      </c>
      <c r="B418" t="s">
        <v>10</v>
      </c>
      <c r="C418" t="s">
        <v>28</v>
      </c>
      <c r="D418" t="s">
        <v>31</v>
      </c>
      <c r="E418">
        <v>2019</v>
      </c>
      <c r="F418">
        <v>119523.03367046962</v>
      </c>
    </row>
    <row r="419" spans="1:6" x14ac:dyDescent="0.25">
      <c r="A419" t="s">
        <v>129</v>
      </c>
      <c r="B419" t="s">
        <v>10</v>
      </c>
      <c r="C419" t="s">
        <v>28</v>
      </c>
      <c r="D419" t="s">
        <v>32</v>
      </c>
      <c r="E419">
        <v>2019</v>
      </c>
      <c r="F419">
        <v>117920.63695532705</v>
      </c>
    </row>
    <row r="420" spans="1:6" x14ac:dyDescent="0.25">
      <c r="A420" t="s">
        <v>129</v>
      </c>
      <c r="B420" t="s">
        <v>10</v>
      </c>
      <c r="C420" t="s">
        <v>28</v>
      </c>
      <c r="D420" t="s">
        <v>33</v>
      </c>
      <c r="E420">
        <v>2019</v>
      </c>
      <c r="F420">
        <v>58080.313724265572</v>
      </c>
    </row>
    <row r="421" spans="1:6" x14ac:dyDescent="0.25">
      <c r="A421" t="s">
        <v>129</v>
      </c>
      <c r="B421" t="s">
        <v>10</v>
      </c>
      <c r="C421" t="s">
        <v>28</v>
      </c>
      <c r="D421" t="s">
        <v>34</v>
      </c>
      <c r="E421">
        <v>2019</v>
      </c>
      <c r="F421">
        <v>0</v>
      </c>
    </row>
    <row r="422" spans="1:6" x14ac:dyDescent="0.25">
      <c r="A422" t="s">
        <v>129</v>
      </c>
      <c r="B422" t="s">
        <v>10</v>
      </c>
      <c r="C422" t="s">
        <v>28</v>
      </c>
      <c r="D422" t="s">
        <v>35</v>
      </c>
      <c r="E422">
        <v>2019</v>
      </c>
      <c r="F422">
        <v>0</v>
      </c>
    </row>
    <row r="423" spans="1:6" x14ac:dyDescent="0.25">
      <c r="A423" t="s">
        <v>129</v>
      </c>
      <c r="B423" t="s">
        <v>10</v>
      </c>
      <c r="C423" t="s">
        <v>28</v>
      </c>
      <c r="D423" t="s">
        <v>36</v>
      </c>
      <c r="E423">
        <v>2019</v>
      </c>
      <c r="F423">
        <v>0</v>
      </c>
    </row>
    <row r="424" spans="1:6" x14ac:dyDescent="0.25">
      <c r="A424" t="s">
        <v>129</v>
      </c>
      <c r="B424" t="s">
        <v>10</v>
      </c>
      <c r="C424" t="s">
        <v>28</v>
      </c>
      <c r="D424" t="s">
        <v>37</v>
      </c>
      <c r="E424">
        <v>2019</v>
      </c>
      <c r="F424">
        <v>0</v>
      </c>
    </row>
    <row r="425" spans="1:6" x14ac:dyDescent="0.25">
      <c r="A425" t="s">
        <v>129</v>
      </c>
      <c r="B425" t="s">
        <v>10</v>
      </c>
      <c r="C425" t="s">
        <v>28</v>
      </c>
      <c r="D425" t="s">
        <v>38</v>
      </c>
      <c r="E425">
        <v>2019</v>
      </c>
      <c r="F425">
        <v>457077.09579476295</v>
      </c>
    </row>
    <row r="426" spans="1:6" x14ac:dyDescent="0.25">
      <c r="A426" t="s">
        <v>129</v>
      </c>
      <c r="B426" t="s">
        <v>10</v>
      </c>
      <c r="C426" t="s">
        <v>28</v>
      </c>
      <c r="D426" t="s">
        <v>39</v>
      </c>
      <c r="E426">
        <v>2019</v>
      </c>
      <c r="F426">
        <v>34149.438191562753</v>
      </c>
    </row>
    <row r="427" spans="1:6" x14ac:dyDescent="0.25">
      <c r="A427" t="s">
        <v>129</v>
      </c>
      <c r="B427" t="s">
        <v>10</v>
      </c>
      <c r="C427" t="s">
        <v>28</v>
      </c>
      <c r="D427" t="s">
        <v>40</v>
      </c>
      <c r="E427">
        <v>2019</v>
      </c>
      <c r="F427">
        <v>31522.55833067331</v>
      </c>
    </row>
    <row r="428" spans="1:6" x14ac:dyDescent="0.25">
      <c r="A428" t="s">
        <v>129</v>
      </c>
      <c r="B428" t="s">
        <v>10</v>
      </c>
      <c r="C428" t="s">
        <v>28</v>
      </c>
      <c r="D428" t="s">
        <v>41</v>
      </c>
      <c r="E428">
        <v>2019</v>
      </c>
      <c r="F428">
        <v>249553.58678449702</v>
      </c>
    </row>
    <row r="429" spans="1:6" x14ac:dyDescent="0.25">
      <c r="A429" t="s">
        <v>129</v>
      </c>
      <c r="B429" t="s">
        <v>10</v>
      </c>
      <c r="C429" t="s">
        <v>28</v>
      </c>
      <c r="D429" t="s">
        <v>42</v>
      </c>
      <c r="E429">
        <v>2019</v>
      </c>
      <c r="F429">
        <v>48597.277426454682</v>
      </c>
    </row>
    <row r="430" spans="1:6" x14ac:dyDescent="0.25">
      <c r="A430" t="s">
        <v>129</v>
      </c>
      <c r="B430" t="s">
        <v>10</v>
      </c>
      <c r="C430" t="s">
        <v>28</v>
      </c>
      <c r="D430" t="s">
        <v>29</v>
      </c>
      <c r="E430">
        <v>2030</v>
      </c>
      <c r="F430">
        <v>295933.04302308214</v>
      </c>
    </row>
    <row r="431" spans="1:6" x14ac:dyDescent="0.25">
      <c r="A431" t="s">
        <v>129</v>
      </c>
      <c r="B431" t="s">
        <v>10</v>
      </c>
      <c r="C431" t="s">
        <v>28</v>
      </c>
      <c r="D431" t="s">
        <v>30</v>
      </c>
      <c r="E431">
        <v>2030</v>
      </c>
      <c r="F431">
        <v>270140.71358529059</v>
      </c>
    </row>
    <row r="432" spans="1:6" x14ac:dyDescent="0.25">
      <c r="A432" t="s">
        <v>129</v>
      </c>
      <c r="B432" t="s">
        <v>10</v>
      </c>
      <c r="C432" t="s">
        <v>28</v>
      </c>
      <c r="D432" t="s">
        <v>31</v>
      </c>
      <c r="E432">
        <v>2030</v>
      </c>
      <c r="F432">
        <v>123531.68309679118</v>
      </c>
    </row>
    <row r="433" spans="1:6" x14ac:dyDescent="0.25">
      <c r="A433" t="s">
        <v>129</v>
      </c>
      <c r="B433" t="s">
        <v>10</v>
      </c>
      <c r="C433" t="s">
        <v>28</v>
      </c>
      <c r="D433" t="s">
        <v>32</v>
      </c>
      <c r="E433">
        <v>2030</v>
      </c>
      <c r="F433">
        <v>121875.54404868034</v>
      </c>
    </row>
    <row r="434" spans="1:6" x14ac:dyDescent="0.25">
      <c r="A434" t="s">
        <v>129</v>
      </c>
      <c r="B434" t="s">
        <v>10</v>
      </c>
      <c r="C434" t="s">
        <v>28</v>
      </c>
      <c r="D434" t="s">
        <v>33</v>
      </c>
      <c r="E434">
        <v>2030</v>
      </c>
      <c r="F434">
        <v>60028.253038902265</v>
      </c>
    </row>
    <row r="435" spans="1:6" x14ac:dyDescent="0.25">
      <c r="A435" t="s">
        <v>129</v>
      </c>
      <c r="B435" t="s">
        <v>10</v>
      </c>
      <c r="C435" t="s">
        <v>28</v>
      </c>
      <c r="D435" t="s">
        <v>34</v>
      </c>
      <c r="E435">
        <v>2030</v>
      </c>
      <c r="F435">
        <v>0</v>
      </c>
    </row>
    <row r="436" spans="1:6" x14ac:dyDescent="0.25">
      <c r="A436" t="s">
        <v>129</v>
      </c>
      <c r="B436" t="s">
        <v>10</v>
      </c>
      <c r="C436" t="s">
        <v>28</v>
      </c>
      <c r="D436" t="s">
        <v>35</v>
      </c>
      <c r="E436">
        <v>2030</v>
      </c>
      <c r="F436">
        <v>0</v>
      </c>
    </row>
    <row r="437" spans="1:6" x14ac:dyDescent="0.25">
      <c r="A437" t="s">
        <v>129</v>
      </c>
      <c r="B437" t="s">
        <v>10</v>
      </c>
      <c r="C437" t="s">
        <v>28</v>
      </c>
      <c r="D437" t="s">
        <v>36</v>
      </c>
      <c r="E437">
        <v>2030</v>
      </c>
      <c r="F437">
        <v>0</v>
      </c>
    </row>
    <row r="438" spans="1:6" x14ac:dyDescent="0.25">
      <c r="A438" t="s">
        <v>129</v>
      </c>
      <c r="B438" t="s">
        <v>10</v>
      </c>
      <c r="C438" t="s">
        <v>28</v>
      </c>
      <c r="D438" t="s">
        <v>37</v>
      </c>
      <c r="E438">
        <v>2030</v>
      </c>
      <c r="F438">
        <v>0</v>
      </c>
    </row>
    <row r="439" spans="1:6" x14ac:dyDescent="0.25">
      <c r="A439" t="s">
        <v>129</v>
      </c>
      <c r="B439" t="s">
        <v>10</v>
      </c>
      <c r="C439" t="s">
        <v>28</v>
      </c>
      <c r="D439" t="s">
        <v>38</v>
      </c>
      <c r="E439">
        <v>2030</v>
      </c>
      <c r="F439">
        <v>472406.87601849809</v>
      </c>
    </row>
    <row r="440" spans="1:6" x14ac:dyDescent="0.25">
      <c r="A440" t="s">
        <v>129</v>
      </c>
      <c r="B440" t="s">
        <v>10</v>
      </c>
      <c r="C440" t="s">
        <v>28</v>
      </c>
      <c r="D440" t="s">
        <v>39</v>
      </c>
      <c r="E440">
        <v>2030</v>
      </c>
      <c r="F440">
        <v>35294.766599083188</v>
      </c>
    </row>
    <row r="441" spans="1:6" x14ac:dyDescent="0.25">
      <c r="A441" t="s">
        <v>129</v>
      </c>
      <c r="B441" t="s">
        <v>10</v>
      </c>
      <c r="C441" t="s">
        <v>28</v>
      </c>
      <c r="D441" t="s">
        <v>40</v>
      </c>
      <c r="E441">
        <v>2030</v>
      </c>
      <c r="F441">
        <v>32579.784552999867</v>
      </c>
    </row>
    <row r="442" spans="1:6" x14ac:dyDescent="0.25">
      <c r="A442" t="s">
        <v>129</v>
      </c>
      <c r="B442" t="s">
        <v>10</v>
      </c>
      <c r="C442" t="s">
        <v>28</v>
      </c>
      <c r="D442" t="s">
        <v>41</v>
      </c>
      <c r="E442">
        <v>2030</v>
      </c>
      <c r="F442">
        <v>257923.29437791562</v>
      </c>
    </row>
    <row r="443" spans="1:6" x14ac:dyDescent="0.25">
      <c r="A443" t="s">
        <v>129</v>
      </c>
      <c r="B443" t="s">
        <v>10</v>
      </c>
      <c r="C443" t="s">
        <v>28</v>
      </c>
      <c r="D443" t="s">
        <v>42</v>
      </c>
      <c r="E443">
        <v>2030</v>
      </c>
      <c r="F443">
        <v>50227.167852541468</v>
      </c>
    </row>
    <row r="444" spans="1:6" x14ac:dyDescent="0.25">
      <c r="A444" t="s">
        <v>129</v>
      </c>
      <c r="B444" t="s">
        <v>10</v>
      </c>
      <c r="C444" t="s">
        <v>28</v>
      </c>
      <c r="D444" t="s">
        <v>29</v>
      </c>
      <c r="E444">
        <v>2050</v>
      </c>
      <c r="F444">
        <v>307470.55071854044</v>
      </c>
    </row>
    <row r="445" spans="1:6" x14ac:dyDescent="0.25">
      <c r="A445" t="s">
        <v>129</v>
      </c>
      <c r="B445" t="s">
        <v>10</v>
      </c>
      <c r="C445" t="s">
        <v>28</v>
      </c>
      <c r="D445" t="s">
        <v>30</v>
      </c>
      <c r="E445">
        <v>2050</v>
      </c>
      <c r="F445">
        <v>280672.65868343826</v>
      </c>
    </row>
    <row r="446" spans="1:6" x14ac:dyDescent="0.25">
      <c r="A446" t="s">
        <v>129</v>
      </c>
      <c r="B446" t="s">
        <v>10</v>
      </c>
      <c r="C446" t="s">
        <v>28</v>
      </c>
      <c r="D446" t="s">
        <v>31</v>
      </c>
      <c r="E446">
        <v>2050</v>
      </c>
      <c r="F446">
        <v>128347.79869443661</v>
      </c>
    </row>
    <row r="447" spans="1:6" x14ac:dyDescent="0.25">
      <c r="A447" t="s">
        <v>129</v>
      </c>
      <c r="B447" t="s">
        <v>10</v>
      </c>
      <c r="C447" t="s">
        <v>28</v>
      </c>
      <c r="D447" t="s">
        <v>32</v>
      </c>
      <c r="E447">
        <v>2050</v>
      </c>
      <c r="F447">
        <v>126627.09194270898</v>
      </c>
    </row>
    <row r="448" spans="1:6" x14ac:dyDescent="0.25">
      <c r="A448" t="s">
        <v>129</v>
      </c>
      <c r="B448" t="s">
        <v>10</v>
      </c>
      <c r="C448" t="s">
        <v>28</v>
      </c>
      <c r="D448" t="s">
        <v>33</v>
      </c>
      <c r="E448">
        <v>2050</v>
      </c>
      <c r="F448">
        <v>62368.567673274578</v>
      </c>
    </row>
    <row r="449" spans="1:6" x14ac:dyDescent="0.25">
      <c r="A449" t="s">
        <v>129</v>
      </c>
      <c r="B449" t="s">
        <v>10</v>
      </c>
      <c r="C449" t="s">
        <v>28</v>
      </c>
      <c r="D449" t="s">
        <v>34</v>
      </c>
      <c r="E449">
        <v>2050</v>
      </c>
      <c r="F449">
        <v>0</v>
      </c>
    </row>
    <row r="450" spans="1:6" x14ac:dyDescent="0.25">
      <c r="A450" t="s">
        <v>129</v>
      </c>
      <c r="B450" t="s">
        <v>10</v>
      </c>
      <c r="C450" t="s">
        <v>28</v>
      </c>
      <c r="D450" t="s">
        <v>35</v>
      </c>
      <c r="E450">
        <v>2050</v>
      </c>
      <c r="F450">
        <v>0</v>
      </c>
    </row>
    <row r="451" spans="1:6" x14ac:dyDescent="0.25">
      <c r="A451" t="s">
        <v>129</v>
      </c>
      <c r="B451" t="s">
        <v>10</v>
      </c>
      <c r="C451" t="s">
        <v>28</v>
      </c>
      <c r="D451" t="s">
        <v>36</v>
      </c>
      <c r="E451">
        <v>2050</v>
      </c>
      <c r="F451">
        <v>0</v>
      </c>
    </row>
    <row r="452" spans="1:6" x14ac:dyDescent="0.25">
      <c r="A452" t="s">
        <v>129</v>
      </c>
      <c r="B452" t="s">
        <v>10</v>
      </c>
      <c r="C452" t="s">
        <v>28</v>
      </c>
      <c r="D452" t="s">
        <v>37</v>
      </c>
      <c r="E452">
        <v>2050</v>
      </c>
      <c r="F452">
        <v>0</v>
      </c>
    </row>
    <row r="453" spans="1:6" x14ac:dyDescent="0.25">
      <c r="A453" t="s">
        <v>129</v>
      </c>
      <c r="B453" t="s">
        <v>10</v>
      </c>
      <c r="C453" t="s">
        <v>28</v>
      </c>
      <c r="D453" t="s">
        <v>38</v>
      </c>
      <c r="E453">
        <v>2050</v>
      </c>
      <c r="F453">
        <v>490824.54885344987</v>
      </c>
    </row>
    <row r="454" spans="1:6" x14ac:dyDescent="0.25">
      <c r="A454" t="s">
        <v>129</v>
      </c>
      <c r="B454" t="s">
        <v>10</v>
      </c>
      <c r="C454" t="s">
        <v>28</v>
      </c>
      <c r="D454" t="s">
        <v>39</v>
      </c>
      <c r="E454">
        <v>2050</v>
      </c>
      <c r="F454">
        <v>36670.799626981883</v>
      </c>
    </row>
    <row r="455" spans="1:6" x14ac:dyDescent="0.25">
      <c r="A455" t="s">
        <v>129</v>
      </c>
      <c r="B455" t="s">
        <v>10</v>
      </c>
      <c r="C455" t="s">
        <v>28</v>
      </c>
      <c r="D455" t="s">
        <v>40</v>
      </c>
      <c r="E455">
        <v>2050</v>
      </c>
      <c r="F455">
        <v>33849.968886444818</v>
      </c>
    </row>
    <row r="456" spans="1:6" x14ac:dyDescent="0.25">
      <c r="A456" t="s">
        <v>129</v>
      </c>
      <c r="B456" t="s">
        <v>10</v>
      </c>
      <c r="C456" t="s">
        <v>28</v>
      </c>
      <c r="D456" t="s">
        <v>41</v>
      </c>
      <c r="E456">
        <v>2050</v>
      </c>
      <c r="F456">
        <v>267978.92035102146</v>
      </c>
    </row>
    <row r="457" spans="1:6" x14ac:dyDescent="0.25">
      <c r="A457" t="s">
        <v>129</v>
      </c>
      <c r="B457" t="s">
        <v>10</v>
      </c>
      <c r="C457" t="s">
        <v>28</v>
      </c>
      <c r="D457" t="s">
        <v>42</v>
      </c>
      <c r="E457">
        <v>2050</v>
      </c>
      <c r="F457">
        <v>52185.36869993576</v>
      </c>
    </row>
    <row r="458" spans="1:6" x14ac:dyDescent="0.25">
      <c r="A458" t="s">
        <v>129</v>
      </c>
      <c r="B458" t="s">
        <v>10</v>
      </c>
      <c r="C458" t="s">
        <v>43</v>
      </c>
      <c r="D458" t="s">
        <v>29</v>
      </c>
      <c r="E458">
        <v>2019</v>
      </c>
      <c r="F458">
        <v>244164.92559492172</v>
      </c>
    </row>
    <row r="459" spans="1:6" x14ac:dyDescent="0.25">
      <c r="A459" t="s">
        <v>129</v>
      </c>
      <c r="B459" t="s">
        <v>10</v>
      </c>
      <c r="C459" t="s">
        <v>43</v>
      </c>
      <c r="D459" t="s">
        <v>30</v>
      </c>
      <c r="E459">
        <v>2019</v>
      </c>
      <c r="F459">
        <v>222884.49629995148</v>
      </c>
    </row>
    <row r="460" spans="1:6" x14ac:dyDescent="0.25">
      <c r="A460" t="s">
        <v>129</v>
      </c>
      <c r="B460" t="s">
        <v>10</v>
      </c>
      <c r="C460" t="s">
        <v>43</v>
      </c>
      <c r="D460" t="s">
        <v>31</v>
      </c>
      <c r="E460">
        <v>2019</v>
      </c>
      <c r="F460">
        <v>101922.05609696274</v>
      </c>
    </row>
    <row r="461" spans="1:6" x14ac:dyDescent="0.25">
      <c r="A461" t="s">
        <v>129</v>
      </c>
      <c r="B461" t="s">
        <v>10</v>
      </c>
      <c r="C461" t="s">
        <v>43</v>
      </c>
      <c r="D461" t="s">
        <v>32</v>
      </c>
      <c r="E461">
        <v>2019</v>
      </c>
      <c r="F461">
        <v>100555.62853170674</v>
      </c>
    </row>
    <row r="462" spans="1:6" x14ac:dyDescent="0.25">
      <c r="A462" t="s">
        <v>129</v>
      </c>
      <c r="B462" t="s">
        <v>10</v>
      </c>
      <c r="C462" t="s">
        <v>43</v>
      </c>
      <c r="D462" t="s">
        <v>33</v>
      </c>
      <c r="E462">
        <v>2019</v>
      </c>
      <c r="F462">
        <v>49527.399127557059</v>
      </c>
    </row>
    <row r="463" spans="1:6" x14ac:dyDescent="0.25">
      <c r="A463" t="s">
        <v>129</v>
      </c>
      <c r="B463" t="s">
        <v>10</v>
      </c>
      <c r="C463" t="s">
        <v>43</v>
      </c>
      <c r="D463" t="s">
        <v>34</v>
      </c>
      <c r="E463">
        <v>2019</v>
      </c>
      <c r="F463">
        <v>0</v>
      </c>
    </row>
    <row r="464" spans="1:6" x14ac:dyDescent="0.25">
      <c r="A464" t="s">
        <v>129</v>
      </c>
      <c r="B464" t="s">
        <v>10</v>
      </c>
      <c r="C464" t="s">
        <v>43</v>
      </c>
      <c r="D464" t="s">
        <v>35</v>
      </c>
      <c r="E464">
        <v>2019</v>
      </c>
      <c r="F464">
        <v>0</v>
      </c>
    </row>
    <row r="465" spans="1:6" x14ac:dyDescent="0.25">
      <c r="A465" t="s">
        <v>129</v>
      </c>
      <c r="B465" t="s">
        <v>10</v>
      </c>
      <c r="C465" t="s">
        <v>43</v>
      </c>
      <c r="D465" t="s">
        <v>36</v>
      </c>
      <c r="E465">
        <v>2019</v>
      </c>
      <c r="F465">
        <v>0</v>
      </c>
    </row>
    <row r="466" spans="1:6" x14ac:dyDescent="0.25">
      <c r="A466" t="s">
        <v>129</v>
      </c>
      <c r="B466" t="s">
        <v>10</v>
      </c>
      <c r="C466" t="s">
        <v>43</v>
      </c>
      <c r="D466" t="s">
        <v>37</v>
      </c>
      <c r="E466">
        <v>2019</v>
      </c>
      <c r="F466">
        <v>0</v>
      </c>
    </row>
    <row r="467" spans="1:6" x14ac:dyDescent="0.25">
      <c r="A467" t="s">
        <v>129</v>
      </c>
      <c r="B467" t="s">
        <v>10</v>
      </c>
      <c r="C467" t="s">
        <v>43</v>
      </c>
      <c r="D467" t="s">
        <v>38</v>
      </c>
      <c r="E467">
        <v>2019</v>
      </c>
      <c r="F467">
        <v>389767.86287629709</v>
      </c>
    </row>
    <row r="468" spans="1:6" x14ac:dyDescent="0.25">
      <c r="A468" t="s">
        <v>129</v>
      </c>
      <c r="B468" t="s">
        <v>10</v>
      </c>
      <c r="C468" t="s">
        <v>43</v>
      </c>
      <c r="D468" t="s">
        <v>39</v>
      </c>
      <c r="E468">
        <v>2019</v>
      </c>
      <c r="F468">
        <v>29120.587456275069</v>
      </c>
    </row>
    <row r="469" spans="1:6" x14ac:dyDescent="0.25">
      <c r="A469" t="s">
        <v>129</v>
      </c>
      <c r="B469" t="s">
        <v>10</v>
      </c>
      <c r="C469" t="s">
        <v>43</v>
      </c>
      <c r="D469" t="s">
        <v>40</v>
      </c>
      <c r="E469">
        <v>2019</v>
      </c>
      <c r="F469">
        <v>26880.542267330831</v>
      </c>
    </row>
    <row r="470" spans="1:6" x14ac:dyDescent="0.25">
      <c r="A470" t="s">
        <v>129</v>
      </c>
      <c r="B470" t="s">
        <v>10</v>
      </c>
      <c r="C470" t="s">
        <v>43</v>
      </c>
      <c r="D470" t="s">
        <v>41</v>
      </c>
      <c r="E470">
        <v>2019</v>
      </c>
      <c r="F470">
        <v>212804.29294970242</v>
      </c>
    </row>
    <row r="471" spans="1:6" x14ac:dyDescent="0.25">
      <c r="A471" t="s">
        <v>129</v>
      </c>
      <c r="B471" t="s">
        <v>10</v>
      </c>
      <c r="C471" t="s">
        <v>43</v>
      </c>
      <c r="D471" t="s">
        <v>42</v>
      </c>
      <c r="E471">
        <v>2019</v>
      </c>
      <c r="F471">
        <v>41440.835995468369</v>
      </c>
    </row>
    <row r="472" spans="1:6" x14ac:dyDescent="0.25">
      <c r="A472" t="s">
        <v>129</v>
      </c>
      <c r="B472" t="s">
        <v>10</v>
      </c>
      <c r="C472" t="s">
        <v>43</v>
      </c>
      <c r="D472" t="s">
        <v>29</v>
      </c>
      <c r="E472">
        <v>2030</v>
      </c>
      <c r="F472">
        <v>256234.83946537593</v>
      </c>
    </row>
    <row r="473" spans="1:6" x14ac:dyDescent="0.25">
      <c r="A473" t="s">
        <v>129</v>
      </c>
      <c r="B473" t="s">
        <v>10</v>
      </c>
      <c r="C473" t="s">
        <v>43</v>
      </c>
      <c r="D473" t="s">
        <v>30</v>
      </c>
      <c r="E473">
        <v>2030</v>
      </c>
      <c r="F473">
        <v>233902.44520004498</v>
      </c>
    </row>
    <row r="474" spans="1:6" x14ac:dyDescent="0.25">
      <c r="A474" t="s">
        <v>129</v>
      </c>
      <c r="B474" t="s">
        <v>10</v>
      </c>
      <c r="C474" t="s">
        <v>43</v>
      </c>
      <c r="D474" t="s">
        <v>31</v>
      </c>
      <c r="E474">
        <v>2030</v>
      </c>
      <c r="F474">
        <v>106960.41463921656</v>
      </c>
    </row>
    <row r="475" spans="1:6" x14ac:dyDescent="0.25">
      <c r="A475" t="s">
        <v>129</v>
      </c>
      <c r="B475" t="s">
        <v>10</v>
      </c>
      <c r="C475" t="s">
        <v>43</v>
      </c>
      <c r="D475" t="s">
        <v>32</v>
      </c>
      <c r="E475">
        <v>2030</v>
      </c>
      <c r="F475">
        <v>105526.43984954793</v>
      </c>
    </row>
    <row r="476" spans="1:6" x14ac:dyDescent="0.25">
      <c r="A476" t="s">
        <v>129</v>
      </c>
      <c r="B476" t="s">
        <v>10</v>
      </c>
      <c r="C476" t="s">
        <v>43</v>
      </c>
      <c r="D476" t="s">
        <v>33</v>
      </c>
      <c r="E476">
        <v>2030</v>
      </c>
      <c r="F476">
        <v>51975.70917962808</v>
      </c>
    </row>
    <row r="477" spans="1:6" x14ac:dyDescent="0.25">
      <c r="A477" t="s">
        <v>129</v>
      </c>
      <c r="B477" t="s">
        <v>10</v>
      </c>
      <c r="C477" t="s">
        <v>43</v>
      </c>
      <c r="D477" t="s">
        <v>34</v>
      </c>
      <c r="E477">
        <v>2030</v>
      </c>
      <c r="F477">
        <v>0</v>
      </c>
    </row>
    <row r="478" spans="1:6" x14ac:dyDescent="0.25">
      <c r="A478" t="s">
        <v>129</v>
      </c>
      <c r="B478" t="s">
        <v>10</v>
      </c>
      <c r="C478" t="s">
        <v>43</v>
      </c>
      <c r="D478" t="s">
        <v>35</v>
      </c>
      <c r="E478">
        <v>2030</v>
      </c>
      <c r="F478">
        <v>0</v>
      </c>
    </row>
    <row r="479" spans="1:6" x14ac:dyDescent="0.25">
      <c r="A479" t="s">
        <v>129</v>
      </c>
      <c r="B479" t="s">
        <v>10</v>
      </c>
      <c r="C479" t="s">
        <v>43</v>
      </c>
      <c r="D479" t="s">
        <v>36</v>
      </c>
      <c r="E479">
        <v>2030</v>
      </c>
      <c r="F479">
        <v>0</v>
      </c>
    </row>
    <row r="480" spans="1:6" x14ac:dyDescent="0.25">
      <c r="A480" t="s">
        <v>129</v>
      </c>
      <c r="B480" t="s">
        <v>10</v>
      </c>
      <c r="C480" t="s">
        <v>43</v>
      </c>
      <c r="D480" t="s">
        <v>37</v>
      </c>
      <c r="E480">
        <v>2030</v>
      </c>
      <c r="F480">
        <v>0</v>
      </c>
    </row>
    <row r="481" spans="1:6" x14ac:dyDescent="0.25">
      <c r="A481" t="s">
        <v>129</v>
      </c>
      <c r="B481" t="s">
        <v>10</v>
      </c>
      <c r="C481" t="s">
        <v>43</v>
      </c>
      <c r="D481" t="s">
        <v>38</v>
      </c>
      <c r="E481">
        <v>2030</v>
      </c>
      <c r="F481">
        <v>409035.43180711387</v>
      </c>
    </row>
    <row r="482" spans="1:6" x14ac:dyDescent="0.25">
      <c r="A482" t="s">
        <v>129</v>
      </c>
      <c r="B482" t="s">
        <v>10</v>
      </c>
      <c r="C482" t="s">
        <v>43</v>
      </c>
      <c r="D482" t="s">
        <v>39</v>
      </c>
      <c r="E482">
        <v>2030</v>
      </c>
      <c r="F482">
        <v>30560.118468347584</v>
      </c>
    </row>
    <row r="483" spans="1:6" x14ac:dyDescent="0.25">
      <c r="A483" t="s">
        <v>129</v>
      </c>
      <c r="B483" t="s">
        <v>10</v>
      </c>
      <c r="C483" t="s">
        <v>43</v>
      </c>
      <c r="D483" t="s">
        <v>40</v>
      </c>
      <c r="E483">
        <v>2030</v>
      </c>
      <c r="F483">
        <v>28209.340124628539</v>
      </c>
    </row>
    <row r="484" spans="1:6" x14ac:dyDescent="0.25">
      <c r="A484" t="s">
        <v>129</v>
      </c>
      <c r="B484" t="s">
        <v>10</v>
      </c>
      <c r="C484" t="s">
        <v>43</v>
      </c>
      <c r="D484" t="s">
        <v>41</v>
      </c>
      <c r="E484">
        <v>2030</v>
      </c>
      <c r="F484">
        <v>223323.94265330929</v>
      </c>
    </row>
    <row r="485" spans="1:6" x14ac:dyDescent="0.25">
      <c r="A485" t="s">
        <v>129</v>
      </c>
      <c r="B485" t="s">
        <v>10</v>
      </c>
      <c r="C485" t="s">
        <v>43</v>
      </c>
      <c r="D485" t="s">
        <v>42</v>
      </c>
      <c r="E485">
        <v>2030</v>
      </c>
      <c r="F485">
        <v>43489.39935880233</v>
      </c>
    </row>
    <row r="486" spans="1:6" x14ac:dyDescent="0.25">
      <c r="A486" t="s">
        <v>129</v>
      </c>
      <c r="B486" t="s">
        <v>10</v>
      </c>
      <c r="C486" t="s">
        <v>43</v>
      </c>
      <c r="D486" t="s">
        <v>29</v>
      </c>
      <c r="E486">
        <v>2050</v>
      </c>
      <c r="F486">
        <v>268249.01834925939</v>
      </c>
    </row>
    <row r="487" spans="1:6" x14ac:dyDescent="0.25">
      <c r="A487" t="s">
        <v>129</v>
      </c>
      <c r="B487" t="s">
        <v>10</v>
      </c>
      <c r="C487" t="s">
        <v>43</v>
      </c>
      <c r="D487" t="s">
        <v>30</v>
      </c>
      <c r="E487">
        <v>2050</v>
      </c>
      <c r="F487">
        <v>244869.51675001203</v>
      </c>
    </row>
    <row r="488" spans="1:6" x14ac:dyDescent="0.25">
      <c r="A488" t="s">
        <v>129</v>
      </c>
      <c r="B488" t="s">
        <v>10</v>
      </c>
      <c r="C488" t="s">
        <v>43</v>
      </c>
      <c r="D488" t="s">
        <v>31</v>
      </c>
      <c r="E488">
        <v>2050</v>
      </c>
      <c r="F488">
        <v>111975.50765955324</v>
      </c>
    </row>
    <row r="489" spans="1:6" x14ac:dyDescent="0.25">
      <c r="A489" t="s">
        <v>129</v>
      </c>
      <c r="B489" t="s">
        <v>10</v>
      </c>
      <c r="C489" t="s">
        <v>43</v>
      </c>
      <c r="D489" t="s">
        <v>32</v>
      </c>
      <c r="E489">
        <v>2050</v>
      </c>
      <c r="F489">
        <v>110474.29755686472</v>
      </c>
    </row>
    <row r="490" spans="1:6" x14ac:dyDescent="0.25">
      <c r="A490" t="s">
        <v>129</v>
      </c>
      <c r="B490" t="s">
        <v>10</v>
      </c>
      <c r="C490" t="s">
        <v>43</v>
      </c>
      <c r="D490" t="s">
        <v>33</v>
      </c>
      <c r="E490">
        <v>2050</v>
      </c>
      <c r="F490">
        <v>54412.71372203785</v>
      </c>
    </row>
    <row r="491" spans="1:6" x14ac:dyDescent="0.25">
      <c r="A491" t="s">
        <v>129</v>
      </c>
      <c r="B491" t="s">
        <v>10</v>
      </c>
      <c r="C491" t="s">
        <v>43</v>
      </c>
      <c r="D491" t="s">
        <v>34</v>
      </c>
      <c r="E491">
        <v>2050</v>
      </c>
      <c r="F491">
        <v>0</v>
      </c>
    </row>
    <row r="492" spans="1:6" x14ac:dyDescent="0.25">
      <c r="A492" t="s">
        <v>129</v>
      </c>
      <c r="B492" t="s">
        <v>10</v>
      </c>
      <c r="C492" t="s">
        <v>43</v>
      </c>
      <c r="D492" t="s">
        <v>35</v>
      </c>
      <c r="E492">
        <v>2050</v>
      </c>
      <c r="F492">
        <v>0</v>
      </c>
    </row>
    <row r="493" spans="1:6" x14ac:dyDescent="0.25">
      <c r="A493" t="s">
        <v>129</v>
      </c>
      <c r="B493" t="s">
        <v>10</v>
      </c>
      <c r="C493" t="s">
        <v>43</v>
      </c>
      <c r="D493" t="s">
        <v>36</v>
      </c>
      <c r="E493">
        <v>2050</v>
      </c>
      <c r="F493">
        <v>0</v>
      </c>
    </row>
    <row r="494" spans="1:6" x14ac:dyDescent="0.25">
      <c r="A494" t="s">
        <v>129</v>
      </c>
      <c r="B494" t="s">
        <v>10</v>
      </c>
      <c r="C494" t="s">
        <v>43</v>
      </c>
      <c r="D494" t="s">
        <v>37</v>
      </c>
      <c r="E494">
        <v>2050</v>
      </c>
      <c r="F494">
        <v>0</v>
      </c>
    </row>
    <row r="495" spans="1:6" x14ac:dyDescent="0.25">
      <c r="A495" t="s">
        <v>129</v>
      </c>
      <c r="B495" t="s">
        <v>10</v>
      </c>
      <c r="C495" t="s">
        <v>43</v>
      </c>
      <c r="D495" t="s">
        <v>38</v>
      </c>
      <c r="E495">
        <v>2050</v>
      </c>
      <c r="F495">
        <v>428214.02929147833</v>
      </c>
    </row>
    <row r="496" spans="1:6" x14ac:dyDescent="0.25">
      <c r="A496" t="s">
        <v>129</v>
      </c>
      <c r="B496" t="s">
        <v>10</v>
      </c>
      <c r="C496" t="s">
        <v>43</v>
      </c>
      <c r="D496" t="s">
        <v>39</v>
      </c>
      <c r="E496">
        <v>2050</v>
      </c>
      <c r="F496">
        <v>31993.002188443785</v>
      </c>
    </row>
    <row r="497" spans="1:6" x14ac:dyDescent="0.25">
      <c r="A497" t="s">
        <v>129</v>
      </c>
      <c r="B497" t="s">
        <v>10</v>
      </c>
      <c r="C497" t="s">
        <v>43</v>
      </c>
      <c r="D497" t="s">
        <v>40</v>
      </c>
      <c r="E497">
        <v>2050</v>
      </c>
      <c r="F497">
        <v>29532.002020101954</v>
      </c>
    </row>
    <row r="498" spans="1:6" x14ac:dyDescent="0.25">
      <c r="A498" t="s">
        <v>129</v>
      </c>
      <c r="B498" t="s">
        <v>10</v>
      </c>
      <c r="C498" t="s">
        <v>43</v>
      </c>
      <c r="D498" t="s">
        <v>41</v>
      </c>
      <c r="E498">
        <v>2050</v>
      </c>
      <c r="F498">
        <v>233795.01599247381</v>
      </c>
    </row>
    <row r="499" spans="1:6" x14ac:dyDescent="0.25">
      <c r="A499" t="s">
        <v>129</v>
      </c>
      <c r="B499" t="s">
        <v>10</v>
      </c>
      <c r="C499" t="s">
        <v>43</v>
      </c>
      <c r="D499" t="s">
        <v>42</v>
      </c>
      <c r="E499">
        <v>2050</v>
      </c>
      <c r="F499">
        <v>45528.503114323845</v>
      </c>
    </row>
    <row r="500" spans="1:6" x14ac:dyDescent="0.25">
      <c r="A500" t="s">
        <v>129</v>
      </c>
      <c r="B500" t="s">
        <v>11</v>
      </c>
      <c r="C500" t="s">
        <v>28</v>
      </c>
      <c r="D500" t="s">
        <v>44</v>
      </c>
      <c r="E500">
        <v>2019</v>
      </c>
      <c r="F500">
        <v>2534442.072977222</v>
      </c>
    </row>
    <row r="501" spans="1:6" x14ac:dyDescent="0.25">
      <c r="A501" t="s">
        <v>129</v>
      </c>
      <c r="B501" t="s">
        <v>11</v>
      </c>
      <c r="C501" t="s">
        <v>28</v>
      </c>
      <c r="D501" t="s">
        <v>45</v>
      </c>
      <c r="E501">
        <v>2019</v>
      </c>
      <c r="F501">
        <v>4066864.6068164087</v>
      </c>
    </row>
    <row r="502" spans="1:6" x14ac:dyDescent="0.25">
      <c r="A502" t="s">
        <v>129</v>
      </c>
      <c r="B502" t="s">
        <v>11</v>
      </c>
      <c r="C502" t="s">
        <v>28</v>
      </c>
      <c r="D502" t="s">
        <v>46</v>
      </c>
      <c r="E502">
        <v>2019</v>
      </c>
      <c r="F502">
        <v>4103.8061780475591</v>
      </c>
    </row>
    <row r="503" spans="1:6" x14ac:dyDescent="0.25">
      <c r="A503" t="s">
        <v>129</v>
      </c>
      <c r="B503" t="s">
        <v>11</v>
      </c>
      <c r="C503" t="s">
        <v>28</v>
      </c>
      <c r="D503" t="s">
        <v>47</v>
      </c>
      <c r="E503">
        <v>2019</v>
      </c>
      <c r="F503">
        <v>1460182.5874658169</v>
      </c>
    </row>
    <row r="504" spans="1:6" x14ac:dyDescent="0.25">
      <c r="A504" t="s">
        <v>129</v>
      </c>
      <c r="B504" t="s">
        <v>11</v>
      </c>
      <c r="C504" t="s">
        <v>28</v>
      </c>
      <c r="D504" t="s">
        <v>48</v>
      </c>
      <c r="E504">
        <v>2019</v>
      </c>
      <c r="F504">
        <v>393543.64426779439</v>
      </c>
    </row>
    <row r="505" spans="1:6" x14ac:dyDescent="0.25">
      <c r="A505" t="s">
        <v>129</v>
      </c>
      <c r="B505" t="s">
        <v>11</v>
      </c>
      <c r="C505" t="s">
        <v>28</v>
      </c>
      <c r="D505" t="s">
        <v>49</v>
      </c>
      <c r="E505">
        <v>2019</v>
      </c>
      <c r="F505">
        <v>716103.75203569303</v>
      </c>
    </row>
    <row r="506" spans="1:6" x14ac:dyDescent="0.25">
      <c r="A506" t="s">
        <v>129</v>
      </c>
      <c r="B506" t="s">
        <v>11</v>
      </c>
      <c r="C506" t="s">
        <v>28</v>
      </c>
      <c r="D506" t="s">
        <v>50</v>
      </c>
      <c r="E506">
        <v>2019</v>
      </c>
      <c r="F506">
        <v>671194.67155029252</v>
      </c>
    </row>
    <row r="507" spans="1:6" x14ac:dyDescent="0.25">
      <c r="A507" t="s">
        <v>129</v>
      </c>
      <c r="B507" t="s">
        <v>11</v>
      </c>
      <c r="C507" t="s">
        <v>28</v>
      </c>
      <c r="D507" t="s">
        <v>51</v>
      </c>
      <c r="E507">
        <v>2019</v>
      </c>
      <c r="F507">
        <v>0</v>
      </c>
    </row>
    <row r="508" spans="1:6" x14ac:dyDescent="0.25">
      <c r="A508" t="s">
        <v>129</v>
      </c>
      <c r="B508" t="s">
        <v>11</v>
      </c>
      <c r="C508" t="s">
        <v>28</v>
      </c>
      <c r="D508" t="s">
        <v>52</v>
      </c>
      <c r="E508">
        <v>2019</v>
      </c>
      <c r="F508">
        <v>53138.892747161146</v>
      </c>
    </row>
    <row r="509" spans="1:6" x14ac:dyDescent="0.25">
      <c r="A509" t="s">
        <v>129</v>
      </c>
      <c r="B509" t="s">
        <v>11</v>
      </c>
      <c r="C509" t="s">
        <v>28</v>
      </c>
      <c r="D509" t="s">
        <v>29</v>
      </c>
      <c r="E509">
        <v>2019</v>
      </c>
      <c r="F509">
        <v>2840.1853290986264</v>
      </c>
    </row>
    <row r="510" spans="1:6" x14ac:dyDescent="0.25">
      <c r="A510" t="s">
        <v>129</v>
      </c>
      <c r="B510" t="s">
        <v>11</v>
      </c>
      <c r="C510" t="s">
        <v>28</v>
      </c>
      <c r="D510" t="s">
        <v>53</v>
      </c>
      <c r="E510">
        <v>2019</v>
      </c>
      <c r="F510">
        <v>75746.163899662715</v>
      </c>
    </row>
    <row r="511" spans="1:6" x14ac:dyDescent="0.25">
      <c r="A511" t="s">
        <v>129</v>
      </c>
      <c r="B511" t="s">
        <v>11</v>
      </c>
      <c r="C511" t="s">
        <v>28</v>
      </c>
      <c r="D511" t="s">
        <v>54</v>
      </c>
      <c r="E511">
        <v>2019</v>
      </c>
      <c r="F511">
        <v>314821.43493156106</v>
      </c>
    </row>
    <row r="512" spans="1:6" x14ac:dyDescent="0.25">
      <c r="A512" t="s">
        <v>129</v>
      </c>
      <c r="B512" t="s">
        <v>11</v>
      </c>
      <c r="C512" t="s">
        <v>28</v>
      </c>
      <c r="D512" t="s">
        <v>55</v>
      </c>
      <c r="E512">
        <v>2019</v>
      </c>
      <c r="F512">
        <v>4101.0489241972273</v>
      </c>
    </row>
    <row r="513" spans="1:6" x14ac:dyDescent="0.25">
      <c r="A513" t="s">
        <v>129</v>
      </c>
      <c r="B513" t="s">
        <v>11</v>
      </c>
      <c r="C513" t="s">
        <v>28</v>
      </c>
      <c r="D513" t="s">
        <v>56</v>
      </c>
      <c r="E513">
        <v>2019</v>
      </c>
      <c r="F513">
        <v>42.099811904105366</v>
      </c>
    </row>
    <row r="514" spans="1:6" x14ac:dyDescent="0.25">
      <c r="A514" t="s">
        <v>129</v>
      </c>
      <c r="B514" t="s">
        <v>11</v>
      </c>
      <c r="C514" t="s">
        <v>28</v>
      </c>
      <c r="D514" t="s">
        <v>57</v>
      </c>
      <c r="E514">
        <v>2019</v>
      </c>
      <c r="F514">
        <v>114193.60000000001</v>
      </c>
    </row>
    <row r="515" spans="1:6" x14ac:dyDescent="0.25">
      <c r="A515" t="s">
        <v>129</v>
      </c>
      <c r="B515" t="s">
        <v>11</v>
      </c>
      <c r="C515" t="s">
        <v>28</v>
      </c>
      <c r="D515" t="s">
        <v>35</v>
      </c>
      <c r="E515">
        <v>2019</v>
      </c>
      <c r="F515">
        <v>0</v>
      </c>
    </row>
    <row r="516" spans="1:6" x14ac:dyDescent="0.25">
      <c r="A516" t="s">
        <v>129</v>
      </c>
      <c r="B516" t="s">
        <v>11</v>
      </c>
      <c r="C516" t="s">
        <v>28</v>
      </c>
      <c r="D516" t="s">
        <v>36</v>
      </c>
      <c r="E516">
        <v>2019</v>
      </c>
      <c r="F516">
        <v>0</v>
      </c>
    </row>
    <row r="517" spans="1:6" x14ac:dyDescent="0.25">
      <c r="A517" t="s">
        <v>129</v>
      </c>
      <c r="B517" t="s">
        <v>11</v>
      </c>
      <c r="C517" t="s">
        <v>28</v>
      </c>
      <c r="D517" t="s">
        <v>44</v>
      </c>
      <c r="E517">
        <v>2030</v>
      </c>
      <c r="F517">
        <v>7989661.5832169671</v>
      </c>
    </row>
    <row r="518" spans="1:6" x14ac:dyDescent="0.25">
      <c r="A518" t="s">
        <v>129</v>
      </c>
      <c r="B518" t="s">
        <v>11</v>
      </c>
      <c r="C518" t="s">
        <v>28</v>
      </c>
      <c r="D518" t="s">
        <v>45</v>
      </c>
      <c r="E518">
        <v>2030</v>
      </c>
      <c r="F518">
        <v>9867457.5006151944</v>
      </c>
    </row>
    <row r="519" spans="1:6" x14ac:dyDescent="0.25">
      <c r="A519" t="s">
        <v>129</v>
      </c>
      <c r="B519" t="s">
        <v>11</v>
      </c>
      <c r="C519" t="s">
        <v>28</v>
      </c>
      <c r="D519" t="s">
        <v>46</v>
      </c>
      <c r="E519">
        <v>2030</v>
      </c>
      <c r="F519">
        <v>4171.3630677727415</v>
      </c>
    </row>
    <row r="520" spans="1:6" x14ac:dyDescent="0.25">
      <c r="A520" t="s">
        <v>129</v>
      </c>
      <c r="B520" t="s">
        <v>11</v>
      </c>
      <c r="C520" t="s">
        <v>28</v>
      </c>
      <c r="D520" t="s">
        <v>47</v>
      </c>
      <c r="E520">
        <v>2030</v>
      </c>
      <c r="F520">
        <v>1507101.1523820646</v>
      </c>
    </row>
    <row r="521" spans="1:6" x14ac:dyDescent="0.25">
      <c r="A521" t="s">
        <v>129</v>
      </c>
      <c r="B521" t="s">
        <v>11</v>
      </c>
      <c r="C521" t="s">
        <v>28</v>
      </c>
      <c r="D521" t="s">
        <v>48</v>
      </c>
      <c r="E521">
        <v>2030</v>
      </c>
      <c r="F521">
        <v>195082.24112879002</v>
      </c>
    </row>
    <row r="522" spans="1:6" x14ac:dyDescent="0.25">
      <c r="A522" t="s">
        <v>129</v>
      </c>
      <c r="B522" t="s">
        <v>11</v>
      </c>
      <c r="C522" t="s">
        <v>28</v>
      </c>
      <c r="D522" t="s">
        <v>49</v>
      </c>
      <c r="E522">
        <v>2030</v>
      </c>
      <c r="F522">
        <v>523057.13098607323</v>
      </c>
    </row>
    <row r="523" spans="1:6" x14ac:dyDescent="0.25">
      <c r="A523" t="s">
        <v>129</v>
      </c>
      <c r="B523" t="s">
        <v>11</v>
      </c>
      <c r="C523" t="s">
        <v>28</v>
      </c>
      <c r="D523" t="s">
        <v>50</v>
      </c>
      <c r="E523">
        <v>2030</v>
      </c>
      <c r="F523">
        <v>1326462.9092294232</v>
      </c>
    </row>
    <row r="524" spans="1:6" x14ac:dyDescent="0.25">
      <c r="A524" t="s">
        <v>129</v>
      </c>
      <c r="B524" t="s">
        <v>11</v>
      </c>
      <c r="C524" t="s">
        <v>28</v>
      </c>
      <c r="D524" t="s">
        <v>51</v>
      </c>
      <c r="E524">
        <v>2030</v>
      </c>
      <c r="F524">
        <v>0</v>
      </c>
    </row>
    <row r="525" spans="1:6" x14ac:dyDescent="0.25">
      <c r="A525" t="s">
        <v>129</v>
      </c>
      <c r="B525" t="s">
        <v>11</v>
      </c>
      <c r="C525" t="s">
        <v>28</v>
      </c>
      <c r="D525" t="s">
        <v>52</v>
      </c>
      <c r="E525">
        <v>2030</v>
      </c>
      <c r="F525">
        <v>52868.994212030084</v>
      </c>
    </row>
    <row r="526" spans="1:6" x14ac:dyDescent="0.25">
      <c r="A526" t="s">
        <v>129</v>
      </c>
      <c r="B526" t="s">
        <v>11</v>
      </c>
      <c r="C526" t="s">
        <v>28</v>
      </c>
      <c r="D526" t="s">
        <v>29</v>
      </c>
      <c r="E526">
        <v>2030</v>
      </c>
      <c r="F526">
        <v>2833.9333697705197</v>
      </c>
    </row>
    <row r="527" spans="1:6" x14ac:dyDescent="0.25">
      <c r="A527" t="s">
        <v>129</v>
      </c>
      <c r="B527" t="s">
        <v>11</v>
      </c>
      <c r="C527" t="s">
        <v>28</v>
      </c>
      <c r="D527" t="s">
        <v>53</v>
      </c>
      <c r="E527">
        <v>2030</v>
      </c>
      <c r="F527">
        <v>75614.059561949907</v>
      </c>
    </row>
    <row r="528" spans="1:6" x14ac:dyDescent="0.25">
      <c r="A528" t="s">
        <v>129</v>
      </c>
      <c r="B528" t="s">
        <v>11</v>
      </c>
      <c r="C528" t="s">
        <v>28</v>
      </c>
      <c r="D528" t="s">
        <v>54</v>
      </c>
      <c r="E528">
        <v>2030</v>
      </c>
      <c r="F528">
        <v>314692.31350359169</v>
      </c>
    </row>
    <row r="529" spans="1:6" x14ac:dyDescent="0.25">
      <c r="A529" t="s">
        <v>129</v>
      </c>
      <c r="B529" t="s">
        <v>11</v>
      </c>
      <c r="C529" t="s">
        <v>28</v>
      </c>
      <c r="D529" t="s">
        <v>55</v>
      </c>
      <c r="E529">
        <v>2030</v>
      </c>
      <c r="F529">
        <v>4075.7207832735812</v>
      </c>
    </row>
    <row r="530" spans="1:6" x14ac:dyDescent="0.25">
      <c r="A530" t="s">
        <v>129</v>
      </c>
      <c r="B530" t="s">
        <v>11</v>
      </c>
      <c r="C530" t="s">
        <v>28</v>
      </c>
      <c r="D530" t="s">
        <v>56</v>
      </c>
      <c r="E530">
        <v>2030</v>
      </c>
      <c r="F530">
        <v>41.80391161429587</v>
      </c>
    </row>
    <row r="531" spans="1:6" x14ac:dyDescent="0.25">
      <c r="A531" t="s">
        <v>129</v>
      </c>
      <c r="B531" t="s">
        <v>11</v>
      </c>
      <c r="C531" t="s">
        <v>28</v>
      </c>
      <c r="D531" t="s">
        <v>57</v>
      </c>
      <c r="E531">
        <v>2030</v>
      </c>
      <c r="F531">
        <v>114193.60000000001</v>
      </c>
    </row>
    <row r="532" spans="1:6" x14ac:dyDescent="0.25">
      <c r="A532" t="s">
        <v>129</v>
      </c>
      <c r="B532" t="s">
        <v>11</v>
      </c>
      <c r="C532" t="s">
        <v>28</v>
      </c>
      <c r="D532" t="s">
        <v>35</v>
      </c>
      <c r="E532">
        <v>2030</v>
      </c>
      <c r="F532">
        <v>0</v>
      </c>
    </row>
    <row r="533" spans="1:6" x14ac:dyDescent="0.25">
      <c r="A533" t="s">
        <v>129</v>
      </c>
      <c r="B533" t="s">
        <v>11</v>
      </c>
      <c r="C533" t="s">
        <v>28</v>
      </c>
      <c r="D533" t="s">
        <v>36</v>
      </c>
      <c r="E533">
        <v>2030</v>
      </c>
      <c r="F533">
        <v>0</v>
      </c>
    </row>
    <row r="534" spans="1:6" x14ac:dyDescent="0.25">
      <c r="A534" t="s">
        <v>129</v>
      </c>
      <c r="B534" t="s">
        <v>11</v>
      </c>
      <c r="C534" t="s">
        <v>28</v>
      </c>
      <c r="D534" t="s">
        <v>44</v>
      </c>
      <c r="E534">
        <v>2050</v>
      </c>
      <c r="F534">
        <v>6119291.7094537346</v>
      </c>
    </row>
    <row r="535" spans="1:6" x14ac:dyDescent="0.25">
      <c r="A535" t="s">
        <v>129</v>
      </c>
      <c r="B535" t="s">
        <v>11</v>
      </c>
      <c r="C535" t="s">
        <v>28</v>
      </c>
      <c r="D535" t="s">
        <v>45</v>
      </c>
      <c r="E535">
        <v>2050</v>
      </c>
      <c r="F535">
        <v>7743127.1535502924</v>
      </c>
    </row>
    <row r="536" spans="1:6" x14ac:dyDescent="0.25">
      <c r="A536" t="s">
        <v>129</v>
      </c>
      <c r="B536" t="s">
        <v>11</v>
      </c>
      <c r="C536" t="s">
        <v>28</v>
      </c>
      <c r="D536" t="s">
        <v>46</v>
      </c>
      <c r="E536">
        <v>2050</v>
      </c>
      <c r="F536">
        <v>3446.2126889929687</v>
      </c>
    </row>
    <row r="537" spans="1:6" x14ac:dyDescent="0.25">
      <c r="A537" t="s">
        <v>129</v>
      </c>
      <c r="B537" t="s">
        <v>11</v>
      </c>
      <c r="C537" t="s">
        <v>28</v>
      </c>
      <c r="D537" t="s">
        <v>47</v>
      </c>
      <c r="E537">
        <v>2050</v>
      </c>
      <c r="F537">
        <v>1554136.2730559006</v>
      </c>
    </row>
    <row r="538" spans="1:6" x14ac:dyDescent="0.25">
      <c r="A538" t="s">
        <v>129</v>
      </c>
      <c r="B538" t="s">
        <v>11</v>
      </c>
      <c r="C538" t="s">
        <v>28</v>
      </c>
      <c r="D538" t="s">
        <v>48</v>
      </c>
      <c r="E538">
        <v>2050</v>
      </c>
      <c r="F538">
        <v>197484.23354298095</v>
      </c>
    </row>
    <row r="539" spans="1:6" x14ac:dyDescent="0.25">
      <c r="A539" t="s">
        <v>129</v>
      </c>
      <c r="B539" t="s">
        <v>11</v>
      </c>
      <c r="C539" t="s">
        <v>28</v>
      </c>
      <c r="D539" t="s">
        <v>49</v>
      </c>
      <c r="E539">
        <v>2050</v>
      </c>
      <c r="F539">
        <v>505095.54922592157</v>
      </c>
    </row>
    <row r="540" spans="1:6" x14ac:dyDescent="0.25">
      <c r="A540" t="s">
        <v>129</v>
      </c>
      <c r="B540" t="s">
        <v>11</v>
      </c>
      <c r="C540" t="s">
        <v>28</v>
      </c>
      <c r="D540" t="s">
        <v>50</v>
      </c>
      <c r="E540">
        <v>2050</v>
      </c>
      <c r="F540">
        <v>1111191.0910754299</v>
      </c>
    </row>
    <row r="541" spans="1:6" x14ac:dyDescent="0.25">
      <c r="A541" t="s">
        <v>129</v>
      </c>
      <c r="B541" t="s">
        <v>11</v>
      </c>
      <c r="C541" t="s">
        <v>28</v>
      </c>
      <c r="D541" t="s">
        <v>51</v>
      </c>
      <c r="E541">
        <v>2050</v>
      </c>
      <c r="F541">
        <v>0</v>
      </c>
    </row>
    <row r="542" spans="1:6" x14ac:dyDescent="0.25">
      <c r="A542" t="s">
        <v>129</v>
      </c>
      <c r="B542" t="s">
        <v>11</v>
      </c>
      <c r="C542" t="s">
        <v>28</v>
      </c>
      <c r="D542" t="s">
        <v>52</v>
      </c>
      <c r="E542">
        <v>2050</v>
      </c>
      <c r="F542">
        <v>53363.755309158871</v>
      </c>
    </row>
    <row r="543" spans="1:6" x14ac:dyDescent="0.25">
      <c r="A543" t="s">
        <v>129</v>
      </c>
      <c r="B543" t="s">
        <v>11</v>
      </c>
      <c r="C543" t="s">
        <v>28</v>
      </c>
      <c r="D543" t="s">
        <v>29</v>
      </c>
      <c r="E543">
        <v>2050</v>
      </c>
      <c r="F543">
        <v>2825.7560217041437</v>
      </c>
    </row>
    <row r="544" spans="1:6" x14ac:dyDescent="0.25">
      <c r="A544" t="s">
        <v>129</v>
      </c>
      <c r="B544" t="s">
        <v>11</v>
      </c>
      <c r="C544" t="s">
        <v>28</v>
      </c>
      <c r="D544" t="s">
        <v>53</v>
      </c>
      <c r="E544">
        <v>2050</v>
      </c>
      <c r="F544">
        <v>75527.053678542041</v>
      </c>
    </row>
    <row r="545" spans="1:6" x14ac:dyDescent="0.25">
      <c r="A545" t="s">
        <v>129</v>
      </c>
      <c r="B545" t="s">
        <v>11</v>
      </c>
      <c r="C545" t="s">
        <v>28</v>
      </c>
      <c r="D545" t="s">
        <v>54</v>
      </c>
      <c r="E545">
        <v>2050</v>
      </c>
      <c r="F545">
        <v>314525.12457946909</v>
      </c>
    </row>
    <row r="546" spans="1:6" x14ac:dyDescent="0.25">
      <c r="A546" t="s">
        <v>129</v>
      </c>
      <c r="B546" t="s">
        <v>11</v>
      </c>
      <c r="C546" t="s">
        <v>28</v>
      </c>
      <c r="D546" t="s">
        <v>55</v>
      </c>
      <c r="E546">
        <v>2050</v>
      </c>
      <c r="F546">
        <v>4034.07077562927</v>
      </c>
    </row>
    <row r="547" spans="1:6" x14ac:dyDescent="0.25">
      <c r="A547" t="s">
        <v>129</v>
      </c>
      <c r="B547" t="s">
        <v>11</v>
      </c>
      <c r="C547" t="s">
        <v>28</v>
      </c>
      <c r="D547" t="s">
        <v>56</v>
      </c>
      <c r="E547">
        <v>2050</v>
      </c>
      <c r="F547">
        <v>41.656918132692169</v>
      </c>
    </row>
    <row r="548" spans="1:6" x14ac:dyDescent="0.25">
      <c r="A548" t="s">
        <v>129</v>
      </c>
      <c r="B548" t="s">
        <v>11</v>
      </c>
      <c r="C548" t="s">
        <v>28</v>
      </c>
      <c r="D548" t="s">
        <v>57</v>
      </c>
      <c r="E548">
        <v>2050</v>
      </c>
      <c r="F548">
        <v>114193.60000000001</v>
      </c>
    </row>
    <row r="549" spans="1:6" x14ac:dyDescent="0.25">
      <c r="A549" t="s">
        <v>129</v>
      </c>
      <c r="B549" t="s">
        <v>11</v>
      </c>
      <c r="C549" t="s">
        <v>28</v>
      </c>
      <c r="D549" t="s">
        <v>35</v>
      </c>
      <c r="E549">
        <v>2050</v>
      </c>
      <c r="F549">
        <v>0</v>
      </c>
    </row>
    <row r="550" spans="1:6" x14ac:dyDescent="0.25">
      <c r="A550" t="s">
        <v>129</v>
      </c>
      <c r="B550" t="s">
        <v>11</v>
      </c>
      <c r="C550" t="s">
        <v>28</v>
      </c>
      <c r="D550" t="s">
        <v>36</v>
      </c>
      <c r="E550">
        <v>2050</v>
      </c>
      <c r="F550">
        <v>0</v>
      </c>
    </row>
    <row r="551" spans="1:6" x14ac:dyDescent="0.25">
      <c r="A551" t="s">
        <v>129</v>
      </c>
      <c r="B551" t="s">
        <v>11</v>
      </c>
      <c r="C551" t="s">
        <v>43</v>
      </c>
      <c r="D551" t="s">
        <v>44</v>
      </c>
      <c r="E551">
        <v>2019</v>
      </c>
      <c r="F551">
        <v>380427.26035611134</v>
      </c>
    </row>
    <row r="552" spans="1:6" x14ac:dyDescent="0.25">
      <c r="A552" t="s">
        <v>129</v>
      </c>
      <c r="B552" t="s">
        <v>11</v>
      </c>
      <c r="C552" t="s">
        <v>43</v>
      </c>
      <c r="D552" t="s">
        <v>45</v>
      </c>
      <c r="E552">
        <v>2019</v>
      </c>
      <c r="F552">
        <v>286645.05985025823</v>
      </c>
    </row>
    <row r="553" spans="1:6" x14ac:dyDescent="0.25">
      <c r="A553" t="s">
        <v>129</v>
      </c>
      <c r="B553" t="s">
        <v>11</v>
      </c>
      <c r="C553" t="s">
        <v>43</v>
      </c>
      <c r="D553" t="s">
        <v>46</v>
      </c>
      <c r="E553">
        <v>2019</v>
      </c>
      <c r="F553">
        <v>337.693821952441</v>
      </c>
    </row>
    <row r="554" spans="1:6" x14ac:dyDescent="0.25">
      <c r="A554" t="s">
        <v>129</v>
      </c>
      <c r="B554" t="s">
        <v>11</v>
      </c>
      <c r="C554" t="s">
        <v>43</v>
      </c>
      <c r="D554" t="s">
        <v>47</v>
      </c>
      <c r="E554">
        <v>2019</v>
      </c>
      <c r="F554">
        <v>1208651.4125341829</v>
      </c>
    </row>
    <row r="555" spans="1:6" x14ac:dyDescent="0.25">
      <c r="A555" t="s">
        <v>129</v>
      </c>
      <c r="B555" t="s">
        <v>11</v>
      </c>
      <c r="C555" t="s">
        <v>43</v>
      </c>
      <c r="D555" t="s">
        <v>48</v>
      </c>
      <c r="E555">
        <v>2019</v>
      </c>
      <c r="F555">
        <v>335590.35573220561</v>
      </c>
    </row>
    <row r="556" spans="1:6" x14ac:dyDescent="0.25">
      <c r="A556" t="s">
        <v>129</v>
      </c>
      <c r="B556" t="s">
        <v>11</v>
      </c>
      <c r="C556" t="s">
        <v>43</v>
      </c>
      <c r="D556" t="s">
        <v>49</v>
      </c>
      <c r="E556">
        <v>2019</v>
      </c>
      <c r="F556">
        <v>279550.24796430691</v>
      </c>
    </row>
    <row r="557" spans="1:6" x14ac:dyDescent="0.25">
      <c r="A557" t="s">
        <v>129</v>
      </c>
      <c r="B557" t="s">
        <v>11</v>
      </c>
      <c r="C557" t="s">
        <v>43</v>
      </c>
      <c r="D557" t="s">
        <v>50</v>
      </c>
      <c r="E557">
        <v>2019</v>
      </c>
      <c r="F557">
        <v>85892.328449707566</v>
      </c>
    </row>
    <row r="558" spans="1:6" x14ac:dyDescent="0.25">
      <c r="A558" t="s">
        <v>129</v>
      </c>
      <c r="B558" t="s">
        <v>11</v>
      </c>
      <c r="C558" t="s">
        <v>43</v>
      </c>
      <c r="D558" t="s">
        <v>51</v>
      </c>
      <c r="E558">
        <v>2019</v>
      </c>
      <c r="F558">
        <v>0</v>
      </c>
    </row>
    <row r="559" spans="1:6" x14ac:dyDescent="0.25">
      <c r="A559" t="s">
        <v>129</v>
      </c>
      <c r="B559" t="s">
        <v>11</v>
      </c>
      <c r="C559" t="s">
        <v>43</v>
      </c>
      <c r="D559" t="s">
        <v>52</v>
      </c>
      <c r="E559">
        <v>2019</v>
      </c>
      <c r="F559">
        <v>22795.107252838847</v>
      </c>
    </row>
    <row r="560" spans="1:6" x14ac:dyDescent="0.25">
      <c r="A560" t="s">
        <v>129</v>
      </c>
      <c r="B560" t="s">
        <v>11</v>
      </c>
      <c r="C560" t="s">
        <v>43</v>
      </c>
      <c r="D560" t="s">
        <v>29</v>
      </c>
      <c r="E560">
        <v>2019</v>
      </c>
      <c r="F560">
        <v>945.81467090137289</v>
      </c>
    </row>
    <row r="561" spans="1:6" x14ac:dyDescent="0.25">
      <c r="A561" t="s">
        <v>129</v>
      </c>
      <c r="B561" t="s">
        <v>11</v>
      </c>
      <c r="C561" t="s">
        <v>43</v>
      </c>
      <c r="D561" t="s">
        <v>53</v>
      </c>
      <c r="E561">
        <v>2019</v>
      </c>
      <c r="F561">
        <v>9930.836100337272</v>
      </c>
    </row>
    <row r="562" spans="1:6" x14ac:dyDescent="0.25">
      <c r="A562" t="s">
        <v>129</v>
      </c>
      <c r="B562" t="s">
        <v>11</v>
      </c>
      <c r="C562" t="s">
        <v>43</v>
      </c>
      <c r="D562" t="s">
        <v>54</v>
      </c>
      <c r="E562">
        <v>2019</v>
      </c>
      <c r="F562">
        <v>15204.565068438918</v>
      </c>
    </row>
    <row r="563" spans="1:6" x14ac:dyDescent="0.25">
      <c r="A563" t="s">
        <v>129</v>
      </c>
      <c r="B563" t="s">
        <v>11</v>
      </c>
      <c r="C563" t="s">
        <v>43</v>
      </c>
      <c r="D563" t="s">
        <v>55</v>
      </c>
      <c r="E563">
        <v>2019</v>
      </c>
      <c r="F563">
        <v>24543.951075802775</v>
      </c>
    </row>
    <row r="564" spans="1:6" x14ac:dyDescent="0.25">
      <c r="A564" t="s">
        <v>129</v>
      </c>
      <c r="B564" t="s">
        <v>11</v>
      </c>
      <c r="C564" t="s">
        <v>43</v>
      </c>
      <c r="D564" t="s">
        <v>56</v>
      </c>
      <c r="E564">
        <v>2019</v>
      </c>
      <c r="F564">
        <v>35.900188095894634</v>
      </c>
    </row>
    <row r="565" spans="1:6" x14ac:dyDescent="0.25">
      <c r="A565" t="s">
        <v>129</v>
      </c>
      <c r="B565" t="s">
        <v>11</v>
      </c>
      <c r="C565" t="s">
        <v>43</v>
      </c>
      <c r="D565" t="s">
        <v>57</v>
      </c>
      <c r="E565">
        <v>2019</v>
      </c>
      <c r="F565">
        <v>28548.400000000001</v>
      </c>
    </row>
    <row r="566" spans="1:6" x14ac:dyDescent="0.25">
      <c r="A566" t="s">
        <v>129</v>
      </c>
      <c r="B566" t="s">
        <v>11</v>
      </c>
      <c r="C566" t="s">
        <v>43</v>
      </c>
      <c r="D566" t="s">
        <v>35</v>
      </c>
      <c r="E566">
        <v>2019</v>
      </c>
      <c r="F566">
        <v>0</v>
      </c>
    </row>
    <row r="567" spans="1:6" x14ac:dyDescent="0.25">
      <c r="A567" t="s">
        <v>129</v>
      </c>
      <c r="B567" t="s">
        <v>11</v>
      </c>
      <c r="C567" t="s">
        <v>43</v>
      </c>
      <c r="D567" t="s">
        <v>36</v>
      </c>
      <c r="E567">
        <v>2019</v>
      </c>
      <c r="F567">
        <v>0</v>
      </c>
    </row>
    <row r="568" spans="1:6" x14ac:dyDescent="0.25">
      <c r="A568" t="s">
        <v>129</v>
      </c>
      <c r="B568" t="s">
        <v>11</v>
      </c>
      <c r="C568" t="s">
        <v>43</v>
      </c>
      <c r="D568" t="s">
        <v>44</v>
      </c>
      <c r="E568">
        <v>2030</v>
      </c>
      <c r="F568">
        <v>1157678.9141627084</v>
      </c>
    </row>
    <row r="569" spans="1:6" x14ac:dyDescent="0.25">
      <c r="A569" t="s">
        <v>129</v>
      </c>
      <c r="B569" t="s">
        <v>11</v>
      </c>
      <c r="C569" t="s">
        <v>43</v>
      </c>
      <c r="D569" t="s">
        <v>45</v>
      </c>
      <c r="E569">
        <v>2030</v>
      </c>
      <c r="F569">
        <v>701319.77122631879</v>
      </c>
    </row>
    <row r="570" spans="1:6" x14ac:dyDescent="0.25">
      <c r="A570" t="s">
        <v>129</v>
      </c>
      <c r="B570" t="s">
        <v>11</v>
      </c>
      <c r="C570" t="s">
        <v>43</v>
      </c>
      <c r="D570" t="s">
        <v>46</v>
      </c>
      <c r="E570">
        <v>2030</v>
      </c>
      <c r="F570">
        <v>350.10096257642732</v>
      </c>
    </row>
    <row r="571" spans="1:6" x14ac:dyDescent="0.25">
      <c r="A571" t="s">
        <v>129</v>
      </c>
      <c r="B571" t="s">
        <v>11</v>
      </c>
      <c r="C571" t="s">
        <v>43</v>
      </c>
      <c r="D571" t="s">
        <v>47</v>
      </c>
      <c r="E571">
        <v>2030</v>
      </c>
      <c r="F571">
        <v>1268228.6485488336</v>
      </c>
    </row>
    <row r="572" spans="1:6" x14ac:dyDescent="0.25">
      <c r="A572" t="s">
        <v>129</v>
      </c>
      <c r="B572" t="s">
        <v>11</v>
      </c>
      <c r="C572" t="s">
        <v>43</v>
      </c>
      <c r="D572" t="s">
        <v>48</v>
      </c>
      <c r="E572">
        <v>2030</v>
      </c>
      <c r="F572">
        <v>168912.75887120995</v>
      </c>
    </row>
    <row r="573" spans="1:6" x14ac:dyDescent="0.25">
      <c r="A573" t="s">
        <v>129</v>
      </c>
      <c r="B573" t="s">
        <v>11</v>
      </c>
      <c r="C573" t="s">
        <v>43</v>
      </c>
      <c r="D573" t="s">
        <v>49</v>
      </c>
      <c r="E573">
        <v>2030</v>
      </c>
      <c r="F573">
        <v>202910.8690139266</v>
      </c>
    </row>
    <row r="574" spans="1:6" x14ac:dyDescent="0.25">
      <c r="A574" t="s">
        <v>129</v>
      </c>
      <c r="B574" t="s">
        <v>11</v>
      </c>
      <c r="C574" t="s">
        <v>43</v>
      </c>
      <c r="D574" t="s">
        <v>50</v>
      </c>
      <c r="E574">
        <v>2030</v>
      </c>
      <c r="F574">
        <v>179027.55479609076</v>
      </c>
    </row>
    <row r="575" spans="1:6" x14ac:dyDescent="0.25">
      <c r="A575" t="s">
        <v>129</v>
      </c>
      <c r="B575" t="s">
        <v>11</v>
      </c>
      <c r="C575" t="s">
        <v>43</v>
      </c>
      <c r="D575" t="s">
        <v>51</v>
      </c>
      <c r="E575">
        <v>2030</v>
      </c>
      <c r="F575">
        <v>0</v>
      </c>
    </row>
    <row r="576" spans="1:6" x14ac:dyDescent="0.25">
      <c r="A576" t="s">
        <v>129</v>
      </c>
      <c r="B576" t="s">
        <v>11</v>
      </c>
      <c r="C576" t="s">
        <v>43</v>
      </c>
      <c r="D576" t="s">
        <v>52</v>
      </c>
      <c r="E576">
        <v>2030</v>
      </c>
      <c r="F576">
        <v>23065.005787969905</v>
      </c>
    </row>
    <row r="577" spans="1:6" x14ac:dyDescent="0.25">
      <c r="A577" t="s">
        <v>129</v>
      </c>
      <c r="B577" t="s">
        <v>11</v>
      </c>
      <c r="C577" t="s">
        <v>43</v>
      </c>
      <c r="D577" t="s">
        <v>29</v>
      </c>
      <c r="E577">
        <v>2030</v>
      </c>
      <c r="F577">
        <v>952.06663022948101</v>
      </c>
    </row>
    <row r="578" spans="1:6" x14ac:dyDescent="0.25">
      <c r="A578" t="s">
        <v>129</v>
      </c>
      <c r="B578" t="s">
        <v>11</v>
      </c>
      <c r="C578" t="s">
        <v>43</v>
      </c>
      <c r="D578" t="s">
        <v>53</v>
      </c>
      <c r="E578">
        <v>2030</v>
      </c>
      <c r="F578">
        <v>10062.940438050116</v>
      </c>
    </row>
    <row r="579" spans="1:6" x14ac:dyDescent="0.25">
      <c r="A579" t="s">
        <v>129</v>
      </c>
      <c r="B579" t="s">
        <v>11</v>
      </c>
      <c r="C579" t="s">
        <v>43</v>
      </c>
      <c r="D579" t="s">
        <v>54</v>
      </c>
      <c r="E579">
        <v>2030</v>
      </c>
      <c r="F579">
        <v>15333.686496408332</v>
      </c>
    </row>
    <row r="580" spans="1:6" x14ac:dyDescent="0.25">
      <c r="A580" t="s">
        <v>129</v>
      </c>
      <c r="B580" t="s">
        <v>11</v>
      </c>
      <c r="C580" t="s">
        <v>43</v>
      </c>
      <c r="D580" t="s">
        <v>55</v>
      </c>
      <c r="E580">
        <v>2030</v>
      </c>
      <c r="F580">
        <v>24569.279216726416</v>
      </c>
    </row>
    <row r="581" spans="1:6" x14ac:dyDescent="0.25">
      <c r="A581" t="s">
        <v>129</v>
      </c>
      <c r="B581" t="s">
        <v>11</v>
      </c>
      <c r="C581" t="s">
        <v>43</v>
      </c>
      <c r="D581" t="s">
        <v>56</v>
      </c>
      <c r="E581">
        <v>2030</v>
      </c>
      <c r="F581">
        <v>36.19608838570413</v>
      </c>
    </row>
    <row r="582" spans="1:6" x14ac:dyDescent="0.25">
      <c r="A582" t="s">
        <v>129</v>
      </c>
      <c r="B582" t="s">
        <v>11</v>
      </c>
      <c r="C582" t="s">
        <v>43</v>
      </c>
      <c r="D582" t="s">
        <v>57</v>
      </c>
      <c r="E582">
        <v>2030</v>
      </c>
      <c r="F582">
        <v>28548.400000000001</v>
      </c>
    </row>
    <row r="583" spans="1:6" x14ac:dyDescent="0.25">
      <c r="A583" t="s">
        <v>129</v>
      </c>
      <c r="B583" t="s">
        <v>11</v>
      </c>
      <c r="C583" t="s">
        <v>43</v>
      </c>
      <c r="D583" t="s">
        <v>35</v>
      </c>
      <c r="E583">
        <v>2030</v>
      </c>
      <c r="F583">
        <v>0</v>
      </c>
    </row>
    <row r="584" spans="1:6" x14ac:dyDescent="0.25">
      <c r="A584" t="s">
        <v>129</v>
      </c>
      <c r="B584" t="s">
        <v>11</v>
      </c>
      <c r="C584" t="s">
        <v>43</v>
      </c>
      <c r="D584" t="s">
        <v>36</v>
      </c>
      <c r="E584">
        <v>2030</v>
      </c>
      <c r="F584">
        <v>0</v>
      </c>
    </row>
    <row r="585" spans="1:6" x14ac:dyDescent="0.25">
      <c r="A585" t="s">
        <v>129</v>
      </c>
      <c r="B585" t="s">
        <v>11</v>
      </c>
      <c r="C585" t="s">
        <v>43</v>
      </c>
      <c r="D585" t="s">
        <v>44</v>
      </c>
      <c r="E585">
        <v>2050</v>
      </c>
      <c r="F585">
        <v>886667.7152542026</v>
      </c>
    </row>
    <row r="586" spans="1:6" x14ac:dyDescent="0.25">
      <c r="A586" t="s">
        <v>129</v>
      </c>
      <c r="B586" t="s">
        <v>11</v>
      </c>
      <c r="C586" t="s">
        <v>43</v>
      </c>
      <c r="D586" t="s">
        <v>45</v>
      </c>
      <c r="E586">
        <v>2050</v>
      </c>
      <c r="F586">
        <v>550335.09529335448</v>
      </c>
    </row>
    <row r="587" spans="1:6" x14ac:dyDescent="0.25">
      <c r="A587" t="s">
        <v>129</v>
      </c>
      <c r="B587" t="s">
        <v>11</v>
      </c>
      <c r="C587" t="s">
        <v>43</v>
      </c>
      <c r="D587" t="s">
        <v>46</v>
      </c>
      <c r="E587">
        <v>2050</v>
      </c>
      <c r="F587">
        <v>289.23935894742124</v>
      </c>
    </row>
    <row r="588" spans="1:6" x14ac:dyDescent="0.25">
      <c r="A588" t="s">
        <v>129</v>
      </c>
      <c r="B588" t="s">
        <v>11</v>
      </c>
      <c r="C588" t="s">
        <v>43</v>
      </c>
      <c r="D588" t="s">
        <v>47</v>
      </c>
      <c r="E588">
        <v>2050</v>
      </c>
      <c r="F588">
        <v>1326833.4967577588</v>
      </c>
    </row>
    <row r="589" spans="1:6" x14ac:dyDescent="0.25">
      <c r="A589" t="s">
        <v>129</v>
      </c>
      <c r="B589" t="s">
        <v>11</v>
      </c>
      <c r="C589" t="s">
        <v>43</v>
      </c>
      <c r="D589" t="s">
        <v>48</v>
      </c>
      <c r="E589">
        <v>2050</v>
      </c>
      <c r="F589">
        <v>172292.76645701908</v>
      </c>
    </row>
    <row r="590" spans="1:6" x14ac:dyDescent="0.25">
      <c r="A590" t="s">
        <v>129</v>
      </c>
      <c r="B590" t="s">
        <v>11</v>
      </c>
      <c r="C590" t="s">
        <v>43</v>
      </c>
      <c r="D590" t="s">
        <v>49</v>
      </c>
      <c r="E590">
        <v>2050</v>
      </c>
      <c r="F590">
        <v>217936.45077407858</v>
      </c>
    </row>
    <row r="591" spans="1:6" x14ac:dyDescent="0.25">
      <c r="A591" t="s">
        <v>129</v>
      </c>
      <c r="B591" t="s">
        <v>11</v>
      </c>
      <c r="C591" t="s">
        <v>43</v>
      </c>
      <c r="D591" t="s">
        <v>50</v>
      </c>
      <c r="E591">
        <v>2050</v>
      </c>
      <c r="F591">
        <v>150823.24280639994</v>
      </c>
    </row>
    <row r="592" spans="1:6" x14ac:dyDescent="0.25">
      <c r="A592" t="s">
        <v>129</v>
      </c>
      <c r="B592" t="s">
        <v>11</v>
      </c>
      <c r="C592" t="s">
        <v>43</v>
      </c>
      <c r="D592" t="s">
        <v>51</v>
      </c>
      <c r="E592">
        <v>2050</v>
      </c>
      <c r="F592">
        <v>0</v>
      </c>
    </row>
    <row r="593" spans="1:6" x14ac:dyDescent="0.25">
      <c r="A593" t="s">
        <v>129</v>
      </c>
      <c r="B593" t="s">
        <v>11</v>
      </c>
      <c r="C593" t="s">
        <v>43</v>
      </c>
      <c r="D593" t="s">
        <v>52</v>
      </c>
      <c r="E593">
        <v>2050</v>
      </c>
      <c r="F593">
        <v>22570.244690841144</v>
      </c>
    </row>
    <row r="594" spans="1:6" x14ac:dyDescent="0.25">
      <c r="A594" t="s">
        <v>129</v>
      </c>
      <c r="B594" t="s">
        <v>11</v>
      </c>
      <c r="C594" t="s">
        <v>43</v>
      </c>
      <c r="D594" t="s">
        <v>29</v>
      </c>
      <c r="E594">
        <v>2050</v>
      </c>
      <c r="F594">
        <v>960.24397829585632</v>
      </c>
    </row>
    <row r="595" spans="1:6" x14ac:dyDescent="0.25">
      <c r="A595" t="s">
        <v>129</v>
      </c>
      <c r="B595" t="s">
        <v>11</v>
      </c>
      <c r="C595" t="s">
        <v>43</v>
      </c>
      <c r="D595" t="s">
        <v>53</v>
      </c>
      <c r="E595">
        <v>2050</v>
      </c>
      <c r="F595">
        <v>10149.946321457959</v>
      </c>
    </row>
    <row r="596" spans="1:6" x14ac:dyDescent="0.25">
      <c r="A596" t="s">
        <v>129</v>
      </c>
      <c r="B596" t="s">
        <v>11</v>
      </c>
      <c r="C596" t="s">
        <v>43</v>
      </c>
      <c r="D596" t="s">
        <v>54</v>
      </c>
      <c r="E596">
        <v>2050</v>
      </c>
      <c r="F596">
        <v>15500.875420530891</v>
      </c>
    </row>
    <row r="597" spans="1:6" x14ac:dyDescent="0.25">
      <c r="A597" t="s">
        <v>129</v>
      </c>
      <c r="B597" t="s">
        <v>11</v>
      </c>
      <c r="C597" t="s">
        <v>43</v>
      </c>
      <c r="D597" t="s">
        <v>55</v>
      </c>
      <c r="E597">
        <v>2050</v>
      </c>
      <c r="F597">
        <v>24610.929224370728</v>
      </c>
    </row>
    <row r="598" spans="1:6" x14ac:dyDescent="0.25">
      <c r="A598" t="s">
        <v>129</v>
      </c>
      <c r="B598" t="s">
        <v>11</v>
      </c>
      <c r="C598" t="s">
        <v>43</v>
      </c>
      <c r="D598" t="s">
        <v>56</v>
      </c>
      <c r="E598">
        <v>2050</v>
      </c>
      <c r="F598">
        <v>36.343081867307831</v>
      </c>
    </row>
    <row r="599" spans="1:6" x14ac:dyDescent="0.25">
      <c r="A599" t="s">
        <v>129</v>
      </c>
      <c r="B599" t="s">
        <v>11</v>
      </c>
      <c r="C599" t="s">
        <v>43</v>
      </c>
      <c r="D599" t="s">
        <v>57</v>
      </c>
      <c r="E599">
        <v>2050</v>
      </c>
      <c r="F599">
        <v>28548.400000000001</v>
      </c>
    </row>
    <row r="600" spans="1:6" x14ac:dyDescent="0.25">
      <c r="A600" t="s">
        <v>129</v>
      </c>
      <c r="B600" t="s">
        <v>11</v>
      </c>
      <c r="C600" t="s">
        <v>43</v>
      </c>
      <c r="D600" t="s">
        <v>35</v>
      </c>
      <c r="E600">
        <v>2050</v>
      </c>
      <c r="F600">
        <v>0</v>
      </c>
    </row>
    <row r="601" spans="1:6" x14ac:dyDescent="0.25">
      <c r="A601" t="s">
        <v>129</v>
      </c>
      <c r="B601" t="s">
        <v>11</v>
      </c>
      <c r="C601" t="s">
        <v>43</v>
      </c>
      <c r="D601" t="s">
        <v>36</v>
      </c>
      <c r="E601">
        <v>2050</v>
      </c>
      <c r="F601">
        <v>0</v>
      </c>
    </row>
    <row r="602" spans="1:6" x14ac:dyDescent="0.25">
      <c r="A602" t="s">
        <v>129</v>
      </c>
      <c r="B602" t="s">
        <v>8</v>
      </c>
      <c r="C602" t="s">
        <v>28</v>
      </c>
      <c r="D602" t="s">
        <v>29</v>
      </c>
      <c r="E602">
        <v>2019</v>
      </c>
      <c r="F602">
        <v>5879215.2019956242</v>
      </c>
    </row>
    <row r="603" spans="1:6" x14ac:dyDescent="0.25">
      <c r="A603" t="s">
        <v>129</v>
      </c>
      <c r="B603" t="s">
        <v>8</v>
      </c>
      <c r="C603" t="s">
        <v>28</v>
      </c>
      <c r="D603" t="s">
        <v>52</v>
      </c>
      <c r="E603">
        <v>2019</v>
      </c>
      <c r="F603">
        <v>773085.89354292618</v>
      </c>
    </row>
    <row r="604" spans="1:6" x14ac:dyDescent="0.25">
      <c r="A604" t="s">
        <v>129</v>
      </c>
      <c r="B604" t="s">
        <v>8</v>
      </c>
      <c r="C604" t="s">
        <v>28</v>
      </c>
      <c r="D604" t="s">
        <v>31</v>
      </c>
      <c r="E604">
        <v>2019</v>
      </c>
      <c r="F604">
        <v>0</v>
      </c>
    </row>
    <row r="605" spans="1:6" x14ac:dyDescent="0.25">
      <c r="A605" t="s">
        <v>129</v>
      </c>
      <c r="B605" t="s">
        <v>8</v>
      </c>
      <c r="C605" t="s">
        <v>28</v>
      </c>
      <c r="D605" t="s">
        <v>34</v>
      </c>
      <c r="E605">
        <v>2019</v>
      </c>
      <c r="F605">
        <v>64498.47547519199</v>
      </c>
    </row>
    <row r="606" spans="1:6" x14ac:dyDescent="0.25">
      <c r="A606" t="s">
        <v>129</v>
      </c>
      <c r="B606" t="s">
        <v>8</v>
      </c>
      <c r="C606" t="s">
        <v>28</v>
      </c>
      <c r="D606" t="s">
        <v>55</v>
      </c>
      <c r="E606">
        <v>2019</v>
      </c>
      <c r="F606">
        <v>841167.61765562883</v>
      </c>
    </row>
    <row r="607" spans="1:6" x14ac:dyDescent="0.25">
      <c r="A607" t="s">
        <v>129</v>
      </c>
      <c r="B607" t="s">
        <v>8</v>
      </c>
      <c r="C607" t="s">
        <v>28</v>
      </c>
      <c r="D607" t="s">
        <v>54</v>
      </c>
      <c r="E607">
        <v>2019</v>
      </c>
      <c r="F607">
        <v>5657053.7864699634</v>
      </c>
    </row>
    <row r="608" spans="1:6" x14ac:dyDescent="0.25">
      <c r="A608" t="s">
        <v>129</v>
      </c>
      <c r="B608" t="s">
        <v>8</v>
      </c>
      <c r="C608" t="s">
        <v>28</v>
      </c>
      <c r="D608" t="s">
        <v>58</v>
      </c>
      <c r="E608">
        <v>2019</v>
      </c>
      <c r="F608">
        <v>214099.10609126228</v>
      </c>
    </row>
    <row r="609" spans="1:6" x14ac:dyDescent="0.25">
      <c r="A609" t="s">
        <v>129</v>
      </c>
      <c r="B609" t="s">
        <v>8</v>
      </c>
      <c r="C609" t="s">
        <v>28</v>
      </c>
      <c r="D609" t="s">
        <v>36</v>
      </c>
      <c r="E609">
        <v>2019</v>
      </c>
      <c r="F609">
        <v>0</v>
      </c>
    </row>
    <row r="610" spans="1:6" x14ac:dyDescent="0.25">
      <c r="A610" t="s">
        <v>129</v>
      </c>
      <c r="B610" t="s">
        <v>8</v>
      </c>
      <c r="C610" t="s">
        <v>28</v>
      </c>
      <c r="D610" t="s">
        <v>35</v>
      </c>
      <c r="E610">
        <v>2019</v>
      </c>
      <c r="F610">
        <v>0</v>
      </c>
    </row>
    <row r="611" spans="1:6" x14ac:dyDescent="0.25">
      <c r="A611" t="s">
        <v>129</v>
      </c>
      <c r="B611" t="s">
        <v>8</v>
      </c>
      <c r="C611" t="s">
        <v>28</v>
      </c>
      <c r="D611" t="s">
        <v>53</v>
      </c>
      <c r="E611">
        <v>2019</v>
      </c>
      <c r="F611">
        <v>12237689.9092583</v>
      </c>
    </row>
    <row r="612" spans="1:6" x14ac:dyDescent="0.25">
      <c r="A612" t="s">
        <v>129</v>
      </c>
      <c r="B612" t="s">
        <v>8</v>
      </c>
      <c r="C612" t="s">
        <v>28</v>
      </c>
      <c r="D612" t="s">
        <v>59</v>
      </c>
      <c r="E612">
        <v>2019</v>
      </c>
      <c r="F612">
        <v>1515714.1736670118</v>
      </c>
    </row>
    <row r="613" spans="1:6" x14ac:dyDescent="0.25">
      <c r="A613" t="s">
        <v>129</v>
      </c>
      <c r="B613" t="s">
        <v>8</v>
      </c>
      <c r="C613" t="s">
        <v>28</v>
      </c>
      <c r="D613" t="s">
        <v>60</v>
      </c>
      <c r="E613">
        <v>2019</v>
      </c>
      <c r="F613">
        <v>0</v>
      </c>
    </row>
    <row r="614" spans="1:6" x14ac:dyDescent="0.25">
      <c r="A614" t="s">
        <v>129</v>
      </c>
      <c r="B614" t="s">
        <v>8</v>
      </c>
      <c r="C614" t="s">
        <v>28</v>
      </c>
      <c r="D614" t="s">
        <v>61</v>
      </c>
      <c r="E614">
        <v>2019</v>
      </c>
      <c r="F614">
        <v>0</v>
      </c>
    </row>
    <row r="615" spans="1:6" x14ac:dyDescent="0.25">
      <c r="A615" t="s">
        <v>129</v>
      </c>
      <c r="B615" t="s">
        <v>8</v>
      </c>
      <c r="C615" t="s">
        <v>28</v>
      </c>
      <c r="D615" t="s">
        <v>62</v>
      </c>
      <c r="E615">
        <v>2019</v>
      </c>
      <c r="F615">
        <v>39415.735012617326</v>
      </c>
    </row>
    <row r="616" spans="1:6" x14ac:dyDescent="0.25">
      <c r="A616" t="s">
        <v>129</v>
      </c>
      <c r="B616" t="s">
        <v>8</v>
      </c>
      <c r="C616" t="s">
        <v>28</v>
      </c>
      <c r="D616" t="s">
        <v>63</v>
      </c>
      <c r="E616">
        <v>2019</v>
      </c>
      <c r="F616">
        <v>4828427.5390456235</v>
      </c>
    </row>
    <row r="617" spans="1:6" x14ac:dyDescent="0.25">
      <c r="A617" t="s">
        <v>129</v>
      </c>
      <c r="B617" t="s">
        <v>8</v>
      </c>
      <c r="C617" t="s">
        <v>28</v>
      </c>
      <c r="D617" t="s">
        <v>29</v>
      </c>
      <c r="E617">
        <v>2030</v>
      </c>
      <c r="F617">
        <v>5879215.2019956233</v>
      </c>
    </row>
    <row r="618" spans="1:6" x14ac:dyDescent="0.25">
      <c r="A618" t="s">
        <v>129</v>
      </c>
      <c r="B618" t="s">
        <v>8</v>
      </c>
      <c r="C618" t="s">
        <v>28</v>
      </c>
      <c r="D618" t="s">
        <v>52</v>
      </c>
      <c r="E618">
        <v>2030</v>
      </c>
      <c r="F618">
        <v>773085.89354292606</v>
      </c>
    </row>
    <row r="619" spans="1:6" x14ac:dyDescent="0.25">
      <c r="A619" t="s">
        <v>129</v>
      </c>
      <c r="B619" t="s">
        <v>8</v>
      </c>
      <c r="C619" t="s">
        <v>28</v>
      </c>
      <c r="D619" t="s">
        <v>31</v>
      </c>
      <c r="E619">
        <v>2030</v>
      </c>
      <c r="F619">
        <v>0</v>
      </c>
    </row>
    <row r="620" spans="1:6" x14ac:dyDescent="0.25">
      <c r="A620" t="s">
        <v>129</v>
      </c>
      <c r="B620" t="s">
        <v>8</v>
      </c>
      <c r="C620" t="s">
        <v>28</v>
      </c>
      <c r="D620" t="s">
        <v>34</v>
      </c>
      <c r="E620">
        <v>2030</v>
      </c>
      <c r="F620">
        <v>64498.475475191975</v>
      </c>
    </row>
    <row r="621" spans="1:6" x14ac:dyDescent="0.25">
      <c r="A621" t="s">
        <v>129</v>
      </c>
      <c r="B621" t="s">
        <v>8</v>
      </c>
      <c r="C621" t="s">
        <v>28</v>
      </c>
      <c r="D621" t="s">
        <v>55</v>
      </c>
      <c r="E621">
        <v>2030</v>
      </c>
      <c r="F621">
        <v>841167.61765562883</v>
      </c>
    </row>
    <row r="622" spans="1:6" x14ac:dyDescent="0.25">
      <c r="A622" t="s">
        <v>129</v>
      </c>
      <c r="B622" t="s">
        <v>8</v>
      </c>
      <c r="C622" t="s">
        <v>28</v>
      </c>
      <c r="D622" t="s">
        <v>54</v>
      </c>
      <c r="E622">
        <v>2030</v>
      </c>
      <c r="F622">
        <v>5657053.7864699624</v>
      </c>
    </row>
    <row r="623" spans="1:6" x14ac:dyDescent="0.25">
      <c r="A623" t="s">
        <v>129</v>
      </c>
      <c r="B623" t="s">
        <v>8</v>
      </c>
      <c r="C623" t="s">
        <v>28</v>
      </c>
      <c r="D623" t="s">
        <v>58</v>
      </c>
      <c r="E623">
        <v>2030</v>
      </c>
      <c r="F623">
        <v>214099.10609126225</v>
      </c>
    </row>
    <row r="624" spans="1:6" x14ac:dyDescent="0.25">
      <c r="A624" t="s">
        <v>129</v>
      </c>
      <c r="B624" t="s">
        <v>8</v>
      </c>
      <c r="C624" t="s">
        <v>28</v>
      </c>
      <c r="D624" t="s">
        <v>36</v>
      </c>
      <c r="E624">
        <v>2030</v>
      </c>
      <c r="F624">
        <v>0</v>
      </c>
    </row>
    <row r="625" spans="1:6" x14ac:dyDescent="0.25">
      <c r="A625" t="s">
        <v>129</v>
      </c>
      <c r="B625" t="s">
        <v>8</v>
      </c>
      <c r="C625" t="s">
        <v>28</v>
      </c>
      <c r="D625" t="s">
        <v>35</v>
      </c>
      <c r="E625">
        <v>2030</v>
      </c>
      <c r="F625">
        <v>0</v>
      </c>
    </row>
    <row r="626" spans="1:6" x14ac:dyDescent="0.25">
      <c r="A626" t="s">
        <v>129</v>
      </c>
      <c r="B626" t="s">
        <v>8</v>
      </c>
      <c r="C626" t="s">
        <v>28</v>
      </c>
      <c r="D626" t="s">
        <v>53</v>
      </c>
      <c r="E626">
        <v>2030</v>
      </c>
      <c r="F626">
        <v>12237689.909258299</v>
      </c>
    </row>
    <row r="627" spans="1:6" x14ac:dyDescent="0.25">
      <c r="A627" t="s">
        <v>129</v>
      </c>
      <c r="B627" t="s">
        <v>8</v>
      </c>
      <c r="C627" t="s">
        <v>28</v>
      </c>
      <c r="D627" t="s">
        <v>59</v>
      </c>
      <c r="E627">
        <v>2030</v>
      </c>
      <c r="F627">
        <v>1515714.1736670113</v>
      </c>
    </row>
    <row r="628" spans="1:6" x14ac:dyDescent="0.25">
      <c r="A628" t="s">
        <v>129</v>
      </c>
      <c r="B628" t="s">
        <v>8</v>
      </c>
      <c r="C628" t="s">
        <v>28</v>
      </c>
      <c r="D628" t="s">
        <v>60</v>
      </c>
      <c r="E628">
        <v>2030</v>
      </c>
      <c r="F628">
        <v>0</v>
      </c>
    </row>
    <row r="629" spans="1:6" x14ac:dyDescent="0.25">
      <c r="A629" t="s">
        <v>129</v>
      </c>
      <c r="B629" t="s">
        <v>8</v>
      </c>
      <c r="C629" t="s">
        <v>28</v>
      </c>
      <c r="D629" t="s">
        <v>61</v>
      </c>
      <c r="E629">
        <v>2030</v>
      </c>
      <c r="F629">
        <v>0</v>
      </c>
    </row>
    <row r="630" spans="1:6" x14ac:dyDescent="0.25">
      <c r="A630" t="s">
        <v>129</v>
      </c>
      <c r="B630" t="s">
        <v>8</v>
      </c>
      <c r="C630" t="s">
        <v>28</v>
      </c>
      <c r="D630" t="s">
        <v>62</v>
      </c>
      <c r="E630">
        <v>2030</v>
      </c>
      <c r="F630">
        <v>39415.735012617326</v>
      </c>
    </row>
    <row r="631" spans="1:6" x14ac:dyDescent="0.25">
      <c r="A631" t="s">
        <v>129</v>
      </c>
      <c r="B631" t="s">
        <v>8</v>
      </c>
      <c r="C631" t="s">
        <v>28</v>
      </c>
      <c r="D631" t="s">
        <v>63</v>
      </c>
      <c r="E631">
        <v>2030</v>
      </c>
      <c r="F631">
        <v>4828427.5390456226</v>
      </c>
    </row>
    <row r="632" spans="1:6" x14ac:dyDescent="0.25">
      <c r="A632" t="s">
        <v>129</v>
      </c>
      <c r="B632" t="s">
        <v>8</v>
      </c>
      <c r="C632" t="s">
        <v>28</v>
      </c>
      <c r="D632" t="s">
        <v>29</v>
      </c>
      <c r="E632">
        <v>2050</v>
      </c>
      <c r="F632">
        <v>4703372.1615964994</v>
      </c>
    </row>
    <row r="633" spans="1:6" x14ac:dyDescent="0.25">
      <c r="A633" t="s">
        <v>129</v>
      </c>
      <c r="B633" t="s">
        <v>8</v>
      </c>
      <c r="C633" t="s">
        <v>28</v>
      </c>
      <c r="D633" t="s">
        <v>52</v>
      </c>
      <c r="E633">
        <v>2050</v>
      </c>
      <c r="F633">
        <v>618468.71483434096</v>
      </c>
    </row>
    <row r="634" spans="1:6" x14ac:dyDescent="0.25">
      <c r="A634" t="s">
        <v>129</v>
      </c>
      <c r="B634" t="s">
        <v>8</v>
      </c>
      <c r="C634" t="s">
        <v>28</v>
      </c>
      <c r="D634" t="s">
        <v>31</v>
      </c>
      <c r="E634">
        <v>2050</v>
      </c>
      <c r="F634">
        <v>0</v>
      </c>
    </row>
    <row r="635" spans="1:6" x14ac:dyDescent="0.25">
      <c r="A635" t="s">
        <v>129</v>
      </c>
      <c r="B635" t="s">
        <v>8</v>
      </c>
      <c r="C635" t="s">
        <v>28</v>
      </c>
      <c r="D635" t="s">
        <v>34</v>
      </c>
      <c r="E635">
        <v>2050</v>
      </c>
      <c r="F635">
        <v>51598.780380153592</v>
      </c>
    </row>
    <row r="636" spans="1:6" x14ac:dyDescent="0.25">
      <c r="A636" t="s">
        <v>129</v>
      </c>
      <c r="B636" t="s">
        <v>8</v>
      </c>
      <c r="C636" t="s">
        <v>28</v>
      </c>
      <c r="D636" t="s">
        <v>55</v>
      </c>
      <c r="E636">
        <v>2050</v>
      </c>
      <c r="F636">
        <v>672934.09412450308</v>
      </c>
    </row>
    <row r="637" spans="1:6" x14ac:dyDescent="0.25">
      <c r="A637" t="s">
        <v>129</v>
      </c>
      <c r="B637" t="s">
        <v>8</v>
      </c>
      <c r="C637" t="s">
        <v>28</v>
      </c>
      <c r="D637" t="s">
        <v>54</v>
      </c>
      <c r="E637">
        <v>2050</v>
      </c>
      <c r="F637">
        <v>4525643.0291759707</v>
      </c>
    </row>
    <row r="638" spans="1:6" x14ac:dyDescent="0.25">
      <c r="A638" t="s">
        <v>129</v>
      </c>
      <c r="B638" t="s">
        <v>8</v>
      </c>
      <c r="C638" t="s">
        <v>28</v>
      </c>
      <c r="D638" t="s">
        <v>58</v>
      </c>
      <c r="E638">
        <v>2050</v>
      </c>
      <c r="F638">
        <v>171279.2848730098</v>
      </c>
    </row>
    <row r="639" spans="1:6" x14ac:dyDescent="0.25">
      <c r="A639" t="s">
        <v>129</v>
      </c>
      <c r="B639" t="s">
        <v>8</v>
      </c>
      <c r="C639" t="s">
        <v>28</v>
      </c>
      <c r="D639" t="s">
        <v>36</v>
      </c>
      <c r="E639">
        <v>2050</v>
      </c>
      <c r="F639">
        <v>0</v>
      </c>
    </row>
    <row r="640" spans="1:6" x14ac:dyDescent="0.25">
      <c r="A640" t="s">
        <v>129</v>
      </c>
      <c r="B640" t="s">
        <v>8</v>
      </c>
      <c r="C640" t="s">
        <v>28</v>
      </c>
      <c r="D640" t="s">
        <v>35</v>
      </c>
      <c r="E640">
        <v>2050</v>
      </c>
      <c r="F640">
        <v>0</v>
      </c>
    </row>
    <row r="641" spans="1:6" x14ac:dyDescent="0.25">
      <c r="A641" t="s">
        <v>129</v>
      </c>
      <c r="B641" t="s">
        <v>8</v>
      </c>
      <c r="C641" t="s">
        <v>28</v>
      </c>
      <c r="D641" t="s">
        <v>53</v>
      </c>
      <c r="E641">
        <v>2050</v>
      </c>
      <c r="F641">
        <v>9790151.9274066389</v>
      </c>
    </row>
    <row r="642" spans="1:6" x14ac:dyDescent="0.25">
      <c r="A642" t="s">
        <v>129</v>
      </c>
      <c r="B642" t="s">
        <v>8</v>
      </c>
      <c r="C642" t="s">
        <v>28</v>
      </c>
      <c r="D642" t="s">
        <v>59</v>
      </c>
      <c r="E642">
        <v>2050</v>
      </c>
      <c r="F642">
        <v>1212571.3389336092</v>
      </c>
    </row>
    <row r="643" spans="1:6" x14ac:dyDescent="0.25">
      <c r="A643" t="s">
        <v>129</v>
      </c>
      <c r="B643" t="s">
        <v>8</v>
      </c>
      <c r="C643" t="s">
        <v>28</v>
      </c>
      <c r="D643" t="s">
        <v>60</v>
      </c>
      <c r="E643">
        <v>2050</v>
      </c>
      <c r="F643">
        <v>0</v>
      </c>
    </row>
    <row r="644" spans="1:6" x14ac:dyDescent="0.25">
      <c r="A644" t="s">
        <v>129</v>
      </c>
      <c r="B644" t="s">
        <v>8</v>
      </c>
      <c r="C644" t="s">
        <v>28</v>
      </c>
      <c r="D644" t="s">
        <v>61</v>
      </c>
      <c r="E644">
        <v>2050</v>
      </c>
      <c r="F644">
        <v>0</v>
      </c>
    </row>
    <row r="645" spans="1:6" x14ac:dyDescent="0.25">
      <c r="A645" t="s">
        <v>129</v>
      </c>
      <c r="B645" t="s">
        <v>8</v>
      </c>
      <c r="C645" t="s">
        <v>28</v>
      </c>
      <c r="D645" t="s">
        <v>62</v>
      </c>
      <c r="E645">
        <v>2050</v>
      </c>
      <c r="F645">
        <v>31532.588010093863</v>
      </c>
    </row>
    <row r="646" spans="1:6" x14ac:dyDescent="0.25">
      <c r="A646" t="s">
        <v>129</v>
      </c>
      <c r="B646" t="s">
        <v>8</v>
      </c>
      <c r="C646" t="s">
        <v>28</v>
      </c>
      <c r="D646" t="s">
        <v>63</v>
      </c>
      <c r="E646">
        <v>2050</v>
      </c>
      <c r="F646">
        <v>3862742.0312364982</v>
      </c>
    </row>
    <row r="647" spans="1:6" x14ac:dyDescent="0.25">
      <c r="A647" t="s">
        <v>129</v>
      </c>
      <c r="B647" t="s">
        <v>8</v>
      </c>
      <c r="C647" t="s">
        <v>43</v>
      </c>
      <c r="D647" t="s">
        <v>29</v>
      </c>
      <c r="E647">
        <v>2019</v>
      </c>
      <c r="F647">
        <v>721621.60770550335</v>
      </c>
    </row>
    <row r="648" spans="1:6" x14ac:dyDescent="0.25">
      <c r="A648" t="s">
        <v>129</v>
      </c>
      <c r="B648" t="s">
        <v>8</v>
      </c>
      <c r="C648" t="s">
        <v>43</v>
      </c>
      <c r="D648" t="s">
        <v>52</v>
      </c>
      <c r="E648">
        <v>2019</v>
      </c>
      <c r="F648">
        <v>94889.448034412548</v>
      </c>
    </row>
    <row r="649" spans="1:6" x14ac:dyDescent="0.25">
      <c r="A649" t="s">
        <v>129</v>
      </c>
      <c r="B649" t="s">
        <v>8</v>
      </c>
      <c r="C649" t="s">
        <v>43</v>
      </c>
      <c r="D649" t="s">
        <v>31</v>
      </c>
      <c r="E649">
        <v>2019</v>
      </c>
      <c r="F649">
        <v>0</v>
      </c>
    </row>
    <row r="650" spans="1:6" x14ac:dyDescent="0.25">
      <c r="A650" t="s">
        <v>129</v>
      </c>
      <c r="B650" t="s">
        <v>8</v>
      </c>
      <c r="C650" t="s">
        <v>43</v>
      </c>
      <c r="D650" t="s">
        <v>34</v>
      </c>
      <c r="E650">
        <v>2019</v>
      </c>
      <c r="F650">
        <v>7916.616753740097</v>
      </c>
    </row>
    <row r="651" spans="1:6" x14ac:dyDescent="0.25">
      <c r="A651" t="s">
        <v>129</v>
      </c>
      <c r="B651" t="s">
        <v>8</v>
      </c>
      <c r="C651" t="s">
        <v>43</v>
      </c>
      <c r="D651" t="s">
        <v>55</v>
      </c>
      <c r="E651">
        <v>2019</v>
      </c>
      <c r="F651">
        <v>103245.87683002709</v>
      </c>
    </row>
    <row r="652" spans="1:6" x14ac:dyDescent="0.25">
      <c r="A652" t="s">
        <v>129</v>
      </c>
      <c r="B652" t="s">
        <v>8</v>
      </c>
      <c r="C652" t="s">
        <v>43</v>
      </c>
      <c r="D652" t="s">
        <v>54</v>
      </c>
      <c r="E652">
        <v>2019</v>
      </c>
      <c r="F652">
        <v>694353.2611092875</v>
      </c>
    </row>
    <row r="653" spans="1:6" x14ac:dyDescent="0.25">
      <c r="A653" t="s">
        <v>129</v>
      </c>
      <c r="B653" t="s">
        <v>8</v>
      </c>
      <c r="C653" t="s">
        <v>43</v>
      </c>
      <c r="D653" t="s">
        <v>58</v>
      </c>
      <c r="E653">
        <v>2019</v>
      </c>
      <c r="F653">
        <v>26278.769501998373</v>
      </c>
    </row>
    <row r="654" spans="1:6" x14ac:dyDescent="0.25">
      <c r="A654" t="s">
        <v>129</v>
      </c>
      <c r="B654" t="s">
        <v>8</v>
      </c>
      <c r="C654" t="s">
        <v>43</v>
      </c>
      <c r="D654" t="s">
        <v>36</v>
      </c>
      <c r="E654">
        <v>2019</v>
      </c>
      <c r="F654">
        <v>0</v>
      </c>
    </row>
    <row r="655" spans="1:6" x14ac:dyDescent="0.25">
      <c r="A655" t="s">
        <v>129</v>
      </c>
      <c r="B655" t="s">
        <v>8</v>
      </c>
      <c r="C655" t="s">
        <v>43</v>
      </c>
      <c r="D655" t="s">
        <v>35</v>
      </c>
      <c r="E655">
        <v>2019</v>
      </c>
      <c r="F655">
        <v>0</v>
      </c>
    </row>
    <row r="656" spans="1:6" x14ac:dyDescent="0.25">
      <c r="A656" t="s">
        <v>129</v>
      </c>
      <c r="B656" t="s">
        <v>8</v>
      </c>
      <c r="C656" t="s">
        <v>43</v>
      </c>
      <c r="D656" t="s">
        <v>53</v>
      </c>
      <c r="E656">
        <v>2019</v>
      </c>
      <c r="F656">
        <v>1502068.0760117143</v>
      </c>
    </row>
    <row r="657" spans="1:6" x14ac:dyDescent="0.25">
      <c r="A657" t="s">
        <v>129</v>
      </c>
      <c r="B657" t="s">
        <v>8</v>
      </c>
      <c r="C657" t="s">
        <v>43</v>
      </c>
      <c r="D657" t="s">
        <v>59</v>
      </c>
      <c r="E657">
        <v>2019</v>
      </c>
      <c r="F657">
        <v>186040.49371289223</v>
      </c>
    </row>
    <row r="658" spans="1:6" x14ac:dyDescent="0.25">
      <c r="A658" t="s">
        <v>129</v>
      </c>
      <c r="B658" t="s">
        <v>8</v>
      </c>
      <c r="C658" t="s">
        <v>43</v>
      </c>
      <c r="D658" t="s">
        <v>60</v>
      </c>
      <c r="E658">
        <v>2019</v>
      </c>
      <c r="F658">
        <v>0</v>
      </c>
    </row>
    <row r="659" spans="1:6" x14ac:dyDescent="0.25">
      <c r="A659" t="s">
        <v>129</v>
      </c>
      <c r="B659" t="s">
        <v>8</v>
      </c>
      <c r="C659" t="s">
        <v>43</v>
      </c>
      <c r="D659" t="s">
        <v>61</v>
      </c>
      <c r="E659">
        <v>2019</v>
      </c>
      <c r="F659">
        <v>0</v>
      </c>
    </row>
    <row r="660" spans="1:6" x14ac:dyDescent="0.25">
      <c r="A660" t="s">
        <v>129</v>
      </c>
      <c r="B660" t="s">
        <v>8</v>
      </c>
      <c r="C660" t="s">
        <v>43</v>
      </c>
      <c r="D660" t="s">
        <v>62</v>
      </c>
      <c r="E660">
        <v>2019</v>
      </c>
      <c r="F660">
        <v>4837.9324606189475</v>
      </c>
    </row>
    <row r="661" spans="1:6" x14ac:dyDescent="0.25">
      <c r="A661" t="s">
        <v>129</v>
      </c>
      <c r="B661" t="s">
        <v>8</v>
      </c>
      <c r="C661" t="s">
        <v>43</v>
      </c>
      <c r="D661" t="s">
        <v>63</v>
      </c>
      <c r="E661">
        <v>2019</v>
      </c>
      <c r="F661">
        <v>592646.72642582108</v>
      </c>
    </row>
    <row r="662" spans="1:6" x14ac:dyDescent="0.25">
      <c r="A662" t="s">
        <v>129</v>
      </c>
      <c r="B662" t="s">
        <v>8</v>
      </c>
      <c r="C662" t="s">
        <v>43</v>
      </c>
      <c r="D662" t="s">
        <v>29</v>
      </c>
      <c r="E662">
        <v>2030</v>
      </c>
      <c r="F662">
        <v>721621.60770550347</v>
      </c>
    </row>
    <row r="663" spans="1:6" x14ac:dyDescent="0.25">
      <c r="A663" t="s">
        <v>129</v>
      </c>
      <c r="B663" t="s">
        <v>8</v>
      </c>
      <c r="C663" t="s">
        <v>43</v>
      </c>
      <c r="D663" t="s">
        <v>52</v>
      </c>
      <c r="E663">
        <v>2030</v>
      </c>
      <c r="F663">
        <v>94889.448034412562</v>
      </c>
    </row>
    <row r="664" spans="1:6" x14ac:dyDescent="0.25">
      <c r="A664" t="s">
        <v>129</v>
      </c>
      <c r="B664" t="s">
        <v>8</v>
      </c>
      <c r="C664" t="s">
        <v>43</v>
      </c>
      <c r="D664" t="s">
        <v>31</v>
      </c>
      <c r="E664">
        <v>2030</v>
      </c>
      <c r="F664">
        <v>0</v>
      </c>
    </row>
    <row r="665" spans="1:6" x14ac:dyDescent="0.25">
      <c r="A665" t="s">
        <v>129</v>
      </c>
      <c r="B665" t="s">
        <v>8</v>
      </c>
      <c r="C665" t="s">
        <v>43</v>
      </c>
      <c r="D665" t="s">
        <v>34</v>
      </c>
      <c r="E665">
        <v>2030</v>
      </c>
      <c r="F665">
        <v>7916.616753740097</v>
      </c>
    </row>
    <row r="666" spans="1:6" x14ac:dyDescent="0.25">
      <c r="A666" t="s">
        <v>129</v>
      </c>
      <c r="B666" t="s">
        <v>8</v>
      </c>
      <c r="C666" t="s">
        <v>43</v>
      </c>
      <c r="D666" t="s">
        <v>55</v>
      </c>
      <c r="E666">
        <v>2030</v>
      </c>
      <c r="F666">
        <v>103245.8768300271</v>
      </c>
    </row>
    <row r="667" spans="1:6" x14ac:dyDescent="0.25">
      <c r="A667" t="s">
        <v>129</v>
      </c>
      <c r="B667" t="s">
        <v>8</v>
      </c>
      <c r="C667" t="s">
        <v>43</v>
      </c>
      <c r="D667" t="s">
        <v>54</v>
      </c>
      <c r="E667">
        <v>2030</v>
      </c>
      <c r="F667">
        <v>694353.26110928762</v>
      </c>
    </row>
    <row r="668" spans="1:6" x14ac:dyDescent="0.25">
      <c r="A668" t="s">
        <v>129</v>
      </c>
      <c r="B668" t="s">
        <v>8</v>
      </c>
      <c r="C668" t="s">
        <v>43</v>
      </c>
      <c r="D668" t="s">
        <v>58</v>
      </c>
      <c r="E668">
        <v>2030</v>
      </c>
      <c r="F668">
        <v>26278.769501998377</v>
      </c>
    </row>
    <row r="669" spans="1:6" x14ac:dyDescent="0.25">
      <c r="A669" t="s">
        <v>129</v>
      </c>
      <c r="B669" t="s">
        <v>8</v>
      </c>
      <c r="C669" t="s">
        <v>43</v>
      </c>
      <c r="D669" t="s">
        <v>36</v>
      </c>
      <c r="E669">
        <v>2030</v>
      </c>
      <c r="F669">
        <v>0</v>
      </c>
    </row>
    <row r="670" spans="1:6" x14ac:dyDescent="0.25">
      <c r="A670" t="s">
        <v>129</v>
      </c>
      <c r="B670" t="s">
        <v>8</v>
      </c>
      <c r="C670" t="s">
        <v>43</v>
      </c>
      <c r="D670" t="s">
        <v>35</v>
      </c>
      <c r="E670">
        <v>2030</v>
      </c>
      <c r="F670">
        <v>0</v>
      </c>
    </row>
    <row r="671" spans="1:6" x14ac:dyDescent="0.25">
      <c r="A671" t="s">
        <v>129</v>
      </c>
      <c r="B671" t="s">
        <v>8</v>
      </c>
      <c r="C671" t="s">
        <v>43</v>
      </c>
      <c r="D671" t="s">
        <v>53</v>
      </c>
      <c r="E671">
        <v>2030</v>
      </c>
      <c r="F671">
        <v>1502068.0760117145</v>
      </c>
    </row>
    <row r="672" spans="1:6" x14ac:dyDescent="0.25">
      <c r="A672" t="s">
        <v>129</v>
      </c>
      <c r="B672" t="s">
        <v>8</v>
      </c>
      <c r="C672" t="s">
        <v>43</v>
      </c>
      <c r="D672" t="s">
        <v>59</v>
      </c>
      <c r="E672">
        <v>2030</v>
      </c>
      <c r="F672">
        <v>186040.49371289229</v>
      </c>
    </row>
    <row r="673" spans="1:6" x14ac:dyDescent="0.25">
      <c r="A673" t="s">
        <v>129</v>
      </c>
      <c r="B673" t="s">
        <v>8</v>
      </c>
      <c r="C673" t="s">
        <v>43</v>
      </c>
      <c r="D673" t="s">
        <v>60</v>
      </c>
      <c r="E673">
        <v>2030</v>
      </c>
      <c r="F673">
        <v>0</v>
      </c>
    </row>
    <row r="674" spans="1:6" x14ac:dyDescent="0.25">
      <c r="A674" t="s">
        <v>129</v>
      </c>
      <c r="B674" t="s">
        <v>8</v>
      </c>
      <c r="C674" t="s">
        <v>43</v>
      </c>
      <c r="D674" t="s">
        <v>61</v>
      </c>
      <c r="E674">
        <v>2030</v>
      </c>
      <c r="F674">
        <v>0</v>
      </c>
    </row>
    <row r="675" spans="1:6" x14ac:dyDescent="0.25">
      <c r="A675" t="s">
        <v>129</v>
      </c>
      <c r="B675" t="s">
        <v>8</v>
      </c>
      <c r="C675" t="s">
        <v>43</v>
      </c>
      <c r="D675" t="s">
        <v>62</v>
      </c>
      <c r="E675">
        <v>2030</v>
      </c>
      <c r="F675">
        <v>4837.9324606189484</v>
      </c>
    </row>
    <row r="676" spans="1:6" x14ac:dyDescent="0.25">
      <c r="A676" t="s">
        <v>129</v>
      </c>
      <c r="B676" t="s">
        <v>8</v>
      </c>
      <c r="C676" t="s">
        <v>43</v>
      </c>
      <c r="D676" t="s">
        <v>63</v>
      </c>
      <c r="E676">
        <v>2030</v>
      </c>
      <c r="F676">
        <v>592646.72642582119</v>
      </c>
    </row>
    <row r="677" spans="1:6" x14ac:dyDescent="0.25">
      <c r="A677" t="s">
        <v>129</v>
      </c>
      <c r="B677" t="s">
        <v>8</v>
      </c>
      <c r="C677" t="s">
        <v>43</v>
      </c>
      <c r="D677" t="s">
        <v>29</v>
      </c>
      <c r="E677">
        <v>2050</v>
      </c>
      <c r="F677">
        <v>577297.28616440273</v>
      </c>
    </row>
    <row r="678" spans="1:6" x14ac:dyDescent="0.25">
      <c r="A678" t="s">
        <v>129</v>
      </c>
      <c r="B678" t="s">
        <v>8</v>
      </c>
      <c r="C678" t="s">
        <v>43</v>
      </c>
      <c r="D678" t="s">
        <v>52</v>
      </c>
      <c r="E678">
        <v>2050</v>
      </c>
      <c r="F678">
        <v>75911.55842753005</v>
      </c>
    </row>
    <row r="679" spans="1:6" x14ac:dyDescent="0.25">
      <c r="A679" t="s">
        <v>129</v>
      </c>
      <c r="B679" t="s">
        <v>8</v>
      </c>
      <c r="C679" t="s">
        <v>43</v>
      </c>
      <c r="D679" t="s">
        <v>31</v>
      </c>
      <c r="E679">
        <v>2050</v>
      </c>
      <c r="F679">
        <v>0</v>
      </c>
    </row>
    <row r="680" spans="1:6" x14ac:dyDescent="0.25">
      <c r="A680" t="s">
        <v>129</v>
      </c>
      <c r="B680" t="s">
        <v>8</v>
      </c>
      <c r="C680" t="s">
        <v>43</v>
      </c>
      <c r="D680" t="s">
        <v>34</v>
      </c>
      <c r="E680">
        <v>2050</v>
      </c>
      <c r="F680">
        <v>6333.293402992078</v>
      </c>
    </row>
    <row r="681" spans="1:6" x14ac:dyDescent="0.25">
      <c r="A681" t="s">
        <v>129</v>
      </c>
      <c r="B681" t="s">
        <v>8</v>
      </c>
      <c r="C681" t="s">
        <v>43</v>
      </c>
      <c r="D681" t="s">
        <v>55</v>
      </c>
      <c r="E681">
        <v>2050</v>
      </c>
      <c r="F681">
        <v>82596.70146402168</v>
      </c>
    </row>
    <row r="682" spans="1:6" x14ac:dyDescent="0.25">
      <c r="A682" t="s">
        <v>129</v>
      </c>
      <c r="B682" t="s">
        <v>8</v>
      </c>
      <c r="C682" t="s">
        <v>43</v>
      </c>
      <c r="D682" t="s">
        <v>54</v>
      </c>
      <c r="E682">
        <v>2050</v>
      </c>
      <c r="F682">
        <v>555482.60888743005</v>
      </c>
    </row>
    <row r="683" spans="1:6" x14ac:dyDescent="0.25">
      <c r="A683" t="s">
        <v>129</v>
      </c>
      <c r="B683" t="s">
        <v>8</v>
      </c>
      <c r="C683" t="s">
        <v>43</v>
      </c>
      <c r="D683" t="s">
        <v>58</v>
      </c>
      <c r="E683">
        <v>2050</v>
      </c>
      <c r="F683">
        <v>21023.015601598701</v>
      </c>
    </row>
    <row r="684" spans="1:6" x14ac:dyDescent="0.25">
      <c r="A684" t="s">
        <v>129</v>
      </c>
      <c r="B684" t="s">
        <v>8</v>
      </c>
      <c r="C684" t="s">
        <v>43</v>
      </c>
      <c r="D684" t="s">
        <v>36</v>
      </c>
      <c r="E684">
        <v>2050</v>
      </c>
      <c r="F684">
        <v>0</v>
      </c>
    </row>
    <row r="685" spans="1:6" x14ac:dyDescent="0.25">
      <c r="A685" t="s">
        <v>129</v>
      </c>
      <c r="B685" t="s">
        <v>8</v>
      </c>
      <c r="C685" t="s">
        <v>43</v>
      </c>
      <c r="D685" t="s">
        <v>35</v>
      </c>
      <c r="E685">
        <v>2050</v>
      </c>
      <c r="F685">
        <v>0</v>
      </c>
    </row>
    <row r="686" spans="1:6" x14ac:dyDescent="0.25">
      <c r="A686" t="s">
        <v>129</v>
      </c>
      <c r="B686" t="s">
        <v>8</v>
      </c>
      <c r="C686" t="s">
        <v>43</v>
      </c>
      <c r="D686" t="s">
        <v>53</v>
      </c>
      <c r="E686">
        <v>2050</v>
      </c>
      <c r="F686">
        <v>1201654.4608093717</v>
      </c>
    </row>
    <row r="687" spans="1:6" x14ac:dyDescent="0.25">
      <c r="A687" t="s">
        <v>129</v>
      </c>
      <c r="B687" t="s">
        <v>8</v>
      </c>
      <c r="C687" t="s">
        <v>43</v>
      </c>
      <c r="D687" t="s">
        <v>59</v>
      </c>
      <c r="E687">
        <v>2050</v>
      </c>
      <c r="F687">
        <v>148832.39497031382</v>
      </c>
    </row>
    <row r="688" spans="1:6" x14ac:dyDescent="0.25">
      <c r="A688" t="s">
        <v>129</v>
      </c>
      <c r="B688" t="s">
        <v>8</v>
      </c>
      <c r="C688" t="s">
        <v>43</v>
      </c>
      <c r="D688" t="s">
        <v>60</v>
      </c>
      <c r="E688">
        <v>2050</v>
      </c>
      <c r="F688">
        <v>0</v>
      </c>
    </row>
    <row r="689" spans="1:6" x14ac:dyDescent="0.25">
      <c r="A689" t="s">
        <v>129</v>
      </c>
      <c r="B689" t="s">
        <v>8</v>
      </c>
      <c r="C689" t="s">
        <v>43</v>
      </c>
      <c r="D689" t="s">
        <v>61</v>
      </c>
      <c r="E689">
        <v>2050</v>
      </c>
      <c r="F689">
        <v>0</v>
      </c>
    </row>
    <row r="690" spans="1:6" x14ac:dyDescent="0.25">
      <c r="A690" t="s">
        <v>129</v>
      </c>
      <c r="B690" t="s">
        <v>8</v>
      </c>
      <c r="C690" t="s">
        <v>43</v>
      </c>
      <c r="D690" t="s">
        <v>62</v>
      </c>
      <c r="E690">
        <v>2050</v>
      </c>
      <c r="F690">
        <v>3870.345968495159</v>
      </c>
    </row>
    <row r="691" spans="1:6" x14ac:dyDescent="0.25">
      <c r="A691" t="s">
        <v>129</v>
      </c>
      <c r="B691" t="s">
        <v>8</v>
      </c>
      <c r="C691" t="s">
        <v>43</v>
      </c>
      <c r="D691" t="s">
        <v>63</v>
      </c>
      <c r="E691">
        <v>2050</v>
      </c>
      <c r="F691">
        <v>474117.381140657</v>
      </c>
    </row>
    <row r="692" spans="1:6" x14ac:dyDescent="0.25">
      <c r="A692" t="s">
        <v>129</v>
      </c>
      <c r="B692" t="s">
        <v>13</v>
      </c>
      <c r="C692" t="s">
        <v>28</v>
      </c>
      <c r="D692" t="s">
        <v>52</v>
      </c>
      <c r="E692">
        <v>2019</v>
      </c>
      <c r="F692">
        <v>1159590.3134327475</v>
      </c>
    </row>
    <row r="693" spans="1:6" x14ac:dyDescent="0.25">
      <c r="A693" t="s">
        <v>129</v>
      </c>
      <c r="B693" t="s">
        <v>13</v>
      </c>
      <c r="C693" t="s">
        <v>28</v>
      </c>
      <c r="D693" t="s">
        <v>64</v>
      </c>
      <c r="E693">
        <v>2019</v>
      </c>
      <c r="F693">
        <v>3102.9355833262225</v>
      </c>
    </row>
    <row r="694" spans="1:6" x14ac:dyDescent="0.25">
      <c r="A694" t="s">
        <v>129</v>
      </c>
      <c r="B694" t="s">
        <v>13</v>
      </c>
      <c r="C694" t="s">
        <v>28</v>
      </c>
      <c r="D694" t="s">
        <v>65</v>
      </c>
      <c r="E694">
        <v>2019</v>
      </c>
      <c r="F694">
        <v>172205.06744997756</v>
      </c>
    </row>
    <row r="695" spans="1:6" x14ac:dyDescent="0.25">
      <c r="A695" t="s">
        <v>129</v>
      </c>
      <c r="B695" t="s">
        <v>13</v>
      </c>
      <c r="C695" t="s">
        <v>28</v>
      </c>
      <c r="D695" t="s">
        <v>66</v>
      </c>
      <c r="E695">
        <v>2019</v>
      </c>
      <c r="F695">
        <v>2328635.6388303456</v>
      </c>
    </row>
    <row r="696" spans="1:6" x14ac:dyDescent="0.25">
      <c r="A696" t="s">
        <v>129</v>
      </c>
      <c r="B696" t="s">
        <v>13</v>
      </c>
      <c r="C696" t="s">
        <v>28</v>
      </c>
      <c r="D696" t="s">
        <v>56</v>
      </c>
      <c r="E696">
        <v>2019</v>
      </c>
      <c r="F696">
        <v>530420.38785042788</v>
      </c>
    </row>
    <row r="697" spans="1:6" x14ac:dyDescent="0.25">
      <c r="A697" t="s">
        <v>129</v>
      </c>
      <c r="B697" t="s">
        <v>13</v>
      </c>
      <c r="C697" t="s">
        <v>28</v>
      </c>
      <c r="D697" t="s">
        <v>48</v>
      </c>
      <c r="E697">
        <v>2019</v>
      </c>
      <c r="F697">
        <v>0</v>
      </c>
    </row>
    <row r="698" spans="1:6" x14ac:dyDescent="0.25">
      <c r="A698" t="s">
        <v>129</v>
      </c>
      <c r="B698" t="s">
        <v>67</v>
      </c>
      <c r="C698" t="s">
        <v>28</v>
      </c>
      <c r="D698" t="s">
        <v>52</v>
      </c>
      <c r="E698">
        <v>2019</v>
      </c>
      <c r="F698">
        <v>0</v>
      </c>
    </row>
    <row r="699" spans="1:6" x14ac:dyDescent="0.25">
      <c r="A699" t="s">
        <v>129</v>
      </c>
      <c r="B699" t="s">
        <v>67</v>
      </c>
      <c r="C699" t="s">
        <v>28</v>
      </c>
      <c r="D699" t="s">
        <v>64</v>
      </c>
      <c r="E699">
        <v>2019</v>
      </c>
      <c r="F699">
        <v>152043.84358298479</v>
      </c>
    </row>
    <row r="700" spans="1:6" x14ac:dyDescent="0.25">
      <c r="A700" t="s">
        <v>129</v>
      </c>
      <c r="B700" t="s">
        <v>67</v>
      </c>
      <c r="C700" t="s">
        <v>28</v>
      </c>
      <c r="D700" t="s">
        <v>65</v>
      </c>
      <c r="E700">
        <v>2019</v>
      </c>
      <c r="F700">
        <v>0</v>
      </c>
    </row>
    <row r="701" spans="1:6" x14ac:dyDescent="0.25">
      <c r="A701" t="s">
        <v>129</v>
      </c>
      <c r="B701" t="s">
        <v>67</v>
      </c>
      <c r="C701" t="s">
        <v>28</v>
      </c>
      <c r="D701" t="s">
        <v>66</v>
      </c>
      <c r="E701">
        <v>2019</v>
      </c>
      <c r="F701">
        <v>0</v>
      </c>
    </row>
    <row r="702" spans="1:6" x14ac:dyDescent="0.25">
      <c r="A702" t="s">
        <v>129</v>
      </c>
      <c r="B702" t="s">
        <v>67</v>
      </c>
      <c r="C702" t="s">
        <v>28</v>
      </c>
      <c r="D702" t="s">
        <v>56</v>
      </c>
      <c r="E702">
        <v>2019</v>
      </c>
      <c r="F702">
        <v>0</v>
      </c>
    </row>
    <row r="703" spans="1:6" x14ac:dyDescent="0.25">
      <c r="A703" t="s">
        <v>129</v>
      </c>
      <c r="B703" t="s">
        <v>67</v>
      </c>
      <c r="C703" t="s">
        <v>28</v>
      </c>
      <c r="D703" t="s">
        <v>48</v>
      </c>
      <c r="E703">
        <v>2019</v>
      </c>
      <c r="F703">
        <v>0</v>
      </c>
    </row>
    <row r="704" spans="1:6" x14ac:dyDescent="0.25">
      <c r="A704" t="s">
        <v>129</v>
      </c>
      <c r="B704" t="s">
        <v>13</v>
      </c>
      <c r="C704" t="s">
        <v>43</v>
      </c>
      <c r="D704" t="s">
        <v>52</v>
      </c>
      <c r="E704">
        <v>2019</v>
      </c>
      <c r="F704">
        <v>734174.89910281403</v>
      </c>
    </row>
    <row r="705" spans="1:6" x14ac:dyDescent="0.25">
      <c r="A705" t="s">
        <v>129</v>
      </c>
      <c r="B705" t="s">
        <v>13</v>
      </c>
      <c r="C705" t="s">
        <v>43</v>
      </c>
      <c r="D705" t="s">
        <v>64</v>
      </c>
      <c r="E705">
        <v>2019</v>
      </c>
      <c r="F705">
        <v>1238.8744472557355</v>
      </c>
    </row>
    <row r="706" spans="1:6" x14ac:dyDescent="0.25">
      <c r="A706" t="s">
        <v>129</v>
      </c>
      <c r="B706" t="s">
        <v>13</v>
      </c>
      <c r="C706" t="s">
        <v>43</v>
      </c>
      <c r="D706" t="s">
        <v>65</v>
      </c>
      <c r="E706">
        <v>2019</v>
      </c>
      <c r="F706">
        <v>37577.319945022478</v>
      </c>
    </row>
    <row r="707" spans="1:6" x14ac:dyDescent="0.25">
      <c r="A707" t="s">
        <v>129</v>
      </c>
      <c r="B707" t="s">
        <v>13</v>
      </c>
      <c r="C707" t="s">
        <v>43</v>
      </c>
      <c r="D707" t="s">
        <v>66</v>
      </c>
      <c r="E707">
        <v>2019</v>
      </c>
      <c r="F707">
        <v>681602.85349434032</v>
      </c>
    </row>
    <row r="708" spans="1:6" x14ac:dyDescent="0.25">
      <c r="A708" t="s">
        <v>129</v>
      </c>
      <c r="B708" t="s">
        <v>13</v>
      </c>
      <c r="C708" t="s">
        <v>43</v>
      </c>
      <c r="D708" t="s">
        <v>56</v>
      </c>
      <c r="E708">
        <v>2019</v>
      </c>
      <c r="F708">
        <v>452310.61214957217</v>
      </c>
    </row>
    <row r="709" spans="1:6" x14ac:dyDescent="0.25">
      <c r="A709" t="s">
        <v>129</v>
      </c>
      <c r="B709" t="s">
        <v>13</v>
      </c>
      <c r="C709" t="s">
        <v>43</v>
      </c>
      <c r="D709" t="s">
        <v>48</v>
      </c>
      <c r="E709">
        <v>2019</v>
      </c>
      <c r="F709">
        <v>0</v>
      </c>
    </row>
    <row r="710" spans="1:6" x14ac:dyDescent="0.25">
      <c r="A710" t="s">
        <v>129</v>
      </c>
      <c r="B710" t="s">
        <v>67</v>
      </c>
      <c r="C710" t="s">
        <v>43</v>
      </c>
      <c r="D710" t="s">
        <v>52</v>
      </c>
      <c r="E710">
        <v>2019</v>
      </c>
      <c r="F710">
        <v>0</v>
      </c>
    </row>
    <row r="711" spans="1:6" x14ac:dyDescent="0.25">
      <c r="A711" t="s">
        <v>129</v>
      </c>
      <c r="B711" t="s">
        <v>67</v>
      </c>
      <c r="C711" t="s">
        <v>43</v>
      </c>
      <c r="D711" t="s">
        <v>64</v>
      </c>
      <c r="E711">
        <v>2019</v>
      </c>
      <c r="F711">
        <v>60704.847915530983</v>
      </c>
    </row>
    <row r="712" spans="1:6" x14ac:dyDescent="0.25">
      <c r="A712" t="s">
        <v>129</v>
      </c>
      <c r="B712" t="s">
        <v>67</v>
      </c>
      <c r="C712" t="s">
        <v>43</v>
      </c>
      <c r="D712" t="s">
        <v>65</v>
      </c>
      <c r="E712">
        <v>2019</v>
      </c>
      <c r="F712">
        <v>0</v>
      </c>
    </row>
    <row r="713" spans="1:6" x14ac:dyDescent="0.25">
      <c r="A713" t="s">
        <v>129</v>
      </c>
      <c r="B713" t="s">
        <v>67</v>
      </c>
      <c r="C713" t="s">
        <v>43</v>
      </c>
      <c r="D713" t="s">
        <v>66</v>
      </c>
      <c r="E713">
        <v>2019</v>
      </c>
      <c r="F713">
        <v>0</v>
      </c>
    </row>
    <row r="714" spans="1:6" x14ac:dyDescent="0.25">
      <c r="A714" t="s">
        <v>129</v>
      </c>
      <c r="B714" t="s">
        <v>67</v>
      </c>
      <c r="C714" t="s">
        <v>43</v>
      </c>
      <c r="D714" t="s">
        <v>56</v>
      </c>
      <c r="E714">
        <v>2019</v>
      </c>
      <c r="F714">
        <v>0</v>
      </c>
    </row>
    <row r="715" spans="1:6" x14ac:dyDescent="0.25">
      <c r="A715" t="s">
        <v>129</v>
      </c>
      <c r="B715" t="s">
        <v>67</v>
      </c>
      <c r="C715" t="s">
        <v>43</v>
      </c>
      <c r="D715" t="s">
        <v>48</v>
      </c>
      <c r="E715">
        <v>2019</v>
      </c>
      <c r="F715">
        <v>0</v>
      </c>
    </row>
    <row r="716" spans="1:6" x14ac:dyDescent="0.25">
      <c r="A716" t="s">
        <v>129</v>
      </c>
      <c r="B716" t="s">
        <v>13</v>
      </c>
      <c r="C716" t="s">
        <v>28</v>
      </c>
      <c r="D716" t="s">
        <v>52</v>
      </c>
      <c r="E716">
        <v>2030</v>
      </c>
      <c r="F716">
        <v>1086254.4459537058</v>
      </c>
    </row>
    <row r="717" spans="1:6" x14ac:dyDescent="0.25">
      <c r="A717" t="s">
        <v>129</v>
      </c>
      <c r="B717" t="s">
        <v>13</v>
      </c>
      <c r="C717" t="s">
        <v>28</v>
      </c>
      <c r="D717" t="s">
        <v>64</v>
      </c>
      <c r="E717">
        <v>2030</v>
      </c>
      <c r="F717">
        <v>162493.02564918654</v>
      </c>
    </row>
    <row r="718" spans="1:6" x14ac:dyDescent="0.25">
      <c r="A718" t="s">
        <v>129</v>
      </c>
      <c r="B718" t="s">
        <v>13</v>
      </c>
      <c r="C718" t="s">
        <v>28</v>
      </c>
      <c r="D718" t="s">
        <v>65</v>
      </c>
      <c r="E718">
        <v>2030</v>
      </c>
      <c r="F718">
        <v>177516.46640303911</v>
      </c>
    </row>
    <row r="719" spans="1:6" x14ac:dyDescent="0.25">
      <c r="A719" t="s">
        <v>129</v>
      </c>
      <c r="B719" t="s">
        <v>13</v>
      </c>
      <c r="C719" t="s">
        <v>28</v>
      </c>
      <c r="D719" t="s">
        <v>66</v>
      </c>
      <c r="E719">
        <v>2030</v>
      </c>
      <c r="F719">
        <v>2203715.0015238998</v>
      </c>
    </row>
    <row r="720" spans="1:6" x14ac:dyDescent="0.25">
      <c r="A720" t="s">
        <v>129</v>
      </c>
      <c r="B720" t="s">
        <v>13</v>
      </c>
      <c r="C720" t="s">
        <v>28</v>
      </c>
      <c r="D720" t="s">
        <v>56</v>
      </c>
      <c r="E720">
        <v>2030</v>
      </c>
      <c r="F720">
        <v>526692.30595677684</v>
      </c>
    </row>
    <row r="721" spans="1:6" x14ac:dyDescent="0.25">
      <c r="A721" t="s">
        <v>129</v>
      </c>
      <c r="B721" t="s">
        <v>13</v>
      </c>
      <c r="C721" t="s">
        <v>28</v>
      </c>
      <c r="D721" t="s">
        <v>48</v>
      </c>
      <c r="E721">
        <v>2030</v>
      </c>
      <c r="F721">
        <v>0</v>
      </c>
    </row>
    <row r="722" spans="1:6" x14ac:dyDescent="0.25">
      <c r="A722" t="s">
        <v>129</v>
      </c>
      <c r="B722" t="s">
        <v>67</v>
      </c>
      <c r="C722" t="s">
        <v>28</v>
      </c>
      <c r="D722" t="s">
        <v>52</v>
      </c>
      <c r="E722">
        <v>2030</v>
      </c>
      <c r="F722">
        <v>0</v>
      </c>
    </row>
    <row r="723" spans="1:6" x14ac:dyDescent="0.25">
      <c r="A723" t="s">
        <v>129</v>
      </c>
      <c r="B723" t="s">
        <v>67</v>
      </c>
      <c r="C723" t="s">
        <v>28</v>
      </c>
      <c r="D723" t="s">
        <v>64</v>
      </c>
      <c r="E723">
        <v>2030</v>
      </c>
      <c r="F723">
        <v>0</v>
      </c>
    </row>
    <row r="724" spans="1:6" x14ac:dyDescent="0.25">
      <c r="A724" t="s">
        <v>129</v>
      </c>
      <c r="B724" t="s">
        <v>67</v>
      </c>
      <c r="C724" t="s">
        <v>28</v>
      </c>
      <c r="D724" t="s">
        <v>65</v>
      </c>
      <c r="E724">
        <v>2030</v>
      </c>
      <c r="F724">
        <v>0</v>
      </c>
    </row>
    <row r="725" spans="1:6" x14ac:dyDescent="0.25">
      <c r="A725" t="s">
        <v>129</v>
      </c>
      <c r="B725" t="s">
        <v>67</v>
      </c>
      <c r="C725" t="s">
        <v>28</v>
      </c>
      <c r="D725" t="s">
        <v>66</v>
      </c>
      <c r="E725">
        <v>2030</v>
      </c>
      <c r="F725">
        <v>0</v>
      </c>
    </row>
    <row r="726" spans="1:6" x14ac:dyDescent="0.25">
      <c r="A726" t="s">
        <v>129</v>
      </c>
      <c r="B726" t="s">
        <v>67</v>
      </c>
      <c r="C726" t="s">
        <v>28</v>
      </c>
      <c r="D726" t="s">
        <v>56</v>
      </c>
      <c r="E726">
        <v>2030</v>
      </c>
      <c r="F726">
        <v>0</v>
      </c>
    </row>
    <row r="727" spans="1:6" x14ac:dyDescent="0.25">
      <c r="A727" t="s">
        <v>129</v>
      </c>
      <c r="B727" t="s">
        <v>67</v>
      </c>
      <c r="C727" t="s">
        <v>28</v>
      </c>
      <c r="D727" t="s">
        <v>48</v>
      </c>
      <c r="E727">
        <v>2030</v>
      </c>
      <c r="F727">
        <v>0</v>
      </c>
    </row>
    <row r="728" spans="1:6" x14ac:dyDescent="0.25">
      <c r="A728" t="s">
        <v>129</v>
      </c>
      <c r="B728" t="s">
        <v>13</v>
      </c>
      <c r="C728" t="s">
        <v>43</v>
      </c>
      <c r="D728" t="s">
        <v>52</v>
      </c>
      <c r="E728">
        <v>2030</v>
      </c>
      <c r="F728">
        <v>716279.67540878139</v>
      </c>
    </row>
    <row r="729" spans="1:6" x14ac:dyDescent="0.25">
      <c r="A729" t="s">
        <v>129</v>
      </c>
      <c r="B729" t="s">
        <v>13</v>
      </c>
      <c r="C729" t="s">
        <v>43</v>
      </c>
      <c r="D729" t="s">
        <v>64</v>
      </c>
      <c r="E729">
        <v>2030</v>
      </c>
      <c r="F729">
        <v>65410.493211637622</v>
      </c>
    </row>
    <row r="730" spans="1:6" x14ac:dyDescent="0.25">
      <c r="A730" t="s">
        <v>129</v>
      </c>
      <c r="B730" t="s">
        <v>13</v>
      </c>
      <c r="C730" t="s">
        <v>43</v>
      </c>
      <c r="D730" t="s">
        <v>65</v>
      </c>
      <c r="E730">
        <v>2030</v>
      </c>
      <c r="F730">
        <v>39419.677245239443</v>
      </c>
    </row>
    <row r="731" spans="1:6" x14ac:dyDescent="0.25">
      <c r="A731" t="s">
        <v>129</v>
      </c>
      <c r="B731" t="s">
        <v>13</v>
      </c>
      <c r="C731" t="s">
        <v>43</v>
      </c>
      <c r="D731" t="s">
        <v>66</v>
      </c>
      <c r="E731">
        <v>2030</v>
      </c>
      <c r="F731">
        <v>645037.98201828008</v>
      </c>
    </row>
    <row r="732" spans="1:6" x14ac:dyDescent="0.25">
      <c r="A732" t="s">
        <v>129</v>
      </c>
      <c r="B732" t="s">
        <v>13</v>
      </c>
      <c r="C732" t="s">
        <v>43</v>
      </c>
      <c r="D732" t="s">
        <v>56</v>
      </c>
      <c r="E732">
        <v>2030</v>
      </c>
      <c r="F732">
        <v>456038.69404322316</v>
      </c>
    </row>
    <row r="733" spans="1:6" x14ac:dyDescent="0.25">
      <c r="A733" t="s">
        <v>129</v>
      </c>
      <c r="B733" t="s">
        <v>13</v>
      </c>
      <c r="C733" t="s">
        <v>43</v>
      </c>
      <c r="D733" t="s">
        <v>48</v>
      </c>
      <c r="E733">
        <v>2030</v>
      </c>
      <c r="F733">
        <v>0</v>
      </c>
    </row>
    <row r="734" spans="1:6" x14ac:dyDescent="0.25">
      <c r="A734" t="s">
        <v>129</v>
      </c>
      <c r="B734" t="s">
        <v>67</v>
      </c>
      <c r="C734" t="s">
        <v>43</v>
      </c>
      <c r="D734" t="s">
        <v>52</v>
      </c>
      <c r="E734">
        <v>2030</v>
      </c>
      <c r="F734">
        <v>0</v>
      </c>
    </row>
    <row r="735" spans="1:6" x14ac:dyDescent="0.25">
      <c r="A735" t="s">
        <v>129</v>
      </c>
      <c r="B735" t="s">
        <v>67</v>
      </c>
      <c r="C735" t="s">
        <v>43</v>
      </c>
      <c r="D735" t="s">
        <v>64</v>
      </c>
      <c r="E735">
        <v>2030</v>
      </c>
      <c r="F735">
        <v>0</v>
      </c>
    </row>
    <row r="736" spans="1:6" x14ac:dyDescent="0.25">
      <c r="A736" t="s">
        <v>129</v>
      </c>
      <c r="B736" t="s">
        <v>67</v>
      </c>
      <c r="C736" t="s">
        <v>43</v>
      </c>
      <c r="D736" t="s">
        <v>65</v>
      </c>
      <c r="E736">
        <v>2030</v>
      </c>
      <c r="F736">
        <v>0</v>
      </c>
    </row>
    <row r="737" spans="1:6" x14ac:dyDescent="0.25">
      <c r="A737" t="s">
        <v>129</v>
      </c>
      <c r="B737" t="s">
        <v>67</v>
      </c>
      <c r="C737" t="s">
        <v>43</v>
      </c>
      <c r="D737" t="s">
        <v>66</v>
      </c>
      <c r="E737">
        <v>2030</v>
      </c>
      <c r="F737">
        <v>0</v>
      </c>
    </row>
    <row r="738" spans="1:6" x14ac:dyDescent="0.25">
      <c r="A738" t="s">
        <v>129</v>
      </c>
      <c r="B738" t="s">
        <v>67</v>
      </c>
      <c r="C738" t="s">
        <v>43</v>
      </c>
      <c r="D738" t="s">
        <v>56</v>
      </c>
      <c r="E738">
        <v>2030</v>
      </c>
      <c r="F738">
        <v>0</v>
      </c>
    </row>
    <row r="739" spans="1:6" x14ac:dyDescent="0.25">
      <c r="A739" t="s">
        <v>129</v>
      </c>
      <c r="B739" t="s">
        <v>67</v>
      </c>
      <c r="C739" t="s">
        <v>43</v>
      </c>
      <c r="D739" t="s">
        <v>48</v>
      </c>
      <c r="E739">
        <v>2030</v>
      </c>
      <c r="F739">
        <v>0</v>
      </c>
    </row>
    <row r="740" spans="1:6" x14ac:dyDescent="0.25">
      <c r="A740" t="s">
        <v>129</v>
      </c>
      <c r="B740" t="s">
        <v>13</v>
      </c>
      <c r="C740" t="s">
        <v>28</v>
      </c>
      <c r="D740" t="s">
        <v>52</v>
      </c>
      <c r="E740">
        <v>2050</v>
      </c>
      <c r="F740">
        <v>1303036.156330572</v>
      </c>
    </row>
    <row r="741" spans="1:6" x14ac:dyDescent="0.25">
      <c r="A741" t="s">
        <v>129</v>
      </c>
      <c r="B741" t="s">
        <v>13</v>
      </c>
      <c r="C741" t="s">
        <v>28</v>
      </c>
      <c r="D741" t="s">
        <v>64</v>
      </c>
      <c r="E741">
        <v>2050</v>
      </c>
      <c r="F741">
        <v>156492.78628542495</v>
      </c>
    </row>
    <row r="742" spans="1:6" x14ac:dyDescent="0.25">
      <c r="A742" t="s">
        <v>129</v>
      </c>
      <c r="B742" t="s">
        <v>13</v>
      </c>
      <c r="C742" t="s">
        <v>28</v>
      </c>
      <c r="D742" t="s">
        <v>65</v>
      </c>
      <c r="E742">
        <v>2050</v>
      </c>
      <c r="F742">
        <v>171775.11908496951</v>
      </c>
    </row>
    <row r="743" spans="1:6" x14ac:dyDescent="0.25">
      <c r="A743" t="s">
        <v>129</v>
      </c>
      <c r="B743" t="s">
        <v>13</v>
      </c>
      <c r="C743" t="s">
        <v>28</v>
      </c>
      <c r="D743" t="s">
        <v>66</v>
      </c>
      <c r="E743">
        <v>2050</v>
      </c>
      <c r="F743">
        <v>2001135.6433479721</v>
      </c>
    </row>
    <row r="744" spans="1:6" x14ac:dyDescent="0.25">
      <c r="A744" t="s">
        <v>129</v>
      </c>
      <c r="B744" t="s">
        <v>13</v>
      </c>
      <c r="C744" t="s">
        <v>28</v>
      </c>
      <c r="D744" t="s">
        <v>56</v>
      </c>
      <c r="E744">
        <v>2050</v>
      </c>
      <c r="F744">
        <v>524840.3181212655</v>
      </c>
    </row>
    <row r="745" spans="1:6" x14ac:dyDescent="0.25">
      <c r="A745" t="s">
        <v>129</v>
      </c>
      <c r="B745" t="s">
        <v>13</v>
      </c>
      <c r="C745" t="s">
        <v>28</v>
      </c>
      <c r="D745" t="s">
        <v>48</v>
      </c>
      <c r="E745">
        <v>2050</v>
      </c>
      <c r="F745">
        <v>0</v>
      </c>
    </row>
    <row r="746" spans="1:6" x14ac:dyDescent="0.25">
      <c r="A746" t="s">
        <v>129</v>
      </c>
      <c r="B746" t="s">
        <v>67</v>
      </c>
      <c r="C746" t="s">
        <v>28</v>
      </c>
      <c r="D746" t="s">
        <v>52</v>
      </c>
      <c r="E746">
        <v>2050</v>
      </c>
      <c r="F746">
        <v>0</v>
      </c>
    </row>
    <row r="747" spans="1:6" x14ac:dyDescent="0.25">
      <c r="A747" t="s">
        <v>129</v>
      </c>
      <c r="B747" t="s">
        <v>67</v>
      </c>
      <c r="C747" t="s">
        <v>28</v>
      </c>
      <c r="D747" t="s">
        <v>64</v>
      </c>
      <c r="E747">
        <v>2050</v>
      </c>
      <c r="F747">
        <v>0</v>
      </c>
    </row>
    <row r="748" spans="1:6" x14ac:dyDescent="0.25">
      <c r="A748" t="s">
        <v>129</v>
      </c>
      <c r="B748" t="s">
        <v>67</v>
      </c>
      <c r="C748" t="s">
        <v>28</v>
      </c>
      <c r="D748" t="s">
        <v>65</v>
      </c>
      <c r="E748">
        <v>2050</v>
      </c>
      <c r="F748">
        <v>0</v>
      </c>
    </row>
    <row r="749" spans="1:6" x14ac:dyDescent="0.25">
      <c r="A749" t="s">
        <v>129</v>
      </c>
      <c r="B749" t="s">
        <v>67</v>
      </c>
      <c r="C749" t="s">
        <v>28</v>
      </c>
      <c r="D749" t="s">
        <v>66</v>
      </c>
      <c r="E749">
        <v>2050</v>
      </c>
      <c r="F749">
        <v>0</v>
      </c>
    </row>
    <row r="750" spans="1:6" x14ac:dyDescent="0.25">
      <c r="A750" t="s">
        <v>129</v>
      </c>
      <c r="B750" t="s">
        <v>67</v>
      </c>
      <c r="C750" t="s">
        <v>28</v>
      </c>
      <c r="D750" t="s">
        <v>56</v>
      </c>
      <c r="E750">
        <v>2050</v>
      </c>
      <c r="F750">
        <v>0</v>
      </c>
    </row>
    <row r="751" spans="1:6" x14ac:dyDescent="0.25">
      <c r="A751" t="s">
        <v>129</v>
      </c>
      <c r="B751" t="s">
        <v>67</v>
      </c>
      <c r="C751" t="s">
        <v>28</v>
      </c>
      <c r="D751" t="s">
        <v>48</v>
      </c>
      <c r="E751">
        <v>2050</v>
      </c>
      <c r="F751">
        <v>0</v>
      </c>
    </row>
    <row r="752" spans="1:6" x14ac:dyDescent="0.25">
      <c r="A752" t="s">
        <v>129</v>
      </c>
      <c r="B752" t="s">
        <v>13</v>
      </c>
      <c r="C752" t="s">
        <v>43</v>
      </c>
      <c r="D752" t="s">
        <v>52</v>
      </c>
      <c r="E752">
        <v>2050</v>
      </c>
      <c r="F752">
        <v>736790.52495436871</v>
      </c>
    </row>
    <row r="753" spans="1:6" x14ac:dyDescent="0.25">
      <c r="A753" t="s">
        <v>129</v>
      </c>
      <c r="B753" t="s">
        <v>13</v>
      </c>
      <c r="C753" t="s">
        <v>43</v>
      </c>
      <c r="D753" t="s">
        <v>64</v>
      </c>
      <c r="E753">
        <v>2050</v>
      </c>
      <c r="F753">
        <v>63732.21710113556</v>
      </c>
    </row>
    <row r="754" spans="1:6" x14ac:dyDescent="0.25">
      <c r="A754" t="s">
        <v>129</v>
      </c>
      <c r="B754" t="s">
        <v>13</v>
      </c>
      <c r="C754" t="s">
        <v>43</v>
      </c>
      <c r="D754" t="s">
        <v>65</v>
      </c>
      <c r="E754">
        <v>2050</v>
      </c>
      <c r="F754">
        <v>38470.033999756291</v>
      </c>
    </row>
    <row r="755" spans="1:6" x14ac:dyDescent="0.25">
      <c r="A755" t="s">
        <v>129</v>
      </c>
      <c r="B755" t="s">
        <v>13</v>
      </c>
      <c r="C755" t="s">
        <v>43</v>
      </c>
      <c r="D755" t="s">
        <v>66</v>
      </c>
      <c r="E755">
        <v>2050</v>
      </c>
      <c r="F755">
        <v>585110.82295504375</v>
      </c>
    </row>
    <row r="756" spans="1:6" x14ac:dyDescent="0.25">
      <c r="A756" t="s">
        <v>129</v>
      </c>
      <c r="B756" t="s">
        <v>13</v>
      </c>
      <c r="C756" t="s">
        <v>43</v>
      </c>
      <c r="D756" t="s">
        <v>56</v>
      </c>
      <c r="E756">
        <v>2050</v>
      </c>
      <c r="F756">
        <v>457890.6818787345</v>
      </c>
    </row>
    <row r="757" spans="1:6" x14ac:dyDescent="0.25">
      <c r="A757" t="s">
        <v>129</v>
      </c>
      <c r="B757" t="s">
        <v>13</v>
      </c>
      <c r="C757" t="s">
        <v>43</v>
      </c>
      <c r="D757" t="s">
        <v>48</v>
      </c>
      <c r="E757">
        <v>2050</v>
      </c>
      <c r="F757">
        <v>0</v>
      </c>
    </row>
    <row r="758" spans="1:6" x14ac:dyDescent="0.25">
      <c r="A758" t="s">
        <v>129</v>
      </c>
      <c r="B758" t="s">
        <v>67</v>
      </c>
      <c r="C758" t="s">
        <v>43</v>
      </c>
      <c r="D758" t="s">
        <v>52</v>
      </c>
      <c r="E758">
        <v>2050</v>
      </c>
      <c r="F758">
        <v>0</v>
      </c>
    </row>
    <row r="759" spans="1:6" x14ac:dyDescent="0.25">
      <c r="A759" t="s">
        <v>129</v>
      </c>
      <c r="B759" t="s">
        <v>67</v>
      </c>
      <c r="C759" t="s">
        <v>43</v>
      </c>
      <c r="D759" t="s">
        <v>64</v>
      </c>
      <c r="E759">
        <v>2050</v>
      </c>
      <c r="F759">
        <v>0</v>
      </c>
    </row>
    <row r="760" spans="1:6" x14ac:dyDescent="0.25">
      <c r="A760" t="s">
        <v>129</v>
      </c>
      <c r="B760" t="s">
        <v>67</v>
      </c>
      <c r="C760" t="s">
        <v>43</v>
      </c>
      <c r="D760" t="s">
        <v>65</v>
      </c>
      <c r="E760">
        <v>2050</v>
      </c>
      <c r="F760">
        <v>0</v>
      </c>
    </row>
    <row r="761" spans="1:6" x14ac:dyDescent="0.25">
      <c r="A761" t="s">
        <v>129</v>
      </c>
      <c r="B761" t="s">
        <v>67</v>
      </c>
      <c r="C761" t="s">
        <v>43</v>
      </c>
      <c r="D761" t="s">
        <v>66</v>
      </c>
      <c r="E761">
        <v>2050</v>
      </c>
      <c r="F761">
        <v>0</v>
      </c>
    </row>
    <row r="762" spans="1:6" x14ac:dyDescent="0.25">
      <c r="A762" t="s">
        <v>129</v>
      </c>
      <c r="B762" t="s">
        <v>67</v>
      </c>
      <c r="C762" t="s">
        <v>43</v>
      </c>
      <c r="D762" t="s">
        <v>56</v>
      </c>
      <c r="E762">
        <v>2050</v>
      </c>
      <c r="F762">
        <v>0</v>
      </c>
    </row>
    <row r="763" spans="1:6" x14ac:dyDescent="0.25">
      <c r="A763" t="s">
        <v>129</v>
      </c>
      <c r="B763" t="s">
        <v>67</v>
      </c>
      <c r="C763" t="s">
        <v>43</v>
      </c>
      <c r="D763" t="s">
        <v>48</v>
      </c>
      <c r="E763">
        <v>2050</v>
      </c>
      <c r="F763">
        <v>0</v>
      </c>
    </row>
    <row r="764" spans="1:6" x14ac:dyDescent="0.25">
      <c r="A764" t="s">
        <v>129</v>
      </c>
      <c r="B764" t="s">
        <v>12</v>
      </c>
      <c r="C764" t="s">
        <v>28</v>
      </c>
      <c r="D764" t="s">
        <v>44</v>
      </c>
      <c r="E764">
        <v>2019</v>
      </c>
      <c r="F764">
        <v>12818096.433914844</v>
      </c>
    </row>
    <row r="765" spans="1:6" x14ac:dyDescent="0.25">
      <c r="A765" t="s">
        <v>129</v>
      </c>
      <c r="B765" t="s">
        <v>12</v>
      </c>
      <c r="C765" t="s">
        <v>28</v>
      </c>
      <c r="D765" t="s">
        <v>45</v>
      </c>
      <c r="E765">
        <v>2019</v>
      </c>
      <c r="F765">
        <v>6000958.9027446285</v>
      </c>
    </row>
    <row r="766" spans="1:6" x14ac:dyDescent="0.25">
      <c r="A766" t="s">
        <v>129</v>
      </c>
      <c r="B766" t="s">
        <v>12</v>
      </c>
      <c r="C766" t="s">
        <v>28</v>
      </c>
      <c r="D766" t="s">
        <v>46</v>
      </c>
      <c r="E766">
        <v>2019</v>
      </c>
      <c r="F766">
        <v>3107.1675348074377</v>
      </c>
    </row>
    <row r="767" spans="1:6" x14ac:dyDescent="0.25">
      <c r="A767" t="s">
        <v>129</v>
      </c>
      <c r="B767" t="s">
        <v>12</v>
      </c>
      <c r="C767" t="s">
        <v>28</v>
      </c>
      <c r="D767" t="s">
        <v>50</v>
      </c>
      <c r="E767">
        <v>2019</v>
      </c>
      <c r="F767">
        <v>730307.97492940596</v>
      </c>
    </row>
    <row r="768" spans="1:6" x14ac:dyDescent="0.25">
      <c r="A768" t="s">
        <v>129</v>
      </c>
      <c r="B768" t="s">
        <v>12</v>
      </c>
      <c r="C768" t="s">
        <v>28</v>
      </c>
      <c r="D768" t="s">
        <v>68</v>
      </c>
      <c r="E768">
        <v>2019</v>
      </c>
      <c r="F768">
        <v>7001759.6428652545</v>
      </c>
    </row>
    <row r="769" spans="1:6" x14ac:dyDescent="0.25">
      <c r="A769" t="s">
        <v>129</v>
      </c>
      <c r="B769" t="s">
        <v>12</v>
      </c>
      <c r="C769" t="s">
        <v>28</v>
      </c>
      <c r="D769" t="s">
        <v>69</v>
      </c>
      <c r="E769">
        <v>2019</v>
      </c>
      <c r="F769">
        <v>720643.40546424</v>
      </c>
    </row>
    <row r="770" spans="1:6" x14ac:dyDescent="0.25">
      <c r="A770" t="s">
        <v>129</v>
      </c>
      <c r="B770" t="s">
        <v>12</v>
      </c>
      <c r="C770" t="s">
        <v>28</v>
      </c>
      <c r="D770" t="s">
        <v>44</v>
      </c>
      <c r="E770">
        <v>2030</v>
      </c>
      <c r="F770">
        <v>7085171.5926641021</v>
      </c>
    </row>
    <row r="771" spans="1:6" x14ac:dyDescent="0.25">
      <c r="A771" t="s">
        <v>129</v>
      </c>
      <c r="B771" t="s">
        <v>12</v>
      </c>
      <c r="C771" t="s">
        <v>28</v>
      </c>
      <c r="D771" t="s">
        <v>45</v>
      </c>
      <c r="E771">
        <v>2030</v>
      </c>
      <c r="F771">
        <v>2064375.9771023891</v>
      </c>
    </row>
    <row r="772" spans="1:6" x14ac:dyDescent="0.25">
      <c r="A772" t="s">
        <v>129</v>
      </c>
      <c r="B772" t="s">
        <v>12</v>
      </c>
      <c r="C772" t="s">
        <v>28</v>
      </c>
      <c r="D772" t="s">
        <v>46</v>
      </c>
      <c r="E772">
        <v>2030</v>
      </c>
      <c r="F772">
        <v>3158.317751313647</v>
      </c>
    </row>
    <row r="773" spans="1:6" x14ac:dyDescent="0.25">
      <c r="A773" t="s">
        <v>129</v>
      </c>
      <c r="B773" t="s">
        <v>12</v>
      </c>
      <c r="C773" t="s">
        <v>28</v>
      </c>
      <c r="D773" t="s">
        <v>50</v>
      </c>
      <c r="E773">
        <v>2030</v>
      </c>
      <c r="F773">
        <v>502160.95849399589</v>
      </c>
    </row>
    <row r="774" spans="1:6" x14ac:dyDescent="0.25">
      <c r="A774" t="s">
        <v>129</v>
      </c>
      <c r="B774" t="s">
        <v>12</v>
      </c>
      <c r="C774" t="s">
        <v>28</v>
      </c>
      <c r="D774" t="s">
        <v>68</v>
      </c>
      <c r="E774">
        <v>2030</v>
      </c>
      <c r="F774">
        <v>17711207.128625918</v>
      </c>
    </row>
    <row r="775" spans="1:6" x14ac:dyDescent="0.25">
      <c r="A775" t="s">
        <v>129</v>
      </c>
      <c r="B775" t="s">
        <v>12</v>
      </c>
      <c r="C775" t="s">
        <v>28</v>
      </c>
      <c r="D775" t="s">
        <v>69</v>
      </c>
      <c r="E775">
        <v>2030</v>
      </c>
      <c r="F775">
        <v>620537.39357630478</v>
      </c>
    </row>
    <row r="776" spans="1:6" x14ac:dyDescent="0.25">
      <c r="A776" t="s">
        <v>129</v>
      </c>
      <c r="B776" t="s">
        <v>12</v>
      </c>
      <c r="C776" t="s">
        <v>28</v>
      </c>
      <c r="D776" t="s">
        <v>44</v>
      </c>
      <c r="E776">
        <v>2050</v>
      </c>
      <c r="F776">
        <v>5426541.7046099147</v>
      </c>
    </row>
    <row r="777" spans="1:6" x14ac:dyDescent="0.25">
      <c r="A777" t="s">
        <v>129</v>
      </c>
      <c r="B777" t="s">
        <v>12</v>
      </c>
      <c r="C777" t="s">
        <v>28</v>
      </c>
      <c r="D777" t="s">
        <v>45</v>
      </c>
      <c r="E777">
        <v>2050</v>
      </c>
      <c r="F777">
        <v>1619943.7071243373</v>
      </c>
    </row>
    <row r="778" spans="1:6" x14ac:dyDescent="0.25">
      <c r="A778" t="s">
        <v>129</v>
      </c>
      <c r="B778" t="s">
        <v>12</v>
      </c>
      <c r="C778" t="s">
        <v>28</v>
      </c>
      <c r="D778" t="s">
        <v>46</v>
      </c>
      <c r="E778">
        <v>2050</v>
      </c>
      <c r="F778">
        <v>2609.2753216661044</v>
      </c>
    </row>
    <row r="779" spans="1:6" x14ac:dyDescent="0.25">
      <c r="A779" t="s">
        <v>129</v>
      </c>
      <c r="B779" t="s">
        <v>12</v>
      </c>
      <c r="C779" t="s">
        <v>28</v>
      </c>
      <c r="D779" t="s">
        <v>50</v>
      </c>
      <c r="E779">
        <v>2050</v>
      </c>
      <c r="F779">
        <v>420665.19876426988</v>
      </c>
    </row>
    <row r="780" spans="1:6" x14ac:dyDescent="0.25">
      <c r="A780" t="s">
        <v>129</v>
      </c>
      <c r="B780" t="s">
        <v>12</v>
      </c>
      <c r="C780" t="s">
        <v>28</v>
      </c>
      <c r="D780" t="s">
        <v>68</v>
      </c>
      <c r="E780">
        <v>2050</v>
      </c>
      <c r="F780">
        <v>13769683.498114759</v>
      </c>
    </row>
    <row r="781" spans="1:6" x14ac:dyDescent="0.25">
      <c r="A781" t="s">
        <v>129</v>
      </c>
      <c r="B781" t="s">
        <v>12</v>
      </c>
      <c r="C781" t="s">
        <v>28</v>
      </c>
      <c r="D781" t="s">
        <v>69</v>
      </c>
      <c r="E781">
        <v>2050</v>
      </c>
      <c r="F781">
        <v>822588.45729733328</v>
      </c>
    </row>
    <row r="782" spans="1:6" x14ac:dyDescent="0.25">
      <c r="A782" t="s">
        <v>129</v>
      </c>
      <c r="B782" t="s">
        <v>12</v>
      </c>
      <c r="C782" t="s">
        <v>43</v>
      </c>
      <c r="D782" t="s">
        <v>44</v>
      </c>
      <c r="E782">
        <v>2019</v>
      </c>
      <c r="F782">
        <v>1924034.2327518209</v>
      </c>
    </row>
    <row r="783" spans="1:6" x14ac:dyDescent="0.25">
      <c r="A783" t="s">
        <v>129</v>
      </c>
      <c r="B783" t="s">
        <v>12</v>
      </c>
      <c r="C783" t="s">
        <v>43</v>
      </c>
      <c r="D783" t="s">
        <v>45</v>
      </c>
      <c r="E783">
        <v>2019</v>
      </c>
      <c r="F783">
        <v>422965.94308870414</v>
      </c>
    </row>
    <row r="784" spans="1:6" x14ac:dyDescent="0.25">
      <c r="A784" t="s">
        <v>129</v>
      </c>
      <c r="B784" t="s">
        <v>12</v>
      </c>
      <c r="C784" t="s">
        <v>43</v>
      </c>
      <c r="D784" t="s">
        <v>46</v>
      </c>
      <c r="E784">
        <v>2019</v>
      </c>
      <c r="F784">
        <v>255.68246519256246</v>
      </c>
    </row>
    <row r="785" spans="1:6" x14ac:dyDescent="0.25">
      <c r="A785" t="s">
        <v>129</v>
      </c>
      <c r="B785" t="s">
        <v>12</v>
      </c>
      <c r="C785" t="s">
        <v>43</v>
      </c>
      <c r="D785" t="s">
        <v>50</v>
      </c>
      <c r="E785">
        <v>2019</v>
      </c>
      <c r="F785">
        <v>93457.017927737121</v>
      </c>
    </row>
    <row r="786" spans="1:6" x14ac:dyDescent="0.25">
      <c r="A786" t="s">
        <v>129</v>
      </c>
      <c r="B786" t="s">
        <v>12</v>
      </c>
      <c r="C786" t="s">
        <v>43</v>
      </c>
      <c r="D786" t="s">
        <v>68</v>
      </c>
      <c r="E786">
        <v>2019</v>
      </c>
      <c r="F786">
        <v>1801732.0926432305</v>
      </c>
    </row>
    <row r="787" spans="1:6" x14ac:dyDescent="0.25">
      <c r="A787" t="s">
        <v>129</v>
      </c>
      <c r="B787" t="s">
        <v>12</v>
      </c>
      <c r="C787" t="s">
        <v>43</v>
      </c>
      <c r="D787" t="s">
        <v>69</v>
      </c>
      <c r="E787">
        <v>2019</v>
      </c>
      <c r="F787">
        <v>387847.14852834243</v>
      </c>
    </row>
    <row r="788" spans="1:6" x14ac:dyDescent="0.25">
      <c r="A788" t="s">
        <v>129</v>
      </c>
      <c r="B788" t="s">
        <v>12</v>
      </c>
      <c r="C788" t="s">
        <v>43</v>
      </c>
      <c r="D788" t="s">
        <v>44</v>
      </c>
      <c r="E788">
        <v>2030</v>
      </c>
      <c r="F788">
        <v>1026620.9238801375</v>
      </c>
    </row>
    <row r="789" spans="1:6" x14ac:dyDescent="0.25">
      <c r="A789" t="s">
        <v>129</v>
      </c>
      <c r="B789" t="s">
        <v>12</v>
      </c>
      <c r="C789" t="s">
        <v>43</v>
      </c>
      <c r="D789" t="s">
        <v>45</v>
      </c>
      <c r="E789">
        <v>2030</v>
      </c>
      <c r="F789">
        <v>146723.47845392721</v>
      </c>
    </row>
    <row r="790" spans="1:6" x14ac:dyDescent="0.25">
      <c r="A790" t="s">
        <v>129</v>
      </c>
      <c r="B790" t="s">
        <v>12</v>
      </c>
      <c r="C790" t="s">
        <v>43</v>
      </c>
      <c r="D790" t="s">
        <v>46</v>
      </c>
      <c r="E790">
        <v>2030</v>
      </c>
      <c r="F790">
        <v>265.07644309358068</v>
      </c>
    </row>
    <row r="791" spans="1:6" x14ac:dyDescent="0.25">
      <c r="A791" t="s">
        <v>129</v>
      </c>
      <c r="B791" t="s">
        <v>12</v>
      </c>
      <c r="C791" t="s">
        <v>43</v>
      </c>
      <c r="D791" t="s">
        <v>50</v>
      </c>
      <c r="E791">
        <v>2030</v>
      </c>
      <c r="F791">
        <v>67774.717172805787</v>
      </c>
    </row>
    <row r="792" spans="1:6" x14ac:dyDescent="0.25">
      <c r="A792" t="s">
        <v>129</v>
      </c>
      <c r="B792" t="s">
        <v>12</v>
      </c>
      <c r="C792" t="s">
        <v>43</v>
      </c>
      <c r="D792" t="s">
        <v>68</v>
      </c>
      <c r="E792">
        <v>2030</v>
      </c>
      <c r="F792">
        <v>3047051.4177026679</v>
      </c>
    </row>
    <row r="793" spans="1:6" x14ac:dyDescent="0.25">
      <c r="A793" t="s">
        <v>129</v>
      </c>
      <c r="B793" t="s">
        <v>12</v>
      </c>
      <c r="C793" t="s">
        <v>43</v>
      </c>
      <c r="D793" t="s">
        <v>69</v>
      </c>
      <c r="E793">
        <v>2030</v>
      </c>
      <c r="F793">
        <v>371889.1498666883</v>
      </c>
    </row>
    <row r="794" spans="1:6" x14ac:dyDescent="0.25">
      <c r="A794" t="s">
        <v>129</v>
      </c>
      <c r="B794" t="s">
        <v>12</v>
      </c>
      <c r="C794" t="s">
        <v>43</v>
      </c>
      <c r="D794" t="s">
        <v>44</v>
      </c>
      <c r="E794">
        <v>2050</v>
      </c>
      <c r="F794">
        <v>786290.23805561347</v>
      </c>
    </row>
    <row r="795" spans="1:6" x14ac:dyDescent="0.25">
      <c r="A795" t="s">
        <v>129</v>
      </c>
      <c r="B795" t="s">
        <v>12</v>
      </c>
      <c r="C795" t="s">
        <v>43</v>
      </c>
      <c r="D795" t="s">
        <v>45</v>
      </c>
      <c r="E795">
        <v>2050</v>
      </c>
      <c r="F795">
        <v>115135.89493637283</v>
      </c>
    </row>
    <row r="796" spans="1:6" x14ac:dyDescent="0.25">
      <c r="A796" t="s">
        <v>129</v>
      </c>
      <c r="B796" t="s">
        <v>12</v>
      </c>
      <c r="C796" t="s">
        <v>43</v>
      </c>
      <c r="D796" t="s">
        <v>46</v>
      </c>
      <c r="E796">
        <v>2050</v>
      </c>
      <c r="F796">
        <v>218.99551463161893</v>
      </c>
    </row>
    <row r="797" spans="1:6" x14ac:dyDescent="0.25">
      <c r="A797" t="s">
        <v>129</v>
      </c>
      <c r="B797" t="s">
        <v>12</v>
      </c>
      <c r="C797" t="s">
        <v>43</v>
      </c>
      <c r="D797" t="s">
        <v>50</v>
      </c>
      <c r="E797">
        <v>2050</v>
      </c>
      <c r="F797">
        <v>57097.370490994261</v>
      </c>
    </row>
    <row r="798" spans="1:6" x14ac:dyDescent="0.25">
      <c r="A798" t="s">
        <v>129</v>
      </c>
      <c r="B798" t="s">
        <v>12</v>
      </c>
      <c r="C798" t="s">
        <v>43</v>
      </c>
      <c r="D798" t="s">
        <v>68</v>
      </c>
      <c r="E798">
        <v>2050</v>
      </c>
      <c r="F798">
        <v>2636262.8953785724</v>
      </c>
    </row>
    <row r="799" spans="1:6" x14ac:dyDescent="0.25">
      <c r="A799" t="s">
        <v>129</v>
      </c>
      <c r="B799" t="s">
        <v>12</v>
      </c>
      <c r="C799" t="s">
        <v>43</v>
      </c>
      <c r="D799" t="s">
        <v>69</v>
      </c>
      <c r="E799">
        <v>2050</v>
      </c>
      <c r="F799">
        <v>388599.4488834205</v>
      </c>
    </row>
    <row r="800" spans="1:6" x14ac:dyDescent="0.25">
      <c r="A800" t="s">
        <v>129</v>
      </c>
      <c r="B800" t="s">
        <v>70</v>
      </c>
      <c r="C800" t="s">
        <v>28</v>
      </c>
      <c r="D800" t="s">
        <v>53</v>
      </c>
      <c r="E800">
        <v>2019</v>
      </c>
      <c r="F800">
        <v>0</v>
      </c>
    </row>
    <row r="801" spans="1:6" x14ac:dyDescent="0.25">
      <c r="A801" t="s">
        <v>129</v>
      </c>
      <c r="B801" t="s">
        <v>70</v>
      </c>
      <c r="C801" t="s">
        <v>28</v>
      </c>
      <c r="D801" t="s">
        <v>53</v>
      </c>
      <c r="E801">
        <v>2030</v>
      </c>
      <c r="F801">
        <v>0</v>
      </c>
    </row>
    <row r="802" spans="1:6" x14ac:dyDescent="0.25">
      <c r="A802" t="s">
        <v>129</v>
      </c>
      <c r="B802" t="s">
        <v>70</v>
      </c>
      <c r="C802" t="s">
        <v>28</v>
      </c>
      <c r="D802" t="s">
        <v>53</v>
      </c>
      <c r="E802">
        <v>2050</v>
      </c>
      <c r="F802">
        <v>0</v>
      </c>
    </row>
    <row r="803" spans="1:6" x14ac:dyDescent="0.25">
      <c r="A803" t="s">
        <v>129</v>
      </c>
      <c r="B803" t="s">
        <v>70</v>
      </c>
      <c r="C803" t="s">
        <v>43</v>
      </c>
      <c r="D803" t="s">
        <v>53</v>
      </c>
      <c r="E803">
        <v>2019</v>
      </c>
      <c r="F803">
        <v>0</v>
      </c>
    </row>
    <row r="804" spans="1:6" x14ac:dyDescent="0.25">
      <c r="A804" t="s">
        <v>129</v>
      </c>
      <c r="B804" t="s">
        <v>70</v>
      </c>
      <c r="C804" t="s">
        <v>43</v>
      </c>
      <c r="D804" t="s">
        <v>53</v>
      </c>
      <c r="E804">
        <v>2030</v>
      </c>
      <c r="F804">
        <v>0</v>
      </c>
    </row>
    <row r="805" spans="1:6" x14ac:dyDescent="0.25">
      <c r="A805" t="s">
        <v>129</v>
      </c>
      <c r="B805" t="s">
        <v>70</v>
      </c>
      <c r="C805" t="s">
        <v>43</v>
      </c>
      <c r="D805" t="s">
        <v>53</v>
      </c>
      <c r="E805">
        <v>2050</v>
      </c>
      <c r="F805">
        <v>0</v>
      </c>
    </row>
    <row r="806" spans="1:6" x14ac:dyDescent="0.25">
      <c r="A806" t="s">
        <v>129</v>
      </c>
      <c r="B806" t="s">
        <v>71</v>
      </c>
      <c r="C806" t="s">
        <v>28</v>
      </c>
      <c r="D806" t="s">
        <v>72</v>
      </c>
      <c r="E806">
        <v>2019</v>
      </c>
      <c r="F806">
        <v>484833.6848947219</v>
      </c>
    </row>
    <row r="807" spans="1:6" x14ac:dyDescent="0.25">
      <c r="A807" t="s">
        <v>129</v>
      </c>
      <c r="B807" t="s">
        <v>71</v>
      </c>
      <c r="C807" t="s">
        <v>28</v>
      </c>
      <c r="D807" t="s">
        <v>72</v>
      </c>
      <c r="E807">
        <v>2030</v>
      </c>
      <c r="F807">
        <v>507790.70515370794</v>
      </c>
    </row>
    <row r="808" spans="1:6" x14ac:dyDescent="0.25">
      <c r="A808" t="s">
        <v>129</v>
      </c>
      <c r="B808" t="s">
        <v>71</v>
      </c>
      <c r="C808" t="s">
        <v>28</v>
      </c>
      <c r="D808" t="s">
        <v>72</v>
      </c>
      <c r="E808">
        <v>2050</v>
      </c>
      <c r="F808">
        <v>489039.95714195294</v>
      </c>
    </row>
    <row r="809" spans="1:6" x14ac:dyDescent="0.25">
      <c r="A809" t="s">
        <v>129</v>
      </c>
      <c r="B809" t="s">
        <v>71</v>
      </c>
      <c r="C809" t="s">
        <v>43</v>
      </c>
      <c r="D809" t="s">
        <v>72</v>
      </c>
      <c r="E809">
        <v>2019</v>
      </c>
      <c r="F809">
        <v>193574.13238370849</v>
      </c>
    </row>
    <row r="810" spans="1:6" x14ac:dyDescent="0.25">
      <c r="A810" t="s">
        <v>129</v>
      </c>
      <c r="B810" t="s">
        <v>71</v>
      </c>
      <c r="C810" t="s">
        <v>43</v>
      </c>
      <c r="D810" t="s">
        <v>72</v>
      </c>
      <c r="E810">
        <v>2030</v>
      </c>
      <c r="F810">
        <v>204407.79128636757</v>
      </c>
    </row>
    <row r="811" spans="1:6" x14ac:dyDescent="0.25">
      <c r="A811" t="s">
        <v>129</v>
      </c>
      <c r="B811" t="s">
        <v>71</v>
      </c>
      <c r="C811" t="s">
        <v>43</v>
      </c>
      <c r="D811" t="s">
        <v>72</v>
      </c>
      <c r="E811">
        <v>2050</v>
      </c>
      <c r="F811">
        <v>199163.17844104863</v>
      </c>
    </row>
    <row r="812" spans="1:6" x14ac:dyDescent="0.25">
      <c r="A812" t="s">
        <v>129</v>
      </c>
      <c r="B812" t="s">
        <v>139</v>
      </c>
      <c r="C812" t="s">
        <v>28</v>
      </c>
      <c r="D812" t="s">
        <v>52</v>
      </c>
      <c r="E812">
        <v>2019</v>
      </c>
      <c r="F812">
        <v>0</v>
      </c>
    </row>
    <row r="813" spans="1:6" x14ac:dyDescent="0.25">
      <c r="A813" t="s">
        <v>129</v>
      </c>
      <c r="B813" t="s">
        <v>139</v>
      </c>
      <c r="C813" t="s">
        <v>28</v>
      </c>
      <c r="D813" t="s">
        <v>52</v>
      </c>
      <c r="E813">
        <v>2030</v>
      </c>
      <c r="F813">
        <v>0</v>
      </c>
    </row>
    <row r="814" spans="1:6" x14ac:dyDescent="0.25">
      <c r="A814" t="s">
        <v>129</v>
      </c>
      <c r="B814" t="s">
        <v>139</v>
      </c>
      <c r="C814" t="s">
        <v>28</v>
      </c>
      <c r="D814" t="s">
        <v>52</v>
      </c>
      <c r="E814">
        <v>2050</v>
      </c>
      <c r="F814">
        <v>0</v>
      </c>
    </row>
    <row r="815" spans="1:6" x14ac:dyDescent="0.25">
      <c r="A815" t="s">
        <v>129</v>
      </c>
      <c r="B815" t="s">
        <v>139</v>
      </c>
      <c r="C815" t="s">
        <v>43</v>
      </c>
      <c r="D815" t="s">
        <v>52</v>
      </c>
      <c r="E815">
        <v>2019</v>
      </c>
      <c r="F815">
        <v>0</v>
      </c>
    </row>
    <row r="816" spans="1:6" x14ac:dyDescent="0.25">
      <c r="A816" t="s">
        <v>129</v>
      </c>
      <c r="B816" t="s">
        <v>139</v>
      </c>
      <c r="C816" t="s">
        <v>43</v>
      </c>
      <c r="D816" t="s">
        <v>52</v>
      </c>
      <c r="E816">
        <v>2030</v>
      </c>
      <c r="F816">
        <v>0</v>
      </c>
    </row>
    <row r="817" spans="1:6" x14ac:dyDescent="0.25">
      <c r="A817" t="s">
        <v>129</v>
      </c>
      <c r="B817" t="s">
        <v>139</v>
      </c>
      <c r="C817" t="s">
        <v>43</v>
      </c>
      <c r="D817" t="s">
        <v>52</v>
      </c>
      <c r="E817">
        <v>2050</v>
      </c>
      <c r="F817">
        <v>0</v>
      </c>
    </row>
    <row r="818" spans="1:6" x14ac:dyDescent="0.25">
      <c r="A818" t="s">
        <v>129</v>
      </c>
      <c r="B818" t="s">
        <v>13</v>
      </c>
      <c r="C818" t="s">
        <v>28</v>
      </c>
      <c r="D818" t="s">
        <v>140</v>
      </c>
      <c r="E818">
        <v>2019</v>
      </c>
      <c r="F818">
        <v>0</v>
      </c>
    </row>
    <row r="819" spans="1:6" x14ac:dyDescent="0.25">
      <c r="A819" t="s">
        <v>129</v>
      </c>
      <c r="B819" t="s">
        <v>13</v>
      </c>
      <c r="C819" t="s">
        <v>28</v>
      </c>
      <c r="D819" t="s">
        <v>141</v>
      </c>
      <c r="E819">
        <v>2019</v>
      </c>
      <c r="F819">
        <v>0</v>
      </c>
    </row>
    <row r="820" spans="1:6" x14ac:dyDescent="0.25">
      <c r="A820" t="s">
        <v>129</v>
      </c>
      <c r="B820" t="s">
        <v>13</v>
      </c>
      <c r="C820" t="s">
        <v>28</v>
      </c>
      <c r="D820" t="s">
        <v>140</v>
      </c>
      <c r="E820">
        <v>2030</v>
      </c>
      <c r="F820">
        <v>0</v>
      </c>
    </row>
    <row r="821" spans="1:6" x14ac:dyDescent="0.25">
      <c r="A821" t="s">
        <v>129</v>
      </c>
      <c r="B821" t="s">
        <v>13</v>
      </c>
      <c r="C821" t="s">
        <v>28</v>
      </c>
      <c r="D821" t="s">
        <v>141</v>
      </c>
      <c r="E821">
        <v>2030</v>
      </c>
      <c r="F821">
        <v>0</v>
      </c>
    </row>
    <row r="822" spans="1:6" x14ac:dyDescent="0.25">
      <c r="A822" t="s">
        <v>129</v>
      </c>
      <c r="B822" t="s">
        <v>13</v>
      </c>
      <c r="C822" t="s">
        <v>28</v>
      </c>
      <c r="D822" t="s">
        <v>140</v>
      </c>
      <c r="E822">
        <v>2050</v>
      </c>
      <c r="F822">
        <v>0</v>
      </c>
    </row>
    <row r="823" spans="1:6" x14ac:dyDescent="0.25">
      <c r="A823" t="s">
        <v>129</v>
      </c>
      <c r="B823" t="s">
        <v>13</v>
      </c>
      <c r="C823" t="s">
        <v>28</v>
      </c>
      <c r="D823" t="s">
        <v>141</v>
      </c>
      <c r="E823">
        <v>2050</v>
      </c>
      <c r="F823">
        <v>0</v>
      </c>
    </row>
    <row r="824" spans="1:6" x14ac:dyDescent="0.25">
      <c r="A824" t="s">
        <v>129</v>
      </c>
      <c r="B824" t="s">
        <v>13</v>
      </c>
      <c r="C824" t="s">
        <v>43</v>
      </c>
      <c r="D824" t="s">
        <v>140</v>
      </c>
      <c r="E824">
        <v>2019</v>
      </c>
      <c r="F824">
        <v>0</v>
      </c>
    </row>
    <row r="825" spans="1:6" x14ac:dyDescent="0.25">
      <c r="A825" t="s">
        <v>129</v>
      </c>
      <c r="B825" t="s">
        <v>13</v>
      </c>
      <c r="C825" t="s">
        <v>43</v>
      </c>
      <c r="D825" t="s">
        <v>141</v>
      </c>
      <c r="E825">
        <v>2019</v>
      </c>
      <c r="F825">
        <v>0</v>
      </c>
    </row>
    <row r="826" spans="1:6" x14ac:dyDescent="0.25">
      <c r="A826" t="s">
        <v>129</v>
      </c>
      <c r="B826" t="s">
        <v>13</v>
      </c>
      <c r="C826" t="s">
        <v>43</v>
      </c>
      <c r="D826" t="s">
        <v>140</v>
      </c>
      <c r="E826">
        <v>2030</v>
      </c>
      <c r="F826">
        <v>0</v>
      </c>
    </row>
    <row r="827" spans="1:6" x14ac:dyDescent="0.25">
      <c r="A827" t="s">
        <v>129</v>
      </c>
      <c r="B827" t="s">
        <v>13</v>
      </c>
      <c r="C827" t="s">
        <v>43</v>
      </c>
      <c r="D827" t="s">
        <v>141</v>
      </c>
      <c r="E827">
        <v>2030</v>
      </c>
      <c r="F827">
        <v>0</v>
      </c>
    </row>
    <row r="828" spans="1:6" x14ac:dyDescent="0.25">
      <c r="A828" t="s">
        <v>129</v>
      </c>
      <c r="B828" t="s">
        <v>13</v>
      </c>
      <c r="C828" t="s">
        <v>43</v>
      </c>
      <c r="D828" t="s">
        <v>140</v>
      </c>
      <c r="E828">
        <v>2050</v>
      </c>
      <c r="F828">
        <v>0</v>
      </c>
    </row>
    <row r="829" spans="1:6" x14ac:dyDescent="0.25">
      <c r="A829" t="s">
        <v>129</v>
      </c>
      <c r="B829" t="s">
        <v>13</v>
      </c>
      <c r="C829" t="s">
        <v>43</v>
      </c>
      <c r="D829" t="s">
        <v>141</v>
      </c>
      <c r="E829">
        <v>2050</v>
      </c>
      <c r="F829">
        <v>0</v>
      </c>
    </row>
    <row r="830" spans="1:6" x14ac:dyDescent="0.25">
      <c r="A830" t="s">
        <v>130</v>
      </c>
      <c r="B830" t="s">
        <v>10</v>
      </c>
      <c r="C830" t="s">
        <v>28</v>
      </c>
      <c r="D830" t="s">
        <v>29</v>
      </c>
      <c r="E830">
        <v>2019</v>
      </c>
      <c r="F830">
        <v>286329.90483694919</v>
      </c>
    </row>
    <row r="831" spans="1:6" x14ac:dyDescent="0.25">
      <c r="A831" t="s">
        <v>130</v>
      </c>
      <c r="B831" t="s">
        <v>10</v>
      </c>
      <c r="C831" t="s">
        <v>28</v>
      </c>
      <c r="D831" t="s">
        <v>30</v>
      </c>
      <c r="E831">
        <v>2019</v>
      </c>
      <c r="F831">
        <v>261374.54615849949</v>
      </c>
    </row>
    <row r="832" spans="1:6" x14ac:dyDescent="0.25">
      <c r="A832" t="s">
        <v>130</v>
      </c>
      <c r="B832" t="s">
        <v>10</v>
      </c>
      <c r="C832" t="s">
        <v>28</v>
      </c>
      <c r="D832" t="s">
        <v>31</v>
      </c>
      <c r="E832">
        <v>2019</v>
      </c>
      <c r="F832">
        <v>119523.03367046962</v>
      </c>
    </row>
    <row r="833" spans="1:6" x14ac:dyDescent="0.25">
      <c r="A833" t="s">
        <v>130</v>
      </c>
      <c r="B833" t="s">
        <v>10</v>
      </c>
      <c r="C833" t="s">
        <v>28</v>
      </c>
      <c r="D833" t="s">
        <v>32</v>
      </c>
      <c r="E833">
        <v>2019</v>
      </c>
      <c r="F833">
        <v>117920.63695532705</v>
      </c>
    </row>
    <row r="834" spans="1:6" x14ac:dyDescent="0.25">
      <c r="A834" t="s">
        <v>130</v>
      </c>
      <c r="B834" t="s">
        <v>10</v>
      </c>
      <c r="C834" t="s">
        <v>28</v>
      </c>
      <c r="D834" t="s">
        <v>33</v>
      </c>
      <c r="E834">
        <v>2019</v>
      </c>
      <c r="F834">
        <v>58080.313724265572</v>
      </c>
    </row>
    <row r="835" spans="1:6" x14ac:dyDescent="0.25">
      <c r="A835" t="s">
        <v>130</v>
      </c>
      <c r="B835" t="s">
        <v>10</v>
      </c>
      <c r="C835" t="s">
        <v>28</v>
      </c>
      <c r="D835" t="s">
        <v>34</v>
      </c>
      <c r="E835">
        <v>2019</v>
      </c>
      <c r="F835">
        <v>0</v>
      </c>
    </row>
    <row r="836" spans="1:6" x14ac:dyDescent="0.25">
      <c r="A836" t="s">
        <v>130</v>
      </c>
      <c r="B836" t="s">
        <v>10</v>
      </c>
      <c r="C836" t="s">
        <v>28</v>
      </c>
      <c r="D836" t="s">
        <v>35</v>
      </c>
      <c r="E836">
        <v>2019</v>
      </c>
      <c r="F836">
        <v>0</v>
      </c>
    </row>
    <row r="837" spans="1:6" x14ac:dyDescent="0.25">
      <c r="A837" t="s">
        <v>130</v>
      </c>
      <c r="B837" t="s">
        <v>10</v>
      </c>
      <c r="C837" t="s">
        <v>28</v>
      </c>
      <c r="D837" t="s">
        <v>36</v>
      </c>
      <c r="E837">
        <v>2019</v>
      </c>
      <c r="F837">
        <v>0</v>
      </c>
    </row>
    <row r="838" spans="1:6" x14ac:dyDescent="0.25">
      <c r="A838" t="s">
        <v>130</v>
      </c>
      <c r="B838" t="s">
        <v>10</v>
      </c>
      <c r="C838" t="s">
        <v>28</v>
      </c>
      <c r="D838" t="s">
        <v>37</v>
      </c>
      <c r="E838">
        <v>2019</v>
      </c>
      <c r="F838">
        <v>0</v>
      </c>
    </row>
    <row r="839" spans="1:6" x14ac:dyDescent="0.25">
      <c r="A839" t="s">
        <v>130</v>
      </c>
      <c r="B839" t="s">
        <v>10</v>
      </c>
      <c r="C839" t="s">
        <v>28</v>
      </c>
      <c r="D839" t="s">
        <v>38</v>
      </c>
      <c r="E839">
        <v>2019</v>
      </c>
      <c r="F839">
        <v>457077.09579476295</v>
      </c>
    </row>
    <row r="840" spans="1:6" x14ac:dyDescent="0.25">
      <c r="A840" t="s">
        <v>130</v>
      </c>
      <c r="B840" t="s">
        <v>10</v>
      </c>
      <c r="C840" t="s">
        <v>28</v>
      </c>
      <c r="D840" t="s">
        <v>39</v>
      </c>
      <c r="E840">
        <v>2019</v>
      </c>
      <c r="F840">
        <v>34149.438191562753</v>
      </c>
    </row>
    <row r="841" spans="1:6" x14ac:dyDescent="0.25">
      <c r="A841" t="s">
        <v>130</v>
      </c>
      <c r="B841" t="s">
        <v>10</v>
      </c>
      <c r="C841" t="s">
        <v>28</v>
      </c>
      <c r="D841" t="s">
        <v>40</v>
      </c>
      <c r="E841">
        <v>2019</v>
      </c>
      <c r="F841">
        <v>31522.55833067331</v>
      </c>
    </row>
    <row r="842" spans="1:6" x14ac:dyDescent="0.25">
      <c r="A842" t="s">
        <v>130</v>
      </c>
      <c r="B842" t="s">
        <v>10</v>
      </c>
      <c r="C842" t="s">
        <v>28</v>
      </c>
      <c r="D842" t="s">
        <v>41</v>
      </c>
      <c r="E842">
        <v>2019</v>
      </c>
      <c r="F842">
        <v>249553.58678449702</v>
      </c>
    </row>
    <row r="843" spans="1:6" x14ac:dyDescent="0.25">
      <c r="A843" t="s">
        <v>130</v>
      </c>
      <c r="B843" t="s">
        <v>10</v>
      </c>
      <c r="C843" t="s">
        <v>28</v>
      </c>
      <c r="D843" t="s">
        <v>42</v>
      </c>
      <c r="E843">
        <v>2019</v>
      </c>
      <c r="F843">
        <v>48597.277426454682</v>
      </c>
    </row>
    <row r="844" spans="1:6" x14ac:dyDescent="0.25">
      <c r="A844" t="s">
        <v>130</v>
      </c>
      <c r="B844" t="s">
        <v>10</v>
      </c>
      <c r="C844" t="s">
        <v>28</v>
      </c>
      <c r="D844" t="s">
        <v>29</v>
      </c>
      <c r="E844">
        <v>2030</v>
      </c>
      <c r="F844">
        <v>295933.04302308214</v>
      </c>
    </row>
    <row r="845" spans="1:6" x14ac:dyDescent="0.25">
      <c r="A845" t="s">
        <v>130</v>
      </c>
      <c r="B845" t="s">
        <v>10</v>
      </c>
      <c r="C845" t="s">
        <v>28</v>
      </c>
      <c r="D845" t="s">
        <v>30</v>
      </c>
      <c r="E845">
        <v>2030</v>
      </c>
      <c r="F845">
        <v>270140.71358529059</v>
      </c>
    </row>
    <row r="846" spans="1:6" x14ac:dyDescent="0.25">
      <c r="A846" t="s">
        <v>130</v>
      </c>
      <c r="B846" t="s">
        <v>10</v>
      </c>
      <c r="C846" t="s">
        <v>28</v>
      </c>
      <c r="D846" t="s">
        <v>31</v>
      </c>
      <c r="E846">
        <v>2030</v>
      </c>
      <c r="F846">
        <v>123531.68309679118</v>
      </c>
    </row>
    <row r="847" spans="1:6" x14ac:dyDescent="0.25">
      <c r="A847" t="s">
        <v>130</v>
      </c>
      <c r="B847" t="s">
        <v>10</v>
      </c>
      <c r="C847" t="s">
        <v>28</v>
      </c>
      <c r="D847" t="s">
        <v>32</v>
      </c>
      <c r="E847">
        <v>2030</v>
      </c>
      <c r="F847">
        <v>121875.54404868034</v>
      </c>
    </row>
    <row r="848" spans="1:6" x14ac:dyDescent="0.25">
      <c r="A848" t="s">
        <v>130</v>
      </c>
      <c r="B848" t="s">
        <v>10</v>
      </c>
      <c r="C848" t="s">
        <v>28</v>
      </c>
      <c r="D848" t="s">
        <v>33</v>
      </c>
      <c r="E848">
        <v>2030</v>
      </c>
      <c r="F848">
        <v>60028.253038902265</v>
      </c>
    </row>
    <row r="849" spans="1:6" x14ac:dyDescent="0.25">
      <c r="A849" t="s">
        <v>130</v>
      </c>
      <c r="B849" t="s">
        <v>10</v>
      </c>
      <c r="C849" t="s">
        <v>28</v>
      </c>
      <c r="D849" t="s">
        <v>34</v>
      </c>
      <c r="E849">
        <v>2030</v>
      </c>
      <c r="F849">
        <v>0</v>
      </c>
    </row>
    <row r="850" spans="1:6" x14ac:dyDescent="0.25">
      <c r="A850" t="s">
        <v>130</v>
      </c>
      <c r="B850" t="s">
        <v>10</v>
      </c>
      <c r="C850" t="s">
        <v>28</v>
      </c>
      <c r="D850" t="s">
        <v>35</v>
      </c>
      <c r="E850">
        <v>2030</v>
      </c>
      <c r="F850">
        <v>0</v>
      </c>
    </row>
    <row r="851" spans="1:6" x14ac:dyDescent="0.25">
      <c r="A851" t="s">
        <v>130</v>
      </c>
      <c r="B851" t="s">
        <v>10</v>
      </c>
      <c r="C851" t="s">
        <v>28</v>
      </c>
      <c r="D851" t="s">
        <v>36</v>
      </c>
      <c r="E851">
        <v>2030</v>
      </c>
      <c r="F851">
        <v>0</v>
      </c>
    </row>
    <row r="852" spans="1:6" x14ac:dyDescent="0.25">
      <c r="A852" t="s">
        <v>130</v>
      </c>
      <c r="B852" t="s">
        <v>10</v>
      </c>
      <c r="C852" t="s">
        <v>28</v>
      </c>
      <c r="D852" t="s">
        <v>37</v>
      </c>
      <c r="E852">
        <v>2030</v>
      </c>
      <c r="F852">
        <v>0</v>
      </c>
    </row>
    <row r="853" spans="1:6" x14ac:dyDescent="0.25">
      <c r="A853" t="s">
        <v>130</v>
      </c>
      <c r="B853" t="s">
        <v>10</v>
      </c>
      <c r="C853" t="s">
        <v>28</v>
      </c>
      <c r="D853" t="s">
        <v>38</v>
      </c>
      <c r="E853">
        <v>2030</v>
      </c>
      <c r="F853">
        <v>472406.87601849809</v>
      </c>
    </row>
    <row r="854" spans="1:6" x14ac:dyDescent="0.25">
      <c r="A854" t="s">
        <v>130</v>
      </c>
      <c r="B854" t="s">
        <v>10</v>
      </c>
      <c r="C854" t="s">
        <v>28</v>
      </c>
      <c r="D854" t="s">
        <v>39</v>
      </c>
      <c r="E854">
        <v>2030</v>
      </c>
      <c r="F854">
        <v>35294.766599083188</v>
      </c>
    </row>
    <row r="855" spans="1:6" x14ac:dyDescent="0.25">
      <c r="A855" t="s">
        <v>130</v>
      </c>
      <c r="B855" t="s">
        <v>10</v>
      </c>
      <c r="C855" t="s">
        <v>28</v>
      </c>
      <c r="D855" t="s">
        <v>40</v>
      </c>
      <c r="E855">
        <v>2030</v>
      </c>
      <c r="F855">
        <v>32579.784552999867</v>
      </c>
    </row>
    <row r="856" spans="1:6" x14ac:dyDescent="0.25">
      <c r="A856" t="s">
        <v>130</v>
      </c>
      <c r="B856" t="s">
        <v>10</v>
      </c>
      <c r="C856" t="s">
        <v>28</v>
      </c>
      <c r="D856" t="s">
        <v>41</v>
      </c>
      <c r="E856">
        <v>2030</v>
      </c>
      <c r="F856">
        <v>257923.29437791562</v>
      </c>
    </row>
    <row r="857" spans="1:6" x14ac:dyDescent="0.25">
      <c r="A857" t="s">
        <v>130</v>
      </c>
      <c r="B857" t="s">
        <v>10</v>
      </c>
      <c r="C857" t="s">
        <v>28</v>
      </c>
      <c r="D857" t="s">
        <v>42</v>
      </c>
      <c r="E857">
        <v>2030</v>
      </c>
      <c r="F857">
        <v>50227.167852541468</v>
      </c>
    </row>
    <row r="858" spans="1:6" x14ac:dyDescent="0.25">
      <c r="A858" t="s">
        <v>130</v>
      </c>
      <c r="B858" t="s">
        <v>10</v>
      </c>
      <c r="C858" t="s">
        <v>28</v>
      </c>
      <c r="D858" t="s">
        <v>29</v>
      </c>
      <c r="E858">
        <v>2050</v>
      </c>
      <c r="F858">
        <v>307470.55071854044</v>
      </c>
    </row>
    <row r="859" spans="1:6" x14ac:dyDescent="0.25">
      <c r="A859" t="s">
        <v>130</v>
      </c>
      <c r="B859" t="s">
        <v>10</v>
      </c>
      <c r="C859" t="s">
        <v>28</v>
      </c>
      <c r="D859" t="s">
        <v>30</v>
      </c>
      <c r="E859">
        <v>2050</v>
      </c>
      <c r="F859">
        <v>280672.65868343826</v>
      </c>
    </row>
    <row r="860" spans="1:6" x14ac:dyDescent="0.25">
      <c r="A860" t="s">
        <v>130</v>
      </c>
      <c r="B860" t="s">
        <v>10</v>
      </c>
      <c r="C860" t="s">
        <v>28</v>
      </c>
      <c r="D860" t="s">
        <v>31</v>
      </c>
      <c r="E860">
        <v>2050</v>
      </c>
      <c r="F860">
        <v>128347.79869443661</v>
      </c>
    </row>
    <row r="861" spans="1:6" x14ac:dyDescent="0.25">
      <c r="A861" t="s">
        <v>130</v>
      </c>
      <c r="B861" t="s">
        <v>10</v>
      </c>
      <c r="C861" t="s">
        <v>28</v>
      </c>
      <c r="D861" t="s">
        <v>32</v>
      </c>
      <c r="E861">
        <v>2050</v>
      </c>
      <c r="F861">
        <v>126627.09194270898</v>
      </c>
    </row>
    <row r="862" spans="1:6" x14ac:dyDescent="0.25">
      <c r="A862" t="s">
        <v>130</v>
      </c>
      <c r="B862" t="s">
        <v>10</v>
      </c>
      <c r="C862" t="s">
        <v>28</v>
      </c>
      <c r="D862" t="s">
        <v>33</v>
      </c>
      <c r="E862">
        <v>2050</v>
      </c>
      <c r="F862">
        <v>62368.567673274578</v>
      </c>
    </row>
    <row r="863" spans="1:6" x14ac:dyDescent="0.25">
      <c r="A863" t="s">
        <v>130</v>
      </c>
      <c r="B863" t="s">
        <v>10</v>
      </c>
      <c r="C863" t="s">
        <v>28</v>
      </c>
      <c r="D863" t="s">
        <v>34</v>
      </c>
      <c r="E863">
        <v>2050</v>
      </c>
      <c r="F863">
        <v>0</v>
      </c>
    </row>
    <row r="864" spans="1:6" x14ac:dyDescent="0.25">
      <c r="A864" t="s">
        <v>130</v>
      </c>
      <c r="B864" t="s">
        <v>10</v>
      </c>
      <c r="C864" t="s">
        <v>28</v>
      </c>
      <c r="D864" t="s">
        <v>35</v>
      </c>
      <c r="E864">
        <v>2050</v>
      </c>
      <c r="F864">
        <v>0</v>
      </c>
    </row>
    <row r="865" spans="1:6" x14ac:dyDescent="0.25">
      <c r="A865" t="s">
        <v>130</v>
      </c>
      <c r="B865" t="s">
        <v>10</v>
      </c>
      <c r="C865" t="s">
        <v>28</v>
      </c>
      <c r="D865" t="s">
        <v>36</v>
      </c>
      <c r="E865">
        <v>2050</v>
      </c>
      <c r="F865">
        <v>0</v>
      </c>
    </row>
    <row r="866" spans="1:6" x14ac:dyDescent="0.25">
      <c r="A866" t="s">
        <v>130</v>
      </c>
      <c r="B866" t="s">
        <v>10</v>
      </c>
      <c r="C866" t="s">
        <v>28</v>
      </c>
      <c r="D866" t="s">
        <v>37</v>
      </c>
      <c r="E866">
        <v>2050</v>
      </c>
      <c r="F866">
        <v>0</v>
      </c>
    </row>
    <row r="867" spans="1:6" x14ac:dyDescent="0.25">
      <c r="A867" t="s">
        <v>130</v>
      </c>
      <c r="B867" t="s">
        <v>10</v>
      </c>
      <c r="C867" t="s">
        <v>28</v>
      </c>
      <c r="D867" t="s">
        <v>38</v>
      </c>
      <c r="E867">
        <v>2050</v>
      </c>
      <c r="F867">
        <v>490824.54885344987</v>
      </c>
    </row>
    <row r="868" spans="1:6" x14ac:dyDescent="0.25">
      <c r="A868" t="s">
        <v>130</v>
      </c>
      <c r="B868" t="s">
        <v>10</v>
      </c>
      <c r="C868" t="s">
        <v>28</v>
      </c>
      <c r="D868" t="s">
        <v>39</v>
      </c>
      <c r="E868">
        <v>2050</v>
      </c>
      <c r="F868">
        <v>36670.799626981883</v>
      </c>
    </row>
    <row r="869" spans="1:6" x14ac:dyDescent="0.25">
      <c r="A869" t="s">
        <v>130</v>
      </c>
      <c r="B869" t="s">
        <v>10</v>
      </c>
      <c r="C869" t="s">
        <v>28</v>
      </c>
      <c r="D869" t="s">
        <v>40</v>
      </c>
      <c r="E869">
        <v>2050</v>
      </c>
      <c r="F869">
        <v>33849.968886444818</v>
      </c>
    </row>
    <row r="870" spans="1:6" x14ac:dyDescent="0.25">
      <c r="A870" t="s">
        <v>130</v>
      </c>
      <c r="B870" t="s">
        <v>10</v>
      </c>
      <c r="C870" t="s">
        <v>28</v>
      </c>
      <c r="D870" t="s">
        <v>41</v>
      </c>
      <c r="E870">
        <v>2050</v>
      </c>
      <c r="F870">
        <v>267978.92035102146</v>
      </c>
    </row>
    <row r="871" spans="1:6" x14ac:dyDescent="0.25">
      <c r="A871" t="s">
        <v>130</v>
      </c>
      <c r="B871" t="s">
        <v>10</v>
      </c>
      <c r="C871" t="s">
        <v>28</v>
      </c>
      <c r="D871" t="s">
        <v>42</v>
      </c>
      <c r="E871">
        <v>2050</v>
      </c>
      <c r="F871">
        <v>52185.36869993576</v>
      </c>
    </row>
    <row r="872" spans="1:6" x14ac:dyDescent="0.25">
      <c r="A872" t="s">
        <v>130</v>
      </c>
      <c r="B872" t="s">
        <v>10</v>
      </c>
      <c r="C872" t="s">
        <v>43</v>
      </c>
      <c r="D872" t="s">
        <v>29</v>
      </c>
      <c r="E872">
        <v>2019</v>
      </c>
      <c r="F872">
        <v>244164.92559492172</v>
      </c>
    </row>
    <row r="873" spans="1:6" x14ac:dyDescent="0.25">
      <c r="A873" t="s">
        <v>130</v>
      </c>
      <c r="B873" t="s">
        <v>10</v>
      </c>
      <c r="C873" t="s">
        <v>43</v>
      </c>
      <c r="D873" t="s">
        <v>30</v>
      </c>
      <c r="E873">
        <v>2019</v>
      </c>
      <c r="F873">
        <v>222884.49629995148</v>
      </c>
    </row>
    <row r="874" spans="1:6" x14ac:dyDescent="0.25">
      <c r="A874" t="s">
        <v>130</v>
      </c>
      <c r="B874" t="s">
        <v>10</v>
      </c>
      <c r="C874" t="s">
        <v>43</v>
      </c>
      <c r="D874" t="s">
        <v>31</v>
      </c>
      <c r="E874">
        <v>2019</v>
      </c>
      <c r="F874">
        <v>101922.05609696274</v>
      </c>
    </row>
    <row r="875" spans="1:6" x14ac:dyDescent="0.25">
      <c r="A875" t="s">
        <v>130</v>
      </c>
      <c r="B875" t="s">
        <v>10</v>
      </c>
      <c r="C875" t="s">
        <v>43</v>
      </c>
      <c r="D875" t="s">
        <v>32</v>
      </c>
      <c r="E875">
        <v>2019</v>
      </c>
      <c r="F875">
        <v>100555.62853170674</v>
      </c>
    </row>
    <row r="876" spans="1:6" x14ac:dyDescent="0.25">
      <c r="A876" t="s">
        <v>130</v>
      </c>
      <c r="B876" t="s">
        <v>10</v>
      </c>
      <c r="C876" t="s">
        <v>43</v>
      </c>
      <c r="D876" t="s">
        <v>33</v>
      </c>
      <c r="E876">
        <v>2019</v>
      </c>
      <c r="F876">
        <v>49527.399127557059</v>
      </c>
    </row>
    <row r="877" spans="1:6" x14ac:dyDescent="0.25">
      <c r="A877" t="s">
        <v>130</v>
      </c>
      <c r="B877" t="s">
        <v>10</v>
      </c>
      <c r="C877" t="s">
        <v>43</v>
      </c>
      <c r="D877" t="s">
        <v>34</v>
      </c>
      <c r="E877">
        <v>2019</v>
      </c>
      <c r="F877">
        <v>0</v>
      </c>
    </row>
    <row r="878" spans="1:6" x14ac:dyDescent="0.25">
      <c r="A878" t="s">
        <v>130</v>
      </c>
      <c r="B878" t="s">
        <v>10</v>
      </c>
      <c r="C878" t="s">
        <v>43</v>
      </c>
      <c r="D878" t="s">
        <v>35</v>
      </c>
      <c r="E878">
        <v>2019</v>
      </c>
      <c r="F878">
        <v>0</v>
      </c>
    </row>
    <row r="879" spans="1:6" x14ac:dyDescent="0.25">
      <c r="A879" t="s">
        <v>130</v>
      </c>
      <c r="B879" t="s">
        <v>10</v>
      </c>
      <c r="C879" t="s">
        <v>43</v>
      </c>
      <c r="D879" t="s">
        <v>36</v>
      </c>
      <c r="E879">
        <v>2019</v>
      </c>
      <c r="F879">
        <v>0</v>
      </c>
    </row>
    <row r="880" spans="1:6" x14ac:dyDescent="0.25">
      <c r="A880" t="s">
        <v>130</v>
      </c>
      <c r="B880" t="s">
        <v>10</v>
      </c>
      <c r="C880" t="s">
        <v>43</v>
      </c>
      <c r="D880" t="s">
        <v>37</v>
      </c>
      <c r="E880">
        <v>2019</v>
      </c>
      <c r="F880">
        <v>0</v>
      </c>
    </row>
    <row r="881" spans="1:6" x14ac:dyDescent="0.25">
      <c r="A881" t="s">
        <v>130</v>
      </c>
      <c r="B881" t="s">
        <v>10</v>
      </c>
      <c r="C881" t="s">
        <v>43</v>
      </c>
      <c r="D881" t="s">
        <v>38</v>
      </c>
      <c r="E881">
        <v>2019</v>
      </c>
      <c r="F881">
        <v>389767.86287629709</v>
      </c>
    </row>
    <row r="882" spans="1:6" x14ac:dyDescent="0.25">
      <c r="A882" t="s">
        <v>130</v>
      </c>
      <c r="B882" t="s">
        <v>10</v>
      </c>
      <c r="C882" t="s">
        <v>43</v>
      </c>
      <c r="D882" t="s">
        <v>39</v>
      </c>
      <c r="E882">
        <v>2019</v>
      </c>
      <c r="F882">
        <v>29120.587456275069</v>
      </c>
    </row>
    <row r="883" spans="1:6" x14ac:dyDescent="0.25">
      <c r="A883" t="s">
        <v>130</v>
      </c>
      <c r="B883" t="s">
        <v>10</v>
      </c>
      <c r="C883" t="s">
        <v>43</v>
      </c>
      <c r="D883" t="s">
        <v>40</v>
      </c>
      <c r="E883">
        <v>2019</v>
      </c>
      <c r="F883">
        <v>26880.542267330831</v>
      </c>
    </row>
    <row r="884" spans="1:6" x14ac:dyDescent="0.25">
      <c r="A884" t="s">
        <v>130</v>
      </c>
      <c r="B884" t="s">
        <v>10</v>
      </c>
      <c r="C884" t="s">
        <v>43</v>
      </c>
      <c r="D884" t="s">
        <v>41</v>
      </c>
      <c r="E884">
        <v>2019</v>
      </c>
      <c r="F884">
        <v>212804.29294970242</v>
      </c>
    </row>
    <row r="885" spans="1:6" x14ac:dyDescent="0.25">
      <c r="A885" t="s">
        <v>130</v>
      </c>
      <c r="B885" t="s">
        <v>10</v>
      </c>
      <c r="C885" t="s">
        <v>43</v>
      </c>
      <c r="D885" t="s">
        <v>42</v>
      </c>
      <c r="E885">
        <v>2019</v>
      </c>
      <c r="F885">
        <v>41440.835995468369</v>
      </c>
    </row>
    <row r="886" spans="1:6" x14ac:dyDescent="0.25">
      <c r="A886" t="s">
        <v>130</v>
      </c>
      <c r="B886" t="s">
        <v>10</v>
      </c>
      <c r="C886" t="s">
        <v>43</v>
      </c>
      <c r="D886" t="s">
        <v>29</v>
      </c>
      <c r="E886">
        <v>2030</v>
      </c>
      <c r="F886">
        <v>256234.83946537593</v>
      </c>
    </row>
    <row r="887" spans="1:6" x14ac:dyDescent="0.25">
      <c r="A887" t="s">
        <v>130</v>
      </c>
      <c r="B887" t="s">
        <v>10</v>
      </c>
      <c r="C887" t="s">
        <v>43</v>
      </c>
      <c r="D887" t="s">
        <v>30</v>
      </c>
      <c r="E887">
        <v>2030</v>
      </c>
      <c r="F887">
        <v>233902.44520004498</v>
      </c>
    </row>
    <row r="888" spans="1:6" x14ac:dyDescent="0.25">
      <c r="A888" t="s">
        <v>130</v>
      </c>
      <c r="B888" t="s">
        <v>10</v>
      </c>
      <c r="C888" t="s">
        <v>43</v>
      </c>
      <c r="D888" t="s">
        <v>31</v>
      </c>
      <c r="E888">
        <v>2030</v>
      </c>
      <c r="F888">
        <v>106960.41463921656</v>
      </c>
    </row>
    <row r="889" spans="1:6" x14ac:dyDescent="0.25">
      <c r="A889" t="s">
        <v>130</v>
      </c>
      <c r="B889" t="s">
        <v>10</v>
      </c>
      <c r="C889" t="s">
        <v>43</v>
      </c>
      <c r="D889" t="s">
        <v>32</v>
      </c>
      <c r="E889">
        <v>2030</v>
      </c>
      <c r="F889">
        <v>105526.43984954793</v>
      </c>
    </row>
    <row r="890" spans="1:6" x14ac:dyDescent="0.25">
      <c r="A890" t="s">
        <v>130</v>
      </c>
      <c r="B890" t="s">
        <v>10</v>
      </c>
      <c r="C890" t="s">
        <v>43</v>
      </c>
      <c r="D890" t="s">
        <v>33</v>
      </c>
      <c r="E890">
        <v>2030</v>
      </c>
      <c r="F890">
        <v>51975.70917962808</v>
      </c>
    </row>
    <row r="891" spans="1:6" x14ac:dyDescent="0.25">
      <c r="A891" t="s">
        <v>130</v>
      </c>
      <c r="B891" t="s">
        <v>10</v>
      </c>
      <c r="C891" t="s">
        <v>43</v>
      </c>
      <c r="D891" t="s">
        <v>34</v>
      </c>
      <c r="E891">
        <v>2030</v>
      </c>
      <c r="F891">
        <v>0</v>
      </c>
    </row>
    <row r="892" spans="1:6" x14ac:dyDescent="0.25">
      <c r="A892" t="s">
        <v>130</v>
      </c>
      <c r="B892" t="s">
        <v>10</v>
      </c>
      <c r="C892" t="s">
        <v>43</v>
      </c>
      <c r="D892" t="s">
        <v>35</v>
      </c>
      <c r="E892">
        <v>2030</v>
      </c>
      <c r="F892">
        <v>0</v>
      </c>
    </row>
    <row r="893" spans="1:6" x14ac:dyDescent="0.25">
      <c r="A893" t="s">
        <v>130</v>
      </c>
      <c r="B893" t="s">
        <v>10</v>
      </c>
      <c r="C893" t="s">
        <v>43</v>
      </c>
      <c r="D893" t="s">
        <v>36</v>
      </c>
      <c r="E893">
        <v>2030</v>
      </c>
      <c r="F893">
        <v>0</v>
      </c>
    </row>
    <row r="894" spans="1:6" x14ac:dyDescent="0.25">
      <c r="A894" t="s">
        <v>130</v>
      </c>
      <c r="B894" t="s">
        <v>10</v>
      </c>
      <c r="C894" t="s">
        <v>43</v>
      </c>
      <c r="D894" t="s">
        <v>37</v>
      </c>
      <c r="E894">
        <v>2030</v>
      </c>
      <c r="F894">
        <v>0</v>
      </c>
    </row>
    <row r="895" spans="1:6" x14ac:dyDescent="0.25">
      <c r="A895" t="s">
        <v>130</v>
      </c>
      <c r="B895" t="s">
        <v>10</v>
      </c>
      <c r="C895" t="s">
        <v>43</v>
      </c>
      <c r="D895" t="s">
        <v>38</v>
      </c>
      <c r="E895">
        <v>2030</v>
      </c>
      <c r="F895">
        <v>409035.43180711387</v>
      </c>
    </row>
    <row r="896" spans="1:6" x14ac:dyDescent="0.25">
      <c r="A896" t="s">
        <v>130</v>
      </c>
      <c r="B896" t="s">
        <v>10</v>
      </c>
      <c r="C896" t="s">
        <v>43</v>
      </c>
      <c r="D896" t="s">
        <v>39</v>
      </c>
      <c r="E896">
        <v>2030</v>
      </c>
      <c r="F896">
        <v>30560.118468347584</v>
      </c>
    </row>
    <row r="897" spans="1:6" x14ac:dyDescent="0.25">
      <c r="A897" t="s">
        <v>130</v>
      </c>
      <c r="B897" t="s">
        <v>10</v>
      </c>
      <c r="C897" t="s">
        <v>43</v>
      </c>
      <c r="D897" t="s">
        <v>40</v>
      </c>
      <c r="E897">
        <v>2030</v>
      </c>
      <c r="F897">
        <v>28209.340124628539</v>
      </c>
    </row>
    <row r="898" spans="1:6" x14ac:dyDescent="0.25">
      <c r="A898" t="s">
        <v>130</v>
      </c>
      <c r="B898" t="s">
        <v>10</v>
      </c>
      <c r="C898" t="s">
        <v>43</v>
      </c>
      <c r="D898" t="s">
        <v>41</v>
      </c>
      <c r="E898">
        <v>2030</v>
      </c>
      <c r="F898">
        <v>223323.94265330929</v>
      </c>
    </row>
    <row r="899" spans="1:6" x14ac:dyDescent="0.25">
      <c r="A899" t="s">
        <v>130</v>
      </c>
      <c r="B899" t="s">
        <v>10</v>
      </c>
      <c r="C899" t="s">
        <v>43</v>
      </c>
      <c r="D899" t="s">
        <v>42</v>
      </c>
      <c r="E899">
        <v>2030</v>
      </c>
      <c r="F899">
        <v>43489.39935880233</v>
      </c>
    </row>
    <row r="900" spans="1:6" x14ac:dyDescent="0.25">
      <c r="A900" t="s">
        <v>130</v>
      </c>
      <c r="B900" t="s">
        <v>10</v>
      </c>
      <c r="C900" t="s">
        <v>43</v>
      </c>
      <c r="D900" t="s">
        <v>29</v>
      </c>
      <c r="E900">
        <v>2050</v>
      </c>
      <c r="F900">
        <v>268249.01834925939</v>
      </c>
    </row>
    <row r="901" spans="1:6" x14ac:dyDescent="0.25">
      <c r="A901" t="s">
        <v>130</v>
      </c>
      <c r="B901" t="s">
        <v>10</v>
      </c>
      <c r="C901" t="s">
        <v>43</v>
      </c>
      <c r="D901" t="s">
        <v>30</v>
      </c>
      <c r="E901">
        <v>2050</v>
      </c>
      <c r="F901">
        <v>244869.51675001203</v>
      </c>
    </row>
    <row r="902" spans="1:6" x14ac:dyDescent="0.25">
      <c r="A902" t="s">
        <v>130</v>
      </c>
      <c r="B902" t="s">
        <v>10</v>
      </c>
      <c r="C902" t="s">
        <v>43</v>
      </c>
      <c r="D902" t="s">
        <v>31</v>
      </c>
      <c r="E902">
        <v>2050</v>
      </c>
      <c r="F902">
        <v>111975.50765955324</v>
      </c>
    </row>
    <row r="903" spans="1:6" x14ac:dyDescent="0.25">
      <c r="A903" t="s">
        <v>130</v>
      </c>
      <c r="B903" t="s">
        <v>10</v>
      </c>
      <c r="C903" t="s">
        <v>43</v>
      </c>
      <c r="D903" t="s">
        <v>32</v>
      </c>
      <c r="E903">
        <v>2050</v>
      </c>
      <c r="F903">
        <v>110474.29755686472</v>
      </c>
    </row>
    <row r="904" spans="1:6" x14ac:dyDescent="0.25">
      <c r="A904" t="s">
        <v>130</v>
      </c>
      <c r="B904" t="s">
        <v>10</v>
      </c>
      <c r="C904" t="s">
        <v>43</v>
      </c>
      <c r="D904" t="s">
        <v>33</v>
      </c>
      <c r="E904">
        <v>2050</v>
      </c>
      <c r="F904">
        <v>54412.71372203785</v>
      </c>
    </row>
    <row r="905" spans="1:6" x14ac:dyDescent="0.25">
      <c r="A905" t="s">
        <v>130</v>
      </c>
      <c r="B905" t="s">
        <v>10</v>
      </c>
      <c r="C905" t="s">
        <v>43</v>
      </c>
      <c r="D905" t="s">
        <v>34</v>
      </c>
      <c r="E905">
        <v>2050</v>
      </c>
      <c r="F905">
        <v>0</v>
      </c>
    </row>
    <row r="906" spans="1:6" x14ac:dyDescent="0.25">
      <c r="A906" t="s">
        <v>130</v>
      </c>
      <c r="B906" t="s">
        <v>10</v>
      </c>
      <c r="C906" t="s">
        <v>43</v>
      </c>
      <c r="D906" t="s">
        <v>35</v>
      </c>
      <c r="E906">
        <v>2050</v>
      </c>
      <c r="F906">
        <v>0</v>
      </c>
    </row>
    <row r="907" spans="1:6" x14ac:dyDescent="0.25">
      <c r="A907" t="s">
        <v>130</v>
      </c>
      <c r="B907" t="s">
        <v>10</v>
      </c>
      <c r="C907" t="s">
        <v>43</v>
      </c>
      <c r="D907" t="s">
        <v>36</v>
      </c>
      <c r="E907">
        <v>2050</v>
      </c>
      <c r="F907">
        <v>0</v>
      </c>
    </row>
    <row r="908" spans="1:6" x14ac:dyDescent="0.25">
      <c r="A908" t="s">
        <v>130</v>
      </c>
      <c r="B908" t="s">
        <v>10</v>
      </c>
      <c r="C908" t="s">
        <v>43</v>
      </c>
      <c r="D908" t="s">
        <v>37</v>
      </c>
      <c r="E908">
        <v>2050</v>
      </c>
      <c r="F908">
        <v>0</v>
      </c>
    </row>
    <row r="909" spans="1:6" x14ac:dyDescent="0.25">
      <c r="A909" t="s">
        <v>130</v>
      </c>
      <c r="B909" t="s">
        <v>10</v>
      </c>
      <c r="C909" t="s">
        <v>43</v>
      </c>
      <c r="D909" t="s">
        <v>38</v>
      </c>
      <c r="E909">
        <v>2050</v>
      </c>
      <c r="F909">
        <v>428214.02929147833</v>
      </c>
    </row>
    <row r="910" spans="1:6" x14ac:dyDescent="0.25">
      <c r="A910" t="s">
        <v>130</v>
      </c>
      <c r="B910" t="s">
        <v>10</v>
      </c>
      <c r="C910" t="s">
        <v>43</v>
      </c>
      <c r="D910" t="s">
        <v>39</v>
      </c>
      <c r="E910">
        <v>2050</v>
      </c>
      <c r="F910">
        <v>31993.002188443785</v>
      </c>
    </row>
    <row r="911" spans="1:6" x14ac:dyDescent="0.25">
      <c r="A911" t="s">
        <v>130</v>
      </c>
      <c r="B911" t="s">
        <v>10</v>
      </c>
      <c r="C911" t="s">
        <v>43</v>
      </c>
      <c r="D911" t="s">
        <v>40</v>
      </c>
      <c r="E911">
        <v>2050</v>
      </c>
      <c r="F911">
        <v>29532.002020101954</v>
      </c>
    </row>
    <row r="912" spans="1:6" x14ac:dyDescent="0.25">
      <c r="A912" t="s">
        <v>130</v>
      </c>
      <c r="B912" t="s">
        <v>10</v>
      </c>
      <c r="C912" t="s">
        <v>43</v>
      </c>
      <c r="D912" t="s">
        <v>41</v>
      </c>
      <c r="E912">
        <v>2050</v>
      </c>
      <c r="F912">
        <v>233795.01599247381</v>
      </c>
    </row>
    <row r="913" spans="1:6" x14ac:dyDescent="0.25">
      <c r="A913" t="s">
        <v>130</v>
      </c>
      <c r="B913" t="s">
        <v>10</v>
      </c>
      <c r="C913" t="s">
        <v>43</v>
      </c>
      <c r="D913" t="s">
        <v>42</v>
      </c>
      <c r="E913">
        <v>2050</v>
      </c>
      <c r="F913">
        <v>45528.503114323845</v>
      </c>
    </row>
    <row r="914" spans="1:6" x14ac:dyDescent="0.25">
      <c r="A914" t="s">
        <v>130</v>
      </c>
      <c r="B914" t="s">
        <v>11</v>
      </c>
      <c r="C914" t="s">
        <v>28</v>
      </c>
      <c r="D914" t="s">
        <v>44</v>
      </c>
      <c r="E914">
        <v>2019</v>
      </c>
      <c r="F914">
        <v>2534442.072977222</v>
      </c>
    </row>
    <row r="915" spans="1:6" x14ac:dyDescent="0.25">
      <c r="A915" t="s">
        <v>130</v>
      </c>
      <c r="B915" t="s">
        <v>11</v>
      </c>
      <c r="C915" t="s">
        <v>28</v>
      </c>
      <c r="D915" t="s">
        <v>45</v>
      </c>
      <c r="E915">
        <v>2019</v>
      </c>
      <c r="F915">
        <v>4066864.6068164087</v>
      </c>
    </row>
    <row r="916" spans="1:6" x14ac:dyDescent="0.25">
      <c r="A916" t="s">
        <v>130</v>
      </c>
      <c r="B916" t="s">
        <v>11</v>
      </c>
      <c r="C916" t="s">
        <v>28</v>
      </c>
      <c r="D916" t="s">
        <v>46</v>
      </c>
      <c r="E916">
        <v>2019</v>
      </c>
      <c r="F916">
        <v>4103.8061780475591</v>
      </c>
    </row>
    <row r="917" spans="1:6" x14ac:dyDescent="0.25">
      <c r="A917" t="s">
        <v>130</v>
      </c>
      <c r="B917" t="s">
        <v>11</v>
      </c>
      <c r="C917" t="s">
        <v>28</v>
      </c>
      <c r="D917" t="s">
        <v>47</v>
      </c>
      <c r="E917">
        <v>2019</v>
      </c>
      <c r="F917">
        <v>1460182.5874658169</v>
      </c>
    </row>
    <row r="918" spans="1:6" x14ac:dyDescent="0.25">
      <c r="A918" t="s">
        <v>130</v>
      </c>
      <c r="B918" t="s">
        <v>11</v>
      </c>
      <c r="C918" t="s">
        <v>28</v>
      </c>
      <c r="D918" t="s">
        <v>48</v>
      </c>
      <c r="E918">
        <v>2019</v>
      </c>
      <c r="F918">
        <v>393543.64426779439</v>
      </c>
    </row>
    <row r="919" spans="1:6" x14ac:dyDescent="0.25">
      <c r="A919" t="s">
        <v>130</v>
      </c>
      <c r="B919" t="s">
        <v>11</v>
      </c>
      <c r="C919" t="s">
        <v>28</v>
      </c>
      <c r="D919" t="s">
        <v>49</v>
      </c>
      <c r="E919">
        <v>2019</v>
      </c>
      <c r="F919">
        <v>716103.75203569303</v>
      </c>
    </row>
    <row r="920" spans="1:6" x14ac:dyDescent="0.25">
      <c r="A920" t="s">
        <v>130</v>
      </c>
      <c r="B920" t="s">
        <v>11</v>
      </c>
      <c r="C920" t="s">
        <v>28</v>
      </c>
      <c r="D920" t="s">
        <v>50</v>
      </c>
      <c r="E920">
        <v>2019</v>
      </c>
      <c r="F920">
        <v>671194.67155029252</v>
      </c>
    </row>
    <row r="921" spans="1:6" x14ac:dyDescent="0.25">
      <c r="A921" t="s">
        <v>130</v>
      </c>
      <c r="B921" t="s">
        <v>11</v>
      </c>
      <c r="C921" t="s">
        <v>28</v>
      </c>
      <c r="D921" t="s">
        <v>51</v>
      </c>
      <c r="E921">
        <v>2019</v>
      </c>
      <c r="F921">
        <v>0</v>
      </c>
    </row>
    <row r="922" spans="1:6" x14ac:dyDescent="0.25">
      <c r="A922" t="s">
        <v>130</v>
      </c>
      <c r="B922" t="s">
        <v>11</v>
      </c>
      <c r="C922" t="s">
        <v>28</v>
      </c>
      <c r="D922" t="s">
        <v>52</v>
      </c>
      <c r="E922">
        <v>2019</v>
      </c>
      <c r="F922">
        <v>53138.892747161146</v>
      </c>
    </row>
    <row r="923" spans="1:6" x14ac:dyDescent="0.25">
      <c r="A923" t="s">
        <v>130</v>
      </c>
      <c r="B923" t="s">
        <v>11</v>
      </c>
      <c r="C923" t="s">
        <v>28</v>
      </c>
      <c r="D923" t="s">
        <v>29</v>
      </c>
      <c r="E923">
        <v>2019</v>
      </c>
      <c r="F923">
        <v>2840.1853290986264</v>
      </c>
    </row>
    <row r="924" spans="1:6" x14ac:dyDescent="0.25">
      <c r="A924" t="s">
        <v>130</v>
      </c>
      <c r="B924" t="s">
        <v>11</v>
      </c>
      <c r="C924" t="s">
        <v>28</v>
      </c>
      <c r="D924" t="s">
        <v>53</v>
      </c>
      <c r="E924">
        <v>2019</v>
      </c>
      <c r="F924">
        <v>75746.163899662715</v>
      </c>
    </row>
    <row r="925" spans="1:6" x14ac:dyDescent="0.25">
      <c r="A925" t="s">
        <v>130</v>
      </c>
      <c r="B925" t="s">
        <v>11</v>
      </c>
      <c r="C925" t="s">
        <v>28</v>
      </c>
      <c r="D925" t="s">
        <v>54</v>
      </c>
      <c r="E925">
        <v>2019</v>
      </c>
      <c r="F925">
        <v>314821.43493156106</v>
      </c>
    </row>
    <row r="926" spans="1:6" x14ac:dyDescent="0.25">
      <c r="A926" t="s">
        <v>130</v>
      </c>
      <c r="B926" t="s">
        <v>11</v>
      </c>
      <c r="C926" t="s">
        <v>28</v>
      </c>
      <c r="D926" t="s">
        <v>55</v>
      </c>
      <c r="E926">
        <v>2019</v>
      </c>
      <c r="F926">
        <v>4101.0489241972273</v>
      </c>
    </row>
    <row r="927" spans="1:6" x14ac:dyDescent="0.25">
      <c r="A927" t="s">
        <v>130</v>
      </c>
      <c r="B927" t="s">
        <v>11</v>
      </c>
      <c r="C927" t="s">
        <v>28</v>
      </c>
      <c r="D927" t="s">
        <v>56</v>
      </c>
      <c r="E927">
        <v>2019</v>
      </c>
      <c r="F927">
        <v>42.099811904105366</v>
      </c>
    </row>
    <row r="928" spans="1:6" x14ac:dyDescent="0.25">
      <c r="A928" t="s">
        <v>130</v>
      </c>
      <c r="B928" t="s">
        <v>11</v>
      </c>
      <c r="C928" t="s">
        <v>28</v>
      </c>
      <c r="D928" t="s">
        <v>57</v>
      </c>
      <c r="E928">
        <v>2019</v>
      </c>
      <c r="F928">
        <v>114193.60000000001</v>
      </c>
    </row>
    <row r="929" spans="1:6" x14ac:dyDescent="0.25">
      <c r="A929" t="s">
        <v>130</v>
      </c>
      <c r="B929" t="s">
        <v>11</v>
      </c>
      <c r="C929" t="s">
        <v>28</v>
      </c>
      <c r="D929" t="s">
        <v>35</v>
      </c>
      <c r="E929">
        <v>2019</v>
      </c>
      <c r="F929">
        <v>0</v>
      </c>
    </row>
    <row r="930" spans="1:6" x14ac:dyDescent="0.25">
      <c r="A930" t="s">
        <v>130</v>
      </c>
      <c r="B930" t="s">
        <v>11</v>
      </c>
      <c r="C930" t="s">
        <v>28</v>
      </c>
      <c r="D930" t="s">
        <v>36</v>
      </c>
      <c r="E930">
        <v>2019</v>
      </c>
      <c r="F930">
        <v>0</v>
      </c>
    </row>
    <row r="931" spans="1:6" x14ac:dyDescent="0.25">
      <c r="A931" t="s">
        <v>130</v>
      </c>
      <c r="B931" t="s">
        <v>11</v>
      </c>
      <c r="C931" t="s">
        <v>28</v>
      </c>
      <c r="D931" t="s">
        <v>44</v>
      </c>
      <c r="E931">
        <v>2030</v>
      </c>
      <c r="F931">
        <v>7989661.5832169671</v>
      </c>
    </row>
    <row r="932" spans="1:6" x14ac:dyDescent="0.25">
      <c r="A932" t="s">
        <v>130</v>
      </c>
      <c r="B932" t="s">
        <v>11</v>
      </c>
      <c r="C932" t="s">
        <v>28</v>
      </c>
      <c r="D932" t="s">
        <v>45</v>
      </c>
      <c r="E932">
        <v>2030</v>
      </c>
      <c r="F932">
        <v>9867457.5006151944</v>
      </c>
    </row>
    <row r="933" spans="1:6" x14ac:dyDescent="0.25">
      <c r="A933" t="s">
        <v>130</v>
      </c>
      <c r="B933" t="s">
        <v>11</v>
      </c>
      <c r="C933" t="s">
        <v>28</v>
      </c>
      <c r="D933" t="s">
        <v>46</v>
      </c>
      <c r="E933">
        <v>2030</v>
      </c>
      <c r="F933">
        <v>4171.3630677727415</v>
      </c>
    </row>
    <row r="934" spans="1:6" x14ac:dyDescent="0.25">
      <c r="A934" t="s">
        <v>130</v>
      </c>
      <c r="B934" t="s">
        <v>11</v>
      </c>
      <c r="C934" t="s">
        <v>28</v>
      </c>
      <c r="D934" t="s">
        <v>47</v>
      </c>
      <c r="E934">
        <v>2030</v>
      </c>
      <c r="F934">
        <v>1507101.1523820646</v>
      </c>
    </row>
    <row r="935" spans="1:6" x14ac:dyDescent="0.25">
      <c r="A935" t="s">
        <v>130</v>
      </c>
      <c r="B935" t="s">
        <v>11</v>
      </c>
      <c r="C935" t="s">
        <v>28</v>
      </c>
      <c r="D935" t="s">
        <v>48</v>
      </c>
      <c r="E935">
        <v>2030</v>
      </c>
      <c r="F935">
        <v>195082.24112879002</v>
      </c>
    </row>
    <row r="936" spans="1:6" x14ac:dyDescent="0.25">
      <c r="A936" t="s">
        <v>130</v>
      </c>
      <c r="B936" t="s">
        <v>11</v>
      </c>
      <c r="C936" t="s">
        <v>28</v>
      </c>
      <c r="D936" t="s">
        <v>49</v>
      </c>
      <c r="E936">
        <v>2030</v>
      </c>
      <c r="F936">
        <v>523057.13098607323</v>
      </c>
    </row>
    <row r="937" spans="1:6" x14ac:dyDescent="0.25">
      <c r="A937" t="s">
        <v>130</v>
      </c>
      <c r="B937" t="s">
        <v>11</v>
      </c>
      <c r="C937" t="s">
        <v>28</v>
      </c>
      <c r="D937" t="s">
        <v>50</v>
      </c>
      <c r="E937">
        <v>2030</v>
      </c>
      <c r="F937">
        <v>1326462.9092294232</v>
      </c>
    </row>
    <row r="938" spans="1:6" x14ac:dyDescent="0.25">
      <c r="A938" t="s">
        <v>130</v>
      </c>
      <c r="B938" t="s">
        <v>11</v>
      </c>
      <c r="C938" t="s">
        <v>28</v>
      </c>
      <c r="D938" t="s">
        <v>51</v>
      </c>
      <c r="E938">
        <v>2030</v>
      </c>
      <c r="F938">
        <v>0</v>
      </c>
    </row>
    <row r="939" spans="1:6" x14ac:dyDescent="0.25">
      <c r="A939" t="s">
        <v>130</v>
      </c>
      <c r="B939" t="s">
        <v>11</v>
      </c>
      <c r="C939" t="s">
        <v>28</v>
      </c>
      <c r="D939" t="s">
        <v>52</v>
      </c>
      <c r="E939">
        <v>2030</v>
      </c>
      <c r="F939">
        <v>52868.994212030084</v>
      </c>
    </row>
    <row r="940" spans="1:6" x14ac:dyDescent="0.25">
      <c r="A940" t="s">
        <v>130</v>
      </c>
      <c r="B940" t="s">
        <v>11</v>
      </c>
      <c r="C940" t="s">
        <v>28</v>
      </c>
      <c r="D940" t="s">
        <v>29</v>
      </c>
      <c r="E940">
        <v>2030</v>
      </c>
      <c r="F940">
        <v>2833.9333697705197</v>
      </c>
    </row>
    <row r="941" spans="1:6" x14ac:dyDescent="0.25">
      <c r="A941" t="s">
        <v>130</v>
      </c>
      <c r="B941" t="s">
        <v>11</v>
      </c>
      <c r="C941" t="s">
        <v>28</v>
      </c>
      <c r="D941" t="s">
        <v>53</v>
      </c>
      <c r="E941">
        <v>2030</v>
      </c>
      <c r="F941">
        <v>75614.059561949907</v>
      </c>
    </row>
    <row r="942" spans="1:6" x14ac:dyDescent="0.25">
      <c r="A942" t="s">
        <v>130</v>
      </c>
      <c r="B942" t="s">
        <v>11</v>
      </c>
      <c r="C942" t="s">
        <v>28</v>
      </c>
      <c r="D942" t="s">
        <v>54</v>
      </c>
      <c r="E942">
        <v>2030</v>
      </c>
      <c r="F942">
        <v>314692.31350359169</v>
      </c>
    </row>
    <row r="943" spans="1:6" x14ac:dyDescent="0.25">
      <c r="A943" t="s">
        <v>130</v>
      </c>
      <c r="B943" t="s">
        <v>11</v>
      </c>
      <c r="C943" t="s">
        <v>28</v>
      </c>
      <c r="D943" t="s">
        <v>55</v>
      </c>
      <c r="E943">
        <v>2030</v>
      </c>
      <c r="F943">
        <v>4075.7207832735812</v>
      </c>
    </row>
    <row r="944" spans="1:6" x14ac:dyDescent="0.25">
      <c r="A944" t="s">
        <v>130</v>
      </c>
      <c r="B944" t="s">
        <v>11</v>
      </c>
      <c r="C944" t="s">
        <v>28</v>
      </c>
      <c r="D944" t="s">
        <v>56</v>
      </c>
      <c r="E944">
        <v>2030</v>
      </c>
      <c r="F944">
        <v>41.80391161429587</v>
      </c>
    </row>
    <row r="945" spans="1:6" x14ac:dyDescent="0.25">
      <c r="A945" t="s">
        <v>130</v>
      </c>
      <c r="B945" t="s">
        <v>11</v>
      </c>
      <c r="C945" t="s">
        <v>28</v>
      </c>
      <c r="D945" t="s">
        <v>57</v>
      </c>
      <c r="E945">
        <v>2030</v>
      </c>
      <c r="F945">
        <v>114193.60000000001</v>
      </c>
    </row>
    <row r="946" spans="1:6" x14ac:dyDescent="0.25">
      <c r="A946" t="s">
        <v>130</v>
      </c>
      <c r="B946" t="s">
        <v>11</v>
      </c>
      <c r="C946" t="s">
        <v>28</v>
      </c>
      <c r="D946" t="s">
        <v>35</v>
      </c>
      <c r="E946">
        <v>2030</v>
      </c>
      <c r="F946">
        <v>0</v>
      </c>
    </row>
    <row r="947" spans="1:6" x14ac:dyDescent="0.25">
      <c r="A947" t="s">
        <v>130</v>
      </c>
      <c r="B947" t="s">
        <v>11</v>
      </c>
      <c r="C947" t="s">
        <v>28</v>
      </c>
      <c r="D947" t="s">
        <v>36</v>
      </c>
      <c r="E947">
        <v>2030</v>
      </c>
      <c r="F947">
        <v>0</v>
      </c>
    </row>
    <row r="948" spans="1:6" x14ac:dyDescent="0.25">
      <c r="A948" t="s">
        <v>130</v>
      </c>
      <c r="B948" t="s">
        <v>11</v>
      </c>
      <c r="C948" t="s">
        <v>28</v>
      </c>
      <c r="D948" t="s">
        <v>44</v>
      </c>
      <c r="E948">
        <v>2050</v>
      </c>
      <c r="F948">
        <v>9178937.5641805995</v>
      </c>
    </row>
    <row r="949" spans="1:6" x14ac:dyDescent="0.25">
      <c r="A949" t="s">
        <v>130</v>
      </c>
      <c r="B949" t="s">
        <v>11</v>
      </c>
      <c r="C949" t="s">
        <v>28</v>
      </c>
      <c r="D949" t="s">
        <v>45</v>
      </c>
      <c r="E949">
        <v>2050</v>
      </c>
      <c r="F949">
        <v>11614690.73032544</v>
      </c>
    </row>
    <row r="950" spans="1:6" x14ac:dyDescent="0.25">
      <c r="A950" t="s">
        <v>130</v>
      </c>
      <c r="B950" t="s">
        <v>11</v>
      </c>
      <c r="C950" t="s">
        <v>28</v>
      </c>
      <c r="D950" t="s">
        <v>46</v>
      </c>
      <c r="E950">
        <v>2050</v>
      </c>
      <c r="F950">
        <v>5169.3190334894534</v>
      </c>
    </row>
    <row r="951" spans="1:6" x14ac:dyDescent="0.25">
      <c r="A951" t="s">
        <v>130</v>
      </c>
      <c r="B951" t="s">
        <v>11</v>
      </c>
      <c r="C951" t="s">
        <v>28</v>
      </c>
      <c r="D951" t="s">
        <v>47</v>
      </c>
      <c r="E951">
        <v>2050</v>
      </c>
      <c r="F951">
        <v>1572264.2235564108</v>
      </c>
    </row>
    <row r="952" spans="1:6" x14ac:dyDescent="0.25">
      <c r="A952" t="s">
        <v>130</v>
      </c>
      <c r="B952" t="s">
        <v>11</v>
      </c>
      <c r="C952" t="s">
        <v>28</v>
      </c>
      <c r="D952" t="s">
        <v>48</v>
      </c>
      <c r="E952">
        <v>2050</v>
      </c>
      <c r="F952">
        <v>197484.23354298095</v>
      </c>
    </row>
    <row r="953" spans="1:6" x14ac:dyDescent="0.25">
      <c r="A953" t="s">
        <v>130</v>
      </c>
      <c r="B953" t="s">
        <v>11</v>
      </c>
      <c r="C953" t="s">
        <v>28</v>
      </c>
      <c r="D953" t="s">
        <v>49</v>
      </c>
      <c r="E953">
        <v>2050</v>
      </c>
      <c r="F953">
        <v>531600.61023474101</v>
      </c>
    </row>
    <row r="954" spans="1:6" x14ac:dyDescent="0.25">
      <c r="A954" t="s">
        <v>130</v>
      </c>
      <c r="B954" t="s">
        <v>11</v>
      </c>
      <c r="C954" t="s">
        <v>28</v>
      </c>
      <c r="D954" t="s">
        <v>50</v>
      </c>
      <c r="E954">
        <v>2050</v>
      </c>
      <c r="F954">
        <v>1666786.636613145</v>
      </c>
    </row>
    <row r="955" spans="1:6" x14ac:dyDescent="0.25">
      <c r="A955" t="s">
        <v>130</v>
      </c>
      <c r="B955" t="s">
        <v>11</v>
      </c>
      <c r="C955" t="s">
        <v>28</v>
      </c>
      <c r="D955" t="s">
        <v>51</v>
      </c>
      <c r="E955">
        <v>2050</v>
      </c>
      <c r="F955">
        <v>0</v>
      </c>
    </row>
    <row r="956" spans="1:6" x14ac:dyDescent="0.25">
      <c r="A956" t="s">
        <v>130</v>
      </c>
      <c r="B956" t="s">
        <v>11</v>
      </c>
      <c r="C956" t="s">
        <v>28</v>
      </c>
      <c r="D956" t="s">
        <v>52</v>
      </c>
      <c r="E956">
        <v>2050</v>
      </c>
      <c r="F956">
        <v>51614.661983045924</v>
      </c>
    </row>
    <row r="957" spans="1:6" x14ac:dyDescent="0.25">
      <c r="A957" t="s">
        <v>130</v>
      </c>
      <c r="B957" t="s">
        <v>11</v>
      </c>
      <c r="C957" t="s">
        <v>28</v>
      </c>
      <c r="D957" t="s">
        <v>29</v>
      </c>
      <c r="E957">
        <v>2050</v>
      </c>
      <c r="F957">
        <v>2825.7560217041437</v>
      </c>
    </row>
    <row r="958" spans="1:6" x14ac:dyDescent="0.25">
      <c r="A958" t="s">
        <v>130</v>
      </c>
      <c r="B958" t="s">
        <v>11</v>
      </c>
      <c r="C958" t="s">
        <v>28</v>
      </c>
      <c r="D958" t="s">
        <v>53</v>
      </c>
      <c r="E958">
        <v>2050</v>
      </c>
      <c r="F958">
        <v>75527.053678542041</v>
      </c>
    </row>
    <row r="959" spans="1:6" x14ac:dyDescent="0.25">
      <c r="A959" t="s">
        <v>130</v>
      </c>
      <c r="B959" t="s">
        <v>11</v>
      </c>
      <c r="C959" t="s">
        <v>28</v>
      </c>
      <c r="D959" t="s">
        <v>54</v>
      </c>
      <c r="E959">
        <v>2050</v>
      </c>
      <c r="F959">
        <v>314525.12457946909</v>
      </c>
    </row>
    <row r="960" spans="1:6" x14ac:dyDescent="0.25">
      <c r="A960" t="s">
        <v>130</v>
      </c>
      <c r="B960" t="s">
        <v>11</v>
      </c>
      <c r="C960" t="s">
        <v>28</v>
      </c>
      <c r="D960" t="s">
        <v>55</v>
      </c>
      <c r="E960">
        <v>2050</v>
      </c>
      <c r="F960">
        <v>4034.07077562927</v>
      </c>
    </row>
    <row r="961" spans="1:6" x14ac:dyDescent="0.25">
      <c r="A961" t="s">
        <v>130</v>
      </c>
      <c r="B961" t="s">
        <v>11</v>
      </c>
      <c r="C961" t="s">
        <v>28</v>
      </c>
      <c r="D961" t="s">
        <v>56</v>
      </c>
      <c r="E961">
        <v>2050</v>
      </c>
      <c r="F961">
        <v>41.656918132692169</v>
      </c>
    </row>
    <row r="962" spans="1:6" x14ac:dyDescent="0.25">
      <c r="A962" t="s">
        <v>130</v>
      </c>
      <c r="B962" t="s">
        <v>11</v>
      </c>
      <c r="C962" t="s">
        <v>28</v>
      </c>
      <c r="D962" t="s">
        <v>57</v>
      </c>
      <c r="E962">
        <v>2050</v>
      </c>
      <c r="F962">
        <v>114193.60000000001</v>
      </c>
    </row>
    <row r="963" spans="1:6" x14ac:dyDescent="0.25">
      <c r="A963" t="s">
        <v>130</v>
      </c>
      <c r="B963" t="s">
        <v>11</v>
      </c>
      <c r="C963" t="s">
        <v>28</v>
      </c>
      <c r="D963" t="s">
        <v>35</v>
      </c>
      <c r="E963">
        <v>2050</v>
      </c>
      <c r="F963">
        <v>0</v>
      </c>
    </row>
    <row r="964" spans="1:6" x14ac:dyDescent="0.25">
      <c r="A964" t="s">
        <v>130</v>
      </c>
      <c r="B964" t="s">
        <v>11</v>
      </c>
      <c r="C964" t="s">
        <v>28</v>
      </c>
      <c r="D964" t="s">
        <v>36</v>
      </c>
      <c r="E964">
        <v>2050</v>
      </c>
      <c r="F964">
        <v>0</v>
      </c>
    </row>
    <row r="965" spans="1:6" x14ac:dyDescent="0.25">
      <c r="A965" t="s">
        <v>130</v>
      </c>
      <c r="B965" t="s">
        <v>11</v>
      </c>
      <c r="C965" t="s">
        <v>43</v>
      </c>
      <c r="D965" t="s">
        <v>44</v>
      </c>
      <c r="E965">
        <v>2019</v>
      </c>
      <c r="F965">
        <v>380427.26035611134</v>
      </c>
    </row>
    <row r="966" spans="1:6" x14ac:dyDescent="0.25">
      <c r="A966" t="s">
        <v>130</v>
      </c>
      <c r="B966" t="s">
        <v>11</v>
      </c>
      <c r="C966" t="s">
        <v>43</v>
      </c>
      <c r="D966" t="s">
        <v>45</v>
      </c>
      <c r="E966">
        <v>2019</v>
      </c>
      <c r="F966">
        <v>286645.05985025823</v>
      </c>
    </row>
    <row r="967" spans="1:6" x14ac:dyDescent="0.25">
      <c r="A967" t="s">
        <v>130</v>
      </c>
      <c r="B967" t="s">
        <v>11</v>
      </c>
      <c r="C967" t="s">
        <v>43</v>
      </c>
      <c r="D967" t="s">
        <v>46</v>
      </c>
      <c r="E967">
        <v>2019</v>
      </c>
      <c r="F967">
        <v>337.693821952441</v>
      </c>
    </row>
    <row r="968" spans="1:6" x14ac:dyDescent="0.25">
      <c r="A968" t="s">
        <v>130</v>
      </c>
      <c r="B968" t="s">
        <v>11</v>
      </c>
      <c r="C968" t="s">
        <v>43</v>
      </c>
      <c r="D968" t="s">
        <v>47</v>
      </c>
      <c r="E968">
        <v>2019</v>
      </c>
      <c r="F968">
        <v>1208651.4125341829</v>
      </c>
    </row>
    <row r="969" spans="1:6" x14ac:dyDescent="0.25">
      <c r="A969" t="s">
        <v>130</v>
      </c>
      <c r="B969" t="s">
        <v>11</v>
      </c>
      <c r="C969" t="s">
        <v>43</v>
      </c>
      <c r="D969" t="s">
        <v>48</v>
      </c>
      <c r="E969">
        <v>2019</v>
      </c>
      <c r="F969">
        <v>335590.35573220561</v>
      </c>
    </row>
    <row r="970" spans="1:6" x14ac:dyDescent="0.25">
      <c r="A970" t="s">
        <v>130</v>
      </c>
      <c r="B970" t="s">
        <v>11</v>
      </c>
      <c r="C970" t="s">
        <v>43</v>
      </c>
      <c r="D970" t="s">
        <v>49</v>
      </c>
      <c r="E970">
        <v>2019</v>
      </c>
      <c r="F970">
        <v>279550.24796430691</v>
      </c>
    </row>
    <row r="971" spans="1:6" x14ac:dyDescent="0.25">
      <c r="A971" t="s">
        <v>130</v>
      </c>
      <c r="B971" t="s">
        <v>11</v>
      </c>
      <c r="C971" t="s">
        <v>43</v>
      </c>
      <c r="D971" t="s">
        <v>50</v>
      </c>
      <c r="E971">
        <v>2019</v>
      </c>
      <c r="F971">
        <v>85892.328449707566</v>
      </c>
    </row>
    <row r="972" spans="1:6" x14ac:dyDescent="0.25">
      <c r="A972" t="s">
        <v>130</v>
      </c>
      <c r="B972" t="s">
        <v>11</v>
      </c>
      <c r="C972" t="s">
        <v>43</v>
      </c>
      <c r="D972" t="s">
        <v>51</v>
      </c>
      <c r="E972">
        <v>2019</v>
      </c>
      <c r="F972">
        <v>0</v>
      </c>
    </row>
    <row r="973" spans="1:6" x14ac:dyDescent="0.25">
      <c r="A973" t="s">
        <v>130</v>
      </c>
      <c r="B973" t="s">
        <v>11</v>
      </c>
      <c r="C973" t="s">
        <v>43</v>
      </c>
      <c r="D973" t="s">
        <v>52</v>
      </c>
      <c r="E973">
        <v>2019</v>
      </c>
      <c r="F973">
        <v>22795.107252838847</v>
      </c>
    </row>
    <row r="974" spans="1:6" x14ac:dyDescent="0.25">
      <c r="A974" t="s">
        <v>130</v>
      </c>
      <c r="B974" t="s">
        <v>11</v>
      </c>
      <c r="C974" t="s">
        <v>43</v>
      </c>
      <c r="D974" t="s">
        <v>29</v>
      </c>
      <c r="E974">
        <v>2019</v>
      </c>
      <c r="F974">
        <v>945.81467090137289</v>
      </c>
    </row>
    <row r="975" spans="1:6" x14ac:dyDescent="0.25">
      <c r="A975" t="s">
        <v>130</v>
      </c>
      <c r="B975" t="s">
        <v>11</v>
      </c>
      <c r="C975" t="s">
        <v>43</v>
      </c>
      <c r="D975" t="s">
        <v>53</v>
      </c>
      <c r="E975">
        <v>2019</v>
      </c>
      <c r="F975">
        <v>9930.836100337272</v>
      </c>
    </row>
    <row r="976" spans="1:6" x14ac:dyDescent="0.25">
      <c r="A976" t="s">
        <v>130</v>
      </c>
      <c r="B976" t="s">
        <v>11</v>
      </c>
      <c r="C976" t="s">
        <v>43</v>
      </c>
      <c r="D976" t="s">
        <v>54</v>
      </c>
      <c r="E976">
        <v>2019</v>
      </c>
      <c r="F976">
        <v>15204.565068438918</v>
      </c>
    </row>
    <row r="977" spans="1:6" x14ac:dyDescent="0.25">
      <c r="A977" t="s">
        <v>130</v>
      </c>
      <c r="B977" t="s">
        <v>11</v>
      </c>
      <c r="C977" t="s">
        <v>43</v>
      </c>
      <c r="D977" t="s">
        <v>55</v>
      </c>
      <c r="E977">
        <v>2019</v>
      </c>
      <c r="F977">
        <v>24543.951075802775</v>
      </c>
    </row>
    <row r="978" spans="1:6" x14ac:dyDescent="0.25">
      <c r="A978" t="s">
        <v>130</v>
      </c>
      <c r="B978" t="s">
        <v>11</v>
      </c>
      <c r="C978" t="s">
        <v>43</v>
      </c>
      <c r="D978" t="s">
        <v>56</v>
      </c>
      <c r="E978">
        <v>2019</v>
      </c>
      <c r="F978">
        <v>35.900188095894634</v>
      </c>
    </row>
    <row r="979" spans="1:6" x14ac:dyDescent="0.25">
      <c r="A979" t="s">
        <v>130</v>
      </c>
      <c r="B979" t="s">
        <v>11</v>
      </c>
      <c r="C979" t="s">
        <v>43</v>
      </c>
      <c r="D979" t="s">
        <v>57</v>
      </c>
      <c r="E979">
        <v>2019</v>
      </c>
      <c r="F979">
        <v>28548.400000000001</v>
      </c>
    </row>
    <row r="980" spans="1:6" x14ac:dyDescent="0.25">
      <c r="A980" t="s">
        <v>130</v>
      </c>
      <c r="B980" t="s">
        <v>11</v>
      </c>
      <c r="C980" t="s">
        <v>43</v>
      </c>
      <c r="D980" t="s">
        <v>35</v>
      </c>
      <c r="E980">
        <v>2019</v>
      </c>
      <c r="F980">
        <v>0</v>
      </c>
    </row>
    <row r="981" spans="1:6" x14ac:dyDescent="0.25">
      <c r="A981" t="s">
        <v>130</v>
      </c>
      <c r="B981" t="s">
        <v>11</v>
      </c>
      <c r="C981" t="s">
        <v>43</v>
      </c>
      <c r="D981" t="s">
        <v>36</v>
      </c>
      <c r="E981">
        <v>2019</v>
      </c>
      <c r="F981">
        <v>0</v>
      </c>
    </row>
    <row r="982" spans="1:6" x14ac:dyDescent="0.25">
      <c r="A982" t="s">
        <v>130</v>
      </c>
      <c r="B982" t="s">
        <v>11</v>
      </c>
      <c r="C982" t="s">
        <v>43</v>
      </c>
      <c r="D982" t="s">
        <v>44</v>
      </c>
      <c r="E982">
        <v>2030</v>
      </c>
      <c r="F982">
        <v>1157678.9141627084</v>
      </c>
    </row>
    <row r="983" spans="1:6" x14ac:dyDescent="0.25">
      <c r="A983" t="s">
        <v>130</v>
      </c>
      <c r="B983" t="s">
        <v>11</v>
      </c>
      <c r="C983" t="s">
        <v>43</v>
      </c>
      <c r="D983" t="s">
        <v>45</v>
      </c>
      <c r="E983">
        <v>2030</v>
      </c>
      <c r="F983">
        <v>701319.77122631879</v>
      </c>
    </row>
    <row r="984" spans="1:6" x14ac:dyDescent="0.25">
      <c r="A984" t="s">
        <v>130</v>
      </c>
      <c r="B984" t="s">
        <v>11</v>
      </c>
      <c r="C984" t="s">
        <v>43</v>
      </c>
      <c r="D984" t="s">
        <v>46</v>
      </c>
      <c r="E984">
        <v>2030</v>
      </c>
      <c r="F984">
        <v>350.10096257642732</v>
      </c>
    </row>
    <row r="985" spans="1:6" x14ac:dyDescent="0.25">
      <c r="A985" t="s">
        <v>130</v>
      </c>
      <c r="B985" t="s">
        <v>11</v>
      </c>
      <c r="C985" t="s">
        <v>43</v>
      </c>
      <c r="D985" t="s">
        <v>47</v>
      </c>
      <c r="E985">
        <v>2030</v>
      </c>
      <c r="F985">
        <v>1268228.6485488336</v>
      </c>
    </row>
    <row r="986" spans="1:6" x14ac:dyDescent="0.25">
      <c r="A986" t="s">
        <v>130</v>
      </c>
      <c r="B986" t="s">
        <v>11</v>
      </c>
      <c r="C986" t="s">
        <v>43</v>
      </c>
      <c r="D986" t="s">
        <v>48</v>
      </c>
      <c r="E986">
        <v>2030</v>
      </c>
      <c r="F986">
        <v>168912.75887120995</v>
      </c>
    </row>
    <row r="987" spans="1:6" x14ac:dyDescent="0.25">
      <c r="A987" t="s">
        <v>130</v>
      </c>
      <c r="B987" t="s">
        <v>11</v>
      </c>
      <c r="C987" t="s">
        <v>43</v>
      </c>
      <c r="D987" t="s">
        <v>49</v>
      </c>
      <c r="E987">
        <v>2030</v>
      </c>
      <c r="F987">
        <v>202910.8690139266</v>
      </c>
    </row>
    <row r="988" spans="1:6" x14ac:dyDescent="0.25">
      <c r="A988" t="s">
        <v>130</v>
      </c>
      <c r="B988" t="s">
        <v>11</v>
      </c>
      <c r="C988" t="s">
        <v>43</v>
      </c>
      <c r="D988" t="s">
        <v>50</v>
      </c>
      <c r="E988">
        <v>2030</v>
      </c>
      <c r="F988">
        <v>179027.55479609076</v>
      </c>
    </row>
    <row r="989" spans="1:6" x14ac:dyDescent="0.25">
      <c r="A989" t="s">
        <v>130</v>
      </c>
      <c r="B989" t="s">
        <v>11</v>
      </c>
      <c r="C989" t="s">
        <v>43</v>
      </c>
      <c r="D989" t="s">
        <v>51</v>
      </c>
      <c r="E989">
        <v>2030</v>
      </c>
      <c r="F989">
        <v>0</v>
      </c>
    </row>
    <row r="990" spans="1:6" x14ac:dyDescent="0.25">
      <c r="A990" t="s">
        <v>130</v>
      </c>
      <c r="B990" t="s">
        <v>11</v>
      </c>
      <c r="C990" t="s">
        <v>43</v>
      </c>
      <c r="D990" t="s">
        <v>52</v>
      </c>
      <c r="E990">
        <v>2030</v>
      </c>
      <c r="F990">
        <v>23065.005787969905</v>
      </c>
    </row>
    <row r="991" spans="1:6" x14ac:dyDescent="0.25">
      <c r="A991" t="s">
        <v>130</v>
      </c>
      <c r="B991" t="s">
        <v>11</v>
      </c>
      <c r="C991" t="s">
        <v>43</v>
      </c>
      <c r="D991" t="s">
        <v>29</v>
      </c>
      <c r="E991">
        <v>2030</v>
      </c>
      <c r="F991">
        <v>952.06663022948101</v>
      </c>
    </row>
    <row r="992" spans="1:6" x14ac:dyDescent="0.25">
      <c r="A992" t="s">
        <v>130</v>
      </c>
      <c r="B992" t="s">
        <v>11</v>
      </c>
      <c r="C992" t="s">
        <v>43</v>
      </c>
      <c r="D992" t="s">
        <v>53</v>
      </c>
      <c r="E992">
        <v>2030</v>
      </c>
      <c r="F992">
        <v>10062.940438050116</v>
      </c>
    </row>
    <row r="993" spans="1:6" x14ac:dyDescent="0.25">
      <c r="A993" t="s">
        <v>130</v>
      </c>
      <c r="B993" t="s">
        <v>11</v>
      </c>
      <c r="C993" t="s">
        <v>43</v>
      </c>
      <c r="D993" t="s">
        <v>54</v>
      </c>
      <c r="E993">
        <v>2030</v>
      </c>
      <c r="F993">
        <v>15333.686496408332</v>
      </c>
    </row>
    <row r="994" spans="1:6" x14ac:dyDescent="0.25">
      <c r="A994" t="s">
        <v>130</v>
      </c>
      <c r="B994" t="s">
        <v>11</v>
      </c>
      <c r="C994" t="s">
        <v>43</v>
      </c>
      <c r="D994" t="s">
        <v>55</v>
      </c>
      <c r="E994">
        <v>2030</v>
      </c>
      <c r="F994">
        <v>24569.279216726416</v>
      </c>
    </row>
    <row r="995" spans="1:6" x14ac:dyDescent="0.25">
      <c r="A995" t="s">
        <v>130</v>
      </c>
      <c r="B995" t="s">
        <v>11</v>
      </c>
      <c r="C995" t="s">
        <v>43</v>
      </c>
      <c r="D995" t="s">
        <v>56</v>
      </c>
      <c r="E995">
        <v>2030</v>
      </c>
      <c r="F995">
        <v>36.19608838570413</v>
      </c>
    </row>
    <row r="996" spans="1:6" x14ac:dyDescent="0.25">
      <c r="A996" t="s">
        <v>130</v>
      </c>
      <c r="B996" t="s">
        <v>11</v>
      </c>
      <c r="C996" t="s">
        <v>43</v>
      </c>
      <c r="D996" t="s">
        <v>57</v>
      </c>
      <c r="E996">
        <v>2030</v>
      </c>
      <c r="F996">
        <v>28548.400000000001</v>
      </c>
    </row>
    <row r="997" spans="1:6" x14ac:dyDescent="0.25">
      <c r="A997" t="s">
        <v>130</v>
      </c>
      <c r="B997" t="s">
        <v>11</v>
      </c>
      <c r="C997" t="s">
        <v>43</v>
      </c>
      <c r="D997" t="s">
        <v>35</v>
      </c>
      <c r="E997">
        <v>2030</v>
      </c>
      <c r="F997">
        <v>0</v>
      </c>
    </row>
    <row r="998" spans="1:6" x14ac:dyDescent="0.25">
      <c r="A998" t="s">
        <v>130</v>
      </c>
      <c r="B998" t="s">
        <v>11</v>
      </c>
      <c r="C998" t="s">
        <v>43</v>
      </c>
      <c r="D998" t="s">
        <v>36</v>
      </c>
      <c r="E998">
        <v>2030</v>
      </c>
      <c r="F998">
        <v>0</v>
      </c>
    </row>
    <row r="999" spans="1:6" x14ac:dyDescent="0.25">
      <c r="A999" t="s">
        <v>130</v>
      </c>
      <c r="B999" t="s">
        <v>11</v>
      </c>
      <c r="C999" t="s">
        <v>43</v>
      </c>
      <c r="D999" t="s">
        <v>44</v>
      </c>
      <c r="E999">
        <v>2050</v>
      </c>
      <c r="F999">
        <v>1330001.5728813037</v>
      </c>
    </row>
    <row r="1000" spans="1:6" x14ac:dyDescent="0.25">
      <c r="A1000" t="s">
        <v>130</v>
      </c>
      <c r="B1000" t="s">
        <v>11</v>
      </c>
      <c r="C1000" t="s">
        <v>43</v>
      </c>
      <c r="D1000" t="s">
        <v>45</v>
      </c>
      <c r="E1000">
        <v>2050</v>
      </c>
      <c r="F1000">
        <v>825502.64294003148</v>
      </c>
    </row>
    <row r="1001" spans="1:6" x14ac:dyDescent="0.25">
      <c r="A1001" t="s">
        <v>130</v>
      </c>
      <c r="B1001" t="s">
        <v>11</v>
      </c>
      <c r="C1001" t="s">
        <v>43</v>
      </c>
      <c r="D1001" t="s">
        <v>46</v>
      </c>
      <c r="E1001">
        <v>2050</v>
      </c>
      <c r="F1001">
        <v>433.85903842113186</v>
      </c>
    </row>
    <row r="1002" spans="1:6" x14ac:dyDescent="0.25">
      <c r="A1002" t="s">
        <v>130</v>
      </c>
      <c r="B1002" t="s">
        <v>11</v>
      </c>
      <c r="C1002" t="s">
        <v>43</v>
      </c>
      <c r="D1002" t="s">
        <v>47</v>
      </c>
      <c r="E1002">
        <v>2050</v>
      </c>
      <c r="F1002">
        <v>1328121.9228895183</v>
      </c>
    </row>
    <row r="1003" spans="1:6" x14ac:dyDescent="0.25">
      <c r="A1003" t="s">
        <v>130</v>
      </c>
      <c r="B1003" t="s">
        <v>11</v>
      </c>
      <c r="C1003" t="s">
        <v>43</v>
      </c>
      <c r="D1003" t="s">
        <v>48</v>
      </c>
      <c r="E1003">
        <v>2050</v>
      </c>
      <c r="F1003">
        <v>172292.76645701908</v>
      </c>
    </row>
    <row r="1004" spans="1:6" x14ac:dyDescent="0.25">
      <c r="A1004" t="s">
        <v>130</v>
      </c>
      <c r="B1004" t="s">
        <v>11</v>
      </c>
      <c r="C1004" t="s">
        <v>43</v>
      </c>
      <c r="D1004" t="s">
        <v>49</v>
      </c>
      <c r="E1004">
        <v>2050</v>
      </c>
      <c r="F1004">
        <v>191431.38976525888</v>
      </c>
    </row>
    <row r="1005" spans="1:6" x14ac:dyDescent="0.25">
      <c r="A1005" t="s">
        <v>130</v>
      </c>
      <c r="B1005" t="s">
        <v>11</v>
      </c>
      <c r="C1005" t="s">
        <v>43</v>
      </c>
      <c r="D1005" t="s">
        <v>50</v>
      </c>
      <c r="E1005">
        <v>2050</v>
      </c>
      <c r="F1005">
        <v>226234.86420959991</v>
      </c>
    </row>
    <row r="1006" spans="1:6" x14ac:dyDescent="0.25">
      <c r="A1006" t="s">
        <v>130</v>
      </c>
      <c r="B1006" t="s">
        <v>11</v>
      </c>
      <c r="C1006" t="s">
        <v>43</v>
      </c>
      <c r="D1006" t="s">
        <v>51</v>
      </c>
      <c r="E1006">
        <v>2050</v>
      </c>
      <c r="F1006">
        <v>0</v>
      </c>
    </row>
    <row r="1007" spans="1:6" x14ac:dyDescent="0.25">
      <c r="A1007" t="s">
        <v>130</v>
      </c>
      <c r="B1007" t="s">
        <v>11</v>
      </c>
      <c r="C1007" t="s">
        <v>43</v>
      </c>
      <c r="D1007" t="s">
        <v>52</v>
      </c>
      <c r="E1007">
        <v>2050</v>
      </c>
      <c r="F1007">
        <v>24319.338016954094</v>
      </c>
    </row>
    <row r="1008" spans="1:6" x14ac:dyDescent="0.25">
      <c r="A1008" t="s">
        <v>130</v>
      </c>
      <c r="B1008" t="s">
        <v>11</v>
      </c>
      <c r="C1008" t="s">
        <v>43</v>
      </c>
      <c r="D1008" t="s">
        <v>29</v>
      </c>
      <c r="E1008">
        <v>2050</v>
      </c>
      <c r="F1008">
        <v>960.24397829585632</v>
      </c>
    </row>
    <row r="1009" spans="1:6" x14ac:dyDescent="0.25">
      <c r="A1009" t="s">
        <v>130</v>
      </c>
      <c r="B1009" t="s">
        <v>11</v>
      </c>
      <c r="C1009" t="s">
        <v>43</v>
      </c>
      <c r="D1009" t="s">
        <v>53</v>
      </c>
      <c r="E1009">
        <v>2050</v>
      </c>
      <c r="F1009">
        <v>10149.946321457959</v>
      </c>
    </row>
    <row r="1010" spans="1:6" x14ac:dyDescent="0.25">
      <c r="A1010" t="s">
        <v>130</v>
      </c>
      <c r="B1010" t="s">
        <v>11</v>
      </c>
      <c r="C1010" t="s">
        <v>43</v>
      </c>
      <c r="D1010" t="s">
        <v>54</v>
      </c>
      <c r="E1010">
        <v>2050</v>
      </c>
      <c r="F1010">
        <v>15500.875420530891</v>
      </c>
    </row>
    <row r="1011" spans="1:6" x14ac:dyDescent="0.25">
      <c r="A1011" t="s">
        <v>130</v>
      </c>
      <c r="B1011" t="s">
        <v>11</v>
      </c>
      <c r="C1011" t="s">
        <v>43</v>
      </c>
      <c r="D1011" t="s">
        <v>55</v>
      </c>
      <c r="E1011">
        <v>2050</v>
      </c>
      <c r="F1011">
        <v>24610.929224370728</v>
      </c>
    </row>
    <row r="1012" spans="1:6" x14ac:dyDescent="0.25">
      <c r="A1012" t="s">
        <v>130</v>
      </c>
      <c r="B1012" t="s">
        <v>11</v>
      </c>
      <c r="C1012" t="s">
        <v>43</v>
      </c>
      <c r="D1012" t="s">
        <v>56</v>
      </c>
      <c r="E1012">
        <v>2050</v>
      </c>
      <c r="F1012">
        <v>36.343081867307831</v>
      </c>
    </row>
    <row r="1013" spans="1:6" x14ac:dyDescent="0.25">
      <c r="A1013" t="s">
        <v>130</v>
      </c>
      <c r="B1013" t="s">
        <v>11</v>
      </c>
      <c r="C1013" t="s">
        <v>43</v>
      </c>
      <c r="D1013" t="s">
        <v>57</v>
      </c>
      <c r="E1013">
        <v>2050</v>
      </c>
      <c r="F1013">
        <v>28548.400000000001</v>
      </c>
    </row>
    <row r="1014" spans="1:6" x14ac:dyDescent="0.25">
      <c r="A1014" t="s">
        <v>130</v>
      </c>
      <c r="B1014" t="s">
        <v>11</v>
      </c>
      <c r="C1014" t="s">
        <v>43</v>
      </c>
      <c r="D1014" t="s">
        <v>35</v>
      </c>
      <c r="E1014">
        <v>2050</v>
      </c>
      <c r="F1014">
        <v>0</v>
      </c>
    </row>
    <row r="1015" spans="1:6" x14ac:dyDescent="0.25">
      <c r="A1015" t="s">
        <v>130</v>
      </c>
      <c r="B1015" t="s">
        <v>11</v>
      </c>
      <c r="C1015" t="s">
        <v>43</v>
      </c>
      <c r="D1015" t="s">
        <v>36</v>
      </c>
      <c r="E1015">
        <v>2050</v>
      </c>
      <c r="F1015">
        <v>0</v>
      </c>
    </row>
    <row r="1016" spans="1:6" x14ac:dyDescent="0.25">
      <c r="A1016" t="s">
        <v>130</v>
      </c>
      <c r="B1016" t="s">
        <v>8</v>
      </c>
      <c r="C1016" t="s">
        <v>28</v>
      </c>
      <c r="D1016" t="s">
        <v>29</v>
      </c>
      <c r="E1016">
        <v>2019</v>
      </c>
      <c r="F1016">
        <v>5879215.2019956242</v>
      </c>
    </row>
    <row r="1017" spans="1:6" x14ac:dyDescent="0.25">
      <c r="A1017" t="s">
        <v>130</v>
      </c>
      <c r="B1017" t="s">
        <v>8</v>
      </c>
      <c r="C1017" t="s">
        <v>28</v>
      </c>
      <c r="D1017" t="s">
        <v>52</v>
      </c>
      <c r="E1017">
        <v>2019</v>
      </c>
      <c r="F1017">
        <v>773085.89354292618</v>
      </c>
    </row>
    <row r="1018" spans="1:6" x14ac:dyDescent="0.25">
      <c r="A1018" t="s">
        <v>130</v>
      </c>
      <c r="B1018" t="s">
        <v>8</v>
      </c>
      <c r="C1018" t="s">
        <v>28</v>
      </c>
      <c r="D1018" t="s">
        <v>31</v>
      </c>
      <c r="E1018">
        <v>2019</v>
      </c>
      <c r="F1018">
        <v>0</v>
      </c>
    </row>
    <row r="1019" spans="1:6" x14ac:dyDescent="0.25">
      <c r="A1019" t="s">
        <v>130</v>
      </c>
      <c r="B1019" t="s">
        <v>8</v>
      </c>
      <c r="C1019" t="s">
        <v>28</v>
      </c>
      <c r="D1019" t="s">
        <v>34</v>
      </c>
      <c r="E1019">
        <v>2019</v>
      </c>
      <c r="F1019">
        <v>64498.47547519199</v>
      </c>
    </row>
    <row r="1020" spans="1:6" x14ac:dyDescent="0.25">
      <c r="A1020" t="s">
        <v>130</v>
      </c>
      <c r="B1020" t="s">
        <v>8</v>
      </c>
      <c r="C1020" t="s">
        <v>28</v>
      </c>
      <c r="D1020" t="s">
        <v>55</v>
      </c>
      <c r="E1020">
        <v>2019</v>
      </c>
      <c r="F1020">
        <v>841167.61765562883</v>
      </c>
    </row>
    <row r="1021" spans="1:6" x14ac:dyDescent="0.25">
      <c r="A1021" t="s">
        <v>130</v>
      </c>
      <c r="B1021" t="s">
        <v>8</v>
      </c>
      <c r="C1021" t="s">
        <v>28</v>
      </c>
      <c r="D1021" t="s">
        <v>54</v>
      </c>
      <c r="E1021">
        <v>2019</v>
      </c>
      <c r="F1021">
        <v>5657053.7864699634</v>
      </c>
    </row>
    <row r="1022" spans="1:6" x14ac:dyDescent="0.25">
      <c r="A1022" t="s">
        <v>130</v>
      </c>
      <c r="B1022" t="s">
        <v>8</v>
      </c>
      <c r="C1022" t="s">
        <v>28</v>
      </c>
      <c r="D1022" t="s">
        <v>58</v>
      </c>
      <c r="E1022">
        <v>2019</v>
      </c>
      <c r="F1022">
        <v>214099.10609126228</v>
      </c>
    </row>
    <row r="1023" spans="1:6" x14ac:dyDescent="0.25">
      <c r="A1023" t="s">
        <v>130</v>
      </c>
      <c r="B1023" t="s">
        <v>8</v>
      </c>
      <c r="C1023" t="s">
        <v>28</v>
      </c>
      <c r="D1023" t="s">
        <v>36</v>
      </c>
      <c r="E1023">
        <v>2019</v>
      </c>
      <c r="F1023">
        <v>0</v>
      </c>
    </row>
    <row r="1024" spans="1:6" x14ac:dyDescent="0.25">
      <c r="A1024" t="s">
        <v>130</v>
      </c>
      <c r="B1024" t="s">
        <v>8</v>
      </c>
      <c r="C1024" t="s">
        <v>28</v>
      </c>
      <c r="D1024" t="s">
        <v>35</v>
      </c>
      <c r="E1024">
        <v>2019</v>
      </c>
      <c r="F1024">
        <v>0</v>
      </c>
    </row>
    <row r="1025" spans="1:6" x14ac:dyDescent="0.25">
      <c r="A1025" t="s">
        <v>130</v>
      </c>
      <c r="B1025" t="s">
        <v>8</v>
      </c>
      <c r="C1025" t="s">
        <v>28</v>
      </c>
      <c r="D1025" t="s">
        <v>53</v>
      </c>
      <c r="E1025">
        <v>2019</v>
      </c>
      <c r="F1025">
        <v>12237689.9092583</v>
      </c>
    </row>
    <row r="1026" spans="1:6" x14ac:dyDescent="0.25">
      <c r="A1026" t="s">
        <v>130</v>
      </c>
      <c r="B1026" t="s">
        <v>8</v>
      </c>
      <c r="C1026" t="s">
        <v>28</v>
      </c>
      <c r="D1026" t="s">
        <v>59</v>
      </c>
      <c r="E1026">
        <v>2019</v>
      </c>
      <c r="F1026">
        <v>1515714.1736670118</v>
      </c>
    </row>
    <row r="1027" spans="1:6" x14ac:dyDescent="0.25">
      <c r="A1027" t="s">
        <v>130</v>
      </c>
      <c r="B1027" t="s">
        <v>8</v>
      </c>
      <c r="C1027" t="s">
        <v>28</v>
      </c>
      <c r="D1027" t="s">
        <v>60</v>
      </c>
      <c r="E1027">
        <v>2019</v>
      </c>
      <c r="F1027">
        <v>0</v>
      </c>
    </row>
    <row r="1028" spans="1:6" x14ac:dyDescent="0.25">
      <c r="A1028" t="s">
        <v>130</v>
      </c>
      <c r="B1028" t="s">
        <v>8</v>
      </c>
      <c r="C1028" t="s">
        <v>28</v>
      </c>
      <c r="D1028" t="s">
        <v>61</v>
      </c>
      <c r="E1028">
        <v>2019</v>
      </c>
      <c r="F1028">
        <v>0</v>
      </c>
    </row>
    <row r="1029" spans="1:6" x14ac:dyDescent="0.25">
      <c r="A1029" t="s">
        <v>130</v>
      </c>
      <c r="B1029" t="s">
        <v>8</v>
      </c>
      <c r="C1029" t="s">
        <v>28</v>
      </c>
      <c r="D1029" t="s">
        <v>62</v>
      </c>
      <c r="E1029">
        <v>2019</v>
      </c>
      <c r="F1029">
        <v>39415.735012617326</v>
      </c>
    </row>
    <row r="1030" spans="1:6" x14ac:dyDescent="0.25">
      <c r="A1030" t="s">
        <v>130</v>
      </c>
      <c r="B1030" t="s">
        <v>8</v>
      </c>
      <c r="C1030" t="s">
        <v>28</v>
      </c>
      <c r="D1030" t="s">
        <v>63</v>
      </c>
      <c r="E1030">
        <v>2019</v>
      </c>
      <c r="F1030">
        <v>4828427.5390456235</v>
      </c>
    </row>
    <row r="1031" spans="1:6" x14ac:dyDescent="0.25">
      <c r="A1031" t="s">
        <v>130</v>
      </c>
      <c r="B1031" t="s">
        <v>8</v>
      </c>
      <c r="C1031" t="s">
        <v>28</v>
      </c>
      <c r="D1031" t="s">
        <v>29</v>
      </c>
      <c r="E1031">
        <v>2030</v>
      </c>
      <c r="F1031">
        <v>5879215.2019956233</v>
      </c>
    </row>
    <row r="1032" spans="1:6" x14ac:dyDescent="0.25">
      <c r="A1032" t="s">
        <v>130</v>
      </c>
      <c r="B1032" t="s">
        <v>8</v>
      </c>
      <c r="C1032" t="s">
        <v>28</v>
      </c>
      <c r="D1032" t="s">
        <v>52</v>
      </c>
      <c r="E1032">
        <v>2030</v>
      </c>
      <c r="F1032">
        <v>773085.89354292606</v>
      </c>
    </row>
    <row r="1033" spans="1:6" x14ac:dyDescent="0.25">
      <c r="A1033" t="s">
        <v>130</v>
      </c>
      <c r="B1033" t="s">
        <v>8</v>
      </c>
      <c r="C1033" t="s">
        <v>28</v>
      </c>
      <c r="D1033" t="s">
        <v>31</v>
      </c>
      <c r="E1033">
        <v>2030</v>
      </c>
      <c r="F1033">
        <v>0</v>
      </c>
    </row>
    <row r="1034" spans="1:6" x14ac:dyDescent="0.25">
      <c r="A1034" t="s">
        <v>130</v>
      </c>
      <c r="B1034" t="s">
        <v>8</v>
      </c>
      <c r="C1034" t="s">
        <v>28</v>
      </c>
      <c r="D1034" t="s">
        <v>34</v>
      </c>
      <c r="E1034">
        <v>2030</v>
      </c>
      <c r="F1034">
        <v>64498.475475191975</v>
      </c>
    </row>
    <row r="1035" spans="1:6" x14ac:dyDescent="0.25">
      <c r="A1035" t="s">
        <v>130</v>
      </c>
      <c r="B1035" t="s">
        <v>8</v>
      </c>
      <c r="C1035" t="s">
        <v>28</v>
      </c>
      <c r="D1035" t="s">
        <v>55</v>
      </c>
      <c r="E1035">
        <v>2030</v>
      </c>
      <c r="F1035">
        <v>841167.61765562883</v>
      </c>
    </row>
    <row r="1036" spans="1:6" x14ac:dyDescent="0.25">
      <c r="A1036" t="s">
        <v>130</v>
      </c>
      <c r="B1036" t="s">
        <v>8</v>
      </c>
      <c r="C1036" t="s">
        <v>28</v>
      </c>
      <c r="D1036" t="s">
        <v>54</v>
      </c>
      <c r="E1036">
        <v>2030</v>
      </c>
      <c r="F1036">
        <v>5657053.7864699624</v>
      </c>
    </row>
    <row r="1037" spans="1:6" x14ac:dyDescent="0.25">
      <c r="A1037" t="s">
        <v>130</v>
      </c>
      <c r="B1037" t="s">
        <v>8</v>
      </c>
      <c r="C1037" t="s">
        <v>28</v>
      </c>
      <c r="D1037" t="s">
        <v>58</v>
      </c>
      <c r="E1037">
        <v>2030</v>
      </c>
      <c r="F1037">
        <v>214099.10609126225</v>
      </c>
    </row>
    <row r="1038" spans="1:6" x14ac:dyDescent="0.25">
      <c r="A1038" t="s">
        <v>130</v>
      </c>
      <c r="B1038" t="s">
        <v>8</v>
      </c>
      <c r="C1038" t="s">
        <v>28</v>
      </c>
      <c r="D1038" t="s">
        <v>36</v>
      </c>
      <c r="E1038">
        <v>2030</v>
      </c>
      <c r="F1038">
        <v>0</v>
      </c>
    </row>
    <row r="1039" spans="1:6" x14ac:dyDescent="0.25">
      <c r="A1039" t="s">
        <v>130</v>
      </c>
      <c r="B1039" t="s">
        <v>8</v>
      </c>
      <c r="C1039" t="s">
        <v>28</v>
      </c>
      <c r="D1039" t="s">
        <v>35</v>
      </c>
      <c r="E1039">
        <v>2030</v>
      </c>
      <c r="F1039">
        <v>0</v>
      </c>
    </row>
    <row r="1040" spans="1:6" x14ac:dyDescent="0.25">
      <c r="A1040" t="s">
        <v>130</v>
      </c>
      <c r="B1040" t="s">
        <v>8</v>
      </c>
      <c r="C1040" t="s">
        <v>28</v>
      </c>
      <c r="D1040" t="s">
        <v>53</v>
      </c>
      <c r="E1040">
        <v>2030</v>
      </c>
      <c r="F1040">
        <v>12237689.909258299</v>
      </c>
    </row>
    <row r="1041" spans="1:6" x14ac:dyDescent="0.25">
      <c r="A1041" t="s">
        <v>130</v>
      </c>
      <c r="B1041" t="s">
        <v>8</v>
      </c>
      <c r="C1041" t="s">
        <v>28</v>
      </c>
      <c r="D1041" t="s">
        <v>59</v>
      </c>
      <c r="E1041">
        <v>2030</v>
      </c>
      <c r="F1041">
        <v>1515714.1736670113</v>
      </c>
    </row>
    <row r="1042" spans="1:6" x14ac:dyDescent="0.25">
      <c r="A1042" t="s">
        <v>130</v>
      </c>
      <c r="B1042" t="s">
        <v>8</v>
      </c>
      <c r="C1042" t="s">
        <v>28</v>
      </c>
      <c r="D1042" t="s">
        <v>60</v>
      </c>
      <c r="E1042">
        <v>2030</v>
      </c>
      <c r="F1042">
        <v>0</v>
      </c>
    </row>
    <row r="1043" spans="1:6" x14ac:dyDescent="0.25">
      <c r="A1043" t="s">
        <v>130</v>
      </c>
      <c r="B1043" t="s">
        <v>8</v>
      </c>
      <c r="C1043" t="s">
        <v>28</v>
      </c>
      <c r="D1043" t="s">
        <v>61</v>
      </c>
      <c r="E1043">
        <v>2030</v>
      </c>
      <c r="F1043">
        <v>0</v>
      </c>
    </row>
    <row r="1044" spans="1:6" x14ac:dyDescent="0.25">
      <c r="A1044" t="s">
        <v>130</v>
      </c>
      <c r="B1044" t="s">
        <v>8</v>
      </c>
      <c r="C1044" t="s">
        <v>28</v>
      </c>
      <c r="D1044" t="s">
        <v>62</v>
      </c>
      <c r="E1044">
        <v>2030</v>
      </c>
      <c r="F1044">
        <v>39415.735012617326</v>
      </c>
    </row>
    <row r="1045" spans="1:6" x14ac:dyDescent="0.25">
      <c r="A1045" t="s">
        <v>130</v>
      </c>
      <c r="B1045" t="s">
        <v>8</v>
      </c>
      <c r="C1045" t="s">
        <v>28</v>
      </c>
      <c r="D1045" t="s">
        <v>63</v>
      </c>
      <c r="E1045">
        <v>2030</v>
      </c>
      <c r="F1045">
        <v>4828427.5390456226</v>
      </c>
    </row>
    <row r="1046" spans="1:6" x14ac:dyDescent="0.25">
      <c r="A1046" t="s">
        <v>130</v>
      </c>
      <c r="B1046" t="s">
        <v>8</v>
      </c>
      <c r="C1046" t="s">
        <v>28</v>
      </c>
      <c r="D1046" t="s">
        <v>29</v>
      </c>
      <c r="E1046">
        <v>2050</v>
      </c>
      <c r="F1046">
        <v>7055058.2423947481</v>
      </c>
    </row>
    <row r="1047" spans="1:6" x14ac:dyDescent="0.25">
      <c r="A1047" t="s">
        <v>130</v>
      </c>
      <c r="B1047" t="s">
        <v>8</v>
      </c>
      <c r="C1047" t="s">
        <v>28</v>
      </c>
      <c r="D1047" t="s">
        <v>52</v>
      </c>
      <c r="E1047">
        <v>2050</v>
      </c>
      <c r="F1047">
        <v>927703.07225151139</v>
      </c>
    </row>
    <row r="1048" spans="1:6" x14ac:dyDescent="0.25">
      <c r="A1048" t="s">
        <v>130</v>
      </c>
      <c r="B1048" t="s">
        <v>8</v>
      </c>
      <c r="C1048" t="s">
        <v>28</v>
      </c>
      <c r="D1048" t="s">
        <v>31</v>
      </c>
      <c r="E1048">
        <v>2050</v>
      </c>
      <c r="F1048">
        <v>0</v>
      </c>
    </row>
    <row r="1049" spans="1:6" x14ac:dyDescent="0.25">
      <c r="A1049" t="s">
        <v>130</v>
      </c>
      <c r="B1049" t="s">
        <v>8</v>
      </c>
      <c r="C1049" t="s">
        <v>28</v>
      </c>
      <c r="D1049" t="s">
        <v>34</v>
      </c>
      <c r="E1049">
        <v>2050</v>
      </c>
      <c r="F1049">
        <v>77398.170570230373</v>
      </c>
    </row>
    <row r="1050" spans="1:6" x14ac:dyDescent="0.25">
      <c r="A1050" t="s">
        <v>130</v>
      </c>
      <c r="B1050" t="s">
        <v>8</v>
      </c>
      <c r="C1050" t="s">
        <v>28</v>
      </c>
      <c r="D1050" t="s">
        <v>55</v>
      </c>
      <c r="E1050">
        <v>2050</v>
      </c>
      <c r="F1050">
        <v>1009401.1411867546</v>
      </c>
    </row>
    <row r="1051" spans="1:6" x14ac:dyDescent="0.25">
      <c r="A1051" t="s">
        <v>130</v>
      </c>
      <c r="B1051" t="s">
        <v>8</v>
      </c>
      <c r="C1051" t="s">
        <v>28</v>
      </c>
      <c r="D1051" t="s">
        <v>54</v>
      </c>
      <c r="E1051">
        <v>2050</v>
      </c>
      <c r="F1051">
        <v>6788464.5437639551</v>
      </c>
    </row>
    <row r="1052" spans="1:6" x14ac:dyDescent="0.25">
      <c r="A1052" t="s">
        <v>130</v>
      </c>
      <c r="B1052" t="s">
        <v>8</v>
      </c>
      <c r="C1052" t="s">
        <v>28</v>
      </c>
      <c r="D1052" t="s">
        <v>58</v>
      </c>
      <c r="E1052">
        <v>2050</v>
      </c>
      <c r="F1052">
        <v>256918.92730951472</v>
      </c>
    </row>
    <row r="1053" spans="1:6" x14ac:dyDescent="0.25">
      <c r="A1053" t="s">
        <v>130</v>
      </c>
      <c r="B1053" t="s">
        <v>8</v>
      </c>
      <c r="C1053" t="s">
        <v>28</v>
      </c>
      <c r="D1053" t="s">
        <v>36</v>
      </c>
      <c r="E1053">
        <v>2050</v>
      </c>
      <c r="F1053">
        <v>0</v>
      </c>
    </row>
    <row r="1054" spans="1:6" x14ac:dyDescent="0.25">
      <c r="A1054" t="s">
        <v>130</v>
      </c>
      <c r="B1054" t="s">
        <v>8</v>
      </c>
      <c r="C1054" t="s">
        <v>28</v>
      </c>
      <c r="D1054" t="s">
        <v>35</v>
      </c>
      <c r="E1054">
        <v>2050</v>
      </c>
      <c r="F1054">
        <v>0</v>
      </c>
    </row>
    <row r="1055" spans="1:6" x14ac:dyDescent="0.25">
      <c r="A1055" t="s">
        <v>130</v>
      </c>
      <c r="B1055" t="s">
        <v>8</v>
      </c>
      <c r="C1055" t="s">
        <v>28</v>
      </c>
      <c r="D1055" t="s">
        <v>53</v>
      </c>
      <c r="E1055">
        <v>2050</v>
      </c>
      <c r="F1055">
        <v>14685227.891109958</v>
      </c>
    </row>
    <row r="1056" spans="1:6" x14ac:dyDescent="0.25">
      <c r="A1056" t="s">
        <v>130</v>
      </c>
      <c r="B1056" t="s">
        <v>8</v>
      </c>
      <c r="C1056" t="s">
        <v>28</v>
      </c>
      <c r="D1056" t="s">
        <v>59</v>
      </c>
      <c r="E1056">
        <v>2050</v>
      </c>
      <c r="F1056">
        <v>1818857.0084004137</v>
      </c>
    </row>
    <row r="1057" spans="1:6" x14ac:dyDescent="0.25">
      <c r="A1057" t="s">
        <v>130</v>
      </c>
      <c r="B1057" t="s">
        <v>8</v>
      </c>
      <c r="C1057" t="s">
        <v>28</v>
      </c>
      <c r="D1057" t="s">
        <v>60</v>
      </c>
      <c r="E1057">
        <v>2050</v>
      </c>
      <c r="F1057">
        <v>0</v>
      </c>
    </row>
    <row r="1058" spans="1:6" x14ac:dyDescent="0.25">
      <c r="A1058" t="s">
        <v>130</v>
      </c>
      <c r="B1058" t="s">
        <v>8</v>
      </c>
      <c r="C1058" t="s">
        <v>28</v>
      </c>
      <c r="D1058" t="s">
        <v>61</v>
      </c>
      <c r="E1058">
        <v>2050</v>
      </c>
      <c r="F1058">
        <v>0</v>
      </c>
    </row>
    <row r="1059" spans="1:6" x14ac:dyDescent="0.25">
      <c r="A1059" t="s">
        <v>130</v>
      </c>
      <c r="B1059" t="s">
        <v>8</v>
      </c>
      <c r="C1059" t="s">
        <v>28</v>
      </c>
      <c r="D1059" t="s">
        <v>62</v>
      </c>
      <c r="E1059">
        <v>2050</v>
      </c>
      <c r="F1059">
        <v>47298.882015140785</v>
      </c>
    </row>
    <row r="1060" spans="1:6" x14ac:dyDescent="0.25">
      <c r="A1060" t="s">
        <v>130</v>
      </c>
      <c r="B1060" t="s">
        <v>8</v>
      </c>
      <c r="C1060" t="s">
        <v>28</v>
      </c>
      <c r="D1060" t="s">
        <v>63</v>
      </c>
      <c r="E1060">
        <v>2050</v>
      </c>
      <c r="F1060">
        <v>5794113.0468547465</v>
      </c>
    </row>
    <row r="1061" spans="1:6" x14ac:dyDescent="0.25">
      <c r="A1061" t="s">
        <v>130</v>
      </c>
      <c r="B1061" t="s">
        <v>8</v>
      </c>
      <c r="C1061" t="s">
        <v>43</v>
      </c>
      <c r="D1061" t="s">
        <v>29</v>
      </c>
      <c r="E1061">
        <v>2019</v>
      </c>
      <c r="F1061">
        <v>721621.60770550335</v>
      </c>
    </row>
    <row r="1062" spans="1:6" x14ac:dyDescent="0.25">
      <c r="A1062" t="s">
        <v>130</v>
      </c>
      <c r="B1062" t="s">
        <v>8</v>
      </c>
      <c r="C1062" t="s">
        <v>43</v>
      </c>
      <c r="D1062" t="s">
        <v>52</v>
      </c>
      <c r="E1062">
        <v>2019</v>
      </c>
      <c r="F1062">
        <v>94889.448034412548</v>
      </c>
    </row>
    <row r="1063" spans="1:6" x14ac:dyDescent="0.25">
      <c r="A1063" t="s">
        <v>130</v>
      </c>
      <c r="B1063" t="s">
        <v>8</v>
      </c>
      <c r="C1063" t="s">
        <v>43</v>
      </c>
      <c r="D1063" t="s">
        <v>31</v>
      </c>
      <c r="E1063">
        <v>2019</v>
      </c>
      <c r="F1063">
        <v>0</v>
      </c>
    </row>
    <row r="1064" spans="1:6" x14ac:dyDescent="0.25">
      <c r="A1064" t="s">
        <v>130</v>
      </c>
      <c r="B1064" t="s">
        <v>8</v>
      </c>
      <c r="C1064" t="s">
        <v>43</v>
      </c>
      <c r="D1064" t="s">
        <v>34</v>
      </c>
      <c r="E1064">
        <v>2019</v>
      </c>
      <c r="F1064">
        <v>7916.616753740097</v>
      </c>
    </row>
    <row r="1065" spans="1:6" x14ac:dyDescent="0.25">
      <c r="A1065" t="s">
        <v>130</v>
      </c>
      <c r="B1065" t="s">
        <v>8</v>
      </c>
      <c r="C1065" t="s">
        <v>43</v>
      </c>
      <c r="D1065" t="s">
        <v>55</v>
      </c>
      <c r="E1065">
        <v>2019</v>
      </c>
      <c r="F1065">
        <v>103245.87683002709</v>
      </c>
    </row>
    <row r="1066" spans="1:6" x14ac:dyDescent="0.25">
      <c r="A1066" t="s">
        <v>130</v>
      </c>
      <c r="B1066" t="s">
        <v>8</v>
      </c>
      <c r="C1066" t="s">
        <v>43</v>
      </c>
      <c r="D1066" t="s">
        <v>54</v>
      </c>
      <c r="E1066">
        <v>2019</v>
      </c>
      <c r="F1066">
        <v>694353.2611092875</v>
      </c>
    </row>
    <row r="1067" spans="1:6" x14ac:dyDescent="0.25">
      <c r="A1067" t="s">
        <v>130</v>
      </c>
      <c r="B1067" t="s">
        <v>8</v>
      </c>
      <c r="C1067" t="s">
        <v>43</v>
      </c>
      <c r="D1067" t="s">
        <v>58</v>
      </c>
      <c r="E1067">
        <v>2019</v>
      </c>
      <c r="F1067">
        <v>26278.769501998373</v>
      </c>
    </row>
    <row r="1068" spans="1:6" x14ac:dyDescent="0.25">
      <c r="A1068" t="s">
        <v>130</v>
      </c>
      <c r="B1068" t="s">
        <v>8</v>
      </c>
      <c r="C1068" t="s">
        <v>43</v>
      </c>
      <c r="D1068" t="s">
        <v>36</v>
      </c>
      <c r="E1068">
        <v>2019</v>
      </c>
      <c r="F1068">
        <v>0</v>
      </c>
    </row>
    <row r="1069" spans="1:6" x14ac:dyDescent="0.25">
      <c r="A1069" t="s">
        <v>130</v>
      </c>
      <c r="B1069" t="s">
        <v>8</v>
      </c>
      <c r="C1069" t="s">
        <v>43</v>
      </c>
      <c r="D1069" t="s">
        <v>35</v>
      </c>
      <c r="E1069">
        <v>2019</v>
      </c>
      <c r="F1069">
        <v>0</v>
      </c>
    </row>
    <row r="1070" spans="1:6" x14ac:dyDescent="0.25">
      <c r="A1070" t="s">
        <v>130</v>
      </c>
      <c r="B1070" t="s">
        <v>8</v>
      </c>
      <c r="C1070" t="s">
        <v>43</v>
      </c>
      <c r="D1070" t="s">
        <v>53</v>
      </c>
      <c r="E1070">
        <v>2019</v>
      </c>
      <c r="F1070">
        <v>1502068.0760117143</v>
      </c>
    </row>
    <row r="1071" spans="1:6" x14ac:dyDescent="0.25">
      <c r="A1071" t="s">
        <v>130</v>
      </c>
      <c r="B1071" t="s">
        <v>8</v>
      </c>
      <c r="C1071" t="s">
        <v>43</v>
      </c>
      <c r="D1071" t="s">
        <v>59</v>
      </c>
      <c r="E1071">
        <v>2019</v>
      </c>
      <c r="F1071">
        <v>186040.49371289223</v>
      </c>
    </row>
    <row r="1072" spans="1:6" x14ac:dyDescent="0.25">
      <c r="A1072" t="s">
        <v>130</v>
      </c>
      <c r="B1072" t="s">
        <v>8</v>
      </c>
      <c r="C1072" t="s">
        <v>43</v>
      </c>
      <c r="D1072" t="s">
        <v>60</v>
      </c>
      <c r="E1072">
        <v>2019</v>
      </c>
      <c r="F1072">
        <v>0</v>
      </c>
    </row>
    <row r="1073" spans="1:6" x14ac:dyDescent="0.25">
      <c r="A1073" t="s">
        <v>130</v>
      </c>
      <c r="B1073" t="s">
        <v>8</v>
      </c>
      <c r="C1073" t="s">
        <v>43</v>
      </c>
      <c r="D1073" t="s">
        <v>61</v>
      </c>
      <c r="E1073">
        <v>2019</v>
      </c>
      <c r="F1073">
        <v>0</v>
      </c>
    </row>
    <row r="1074" spans="1:6" x14ac:dyDescent="0.25">
      <c r="A1074" t="s">
        <v>130</v>
      </c>
      <c r="B1074" t="s">
        <v>8</v>
      </c>
      <c r="C1074" t="s">
        <v>43</v>
      </c>
      <c r="D1074" t="s">
        <v>62</v>
      </c>
      <c r="E1074">
        <v>2019</v>
      </c>
      <c r="F1074">
        <v>4837.9324606189475</v>
      </c>
    </row>
    <row r="1075" spans="1:6" x14ac:dyDescent="0.25">
      <c r="A1075" t="s">
        <v>130</v>
      </c>
      <c r="B1075" t="s">
        <v>8</v>
      </c>
      <c r="C1075" t="s">
        <v>43</v>
      </c>
      <c r="D1075" t="s">
        <v>63</v>
      </c>
      <c r="E1075">
        <v>2019</v>
      </c>
      <c r="F1075">
        <v>592646.72642582108</v>
      </c>
    </row>
    <row r="1076" spans="1:6" x14ac:dyDescent="0.25">
      <c r="A1076" t="s">
        <v>130</v>
      </c>
      <c r="B1076" t="s">
        <v>8</v>
      </c>
      <c r="C1076" t="s">
        <v>43</v>
      </c>
      <c r="D1076" t="s">
        <v>29</v>
      </c>
      <c r="E1076">
        <v>2030</v>
      </c>
      <c r="F1076">
        <v>721621.60770550347</v>
      </c>
    </row>
    <row r="1077" spans="1:6" x14ac:dyDescent="0.25">
      <c r="A1077" t="s">
        <v>130</v>
      </c>
      <c r="B1077" t="s">
        <v>8</v>
      </c>
      <c r="C1077" t="s">
        <v>43</v>
      </c>
      <c r="D1077" t="s">
        <v>52</v>
      </c>
      <c r="E1077">
        <v>2030</v>
      </c>
      <c r="F1077">
        <v>94889.448034412562</v>
      </c>
    </row>
    <row r="1078" spans="1:6" x14ac:dyDescent="0.25">
      <c r="A1078" t="s">
        <v>130</v>
      </c>
      <c r="B1078" t="s">
        <v>8</v>
      </c>
      <c r="C1078" t="s">
        <v>43</v>
      </c>
      <c r="D1078" t="s">
        <v>31</v>
      </c>
      <c r="E1078">
        <v>2030</v>
      </c>
      <c r="F1078">
        <v>0</v>
      </c>
    </row>
    <row r="1079" spans="1:6" x14ac:dyDescent="0.25">
      <c r="A1079" t="s">
        <v>130</v>
      </c>
      <c r="B1079" t="s">
        <v>8</v>
      </c>
      <c r="C1079" t="s">
        <v>43</v>
      </c>
      <c r="D1079" t="s">
        <v>34</v>
      </c>
      <c r="E1079">
        <v>2030</v>
      </c>
      <c r="F1079">
        <v>7916.616753740097</v>
      </c>
    </row>
    <row r="1080" spans="1:6" x14ac:dyDescent="0.25">
      <c r="A1080" t="s">
        <v>130</v>
      </c>
      <c r="B1080" t="s">
        <v>8</v>
      </c>
      <c r="C1080" t="s">
        <v>43</v>
      </c>
      <c r="D1080" t="s">
        <v>55</v>
      </c>
      <c r="E1080">
        <v>2030</v>
      </c>
      <c r="F1080">
        <v>103245.8768300271</v>
      </c>
    </row>
    <row r="1081" spans="1:6" x14ac:dyDescent="0.25">
      <c r="A1081" t="s">
        <v>130</v>
      </c>
      <c r="B1081" t="s">
        <v>8</v>
      </c>
      <c r="C1081" t="s">
        <v>43</v>
      </c>
      <c r="D1081" t="s">
        <v>54</v>
      </c>
      <c r="E1081">
        <v>2030</v>
      </c>
      <c r="F1081">
        <v>694353.26110928762</v>
      </c>
    </row>
    <row r="1082" spans="1:6" x14ac:dyDescent="0.25">
      <c r="A1082" t="s">
        <v>130</v>
      </c>
      <c r="B1082" t="s">
        <v>8</v>
      </c>
      <c r="C1082" t="s">
        <v>43</v>
      </c>
      <c r="D1082" t="s">
        <v>58</v>
      </c>
      <c r="E1082">
        <v>2030</v>
      </c>
      <c r="F1082">
        <v>26278.769501998377</v>
      </c>
    </row>
    <row r="1083" spans="1:6" x14ac:dyDescent="0.25">
      <c r="A1083" t="s">
        <v>130</v>
      </c>
      <c r="B1083" t="s">
        <v>8</v>
      </c>
      <c r="C1083" t="s">
        <v>43</v>
      </c>
      <c r="D1083" t="s">
        <v>36</v>
      </c>
      <c r="E1083">
        <v>2030</v>
      </c>
      <c r="F1083">
        <v>0</v>
      </c>
    </row>
    <row r="1084" spans="1:6" x14ac:dyDescent="0.25">
      <c r="A1084" t="s">
        <v>130</v>
      </c>
      <c r="B1084" t="s">
        <v>8</v>
      </c>
      <c r="C1084" t="s">
        <v>43</v>
      </c>
      <c r="D1084" t="s">
        <v>35</v>
      </c>
      <c r="E1084">
        <v>2030</v>
      </c>
      <c r="F1084">
        <v>0</v>
      </c>
    </row>
    <row r="1085" spans="1:6" x14ac:dyDescent="0.25">
      <c r="A1085" t="s">
        <v>130</v>
      </c>
      <c r="B1085" t="s">
        <v>8</v>
      </c>
      <c r="C1085" t="s">
        <v>43</v>
      </c>
      <c r="D1085" t="s">
        <v>53</v>
      </c>
      <c r="E1085">
        <v>2030</v>
      </c>
      <c r="F1085">
        <v>1502068.0760117145</v>
      </c>
    </row>
    <row r="1086" spans="1:6" x14ac:dyDescent="0.25">
      <c r="A1086" t="s">
        <v>130</v>
      </c>
      <c r="B1086" t="s">
        <v>8</v>
      </c>
      <c r="C1086" t="s">
        <v>43</v>
      </c>
      <c r="D1086" t="s">
        <v>59</v>
      </c>
      <c r="E1086">
        <v>2030</v>
      </c>
      <c r="F1086">
        <v>186040.49371289229</v>
      </c>
    </row>
    <row r="1087" spans="1:6" x14ac:dyDescent="0.25">
      <c r="A1087" t="s">
        <v>130</v>
      </c>
      <c r="B1087" t="s">
        <v>8</v>
      </c>
      <c r="C1087" t="s">
        <v>43</v>
      </c>
      <c r="D1087" t="s">
        <v>60</v>
      </c>
      <c r="E1087">
        <v>2030</v>
      </c>
      <c r="F1087">
        <v>0</v>
      </c>
    </row>
    <row r="1088" spans="1:6" x14ac:dyDescent="0.25">
      <c r="A1088" t="s">
        <v>130</v>
      </c>
      <c r="B1088" t="s">
        <v>8</v>
      </c>
      <c r="C1088" t="s">
        <v>43</v>
      </c>
      <c r="D1088" t="s">
        <v>61</v>
      </c>
      <c r="E1088">
        <v>2030</v>
      </c>
      <c r="F1088">
        <v>0</v>
      </c>
    </row>
    <row r="1089" spans="1:6" x14ac:dyDescent="0.25">
      <c r="A1089" t="s">
        <v>130</v>
      </c>
      <c r="B1089" t="s">
        <v>8</v>
      </c>
      <c r="C1089" t="s">
        <v>43</v>
      </c>
      <c r="D1089" t="s">
        <v>62</v>
      </c>
      <c r="E1089">
        <v>2030</v>
      </c>
      <c r="F1089">
        <v>4837.9324606189484</v>
      </c>
    </row>
    <row r="1090" spans="1:6" x14ac:dyDescent="0.25">
      <c r="A1090" t="s">
        <v>130</v>
      </c>
      <c r="B1090" t="s">
        <v>8</v>
      </c>
      <c r="C1090" t="s">
        <v>43</v>
      </c>
      <c r="D1090" t="s">
        <v>63</v>
      </c>
      <c r="E1090">
        <v>2030</v>
      </c>
      <c r="F1090">
        <v>592646.72642582119</v>
      </c>
    </row>
    <row r="1091" spans="1:6" x14ac:dyDescent="0.25">
      <c r="A1091" t="s">
        <v>130</v>
      </c>
      <c r="B1091" t="s">
        <v>8</v>
      </c>
      <c r="C1091" t="s">
        <v>43</v>
      </c>
      <c r="D1091" t="s">
        <v>29</v>
      </c>
      <c r="E1091">
        <v>2050</v>
      </c>
      <c r="F1091">
        <v>865945.92924660421</v>
      </c>
    </row>
    <row r="1092" spans="1:6" x14ac:dyDescent="0.25">
      <c r="A1092" t="s">
        <v>130</v>
      </c>
      <c r="B1092" t="s">
        <v>8</v>
      </c>
      <c r="C1092" t="s">
        <v>43</v>
      </c>
      <c r="D1092" t="s">
        <v>52</v>
      </c>
      <c r="E1092">
        <v>2050</v>
      </c>
      <c r="F1092">
        <v>113867.33764129507</v>
      </c>
    </row>
    <row r="1093" spans="1:6" x14ac:dyDescent="0.25">
      <c r="A1093" t="s">
        <v>130</v>
      </c>
      <c r="B1093" t="s">
        <v>8</v>
      </c>
      <c r="C1093" t="s">
        <v>43</v>
      </c>
      <c r="D1093" t="s">
        <v>31</v>
      </c>
      <c r="E1093">
        <v>2050</v>
      </c>
      <c r="F1093">
        <v>0</v>
      </c>
    </row>
    <row r="1094" spans="1:6" x14ac:dyDescent="0.25">
      <c r="A1094" t="s">
        <v>130</v>
      </c>
      <c r="B1094" t="s">
        <v>8</v>
      </c>
      <c r="C1094" t="s">
        <v>43</v>
      </c>
      <c r="D1094" t="s">
        <v>34</v>
      </c>
      <c r="E1094">
        <v>2050</v>
      </c>
      <c r="F1094">
        <v>9499.9401044881179</v>
      </c>
    </row>
    <row r="1095" spans="1:6" x14ac:dyDescent="0.25">
      <c r="A1095" t="s">
        <v>130</v>
      </c>
      <c r="B1095" t="s">
        <v>8</v>
      </c>
      <c r="C1095" t="s">
        <v>43</v>
      </c>
      <c r="D1095" t="s">
        <v>55</v>
      </c>
      <c r="E1095">
        <v>2050</v>
      </c>
      <c r="F1095">
        <v>123895.05219603253</v>
      </c>
    </row>
    <row r="1096" spans="1:6" x14ac:dyDescent="0.25">
      <c r="A1096" t="s">
        <v>130</v>
      </c>
      <c r="B1096" t="s">
        <v>8</v>
      </c>
      <c r="C1096" t="s">
        <v>43</v>
      </c>
      <c r="D1096" t="s">
        <v>54</v>
      </c>
      <c r="E1096">
        <v>2050</v>
      </c>
      <c r="F1096">
        <v>833223.91333114507</v>
      </c>
    </row>
    <row r="1097" spans="1:6" x14ac:dyDescent="0.25">
      <c r="A1097" t="s">
        <v>130</v>
      </c>
      <c r="B1097" t="s">
        <v>8</v>
      </c>
      <c r="C1097" t="s">
        <v>43</v>
      </c>
      <c r="D1097" t="s">
        <v>58</v>
      </c>
      <c r="E1097">
        <v>2050</v>
      </c>
      <c r="F1097">
        <v>31534.523402398052</v>
      </c>
    </row>
    <row r="1098" spans="1:6" x14ac:dyDescent="0.25">
      <c r="A1098" t="s">
        <v>130</v>
      </c>
      <c r="B1098" t="s">
        <v>8</v>
      </c>
      <c r="C1098" t="s">
        <v>43</v>
      </c>
      <c r="D1098" t="s">
        <v>36</v>
      </c>
      <c r="E1098">
        <v>2050</v>
      </c>
      <c r="F1098">
        <v>0</v>
      </c>
    </row>
    <row r="1099" spans="1:6" x14ac:dyDescent="0.25">
      <c r="A1099" t="s">
        <v>130</v>
      </c>
      <c r="B1099" t="s">
        <v>8</v>
      </c>
      <c r="C1099" t="s">
        <v>43</v>
      </c>
      <c r="D1099" t="s">
        <v>35</v>
      </c>
      <c r="E1099">
        <v>2050</v>
      </c>
      <c r="F1099">
        <v>0</v>
      </c>
    </row>
    <row r="1100" spans="1:6" x14ac:dyDescent="0.25">
      <c r="A1100" t="s">
        <v>130</v>
      </c>
      <c r="B1100" t="s">
        <v>8</v>
      </c>
      <c r="C1100" t="s">
        <v>43</v>
      </c>
      <c r="D1100" t="s">
        <v>53</v>
      </c>
      <c r="E1100">
        <v>2050</v>
      </c>
      <c r="F1100">
        <v>1802481.6912140576</v>
      </c>
    </row>
    <row r="1101" spans="1:6" x14ac:dyDescent="0.25">
      <c r="A1101" t="s">
        <v>130</v>
      </c>
      <c r="B1101" t="s">
        <v>8</v>
      </c>
      <c r="C1101" t="s">
        <v>43</v>
      </c>
      <c r="D1101" t="s">
        <v>59</v>
      </c>
      <c r="E1101">
        <v>2050</v>
      </c>
      <c r="F1101">
        <v>223248.59245547073</v>
      </c>
    </row>
    <row r="1102" spans="1:6" x14ac:dyDescent="0.25">
      <c r="A1102" t="s">
        <v>130</v>
      </c>
      <c r="B1102" t="s">
        <v>8</v>
      </c>
      <c r="C1102" t="s">
        <v>43</v>
      </c>
      <c r="D1102" t="s">
        <v>60</v>
      </c>
      <c r="E1102">
        <v>2050</v>
      </c>
      <c r="F1102">
        <v>0</v>
      </c>
    </row>
    <row r="1103" spans="1:6" x14ac:dyDescent="0.25">
      <c r="A1103" t="s">
        <v>130</v>
      </c>
      <c r="B1103" t="s">
        <v>8</v>
      </c>
      <c r="C1103" t="s">
        <v>43</v>
      </c>
      <c r="D1103" t="s">
        <v>61</v>
      </c>
      <c r="E1103">
        <v>2050</v>
      </c>
      <c r="F1103">
        <v>0</v>
      </c>
    </row>
    <row r="1104" spans="1:6" x14ac:dyDescent="0.25">
      <c r="A1104" t="s">
        <v>130</v>
      </c>
      <c r="B1104" t="s">
        <v>8</v>
      </c>
      <c r="C1104" t="s">
        <v>43</v>
      </c>
      <c r="D1104" t="s">
        <v>62</v>
      </c>
      <c r="E1104">
        <v>2050</v>
      </c>
      <c r="F1104">
        <v>5805.5189527427383</v>
      </c>
    </row>
    <row r="1105" spans="1:6" x14ac:dyDescent="0.25">
      <c r="A1105" t="s">
        <v>130</v>
      </c>
      <c r="B1105" t="s">
        <v>8</v>
      </c>
      <c r="C1105" t="s">
        <v>43</v>
      </c>
      <c r="D1105" t="s">
        <v>63</v>
      </c>
      <c r="E1105">
        <v>2050</v>
      </c>
      <c r="F1105">
        <v>711176.0717109855</v>
      </c>
    </row>
    <row r="1106" spans="1:6" x14ac:dyDescent="0.25">
      <c r="A1106" t="s">
        <v>130</v>
      </c>
      <c r="B1106" t="s">
        <v>13</v>
      </c>
      <c r="C1106" t="s">
        <v>28</v>
      </c>
      <c r="D1106" t="s">
        <v>52</v>
      </c>
      <c r="E1106">
        <v>2019</v>
      </c>
      <c r="F1106">
        <v>1159590.3134327475</v>
      </c>
    </row>
    <row r="1107" spans="1:6" x14ac:dyDescent="0.25">
      <c r="A1107" t="s">
        <v>130</v>
      </c>
      <c r="B1107" t="s">
        <v>13</v>
      </c>
      <c r="C1107" t="s">
        <v>28</v>
      </c>
      <c r="D1107" t="s">
        <v>64</v>
      </c>
      <c r="E1107">
        <v>2019</v>
      </c>
      <c r="F1107">
        <v>3102.9355833262225</v>
      </c>
    </row>
    <row r="1108" spans="1:6" x14ac:dyDescent="0.25">
      <c r="A1108" t="s">
        <v>130</v>
      </c>
      <c r="B1108" t="s">
        <v>13</v>
      </c>
      <c r="C1108" t="s">
        <v>28</v>
      </c>
      <c r="D1108" t="s">
        <v>65</v>
      </c>
      <c r="E1108">
        <v>2019</v>
      </c>
      <c r="F1108">
        <v>172205.06744997756</v>
      </c>
    </row>
    <row r="1109" spans="1:6" x14ac:dyDescent="0.25">
      <c r="A1109" t="s">
        <v>130</v>
      </c>
      <c r="B1109" t="s">
        <v>13</v>
      </c>
      <c r="C1109" t="s">
        <v>28</v>
      </c>
      <c r="D1109" t="s">
        <v>66</v>
      </c>
      <c r="E1109">
        <v>2019</v>
      </c>
      <c r="F1109">
        <v>2328635.6388303456</v>
      </c>
    </row>
    <row r="1110" spans="1:6" x14ac:dyDescent="0.25">
      <c r="A1110" t="s">
        <v>130</v>
      </c>
      <c r="B1110" t="s">
        <v>13</v>
      </c>
      <c r="C1110" t="s">
        <v>28</v>
      </c>
      <c r="D1110" t="s">
        <v>56</v>
      </c>
      <c r="E1110">
        <v>2019</v>
      </c>
      <c r="F1110">
        <v>530420.38785042788</v>
      </c>
    </row>
    <row r="1111" spans="1:6" x14ac:dyDescent="0.25">
      <c r="A1111" t="s">
        <v>130</v>
      </c>
      <c r="B1111" t="s">
        <v>13</v>
      </c>
      <c r="C1111" t="s">
        <v>28</v>
      </c>
      <c r="D1111" t="s">
        <v>48</v>
      </c>
      <c r="E1111">
        <v>2019</v>
      </c>
      <c r="F1111">
        <v>0</v>
      </c>
    </row>
    <row r="1112" spans="1:6" x14ac:dyDescent="0.25">
      <c r="A1112" t="s">
        <v>130</v>
      </c>
      <c r="B1112" t="s">
        <v>67</v>
      </c>
      <c r="C1112" t="s">
        <v>28</v>
      </c>
      <c r="D1112" t="s">
        <v>52</v>
      </c>
      <c r="E1112">
        <v>2019</v>
      </c>
      <c r="F1112">
        <v>0</v>
      </c>
    </row>
    <row r="1113" spans="1:6" x14ac:dyDescent="0.25">
      <c r="A1113" t="s">
        <v>130</v>
      </c>
      <c r="B1113" t="s">
        <v>67</v>
      </c>
      <c r="C1113" t="s">
        <v>28</v>
      </c>
      <c r="D1113" t="s">
        <v>64</v>
      </c>
      <c r="E1113">
        <v>2019</v>
      </c>
      <c r="F1113">
        <v>152043.84358298479</v>
      </c>
    </row>
    <row r="1114" spans="1:6" x14ac:dyDescent="0.25">
      <c r="A1114" t="s">
        <v>130</v>
      </c>
      <c r="B1114" t="s">
        <v>67</v>
      </c>
      <c r="C1114" t="s">
        <v>28</v>
      </c>
      <c r="D1114" t="s">
        <v>65</v>
      </c>
      <c r="E1114">
        <v>2019</v>
      </c>
      <c r="F1114">
        <v>0</v>
      </c>
    </row>
    <row r="1115" spans="1:6" x14ac:dyDescent="0.25">
      <c r="A1115" t="s">
        <v>130</v>
      </c>
      <c r="B1115" t="s">
        <v>67</v>
      </c>
      <c r="C1115" t="s">
        <v>28</v>
      </c>
      <c r="D1115" t="s">
        <v>66</v>
      </c>
      <c r="E1115">
        <v>2019</v>
      </c>
      <c r="F1115">
        <v>0</v>
      </c>
    </row>
    <row r="1116" spans="1:6" x14ac:dyDescent="0.25">
      <c r="A1116" t="s">
        <v>130</v>
      </c>
      <c r="B1116" t="s">
        <v>67</v>
      </c>
      <c r="C1116" t="s">
        <v>28</v>
      </c>
      <c r="D1116" t="s">
        <v>56</v>
      </c>
      <c r="E1116">
        <v>2019</v>
      </c>
      <c r="F1116">
        <v>0</v>
      </c>
    </row>
    <row r="1117" spans="1:6" x14ac:dyDescent="0.25">
      <c r="A1117" t="s">
        <v>130</v>
      </c>
      <c r="B1117" t="s">
        <v>67</v>
      </c>
      <c r="C1117" t="s">
        <v>28</v>
      </c>
      <c r="D1117" t="s">
        <v>48</v>
      </c>
      <c r="E1117">
        <v>2019</v>
      </c>
      <c r="F1117">
        <v>0</v>
      </c>
    </row>
    <row r="1118" spans="1:6" x14ac:dyDescent="0.25">
      <c r="A1118" t="s">
        <v>130</v>
      </c>
      <c r="B1118" t="s">
        <v>13</v>
      </c>
      <c r="C1118" t="s">
        <v>43</v>
      </c>
      <c r="D1118" t="s">
        <v>52</v>
      </c>
      <c r="E1118">
        <v>2019</v>
      </c>
      <c r="F1118">
        <v>734174.89910281403</v>
      </c>
    </row>
    <row r="1119" spans="1:6" x14ac:dyDescent="0.25">
      <c r="A1119" t="s">
        <v>130</v>
      </c>
      <c r="B1119" t="s">
        <v>13</v>
      </c>
      <c r="C1119" t="s">
        <v>43</v>
      </c>
      <c r="D1119" t="s">
        <v>64</v>
      </c>
      <c r="E1119">
        <v>2019</v>
      </c>
      <c r="F1119">
        <v>1238.8744472557355</v>
      </c>
    </row>
    <row r="1120" spans="1:6" x14ac:dyDescent="0.25">
      <c r="A1120" t="s">
        <v>130</v>
      </c>
      <c r="B1120" t="s">
        <v>13</v>
      </c>
      <c r="C1120" t="s">
        <v>43</v>
      </c>
      <c r="D1120" t="s">
        <v>65</v>
      </c>
      <c r="E1120">
        <v>2019</v>
      </c>
      <c r="F1120">
        <v>37577.319945022478</v>
      </c>
    </row>
    <row r="1121" spans="1:6" x14ac:dyDescent="0.25">
      <c r="A1121" t="s">
        <v>130</v>
      </c>
      <c r="B1121" t="s">
        <v>13</v>
      </c>
      <c r="C1121" t="s">
        <v>43</v>
      </c>
      <c r="D1121" t="s">
        <v>66</v>
      </c>
      <c r="E1121">
        <v>2019</v>
      </c>
      <c r="F1121">
        <v>681602.85349434032</v>
      </c>
    </row>
    <row r="1122" spans="1:6" x14ac:dyDescent="0.25">
      <c r="A1122" t="s">
        <v>130</v>
      </c>
      <c r="B1122" t="s">
        <v>13</v>
      </c>
      <c r="C1122" t="s">
        <v>43</v>
      </c>
      <c r="D1122" t="s">
        <v>56</v>
      </c>
      <c r="E1122">
        <v>2019</v>
      </c>
      <c r="F1122">
        <v>452310.61214957217</v>
      </c>
    </row>
    <row r="1123" spans="1:6" x14ac:dyDescent="0.25">
      <c r="A1123" t="s">
        <v>130</v>
      </c>
      <c r="B1123" t="s">
        <v>13</v>
      </c>
      <c r="C1123" t="s">
        <v>43</v>
      </c>
      <c r="D1123" t="s">
        <v>48</v>
      </c>
      <c r="E1123">
        <v>2019</v>
      </c>
      <c r="F1123">
        <v>0</v>
      </c>
    </row>
    <row r="1124" spans="1:6" x14ac:dyDescent="0.25">
      <c r="A1124" t="s">
        <v>130</v>
      </c>
      <c r="B1124" t="s">
        <v>67</v>
      </c>
      <c r="C1124" t="s">
        <v>43</v>
      </c>
      <c r="D1124" t="s">
        <v>52</v>
      </c>
      <c r="E1124">
        <v>2019</v>
      </c>
      <c r="F1124">
        <v>0</v>
      </c>
    </row>
    <row r="1125" spans="1:6" x14ac:dyDescent="0.25">
      <c r="A1125" t="s">
        <v>130</v>
      </c>
      <c r="B1125" t="s">
        <v>67</v>
      </c>
      <c r="C1125" t="s">
        <v>43</v>
      </c>
      <c r="D1125" t="s">
        <v>64</v>
      </c>
      <c r="E1125">
        <v>2019</v>
      </c>
      <c r="F1125">
        <v>60704.847915530983</v>
      </c>
    </row>
    <row r="1126" spans="1:6" x14ac:dyDescent="0.25">
      <c r="A1126" t="s">
        <v>130</v>
      </c>
      <c r="B1126" t="s">
        <v>67</v>
      </c>
      <c r="C1126" t="s">
        <v>43</v>
      </c>
      <c r="D1126" t="s">
        <v>65</v>
      </c>
      <c r="E1126">
        <v>2019</v>
      </c>
      <c r="F1126">
        <v>0</v>
      </c>
    </row>
    <row r="1127" spans="1:6" x14ac:dyDescent="0.25">
      <c r="A1127" t="s">
        <v>130</v>
      </c>
      <c r="B1127" t="s">
        <v>67</v>
      </c>
      <c r="C1127" t="s">
        <v>43</v>
      </c>
      <c r="D1127" t="s">
        <v>66</v>
      </c>
      <c r="E1127">
        <v>2019</v>
      </c>
      <c r="F1127">
        <v>0</v>
      </c>
    </row>
    <row r="1128" spans="1:6" x14ac:dyDescent="0.25">
      <c r="A1128" t="s">
        <v>130</v>
      </c>
      <c r="B1128" t="s">
        <v>67</v>
      </c>
      <c r="C1128" t="s">
        <v>43</v>
      </c>
      <c r="D1128" t="s">
        <v>56</v>
      </c>
      <c r="E1128">
        <v>2019</v>
      </c>
      <c r="F1128">
        <v>0</v>
      </c>
    </row>
    <row r="1129" spans="1:6" x14ac:dyDescent="0.25">
      <c r="A1129" t="s">
        <v>130</v>
      </c>
      <c r="B1129" t="s">
        <v>67</v>
      </c>
      <c r="C1129" t="s">
        <v>43</v>
      </c>
      <c r="D1129" t="s">
        <v>48</v>
      </c>
      <c r="E1129">
        <v>2019</v>
      </c>
      <c r="F1129">
        <v>0</v>
      </c>
    </row>
    <row r="1130" spans="1:6" x14ac:dyDescent="0.25">
      <c r="A1130" t="s">
        <v>130</v>
      </c>
      <c r="B1130" t="s">
        <v>13</v>
      </c>
      <c r="C1130" t="s">
        <v>28</v>
      </c>
      <c r="D1130" t="s">
        <v>52</v>
      </c>
      <c r="E1130">
        <v>2030</v>
      </c>
      <c r="F1130">
        <v>1086254.4459537058</v>
      </c>
    </row>
    <row r="1131" spans="1:6" x14ac:dyDescent="0.25">
      <c r="A1131" t="s">
        <v>130</v>
      </c>
      <c r="B1131" t="s">
        <v>13</v>
      </c>
      <c r="C1131" t="s">
        <v>28</v>
      </c>
      <c r="D1131" t="s">
        <v>64</v>
      </c>
      <c r="E1131">
        <v>2030</v>
      </c>
      <c r="F1131">
        <v>162493.02564918654</v>
      </c>
    </row>
    <row r="1132" spans="1:6" x14ac:dyDescent="0.25">
      <c r="A1132" t="s">
        <v>130</v>
      </c>
      <c r="B1132" t="s">
        <v>13</v>
      </c>
      <c r="C1132" t="s">
        <v>28</v>
      </c>
      <c r="D1132" t="s">
        <v>65</v>
      </c>
      <c r="E1132">
        <v>2030</v>
      </c>
      <c r="F1132">
        <v>177516.46640303911</v>
      </c>
    </row>
    <row r="1133" spans="1:6" x14ac:dyDescent="0.25">
      <c r="A1133" t="s">
        <v>130</v>
      </c>
      <c r="B1133" t="s">
        <v>13</v>
      </c>
      <c r="C1133" t="s">
        <v>28</v>
      </c>
      <c r="D1133" t="s">
        <v>66</v>
      </c>
      <c r="E1133">
        <v>2030</v>
      </c>
      <c r="F1133">
        <v>2203715.0015238998</v>
      </c>
    </row>
    <row r="1134" spans="1:6" x14ac:dyDescent="0.25">
      <c r="A1134" t="s">
        <v>130</v>
      </c>
      <c r="B1134" t="s">
        <v>13</v>
      </c>
      <c r="C1134" t="s">
        <v>28</v>
      </c>
      <c r="D1134" t="s">
        <v>56</v>
      </c>
      <c r="E1134">
        <v>2030</v>
      </c>
      <c r="F1134">
        <v>526692.30595677684</v>
      </c>
    </row>
    <row r="1135" spans="1:6" x14ac:dyDescent="0.25">
      <c r="A1135" t="s">
        <v>130</v>
      </c>
      <c r="B1135" t="s">
        <v>13</v>
      </c>
      <c r="C1135" t="s">
        <v>28</v>
      </c>
      <c r="D1135" t="s">
        <v>48</v>
      </c>
      <c r="E1135">
        <v>2030</v>
      </c>
      <c r="F1135">
        <v>0</v>
      </c>
    </row>
    <row r="1136" spans="1:6" x14ac:dyDescent="0.25">
      <c r="A1136" t="s">
        <v>130</v>
      </c>
      <c r="B1136" t="s">
        <v>67</v>
      </c>
      <c r="C1136" t="s">
        <v>28</v>
      </c>
      <c r="D1136" t="s">
        <v>52</v>
      </c>
      <c r="E1136">
        <v>2030</v>
      </c>
      <c r="F1136">
        <v>0</v>
      </c>
    </row>
    <row r="1137" spans="1:6" x14ac:dyDescent="0.25">
      <c r="A1137" t="s">
        <v>130</v>
      </c>
      <c r="B1137" t="s">
        <v>67</v>
      </c>
      <c r="C1137" t="s">
        <v>28</v>
      </c>
      <c r="D1137" t="s">
        <v>64</v>
      </c>
      <c r="E1137">
        <v>2030</v>
      </c>
      <c r="F1137">
        <v>0</v>
      </c>
    </row>
    <row r="1138" spans="1:6" x14ac:dyDescent="0.25">
      <c r="A1138" t="s">
        <v>130</v>
      </c>
      <c r="B1138" t="s">
        <v>67</v>
      </c>
      <c r="C1138" t="s">
        <v>28</v>
      </c>
      <c r="D1138" t="s">
        <v>65</v>
      </c>
      <c r="E1138">
        <v>2030</v>
      </c>
      <c r="F1138">
        <v>0</v>
      </c>
    </row>
    <row r="1139" spans="1:6" x14ac:dyDescent="0.25">
      <c r="A1139" t="s">
        <v>130</v>
      </c>
      <c r="B1139" t="s">
        <v>67</v>
      </c>
      <c r="C1139" t="s">
        <v>28</v>
      </c>
      <c r="D1139" t="s">
        <v>66</v>
      </c>
      <c r="E1139">
        <v>2030</v>
      </c>
      <c r="F1139">
        <v>0</v>
      </c>
    </row>
    <row r="1140" spans="1:6" x14ac:dyDescent="0.25">
      <c r="A1140" t="s">
        <v>130</v>
      </c>
      <c r="B1140" t="s">
        <v>67</v>
      </c>
      <c r="C1140" t="s">
        <v>28</v>
      </c>
      <c r="D1140" t="s">
        <v>56</v>
      </c>
      <c r="E1140">
        <v>2030</v>
      </c>
      <c r="F1140">
        <v>0</v>
      </c>
    </row>
    <row r="1141" spans="1:6" x14ac:dyDescent="0.25">
      <c r="A1141" t="s">
        <v>130</v>
      </c>
      <c r="B1141" t="s">
        <v>67</v>
      </c>
      <c r="C1141" t="s">
        <v>28</v>
      </c>
      <c r="D1141" t="s">
        <v>48</v>
      </c>
      <c r="E1141">
        <v>2030</v>
      </c>
      <c r="F1141">
        <v>0</v>
      </c>
    </row>
    <row r="1142" spans="1:6" x14ac:dyDescent="0.25">
      <c r="A1142" t="s">
        <v>130</v>
      </c>
      <c r="B1142" t="s">
        <v>13</v>
      </c>
      <c r="C1142" t="s">
        <v>43</v>
      </c>
      <c r="D1142" t="s">
        <v>52</v>
      </c>
      <c r="E1142">
        <v>2030</v>
      </c>
      <c r="F1142">
        <v>716279.67540878139</v>
      </c>
    </row>
    <row r="1143" spans="1:6" x14ac:dyDescent="0.25">
      <c r="A1143" t="s">
        <v>130</v>
      </c>
      <c r="B1143" t="s">
        <v>13</v>
      </c>
      <c r="C1143" t="s">
        <v>43</v>
      </c>
      <c r="D1143" t="s">
        <v>64</v>
      </c>
      <c r="E1143">
        <v>2030</v>
      </c>
      <c r="F1143">
        <v>65410.493211637622</v>
      </c>
    </row>
    <row r="1144" spans="1:6" x14ac:dyDescent="0.25">
      <c r="A1144" t="s">
        <v>130</v>
      </c>
      <c r="B1144" t="s">
        <v>13</v>
      </c>
      <c r="C1144" t="s">
        <v>43</v>
      </c>
      <c r="D1144" t="s">
        <v>65</v>
      </c>
      <c r="E1144">
        <v>2030</v>
      </c>
      <c r="F1144">
        <v>39419.677245239443</v>
      </c>
    </row>
    <row r="1145" spans="1:6" x14ac:dyDescent="0.25">
      <c r="A1145" t="s">
        <v>130</v>
      </c>
      <c r="B1145" t="s">
        <v>13</v>
      </c>
      <c r="C1145" t="s">
        <v>43</v>
      </c>
      <c r="D1145" t="s">
        <v>66</v>
      </c>
      <c r="E1145">
        <v>2030</v>
      </c>
      <c r="F1145">
        <v>645037.98201828008</v>
      </c>
    </row>
    <row r="1146" spans="1:6" x14ac:dyDescent="0.25">
      <c r="A1146" t="s">
        <v>130</v>
      </c>
      <c r="B1146" t="s">
        <v>13</v>
      </c>
      <c r="C1146" t="s">
        <v>43</v>
      </c>
      <c r="D1146" t="s">
        <v>56</v>
      </c>
      <c r="E1146">
        <v>2030</v>
      </c>
      <c r="F1146">
        <v>456038.69404322316</v>
      </c>
    </row>
    <row r="1147" spans="1:6" x14ac:dyDescent="0.25">
      <c r="A1147" t="s">
        <v>130</v>
      </c>
      <c r="B1147" t="s">
        <v>13</v>
      </c>
      <c r="C1147" t="s">
        <v>43</v>
      </c>
      <c r="D1147" t="s">
        <v>48</v>
      </c>
      <c r="E1147">
        <v>2030</v>
      </c>
      <c r="F1147">
        <v>0</v>
      </c>
    </row>
    <row r="1148" spans="1:6" x14ac:dyDescent="0.25">
      <c r="A1148" t="s">
        <v>130</v>
      </c>
      <c r="B1148" t="s">
        <v>67</v>
      </c>
      <c r="C1148" t="s">
        <v>43</v>
      </c>
      <c r="D1148" t="s">
        <v>52</v>
      </c>
      <c r="E1148">
        <v>2030</v>
      </c>
      <c r="F1148">
        <v>0</v>
      </c>
    </row>
    <row r="1149" spans="1:6" x14ac:dyDescent="0.25">
      <c r="A1149" t="s">
        <v>130</v>
      </c>
      <c r="B1149" t="s">
        <v>67</v>
      </c>
      <c r="C1149" t="s">
        <v>43</v>
      </c>
      <c r="D1149" t="s">
        <v>64</v>
      </c>
      <c r="E1149">
        <v>2030</v>
      </c>
      <c r="F1149">
        <v>0</v>
      </c>
    </row>
    <row r="1150" spans="1:6" x14ac:dyDescent="0.25">
      <c r="A1150" t="s">
        <v>130</v>
      </c>
      <c r="B1150" t="s">
        <v>67</v>
      </c>
      <c r="C1150" t="s">
        <v>43</v>
      </c>
      <c r="D1150" t="s">
        <v>65</v>
      </c>
      <c r="E1150">
        <v>2030</v>
      </c>
      <c r="F1150">
        <v>0</v>
      </c>
    </row>
    <row r="1151" spans="1:6" x14ac:dyDescent="0.25">
      <c r="A1151" t="s">
        <v>130</v>
      </c>
      <c r="B1151" t="s">
        <v>67</v>
      </c>
      <c r="C1151" t="s">
        <v>43</v>
      </c>
      <c r="D1151" t="s">
        <v>66</v>
      </c>
      <c r="E1151">
        <v>2030</v>
      </c>
      <c r="F1151">
        <v>0</v>
      </c>
    </row>
    <row r="1152" spans="1:6" x14ac:dyDescent="0.25">
      <c r="A1152" t="s">
        <v>130</v>
      </c>
      <c r="B1152" t="s">
        <v>67</v>
      </c>
      <c r="C1152" t="s">
        <v>43</v>
      </c>
      <c r="D1152" t="s">
        <v>56</v>
      </c>
      <c r="E1152">
        <v>2030</v>
      </c>
      <c r="F1152">
        <v>0</v>
      </c>
    </row>
    <row r="1153" spans="1:6" x14ac:dyDescent="0.25">
      <c r="A1153" t="s">
        <v>130</v>
      </c>
      <c r="B1153" t="s">
        <v>67</v>
      </c>
      <c r="C1153" t="s">
        <v>43</v>
      </c>
      <c r="D1153" t="s">
        <v>48</v>
      </c>
      <c r="E1153">
        <v>2030</v>
      </c>
      <c r="F1153">
        <v>0</v>
      </c>
    </row>
    <row r="1154" spans="1:6" x14ac:dyDescent="0.25">
      <c r="A1154" t="s">
        <v>130</v>
      </c>
      <c r="B1154" t="s">
        <v>13</v>
      </c>
      <c r="C1154" t="s">
        <v>28</v>
      </c>
      <c r="D1154" t="s">
        <v>52</v>
      </c>
      <c r="E1154">
        <v>2050</v>
      </c>
      <c r="F1154">
        <v>705945.48999946821</v>
      </c>
    </row>
    <row r="1155" spans="1:6" x14ac:dyDescent="0.25">
      <c r="A1155" t="s">
        <v>130</v>
      </c>
      <c r="B1155" t="s">
        <v>13</v>
      </c>
      <c r="C1155" t="s">
        <v>28</v>
      </c>
      <c r="D1155" t="s">
        <v>64</v>
      </c>
      <c r="E1155">
        <v>2050</v>
      </c>
      <c r="F1155">
        <v>156492.78628542495</v>
      </c>
    </row>
    <row r="1156" spans="1:6" x14ac:dyDescent="0.25">
      <c r="A1156" t="s">
        <v>130</v>
      </c>
      <c r="B1156" t="s">
        <v>13</v>
      </c>
      <c r="C1156" t="s">
        <v>28</v>
      </c>
      <c r="D1156" t="s">
        <v>65</v>
      </c>
      <c r="E1156">
        <v>2050</v>
      </c>
      <c r="F1156">
        <v>171775.11908496951</v>
      </c>
    </row>
    <row r="1157" spans="1:6" x14ac:dyDescent="0.25">
      <c r="A1157" t="s">
        <v>130</v>
      </c>
      <c r="B1157" t="s">
        <v>13</v>
      </c>
      <c r="C1157" t="s">
        <v>28</v>
      </c>
      <c r="D1157" t="s">
        <v>66</v>
      </c>
      <c r="E1157">
        <v>2050</v>
      </c>
      <c r="F1157">
        <v>2001135.6433479721</v>
      </c>
    </row>
    <row r="1158" spans="1:6" x14ac:dyDescent="0.25">
      <c r="A1158" t="s">
        <v>130</v>
      </c>
      <c r="B1158" t="s">
        <v>13</v>
      </c>
      <c r="C1158" t="s">
        <v>28</v>
      </c>
      <c r="D1158" t="s">
        <v>56</v>
      </c>
      <c r="E1158">
        <v>2050</v>
      </c>
      <c r="F1158">
        <v>524840.3181212655</v>
      </c>
    </row>
    <row r="1159" spans="1:6" x14ac:dyDescent="0.25">
      <c r="A1159" t="s">
        <v>130</v>
      </c>
      <c r="B1159" t="s">
        <v>13</v>
      </c>
      <c r="C1159" t="s">
        <v>28</v>
      </c>
      <c r="D1159" t="s">
        <v>48</v>
      </c>
      <c r="E1159">
        <v>2050</v>
      </c>
      <c r="F1159">
        <v>0</v>
      </c>
    </row>
    <row r="1160" spans="1:6" x14ac:dyDescent="0.25">
      <c r="A1160" t="s">
        <v>130</v>
      </c>
      <c r="B1160" t="s">
        <v>67</v>
      </c>
      <c r="C1160" t="s">
        <v>28</v>
      </c>
      <c r="D1160" t="s">
        <v>52</v>
      </c>
      <c r="E1160">
        <v>2050</v>
      </c>
      <c r="F1160">
        <v>0</v>
      </c>
    </row>
    <row r="1161" spans="1:6" x14ac:dyDescent="0.25">
      <c r="A1161" t="s">
        <v>130</v>
      </c>
      <c r="B1161" t="s">
        <v>67</v>
      </c>
      <c r="C1161" t="s">
        <v>28</v>
      </c>
      <c r="D1161" t="s">
        <v>64</v>
      </c>
      <c r="E1161">
        <v>2050</v>
      </c>
      <c r="F1161">
        <v>0</v>
      </c>
    </row>
    <row r="1162" spans="1:6" x14ac:dyDescent="0.25">
      <c r="A1162" t="s">
        <v>130</v>
      </c>
      <c r="B1162" t="s">
        <v>67</v>
      </c>
      <c r="C1162" t="s">
        <v>28</v>
      </c>
      <c r="D1162" t="s">
        <v>65</v>
      </c>
      <c r="E1162">
        <v>2050</v>
      </c>
      <c r="F1162">
        <v>0</v>
      </c>
    </row>
    <row r="1163" spans="1:6" x14ac:dyDescent="0.25">
      <c r="A1163" t="s">
        <v>130</v>
      </c>
      <c r="B1163" t="s">
        <v>67</v>
      </c>
      <c r="C1163" t="s">
        <v>28</v>
      </c>
      <c r="D1163" t="s">
        <v>66</v>
      </c>
      <c r="E1163">
        <v>2050</v>
      </c>
      <c r="F1163">
        <v>0</v>
      </c>
    </row>
    <row r="1164" spans="1:6" x14ac:dyDescent="0.25">
      <c r="A1164" t="s">
        <v>130</v>
      </c>
      <c r="B1164" t="s">
        <v>67</v>
      </c>
      <c r="C1164" t="s">
        <v>28</v>
      </c>
      <c r="D1164" t="s">
        <v>56</v>
      </c>
      <c r="E1164">
        <v>2050</v>
      </c>
      <c r="F1164">
        <v>0</v>
      </c>
    </row>
    <row r="1165" spans="1:6" x14ac:dyDescent="0.25">
      <c r="A1165" t="s">
        <v>130</v>
      </c>
      <c r="B1165" t="s">
        <v>67</v>
      </c>
      <c r="C1165" t="s">
        <v>28</v>
      </c>
      <c r="D1165" t="s">
        <v>48</v>
      </c>
      <c r="E1165">
        <v>2050</v>
      </c>
      <c r="F1165">
        <v>0</v>
      </c>
    </row>
    <row r="1166" spans="1:6" x14ac:dyDescent="0.25">
      <c r="A1166" t="s">
        <v>130</v>
      </c>
      <c r="B1166" t="s">
        <v>13</v>
      </c>
      <c r="C1166" t="s">
        <v>43</v>
      </c>
      <c r="D1166" t="s">
        <v>52</v>
      </c>
      <c r="E1166">
        <v>2050</v>
      </c>
      <c r="F1166">
        <v>655860.68265151768</v>
      </c>
    </row>
    <row r="1167" spans="1:6" x14ac:dyDescent="0.25">
      <c r="A1167" t="s">
        <v>130</v>
      </c>
      <c r="B1167" t="s">
        <v>13</v>
      </c>
      <c r="C1167" t="s">
        <v>43</v>
      </c>
      <c r="D1167" t="s">
        <v>64</v>
      </c>
      <c r="E1167">
        <v>2050</v>
      </c>
      <c r="F1167">
        <v>63732.21710113556</v>
      </c>
    </row>
    <row r="1168" spans="1:6" x14ac:dyDescent="0.25">
      <c r="A1168" t="s">
        <v>130</v>
      </c>
      <c r="B1168" t="s">
        <v>13</v>
      </c>
      <c r="C1168" t="s">
        <v>43</v>
      </c>
      <c r="D1168" t="s">
        <v>65</v>
      </c>
      <c r="E1168">
        <v>2050</v>
      </c>
      <c r="F1168">
        <v>38470.033999756291</v>
      </c>
    </row>
    <row r="1169" spans="1:6" x14ac:dyDescent="0.25">
      <c r="A1169" t="s">
        <v>130</v>
      </c>
      <c r="B1169" t="s">
        <v>13</v>
      </c>
      <c r="C1169" t="s">
        <v>43</v>
      </c>
      <c r="D1169" t="s">
        <v>66</v>
      </c>
      <c r="E1169">
        <v>2050</v>
      </c>
      <c r="F1169">
        <v>585110.82295504375</v>
      </c>
    </row>
    <row r="1170" spans="1:6" x14ac:dyDescent="0.25">
      <c r="A1170" t="s">
        <v>130</v>
      </c>
      <c r="B1170" t="s">
        <v>13</v>
      </c>
      <c r="C1170" t="s">
        <v>43</v>
      </c>
      <c r="D1170" t="s">
        <v>56</v>
      </c>
      <c r="E1170">
        <v>2050</v>
      </c>
      <c r="F1170">
        <v>457890.6818787345</v>
      </c>
    </row>
    <row r="1171" spans="1:6" x14ac:dyDescent="0.25">
      <c r="A1171" t="s">
        <v>130</v>
      </c>
      <c r="B1171" t="s">
        <v>13</v>
      </c>
      <c r="C1171" t="s">
        <v>43</v>
      </c>
      <c r="D1171" t="s">
        <v>48</v>
      </c>
      <c r="E1171">
        <v>2050</v>
      </c>
      <c r="F1171">
        <v>0</v>
      </c>
    </row>
    <row r="1172" spans="1:6" x14ac:dyDescent="0.25">
      <c r="A1172" t="s">
        <v>130</v>
      </c>
      <c r="B1172" t="s">
        <v>67</v>
      </c>
      <c r="C1172" t="s">
        <v>43</v>
      </c>
      <c r="D1172" t="s">
        <v>52</v>
      </c>
      <c r="E1172">
        <v>2050</v>
      </c>
      <c r="F1172">
        <v>0</v>
      </c>
    </row>
    <row r="1173" spans="1:6" x14ac:dyDescent="0.25">
      <c r="A1173" t="s">
        <v>130</v>
      </c>
      <c r="B1173" t="s">
        <v>67</v>
      </c>
      <c r="C1173" t="s">
        <v>43</v>
      </c>
      <c r="D1173" t="s">
        <v>64</v>
      </c>
      <c r="E1173">
        <v>2050</v>
      </c>
      <c r="F1173">
        <v>0</v>
      </c>
    </row>
    <row r="1174" spans="1:6" x14ac:dyDescent="0.25">
      <c r="A1174" t="s">
        <v>130</v>
      </c>
      <c r="B1174" t="s">
        <v>67</v>
      </c>
      <c r="C1174" t="s">
        <v>43</v>
      </c>
      <c r="D1174" t="s">
        <v>65</v>
      </c>
      <c r="E1174">
        <v>2050</v>
      </c>
      <c r="F1174">
        <v>0</v>
      </c>
    </row>
    <row r="1175" spans="1:6" x14ac:dyDescent="0.25">
      <c r="A1175" t="s">
        <v>130</v>
      </c>
      <c r="B1175" t="s">
        <v>67</v>
      </c>
      <c r="C1175" t="s">
        <v>43</v>
      </c>
      <c r="D1175" t="s">
        <v>66</v>
      </c>
      <c r="E1175">
        <v>2050</v>
      </c>
      <c r="F1175">
        <v>0</v>
      </c>
    </row>
    <row r="1176" spans="1:6" x14ac:dyDescent="0.25">
      <c r="A1176" t="s">
        <v>130</v>
      </c>
      <c r="B1176" t="s">
        <v>67</v>
      </c>
      <c r="C1176" t="s">
        <v>43</v>
      </c>
      <c r="D1176" t="s">
        <v>56</v>
      </c>
      <c r="E1176">
        <v>2050</v>
      </c>
      <c r="F1176">
        <v>0</v>
      </c>
    </row>
    <row r="1177" spans="1:6" x14ac:dyDescent="0.25">
      <c r="A1177" t="s">
        <v>130</v>
      </c>
      <c r="B1177" t="s">
        <v>67</v>
      </c>
      <c r="C1177" t="s">
        <v>43</v>
      </c>
      <c r="D1177" t="s">
        <v>48</v>
      </c>
      <c r="E1177">
        <v>2050</v>
      </c>
      <c r="F1177">
        <v>0</v>
      </c>
    </row>
    <row r="1178" spans="1:6" x14ac:dyDescent="0.25">
      <c r="A1178" t="s">
        <v>130</v>
      </c>
      <c r="B1178" t="s">
        <v>12</v>
      </c>
      <c r="C1178" t="s">
        <v>28</v>
      </c>
      <c r="D1178" t="s">
        <v>44</v>
      </c>
      <c r="E1178">
        <v>2019</v>
      </c>
      <c r="F1178">
        <v>12818096.433914844</v>
      </c>
    </row>
    <row r="1179" spans="1:6" x14ac:dyDescent="0.25">
      <c r="A1179" t="s">
        <v>130</v>
      </c>
      <c r="B1179" t="s">
        <v>12</v>
      </c>
      <c r="C1179" t="s">
        <v>28</v>
      </c>
      <c r="D1179" t="s">
        <v>45</v>
      </c>
      <c r="E1179">
        <v>2019</v>
      </c>
      <c r="F1179">
        <v>6000958.9027446285</v>
      </c>
    </row>
    <row r="1180" spans="1:6" x14ac:dyDescent="0.25">
      <c r="A1180" t="s">
        <v>130</v>
      </c>
      <c r="B1180" t="s">
        <v>12</v>
      </c>
      <c r="C1180" t="s">
        <v>28</v>
      </c>
      <c r="D1180" t="s">
        <v>46</v>
      </c>
      <c r="E1180">
        <v>2019</v>
      </c>
      <c r="F1180">
        <v>3107.1675348074377</v>
      </c>
    </row>
    <row r="1181" spans="1:6" x14ac:dyDescent="0.25">
      <c r="A1181" t="s">
        <v>130</v>
      </c>
      <c r="B1181" t="s">
        <v>12</v>
      </c>
      <c r="C1181" t="s">
        <v>28</v>
      </c>
      <c r="D1181" t="s">
        <v>50</v>
      </c>
      <c r="E1181">
        <v>2019</v>
      </c>
      <c r="F1181">
        <v>730307.97492940596</v>
      </c>
    </row>
    <row r="1182" spans="1:6" x14ac:dyDescent="0.25">
      <c r="A1182" t="s">
        <v>130</v>
      </c>
      <c r="B1182" t="s">
        <v>12</v>
      </c>
      <c r="C1182" t="s">
        <v>28</v>
      </c>
      <c r="D1182" t="s">
        <v>68</v>
      </c>
      <c r="E1182">
        <v>2019</v>
      </c>
      <c r="F1182">
        <v>7001759.6428652545</v>
      </c>
    </row>
    <row r="1183" spans="1:6" x14ac:dyDescent="0.25">
      <c r="A1183" t="s">
        <v>130</v>
      </c>
      <c r="B1183" t="s">
        <v>12</v>
      </c>
      <c r="C1183" t="s">
        <v>28</v>
      </c>
      <c r="D1183" t="s">
        <v>69</v>
      </c>
      <c r="E1183">
        <v>2019</v>
      </c>
      <c r="F1183">
        <v>720643.40546424</v>
      </c>
    </row>
    <row r="1184" spans="1:6" x14ac:dyDescent="0.25">
      <c r="A1184" t="s">
        <v>130</v>
      </c>
      <c r="B1184" t="s">
        <v>12</v>
      </c>
      <c r="C1184" t="s">
        <v>28</v>
      </c>
      <c r="D1184" t="s">
        <v>44</v>
      </c>
      <c r="E1184">
        <v>2030</v>
      </c>
      <c r="F1184">
        <v>7085171.5926641021</v>
      </c>
    </row>
    <row r="1185" spans="1:6" x14ac:dyDescent="0.25">
      <c r="A1185" t="s">
        <v>130</v>
      </c>
      <c r="B1185" t="s">
        <v>12</v>
      </c>
      <c r="C1185" t="s">
        <v>28</v>
      </c>
      <c r="D1185" t="s">
        <v>45</v>
      </c>
      <c r="E1185">
        <v>2030</v>
      </c>
      <c r="F1185">
        <v>2064375.9771023891</v>
      </c>
    </row>
    <row r="1186" spans="1:6" x14ac:dyDescent="0.25">
      <c r="A1186" t="s">
        <v>130</v>
      </c>
      <c r="B1186" t="s">
        <v>12</v>
      </c>
      <c r="C1186" t="s">
        <v>28</v>
      </c>
      <c r="D1186" t="s">
        <v>46</v>
      </c>
      <c r="E1186">
        <v>2030</v>
      </c>
      <c r="F1186">
        <v>3158.317751313647</v>
      </c>
    </row>
    <row r="1187" spans="1:6" x14ac:dyDescent="0.25">
      <c r="A1187" t="s">
        <v>130</v>
      </c>
      <c r="B1187" t="s">
        <v>12</v>
      </c>
      <c r="C1187" t="s">
        <v>28</v>
      </c>
      <c r="D1187" t="s">
        <v>50</v>
      </c>
      <c r="E1187">
        <v>2030</v>
      </c>
      <c r="F1187">
        <v>502160.95849399589</v>
      </c>
    </row>
    <row r="1188" spans="1:6" x14ac:dyDescent="0.25">
      <c r="A1188" t="s">
        <v>130</v>
      </c>
      <c r="B1188" t="s">
        <v>12</v>
      </c>
      <c r="C1188" t="s">
        <v>28</v>
      </c>
      <c r="D1188" t="s">
        <v>68</v>
      </c>
      <c r="E1188">
        <v>2030</v>
      </c>
      <c r="F1188">
        <v>17711207.128625918</v>
      </c>
    </row>
    <row r="1189" spans="1:6" x14ac:dyDescent="0.25">
      <c r="A1189" t="s">
        <v>130</v>
      </c>
      <c r="B1189" t="s">
        <v>12</v>
      </c>
      <c r="C1189" t="s">
        <v>28</v>
      </c>
      <c r="D1189" t="s">
        <v>69</v>
      </c>
      <c r="E1189">
        <v>2030</v>
      </c>
      <c r="F1189">
        <v>620537.39357630478</v>
      </c>
    </row>
    <row r="1190" spans="1:6" x14ac:dyDescent="0.25">
      <c r="A1190" t="s">
        <v>130</v>
      </c>
      <c r="B1190" t="s">
        <v>12</v>
      </c>
      <c r="C1190" t="s">
        <v>28</v>
      </c>
      <c r="D1190" t="s">
        <v>44</v>
      </c>
      <c r="E1190">
        <v>2050</v>
      </c>
      <c r="F1190">
        <v>8139812.5569148706</v>
      </c>
    </row>
    <row r="1191" spans="1:6" x14ac:dyDescent="0.25">
      <c r="A1191" t="s">
        <v>130</v>
      </c>
      <c r="B1191" t="s">
        <v>12</v>
      </c>
      <c r="C1191" t="s">
        <v>28</v>
      </c>
      <c r="D1191" t="s">
        <v>45</v>
      </c>
      <c r="E1191">
        <v>2050</v>
      </c>
      <c r="F1191">
        <v>2429915.5606865063</v>
      </c>
    </row>
    <row r="1192" spans="1:6" x14ac:dyDescent="0.25">
      <c r="A1192" t="s">
        <v>130</v>
      </c>
      <c r="B1192" t="s">
        <v>12</v>
      </c>
      <c r="C1192" t="s">
        <v>28</v>
      </c>
      <c r="D1192" t="s">
        <v>46</v>
      </c>
      <c r="E1192">
        <v>2050</v>
      </c>
      <c r="F1192">
        <v>3913.9129824991574</v>
      </c>
    </row>
    <row r="1193" spans="1:6" x14ac:dyDescent="0.25">
      <c r="A1193" t="s">
        <v>130</v>
      </c>
      <c r="B1193" t="s">
        <v>12</v>
      </c>
      <c r="C1193" t="s">
        <v>28</v>
      </c>
      <c r="D1193" t="s">
        <v>50</v>
      </c>
      <c r="E1193">
        <v>2050</v>
      </c>
      <c r="F1193">
        <v>630997.79814640491</v>
      </c>
    </row>
    <row r="1194" spans="1:6" x14ac:dyDescent="0.25">
      <c r="A1194" t="s">
        <v>130</v>
      </c>
      <c r="B1194" t="s">
        <v>12</v>
      </c>
      <c r="C1194" t="s">
        <v>28</v>
      </c>
      <c r="D1194" t="s">
        <v>68</v>
      </c>
      <c r="E1194">
        <v>2050</v>
      </c>
      <c r="F1194">
        <v>20673448.784384709</v>
      </c>
    </row>
    <row r="1195" spans="1:6" x14ac:dyDescent="0.25">
      <c r="A1195" t="s">
        <v>130</v>
      </c>
      <c r="B1195" t="s">
        <v>12</v>
      </c>
      <c r="C1195" t="s">
        <v>28</v>
      </c>
      <c r="D1195" t="s">
        <v>69</v>
      </c>
      <c r="E1195">
        <v>2050</v>
      </c>
      <c r="F1195">
        <v>371711.85601871461</v>
      </c>
    </row>
    <row r="1196" spans="1:6" x14ac:dyDescent="0.25">
      <c r="A1196" t="s">
        <v>130</v>
      </c>
      <c r="B1196" t="s">
        <v>12</v>
      </c>
      <c r="C1196" t="s">
        <v>43</v>
      </c>
      <c r="D1196" t="s">
        <v>44</v>
      </c>
      <c r="E1196">
        <v>2019</v>
      </c>
      <c r="F1196">
        <v>1924034.2327518209</v>
      </c>
    </row>
    <row r="1197" spans="1:6" x14ac:dyDescent="0.25">
      <c r="A1197" t="s">
        <v>130</v>
      </c>
      <c r="B1197" t="s">
        <v>12</v>
      </c>
      <c r="C1197" t="s">
        <v>43</v>
      </c>
      <c r="D1197" t="s">
        <v>45</v>
      </c>
      <c r="E1197">
        <v>2019</v>
      </c>
      <c r="F1197">
        <v>422965.94308870414</v>
      </c>
    </row>
    <row r="1198" spans="1:6" x14ac:dyDescent="0.25">
      <c r="A1198" t="s">
        <v>130</v>
      </c>
      <c r="B1198" t="s">
        <v>12</v>
      </c>
      <c r="C1198" t="s">
        <v>43</v>
      </c>
      <c r="D1198" t="s">
        <v>46</v>
      </c>
      <c r="E1198">
        <v>2019</v>
      </c>
      <c r="F1198">
        <v>255.68246519256246</v>
      </c>
    </row>
    <row r="1199" spans="1:6" x14ac:dyDescent="0.25">
      <c r="A1199" t="s">
        <v>130</v>
      </c>
      <c r="B1199" t="s">
        <v>12</v>
      </c>
      <c r="C1199" t="s">
        <v>43</v>
      </c>
      <c r="D1199" t="s">
        <v>50</v>
      </c>
      <c r="E1199">
        <v>2019</v>
      </c>
      <c r="F1199">
        <v>93457.017927737121</v>
      </c>
    </row>
    <row r="1200" spans="1:6" x14ac:dyDescent="0.25">
      <c r="A1200" t="s">
        <v>130</v>
      </c>
      <c r="B1200" t="s">
        <v>12</v>
      </c>
      <c r="C1200" t="s">
        <v>43</v>
      </c>
      <c r="D1200" t="s">
        <v>68</v>
      </c>
      <c r="E1200">
        <v>2019</v>
      </c>
      <c r="F1200">
        <v>1801732.0926432305</v>
      </c>
    </row>
    <row r="1201" spans="1:6" x14ac:dyDescent="0.25">
      <c r="A1201" t="s">
        <v>130</v>
      </c>
      <c r="B1201" t="s">
        <v>12</v>
      </c>
      <c r="C1201" t="s">
        <v>43</v>
      </c>
      <c r="D1201" t="s">
        <v>69</v>
      </c>
      <c r="E1201">
        <v>2019</v>
      </c>
      <c r="F1201">
        <v>387847.14852834243</v>
      </c>
    </row>
    <row r="1202" spans="1:6" x14ac:dyDescent="0.25">
      <c r="A1202" t="s">
        <v>130</v>
      </c>
      <c r="B1202" t="s">
        <v>12</v>
      </c>
      <c r="C1202" t="s">
        <v>43</v>
      </c>
      <c r="D1202" t="s">
        <v>44</v>
      </c>
      <c r="E1202">
        <v>2030</v>
      </c>
      <c r="F1202">
        <v>1026620.9238801375</v>
      </c>
    </row>
    <row r="1203" spans="1:6" x14ac:dyDescent="0.25">
      <c r="A1203" t="s">
        <v>130</v>
      </c>
      <c r="B1203" t="s">
        <v>12</v>
      </c>
      <c r="C1203" t="s">
        <v>43</v>
      </c>
      <c r="D1203" t="s">
        <v>45</v>
      </c>
      <c r="E1203">
        <v>2030</v>
      </c>
      <c r="F1203">
        <v>146723.47845392721</v>
      </c>
    </row>
    <row r="1204" spans="1:6" x14ac:dyDescent="0.25">
      <c r="A1204" t="s">
        <v>130</v>
      </c>
      <c r="B1204" t="s">
        <v>12</v>
      </c>
      <c r="C1204" t="s">
        <v>43</v>
      </c>
      <c r="D1204" t="s">
        <v>46</v>
      </c>
      <c r="E1204">
        <v>2030</v>
      </c>
      <c r="F1204">
        <v>265.07644309358068</v>
      </c>
    </row>
    <row r="1205" spans="1:6" x14ac:dyDescent="0.25">
      <c r="A1205" t="s">
        <v>130</v>
      </c>
      <c r="B1205" t="s">
        <v>12</v>
      </c>
      <c r="C1205" t="s">
        <v>43</v>
      </c>
      <c r="D1205" t="s">
        <v>50</v>
      </c>
      <c r="E1205">
        <v>2030</v>
      </c>
      <c r="F1205">
        <v>67774.717172805787</v>
      </c>
    </row>
    <row r="1206" spans="1:6" x14ac:dyDescent="0.25">
      <c r="A1206" t="s">
        <v>130</v>
      </c>
      <c r="B1206" t="s">
        <v>12</v>
      </c>
      <c r="C1206" t="s">
        <v>43</v>
      </c>
      <c r="D1206" t="s">
        <v>68</v>
      </c>
      <c r="E1206">
        <v>2030</v>
      </c>
      <c r="F1206">
        <v>3047051.4177026679</v>
      </c>
    </row>
    <row r="1207" spans="1:6" x14ac:dyDescent="0.25">
      <c r="A1207" t="s">
        <v>130</v>
      </c>
      <c r="B1207" t="s">
        <v>12</v>
      </c>
      <c r="C1207" t="s">
        <v>43</v>
      </c>
      <c r="D1207" t="s">
        <v>69</v>
      </c>
      <c r="E1207">
        <v>2030</v>
      </c>
      <c r="F1207">
        <v>371889.1498666883</v>
      </c>
    </row>
    <row r="1208" spans="1:6" x14ac:dyDescent="0.25">
      <c r="A1208" t="s">
        <v>130</v>
      </c>
      <c r="B1208" t="s">
        <v>12</v>
      </c>
      <c r="C1208" t="s">
        <v>43</v>
      </c>
      <c r="D1208" t="s">
        <v>44</v>
      </c>
      <c r="E1208">
        <v>2050</v>
      </c>
      <c r="F1208">
        <v>1179435.3570834203</v>
      </c>
    </row>
    <row r="1209" spans="1:6" x14ac:dyDescent="0.25">
      <c r="A1209" t="s">
        <v>130</v>
      </c>
      <c r="B1209" t="s">
        <v>12</v>
      </c>
      <c r="C1209" t="s">
        <v>43</v>
      </c>
      <c r="D1209" t="s">
        <v>45</v>
      </c>
      <c r="E1209">
        <v>2050</v>
      </c>
      <c r="F1209">
        <v>172703.8424045592</v>
      </c>
    </row>
    <row r="1210" spans="1:6" x14ac:dyDescent="0.25">
      <c r="A1210" t="s">
        <v>130</v>
      </c>
      <c r="B1210" t="s">
        <v>12</v>
      </c>
      <c r="C1210" t="s">
        <v>43</v>
      </c>
      <c r="D1210" t="s">
        <v>46</v>
      </c>
      <c r="E1210">
        <v>2050</v>
      </c>
      <c r="F1210">
        <v>328.49327194742835</v>
      </c>
    </row>
    <row r="1211" spans="1:6" x14ac:dyDescent="0.25">
      <c r="A1211" t="s">
        <v>130</v>
      </c>
      <c r="B1211" t="s">
        <v>12</v>
      </c>
      <c r="C1211" t="s">
        <v>43</v>
      </c>
      <c r="D1211" t="s">
        <v>50</v>
      </c>
      <c r="E1211">
        <v>2050</v>
      </c>
      <c r="F1211">
        <v>85646.055736491384</v>
      </c>
    </row>
    <row r="1212" spans="1:6" x14ac:dyDescent="0.25">
      <c r="A1212" t="s">
        <v>130</v>
      </c>
      <c r="B1212" t="s">
        <v>12</v>
      </c>
      <c r="C1212" t="s">
        <v>43</v>
      </c>
      <c r="D1212" t="s">
        <v>68</v>
      </c>
      <c r="E1212">
        <v>2050</v>
      </c>
      <c r="F1212">
        <v>3410095.0601985683</v>
      </c>
    </row>
    <row r="1213" spans="1:6" x14ac:dyDescent="0.25">
      <c r="A1213" t="s">
        <v>130</v>
      </c>
      <c r="B1213" t="s">
        <v>12</v>
      </c>
      <c r="C1213" t="s">
        <v>43</v>
      </c>
      <c r="D1213" t="s">
        <v>69</v>
      </c>
      <c r="E1213">
        <v>2050</v>
      </c>
      <c r="F1213">
        <v>336340.16174547671</v>
      </c>
    </row>
    <row r="1214" spans="1:6" x14ac:dyDescent="0.25">
      <c r="A1214" t="s">
        <v>130</v>
      </c>
      <c r="B1214" t="s">
        <v>70</v>
      </c>
      <c r="C1214" t="s">
        <v>28</v>
      </c>
      <c r="D1214" t="s">
        <v>53</v>
      </c>
      <c r="E1214">
        <v>2019</v>
      </c>
      <c r="F1214">
        <v>0</v>
      </c>
    </row>
    <row r="1215" spans="1:6" x14ac:dyDescent="0.25">
      <c r="A1215" t="s">
        <v>130</v>
      </c>
      <c r="B1215" t="s">
        <v>70</v>
      </c>
      <c r="C1215" t="s">
        <v>28</v>
      </c>
      <c r="D1215" t="s">
        <v>53</v>
      </c>
      <c r="E1215">
        <v>2030</v>
      </c>
      <c r="F1215">
        <v>0</v>
      </c>
    </row>
    <row r="1216" spans="1:6" x14ac:dyDescent="0.25">
      <c r="A1216" t="s">
        <v>130</v>
      </c>
      <c r="B1216" t="s">
        <v>70</v>
      </c>
      <c r="C1216" t="s">
        <v>28</v>
      </c>
      <c r="D1216" t="s">
        <v>53</v>
      </c>
      <c r="E1216">
        <v>2050</v>
      </c>
      <c r="F1216">
        <v>0</v>
      </c>
    </row>
    <row r="1217" spans="1:6" x14ac:dyDescent="0.25">
      <c r="A1217" t="s">
        <v>130</v>
      </c>
      <c r="B1217" t="s">
        <v>70</v>
      </c>
      <c r="C1217" t="s">
        <v>43</v>
      </c>
      <c r="D1217" t="s">
        <v>53</v>
      </c>
      <c r="E1217">
        <v>2019</v>
      </c>
      <c r="F1217">
        <v>0</v>
      </c>
    </row>
    <row r="1218" spans="1:6" x14ac:dyDescent="0.25">
      <c r="A1218" t="s">
        <v>130</v>
      </c>
      <c r="B1218" t="s">
        <v>70</v>
      </c>
      <c r="C1218" t="s">
        <v>43</v>
      </c>
      <c r="D1218" t="s">
        <v>53</v>
      </c>
      <c r="E1218">
        <v>2030</v>
      </c>
      <c r="F1218">
        <v>0</v>
      </c>
    </row>
    <row r="1219" spans="1:6" x14ac:dyDescent="0.25">
      <c r="A1219" t="s">
        <v>130</v>
      </c>
      <c r="B1219" t="s">
        <v>70</v>
      </c>
      <c r="C1219" t="s">
        <v>43</v>
      </c>
      <c r="D1219" t="s">
        <v>53</v>
      </c>
      <c r="E1219">
        <v>2050</v>
      </c>
      <c r="F1219">
        <v>0</v>
      </c>
    </row>
    <row r="1220" spans="1:6" x14ac:dyDescent="0.25">
      <c r="A1220" t="s">
        <v>130</v>
      </c>
      <c r="B1220" t="s">
        <v>71</v>
      </c>
      <c r="C1220" t="s">
        <v>28</v>
      </c>
      <c r="D1220" t="s">
        <v>72</v>
      </c>
      <c r="E1220">
        <v>2019</v>
      </c>
      <c r="F1220">
        <v>484833.6848947219</v>
      </c>
    </row>
    <row r="1221" spans="1:6" x14ac:dyDescent="0.25">
      <c r="A1221" t="s">
        <v>130</v>
      </c>
      <c r="B1221" t="s">
        <v>71</v>
      </c>
      <c r="C1221" t="s">
        <v>28</v>
      </c>
      <c r="D1221" t="s">
        <v>72</v>
      </c>
      <c r="E1221">
        <v>2030</v>
      </c>
      <c r="F1221">
        <v>507790.70515370794</v>
      </c>
    </row>
    <row r="1222" spans="1:6" x14ac:dyDescent="0.25">
      <c r="A1222" t="s">
        <v>130</v>
      </c>
      <c r="B1222" t="s">
        <v>71</v>
      </c>
      <c r="C1222" t="s">
        <v>28</v>
      </c>
      <c r="D1222" t="s">
        <v>72</v>
      </c>
      <c r="E1222">
        <v>2050</v>
      </c>
      <c r="F1222">
        <v>489039.95714195294</v>
      </c>
    </row>
    <row r="1223" spans="1:6" x14ac:dyDescent="0.25">
      <c r="A1223" t="s">
        <v>130</v>
      </c>
      <c r="B1223" t="s">
        <v>71</v>
      </c>
      <c r="C1223" t="s">
        <v>43</v>
      </c>
      <c r="D1223" t="s">
        <v>72</v>
      </c>
      <c r="E1223">
        <v>2019</v>
      </c>
      <c r="F1223">
        <v>193574.13238370849</v>
      </c>
    </row>
    <row r="1224" spans="1:6" x14ac:dyDescent="0.25">
      <c r="A1224" t="s">
        <v>130</v>
      </c>
      <c r="B1224" t="s">
        <v>71</v>
      </c>
      <c r="C1224" t="s">
        <v>43</v>
      </c>
      <c r="D1224" t="s">
        <v>72</v>
      </c>
      <c r="E1224">
        <v>2030</v>
      </c>
      <c r="F1224">
        <v>204407.79128636757</v>
      </c>
    </row>
    <row r="1225" spans="1:6" x14ac:dyDescent="0.25">
      <c r="A1225" t="s">
        <v>130</v>
      </c>
      <c r="B1225" t="s">
        <v>71</v>
      </c>
      <c r="C1225" t="s">
        <v>43</v>
      </c>
      <c r="D1225" t="s">
        <v>72</v>
      </c>
      <c r="E1225">
        <v>2050</v>
      </c>
      <c r="F1225">
        <v>199163.17844104863</v>
      </c>
    </row>
    <row r="1226" spans="1:6" x14ac:dyDescent="0.25">
      <c r="A1226" t="s">
        <v>130</v>
      </c>
      <c r="B1226" t="s">
        <v>139</v>
      </c>
      <c r="C1226" t="s">
        <v>28</v>
      </c>
      <c r="D1226" t="s">
        <v>52</v>
      </c>
      <c r="E1226">
        <v>2019</v>
      </c>
      <c r="F1226">
        <v>0</v>
      </c>
    </row>
    <row r="1227" spans="1:6" x14ac:dyDescent="0.25">
      <c r="A1227" t="s">
        <v>130</v>
      </c>
      <c r="B1227" t="s">
        <v>139</v>
      </c>
      <c r="C1227" t="s">
        <v>28</v>
      </c>
      <c r="D1227" t="s">
        <v>52</v>
      </c>
      <c r="E1227">
        <v>2030</v>
      </c>
      <c r="F1227">
        <v>0</v>
      </c>
    </row>
    <row r="1228" spans="1:6" x14ac:dyDescent="0.25">
      <c r="A1228" t="s">
        <v>130</v>
      </c>
      <c r="B1228" t="s">
        <v>139</v>
      </c>
      <c r="C1228" t="s">
        <v>28</v>
      </c>
      <c r="D1228" t="s">
        <v>52</v>
      </c>
      <c r="E1228">
        <v>2050</v>
      </c>
      <c r="F1228">
        <v>0</v>
      </c>
    </row>
    <row r="1229" spans="1:6" x14ac:dyDescent="0.25">
      <c r="A1229" t="s">
        <v>130</v>
      </c>
      <c r="B1229" t="s">
        <v>139</v>
      </c>
      <c r="C1229" t="s">
        <v>43</v>
      </c>
      <c r="D1229" t="s">
        <v>52</v>
      </c>
      <c r="E1229">
        <v>2019</v>
      </c>
      <c r="F1229">
        <v>0</v>
      </c>
    </row>
    <row r="1230" spans="1:6" x14ac:dyDescent="0.25">
      <c r="A1230" t="s">
        <v>130</v>
      </c>
      <c r="B1230" t="s">
        <v>139</v>
      </c>
      <c r="C1230" t="s">
        <v>43</v>
      </c>
      <c r="D1230" t="s">
        <v>52</v>
      </c>
      <c r="E1230">
        <v>2030</v>
      </c>
      <c r="F1230">
        <v>0</v>
      </c>
    </row>
    <row r="1231" spans="1:6" x14ac:dyDescent="0.25">
      <c r="A1231" t="s">
        <v>130</v>
      </c>
      <c r="B1231" t="s">
        <v>139</v>
      </c>
      <c r="C1231" t="s">
        <v>43</v>
      </c>
      <c r="D1231" t="s">
        <v>52</v>
      </c>
      <c r="E1231">
        <v>2050</v>
      </c>
      <c r="F1231">
        <v>0</v>
      </c>
    </row>
    <row r="1232" spans="1:6" x14ac:dyDescent="0.25">
      <c r="A1232" t="s">
        <v>130</v>
      </c>
      <c r="B1232" t="s">
        <v>13</v>
      </c>
      <c r="C1232" t="s">
        <v>28</v>
      </c>
      <c r="D1232" t="s">
        <v>140</v>
      </c>
      <c r="E1232">
        <v>2019</v>
      </c>
      <c r="F1232">
        <v>0</v>
      </c>
    </row>
    <row r="1233" spans="1:6" x14ac:dyDescent="0.25">
      <c r="A1233" t="s">
        <v>130</v>
      </c>
      <c r="B1233" t="s">
        <v>13</v>
      </c>
      <c r="C1233" t="s">
        <v>28</v>
      </c>
      <c r="D1233" t="s">
        <v>141</v>
      </c>
      <c r="E1233">
        <v>2019</v>
      </c>
      <c r="F1233">
        <v>0</v>
      </c>
    </row>
    <row r="1234" spans="1:6" x14ac:dyDescent="0.25">
      <c r="A1234" t="s">
        <v>130</v>
      </c>
      <c r="B1234" t="s">
        <v>13</v>
      </c>
      <c r="C1234" t="s">
        <v>28</v>
      </c>
      <c r="D1234" t="s">
        <v>140</v>
      </c>
      <c r="E1234">
        <v>2030</v>
      </c>
      <c r="F1234">
        <v>0</v>
      </c>
    </row>
    <row r="1235" spans="1:6" x14ac:dyDescent="0.25">
      <c r="A1235" t="s">
        <v>130</v>
      </c>
      <c r="B1235" t="s">
        <v>13</v>
      </c>
      <c r="C1235" t="s">
        <v>28</v>
      </c>
      <c r="D1235" t="s">
        <v>141</v>
      </c>
      <c r="E1235">
        <v>2030</v>
      </c>
      <c r="F1235">
        <v>0</v>
      </c>
    </row>
    <row r="1236" spans="1:6" x14ac:dyDescent="0.25">
      <c r="A1236" t="s">
        <v>130</v>
      </c>
      <c r="B1236" t="s">
        <v>13</v>
      </c>
      <c r="C1236" t="s">
        <v>28</v>
      </c>
      <c r="D1236" t="s">
        <v>140</v>
      </c>
      <c r="E1236">
        <v>2050</v>
      </c>
      <c r="F1236">
        <v>0</v>
      </c>
    </row>
    <row r="1237" spans="1:6" x14ac:dyDescent="0.25">
      <c r="A1237" t="s">
        <v>130</v>
      </c>
      <c r="B1237" t="s">
        <v>13</v>
      </c>
      <c r="C1237" t="s">
        <v>28</v>
      </c>
      <c r="D1237" t="s">
        <v>141</v>
      </c>
      <c r="E1237">
        <v>2050</v>
      </c>
      <c r="F1237">
        <v>0</v>
      </c>
    </row>
    <row r="1238" spans="1:6" x14ac:dyDescent="0.25">
      <c r="A1238" t="s">
        <v>130</v>
      </c>
      <c r="B1238" t="s">
        <v>13</v>
      </c>
      <c r="C1238" t="s">
        <v>43</v>
      </c>
      <c r="D1238" t="s">
        <v>140</v>
      </c>
      <c r="E1238">
        <v>2019</v>
      </c>
      <c r="F1238">
        <v>0</v>
      </c>
    </row>
    <row r="1239" spans="1:6" x14ac:dyDescent="0.25">
      <c r="A1239" t="s">
        <v>130</v>
      </c>
      <c r="B1239" t="s">
        <v>13</v>
      </c>
      <c r="C1239" t="s">
        <v>43</v>
      </c>
      <c r="D1239" t="s">
        <v>141</v>
      </c>
      <c r="E1239">
        <v>2019</v>
      </c>
      <c r="F1239">
        <v>0</v>
      </c>
    </row>
    <row r="1240" spans="1:6" x14ac:dyDescent="0.25">
      <c r="A1240" t="s">
        <v>130</v>
      </c>
      <c r="B1240" t="s">
        <v>13</v>
      </c>
      <c r="C1240" t="s">
        <v>43</v>
      </c>
      <c r="D1240" t="s">
        <v>140</v>
      </c>
      <c r="E1240">
        <v>2030</v>
      </c>
      <c r="F1240">
        <v>0</v>
      </c>
    </row>
    <row r="1241" spans="1:6" x14ac:dyDescent="0.25">
      <c r="A1241" t="s">
        <v>130</v>
      </c>
      <c r="B1241" t="s">
        <v>13</v>
      </c>
      <c r="C1241" t="s">
        <v>43</v>
      </c>
      <c r="D1241" t="s">
        <v>141</v>
      </c>
      <c r="E1241">
        <v>2030</v>
      </c>
      <c r="F1241">
        <v>0</v>
      </c>
    </row>
    <row r="1242" spans="1:6" x14ac:dyDescent="0.25">
      <c r="A1242" t="s">
        <v>130</v>
      </c>
      <c r="B1242" t="s">
        <v>13</v>
      </c>
      <c r="C1242" t="s">
        <v>43</v>
      </c>
      <c r="D1242" t="s">
        <v>140</v>
      </c>
      <c r="E1242">
        <v>2050</v>
      </c>
      <c r="F1242">
        <v>0</v>
      </c>
    </row>
    <row r="1243" spans="1:6" x14ac:dyDescent="0.25">
      <c r="A1243" t="s">
        <v>130</v>
      </c>
      <c r="B1243" t="s">
        <v>13</v>
      </c>
      <c r="C1243" t="s">
        <v>43</v>
      </c>
      <c r="D1243" t="s">
        <v>141</v>
      </c>
      <c r="E1243">
        <v>2050</v>
      </c>
      <c r="F1243">
        <v>0</v>
      </c>
    </row>
    <row r="1244" spans="1:6" x14ac:dyDescent="0.25">
      <c r="A1244" t="s">
        <v>143</v>
      </c>
      <c r="B1244" t="s">
        <v>10</v>
      </c>
      <c r="C1244" t="s">
        <v>28</v>
      </c>
      <c r="D1244" t="s">
        <v>29</v>
      </c>
      <c r="E1244">
        <v>2019</v>
      </c>
      <c r="F1244">
        <v>286329.90483694919</v>
      </c>
    </row>
    <row r="1245" spans="1:6" x14ac:dyDescent="0.25">
      <c r="A1245" t="s">
        <v>143</v>
      </c>
      <c r="B1245" t="s">
        <v>10</v>
      </c>
      <c r="C1245" t="s">
        <v>28</v>
      </c>
      <c r="D1245" t="s">
        <v>30</v>
      </c>
      <c r="E1245">
        <v>2019</v>
      </c>
      <c r="F1245">
        <v>261374.54615849949</v>
      </c>
    </row>
    <row r="1246" spans="1:6" x14ac:dyDescent="0.25">
      <c r="A1246" t="s">
        <v>143</v>
      </c>
      <c r="B1246" t="s">
        <v>10</v>
      </c>
      <c r="C1246" t="s">
        <v>28</v>
      </c>
      <c r="D1246" t="s">
        <v>31</v>
      </c>
      <c r="E1246">
        <v>2019</v>
      </c>
      <c r="F1246">
        <v>119523.03367046962</v>
      </c>
    </row>
    <row r="1247" spans="1:6" x14ac:dyDescent="0.25">
      <c r="A1247" t="s">
        <v>143</v>
      </c>
      <c r="B1247" t="s">
        <v>10</v>
      </c>
      <c r="C1247" t="s">
        <v>28</v>
      </c>
      <c r="D1247" t="s">
        <v>32</v>
      </c>
      <c r="E1247">
        <v>2019</v>
      </c>
      <c r="F1247">
        <v>117920.63695532705</v>
      </c>
    </row>
    <row r="1248" spans="1:6" x14ac:dyDescent="0.25">
      <c r="A1248" t="s">
        <v>143</v>
      </c>
      <c r="B1248" t="s">
        <v>10</v>
      </c>
      <c r="C1248" t="s">
        <v>28</v>
      </c>
      <c r="D1248" t="s">
        <v>33</v>
      </c>
      <c r="E1248">
        <v>2019</v>
      </c>
      <c r="F1248">
        <v>58080.313724265572</v>
      </c>
    </row>
    <row r="1249" spans="1:6" x14ac:dyDescent="0.25">
      <c r="A1249" t="s">
        <v>143</v>
      </c>
      <c r="B1249" t="s">
        <v>10</v>
      </c>
      <c r="C1249" t="s">
        <v>28</v>
      </c>
      <c r="D1249" t="s">
        <v>34</v>
      </c>
      <c r="E1249">
        <v>2019</v>
      </c>
      <c r="F1249">
        <v>0</v>
      </c>
    </row>
    <row r="1250" spans="1:6" x14ac:dyDescent="0.25">
      <c r="A1250" t="s">
        <v>143</v>
      </c>
      <c r="B1250" t="s">
        <v>10</v>
      </c>
      <c r="C1250" t="s">
        <v>28</v>
      </c>
      <c r="D1250" t="s">
        <v>35</v>
      </c>
      <c r="E1250">
        <v>2019</v>
      </c>
      <c r="F1250">
        <v>0</v>
      </c>
    </row>
    <row r="1251" spans="1:6" x14ac:dyDescent="0.25">
      <c r="A1251" t="s">
        <v>143</v>
      </c>
      <c r="B1251" t="s">
        <v>10</v>
      </c>
      <c r="C1251" t="s">
        <v>28</v>
      </c>
      <c r="D1251" t="s">
        <v>36</v>
      </c>
      <c r="E1251">
        <v>2019</v>
      </c>
      <c r="F1251">
        <v>0</v>
      </c>
    </row>
    <row r="1252" spans="1:6" x14ac:dyDescent="0.25">
      <c r="A1252" t="s">
        <v>143</v>
      </c>
      <c r="B1252" t="s">
        <v>10</v>
      </c>
      <c r="C1252" t="s">
        <v>28</v>
      </c>
      <c r="D1252" t="s">
        <v>37</v>
      </c>
      <c r="E1252">
        <v>2019</v>
      </c>
      <c r="F1252">
        <v>0</v>
      </c>
    </row>
    <row r="1253" spans="1:6" x14ac:dyDescent="0.25">
      <c r="A1253" t="s">
        <v>143</v>
      </c>
      <c r="B1253" t="s">
        <v>10</v>
      </c>
      <c r="C1253" t="s">
        <v>28</v>
      </c>
      <c r="D1253" t="s">
        <v>38</v>
      </c>
      <c r="E1253">
        <v>2019</v>
      </c>
      <c r="F1253">
        <v>457077.09579476295</v>
      </c>
    </row>
    <row r="1254" spans="1:6" x14ac:dyDescent="0.25">
      <c r="A1254" t="s">
        <v>143</v>
      </c>
      <c r="B1254" t="s">
        <v>10</v>
      </c>
      <c r="C1254" t="s">
        <v>28</v>
      </c>
      <c r="D1254" t="s">
        <v>39</v>
      </c>
      <c r="E1254">
        <v>2019</v>
      </c>
      <c r="F1254">
        <v>34149.438191562753</v>
      </c>
    </row>
    <row r="1255" spans="1:6" x14ac:dyDescent="0.25">
      <c r="A1255" t="s">
        <v>143</v>
      </c>
      <c r="B1255" t="s">
        <v>10</v>
      </c>
      <c r="C1255" t="s">
        <v>28</v>
      </c>
      <c r="D1255" t="s">
        <v>40</v>
      </c>
      <c r="E1255">
        <v>2019</v>
      </c>
      <c r="F1255">
        <v>31522.55833067331</v>
      </c>
    </row>
    <row r="1256" spans="1:6" x14ac:dyDescent="0.25">
      <c r="A1256" t="s">
        <v>143</v>
      </c>
      <c r="B1256" t="s">
        <v>10</v>
      </c>
      <c r="C1256" t="s">
        <v>28</v>
      </c>
      <c r="D1256" t="s">
        <v>41</v>
      </c>
      <c r="E1256">
        <v>2019</v>
      </c>
      <c r="F1256">
        <v>249553.58678449702</v>
      </c>
    </row>
    <row r="1257" spans="1:6" x14ac:dyDescent="0.25">
      <c r="A1257" t="s">
        <v>143</v>
      </c>
      <c r="B1257" t="s">
        <v>10</v>
      </c>
      <c r="C1257" t="s">
        <v>28</v>
      </c>
      <c r="D1257" t="s">
        <v>42</v>
      </c>
      <c r="E1257">
        <v>2019</v>
      </c>
      <c r="F1257">
        <v>48597.277426454682</v>
      </c>
    </row>
    <row r="1258" spans="1:6" x14ac:dyDescent="0.25">
      <c r="A1258" t="s">
        <v>143</v>
      </c>
      <c r="B1258" t="s">
        <v>10</v>
      </c>
      <c r="C1258" t="s">
        <v>28</v>
      </c>
      <c r="D1258" t="s">
        <v>29</v>
      </c>
      <c r="E1258">
        <v>2030</v>
      </c>
      <c r="F1258">
        <v>295933.04302308214</v>
      </c>
    </row>
    <row r="1259" spans="1:6" x14ac:dyDescent="0.25">
      <c r="A1259" t="s">
        <v>143</v>
      </c>
      <c r="B1259" t="s">
        <v>10</v>
      </c>
      <c r="C1259" t="s">
        <v>28</v>
      </c>
      <c r="D1259" t="s">
        <v>30</v>
      </c>
      <c r="E1259">
        <v>2030</v>
      </c>
      <c r="F1259">
        <v>270140.71358529059</v>
      </c>
    </row>
    <row r="1260" spans="1:6" x14ac:dyDescent="0.25">
      <c r="A1260" t="s">
        <v>143</v>
      </c>
      <c r="B1260" t="s">
        <v>10</v>
      </c>
      <c r="C1260" t="s">
        <v>28</v>
      </c>
      <c r="D1260" t="s">
        <v>31</v>
      </c>
      <c r="E1260">
        <v>2030</v>
      </c>
      <c r="F1260">
        <v>123531.68309679118</v>
      </c>
    </row>
    <row r="1261" spans="1:6" x14ac:dyDescent="0.25">
      <c r="A1261" t="s">
        <v>143</v>
      </c>
      <c r="B1261" t="s">
        <v>10</v>
      </c>
      <c r="C1261" t="s">
        <v>28</v>
      </c>
      <c r="D1261" t="s">
        <v>32</v>
      </c>
      <c r="E1261">
        <v>2030</v>
      </c>
      <c r="F1261">
        <v>121875.54404868034</v>
      </c>
    </row>
    <row r="1262" spans="1:6" x14ac:dyDescent="0.25">
      <c r="A1262" t="s">
        <v>143</v>
      </c>
      <c r="B1262" t="s">
        <v>10</v>
      </c>
      <c r="C1262" t="s">
        <v>28</v>
      </c>
      <c r="D1262" t="s">
        <v>33</v>
      </c>
      <c r="E1262">
        <v>2030</v>
      </c>
      <c r="F1262">
        <v>60028.253038902265</v>
      </c>
    </row>
    <row r="1263" spans="1:6" x14ac:dyDescent="0.25">
      <c r="A1263" t="s">
        <v>143</v>
      </c>
      <c r="B1263" t="s">
        <v>10</v>
      </c>
      <c r="C1263" t="s">
        <v>28</v>
      </c>
      <c r="D1263" t="s">
        <v>34</v>
      </c>
      <c r="E1263">
        <v>2030</v>
      </c>
      <c r="F1263">
        <v>0</v>
      </c>
    </row>
    <row r="1264" spans="1:6" x14ac:dyDescent="0.25">
      <c r="A1264" t="s">
        <v>143</v>
      </c>
      <c r="B1264" t="s">
        <v>10</v>
      </c>
      <c r="C1264" t="s">
        <v>28</v>
      </c>
      <c r="D1264" t="s">
        <v>35</v>
      </c>
      <c r="E1264">
        <v>2030</v>
      </c>
      <c r="F1264">
        <v>0</v>
      </c>
    </row>
    <row r="1265" spans="1:6" x14ac:dyDescent="0.25">
      <c r="A1265" t="s">
        <v>143</v>
      </c>
      <c r="B1265" t="s">
        <v>10</v>
      </c>
      <c r="C1265" t="s">
        <v>28</v>
      </c>
      <c r="D1265" t="s">
        <v>36</v>
      </c>
      <c r="E1265">
        <v>2030</v>
      </c>
      <c r="F1265">
        <v>0</v>
      </c>
    </row>
    <row r="1266" spans="1:6" x14ac:dyDescent="0.25">
      <c r="A1266" t="s">
        <v>143</v>
      </c>
      <c r="B1266" t="s">
        <v>10</v>
      </c>
      <c r="C1266" t="s">
        <v>28</v>
      </c>
      <c r="D1266" t="s">
        <v>37</v>
      </c>
      <c r="E1266">
        <v>2030</v>
      </c>
      <c r="F1266">
        <v>0</v>
      </c>
    </row>
    <row r="1267" spans="1:6" x14ac:dyDescent="0.25">
      <c r="A1267" t="s">
        <v>143</v>
      </c>
      <c r="B1267" t="s">
        <v>10</v>
      </c>
      <c r="C1267" t="s">
        <v>28</v>
      </c>
      <c r="D1267" t="s">
        <v>38</v>
      </c>
      <c r="E1267">
        <v>2030</v>
      </c>
      <c r="F1267">
        <v>472406.87601849809</v>
      </c>
    </row>
    <row r="1268" spans="1:6" x14ac:dyDescent="0.25">
      <c r="A1268" t="s">
        <v>143</v>
      </c>
      <c r="B1268" t="s">
        <v>10</v>
      </c>
      <c r="C1268" t="s">
        <v>28</v>
      </c>
      <c r="D1268" t="s">
        <v>39</v>
      </c>
      <c r="E1268">
        <v>2030</v>
      </c>
      <c r="F1268">
        <v>35294.766599083188</v>
      </c>
    </row>
    <row r="1269" spans="1:6" x14ac:dyDescent="0.25">
      <c r="A1269" t="s">
        <v>143</v>
      </c>
      <c r="B1269" t="s">
        <v>10</v>
      </c>
      <c r="C1269" t="s">
        <v>28</v>
      </c>
      <c r="D1269" t="s">
        <v>40</v>
      </c>
      <c r="E1269">
        <v>2030</v>
      </c>
      <c r="F1269">
        <v>32579.784552999867</v>
      </c>
    </row>
    <row r="1270" spans="1:6" x14ac:dyDescent="0.25">
      <c r="A1270" t="s">
        <v>143</v>
      </c>
      <c r="B1270" t="s">
        <v>10</v>
      </c>
      <c r="C1270" t="s">
        <v>28</v>
      </c>
      <c r="D1270" t="s">
        <v>41</v>
      </c>
      <c r="E1270">
        <v>2030</v>
      </c>
      <c r="F1270">
        <v>257923.29437791562</v>
      </c>
    </row>
    <row r="1271" spans="1:6" x14ac:dyDescent="0.25">
      <c r="A1271" t="s">
        <v>143</v>
      </c>
      <c r="B1271" t="s">
        <v>10</v>
      </c>
      <c r="C1271" t="s">
        <v>28</v>
      </c>
      <c r="D1271" t="s">
        <v>42</v>
      </c>
      <c r="E1271">
        <v>2030</v>
      </c>
      <c r="F1271">
        <v>50227.167852541468</v>
      </c>
    </row>
    <row r="1272" spans="1:6" x14ac:dyDescent="0.25">
      <c r="A1272" t="s">
        <v>143</v>
      </c>
      <c r="B1272" t="s">
        <v>10</v>
      </c>
      <c r="C1272" t="s">
        <v>28</v>
      </c>
      <c r="D1272" t="s">
        <v>29</v>
      </c>
      <c r="E1272">
        <v>2050</v>
      </c>
      <c r="F1272">
        <v>307470.55071854044</v>
      </c>
    </row>
    <row r="1273" spans="1:6" x14ac:dyDescent="0.25">
      <c r="A1273" t="s">
        <v>143</v>
      </c>
      <c r="B1273" t="s">
        <v>10</v>
      </c>
      <c r="C1273" t="s">
        <v>28</v>
      </c>
      <c r="D1273" t="s">
        <v>30</v>
      </c>
      <c r="E1273">
        <v>2050</v>
      </c>
      <c r="F1273">
        <v>280672.65868343826</v>
      </c>
    </row>
    <row r="1274" spans="1:6" x14ac:dyDescent="0.25">
      <c r="A1274" t="s">
        <v>143</v>
      </c>
      <c r="B1274" t="s">
        <v>10</v>
      </c>
      <c r="C1274" t="s">
        <v>28</v>
      </c>
      <c r="D1274" t="s">
        <v>31</v>
      </c>
      <c r="E1274">
        <v>2050</v>
      </c>
      <c r="F1274">
        <v>128347.79869443661</v>
      </c>
    </row>
    <row r="1275" spans="1:6" x14ac:dyDescent="0.25">
      <c r="A1275" t="s">
        <v>143</v>
      </c>
      <c r="B1275" t="s">
        <v>10</v>
      </c>
      <c r="C1275" t="s">
        <v>28</v>
      </c>
      <c r="D1275" t="s">
        <v>32</v>
      </c>
      <c r="E1275">
        <v>2050</v>
      </c>
      <c r="F1275">
        <v>126627.09194270898</v>
      </c>
    </row>
    <row r="1276" spans="1:6" x14ac:dyDescent="0.25">
      <c r="A1276" t="s">
        <v>143</v>
      </c>
      <c r="B1276" t="s">
        <v>10</v>
      </c>
      <c r="C1276" t="s">
        <v>28</v>
      </c>
      <c r="D1276" t="s">
        <v>33</v>
      </c>
      <c r="E1276">
        <v>2050</v>
      </c>
      <c r="F1276">
        <v>62368.567673274578</v>
      </c>
    </row>
    <row r="1277" spans="1:6" x14ac:dyDescent="0.25">
      <c r="A1277" t="s">
        <v>143</v>
      </c>
      <c r="B1277" t="s">
        <v>10</v>
      </c>
      <c r="C1277" t="s">
        <v>28</v>
      </c>
      <c r="D1277" t="s">
        <v>34</v>
      </c>
      <c r="E1277">
        <v>2050</v>
      </c>
      <c r="F1277">
        <v>0</v>
      </c>
    </row>
    <row r="1278" spans="1:6" x14ac:dyDescent="0.25">
      <c r="A1278" t="s">
        <v>143</v>
      </c>
      <c r="B1278" t="s">
        <v>10</v>
      </c>
      <c r="C1278" t="s">
        <v>28</v>
      </c>
      <c r="D1278" t="s">
        <v>35</v>
      </c>
      <c r="E1278">
        <v>2050</v>
      </c>
      <c r="F1278">
        <v>0</v>
      </c>
    </row>
    <row r="1279" spans="1:6" x14ac:dyDescent="0.25">
      <c r="A1279" t="s">
        <v>143</v>
      </c>
      <c r="B1279" t="s">
        <v>10</v>
      </c>
      <c r="C1279" t="s">
        <v>28</v>
      </c>
      <c r="D1279" t="s">
        <v>36</v>
      </c>
      <c r="E1279">
        <v>2050</v>
      </c>
      <c r="F1279">
        <v>0</v>
      </c>
    </row>
    <row r="1280" spans="1:6" x14ac:dyDescent="0.25">
      <c r="A1280" t="s">
        <v>143</v>
      </c>
      <c r="B1280" t="s">
        <v>10</v>
      </c>
      <c r="C1280" t="s">
        <v>28</v>
      </c>
      <c r="D1280" t="s">
        <v>37</v>
      </c>
      <c r="E1280">
        <v>2050</v>
      </c>
      <c r="F1280">
        <v>0</v>
      </c>
    </row>
    <row r="1281" spans="1:6" x14ac:dyDescent="0.25">
      <c r="A1281" t="s">
        <v>143</v>
      </c>
      <c r="B1281" t="s">
        <v>10</v>
      </c>
      <c r="C1281" t="s">
        <v>28</v>
      </c>
      <c r="D1281" t="s">
        <v>38</v>
      </c>
      <c r="E1281">
        <v>2050</v>
      </c>
      <c r="F1281">
        <v>490824.54885344987</v>
      </c>
    </row>
    <row r="1282" spans="1:6" x14ac:dyDescent="0.25">
      <c r="A1282" t="s">
        <v>143</v>
      </c>
      <c r="B1282" t="s">
        <v>10</v>
      </c>
      <c r="C1282" t="s">
        <v>28</v>
      </c>
      <c r="D1282" t="s">
        <v>39</v>
      </c>
      <c r="E1282">
        <v>2050</v>
      </c>
      <c r="F1282">
        <v>36670.799626981883</v>
      </c>
    </row>
    <row r="1283" spans="1:6" x14ac:dyDescent="0.25">
      <c r="A1283" t="s">
        <v>143</v>
      </c>
      <c r="B1283" t="s">
        <v>10</v>
      </c>
      <c r="C1283" t="s">
        <v>28</v>
      </c>
      <c r="D1283" t="s">
        <v>40</v>
      </c>
      <c r="E1283">
        <v>2050</v>
      </c>
      <c r="F1283">
        <v>33849.968886444818</v>
      </c>
    </row>
    <row r="1284" spans="1:6" x14ac:dyDescent="0.25">
      <c r="A1284" t="s">
        <v>143</v>
      </c>
      <c r="B1284" t="s">
        <v>10</v>
      </c>
      <c r="C1284" t="s">
        <v>28</v>
      </c>
      <c r="D1284" t="s">
        <v>41</v>
      </c>
      <c r="E1284">
        <v>2050</v>
      </c>
      <c r="F1284">
        <v>267978.92035102146</v>
      </c>
    </row>
    <row r="1285" spans="1:6" x14ac:dyDescent="0.25">
      <c r="A1285" t="s">
        <v>143</v>
      </c>
      <c r="B1285" t="s">
        <v>10</v>
      </c>
      <c r="C1285" t="s">
        <v>28</v>
      </c>
      <c r="D1285" t="s">
        <v>42</v>
      </c>
      <c r="E1285">
        <v>2050</v>
      </c>
      <c r="F1285">
        <v>52185.36869993576</v>
      </c>
    </row>
    <row r="1286" spans="1:6" x14ac:dyDescent="0.25">
      <c r="A1286" t="s">
        <v>143</v>
      </c>
      <c r="B1286" t="s">
        <v>10</v>
      </c>
      <c r="C1286" t="s">
        <v>43</v>
      </c>
      <c r="D1286" t="s">
        <v>29</v>
      </c>
      <c r="E1286">
        <v>2019</v>
      </c>
      <c r="F1286">
        <v>244164.92559492172</v>
      </c>
    </row>
    <row r="1287" spans="1:6" x14ac:dyDescent="0.25">
      <c r="A1287" t="s">
        <v>143</v>
      </c>
      <c r="B1287" t="s">
        <v>10</v>
      </c>
      <c r="C1287" t="s">
        <v>43</v>
      </c>
      <c r="D1287" t="s">
        <v>30</v>
      </c>
      <c r="E1287">
        <v>2019</v>
      </c>
      <c r="F1287">
        <v>222884.49629995148</v>
      </c>
    </row>
    <row r="1288" spans="1:6" x14ac:dyDescent="0.25">
      <c r="A1288" t="s">
        <v>143</v>
      </c>
      <c r="B1288" t="s">
        <v>10</v>
      </c>
      <c r="C1288" t="s">
        <v>43</v>
      </c>
      <c r="D1288" t="s">
        <v>31</v>
      </c>
      <c r="E1288">
        <v>2019</v>
      </c>
      <c r="F1288">
        <v>101922.05609696274</v>
      </c>
    </row>
    <row r="1289" spans="1:6" x14ac:dyDescent="0.25">
      <c r="A1289" t="s">
        <v>143</v>
      </c>
      <c r="B1289" t="s">
        <v>10</v>
      </c>
      <c r="C1289" t="s">
        <v>43</v>
      </c>
      <c r="D1289" t="s">
        <v>32</v>
      </c>
      <c r="E1289">
        <v>2019</v>
      </c>
      <c r="F1289">
        <v>100555.62853170674</v>
      </c>
    </row>
    <row r="1290" spans="1:6" x14ac:dyDescent="0.25">
      <c r="A1290" t="s">
        <v>143</v>
      </c>
      <c r="B1290" t="s">
        <v>10</v>
      </c>
      <c r="C1290" t="s">
        <v>43</v>
      </c>
      <c r="D1290" t="s">
        <v>33</v>
      </c>
      <c r="E1290">
        <v>2019</v>
      </c>
      <c r="F1290">
        <v>49527.399127557059</v>
      </c>
    </row>
    <row r="1291" spans="1:6" x14ac:dyDescent="0.25">
      <c r="A1291" t="s">
        <v>143</v>
      </c>
      <c r="B1291" t="s">
        <v>10</v>
      </c>
      <c r="C1291" t="s">
        <v>43</v>
      </c>
      <c r="D1291" t="s">
        <v>34</v>
      </c>
      <c r="E1291">
        <v>2019</v>
      </c>
      <c r="F1291">
        <v>0</v>
      </c>
    </row>
    <row r="1292" spans="1:6" x14ac:dyDescent="0.25">
      <c r="A1292" t="s">
        <v>143</v>
      </c>
      <c r="B1292" t="s">
        <v>10</v>
      </c>
      <c r="C1292" t="s">
        <v>43</v>
      </c>
      <c r="D1292" t="s">
        <v>35</v>
      </c>
      <c r="E1292">
        <v>2019</v>
      </c>
      <c r="F1292">
        <v>0</v>
      </c>
    </row>
    <row r="1293" spans="1:6" x14ac:dyDescent="0.25">
      <c r="A1293" t="s">
        <v>143</v>
      </c>
      <c r="B1293" t="s">
        <v>10</v>
      </c>
      <c r="C1293" t="s">
        <v>43</v>
      </c>
      <c r="D1293" t="s">
        <v>36</v>
      </c>
      <c r="E1293">
        <v>2019</v>
      </c>
      <c r="F1293">
        <v>0</v>
      </c>
    </row>
    <row r="1294" spans="1:6" x14ac:dyDescent="0.25">
      <c r="A1294" t="s">
        <v>143</v>
      </c>
      <c r="B1294" t="s">
        <v>10</v>
      </c>
      <c r="C1294" t="s">
        <v>43</v>
      </c>
      <c r="D1294" t="s">
        <v>37</v>
      </c>
      <c r="E1294">
        <v>2019</v>
      </c>
      <c r="F1294">
        <v>0</v>
      </c>
    </row>
    <row r="1295" spans="1:6" x14ac:dyDescent="0.25">
      <c r="A1295" t="s">
        <v>143</v>
      </c>
      <c r="B1295" t="s">
        <v>10</v>
      </c>
      <c r="C1295" t="s">
        <v>43</v>
      </c>
      <c r="D1295" t="s">
        <v>38</v>
      </c>
      <c r="E1295">
        <v>2019</v>
      </c>
      <c r="F1295">
        <v>389767.86287629709</v>
      </c>
    </row>
    <row r="1296" spans="1:6" x14ac:dyDescent="0.25">
      <c r="A1296" t="s">
        <v>143</v>
      </c>
      <c r="B1296" t="s">
        <v>10</v>
      </c>
      <c r="C1296" t="s">
        <v>43</v>
      </c>
      <c r="D1296" t="s">
        <v>39</v>
      </c>
      <c r="E1296">
        <v>2019</v>
      </c>
      <c r="F1296">
        <v>29120.587456275069</v>
      </c>
    </row>
    <row r="1297" spans="1:6" x14ac:dyDescent="0.25">
      <c r="A1297" t="s">
        <v>143</v>
      </c>
      <c r="B1297" t="s">
        <v>10</v>
      </c>
      <c r="C1297" t="s">
        <v>43</v>
      </c>
      <c r="D1297" t="s">
        <v>40</v>
      </c>
      <c r="E1297">
        <v>2019</v>
      </c>
      <c r="F1297">
        <v>26880.542267330831</v>
      </c>
    </row>
    <row r="1298" spans="1:6" x14ac:dyDescent="0.25">
      <c r="A1298" t="s">
        <v>143</v>
      </c>
      <c r="B1298" t="s">
        <v>10</v>
      </c>
      <c r="C1298" t="s">
        <v>43</v>
      </c>
      <c r="D1298" t="s">
        <v>41</v>
      </c>
      <c r="E1298">
        <v>2019</v>
      </c>
      <c r="F1298">
        <v>212804.29294970242</v>
      </c>
    </row>
    <row r="1299" spans="1:6" x14ac:dyDescent="0.25">
      <c r="A1299" t="s">
        <v>143</v>
      </c>
      <c r="B1299" t="s">
        <v>10</v>
      </c>
      <c r="C1299" t="s">
        <v>43</v>
      </c>
      <c r="D1299" t="s">
        <v>42</v>
      </c>
      <c r="E1299">
        <v>2019</v>
      </c>
      <c r="F1299">
        <v>41440.835995468369</v>
      </c>
    </row>
    <row r="1300" spans="1:6" x14ac:dyDescent="0.25">
      <c r="A1300" t="s">
        <v>143</v>
      </c>
      <c r="B1300" t="s">
        <v>10</v>
      </c>
      <c r="C1300" t="s">
        <v>43</v>
      </c>
      <c r="D1300" t="s">
        <v>29</v>
      </c>
      <c r="E1300">
        <v>2030</v>
      </c>
      <c r="F1300">
        <v>256234.83946537593</v>
      </c>
    </row>
    <row r="1301" spans="1:6" x14ac:dyDescent="0.25">
      <c r="A1301" t="s">
        <v>143</v>
      </c>
      <c r="B1301" t="s">
        <v>10</v>
      </c>
      <c r="C1301" t="s">
        <v>43</v>
      </c>
      <c r="D1301" t="s">
        <v>30</v>
      </c>
      <c r="E1301">
        <v>2030</v>
      </c>
      <c r="F1301">
        <v>233902.44520004498</v>
      </c>
    </row>
    <row r="1302" spans="1:6" x14ac:dyDescent="0.25">
      <c r="A1302" t="s">
        <v>143</v>
      </c>
      <c r="B1302" t="s">
        <v>10</v>
      </c>
      <c r="C1302" t="s">
        <v>43</v>
      </c>
      <c r="D1302" t="s">
        <v>31</v>
      </c>
      <c r="E1302">
        <v>2030</v>
      </c>
      <c r="F1302">
        <v>106960.41463921656</v>
      </c>
    </row>
    <row r="1303" spans="1:6" x14ac:dyDescent="0.25">
      <c r="A1303" t="s">
        <v>143</v>
      </c>
      <c r="B1303" t="s">
        <v>10</v>
      </c>
      <c r="C1303" t="s">
        <v>43</v>
      </c>
      <c r="D1303" t="s">
        <v>32</v>
      </c>
      <c r="E1303">
        <v>2030</v>
      </c>
      <c r="F1303">
        <v>105526.43984954793</v>
      </c>
    </row>
    <row r="1304" spans="1:6" x14ac:dyDescent="0.25">
      <c r="A1304" t="s">
        <v>143</v>
      </c>
      <c r="B1304" t="s">
        <v>10</v>
      </c>
      <c r="C1304" t="s">
        <v>43</v>
      </c>
      <c r="D1304" t="s">
        <v>33</v>
      </c>
      <c r="E1304">
        <v>2030</v>
      </c>
      <c r="F1304">
        <v>51975.70917962808</v>
      </c>
    </row>
    <row r="1305" spans="1:6" x14ac:dyDescent="0.25">
      <c r="A1305" t="s">
        <v>143</v>
      </c>
      <c r="B1305" t="s">
        <v>10</v>
      </c>
      <c r="C1305" t="s">
        <v>43</v>
      </c>
      <c r="D1305" t="s">
        <v>34</v>
      </c>
      <c r="E1305">
        <v>2030</v>
      </c>
      <c r="F1305">
        <v>0</v>
      </c>
    </row>
    <row r="1306" spans="1:6" x14ac:dyDescent="0.25">
      <c r="A1306" t="s">
        <v>143</v>
      </c>
      <c r="B1306" t="s">
        <v>10</v>
      </c>
      <c r="C1306" t="s">
        <v>43</v>
      </c>
      <c r="D1306" t="s">
        <v>35</v>
      </c>
      <c r="E1306">
        <v>2030</v>
      </c>
      <c r="F1306">
        <v>0</v>
      </c>
    </row>
    <row r="1307" spans="1:6" x14ac:dyDescent="0.25">
      <c r="A1307" t="s">
        <v>143</v>
      </c>
      <c r="B1307" t="s">
        <v>10</v>
      </c>
      <c r="C1307" t="s">
        <v>43</v>
      </c>
      <c r="D1307" t="s">
        <v>36</v>
      </c>
      <c r="E1307">
        <v>2030</v>
      </c>
      <c r="F1307">
        <v>0</v>
      </c>
    </row>
    <row r="1308" spans="1:6" x14ac:dyDescent="0.25">
      <c r="A1308" t="s">
        <v>143</v>
      </c>
      <c r="B1308" t="s">
        <v>10</v>
      </c>
      <c r="C1308" t="s">
        <v>43</v>
      </c>
      <c r="D1308" t="s">
        <v>37</v>
      </c>
      <c r="E1308">
        <v>2030</v>
      </c>
      <c r="F1308">
        <v>0</v>
      </c>
    </row>
    <row r="1309" spans="1:6" x14ac:dyDescent="0.25">
      <c r="A1309" t="s">
        <v>143</v>
      </c>
      <c r="B1309" t="s">
        <v>10</v>
      </c>
      <c r="C1309" t="s">
        <v>43</v>
      </c>
      <c r="D1309" t="s">
        <v>38</v>
      </c>
      <c r="E1309">
        <v>2030</v>
      </c>
      <c r="F1309">
        <v>409035.43180711387</v>
      </c>
    </row>
    <row r="1310" spans="1:6" x14ac:dyDescent="0.25">
      <c r="A1310" t="s">
        <v>143</v>
      </c>
      <c r="B1310" t="s">
        <v>10</v>
      </c>
      <c r="C1310" t="s">
        <v>43</v>
      </c>
      <c r="D1310" t="s">
        <v>39</v>
      </c>
      <c r="E1310">
        <v>2030</v>
      </c>
      <c r="F1310">
        <v>30560.118468347584</v>
      </c>
    </row>
    <row r="1311" spans="1:6" x14ac:dyDescent="0.25">
      <c r="A1311" t="s">
        <v>143</v>
      </c>
      <c r="B1311" t="s">
        <v>10</v>
      </c>
      <c r="C1311" t="s">
        <v>43</v>
      </c>
      <c r="D1311" t="s">
        <v>40</v>
      </c>
      <c r="E1311">
        <v>2030</v>
      </c>
      <c r="F1311">
        <v>28209.340124628539</v>
      </c>
    </row>
    <row r="1312" spans="1:6" x14ac:dyDescent="0.25">
      <c r="A1312" t="s">
        <v>143</v>
      </c>
      <c r="B1312" t="s">
        <v>10</v>
      </c>
      <c r="C1312" t="s">
        <v>43</v>
      </c>
      <c r="D1312" t="s">
        <v>41</v>
      </c>
      <c r="E1312">
        <v>2030</v>
      </c>
      <c r="F1312">
        <v>223323.94265330929</v>
      </c>
    </row>
    <row r="1313" spans="1:6" x14ac:dyDescent="0.25">
      <c r="A1313" t="s">
        <v>143</v>
      </c>
      <c r="B1313" t="s">
        <v>10</v>
      </c>
      <c r="C1313" t="s">
        <v>43</v>
      </c>
      <c r="D1313" t="s">
        <v>42</v>
      </c>
      <c r="E1313">
        <v>2030</v>
      </c>
      <c r="F1313">
        <v>43489.39935880233</v>
      </c>
    </row>
    <row r="1314" spans="1:6" x14ac:dyDescent="0.25">
      <c r="A1314" t="s">
        <v>143</v>
      </c>
      <c r="B1314" t="s">
        <v>10</v>
      </c>
      <c r="C1314" t="s">
        <v>43</v>
      </c>
      <c r="D1314" t="s">
        <v>29</v>
      </c>
      <c r="E1314">
        <v>2050</v>
      </c>
      <c r="F1314">
        <v>268249.01834925939</v>
      </c>
    </row>
    <row r="1315" spans="1:6" x14ac:dyDescent="0.25">
      <c r="A1315" t="s">
        <v>143</v>
      </c>
      <c r="B1315" t="s">
        <v>10</v>
      </c>
      <c r="C1315" t="s">
        <v>43</v>
      </c>
      <c r="D1315" t="s">
        <v>30</v>
      </c>
      <c r="E1315">
        <v>2050</v>
      </c>
      <c r="F1315">
        <v>244869.51675001203</v>
      </c>
    </row>
    <row r="1316" spans="1:6" x14ac:dyDescent="0.25">
      <c r="A1316" t="s">
        <v>143</v>
      </c>
      <c r="B1316" t="s">
        <v>10</v>
      </c>
      <c r="C1316" t="s">
        <v>43</v>
      </c>
      <c r="D1316" t="s">
        <v>31</v>
      </c>
      <c r="E1316">
        <v>2050</v>
      </c>
      <c r="F1316">
        <v>111975.50765955324</v>
      </c>
    </row>
    <row r="1317" spans="1:6" x14ac:dyDescent="0.25">
      <c r="A1317" t="s">
        <v>143</v>
      </c>
      <c r="B1317" t="s">
        <v>10</v>
      </c>
      <c r="C1317" t="s">
        <v>43</v>
      </c>
      <c r="D1317" t="s">
        <v>32</v>
      </c>
      <c r="E1317">
        <v>2050</v>
      </c>
      <c r="F1317">
        <v>110474.29755686472</v>
      </c>
    </row>
    <row r="1318" spans="1:6" x14ac:dyDescent="0.25">
      <c r="A1318" t="s">
        <v>143</v>
      </c>
      <c r="B1318" t="s">
        <v>10</v>
      </c>
      <c r="C1318" t="s">
        <v>43</v>
      </c>
      <c r="D1318" t="s">
        <v>33</v>
      </c>
      <c r="E1318">
        <v>2050</v>
      </c>
      <c r="F1318">
        <v>54412.71372203785</v>
      </c>
    </row>
    <row r="1319" spans="1:6" x14ac:dyDescent="0.25">
      <c r="A1319" t="s">
        <v>143</v>
      </c>
      <c r="B1319" t="s">
        <v>10</v>
      </c>
      <c r="C1319" t="s">
        <v>43</v>
      </c>
      <c r="D1319" t="s">
        <v>34</v>
      </c>
      <c r="E1319">
        <v>2050</v>
      </c>
      <c r="F1319">
        <v>0</v>
      </c>
    </row>
    <row r="1320" spans="1:6" x14ac:dyDescent="0.25">
      <c r="A1320" t="s">
        <v>143</v>
      </c>
      <c r="B1320" t="s">
        <v>10</v>
      </c>
      <c r="C1320" t="s">
        <v>43</v>
      </c>
      <c r="D1320" t="s">
        <v>35</v>
      </c>
      <c r="E1320">
        <v>2050</v>
      </c>
      <c r="F1320">
        <v>0</v>
      </c>
    </row>
    <row r="1321" spans="1:6" x14ac:dyDescent="0.25">
      <c r="A1321" t="s">
        <v>143</v>
      </c>
      <c r="B1321" t="s">
        <v>10</v>
      </c>
      <c r="C1321" t="s">
        <v>43</v>
      </c>
      <c r="D1321" t="s">
        <v>36</v>
      </c>
      <c r="E1321">
        <v>2050</v>
      </c>
      <c r="F1321">
        <v>0</v>
      </c>
    </row>
    <row r="1322" spans="1:6" x14ac:dyDescent="0.25">
      <c r="A1322" t="s">
        <v>143</v>
      </c>
      <c r="B1322" t="s">
        <v>10</v>
      </c>
      <c r="C1322" t="s">
        <v>43</v>
      </c>
      <c r="D1322" t="s">
        <v>37</v>
      </c>
      <c r="E1322">
        <v>2050</v>
      </c>
      <c r="F1322">
        <v>0</v>
      </c>
    </row>
    <row r="1323" spans="1:6" x14ac:dyDescent="0.25">
      <c r="A1323" t="s">
        <v>143</v>
      </c>
      <c r="B1323" t="s">
        <v>10</v>
      </c>
      <c r="C1323" t="s">
        <v>43</v>
      </c>
      <c r="D1323" t="s">
        <v>38</v>
      </c>
      <c r="E1323">
        <v>2050</v>
      </c>
      <c r="F1323">
        <v>428214.02929147833</v>
      </c>
    </row>
    <row r="1324" spans="1:6" x14ac:dyDescent="0.25">
      <c r="A1324" t="s">
        <v>143</v>
      </c>
      <c r="B1324" t="s">
        <v>10</v>
      </c>
      <c r="C1324" t="s">
        <v>43</v>
      </c>
      <c r="D1324" t="s">
        <v>39</v>
      </c>
      <c r="E1324">
        <v>2050</v>
      </c>
      <c r="F1324">
        <v>31993.002188443785</v>
      </c>
    </row>
    <row r="1325" spans="1:6" x14ac:dyDescent="0.25">
      <c r="A1325" t="s">
        <v>143</v>
      </c>
      <c r="B1325" t="s">
        <v>10</v>
      </c>
      <c r="C1325" t="s">
        <v>43</v>
      </c>
      <c r="D1325" t="s">
        <v>40</v>
      </c>
      <c r="E1325">
        <v>2050</v>
      </c>
      <c r="F1325">
        <v>29532.002020101954</v>
      </c>
    </row>
    <row r="1326" spans="1:6" x14ac:dyDescent="0.25">
      <c r="A1326" t="s">
        <v>143</v>
      </c>
      <c r="B1326" t="s">
        <v>10</v>
      </c>
      <c r="C1326" t="s">
        <v>43</v>
      </c>
      <c r="D1326" t="s">
        <v>41</v>
      </c>
      <c r="E1326">
        <v>2050</v>
      </c>
      <c r="F1326">
        <v>233795.01599247381</v>
      </c>
    </row>
    <row r="1327" spans="1:6" x14ac:dyDescent="0.25">
      <c r="A1327" t="s">
        <v>143</v>
      </c>
      <c r="B1327" t="s">
        <v>10</v>
      </c>
      <c r="C1327" t="s">
        <v>43</v>
      </c>
      <c r="D1327" t="s">
        <v>42</v>
      </c>
      <c r="E1327">
        <v>2050</v>
      </c>
      <c r="F1327">
        <v>45528.503114323845</v>
      </c>
    </row>
    <row r="1328" spans="1:6" x14ac:dyDescent="0.25">
      <c r="A1328" t="s">
        <v>143</v>
      </c>
      <c r="B1328" t="s">
        <v>11</v>
      </c>
      <c r="C1328" t="s">
        <v>28</v>
      </c>
      <c r="D1328" t="s">
        <v>44</v>
      </c>
      <c r="E1328">
        <v>2019</v>
      </c>
      <c r="F1328">
        <v>2534442.072977222</v>
      </c>
    </row>
    <row r="1329" spans="1:6" x14ac:dyDescent="0.25">
      <c r="A1329" t="s">
        <v>143</v>
      </c>
      <c r="B1329" t="s">
        <v>11</v>
      </c>
      <c r="C1329" t="s">
        <v>28</v>
      </c>
      <c r="D1329" t="s">
        <v>45</v>
      </c>
      <c r="E1329">
        <v>2019</v>
      </c>
      <c r="F1329">
        <v>4066864.6068164087</v>
      </c>
    </row>
    <row r="1330" spans="1:6" x14ac:dyDescent="0.25">
      <c r="A1330" t="s">
        <v>143</v>
      </c>
      <c r="B1330" t="s">
        <v>11</v>
      </c>
      <c r="C1330" t="s">
        <v>28</v>
      </c>
      <c r="D1330" t="s">
        <v>46</v>
      </c>
      <c r="E1330">
        <v>2019</v>
      </c>
      <c r="F1330">
        <v>4103.8061780475591</v>
      </c>
    </row>
    <row r="1331" spans="1:6" x14ac:dyDescent="0.25">
      <c r="A1331" t="s">
        <v>143</v>
      </c>
      <c r="B1331" t="s">
        <v>11</v>
      </c>
      <c r="C1331" t="s">
        <v>28</v>
      </c>
      <c r="D1331" t="s">
        <v>47</v>
      </c>
      <c r="E1331">
        <v>2019</v>
      </c>
      <c r="F1331">
        <v>1460182.5874658169</v>
      </c>
    </row>
    <row r="1332" spans="1:6" x14ac:dyDescent="0.25">
      <c r="A1332" t="s">
        <v>143</v>
      </c>
      <c r="B1332" t="s">
        <v>11</v>
      </c>
      <c r="C1332" t="s">
        <v>28</v>
      </c>
      <c r="D1332" t="s">
        <v>48</v>
      </c>
      <c r="E1332">
        <v>2019</v>
      </c>
      <c r="F1332">
        <v>393543.64426779439</v>
      </c>
    </row>
    <row r="1333" spans="1:6" x14ac:dyDescent="0.25">
      <c r="A1333" t="s">
        <v>143</v>
      </c>
      <c r="B1333" t="s">
        <v>11</v>
      </c>
      <c r="C1333" t="s">
        <v>28</v>
      </c>
      <c r="D1333" t="s">
        <v>49</v>
      </c>
      <c r="E1333">
        <v>2019</v>
      </c>
      <c r="F1333">
        <v>716103.75203569303</v>
      </c>
    </row>
    <row r="1334" spans="1:6" x14ac:dyDescent="0.25">
      <c r="A1334" t="s">
        <v>143</v>
      </c>
      <c r="B1334" t="s">
        <v>11</v>
      </c>
      <c r="C1334" t="s">
        <v>28</v>
      </c>
      <c r="D1334" t="s">
        <v>50</v>
      </c>
      <c r="E1334">
        <v>2019</v>
      </c>
      <c r="F1334">
        <v>671194.67155029252</v>
      </c>
    </row>
    <row r="1335" spans="1:6" x14ac:dyDescent="0.25">
      <c r="A1335" t="s">
        <v>143</v>
      </c>
      <c r="B1335" t="s">
        <v>11</v>
      </c>
      <c r="C1335" t="s">
        <v>28</v>
      </c>
      <c r="D1335" t="s">
        <v>51</v>
      </c>
      <c r="E1335">
        <v>2019</v>
      </c>
      <c r="F1335">
        <v>0</v>
      </c>
    </row>
    <row r="1336" spans="1:6" x14ac:dyDescent="0.25">
      <c r="A1336" t="s">
        <v>143</v>
      </c>
      <c r="B1336" t="s">
        <v>11</v>
      </c>
      <c r="C1336" t="s">
        <v>28</v>
      </c>
      <c r="D1336" t="s">
        <v>52</v>
      </c>
      <c r="E1336">
        <v>2019</v>
      </c>
      <c r="F1336">
        <v>53138.892747161146</v>
      </c>
    </row>
    <row r="1337" spans="1:6" x14ac:dyDescent="0.25">
      <c r="A1337" t="s">
        <v>143</v>
      </c>
      <c r="B1337" t="s">
        <v>11</v>
      </c>
      <c r="C1337" t="s">
        <v>28</v>
      </c>
      <c r="D1337" t="s">
        <v>29</v>
      </c>
      <c r="E1337">
        <v>2019</v>
      </c>
      <c r="F1337">
        <v>2840.1853290986264</v>
      </c>
    </row>
    <row r="1338" spans="1:6" x14ac:dyDescent="0.25">
      <c r="A1338" t="s">
        <v>143</v>
      </c>
      <c r="B1338" t="s">
        <v>11</v>
      </c>
      <c r="C1338" t="s">
        <v>28</v>
      </c>
      <c r="D1338" t="s">
        <v>53</v>
      </c>
      <c r="E1338">
        <v>2019</v>
      </c>
      <c r="F1338">
        <v>75746.163899662715</v>
      </c>
    </row>
    <row r="1339" spans="1:6" x14ac:dyDescent="0.25">
      <c r="A1339" t="s">
        <v>143</v>
      </c>
      <c r="B1339" t="s">
        <v>11</v>
      </c>
      <c r="C1339" t="s">
        <v>28</v>
      </c>
      <c r="D1339" t="s">
        <v>54</v>
      </c>
      <c r="E1339">
        <v>2019</v>
      </c>
      <c r="F1339">
        <v>314821.43493156106</v>
      </c>
    </row>
    <row r="1340" spans="1:6" x14ac:dyDescent="0.25">
      <c r="A1340" t="s">
        <v>143</v>
      </c>
      <c r="B1340" t="s">
        <v>11</v>
      </c>
      <c r="C1340" t="s">
        <v>28</v>
      </c>
      <c r="D1340" t="s">
        <v>55</v>
      </c>
      <c r="E1340">
        <v>2019</v>
      </c>
      <c r="F1340">
        <v>4101.0489241972273</v>
      </c>
    </row>
    <row r="1341" spans="1:6" x14ac:dyDescent="0.25">
      <c r="A1341" t="s">
        <v>143</v>
      </c>
      <c r="B1341" t="s">
        <v>11</v>
      </c>
      <c r="C1341" t="s">
        <v>28</v>
      </c>
      <c r="D1341" t="s">
        <v>56</v>
      </c>
      <c r="E1341">
        <v>2019</v>
      </c>
      <c r="F1341">
        <v>42.099811904105366</v>
      </c>
    </row>
    <row r="1342" spans="1:6" x14ac:dyDescent="0.25">
      <c r="A1342" t="s">
        <v>143</v>
      </c>
      <c r="B1342" t="s">
        <v>11</v>
      </c>
      <c r="C1342" t="s">
        <v>28</v>
      </c>
      <c r="D1342" t="s">
        <v>57</v>
      </c>
      <c r="E1342">
        <v>2019</v>
      </c>
      <c r="F1342">
        <v>114193.60000000001</v>
      </c>
    </row>
    <row r="1343" spans="1:6" x14ac:dyDescent="0.25">
      <c r="A1343" t="s">
        <v>143</v>
      </c>
      <c r="B1343" t="s">
        <v>11</v>
      </c>
      <c r="C1343" t="s">
        <v>28</v>
      </c>
      <c r="D1343" t="s">
        <v>35</v>
      </c>
      <c r="E1343">
        <v>2019</v>
      </c>
      <c r="F1343">
        <v>0</v>
      </c>
    </row>
    <row r="1344" spans="1:6" x14ac:dyDescent="0.25">
      <c r="A1344" t="s">
        <v>143</v>
      </c>
      <c r="B1344" t="s">
        <v>11</v>
      </c>
      <c r="C1344" t="s">
        <v>28</v>
      </c>
      <c r="D1344" t="s">
        <v>36</v>
      </c>
      <c r="E1344">
        <v>2019</v>
      </c>
      <c r="F1344">
        <v>0</v>
      </c>
    </row>
    <row r="1345" spans="1:6" x14ac:dyDescent="0.25">
      <c r="A1345" t="s">
        <v>143</v>
      </c>
      <c r="B1345" t="s">
        <v>11</v>
      </c>
      <c r="C1345" t="s">
        <v>28</v>
      </c>
      <c r="D1345" t="s">
        <v>44</v>
      </c>
      <c r="E1345">
        <v>2030</v>
      </c>
      <c r="F1345">
        <v>7989661.5832169671</v>
      </c>
    </row>
    <row r="1346" spans="1:6" x14ac:dyDescent="0.25">
      <c r="A1346" t="s">
        <v>143</v>
      </c>
      <c r="B1346" t="s">
        <v>11</v>
      </c>
      <c r="C1346" t="s">
        <v>28</v>
      </c>
      <c r="D1346" t="s">
        <v>45</v>
      </c>
      <c r="E1346">
        <v>2030</v>
      </c>
      <c r="F1346">
        <v>9867457.5006151944</v>
      </c>
    </row>
    <row r="1347" spans="1:6" x14ac:dyDescent="0.25">
      <c r="A1347" t="s">
        <v>143</v>
      </c>
      <c r="B1347" t="s">
        <v>11</v>
      </c>
      <c r="C1347" t="s">
        <v>28</v>
      </c>
      <c r="D1347" t="s">
        <v>46</v>
      </c>
      <c r="E1347">
        <v>2030</v>
      </c>
      <c r="F1347">
        <v>4171.3630677727415</v>
      </c>
    </row>
    <row r="1348" spans="1:6" x14ac:dyDescent="0.25">
      <c r="A1348" t="s">
        <v>143</v>
      </c>
      <c r="B1348" t="s">
        <v>11</v>
      </c>
      <c r="C1348" t="s">
        <v>28</v>
      </c>
      <c r="D1348" t="s">
        <v>47</v>
      </c>
      <c r="E1348">
        <v>2030</v>
      </c>
      <c r="F1348">
        <v>1507101.1523820646</v>
      </c>
    </row>
    <row r="1349" spans="1:6" x14ac:dyDescent="0.25">
      <c r="A1349" t="s">
        <v>143</v>
      </c>
      <c r="B1349" t="s">
        <v>11</v>
      </c>
      <c r="C1349" t="s">
        <v>28</v>
      </c>
      <c r="D1349" t="s">
        <v>48</v>
      </c>
      <c r="E1349">
        <v>2030</v>
      </c>
      <c r="F1349">
        <v>195082.24112879002</v>
      </c>
    </row>
    <row r="1350" spans="1:6" x14ac:dyDescent="0.25">
      <c r="A1350" t="s">
        <v>143</v>
      </c>
      <c r="B1350" t="s">
        <v>11</v>
      </c>
      <c r="C1350" t="s">
        <v>28</v>
      </c>
      <c r="D1350" t="s">
        <v>49</v>
      </c>
      <c r="E1350">
        <v>2030</v>
      </c>
      <c r="F1350">
        <v>523057.13098607323</v>
      </c>
    </row>
    <row r="1351" spans="1:6" x14ac:dyDescent="0.25">
      <c r="A1351" t="s">
        <v>143</v>
      </c>
      <c r="B1351" t="s">
        <v>11</v>
      </c>
      <c r="C1351" t="s">
        <v>28</v>
      </c>
      <c r="D1351" t="s">
        <v>50</v>
      </c>
      <c r="E1351">
        <v>2030</v>
      </c>
      <c r="F1351">
        <v>1326462.9092294232</v>
      </c>
    </row>
    <row r="1352" spans="1:6" x14ac:dyDescent="0.25">
      <c r="A1352" t="s">
        <v>143</v>
      </c>
      <c r="B1352" t="s">
        <v>11</v>
      </c>
      <c r="C1352" t="s">
        <v>28</v>
      </c>
      <c r="D1352" t="s">
        <v>51</v>
      </c>
      <c r="E1352">
        <v>2030</v>
      </c>
      <c r="F1352">
        <v>0</v>
      </c>
    </row>
    <row r="1353" spans="1:6" x14ac:dyDescent="0.25">
      <c r="A1353" t="s">
        <v>143</v>
      </c>
      <c r="B1353" t="s">
        <v>11</v>
      </c>
      <c r="C1353" t="s">
        <v>28</v>
      </c>
      <c r="D1353" t="s">
        <v>52</v>
      </c>
      <c r="E1353">
        <v>2030</v>
      </c>
      <c r="F1353">
        <v>52868.994212030084</v>
      </c>
    </row>
    <row r="1354" spans="1:6" x14ac:dyDescent="0.25">
      <c r="A1354" t="s">
        <v>143</v>
      </c>
      <c r="B1354" t="s">
        <v>11</v>
      </c>
      <c r="C1354" t="s">
        <v>28</v>
      </c>
      <c r="D1354" t="s">
        <v>29</v>
      </c>
      <c r="E1354">
        <v>2030</v>
      </c>
      <c r="F1354">
        <v>2833.9333697705197</v>
      </c>
    </row>
    <row r="1355" spans="1:6" x14ac:dyDescent="0.25">
      <c r="A1355" t="s">
        <v>143</v>
      </c>
      <c r="B1355" t="s">
        <v>11</v>
      </c>
      <c r="C1355" t="s">
        <v>28</v>
      </c>
      <c r="D1355" t="s">
        <v>53</v>
      </c>
      <c r="E1355">
        <v>2030</v>
      </c>
      <c r="F1355">
        <v>75614.059561949907</v>
      </c>
    </row>
    <row r="1356" spans="1:6" x14ac:dyDescent="0.25">
      <c r="A1356" t="s">
        <v>143</v>
      </c>
      <c r="B1356" t="s">
        <v>11</v>
      </c>
      <c r="C1356" t="s">
        <v>28</v>
      </c>
      <c r="D1356" t="s">
        <v>54</v>
      </c>
      <c r="E1356">
        <v>2030</v>
      </c>
      <c r="F1356">
        <v>314692.31350359169</v>
      </c>
    </row>
    <row r="1357" spans="1:6" x14ac:dyDescent="0.25">
      <c r="A1357" t="s">
        <v>143</v>
      </c>
      <c r="B1357" t="s">
        <v>11</v>
      </c>
      <c r="C1357" t="s">
        <v>28</v>
      </c>
      <c r="D1357" t="s">
        <v>55</v>
      </c>
      <c r="E1357">
        <v>2030</v>
      </c>
      <c r="F1357">
        <v>4075.7207832735812</v>
      </c>
    </row>
    <row r="1358" spans="1:6" x14ac:dyDescent="0.25">
      <c r="A1358" t="s">
        <v>143</v>
      </c>
      <c r="B1358" t="s">
        <v>11</v>
      </c>
      <c r="C1358" t="s">
        <v>28</v>
      </c>
      <c r="D1358" t="s">
        <v>56</v>
      </c>
      <c r="E1358">
        <v>2030</v>
      </c>
      <c r="F1358">
        <v>41.80391161429587</v>
      </c>
    </row>
    <row r="1359" spans="1:6" x14ac:dyDescent="0.25">
      <c r="A1359" t="s">
        <v>143</v>
      </c>
      <c r="B1359" t="s">
        <v>11</v>
      </c>
      <c r="C1359" t="s">
        <v>28</v>
      </c>
      <c r="D1359" t="s">
        <v>57</v>
      </c>
      <c r="E1359">
        <v>2030</v>
      </c>
      <c r="F1359">
        <v>114193.60000000001</v>
      </c>
    </row>
    <row r="1360" spans="1:6" x14ac:dyDescent="0.25">
      <c r="A1360" t="s">
        <v>143</v>
      </c>
      <c r="B1360" t="s">
        <v>11</v>
      </c>
      <c r="C1360" t="s">
        <v>28</v>
      </c>
      <c r="D1360" t="s">
        <v>35</v>
      </c>
      <c r="E1360">
        <v>2030</v>
      </c>
      <c r="F1360">
        <v>0</v>
      </c>
    </row>
    <row r="1361" spans="1:6" x14ac:dyDescent="0.25">
      <c r="A1361" t="s">
        <v>143</v>
      </c>
      <c r="B1361" t="s">
        <v>11</v>
      </c>
      <c r="C1361" t="s">
        <v>28</v>
      </c>
      <c r="D1361" t="s">
        <v>36</v>
      </c>
      <c r="E1361">
        <v>2030</v>
      </c>
      <c r="F1361">
        <v>0</v>
      </c>
    </row>
    <row r="1362" spans="1:6" x14ac:dyDescent="0.25">
      <c r="A1362" t="s">
        <v>143</v>
      </c>
      <c r="B1362" t="s">
        <v>11</v>
      </c>
      <c r="C1362" t="s">
        <v>28</v>
      </c>
      <c r="D1362" t="s">
        <v>44</v>
      </c>
      <c r="E1362">
        <v>2050</v>
      </c>
      <c r="F1362">
        <v>7649114.6368171675</v>
      </c>
    </row>
    <row r="1363" spans="1:6" x14ac:dyDescent="0.25">
      <c r="A1363" t="s">
        <v>143</v>
      </c>
      <c r="B1363" t="s">
        <v>11</v>
      </c>
      <c r="C1363" t="s">
        <v>28</v>
      </c>
      <c r="D1363" t="s">
        <v>45</v>
      </c>
      <c r="E1363">
        <v>2050</v>
      </c>
      <c r="F1363">
        <v>9678908.9419378657</v>
      </c>
    </row>
    <row r="1364" spans="1:6" x14ac:dyDescent="0.25">
      <c r="A1364" t="s">
        <v>143</v>
      </c>
      <c r="B1364" t="s">
        <v>11</v>
      </c>
      <c r="C1364" t="s">
        <v>28</v>
      </c>
      <c r="D1364" t="s">
        <v>46</v>
      </c>
      <c r="E1364">
        <v>2050</v>
      </c>
      <c r="F1364">
        <v>4307.7658612412106</v>
      </c>
    </row>
    <row r="1365" spans="1:6" x14ac:dyDescent="0.25">
      <c r="A1365" t="s">
        <v>143</v>
      </c>
      <c r="B1365" t="s">
        <v>11</v>
      </c>
      <c r="C1365" t="s">
        <v>28</v>
      </c>
      <c r="D1365" t="s">
        <v>47</v>
      </c>
      <c r="E1365">
        <v>2050</v>
      </c>
      <c r="F1365">
        <v>1563200.2483061554</v>
      </c>
    </row>
    <row r="1366" spans="1:6" x14ac:dyDescent="0.25">
      <c r="A1366" t="s">
        <v>143</v>
      </c>
      <c r="B1366" t="s">
        <v>11</v>
      </c>
      <c r="C1366" t="s">
        <v>28</v>
      </c>
      <c r="D1366" t="s">
        <v>48</v>
      </c>
      <c r="E1366">
        <v>2050</v>
      </c>
      <c r="F1366">
        <v>197484.23354298095</v>
      </c>
    </row>
    <row r="1367" spans="1:6" x14ac:dyDescent="0.25">
      <c r="A1367" t="s">
        <v>143</v>
      </c>
      <c r="B1367" t="s">
        <v>11</v>
      </c>
      <c r="C1367" t="s">
        <v>28</v>
      </c>
      <c r="D1367" t="s">
        <v>49</v>
      </c>
      <c r="E1367">
        <v>2050</v>
      </c>
      <c r="F1367">
        <v>519697.15308066551</v>
      </c>
    </row>
    <row r="1368" spans="1:6" x14ac:dyDescent="0.25">
      <c r="A1368" t="s">
        <v>143</v>
      </c>
      <c r="B1368" t="s">
        <v>11</v>
      </c>
      <c r="C1368" t="s">
        <v>28</v>
      </c>
      <c r="D1368" t="s">
        <v>50</v>
      </c>
      <c r="E1368">
        <v>2050</v>
      </c>
      <c r="F1368">
        <v>1388988.8638442878</v>
      </c>
    </row>
    <row r="1369" spans="1:6" x14ac:dyDescent="0.25">
      <c r="A1369" t="s">
        <v>143</v>
      </c>
      <c r="B1369" t="s">
        <v>11</v>
      </c>
      <c r="C1369" t="s">
        <v>28</v>
      </c>
      <c r="D1369" t="s">
        <v>51</v>
      </c>
      <c r="E1369">
        <v>2050</v>
      </c>
      <c r="F1369">
        <v>0</v>
      </c>
    </row>
    <row r="1370" spans="1:6" x14ac:dyDescent="0.25">
      <c r="A1370" t="s">
        <v>143</v>
      </c>
      <c r="B1370" t="s">
        <v>11</v>
      </c>
      <c r="C1370" t="s">
        <v>28</v>
      </c>
      <c r="D1370" t="s">
        <v>52</v>
      </c>
      <c r="E1370">
        <v>2050</v>
      </c>
      <c r="F1370">
        <v>52543.907435919093</v>
      </c>
    </row>
    <row r="1371" spans="1:6" x14ac:dyDescent="0.25">
      <c r="A1371" t="s">
        <v>143</v>
      </c>
      <c r="B1371" t="s">
        <v>11</v>
      </c>
      <c r="C1371" t="s">
        <v>28</v>
      </c>
      <c r="D1371" t="s">
        <v>29</v>
      </c>
      <c r="E1371">
        <v>2050</v>
      </c>
      <c r="F1371">
        <v>2825.7560217041437</v>
      </c>
    </row>
    <row r="1372" spans="1:6" x14ac:dyDescent="0.25">
      <c r="A1372" t="s">
        <v>143</v>
      </c>
      <c r="B1372" t="s">
        <v>11</v>
      </c>
      <c r="C1372" t="s">
        <v>28</v>
      </c>
      <c r="D1372" t="s">
        <v>53</v>
      </c>
      <c r="E1372">
        <v>2050</v>
      </c>
      <c r="F1372">
        <v>75527.053678542041</v>
      </c>
    </row>
    <row r="1373" spans="1:6" x14ac:dyDescent="0.25">
      <c r="A1373" t="s">
        <v>143</v>
      </c>
      <c r="B1373" t="s">
        <v>11</v>
      </c>
      <c r="C1373" t="s">
        <v>28</v>
      </c>
      <c r="D1373" t="s">
        <v>54</v>
      </c>
      <c r="E1373">
        <v>2050</v>
      </c>
      <c r="F1373">
        <v>314525.12457946909</v>
      </c>
    </row>
    <row r="1374" spans="1:6" x14ac:dyDescent="0.25">
      <c r="A1374" t="s">
        <v>143</v>
      </c>
      <c r="B1374" t="s">
        <v>11</v>
      </c>
      <c r="C1374" t="s">
        <v>28</v>
      </c>
      <c r="D1374" t="s">
        <v>55</v>
      </c>
      <c r="E1374">
        <v>2050</v>
      </c>
      <c r="F1374">
        <v>4034.07077562927</v>
      </c>
    </row>
    <row r="1375" spans="1:6" x14ac:dyDescent="0.25">
      <c r="A1375" t="s">
        <v>143</v>
      </c>
      <c r="B1375" t="s">
        <v>11</v>
      </c>
      <c r="C1375" t="s">
        <v>28</v>
      </c>
      <c r="D1375" t="s">
        <v>56</v>
      </c>
      <c r="E1375">
        <v>2050</v>
      </c>
      <c r="F1375">
        <v>41.656918132692169</v>
      </c>
    </row>
    <row r="1376" spans="1:6" x14ac:dyDescent="0.25">
      <c r="A1376" t="s">
        <v>143</v>
      </c>
      <c r="B1376" t="s">
        <v>11</v>
      </c>
      <c r="C1376" t="s">
        <v>28</v>
      </c>
      <c r="D1376" t="s">
        <v>57</v>
      </c>
      <c r="E1376">
        <v>2050</v>
      </c>
      <c r="F1376">
        <v>114193.60000000001</v>
      </c>
    </row>
    <row r="1377" spans="1:6" x14ac:dyDescent="0.25">
      <c r="A1377" t="s">
        <v>143</v>
      </c>
      <c r="B1377" t="s">
        <v>11</v>
      </c>
      <c r="C1377" t="s">
        <v>28</v>
      </c>
      <c r="D1377" t="s">
        <v>35</v>
      </c>
      <c r="E1377">
        <v>2050</v>
      </c>
      <c r="F1377">
        <v>0</v>
      </c>
    </row>
    <row r="1378" spans="1:6" x14ac:dyDescent="0.25">
      <c r="A1378" t="s">
        <v>143</v>
      </c>
      <c r="B1378" t="s">
        <v>11</v>
      </c>
      <c r="C1378" t="s">
        <v>28</v>
      </c>
      <c r="D1378" t="s">
        <v>36</v>
      </c>
      <c r="E1378">
        <v>2050</v>
      </c>
      <c r="F1378">
        <v>0</v>
      </c>
    </row>
    <row r="1379" spans="1:6" x14ac:dyDescent="0.25">
      <c r="A1379" t="s">
        <v>143</v>
      </c>
      <c r="B1379" t="s">
        <v>11</v>
      </c>
      <c r="C1379" t="s">
        <v>43</v>
      </c>
      <c r="D1379" t="s">
        <v>44</v>
      </c>
      <c r="E1379">
        <v>2019</v>
      </c>
      <c r="F1379">
        <v>380427.26035611134</v>
      </c>
    </row>
    <row r="1380" spans="1:6" x14ac:dyDescent="0.25">
      <c r="A1380" t="s">
        <v>143</v>
      </c>
      <c r="B1380" t="s">
        <v>11</v>
      </c>
      <c r="C1380" t="s">
        <v>43</v>
      </c>
      <c r="D1380" t="s">
        <v>45</v>
      </c>
      <c r="E1380">
        <v>2019</v>
      </c>
      <c r="F1380">
        <v>286645.05985025823</v>
      </c>
    </row>
    <row r="1381" spans="1:6" x14ac:dyDescent="0.25">
      <c r="A1381" t="s">
        <v>143</v>
      </c>
      <c r="B1381" t="s">
        <v>11</v>
      </c>
      <c r="C1381" t="s">
        <v>43</v>
      </c>
      <c r="D1381" t="s">
        <v>46</v>
      </c>
      <c r="E1381">
        <v>2019</v>
      </c>
      <c r="F1381">
        <v>337.693821952441</v>
      </c>
    </row>
    <row r="1382" spans="1:6" x14ac:dyDescent="0.25">
      <c r="A1382" t="s">
        <v>143</v>
      </c>
      <c r="B1382" t="s">
        <v>11</v>
      </c>
      <c r="C1382" t="s">
        <v>43</v>
      </c>
      <c r="D1382" t="s">
        <v>47</v>
      </c>
      <c r="E1382">
        <v>2019</v>
      </c>
      <c r="F1382">
        <v>1208651.4125341829</v>
      </c>
    </row>
    <row r="1383" spans="1:6" x14ac:dyDescent="0.25">
      <c r="A1383" t="s">
        <v>143</v>
      </c>
      <c r="B1383" t="s">
        <v>11</v>
      </c>
      <c r="C1383" t="s">
        <v>43</v>
      </c>
      <c r="D1383" t="s">
        <v>48</v>
      </c>
      <c r="E1383">
        <v>2019</v>
      </c>
      <c r="F1383">
        <v>335590.35573220561</v>
      </c>
    </row>
    <row r="1384" spans="1:6" x14ac:dyDescent="0.25">
      <c r="A1384" t="s">
        <v>143</v>
      </c>
      <c r="B1384" t="s">
        <v>11</v>
      </c>
      <c r="C1384" t="s">
        <v>43</v>
      </c>
      <c r="D1384" t="s">
        <v>49</v>
      </c>
      <c r="E1384">
        <v>2019</v>
      </c>
      <c r="F1384">
        <v>279550.24796430691</v>
      </c>
    </row>
    <row r="1385" spans="1:6" x14ac:dyDescent="0.25">
      <c r="A1385" t="s">
        <v>143</v>
      </c>
      <c r="B1385" t="s">
        <v>11</v>
      </c>
      <c r="C1385" t="s">
        <v>43</v>
      </c>
      <c r="D1385" t="s">
        <v>50</v>
      </c>
      <c r="E1385">
        <v>2019</v>
      </c>
      <c r="F1385">
        <v>85892.328449707566</v>
      </c>
    </row>
    <row r="1386" spans="1:6" x14ac:dyDescent="0.25">
      <c r="A1386" t="s">
        <v>143</v>
      </c>
      <c r="B1386" t="s">
        <v>11</v>
      </c>
      <c r="C1386" t="s">
        <v>43</v>
      </c>
      <c r="D1386" t="s">
        <v>51</v>
      </c>
      <c r="E1386">
        <v>2019</v>
      </c>
      <c r="F1386">
        <v>0</v>
      </c>
    </row>
    <row r="1387" spans="1:6" x14ac:dyDescent="0.25">
      <c r="A1387" t="s">
        <v>143</v>
      </c>
      <c r="B1387" t="s">
        <v>11</v>
      </c>
      <c r="C1387" t="s">
        <v>43</v>
      </c>
      <c r="D1387" t="s">
        <v>52</v>
      </c>
      <c r="E1387">
        <v>2019</v>
      </c>
      <c r="F1387">
        <v>22795.107252838847</v>
      </c>
    </row>
    <row r="1388" spans="1:6" x14ac:dyDescent="0.25">
      <c r="A1388" t="s">
        <v>143</v>
      </c>
      <c r="B1388" t="s">
        <v>11</v>
      </c>
      <c r="C1388" t="s">
        <v>43</v>
      </c>
      <c r="D1388" t="s">
        <v>29</v>
      </c>
      <c r="E1388">
        <v>2019</v>
      </c>
      <c r="F1388">
        <v>945.81467090137289</v>
      </c>
    </row>
    <row r="1389" spans="1:6" x14ac:dyDescent="0.25">
      <c r="A1389" t="s">
        <v>143</v>
      </c>
      <c r="B1389" t="s">
        <v>11</v>
      </c>
      <c r="C1389" t="s">
        <v>43</v>
      </c>
      <c r="D1389" t="s">
        <v>53</v>
      </c>
      <c r="E1389">
        <v>2019</v>
      </c>
      <c r="F1389">
        <v>9930.836100337272</v>
      </c>
    </row>
    <row r="1390" spans="1:6" x14ac:dyDescent="0.25">
      <c r="A1390" t="s">
        <v>143</v>
      </c>
      <c r="B1390" t="s">
        <v>11</v>
      </c>
      <c r="C1390" t="s">
        <v>43</v>
      </c>
      <c r="D1390" t="s">
        <v>54</v>
      </c>
      <c r="E1390">
        <v>2019</v>
      </c>
      <c r="F1390">
        <v>15204.565068438918</v>
      </c>
    </row>
    <row r="1391" spans="1:6" x14ac:dyDescent="0.25">
      <c r="A1391" t="s">
        <v>143</v>
      </c>
      <c r="B1391" t="s">
        <v>11</v>
      </c>
      <c r="C1391" t="s">
        <v>43</v>
      </c>
      <c r="D1391" t="s">
        <v>55</v>
      </c>
      <c r="E1391">
        <v>2019</v>
      </c>
      <c r="F1391">
        <v>24543.951075802775</v>
      </c>
    </row>
    <row r="1392" spans="1:6" x14ac:dyDescent="0.25">
      <c r="A1392" t="s">
        <v>143</v>
      </c>
      <c r="B1392" t="s">
        <v>11</v>
      </c>
      <c r="C1392" t="s">
        <v>43</v>
      </c>
      <c r="D1392" t="s">
        <v>56</v>
      </c>
      <c r="E1392">
        <v>2019</v>
      </c>
      <c r="F1392">
        <v>35.900188095894634</v>
      </c>
    </row>
    <row r="1393" spans="1:6" x14ac:dyDescent="0.25">
      <c r="A1393" t="s">
        <v>143</v>
      </c>
      <c r="B1393" t="s">
        <v>11</v>
      </c>
      <c r="C1393" t="s">
        <v>43</v>
      </c>
      <c r="D1393" t="s">
        <v>57</v>
      </c>
      <c r="E1393">
        <v>2019</v>
      </c>
      <c r="F1393">
        <v>28548.400000000001</v>
      </c>
    </row>
    <row r="1394" spans="1:6" x14ac:dyDescent="0.25">
      <c r="A1394" t="s">
        <v>143</v>
      </c>
      <c r="B1394" t="s">
        <v>11</v>
      </c>
      <c r="C1394" t="s">
        <v>43</v>
      </c>
      <c r="D1394" t="s">
        <v>35</v>
      </c>
      <c r="E1394">
        <v>2019</v>
      </c>
      <c r="F1394">
        <v>0</v>
      </c>
    </row>
    <row r="1395" spans="1:6" x14ac:dyDescent="0.25">
      <c r="A1395" t="s">
        <v>143</v>
      </c>
      <c r="B1395" t="s">
        <v>11</v>
      </c>
      <c r="C1395" t="s">
        <v>43</v>
      </c>
      <c r="D1395" t="s">
        <v>36</v>
      </c>
      <c r="E1395">
        <v>2019</v>
      </c>
      <c r="F1395">
        <v>0</v>
      </c>
    </row>
    <row r="1396" spans="1:6" x14ac:dyDescent="0.25">
      <c r="A1396" t="s">
        <v>143</v>
      </c>
      <c r="B1396" t="s">
        <v>11</v>
      </c>
      <c r="C1396" t="s">
        <v>43</v>
      </c>
      <c r="D1396" t="s">
        <v>44</v>
      </c>
      <c r="E1396">
        <v>2030</v>
      </c>
      <c r="F1396">
        <v>1157678.9141627084</v>
      </c>
    </row>
    <row r="1397" spans="1:6" x14ac:dyDescent="0.25">
      <c r="A1397" t="s">
        <v>143</v>
      </c>
      <c r="B1397" t="s">
        <v>11</v>
      </c>
      <c r="C1397" t="s">
        <v>43</v>
      </c>
      <c r="D1397" t="s">
        <v>45</v>
      </c>
      <c r="E1397">
        <v>2030</v>
      </c>
      <c r="F1397">
        <v>701319.77122631879</v>
      </c>
    </row>
    <row r="1398" spans="1:6" x14ac:dyDescent="0.25">
      <c r="A1398" t="s">
        <v>143</v>
      </c>
      <c r="B1398" t="s">
        <v>11</v>
      </c>
      <c r="C1398" t="s">
        <v>43</v>
      </c>
      <c r="D1398" t="s">
        <v>46</v>
      </c>
      <c r="E1398">
        <v>2030</v>
      </c>
      <c r="F1398">
        <v>350.10096257642732</v>
      </c>
    </row>
    <row r="1399" spans="1:6" x14ac:dyDescent="0.25">
      <c r="A1399" t="s">
        <v>143</v>
      </c>
      <c r="B1399" t="s">
        <v>11</v>
      </c>
      <c r="C1399" t="s">
        <v>43</v>
      </c>
      <c r="D1399" t="s">
        <v>47</v>
      </c>
      <c r="E1399">
        <v>2030</v>
      </c>
      <c r="F1399">
        <v>1268228.6485488336</v>
      </c>
    </row>
    <row r="1400" spans="1:6" x14ac:dyDescent="0.25">
      <c r="A1400" t="s">
        <v>143</v>
      </c>
      <c r="B1400" t="s">
        <v>11</v>
      </c>
      <c r="C1400" t="s">
        <v>43</v>
      </c>
      <c r="D1400" t="s">
        <v>48</v>
      </c>
      <c r="E1400">
        <v>2030</v>
      </c>
      <c r="F1400">
        <v>168912.75887120995</v>
      </c>
    </row>
    <row r="1401" spans="1:6" x14ac:dyDescent="0.25">
      <c r="A1401" t="s">
        <v>143</v>
      </c>
      <c r="B1401" t="s">
        <v>11</v>
      </c>
      <c r="C1401" t="s">
        <v>43</v>
      </c>
      <c r="D1401" t="s">
        <v>49</v>
      </c>
      <c r="E1401">
        <v>2030</v>
      </c>
      <c r="F1401">
        <v>202910.8690139266</v>
      </c>
    </row>
    <row r="1402" spans="1:6" x14ac:dyDescent="0.25">
      <c r="A1402" t="s">
        <v>143</v>
      </c>
      <c r="B1402" t="s">
        <v>11</v>
      </c>
      <c r="C1402" t="s">
        <v>43</v>
      </c>
      <c r="D1402" t="s">
        <v>50</v>
      </c>
      <c r="E1402">
        <v>2030</v>
      </c>
      <c r="F1402">
        <v>179027.55479609076</v>
      </c>
    </row>
    <row r="1403" spans="1:6" x14ac:dyDescent="0.25">
      <c r="A1403" t="s">
        <v>143</v>
      </c>
      <c r="B1403" t="s">
        <v>11</v>
      </c>
      <c r="C1403" t="s">
        <v>43</v>
      </c>
      <c r="D1403" t="s">
        <v>51</v>
      </c>
      <c r="E1403">
        <v>2030</v>
      </c>
      <c r="F1403">
        <v>0</v>
      </c>
    </row>
    <row r="1404" spans="1:6" x14ac:dyDescent="0.25">
      <c r="A1404" t="s">
        <v>143</v>
      </c>
      <c r="B1404" t="s">
        <v>11</v>
      </c>
      <c r="C1404" t="s">
        <v>43</v>
      </c>
      <c r="D1404" t="s">
        <v>52</v>
      </c>
      <c r="E1404">
        <v>2030</v>
      </c>
      <c r="F1404">
        <v>23065.005787969905</v>
      </c>
    </row>
    <row r="1405" spans="1:6" x14ac:dyDescent="0.25">
      <c r="A1405" t="s">
        <v>143</v>
      </c>
      <c r="B1405" t="s">
        <v>11</v>
      </c>
      <c r="C1405" t="s">
        <v>43</v>
      </c>
      <c r="D1405" t="s">
        <v>29</v>
      </c>
      <c r="E1405">
        <v>2030</v>
      </c>
      <c r="F1405">
        <v>952.06663022948101</v>
      </c>
    </row>
    <row r="1406" spans="1:6" x14ac:dyDescent="0.25">
      <c r="A1406" t="s">
        <v>143</v>
      </c>
      <c r="B1406" t="s">
        <v>11</v>
      </c>
      <c r="C1406" t="s">
        <v>43</v>
      </c>
      <c r="D1406" t="s">
        <v>53</v>
      </c>
      <c r="E1406">
        <v>2030</v>
      </c>
      <c r="F1406">
        <v>10062.940438050116</v>
      </c>
    </row>
    <row r="1407" spans="1:6" x14ac:dyDescent="0.25">
      <c r="A1407" t="s">
        <v>143</v>
      </c>
      <c r="B1407" t="s">
        <v>11</v>
      </c>
      <c r="C1407" t="s">
        <v>43</v>
      </c>
      <c r="D1407" t="s">
        <v>54</v>
      </c>
      <c r="E1407">
        <v>2030</v>
      </c>
      <c r="F1407">
        <v>15333.686496408332</v>
      </c>
    </row>
    <row r="1408" spans="1:6" x14ac:dyDescent="0.25">
      <c r="A1408" t="s">
        <v>143</v>
      </c>
      <c r="B1408" t="s">
        <v>11</v>
      </c>
      <c r="C1408" t="s">
        <v>43</v>
      </c>
      <c r="D1408" t="s">
        <v>55</v>
      </c>
      <c r="E1408">
        <v>2030</v>
      </c>
      <c r="F1408">
        <v>24569.279216726416</v>
      </c>
    </row>
    <row r="1409" spans="1:6" x14ac:dyDescent="0.25">
      <c r="A1409" t="s">
        <v>143</v>
      </c>
      <c r="B1409" t="s">
        <v>11</v>
      </c>
      <c r="C1409" t="s">
        <v>43</v>
      </c>
      <c r="D1409" t="s">
        <v>56</v>
      </c>
      <c r="E1409">
        <v>2030</v>
      </c>
      <c r="F1409">
        <v>36.19608838570413</v>
      </c>
    </row>
    <row r="1410" spans="1:6" x14ac:dyDescent="0.25">
      <c r="A1410" t="s">
        <v>143</v>
      </c>
      <c r="B1410" t="s">
        <v>11</v>
      </c>
      <c r="C1410" t="s">
        <v>43</v>
      </c>
      <c r="D1410" t="s">
        <v>57</v>
      </c>
      <c r="E1410">
        <v>2030</v>
      </c>
      <c r="F1410">
        <v>28548.400000000001</v>
      </c>
    </row>
    <row r="1411" spans="1:6" x14ac:dyDescent="0.25">
      <c r="A1411" t="s">
        <v>143</v>
      </c>
      <c r="B1411" t="s">
        <v>11</v>
      </c>
      <c r="C1411" t="s">
        <v>43</v>
      </c>
      <c r="D1411" t="s">
        <v>35</v>
      </c>
      <c r="E1411">
        <v>2030</v>
      </c>
      <c r="F1411">
        <v>0</v>
      </c>
    </row>
    <row r="1412" spans="1:6" x14ac:dyDescent="0.25">
      <c r="A1412" t="s">
        <v>143</v>
      </c>
      <c r="B1412" t="s">
        <v>11</v>
      </c>
      <c r="C1412" t="s">
        <v>43</v>
      </c>
      <c r="D1412" t="s">
        <v>36</v>
      </c>
      <c r="E1412">
        <v>2030</v>
      </c>
      <c r="F1412">
        <v>0</v>
      </c>
    </row>
    <row r="1413" spans="1:6" x14ac:dyDescent="0.25">
      <c r="A1413" t="s">
        <v>143</v>
      </c>
      <c r="B1413" t="s">
        <v>11</v>
      </c>
      <c r="C1413" t="s">
        <v>43</v>
      </c>
      <c r="D1413" t="s">
        <v>44</v>
      </c>
      <c r="E1413">
        <v>2050</v>
      </c>
      <c r="F1413">
        <v>1108334.6440677529</v>
      </c>
    </row>
    <row r="1414" spans="1:6" x14ac:dyDescent="0.25">
      <c r="A1414" t="s">
        <v>143</v>
      </c>
      <c r="B1414" t="s">
        <v>11</v>
      </c>
      <c r="C1414" t="s">
        <v>43</v>
      </c>
      <c r="D1414" t="s">
        <v>45</v>
      </c>
      <c r="E1414">
        <v>2050</v>
      </c>
      <c r="F1414">
        <v>687918.86911669304</v>
      </c>
    </row>
    <row r="1415" spans="1:6" x14ac:dyDescent="0.25">
      <c r="A1415" t="s">
        <v>143</v>
      </c>
      <c r="B1415" t="s">
        <v>11</v>
      </c>
      <c r="C1415" t="s">
        <v>43</v>
      </c>
      <c r="D1415" t="s">
        <v>46</v>
      </c>
      <c r="E1415">
        <v>2050</v>
      </c>
      <c r="F1415">
        <v>361.54919868427658</v>
      </c>
    </row>
    <row r="1416" spans="1:6" x14ac:dyDescent="0.25">
      <c r="A1416" t="s">
        <v>143</v>
      </c>
      <c r="B1416" t="s">
        <v>11</v>
      </c>
      <c r="C1416" t="s">
        <v>43</v>
      </c>
      <c r="D1416" t="s">
        <v>47</v>
      </c>
      <c r="E1416">
        <v>2050</v>
      </c>
      <c r="F1416">
        <v>1327477.7098236387</v>
      </c>
    </row>
    <row r="1417" spans="1:6" x14ac:dyDescent="0.25">
      <c r="A1417" t="s">
        <v>143</v>
      </c>
      <c r="B1417" t="s">
        <v>11</v>
      </c>
      <c r="C1417" t="s">
        <v>43</v>
      </c>
      <c r="D1417" t="s">
        <v>48</v>
      </c>
      <c r="E1417">
        <v>2050</v>
      </c>
      <c r="F1417">
        <v>172292.76645701908</v>
      </c>
    </row>
    <row r="1418" spans="1:6" x14ac:dyDescent="0.25">
      <c r="A1418" t="s">
        <v>143</v>
      </c>
      <c r="B1418" t="s">
        <v>11</v>
      </c>
      <c r="C1418" t="s">
        <v>43</v>
      </c>
      <c r="D1418" t="s">
        <v>49</v>
      </c>
      <c r="E1418">
        <v>2050</v>
      </c>
      <c r="F1418">
        <v>203334.8469193347</v>
      </c>
    </row>
    <row r="1419" spans="1:6" x14ac:dyDescent="0.25">
      <c r="A1419" t="s">
        <v>143</v>
      </c>
      <c r="B1419" t="s">
        <v>11</v>
      </c>
      <c r="C1419" t="s">
        <v>43</v>
      </c>
      <c r="D1419" t="s">
        <v>50</v>
      </c>
      <c r="E1419">
        <v>2050</v>
      </c>
      <c r="F1419">
        <v>188529.05350799995</v>
      </c>
    </row>
    <row r="1420" spans="1:6" x14ac:dyDescent="0.25">
      <c r="A1420" t="s">
        <v>143</v>
      </c>
      <c r="B1420" t="s">
        <v>11</v>
      </c>
      <c r="C1420" t="s">
        <v>43</v>
      </c>
      <c r="D1420" t="s">
        <v>51</v>
      </c>
      <c r="E1420">
        <v>2050</v>
      </c>
      <c r="F1420">
        <v>0</v>
      </c>
    </row>
    <row r="1421" spans="1:6" x14ac:dyDescent="0.25">
      <c r="A1421" t="s">
        <v>143</v>
      </c>
      <c r="B1421" t="s">
        <v>11</v>
      </c>
      <c r="C1421" t="s">
        <v>43</v>
      </c>
      <c r="D1421" t="s">
        <v>52</v>
      </c>
      <c r="E1421">
        <v>2050</v>
      </c>
      <c r="F1421">
        <v>23390.092564080911</v>
      </c>
    </row>
    <row r="1422" spans="1:6" x14ac:dyDescent="0.25">
      <c r="A1422" t="s">
        <v>143</v>
      </c>
      <c r="B1422" t="s">
        <v>11</v>
      </c>
      <c r="C1422" t="s">
        <v>43</v>
      </c>
      <c r="D1422" t="s">
        <v>29</v>
      </c>
      <c r="E1422">
        <v>2050</v>
      </c>
      <c r="F1422">
        <v>960.24397829585632</v>
      </c>
    </row>
    <row r="1423" spans="1:6" x14ac:dyDescent="0.25">
      <c r="A1423" t="s">
        <v>143</v>
      </c>
      <c r="B1423" t="s">
        <v>11</v>
      </c>
      <c r="C1423" t="s">
        <v>43</v>
      </c>
      <c r="D1423" t="s">
        <v>53</v>
      </c>
      <c r="E1423">
        <v>2050</v>
      </c>
      <c r="F1423">
        <v>10149.946321457959</v>
      </c>
    </row>
    <row r="1424" spans="1:6" x14ac:dyDescent="0.25">
      <c r="A1424" t="s">
        <v>143</v>
      </c>
      <c r="B1424" t="s">
        <v>11</v>
      </c>
      <c r="C1424" t="s">
        <v>43</v>
      </c>
      <c r="D1424" t="s">
        <v>54</v>
      </c>
      <c r="E1424">
        <v>2050</v>
      </c>
      <c r="F1424">
        <v>15500.875420530891</v>
      </c>
    </row>
    <row r="1425" spans="1:6" x14ac:dyDescent="0.25">
      <c r="A1425" t="s">
        <v>143</v>
      </c>
      <c r="B1425" t="s">
        <v>11</v>
      </c>
      <c r="C1425" t="s">
        <v>43</v>
      </c>
      <c r="D1425" t="s">
        <v>55</v>
      </c>
      <c r="E1425">
        <v>2050</v>
      </c>
      <c r="F1425">
        <v>24610.929224370728</v>
      </c>
    </row>
    <row r="1426" spans="1:6" x14ac:dyDescent="0.25">
      <c r="A1426" t="s">
        <v>143</v>
      </c>
      <c r="B1426" t="s">
        <v>11</v>
      </c>
      <c r="C1426" t="s">
        <v>43</v>
      </c>
      <c r="D1426" t="s">
        <v>56</v>
      </c>
      <c r="E1426">
        <v>2050</v>
      </c>
      <c r="F1426">
        <v>36.343081867307831</v>
      </c>
    </row>
    <row r="1427" spans="1:6" x14ac:dyDescent="0.25">
      <c r="A1427" t="s">
        <v>143</v>
      </c>
      <c r="B1427" t="s">
        <v>11</v>
      </c>
      <c r="C1427" t="s">
        <v>43</v>
      </c>
      <c r="D1427" t="s">
        <v>57</v>
      </c>
      <c r="E1427">
        <v>2050</v>
      </c>
      <c r="F1427">
        <v>28548.400000000001</v>
      </c>
    </row>
    <row r="1428" spans="1:6" x14ac:dyDescent="0.25">
      <c r="A1428" t="s">
        <v>143</v>
      </c>
      <c r="B1428" t="s">
        <v>11</v>
      </c>
      <c r="C1428" t="s">
        <v>43</v>
      </c>
      <c r="D1428" t="s">
        <v>35</v>
      </c>
      <c r="E1428">
        <v>2050</v>
      </c>
      <c r="F1428">
        <v>0</v>
      </c>
    </row>
    <row r="1429" spans="1:6" x14ac:dyDescent="0.25">
      <c r="A1429" t="s">
        <v>143</v>
      </c>
      <c r="B1429" t="s">
        <v>11</v>
      </c>
      <c r="C1429" t="s">
        <v>43</v>
      </c>
      <c r="D1429" t="s">
        <v>36</v>
      </c>
      <c r="E1429">
        <v>2050</v>
      </c>
      <c r="F1429">
        <v>0</v>
      </c>
    </row>
    <row r="1430" spans="1:6" x14ac:dyDescent="0.25">
      <c r="A1430" t="s">
        <v>143</v>
      </c>
      <c r="B1430" t="s">
        <v>8</v>
      </c>
      <c r="C1430" t="s">
        <v>28</v>
      </c>
      <c r="D1430" t="s">
        <v>29</v>
      </c>
      <c r="E1430">
        <v>2019</v>
      </c>
      <c r="F1430">
        <v>5879215.2019956242</v>
      </c>
    </row>
    <row r="1431" spans="1:6" x14ac:dyDescent="0.25">
      <c r="A1431" t="s">
        <v>143</v>
      </c>
      <c r="B1431" t="s">
        <v>8</v>
      </c>
      <c r="C1431" t="s">
        <v>28</v>
      </c>
      <c r="D1431" t="s">
        <v>52</v>
      </c>
      <c r="E1431">
        <v>2019</v>
      </c>
      <c r="F1431">
        <v>773085.89354292618</v>
      </c>
    </row>
    <row r="1432" spans="1:6" x14ac:dyDescent="0.25">
      <c r="A1432" t="s">
        <v>143</v>
      </c>
      <c r="B1432" t="s">
        <v>8</v>
      </c>
      <c r="C1432" t="s">
        <v>28</v>
      </c>
      <c r="D1432" t="s">
        <v>31</v>
      </c>
      <c r="E1432">
        <v>2019</v>
      </c>
      <c r="F1432">
        <v>0</v>
      </c>
    </row>
    <row r="1433" spans="1:6" x14ac:dyDescent="0.25">
      <c r="A1433" t="s">
        <v>143</v>
      </c>
      <c r="B1433" t="s">
        <v>8</v>
      </c>
      <c r="C1433" t="s">
        <v>28</v>
      </c>
      <c r="D1433" t="s">
        <v>34</v>
      </c>
      <c r="E1433">
        <v>2019</v>
      </c>
      <c r="F1433">
        <v>64498.47547519199</v>
      </c>
    </row>
    <row r="1434" spans="1:6" x14ac:dyDescent="0.25">
      <c r="A1434" t="s">
        <v>143</v>
      </c>
      <c r="B1434" t="s">
        <v>8</v>
      </c>
      <c r="C1434" t="s">
        <v>28</v>
      </c>
      <c r="D1434" t="s">
        <v>55</v>
      </c>
      <c r="E1434">
        <v>2019</v>
      </c>
      <c r="F1434">
        <v>841167.61765562883</v>
      </c>
    </row>
    <row r="1435" spans="1:6" x14ac:dyDescent="0.25">
      <c r="A1435" t="s">
        <v>143</v>
      </c>
      <c r="B1435" t="s">
        <v>8</v>
      </c>
      <c r="C1435" t="s">
        <v>28</v>
      </c>
      <c r="D1435" t="s">
        <v>54</v>
      </c>
      <c r="E1435">
        <v>2019</v>
      </c>
      <c r="F1435">
        <v>5657053.7864699634</v>
      </c>
    </row>
    <row r="1436" spans="1:6" x14ac:dyDescent="0.25">
      <c r="A1436" t="s">
        <v>143</v>
      </c>
      <c r="B1436" t="s">
        <v>8</v>
      </c>
      <c r="C1436" t="s">
        <v>28</v>
      </c>
      <c r="D1436" t="s">
        <v>58</v>
      </c>
      <c r="E1436">
        <v>2019</v>
      </c>
      <c r="F1436">
        <v>214099.10609126228</v>
      </c>
    </row>
    <row r="1437" spans="1:6" x14ac:dyDescent="0.25">
      <c r="A1437" t="s">
        <v>143</v>
      </c>
      <c r="B1437" t="s">
        <v>8</v>
      </c>
      <c r="C1437" t="s">
        <v>28</v>
      </c>
      <c r="D1437" t="s">
        <v>36</v>
      </c>
      <c r="E1437">
        <v>2019</v>
      </c>
      <c r="F1437">
        <v>0</v>
      </c>
    </row>
    <row r="1438" spans="1:6" x14ac:dyDescent="0.25">
      <c r="A1438" t="s">
        <v>143</v>
      </c>
      <c r="B1438" t="s">
        <v>8</v>
      </c>
      <c r="C1438" t="s">
        <v>28</v>
      </c>
      <c r="D1438" t="s">
        <v>35</v>
      </c>
      <c r="E1438">
        <v>2019</v>
      </c>
      <c r="F1438">
        <v>0</v>
      </c>
    </row>
    <row r="1439" spans="1:6" x14ac:dyDescent="0.25">
      <c r="A1439" t="s">
        <v>143</v>
      </c>
      <c r="B1439" t="s">
        <v>8</v>
      </c>
      <c r="C1439" t="s">
        <v>28</v>
      </c>
      <c r="D1439" t="s">
        <v>53</v>
      </c>
      <c r="E1439">
        <v>2019</v>
      </c>
      <c r="F1439">
        <v>12237689.9092583</v>
      </c>
    </row>
    <row r="1440" spans="1:6" x14ac:dyDescent="0.25">
      <c r="A1440" t="s">
        <v>143</v>
      </c>
      <c r="B1440" t="s">
        <v>8</v>
      </c>
      <c r="C1440" t="s">
        <v>28</v>
      </c>
      <c r="D1440" t="s">
        <v>59</v>
      </c>
      <c r="E1440">
        <v>2019</v>
      </c>
      <c r="F1440">
        <v>1515714.1736670118</v>
      </c>
    </row>
    <row r="1441" spans="1:6" x14ac:dyDescent="0.25">
      <c r="A1441" t="s">
        <v>143</v>
      </c>
      <c r="B1441" t="s">
        <v>8</v>
      </c>
      <c r="C1441" t="s">
        <v>28</v>
      </c>
      <c r="D1441" t="s">
        <v>60</v>
      </c>
      <c r="E1441">
        <v>2019</v>
      </c>
      <c r="F1441">
        <v>0</v>
      </c>
    </row>
    <row r="1442" spans="1:6" x14ac:dyDescent="0.25">
      <c r="A1442" t="s">
        <v>143</v>
      </c>
      <c r="B1442" t="s">
        <v>8</v>
      </c>
      <c r="C1442" t="s">
        <v>28</v>
      </c>
      <c r="D1442" t="s">
        <v>61</v>
      </c>
      <c r="E1442">
        <v>2019</v>
      </c>
      <c r="F1442">
        <v>0</v>
      </c>
    </row>
    <row r="1443" spans="1:6" x14ac:dyDescent="0.25">
      <c r="A1443" t="s">
        <v>143</v>
      </c>
      <c r="B1443" t="s">
        <v>8</v>
      </c>
      <c r="C1443" t="s">
        <v>28</v>
      </c>
      <c r="D1443" t="s">
        <v>62</v>
      </c>
      <c r="E1443">
        <v>2019</v>
      </c>
      <c r="F1443">
        <v>39415.735012617326</v>
      </c>
    </row>
    <row r="1444" spans="1:6" x14ac:dyDescent="0.25">
      <c r="A1444" t="s">
        <v>143</v>
      </c>
      <c r="B1444" t="s">
        <v>8</v>
      </c>
      <c r="C1444" t="s">
        <v>28</v>
      </c>
      <c r="D1444" t="s">
        <v>63</v>
      </c>
      <c r="E1444">
        <v>2019</v>
      </c>
      <c r="F1444">
        <v>4828427.5390456235</v>
      </c>
    </row>
    <row r="1445" spans="1:6" x14ac:dyDescent="0.25">
      <c r="A1445" t="s">
        <v>143</v>
      </c>
      <c r="B1445" t="s">
        <v>8</v>
      </c>
      <c r="C1445" t="s">
        <v>28</v>
      </c>
      <c r="D1445" t="s">
        <v>29</v>
      </c>
      <c r="E1445">
        <v>2030</v>
      </c>
      <c r="F1445">
        <v>5879215.2019956233</v>
      </c>
    </row>
    <row r="1446" spans="1:6" x14ac:dyDescent="0.25">
      <c r="A1446" t="s">
        <v>143</v>
      </c>
      <c r="B1446" t="s">
        <v>8</v>
      </c>
      <c r="C1446" t="s">
        <v>28</v>
      </c>
      <c r="D1446" t="s">
        <v>52</v>
      </c>
      <c r="E1446">
        <v>2030</v>
      </c>
      <c r="F1446">
        <v>773085.89354292606</v>
      </c>
    </row>
    <row r="1447" spans="1:6" x14ac:dyDescent="0.25">
      <c r="A1447" t="s">
        <v>143</v>
      </c>
      <c r="B1447" t="s">
        <v>8</v>
      </c>
      <c r="C1447" t="s">
        <v>28</v>
      </c>
      <c r="D1447" t="s">
        <v>31</v>
      </c>
      <c r="E1447">
        <v>2030</v>
      </c>
      <c r="F1447">
        <v>0</v>
      </c>
    </row>
    <row r="1448" spans="1:6" x14ac:dyDescent="0.25">
      <c r="A1448" t="s">
        <v>143</v>
      </c>
      <c r="B1448" t="s">
        <v>8</v>
      </c>
      <c r="C1448" t="s">
        <v>28</v>
      </c>
      <c r="D1448" t="s">
        <v>34</v>
      </c>
      <c r="E1448">
        <v>2030</v>
      </c>
      <c r="F1448">
        <v>64498.475475191975</v>
      </c>
    </row>
    <row r="1449" spans="1:6" x14ac:dyDescent="0.25">
      <c r="A1449" t="s">
        <v>143</v>
      </c>
      <c r="B1449" t="s">
        <v>8</v>
      </c>
      <c r="C1449" t="s">
        <v>28</v>
      </c>
      <c r="D1449" t="s">
        <v>55</v>
      </c>
      <c r="E1449">
        <v>2030</v>
      </c>
      <c r="F1449">
        <v>841167.61765562883</v>
      </c>
    </row>
    <row r="1450" spans="1:6" x14ac:dyDescent="0.25">
      <c r="A1450" t="s">
        <v>143</v>
      </c>
      <c r="B1450" t="s">
        <v>8</v>
      </c>
      <c r="C1450" t="s">
        <v>28</v>
      </c>
      <c r="D1450" t="s">
        <v>54</v>
      </c>
      <c r="E1450">
        <v>2030</v>
      </c>
      <c r="F1450">
        <v>5657053.7864699624</v>
      </c>
    </row>
    <row r="1451" spans="1:6" x14ac:dyDescent="0.25">
      <c r="A1451" t="s">
        <v>143</v>
      </c>
      <c r="B1451" t="s">
        <v>8</v>
      </c>
      <c r="C1451" t="s">
        <v>28</v>
      </c>
      <c r="D1451" t="s">
        <v>58</v>
      </c>
      <c r="E1451">
        <v>2030</v>
      </c>
      <c r="F1451">
        <v>214099.10609126225</v>
      </c>
    </row>
    <row r="1452" spans="1:6" x14ac:dyDescent="0.25">
      <c r="A1452" t="s">
        <v>143</v>
      </c>
      <c r="B1452" t="s">
        <v>8</v>
      </c>
      <c r="C1452" t="s">
        <v>28</v>
      </c>
      <c r="D1452" t="s">
        <v>36</v>
      </c>
      <c r="E1452">
        <v>2030</v>
      </c>
      <c r="F1452">
        <v>0</v>
      </c>
    </row>
    <row r="1453" spans="1:6" x14ac:dyDescent="0.25">
      <c r="A1453" t="s">
        <v>143</v>
      </c>
      <c r="B1453" t="s">
        <v>8</v>
      </c>
      <c r="C1453" t="s">
        <v>28</v>
      </c>
      <c r="D1453" t="s">
        <v>35</v>
      </c>
      <c r="E1453">
        <v>2030</v>
      </c>
      <c r="F1453">
        <v>0</v>
      </c>
    </row>
    <row r="1454" spans="1:6" x14ac:dyDescent="0.25">
      <c r="A1454" t="s">
        <v>143</v>
      </c>
      <c r="B1454" t="s">
        <v>8</v>
      </c>
      <c r="C1454" t="s">
        <v>28</v>
      </c>
      <c r="D1454" t="s">
        <v>53</v>
      </c>
      <c r="E1454">
        <v>2030</v>
      </c>
      <c r="F1454">
        <v>12237689.909258299</v>
      </c>
    </row>
    <row r="1455" spans="1:6" x14ac:dyDescent="0.25">
      <c r="A1455" t="s">
        <v>143</v>
      </c>
      <c r="B1455" t="s">
        <v>8</v>
      </c>
      <c r="C1455" t="s">
        <v>28</v>
      </c>
      <c r="D1455" t="s">
        <v>59</v>
      </c>
      <c r="E1455">
        <v>2030</v>
      </c>
      <c r="F1455">
        <v>1515714.1736670113</v>
      </c>
    </row>
    <row r="1456" spans="1:6" x14ac:dyDescent="0.25">
      <c r="A1456" t="s">
        <v>143</v>
      </c>
      <c r="B1456" t="s">
        <v>8</v>
      </c>
      <c r="C1456" t="s">
        <v>28</v>
      </c>
      <c r="D1456" t="s">
        <v>60</v>
      </c>
      <c r="E1456">
        <v>2030</v>
      </c>
      <c r="F1456">
        <v>0</v>
      </c>
    </row>
    <row r="1457" spans="1:6" x14ac:dyDescent="0.25">
      <c r="A1457" t="s">
        <v>143</v>
      </c>
      <c r="B1457" t="s">
        <v>8</v>
      </c>
      <c r="C1457" t="s">
        <v>28</v>
      </c>
      <c r="D1457" t="s">
        <v>61</v>
      </c>
      <c r="E1457">
        <v>2030</v>
      </c>
      <c r="F1457">
        <v>0</v>
      </c>
    </row>
    <row r="1458" spans="1:6" x14ac:dyDescent="0.25">
      <c r="A1458" t="s">
        <v>143</v>
      </c>
      <c r="B1458" t="s">
        <v>8</v>
      </c>
      <c r="C1458" t="s">
        <v>28</v>
      </c>
      <c r="D1458" t="s">
        <v>62</v>
      </c>
      <c r="E1458">
        <v>2030</v>
      </c>
      <c r="F1458">
        <v>39415.735012617326</v>
      </c>
    </row>
    <row r="1459" spans="1:6" x14ac:dyDescent="0.25">
      <c r="A1459" t="s">
        <v>143</v>
      </c>
      <c r="B1459" t="s">
        <v>8</v>
      </c>
      <c r="C1459" t="s">
        <v>28</v>
      </c>
      <c r="D1459" t="s">
        <v>63</v>
      </c>
      <c r="E1459">
        <v>2030</v>
      </c>
      <c r="F1459">
        <v>4828427.5390456226</v>
      </c>
    </row>
    <row r="1460" spans="1:6" x14ac:dyDescent="0.25">
      <c r="A1460" t="s">
        <v>143</v>
      </c>
      <c r="B1460" t="s">
        <v>8</v>
      </c>
      <c r="C1460" t="s">
        <v>28</v>
      </c>
      <c r="D1460" t="s">
        <v>29</v>
      </c>
      <c r="E1460">
        <v>2050</v>
      </c>
      <c r="F1460">
        <v>5879215.2019956233</v>
      </c>
    </row>
    <row r="1461" spans="1:6" x14ac:dyDescent="0.25">
      <c r="A1461" t="s">
        <v>143</v>
      </c>
      <c r="B1461" t="s">
        <v>8</v>
      </c>
      <c r="C1461" t="s">
        <v>28</v>
      </c>
      <c r="D1461" t="s">
        <v>52</v>
      </c>
      <c r="E1461">
        <v>2050</v>
      </c>
      <c r="F1461">
        <v>773085.89354292606</v>
      </c>
    </row>
    <row r="1462" spans="1:6" x14ac:dyDescent="0.25">
      <c r="A1462" t="s">
        <v>143</v>
      </c>
      <c r="B1462" t="s">
        <v>8</v>
      </c>
      <c r="C1462" t="s">
        <v>28</v>
      </c>
      <c r="D1462" t="s">
        <v>31</v>
      </c>
      <c r="E1462">
        <v>2050</v>
      </c>
      <c r="F1462">
        <v>0</v>
      </c>
    </row>
    <row r="1463" spans="1:6" x14ac:dyDescent="0.25">
      <c r="A1463" t="s">
        <v>143</v>
      </c>
      <c r="B1463" t="s">
        <v>8</v>
      </c>
      <c r="C1463" t="s">
        <v>28</v>
      </c>
      <c r="D1463" t="s">
        <v>34</v>
      </c>
      <c r="E1463">
        <v>2050</v>
      </c>
      <c r="F1463">
        <v>64498.475475191975</v>
      </c>
    </row>
    <row r="1464" spans="1:6" x14ac:dyDescent="0.25">
      <c r="A1464" t="s">
        <v>143</v>
      </c>
      <c r="B1464" t="s">
        <v>8</v>
      </c>
      <c r="C1464" t="s">
        <v>28</v>
      </c>
      <c r="D1464" t="s">
        <v>55</v>
      </c>
      <c r="E1464">
        <v>2050</v>
      </c>
      <c r="F1464">
        <v>841167.61765562883</v>
      </c>
    </row>
    <row r="1465" spans="1:6" x14ac:dyDescent="0.25">
      <c r="A1465" t="s">
        <v>143</v>
      </c>
      <c r="B1465" t="s">
        <v>8</v>
      </c>
      <c r="C1465" t="s">
        <v>28</v>
      </c>
      <c r="D1465" t="s">
        <v>54</v>
      </c>
      <c r="E1465">
        <v>2050</v>
      </c>
      <c r="F1465">
        <v>5657053.7864699624</v>
      </c>
    </row>
    <row r="1466" spans="1:6" x14ac:dyDescent="0.25">
      <c r="A1466" t="s">
        <v>143</v>
      </c>
      <c r="B1466" t="s">
        <v>8</v>
      </c>
      <c r="C1466" t="s">
        <v>28</v>
      </c>
      <c r="D1466" t="s">
        <v>58</v>
      </c>
      <c r="E1466">
        <v>2050</v>
      </c>
      <c r="F1466">
        <v>214099.10609126225</v>
      </c>
    </row>
    <row r="1467" spans="1:6" x14ac:dyDescent="0.25">
      <c r="A1467" t="s">
        <v>143</v>
      </c>
      <c r="B1467" t="s">
        <v>8</v>
      </c>
      <c r="C1467" t="s">
        <v>28</v>
      </c>
      <c r="D1467" t="s">
        <v>36</v>
      </c>
      <c r="E1467">
        <v>2050</v>
      </c>
      <c r="F1467">
        <v>0</v>
      </c>
    </row>
    <row r="1468" spans="1:6" x14ac:dyDescent="0.25">
      <c r="A1468" t="s">
        <v>143</v>
      </c>
      <c r="B1468" t="s">
        <v>8</v>
      </c>
      <c r="C1468" t="s">
        <v>28</v>
      </c>
      <c r="D1468" t="s">
        <v>35</v>
      </c>
      <c r="E1468">
        <v>2050</v>
      </c>
      <c r="F1468">
        <v>0</v>
      </c>
    </row>
    <row r="1469" spans="1:6" x14ac:dyDescent="0.25">
      <c r="A1469" t="s">
        <v>143</v>
      </c>
      <c r="B1469" t="s">
        <v>8</v>
      </c>
      <c r="C1469" t="s">
        <v>28</v>
      </c>
      <c r="D1469" t="s">
        <v>53</v>
      </c>
      <c r="E1469">
        <v>2050</v>
      </c>
      <c r="F1469">
        <v>12237689.909258299</v>
      </c>
    </row>
    <row r="1470" spans="1:6" x14ac:dyDescent="0.25">
      <c r="A1470" t="s">
        <v>143</v>
      </c>
      <c r="B1470" t="s">
        <v>8</v>
      </c>
      <c r="C1470" t="s">
        <v>28</v>
      </c>
      <c r="D1470" t="s">
        <v>59</v>
      </c>
      <c r="E1470">
        <v>2050</v>
      </c>
      <c r="F1470">
        <v>1515714.1736670113</v>
      </c>
    </row>
    <row r="1471" spans="1:6" x14ac:dyDescent="0.25">
      <c r="A1471" t="s">
        <v>143</v>
      </c>
      <c r="B1471" t="s">
        <v>8</v>
      </c>
      <c r="C1471" t="s">
        <v>28</v>
      </c>
      <c r="D1471" t="s">
        <v>60</v>
      </c>
      <c r="E1471">
        <v>2050</v>
      </c>
      <c r="F1471">
        <v>0</v>
      </c>
    </row>
    <row r="1472" spans="1:6" x14ac:dyDescent="0.25">
      <c r="A1472" t="s">
        <v>143</v>
      </c>
      <c r="B1472" t="s">
        <v>8</v>
      </c>
      <c r="C1472" t="s">
        <v>28</v>
      </c>
      <c r="D1472" t="s">
        <v>61</v>
      </c>
      <c r="E1472">
        <v>2050</v>
      </c>
      <c r="F1472">
        <v>0</v>
      </c>
    </row>
    <row r="1473" spans="1:6" x14ac:dyDescent="0.25">
      <c r="A1473" t="s">
        <v>143</v>
      </c>
      <c r="B1473" t="s">
        <v>8</v>
      </c>
      <c r="C1473" t="s">
        <v>28</v>
      </c>
      <c r="D1473" t="s">
        <v>62</v>
      </c>
      <c r="E1473">
        <v>2050</v>
      </c>
      <c r="F1473">
        <v>39415.735012617326</v>
      </c>
    </row>
    <row r="1474" spans="1:6" x14ac:dyDescent="0.25">
      <c r="A1474" t="s">
        <v>143</v>
      </c>
      <c r="B1474" t="s">
        <v>8</v>
      </c>
      <c r="C1474" t="s">
        <v>28</v>
      </c>
      <c r="D1474" t="s">
        <v>63</v>
      </c>
      <c r="E1474">
        <v>2050</v>
      </c>
      <c r="F1474">
        <v>4828427.5390456226</v>
      </c>
    </row>
    <row r="1475" spans="1:6" x14ac:dyDescent="0.25">
      <c r="A1475" t="s">
        <v>143</v>
      </c>
      <c r="B1475" t="s">
        <v>8</v>
      </c>
      <c r="C1475" t="s">
        <v>43</v>
      </c>
      <c r="D1475" t="s">
        <v>29</v>
      </c>
      <c r="E1475">
        <v>2019</v>
      </c>
      <c r="F1475">
        <v>721621.60770550335</v>
      </c>
    </row>
    <row r="1476" spans="1:6" x14ac:dyDescent="0.25">
      <c r="A1476" t="s">
        <v>143</v>
      </c>
      <c r="B1476" t="s">
        <v>8</v>
      </c>
      <c r="C1476" t="s">
        <v>43</v>
      </c>
      <c r="D1476" t="s">
        <v>52</v>
      </c>
      <c r="E1476">
        <v>2019</v>
      </c>
      <c r="F1476">
        <v>94889.448034412548</v>
      </c>
    </row>
    <row r="1477" spans="1:6" x14ac:dyDescent="0.25">
      <c r="A1477" t="s">
        <v>143</v>
      </c>
      <c r="B1477" t="s">
        <v>8</v>
      </c>
      <c r="C1477" t="s">
        <v>43</v>
      </c>
      <c r="D1477" t="s">
        <v>31</v>
      </c>
      <c r="E1477">
        <v>2019</v>
      </c>
      <c r="F1477">
        <v>0</v>
      </c>
    </row>
    <row r="1478" spans="1:6" x14ac:dyDescent="0.25">
      <c r="A1478" t="s">
        <v>143</v>
      </c>
      <c r="B1478" t="s">
        <v>8</v>
      </c>
      <c r="C1478" t="s">
        <v>43</v>
      </c>
      <c r="D1478" t="s">
        <v>34</v>
      </c>
      <c r="E1478">
        <v>2019</v>
      </c>
      <c r="F1478">
        <v>7916.616753740097</v>
      </c>
    </row>
    <row r="1479" spans="1:6" x14ac:dyDescent="0.25">
      <c r="A1479" t="s">
        <v>143</v>
      </c>
      <c r="B1479" t="s">
        <v>8</v>
      </c>
      <c r="C1479" t="s">
        <v>43</v>
      </c>
      <c r="D1479" t="s">
        <v>55</v>
      </c>
      <c r="E1479">
        <v>2019</v>
      </c>
      <c r="F1479">
        <v>103245.87683002709</v>
      </c>
    </row>
    <row r="1480" spans="1:6" x14ac:dyDescent="0.25">
      <c r="A1480" t="s">
        <v>143</v>
      </c>
      <c r="B1480" t="s">
        <v>8</v>
      </c>
      <c r="C1480" t="s">
        <v>43</v>
      </c>
      <c r="D1480" t="s">
        <v>54</v>
      </c>
      <c r="E1480">
        <v>2019</v>
      </c>
      <c r="F1480">
        <v>694353.2611092875</v>
      </c>
    </row>
    <row r="1481" spans="1:6" x14ac:dyDescent="0.25">
      <c r="A1481" t="s">
        <v>143</v>
      </c>
      <c r="B1481" t="s">
        <v>8</v>
      </c>
      <c r="C1481" t="s">
        <v>43</v>
      </c>
      <c r="D1481" t="s">
        <v>58</v>
      </c>
      <c r="E1481">
        <v>2019</v>
      </c>
      <c r="F1481">
        <v>26278.769501998373</v>
      </c>
    </row>
    <row r="1482" spans="1:6" x14ac:dyDescent="0.25">
      <c r="A1482" t="s">
        <v>143</v>
      </c>
      <c r="B1482" t="s">
        <v>8</v>
      </c>
      <c r="C1482" t="s">
        <v>43</v>
      </c>
      <c r="D1482" t="s">
        <v>36</v>
      </c>
      <c r="E1482">
        <v>2019</v>
      </c>
      <c r="F1482">
        <v>0</v>
      </c>
    </row>
    <row r="1483" spans="1:6" x14ac:dyDescent="0.25">
      <c r="A1483" t="s">
        <v>143</v>
      </c>
      <c r="B1483" t="s">
        <v>8</v>
      </c>
      <c r="C1483" t="s">
        <v>43</v>
      </c>
      <c r="D1483" t="s">
        <v>35</v>
      </c>
      <c r="E1483">
        <v>2019</v>
      </c>
      <c r="F1483">
        <v>0</v>
      </c>
    </row>
    <row r="1484" spans="1:6" x14ac:dyDescent="0.25">
      <c r="A1484" t="s">
        <v>143</v>
      </c>
      <c r="B1484" t="s">
        <v>8</v>
      </c>
      <c r="C1484" t="s">
        <v>43</v>
      </c>
      <c r="D1484" t="s">
        <v>53</v>
      </c>
      <c r="E1484">
        <v>2019</v>
      </c>
      <c r="F1484">
        <v>1502068.0760117143</v>
      </c>
    </row>
    <row r="1485" spans="1:6" x14ac:dyDescent="0.25">
      <c r="A1485" t="s">
        <v>143</v>
      </c>
      <c r="B1485" t="s">
        <v>8</v>
      </c>
      <c r="C1485" t="s">
        <v>43</v>
      </c>
      <c r="D1485" t="s">
        <v>59</v>
      </c>
      <c r="E1485">
        <v>2019</v>
      </c>
      <c r="F1485">
        <v>186040.49371289223</v>
      </c>
    </row>
    <row r="1486" spans="1:6" x14ac:dyDescent="0.25">
      <c r="A1486" t="s">
        <v>143</v>
      </c>
      <c r="B1486" t="s">
        <v>8</v>
      </c>
      <c r="C1486" t="s">
        <v>43</v>
      </c>
      <c r="D1486" t="s">
        <v>60</v>
      </c>
      <c r="E1486">
        <v>2019</v>
      </c>
      <c r="F1486">
        <v>0</v>
      </c>
    </row>
    <row r="1487" spans="1:6" x14ac:dyDescent="0.25">
      <c r="A1487" t="s">
        <v>143</v>
      </c>
      <c r="B1487" t="s">
        <v>8</v>
      </c>
      <c r="C1487" t="s">
        <v>43</v>
      </c>
      <c r="D1487" t="s">
        <v>61</v>
      </c>
      <c r="E1487">
        <v>2019</v>
      </c>
      <c r="F1487">
        <v>0</v>
      </c>
    </row>
    <row r="1488" spans="1:6" x14ac:dyDescent="0.25">
      <c r="A1488" t="s">
        <v>143</v>
      </c>
      <c r="B1488" t="s">
        <v>8</v>
      </c>
      <c r="C1488" t="s">
        <v>43</v>
      </c>
      <c r="D1488" t="s">
        <v>62</v>
      </c>
      <c r="E1488">
        <v>2019</v>
      </c>
      <c r="F1488">
        <v>4837.9324606189475</v>
      </c>
    </row>
    <row r="1489" spans="1:6" x14ac:dyDescent="0.25">
      <c r="A1489" t="s">
        <v>143</v>
      </c>
      <c r="B1489" t="s">
        <v>8</v>
      </c>
      <c r="C1489" t="s">
        <v>43</v>
      </c>
      <c r="D1489" t="s">
        <v>63</v>
      </c>
      <c r="E1489">
        <v>2019</v>
      </c>
      <c r="F1489">
        <v>592646.72642582108</v>
      </c>
    </row>
    <row r="1490" spans="1:6" x14ac:dyDescent="0.25">
      <c r="A1490" t="s">
        <v>143</v>
      </c>
      <c r="B1490" t="s">
        <v>8</v>
      </c>
      <c r="C1490" t="s">
        <v>43</v>
      </c>
      <c r="D1490" t="s">
        <v>29</v>
      </c>
      <c r="E1490">
        <v>2030</v>
      </c>
      <c r="F1490">
        <v>721621.60770550347</v>
      </c>
    </row>
    <row r="1491" spans="1:6" x14ac:dyDescent="0.25">
      <c r="A1491" t="s">
        <v>143</v>
      </c>
      <c r="B1491" t="s">
        <v>8</v>
      </c>
      <c r="C1491" t="s">
        <v>43</v>
      </c>
      <c r="D1491" t="s">
        <v>52</v>
      </c>
      <c r="E1491">
        <v>2030</v>
      </c>
      <c r="F1491">
        <v>94889.448034412562</v>
      </c>
    </row>
    <row r="1492" spans="1:6" x14ac:dyDescent="0.25">
      <c r="A1492" t="s">
        <v>143</v>
      </c>
      <c r="B1492" t="s">
        <v>8</v>
      </c>
      <c r="C1492" t="s">
        <v>43</v>
      </c>
      <c r="D1492" t="s">
        <v>31</v>
      </c>
      <c r="E1492">
        <v>2030</v>
      </c>
      <c r="F1492">
        <v>0</v>
      </c>
    </row>
    <row r="1493" spans="1:6" x14ac:dyDescent="0.25">
      <c r="A1493" t="s">
        <v>143</v>
      </c>
      <c r="B1493" t="s">
        <v>8</v>
      </c>
      <c r="C1493" t="s">
        <v>43</v>
      </c>
      <c r="D1493" t="s">
        <v>34</v>
      </c>
      <c r="E1493">
        <v>2030</v>
      </c>
      <c r="F1493">
        <v>7916.616753740097</v>
      </c>
    </row>
    <row r="1494" spans="1:6" x14ac:dyDescent="0.25">
      <c r="A1494" t="s">
        <v>143</v>
      </c>
      <c r="B1494" t="s">
        <v>8</v>
      </c>
      <c r="C1494" t="s">
        <v>43</v>
      </c>
      <c r="D1494" t="s">
        <v>55</v>
      </c>
      <c r="E1494">
        <v>2030</v>
      </c>
      <c r="F1494">
        <v>103245.8768300271</v>
      </c>
    </row>
    <row r="1495" spans="1:6" x14ac:dyDescent="0.25">
      <c r="A1495" t="s">
        <v>143</v>
      </c>
      <c r="B1495" t="s">
        <v>8</v>
      </c>
      <c r="C1495" t="s">
        <v>43</v>
      </c>
      <c r="D1495" t="s">
        <v>54</v>
      </c>
      <c r="E1495">
        <v>2030</v>
      </c>
      <c r="F1495">
        <v>694353.26110928762</v>
      </c>
    </row>
    <row r="1496" spans="1:6" x14ac:dyDescent="0.25">
      <c r="A1496" t="s">
        <v>143</v>
      </c>
      <c r="B1496" t="s">
        <v>8</v>
      </c>
      <c r="C1496" t="s">
        <v>43</v>
      </c>
      <c r="D1496" t="s">
        <v>58</v>
      </c>
      <c r="E1496">
        <v>2030</v>
      </c>
      <c r="F1496">
        <v>26278.769501998377</v>
      </c>
    </row>
    <row r="1497" spans="1:6" x14ac:dyDescent="0.25">
      <c r="A1497" t="s">
        <v>143</v>
      </c>
      <c r="B1497" t="s">
        <v>8</v>
      </c>
      <c r="C1497" t="s">
        <v>43</v>
      </c>
      <c r="D1497" t="s">
        <v>36</v>
      </c>
      <c r="E1497">
        <v>2030</v>
      </c>
      <c r="F1497">
        <v>0</v>
      </c>
    </row>
    <row r="1498" spans="1:6" x14ac:dyDescent="0.25">
      <c r="A1498" t="s">
        <v>143</v>
      </c>
      <c r="B1498" t="s">
        <v>8</v>
      </c>
      <c r="C1498" t="s">
        <v>43</v>
      </c>
      <c r="D1498" t="s">
        <v>35</v>
      </c>
      <c r="E1498">
        <v>2030</v>
      </c>
      <c r="F1498">
        <v>0</v>
      </c>
    </row>
    <row r="1499" spans="1:6" x14ac:dyDescent="0.25">
      <c r="A1499" t="s">
        <v>143</v>
      </c>
      <c r="B1499" t="s">
        <v>8</v>
      </c>
      <c r="C1499" t="s">
        <v>43</v>
      </c>
      <c r="D1499" t="s">
        <v>53</v>
      </c>
      <c r="E1499">
        <v>2030</v>
      </c>
      <c r="F1499">
        <v>1502068.0760117145</v>
      </c>
    </row>
    <row r="1500" spans="1:6" x14ac:dyDescent="0.25">
      <c r="A1500" t="s">
        <v>143</v>
      </c>
      <c r="B1500" t="s">
        <v>8</v>
      </c>
      <c r="C1500" t="s">
        <v>43</v>
      </c>
      <c r="D1500" t="s">
        <v>59</v>
      </c>
      <c r="E1500">
        <v>2030</v>
      </c>
      <c r="F1500">
        <v>186040.49371289229</v>
      </c>
    </row>
    <row r="1501" spans="1:6" x14ac:dyDescent="0.25">
      <c r="A1501" t="s">
        <v>143</v>
      </c>
      <c r="B1501" t="s">
        <v>8</v>
      </c>
      <c r="C1501" t="s">
        <v>43</v>
      </c>
      <c r="D1501" t="s">
        <v>60</v>
      </c>
      <c r="E1501">
        <v>2030</v>
      </c>
      <c r="F1501">
        <v>0</v>
      </c>
    </row>
    <row r="1502" spans="1:6" x14ac:dyDescent="0.25">
      <c r="A1502" t="s">
        <v>143</v>
      </c>
      <c r="B1502" t="s">
        <v>8</v>
      </c>
      <c r="C1502" t="s">
        <v>43</v>
      </c>
      <c r="D1502" t="s">
        <v>61</v>
      </c>
      <c r="E1502">
        <v>2030</v>
      </c>
      <c r="F1502">
        <v>0</v>
      </c>
    </row>
    <row r="1503" spans="1:6" x14ac:dyDescent="0.25">
      <c r="A1503" t="s">
        <v>143</v>
      </c>
      <c r="B1503" t="s">
        <v>8</v>
      </c>
      <c r="C1503" t="s">
        <v>43</v>
      </c>
      <c r="D1503" t="s">
        <v>62</v>
      </c>
      <c r="E1503">
        <v>2030</v>
      </c>
      <c r="F1503">
        <v>4837.9324606189484</v>
      </c>
    </row>
    <row r="1504" spans="1:6" x14ac:dyDescent="0.25">
      <c r="A1504" t="s">
        <v>143</v>
      </c>
      <c r="B1504" t="s">
        <v>8</v>
      </c>
      <c r="C1504" t="s">
        <v>43</v>
      </c>
      <c r="D1504" t="s">
        <v>63</v>
      </c>
      <c r="E1504">
        <v>2030</v>
      </c>
      <c r="F1504">
        <v>592646.72642582119</v>
      </c>
    </row>
    <row r="1505" spans="1:6" x14ac:dyDescent="0.25">
      <c r="A1505" t="s">
        <v>143</v>
      </c>
      <c r="B1505" t="s">
        <v>8</v>
      </c>
      <c r="C1505" t="s">
        <v>43</v>
      </c>
      <c r="D1505" t="s">
        <v>29</v>
      </c>
      <c r="E1505">
        <v>2050</v>
      </c>
      <c r="F1505">
        <v>721621.60770550335</v>
      </c>
    </row>
    <row r="1506" spans="1:6" x14ac:dyDescent="0.25">
      <c r="A1506" t="s">
        <v>143</v>
      </c>
      <c r="B1506" t="s">
        <v>8</v>
      </c>
      <c r="C1506" t="s">
        <v>43</v>
      </c>
      <c r="D1506" t="s">
        <v>52</v>
      </c>
      <c r="E1506">
        <v>2050</v>
      </c>
      <c r="F1506">
        <v>94889.448034412548</v>
      </c>
    </row>
    <row r="1507" spans="1:6" x14ac:dyDescent="0.25">
      <c r="A1507" t="s">
        <v>143</v>
      </c>
      <c r="B1507" t="s">
        <v>8</v>
      </c>
      <c r="C1507" t="s">
        <v>43</v>
      </c>
      <c r="D1507" t="s">
        <v>31</v>
      </c>
      <c r="E1507">
        <v>2050</v>
      </c>
      <c r="F1507">
        <v>0</v>
      </c>
    </row>
    <row r="1508" spans="1:6" x14ac:dyDescent="0.25">
      <c r="A1508" t="s">
        <v>143</v>
      </c>
      <c r="B1508" t="s">
        <v>8</v>
      </c>
      <c r="C1508" t="s">
        <v>43</v>
      </c>
      <c r="D1508" t="s">
        <v>34</v>
      </c>
      <c r="E1508">
        <v>2050</v>
      </c>
      <c r="F1508">
        <v>7916.616753740097</v>
      </c>
    </row>
    <row r="1509" spans="1:6" x14ac:dyDescent="0.25">
      <c r="A1509" t="s">
        <v>143</v>
      </c>
      <c r="B1509" t="s">
        <v>8</v>
      </c>
      <c r="C1509" t="s">
        <v>43</v>
      </c>
      <c r="D1509" t="s">
        <v>55</v>
      </c>
      <c r="E1509">
        <v>2050</v>
      </c>
      <c r="F1509">
        <v>103245.87683002709</v>
      </c>
    </row>
    <row r="1510" spans="1:6" x14ac:dyDescent="0.25">
      <c r="A1510" t="s">
        <v>143</v>
      </c>
      <c r="B1510" t="s">
        <v>8</v>
      </c>
      <c r="C1510" t="s">
        <v>43</v>
      </c>
      <c r="D1510" t="s">
        <v>54</v>
      </c>
      <c r="E1510">
        <v>2050</v>
      </c>
      <c r="F1510">
        <v>694353.2611092875</v>
      </c>
    </row>
    <row r="1511" spans="1:6" x14ac:dyDescent="0.25">
      <c r="A1511" t="s">
        <v>143</v>
      </c>
      <c r="B1511" t="s">
        <v>8</v>
      </c>
      <c r="C1511" t="s">
        <v>43</v>
      </c>
      <c r="D1511" t="s">
        <v>58</v>
      </c>
      <c r="E1511">
        <v>2050</v>
      </c>
      <c r="F1511">
        <v>26278.769501998373</v>
      </c>
    </row>
    <row r="1512" spans="1:6" x14ac:dyDescent="0.25">
      <c r="A1512" t="s">
        <v>143</v>
      </c>
      <c r="B1512" t="s">
        <v>8</v>
      </c>
      <c r="C1512" t="s">
        <v>43</v>
      </c>
      <c r="D1512" t="s">
        <v>36</v>
      </c>
      <c r="E1512">
        <v>2050</v>
      </c>
      <c r="F1512">
        <v>0</v>
      </c>
    </row>
    <row r="1513" spans="1:6" x14ac:dyDescent="0.25">
      <c r="A1513" t="s">
        <v>143</v>
      </c>
      <c r="B1513" t="s">
        <v>8</v>
      </c>
      <c r="C1513" t="s">
        <v>43</v>
      </c>
      <c r="D1513" t="s">
        <v>35</v>
      </c>
      <c r="E1513">
        <v>2050</v>
      </c>
      <c r="F1513">
        <v>0</v>
      </c>
    </row>
    <row r="1514" spans="1:6" x14ac:dyDescent="0.25">
      <c r="A1514" t="s">
        <v>143</v>
      </c>
      <c r="B1514" t="s">
        <v>8</v>
      </c>
      <c r="C1514" t="s">
        <v>43</v>
      </c>
      <c r="D1514" t="s">
        <v>53</v>
      </c>
      <c r="E1514">
        <v>2050</v>
      </c>
      <c r="F1514">
        <v>1502068.0760117143</v>
      </c>
    </row>
    <row r="1515" spans="1:6" x14ac:dyDescent="0.25">
      <c r="A1515" t="s">
        <v>143</v>
      </c>
      <c r="B1515" t="s">
        <v>8</v>
      </c>
      <c r="C1515" t="s">
        <v>43</v>
      </c>
      <c r="D1515" t="s">
        <v>59</v>
      </c>
      <c r="E1515">
        <v>2050</v>
      </c>
      <c r="F1515">
        <v>186040.49371289223</v>
      </c>
    </row>
    <row r="1516" spans="1:6" x14ac:dyDescent="0.25">
      <c r="A1516" t="s">
        <v>143</v>
      </c>
      <c r="B1516" t="s">
        <v>8</v>
      </c>
      <c r="C1516" t="s">
        <v>43</v>
      </c>
      <c r="D1516" t="s">
        <v>60</v>
      </c>
      <c r="E1516">
        <v>2050</v>
      </c>
      <c r="F1516">
        <v>0</v>
      </c>
    </row>
    <row r="1517" spans="1:6" x14ac:dyDescent="0.25">
      <c r="A1517" t="s">
        <v>143</v>
      </c>
      <c r="B1517" t="s">
        <v>8</v>
      </c>
      <c r="C1517" t="s">
        <v>43</v>
      </c>
      <c r="D1517" t="s">
        <v>61</v>
      </c>
      <c r="E1517">
        <v>2050</v>
      </c>
      <c r="F1517">
        <v>0</v>
      </c>
    </row>
    <row r="1518" spans="1:6" x14ac:dyDescent="0.25">
      <c r="A1518" t="s">
        <v>143</v>
      </c>
      <c r="B1518" t="s">
        <v>8</v>
      </c>
      <c r="C1518" t="s">
        <v>43</v>
      </c>
      <c r="D1518" t="s">
        <v>62</v>
      </c>
      <c r="E1518">
        <v>2050</v>
      </c>
      <c r="F1518">
        <v>4837.9324606189475</v>
      </c>
    </row>
    <row r="1519" spans="1:6" x14ac:dyDescent="0.25">
      <c r="A1519" t="s">
        <v>143</v>
      </c>
      <c r="B1519" t="s">
        <v>8</v>
      </c>
      <c r="C1519" t="s">
        <v>43</v>
      </c>
      <c r="D1519" t="s">
        <v>63</v>
      </c>
      <c r="E1519">
        <v>2050</v>
      </c>
      <c r="F1519">
        <v>592646.72642582108</v>
      </c>
    </row>
    <row r="1520" spans="1:6" x14ac:dyDescent="0.25">
      <c r="A1520" t="s">
        <v>143</v>
      </c>
      <c r="B1520" t="s">
        <v>13</v>
      </c>
      <c r="C1520" t="s">
        <v>28</v>
      </c>
      <c r="D1520" t="s">
        <v>52</v>
      </c>
      <c r="E1520">
        <v>2019</v>
      </c>
      <c r="F1520">
        <v>1159590.3134327475</v>
      </c>
    </row>
    <row r="1521" spans="1:6" x14ac:dyDescent="0.25">
      <c r="A1521" t="s">
        <v>143</v>
      </c>
      <c r="B1521" t="s">
        <v>13</v>
      </c>
      <c r="C1521" t="s">
        <v>28</v>
      </c>
      <c r="D1521" t="s">
        <v>64</v>
      </c>
      <c r="E1521">
        <v>2019</v>
      </c>
      <c r="F1521">
        <v>3102.9355833262225</v>
      </c>
    </row>
    <row r="1522" spans="1:6" x14ac:dyDescent="0.25">
      <c r="A1522" t="s">
        <v>143</v>
      </c>
      <c r="B1522" t="s">
        <v>13</v>
      </c>
      <c r="C1522" t="s">
        <v>28</v>
      </c>
      <c r="D1522" t="s">
        <v>65</v>
      </c>
      <c r="E1522">
        <v>2019</v>
      </c>
      <c r="F1522">
        <v>172205.06744997756</v>
      </c>
    </row>
    <row r="1523" spans="1:6" x14ac:dyDescent="0.25">
      <c r="A1523" t="s">
        <v>143</v>
      </c>
      <c r="B1523" t="s">
        <v>13</v>
      </c>
      <c r="C1523" t="s">
        <v>28</v>
      </c>
      <c r="D1523" t="s">
        <v>66</v>
      </c>
      <c r="E1523">
        <v>2019</v>
      </c>
      <c r="F1523">
        <v>2328635.6388303456</v>
      </c>
    </row>
    <row r="1524" spans="1:6" x14ac:dyDescent="0.25">
      <c r="A1524" t="s">
        <v>143</v>
      </c>
      <c r="B1524" t="s">
        <v>13</v>
      </c>
      <c r="C1524" t="s">
        <v>28</v>
      </c>
      <c r="D1524" t="s">
        <v>56</v>
      </c>
      <c r="E1524">
        <v>2019</v>
      </c>
      <c r="F1524">
        <v>530420.38785042788</v>
      </c>
    </row>
    <row r="1525" spans="1:6" x14ac:dyDescent="0.25">
      <c r="A1525" t="s">
        <v>143</v>
      </c>
      <c r="B1525" t="s">
        <v>13</v>
      </c>
      <c r="C1525" t="s">
        <v>28</v>
      </c>
      <c r="D1525" t="s">
        <v>48</v>
      </c>
      <c r="E1525">
        <v>2019</v>
      </c>
      <c r="F1525">
        <v>0</v>
      </c>
    </row>
    <row r="1526" spans="1:6" x14ac:dyDescent="0.25">
      <c r="A1526" t="s">
        <v>143</v>
      </c>
      <c r="B1526" t="s">
        <v>67</v>
      </c>
      <c r="C1526" t="s">
        <v>28</v>
      </c>
      <c r="D1526" t="s">
        <v>52</v>
      </c>
      <c r="E1526">
        <v>2019</v>
      </c>
      <c r="F1526">
        <v>0</v>
      </c>
    </row>
    <row r="1527" spans="1:6" x14ac:dyDescent="0.25">
      <c r="A1527" t="s">
        <v>143</v>
      </c>
      <c r="B1527" t="s">
        <v>67</v>
      </c>
      <c r="C1527" t="s">
        <v>28</v>
      </c>
      <c r="D1527" t="s">
        <v>64</v>
      </c>
      <c r="E1527">
        <v>2019</v>
      </c>
      <c r="F1527">
        <v>152043.84358298479</v>
      </c>
    </row>
    <row r="1528" spans="1:6" x14ac:dyDescent="0.25">
      <c r="A1528" t="s">
        <v>143</v>
      </c>
      <c r="B1528" t="s">
        <v>67</v>
      </c>
      <c r="C1528" t="s">
        <v>28</v>
      </c>
      <c r="D1528" t="s">
        <v>65</v>
      </c>
      <c r="E1528">
        <v>2019</v>
      </c>
      <c r="F1528">
        <v>0</v>
      </c>
    </row>
    <row r="1529" spans="1:6" x14ac:dyDescent="0.25">
      <c r="A1529" t="s">
        <v>143</v>
      </c>
      <c r="B1529" t="s">
        <v>67</v>
      </c>
      <c r="C1529" t="s">
        <v>28</v>
      </c>
      <c r="D1529" t="s">
        <v>66</v>
      </c>
      <c r="E1529">
        <v>2019</v>
      </c>
      <c r="F1529">
        <v>0</v>
      </c>
    </row>
    <row r="1530" spans="1:6" x14ac:dyDescent="0.25">
      <c r="A1530" t="s">
        <v>143</v>
      </c>
      <c r="B1530" t="s">
        <v>67</v>
      </c>
      <c r="C1530" t="s">
        <v>28</v>
      </c>
      <c r="D1530" t="s">
        <v>56</v>
      </c>
      <c r="E1530">
        <v>2019</v>
      </c>
      <c r="F1530">
        <v>0</v>
      </c>
    </row>
    <row r="1531" spans="1:6" x14ac:dyDescent="0.25">
      <c r="A1531" t="s">
        <v>143</v>
      </c>
      <c r="B1531" t="s">
        <v>67</v>
      </c>
      <c r="C1531" t="s">
        <v>28</v>
      </c>
      <c r="D1531" t="s">
        <v>48</v>
      </c>
      <c r="E1531">
        <v>2019</v>
      </c>
      <c r="F1531">
        <v>0</v>
      </c>
    </row>
    <row r="1532" spans="1:6" x14ac:dyDescent="0.25">
      <c r="A1532" t="s">
        <v>143</v>
      </c>
      <c r="B1532" t="s">
        <v>13</v>
      </c>
      <c r="C1532" t="s">
        <v>43</v>
      </c>
      <c r="D1532" t="s">
        <v>52</v>
      </c>
      <c r="E1532">
        <v>2019</v>
      </c>
      <c r="F1532">
        <v>734174.89910281403</v>
      </c>
    </row>
    <row r="1533" spans="1:6" x14ac:dyDescent="0.25">
      <c r="A1533" t="s">
        <v>143</v>
      </c>
      <c r="B1533" t="s">
        <v>13</v>
      </c>
      <c r="C1533" t="s">
        <v>43</v>
      </c>
      <c r="D1533" t="s">
        <v>64</v>
      </c>
      <c r="E1533">
        <v>2019</v>
      </c>
      <c r="F1533">
        <v>1238.8744472557355</v>
      </c>
    </row>
    <row r="1534" spans="1:6" x14ac:dyDescent="0.25">
      <c r="A1534" t="s">
        <v>143</v>
      </c>
      <c r="B1534" t="s">
        <v>13</v>
      </c>
      <c r="C1534" t="s">
        <v>43</v>
      </c>
      <c r="D1534" t="s">
        <v>65</v>
      </c>
      <c r="E1534">
        <v>2019</v>
      </c>
      <c r="F1534">
        <v>37577.319945022478</v>
      </c>
    </row>
    <row r="1535" spans="1:6" x14ac:dyDescent="0.25">
      <c r="A1535" t="s">
        <v>143</v>
      </c>
      <c r="B1535" t="s">
        <v>13</v>
      </c>
      <c r="C1535" t="s">
        <v>43</v>
      </c>
      <c r="D1535" t="s">
        <v>66</v>
      </c>
      <c r="E1535">
        <v>2019</v>
      </c>
      <c r="F1535">
        <v>681602.85349434032</v>
      </c>
    </row>
    <row r="1536" spans="1:6" x14ac:dyDescent="0.25">
      <c r="A1536" t="s">
        <v>143</v>
      </c>
      <c r="B1536" t="s">
        <v>13</v>
      </c>
      <c r="C1536" t="s">
        <v>43</v>
      </c>
      <c r="D1536" t="s">
        <v>56</v>
      </c>
      <c r="E1536">
        <v>2019</v>
      </c>
      <c r="F1536">
        <v>452310.61214957217</v>
      </c>
    </row>
    <row r="1537" spans="1:6" x14ac:dyDescent="0.25">
      <c r="A1537" t="s">
        <v>143</v>
      </c>
      <c r="B1537" t="s">
        <v>13</v>
      </c>
      <c r="C1537" t="s">
        <v>43</v>
      </c>
      <c r="D1537" t="s">
        <v>48</v>
      </c>
      <c r="E1537">
        <v>2019</v>
      </c>
      <c r="F1537">
        <v>0</v>
      </c>
    </row>
    <row r="1538" spans="1:6" x14ac:dyDescent="0.25">
      <c r="A1538" t="s">
        <v>143</v>
      </c>
      <c r="B1538" t="s">
        <v>67</v>
      </c>
      <c r="C1538" t="s">
        <v>43</v>
      </c>
      <c r="D1538" t="s">
        <v>52</v>
      </c>
      <c r="E1538">
        <v>2019</v>
      </c>
      <c r="F1538">
        <v>0</v>
      </c>
    </row>
    <row r="1539" spans="1:6" x14ac:dyDescent="0.25">
      <c r="A1539" t="s">
        <v>143</v>
      </c>
      <c r="B1539" t="s">
        <v>67</v>
      </c>
      <c r="C1539" t="s">
        <v>43</v>
      </c>
      <c r="D1539" t="s">
        <v>64</v>
      </c>
      <c r="E1539">
        <v>2019</v>
      </c>
      <c r="F1539">
        <v>60704.847915530983</v>
      </c>
    </row>
    <row r="1540" spans="1:6" x14ac:dyDescent="0.25">
      <c r="A1540" t="s">
        <v>143</v>
      </c>
      <c r="B1540" t="s">
        <v>67</v>
      </c>
      <c r="C1540" t="s">
        <v>43</v>
      </c>
      <c r="D1540" t="s">
        <v>65</v>
      </c>
      <c r="E1540">
        <v>2019</v>
      </c>
      <c r="F1540">
        <v>0</v>
      </c>
    </row>
    <row r="1541" spans="1:6" x14ac:dyDescent="0.25">
      <c r="A1541" t="s">
        <v>143</v>
      </c>
      <c r="B1541" t="s">
        <v>67</v>
      </c>
      <c r="C1541" t="s">
        <v>43</v>
      </c>
      <c r="D1541" t="s">
        <v>66</v>
      </c>
      <c r="E1541">
        <v>2019</v>
      </c>
      <c r="F1541">
        <v>0</v>
      </c>
    </row>
    <row r="1542" spans="1:6" x14ac:dyDescent="0.25">
      <c r="A1542" t="s">
        <v>143</v>
      </c>
      <c r="B1542" t="s">
        <v>67</v>
      </c>
      <c r="C1542" t="s">
        <v>43</v>
      </c>
      <c r="D1542" t="s">
        <v>56</v>
      </c>
      <c r="E1542">
        <v>2019</v>
      </c>
      <c r="F1542">
        <v>0</v>
      </c>
    </row>
    <row r="1543" spans="1:6" x14ac:dyDescent="0.25">
      <c r="A1543" t="s">
        <v>143</v>
      </c>
      <c r="B1543" t="s">
        <v>67</v>
      </c>
      <c r="C1543" t="s">
        <v>43</v>
      </c>
      <c r="D1543" t="s">
        <v>48</v>
      </c>
      <c r="E1543">
        <v>2019</v>
      </c>
      <c r="F1543">
        <v>0</v>
      </c>
    </row>
    <row r="1544" spans="1:6" x14ac:dyDescent="0.25">
      <c r="A1544" t="s">
        <v>143</v>
      </c>
      <c r="B1544" t="s">
        <v>13</v>
      </c>
      <c r="C1544" t="s">
        <v>28</v>
      </c>
      <c r="D1544" t="s">
        <v>52</v>
      </c>
      <c r="E1544">
        <v>2030</v>
      </c>
      <c r="F1544">
        <v>1086254.4459537058</v>
      </c>
    </row>
    <row r="1545" spans="1:6" x14ac:dyDescent="0.25">
      <c r="A1545" t="s">
        <v>143</v>
      </c>
      <c r="B1545" t="s">
        <v>13</v>
      </c>
      <c r="C1545" t="s">
        <v>28</v>
      </c>
      <c r="D1545" t="s">
        <v>64</v>
      </c>
      <c r="E1545">
        <v>2030</v>
      </c>
      <c r="F1545">
        <v>162493.02564918654</v>
      </c>
    </row>
    <row r="1546" spans="1:6" x14ac:dyDescent="0.25">
      <c r="A1546" t="s">
        <v>143</v>
      </c>
      <c r="B1546" t="s">
        <v>13</v>
      </c>
      <c r="C1546" t="s">
        <v>28</v>
      </c>
      <c r="D1546" t="s">
        <v>65</v>
      </c>
      <c r="E1546">
        <v>2030</v>
      </c>
      <c r="F1546">
        <v>177516.46640303911</v>
      </c>
    </row>
    <row r="1547" spans="1:6" x14ac:dyDescent="0.25">
      <c r="A1547" t="s">
        <v>143</v>
      </c>
      <c r="B1547" t="s">
        <v>13</v>
      </c>
      <c r="C1547" t="s">
        <v>28</v>
      </c>
      <c r="D1547" t="s">
        <v>66</v>
      </c>
      <c r="E1547">
        <v>2030</v>
      </c>
      <c r="F1547">
        <v>2203715.0015238998</v>
      </c>
    </row>
    <row r="1548" spans="1:6" x14ac:dyDescent="0.25">
      <c r="A1548" t="s">
        <v>143</v>
      </c>
      <c r="B1548" t="s">
        <v>13</v>
      </c>
      <c r="C1548" t="s">
        <v>28</v>
      </c>
      <c r="D1548" t="s">
        <v>56</v>
      </c>
      <c r="E1548">
        <v>2030</v>
      </c>
      <c r="F1548">
        <v>526692.30595677684</v>
      </c>
    </row>
    <row r="1549" spans="1:6" x14ac:dyDescent="0.25">
      <c r="A1549" t="s">
        <v>143</v>
      </c>
      <c r="B1549" t="s">
        <v>13</v>
      </c>
      <c r="C1549" t="s">
        <v>28</v>
      </c>
      <c r="D1549" t="s">
        <v>48</v>
      </c>
      <c r="E1549">
        <v>2030</v>
      </c>
      <c r="F1549">
        <v>0</v>
      </c>
    </row>
    <row r="1550" spans="1:6" x14ac:dyDescent="0.25">
      <c r="A1550" t="s">
        <v>143</v>
      </c>
      <c r="B1550" t="s">
        <v>67</v>
      </c>
      <c r="C1550" t="s">
        <v>28</v>
      </c>
      <c r="D1550" t="s">
        <v>52</v>
      </c>
      <c r="E1550">
        <v>2030</v>
      </c>
      <c r="F1550">
        <v>0</v>
      </c>
    </row>
    <row r="1551" spans="1:6" x14ac:dyDescent="0.25">
      <c r="A1551" t="s">
        <v>143</v>
      </c>
      <c r="B1551" t="s">
        <v>67</v>
      </c>
      <c r="C1551" t="s">
        <v>28</v>
      </c>
      <c r="D1551" t="s">
        <v>64</v>
      </c>
      <c r="E1551">
        <v>2030</v>
      </c>
      <c r="F1551">
        <v>0</v>
      </c>
    </row>
    <row r="1552" spans="1:6" x14ac:dyDescent="0.25">
      <c r="A1552" t="s">
        <v>143</v>
      </c>
      <c r="B1552" t="s">
        <v>67</v>
      </c>
      <c r="C1552" t="s">
        <v>28</v>
      </c>
      <c r="D1552" t="s">
        <v>65</v>
      </c>
      <c r="E1552">
        <v>2030</v>
      </c>
      <c r="F1552">
        <v>0</v>
      </c>
    </row>
    <row r="1553" spans="1:6" x14ac:dyDescent="0.25">
      <c r="A1553" t="s">
        <v>143</v>
      </c>
      <c r="B1553" t="s">
        <v>67</v>
      </c>
      <c r="C1553" t="s">
        <v>28</v>
      </c>
      <c r="D1553" t="s">
        <v>66</v>
      </c>
      <c r="E1553">
        <v>2030</v>
      </c>
      <c r="F1553">
        <v>0</v>
      </c>
    </row>
    <row r="1554" spans="1:6" x14ac:dyDescent="0.25">
      <c r="A1554" t="s">
        <v>143</v>
      </c>
      <c r="B1554" t="s">
        <v>67</v>
      </c>
      <c r="C1554" t="s">
        <v>28</v>
      </c>
      <c r="D1554" t="s">
        <v>56</v>
      </c>
      <c r="E1554">
        <v>2030</v>
      </c>
      <c r="F1554">
        <v>0</v>
      </c>
    </row>
    <row r="1555" spans="1:6" x14ac:dyDescent="0.25">
      <c r="A1555" t="s">
        <v>143</v>
      </c>
      <c r="B1555" t="s">
        <v>67</v>
      </c>
      <c r="C1555" t="s">
        <v>28</v>
      </c>
      <c r="D1555" t="s">
        <v>48</v>
      </c>
      <c r="E1555">
        <v>2030</v>
      </c>
      <c r="F1555">
        <v>0</v>
      </c>
    </row>
    <row r="1556" spans="1:6" x14ac:dyDescent="0.25">
      <c r="A1556" t="s">
        <v>143</v>
      </c>
      <c r="B1556" t="s">
        <v>13</v>
      </c>
      <c r="C1556" t="s">
        <v>43</v>
      </c>
      <c r="D1556" t="s">
        <v>52</v>
      </c>
      <c r="E1556">
        <v>2030</v>
      </c>
      <c r="F1556">
        <v>716279.67540878139</v>
      </c>
    </row>
    <row r="1557" spans="1:6" x14ac:dyDescent="0.25">
      <c r="A1557" t="s">
        <v>143</v>
      </c>
      <c r="B1557" t="s">
        <v>13</v>
      </c>
      <c r="C1557" t="s">
        <v>43</v>
      </c>
      <c r="D1557" t="s">
        <v>64</v>
      </c>
      <c r="E1557">
        <v>2030</v>
      </c>
      <c r="F1557">
        <v>65410.493211637622</v>
      </c>
    </row>
    <row r="1558" spans="1:6" x14ac:dyDescent="0.25">
      <c r="A1558" t="s">
        <v>143</v>
      </c>
      <c r="B1558" t="s">
        <v>13</v>
      </c>
      <c r="C1558" t="s">
        <v>43</v>
      </c>
      <c r="D1558" t="s">
        <v>65</v>
      </c>
      <c r="E1558">
        <v>2030</v>
      </c>
      <c r="F1558">
        <v>39419.677245239443</v>
      </c>
    </row>
    <row r="1559" spans="1:6" x14ac:dyDescent="0.25">
      <c r="A1559" t="s">
        <v>143</v>
      </c>
      <c r="B1559" t="s">
        <v>13</v>
      </c>
      <c r="C1559" t="s">
        <v>43</v>
      </c>
      <c r="D1559" t="s">
        <v>66</v>
      </c>
      <c r="E1559">
        <v>2030</v>
      </c>
      <c r="F1559">
        <v>645037.98201828008</v>
      </c>
    </row>
    <row r="1560" spans="1:6" x14ac:dyDescent="0.25">
      <c r="A1560" t="s">
        <v>143</v>
      </c>
      <c r="B1560" t="s">
        <v>13</v>
      </c>
      <c r="C1560" t="s">
        <v>43</v>
      </c>
      <c r="D1560" t="s">
        <v>56</v>
      </c>
      <c r="E1560">
        <v>2030</v>
      </c>
      <c r="F1560">
        <v>456038.69404322316</v>
      </c>
    </row>
    <row r="1561" spans="1:6" x14ac:dyDescent="0.25">
      <c r="A1561" t="s">
        <v>143</v>
      </c>
      <c r="B1561" t="s">
        <v>13</v>
      </c>
      <c r="C1561" t="s">
        <v>43</v>
      </c>
      <c r="D1561" t="s">
        <v>48</v>
      </c>
      <c r="E1561">
        <v>2030</v>
      </c>
      <c r="F1561">
        <v>0</v>
      </c>
    </row>
    <row r="1562" spans="1:6" x14ac:dyDescent="0.25">
      <c r="A1562" t="s">
        <v>143</v>
      </c>
      <c r="B1562" t="s">
        <v>67</v>
      </c>
      <c r="C1562" t="s">
        <v>43</v>
      </c>
      <c r="D1562" t="s">
        <v>52</v>
      </c>
      <c r="E1562">
        <v>2030</v>
      </c>
      <c r="F1562">
        <v>0</v>
      </c>
    </row>
    <row r="1563" spans="1:6" x14ac:dyDescent="0.25">
      <c r="A1563" t="s">
        <v>143</v>
      </c>
      <c r="B1563" t="s">
        <v>67</v>
      </c>
      <c r="C1563" t="s">
        <v>43</v>
      </c>
      <c r="D1563" t="s">
        <v>64</v>
      </c>
      <c r="E1563">
        <v>2030</v>
      </c>
      <c r="F1563">
        <v>0</v>
      </c>
    </row>
    <row r="1564" spans="1:6" x14ac:dyDescent="0.25">
      <c r="A1564" t="s">
        <v>143</v>
      </c>
      <c r="B1564" t="s">
        <v>67</v>
      </c>
      <c r="C1564" t="s">
        <v>43</v>
      </c>
      <c r="D1564" t="s">
        <v>65</v>
      </c>
      <c r="E1564">
        <v>2030</v>
      </c>
      <c r="F1564">
        <v>0</v>
      </c>
    </row>
    <row r="1565" spans="1:6" x14ac:dyDescent="0.25">
      <c r="A1565" t="s">
        <v>143</v>
      </c>
      <c r="B1565" t="s">
        <v>67</v>
      </c>
      <c r="C1565" t="s">
        <v>43</v>
      </c>
      <c r="D1565" t="s">
        <v>66</v>
      </c>
      <c r="E1565">
        <v>2030</v>
      </c>
      <c r="F1565">
        <v>0</v>
      </c>
    </row>
    <row r="1566" spans="1:6" x14ac:dyDescent="0.25">
      <c r="A1566" t="s">
        <v>143</v>
      </c>
      <c r="B1566" t="s">
        <v>67</v>
      </c>
      <c r="C1566" t="s">
        <v>43</v>
      </c>
      <c r="D1566" t="s">
        <v>56</v>
      </c>
      <c r="E1566">
        <v>2030</v>
      </c>
      <c r="F1566">
        <v>0</v>
      </c>
    </row>
    <row r="1567" spans="1:6" x14ac:dyDescent="0.25">
      <c r="A1567" t="s">
        <v>143</v>
      </c>
      <c r="B1567" t="s">
        <v>67</v>
      </c>
      <c r="C1567" t="s">
        <v>43</v>
      </c>
      <c r="D1567" t="s">
        <v>48</v>
      </c>
      <c r="E1567">
        <v>2030</v>
      </c>
      <c r="F1567">
        <v>0</v>
      </c>
    </row>
    <row r="1568" spans="1:6" x14ac:dyDescent="0.25">
      <c r="A1568" t="s">
        <v>143</v>
      </c>
      <c r="B1568" t="s">
        <v>13</v>
      </c>
      <c r="C1568" t="s">
        <v>28</v>
      </c>
      <c r="D1568" t="s">
        <v>52</v>
      </c>
      <c r="E1568">
        <v>2050</v>
      </c>
      <c r="F1568">
        <v>1004436.1243752033</v>
      </c>
    </row>
    <row r="1569" spans="1:6" x14ac:dyDescent="0.25">
      <c r="A1569" t="s">
        <v>143</v>
      </c>
      <c r="B1569" t="s">
        <v>13</v>
      </c>
      <c r="C1569" t="s">
        <v>28</v>
      </c>
      <c r="D1569" t="s">
        <v>64</v>
      </c>
      <c r="E1569">
        <v>2050</v>
      </c>
      <c r="F1569">
        <v>156492.78628542495</v>
      </c>
    </row>
    <row r="1570" spans="1:6" x14ac:dyDescent="0.25">
      <c r="A1570" t="s">
        <v>143</v>
      </c>
      <c r="B1570" t="s">
        <v>13</v>
      </c>
      <c r="C1570" t="s">
        <v>28</v>
      </c>
      <c r="D1570" t="s">
        <v>65</v>
      </c>
      <c r="E1570">
        <v>2050</v>
      </c>
      <c r="F1570">
        <v>171775.11908496951</v>
      </c>
    </row>
    <row r="1571" spans="1:6" x14ac:dyDescent="0.25">
      <c r="A1571" t="s">
        <v>143</v>
      </c>
      <c r="B1571" t="s">
        <v>13</v>
      </c>
      <c r="C1571" t="s">
        <v>28</v>
      </c>
      <c r="D1571" t="s">
        <v>66</v>
      </c>
      <c r="E1571">
        <v>2050</v>
      </c>
      <c r="F1571">
        <v>2001135.6433479721</v>
      </c>
    </row>
    <row r="1572" spans="1:6" x14ac:dyDescent="0.25">
      <c r="A1572" t="s">
        <v>143</v>
      </c>
      <c r="B1572" t="s">
        <v>13</v>
      </c>
      <c r="C1572" t="s">
        <v>28</v>
      </c>
      <c r="D1572" t="s">
        <v>56</v>
      </c>
      <c r="E1572">
        <v>2050</v>
      </c>
      <c r="F1572">
        <v>524840.3181212655</v>
      </c>
    </row>
    <row r="1573" spans="1:6" x14ac:dyDescent="0.25">
      <c r="A1573" t="s">
        <v>143</v>
      </c>
      <c r="B1573" t="s">
        <v>13</v>
      </c>
      <c r="C1573" t="s">
        <v>28</v>
      </c>
      <c r="D1573" t="s">
        <v>48</v>
      </c>
      <c r="E1573">
        <v>2050</v>
      </c>
      <c r="F1573">
        <v>0</v>
      </c>
    </row>
    <row r="1574" spans="1:6" x14ac:dyDescent="0.25">
      <c r="A1574" t="s">
        <v>143</v>
      </c>
      <c r="B1574" t="s">
        <v>67</v>
      </c>
      <c r="C1574" t="s">
        <v>28</v>
      </c>
      <c r="D1574" t="s">
        <v>52</v>
      </c>
      <c r="E1574">
        <v>2050</v>
      </c>
      <c r="F1574">
        <v>0</v>
      </c>
    </row>
    <row r="1575" spans="1:6" x14ac:dyDescent="0.25">
      <c r="A1575" t="s">
        <v>143</v>
      </c>
      <c r="B1575" t="s">
        <v>67</v>
      </c>
      <c r="C1575" t="s">
        <v>28</v>
      </c>
      <c r="D1575" t="s">
        <v>64</v>
      </c>
      <c r="E1575">
        <v>2050</v>
      </c>
      <c r="F1575">
        <v>0</v>
      </c>
    </row>
    <row r="1576" spans="1:6" x14ac:dyDescent="0.25">
      <c r="A1576" t="s">
        <v>143</v>
      </c>
      <c r="B1576" t="s">
        <v>67</v>
      </c>
      <c r="C1576" t="s">
        <v>28</v>
      </c>
      <c r="D1576" t="s">
        <v>65</v>
      </c>
      <c r="E1576">
        <v>2050</v>
      </c>
      <c r="F1576">
        <v>0</v>
      </c>
    </row>
    <row r="1577" spans="1:6" x14ac:dyDescent="0.25">
      <c r="A1577" t="s">
        <v>143</v>
      </c>
      <c r="B1577" t="s">
        <v>67</v>
      </c>
      <c r="C1577" t="s">
        <v>28</v>
      </c>
      <c r="D1577" t="s">
        <v>66</v>
      </c>
      <c r="E1577">
        <v>2050</v>
      </c>
      <c r="F1577">
        <v>0</v>
      </c>
    </row>
    <row r="1578" spans="1:6" x14ac:dyDescent="0.25">
      <c r="A1578" t="s">
        <v>143</v>
      </c>
      <c r="B1578" t="s">
        <v>67</v>
      </c>
      <c r="C1578" t="s">
        <v>28</v>
      </c>
      <c r="D1578" t="s">
        <v>56</v>
      </c>
      <c r="E1578">
        <v>2050</v>
      </c>
      <c r="F1578">
        <v>0</v>
      </c>
    </row>
    <row r="1579" spans="1:6" x14ac:dyDescent="0.25">
      <c r="A1579" t="s">
        <v>143</v>
      </c>
      <c r="B1579" t="s">
        <v>67</v>
      </c>
      <c r="C1579" t="s">
        <v>28</v>
      </c>
      <c r="D1579" t="s">
        <v>48</v>
      </c>
      <c r="E1579">
        <v>2050</v>
      </c>
      <c r="F1579">
        <v>0</v>
      </c>
    </row>
    <row r="1580" spans="1:6" x14ac:dyDescent="0.25">
      <c r="A1580" t="s">
        <v>143</v>
      </c>
      <c r="B1580" t="s">
        <v>13</v>
      </c>
      <c r="C1580" t="s">
        <v>43</v>
      </c>
      <c r="D1580" t="s">
        <v>52</v>
      </c>
      <c r="E1580">
        <v>2050</v>
      </c>
      <c r="F1580">
        <v>696380.30259275995</v>
      </c>
    </row>
    <row r="1581" spans="1:6" x14ac:dyDescent="0.25">
      <c r="A1581" t="s">
        <v>143</v>
      </c>
      <c r="B1581" t="s">
        <v>13</v>
      </c>
      <c r="C1581" t="s">
        <v>43</v>
      </c>
      <c r="D1581" t="s">
        <v>64</v>
      </c>
      <c r="E1581">
        <v>2050</v>
      </c>
      <c r="F1581">
        <v>63732.21710113556</v>
      </c>
    </row>
    <row r="1582" spans="1:6" x14ac:dyDescent="0.25">
      <c r="A1582" t="s">
        <v>143</v>
      </c>
      <c r="B1582" t="s">
        <v>13</v>
      </c>
      <c r="C1582" t="s">
        <v>43</v>
      </c>
      <c r="D1582" t="s">
        <v>65</v>
      </c>
      <c r="E1582">
        <v>2050</v>
      </c>
      <c r="F1582">
        <v>38470.033999756291</v>
      </c>
    </row>
    <row r="1583" spans="1:6" x14ac:dyDescent="0.25">
      <c r="A1583" t="s">
        <v>143</v>
      </c>
      <c r="B1583" t="s">
        <v>13</v>
      </c>
      <c r="C1583" t="s">
        <v>43</v>
      </c>
      <c r="D1583" t="s">
        <v>66</v>
      </c>
      <c r="E1583">
        <v>2050</v>
      </c>
      <c r="F1583">
        <v>585110.82295504375</v>
      </c>
    </row>
    <row r="1584" spans="1:6" x14ac:dyDescent="0.25">
      <c r="A1584" t="s">
        <v>143</v>
      </c>
      <c r="B1584" t="s">
        <v>13</v>
      </c>
      <c r="C1584" t="s">
        <v>43</v>
      </c>
      <c r="D1584" t="s">
        <v>56</v>
      </c>
      <c r="E1584">
        <v>2050</v>
      </c>
      <c r="F1584">
        <v>457890.6818787345</v>
      </c>
    </row>
    <row r="1585" spans="1:6" x14ac:dyDescent="0.25">
      <c r="A1585" t="s">
        <v>143</v>
      </c>
      <c r="B1585" t="s">
        <v>13</v>
      </c>
      <c r="C1585" t="s">
        <v>43</v>
      </c>
      <c r="D1585" t="s">
        <v>48</v>
      </c>
      <c r="E1585">
        <v>2050</v>
      </c>
      <c r="F1585">
        <v>0</v>
      </c>
    </row>
    <row r="1586" spans="1:6" x14ac:dyDescent="0.25">
      <c r="A1586" t="s">
        <v>143</v>
      </c>
      <c r="B1586" t="s">
        <v>67</v>
      </c>
      <c r="C1586" t="s">
        <v>43</v>
      </c>
      <c r="D1586" t="s">
        <v>52</v>
      </c>
      <c r="E1586">
        <v>2050</v>
      </c>
      <c r="F1586">
        <v>0</v>
      </c>
    </row>
    <row r="1587" spans="1:6" x14ac:dyDescent="0.25">
      <c r="A1587" t="s">
        <v>143</v>
      </c>
      <c r="B1587" t="s">
        <v>67</v>
      </c>
      <c r="C1587" t="s">
        <v>43</v>
      </c>
      <c r="D1587" t="s">
        <v>64</v>
      </c>
      <c r="E1587">
        <v>2050</v>
      </c>
      <c r="F1587">
        <v>0</v>
      </c>
    </row>
    <row r="1588" spans="1:6" x14ac:dyDescent="0.25">
      <c r="A1588" t="s">
        <v>143</v>
      </c>
      <c r="B1588" t="s">
        <v>67</v>
      </c>
      <c r="C1588" t="s">
        <v>43</v>
      </c>
      <c r="D1588" t="s">
        <v>65</v>
      </c>
      <c r="E1588">
        <v>2050</v>
      </c>
      <c r="F1588">
        <v>0</v>
      </c>
    </row>
    <row r="1589" spans="1:6" x14ac:dyDescent="0.25">
      <c r="A1589" t="s">
        <v>143</v>
      </c>
      <c r="B1589" t="s">
        <v>67</v>
      </c>
      <c r="C1589" t="s">
        <v>43</v>
      </c>
      <c r="D1589" t="s">
        <v>66</v>
      </c>
      <c r="E1589">
        <v>2050</v>
      </c>
      <c r="F1589">
        <v>0</v>
      </c>
    </row>
    <row r="1590" spans="1:6" x14ac:dyDescent="0.25">
      <c r="A1590" t="s">
        <v>143</v>
      </c>
      <c r="B1590" t="s">
        <v>67</v>
      </c>
      <c r="C1590" t="s">
        <v>43</v>
      </c>
      <c r="D1590" t="s">
        <v>56</v>
      </c>
      <c r="E1590">
        <v>2050</v>
      </c>
      <c r="F1590">
        <v>0</v>
      </c>
    </row>
    <row r="1591" spans="1:6" x14ac:dyDescent="0.25">
      <c r="A1591" t="s">
        <v>143</v>
      </c>
      <c r="B1591" t="s">
        <v>67</v>
      </c>
      <c r="C1591" t="s">
        <v>43</v>
      </c>
      <c r="D1591" t="s">
        <v>48</v>
      </c>
      <c r="E1591">
        <v>2050</v>
      </c>
      <c r="F1591">
        <v>0</v>
      </c>
    </row>
    <row r="1592" spans="1:6" x14ac:dyDescent="0.25">
      <c r="A1592" t="s">
        <v>143</v>
      </c>
      <c r="B1592" t="s">
        <v>12</v>
      </c>
      <c r="C1592" t="s">
        <v>28</v>
      </c>
      <c r="D1592" t="s">
        <v>44</v>
      </c>
      <c r="E1592">
        <v>2019</v>
      </c>
      <c r="F1592">
        <v>12818096.433914844</v>
      </c>
    </row>
    <row r="1593" spans="1:6" x14ac:dyDescent="0.25">
      <c r="A1593" t="s">
        <v>143</v>
      </c>
      <c r="B1593" t="s">
        <v>12</v>
      </c>
      <c r="C1593" t="s">
        <v>28</v>
      </c>
      <c r="D1593" t="s">
        <v>45</v>
      </c>
      <c r="E1593">
        <v>2019</v>
      </c>
      <c r="F1593">
        <v>6000958.9027446285</v>
      </c>
    </row>
    <row r="1594" spans="1:6" x14ac:dyDescent="0.25">
      <c r="A1594" t="s">
        <v>143</v>
      </c>
      <c r="B1594" t="s">
        <v>12</v>
      </c>
      <c r="C1594" t="s">
        <v>28</v>
      </c>
      <c r="D1594" t="s">
        <v>46</v>
      </c>
      <c r="E1594">
        <v>2019</v>
      </c>
      <c r="F1594">
        <v>3107.1675348074377</v>
      </c>
    </row>
    <row r="1595" spans="1:6" x14ac:dyDescent="0.25">
      <c r="A1595" t="s">
        <v>143</v>
      </c>
      <c r="B1595" t="s">
        <v>12</v>
      </c>
      <c r="C1595" t="s">
        <v>28</v>
      </c>
      <c r="D1595" t="s">
        <v>50</v>
      </c>
      <c r="E1595">
        <v>2019</v>
      </c>
      <c r="F1595">
        <v>730307.97492940596</v>
      </c>
    </row>
    <row r="1596" spans="1:6" x14ac:dyDescent="0.25">
      <c r="A1596" t="s">
        <v>143</v>
      </c>
      <c r="B1596" t="s">
        <v>12</v>
      </c>
      <c r="C1596" t="s">
        <v>28</v>
      </c>
      <c r="D1596" t="s">
        <v>68</v>
      </c>
      <c r="E1596">
        <v>2019</v>
      </c>
      <c r="F1596">
        <v>7001759.6428652545</v>
      </c>
    </row>
    <row r="1597" spans="1:6" x14ac:dyDescent="0.25">
      <c r="A1597" t="s">
        <v>143</v>
      </c>
      <c r="B1597" t="s">
        <v>12</v>
      </c>
      <c r="C1597" t="s">
        <v>28</v>
      </c>
      <c r="D1597" t="s">
        <v>69</v>
      </c>
      <c r="E1597">
        <v>2019</v>
      </c>
      <c r="F1597">
        <v>720643.40546424</v>
      </c>
    </row>
    <row r="1598" spans="1:6" x14ac:dyDescent="0.25">
      <c r="A1598" t="s">
        <v>143</v>
      </c>
      <c r="B1598" t="s">
        <v>12</v>
      </c>
      <c r="C1598" t="s">
        <v>28</v>
      </c>
      <c r="D1598" t="s">
        <v>44</v>
      </c>
      <c r="E1598">
        <v>2030</v>
      </c>
      <c r="F1598">
        <v>7085171.5926641021</v>
      </c>
    </row>
    <row r="1599" spans="1:6" x14ac:dyDescent="0.25">
      <c r="A1599" t="s">
        <v>143</v>
      </c>
      <c r="B1599" t="s">
        <v>12</v>
      </c>
      <c r="C1599" t="s">
        <v>28</v>
      </c>
      <c r="D1599" t="s">
        <v>45</v>
      </c>
      <c r="E1599">
        <v>2030</v>
      </c>
      <c r="F1599">
        <v>2064375.9771023891</v>
      </c>
    </row>
    <row r="1600" spans="1:6" x14ac:dyDescent="0.25">
      <c r="A1600" t="s">
        <v>143</v>
      </c>
      <c r="B1600" t="s">
        <v>12</v>
      </c>
      <c r="C1600" t="s">
        <v>28</v>
      </c>
      <c r="D1600" t="s">
        <v>46</v>
      </c>
      <c r="E1600">
        <v>2030</v>
      </c>
      <c r="F1600">
        <v>3158.317751313647</v>
      </c>
    </row>
    <row r="1601" spans="1:6" x14ac:dyDescent="0.25">
      <c r="A1601" t="s">
        <v>143</v>
      </c>
      <c r="B1601" t="s">
        <v>12</v>
      </c>
      <c r="C1601" t="s">
        <v>28</v>
      </c>
      <c r="D1601" t="s">
        <v>50</v>
      </c>
      <c r="E1601">
        <v>2030</v>
      </c>
      <c r="F1601">
        <v>502160.95849399589</v>
      </c>
    </row>
    <row r="1602" spans="1:6" x14ac:dyDescent="0.25">
      <c r="A1602" t="s">
        <v>143</v>
      </c>
      <c r="B1602" t="s">
        <v>12</v>
      </c>
      <c r="C1602" t="s">
        <v>28</v>
      </c>
      <c r="D1602" t="s">
        <v>68</v>
      </c>
      <c r="E1602">
        <v>2030</v>
      </c>
      <c r="F1602">
        <v>17711207.128625918</v>
      </c>
    </row>
    <row r="1603" spans="1:6" x14ac:dyDescent="0.25">
      <c r="A1603" t="s">
        <v>143</v>
      </c>
      <c r="B1603" t="s">
        <v>12</v>
      </c>
      <c r="C1603" t="s">
        <v>28</v>
      </c>
      <c r="D1603" t="s">
        <v>69</v>
      </c>
      <c r="E1603">
        <v>2030</v>
      </c>
      <c r="F1603">
        <v>620537.39357630478</v>
      </c>
    </row>
    <row r="1604" spans="1:6" x14ac:dyDescent="0.25">
      <c r="A1604" t="s">
        <v>143</v>
      </c>
      <c r="B1604" t="s">
        <v>12</v>
      </c>
      <c r="C1604" t="s">
        <v>28</v>
      </c>
      <c r="D1604" t="s">
        <v>44</v>
      </c>
      <c r="E1604">
        <v>2050</v>
      </c>
      <c r="F1604">
        <v>6783177.1307623936</v>
      </c>
    </row>
    <row r="1605" spans="1:6" x14ac:dyDescent="0.25">
      <c r="A1605" t="s">
        <v>143</v>
      </c>
      <c r="B1605" t="s">
        <v>12</v>
      </c>
      <c r="C1605" t="s">
        <v>28</v>
      </c>
      <c r="D1605" t="s">
        <v>45</v>
      </c>
      <c r="E1605">
        <v>2050</v>
      </c>
      <c r="F1605">
        <v>2024929.6339054219</v>
      </c>
    </row>
    <row r="1606" spans="1:6" x14ac:dyDescent="0.25">
      <c r="A1606" t="s">
        <v>143</v>
      </c>
      <c r="B1606" t="s">
        <v>12</v>
      </c>
      <c r="C1606" t="s">
        <v>28</v>
      </c>
      <c r="D1606" t="s">
        <v>46</v>
      </c>
      <c r="E1606">
        <v>2050</v>
      </c>
      <c r="F1606">
        <v>3261.5941520826309</v>
      </c>
    </row>
    <row r="1607" spans="1:6" x14ac:dyDescent="0.25">
      <c r="A1607" t="s">
        <v>143</v>
      </c>
      <c r="B1607" t="s">
        <v>12</v>
      </c>
      <c r="C1607" t="s">
        <v>28</v>
      </c>
      <c r="D1607" t="s">
        <v>50</v>
      </c>
      <c r="E1607">
        <v>2050</v>
      </c>
      <c r="F1607">
        <v>525831.49845533748</v>
      </c>
    </row>
    <row r="1608" spans="1:6" x14ac:dyDescent="0.25">
      <c r="A1608" t="s">
        <v>143</v>
      </c>
      <c r="B1608" t="s">
        <v>12</v>
      </c>
      <c r="C1608" t="s">
        <v>28</v>
      </c>
      <c r="D1608" t="s">
        <v>68</v>
      </c>
      <c r="E1608">
        <v>2050</v>
      </c>
      <c r="F1608">
        <v>17222483.674164686</v>
      </c>
    </row>
    <row r="1609" spans="1:6" x14ac:dyDescent="0.25">
      <c r="A1609" t="s">
        <v>143</v>
      </c>
      <c r="B1609" t="s">
        <v>12</v>
      </c>
      <c r="C1609" t="s">
        <v>28</v>
      </c>
      <c r="D1609" t="s">
        <v>69</v>
      </c>
      <c r="E1609">
        <v>2050</v>
      </c>
      <c r="F1609">
        <v>597110.0145929947</v>
      </c>
    </row>
    <row r="1610" spans="1:6" x14ac:dyDescent="0.25">
      <c r="A1610" t="s">
        <v>143</v>
      </c>
      <c r="B1610" t="s">
        <v>12</v>
      </c>
      <c r="C1610" t="s">
        <v>43</v>
      </c>
      <c r="D1610" t="s">
        <v>44</v>
      </c>
      <c r="E1610">
        <v>2019</v>
      </c>
      <c r="F1610">
        <v>1924034.2327518209</v>
      </c>
    </row>
    <row r="1611" spans="1:6" x14ac:dyDescent="0.25">
      <c r="A1611" t="s">
        <v>143</v>
      </c>
      <c r="B1611" t="s">
        <v>12</v>
      </c>
      <c r="C1611" t="s">
        <v>43</v>
      </c>
      <c r="D1611" t="s">
        <v>45</v>
      </c>
      <c r="E1611">
        <v>2019</v>
      </c>
      <c r="F1611">
        <v>422965.94308870414</v>
      </c>
    </row>
    <row r="1612" spans="1:6" x14ac:dyDescent="0.25">
      <c r="A1612" t="s">
        <v>143</v>
      </c>
      <c r="B1612" t="s">
        <v>12</v>
      </c>
      <c r="C1612" t="s">
        <v>43</v>
      </c>
      <c r="D1612" t="s">
        <v>46</v>
      </c>
      <c r="E1612">
        <v>2019</v>
      </c>
      <c r="F1612">
        <v>255.68246519256246</v>
      </c>
    </row>
    <row r="1613" spans="1:6" x14ac:dyDescent="0.25">
      <c r="A1613" t="s">
        <v>143</v>
      </c>
      <c r="B1613" t="s">
        <v>12</v>
      </c>
      <c r="C1613" t="s">
        <v>43</v>
      </c>
      <c r="D1613" t="s">
        <v>50</v>
      </c>
      <c r="E1613">
        <v>2019</v>
      </c>
      <c r="F1613">
        <v>93457.017927737121</v>
      </c>
    </row>
    <row r="1614" spans="1:6" x14ac:dyDescent="0.25">
      <c r="A1614" t="s">
        <v>143</v>
      </c>
      <c r="B1614" t="s">
        <v>12</v>
      </c>
      <c r="C1614" t="s">
        <v>43</v>
      </c>
      <c r="D1614" t="s">
        <v>68</v>
      </c>
      <c r="E1614">
        <v>2019</v>
      </c>
      <c r="F1614">
        <v>1801732.0926432305</v>
      </c>
    </row>
    <row r="1615" spans="1:6" x14ac:dyDescent="0.25">
      <c r="A1615" t="s">
        <v>143</v>
      </c>
      <c r="B1615" t="s">
        <v>12</v>
      </c>
      <c r="C1615" t="s">
        <v>43</v>
      </c>
      <c r="D1615" t="s">
        <v>69</v>
      </c>
      <c r="E1615">
        <v>2019</v>
      </c>
      <c r="F1615">
        <v>387847.14852834243</v>
      </c>
    </row>
    <row r="1616" spans="1:6" x14ac:dyDescent="0.25">
      <c r="A1616" t="s">
        <v>143</v>
      </c>
      <c r="B1616" t="s">
        <v>12</v>
      </c>
      <c r="C1616" t="s">
        <v>43</v>
      </c>
      <c r="D1616" t="s">
        <v>44</v>
      </c>
      <c r="E1616">
        <v>2030</v>
      </c>
      <c r="F1616">
        <v>1026620.9238801375</v>
      </c>
    </row>
    <row r="1617" spans="1:6" x14ac:dyDescent="0.25">
      <c r="A1617" t="s">
        <v>143</v>
      </c>
      <c r="B1617" t="s">
        <v>12</v>
      </c>
      <c r="C1617" t="s">
        <v>43</v>
      </c>
      <c r="D1617" t="s">
        <v>45</v>
      </c>
      <c r="E1617">
        <v>2030</v>
      </c>
      <c r="F1617">
        <v>146723.47845392721</v>
      </c>
    </row>
    <row r="1618" spans="1:6" x14ac:dyDescent="0.25">
      <c r="A1618" t="s">
        <v>143</v>
      </c>
      <c r="B1618" t="s">
        <v>12</v>
      </c>
      <c r="C1618" t="s">
        <v>43</v>
      </c>
      <c r="D1618" t="s">
        <v>46</v>
      </c>
      <c r="E1618">
        <v>2030</v>
      </c>
      <c r="F1618">
        <v>265.07644309358068</v>
      </c>
    </row>
    <row r="1619" spans="1:6" x14ac:dyDescent="0.25">
      <c r="A1619" t="s">
        <v>143</v>
      </c>
      <c r="B1619" t="s">
        <v>12</v>
      </c>
      <c r="C1619" t="s">
        <v>43</v>
      </c>
      <c r="D1619" t="s">
        <v>50</v>
      </c>
      <c r="E1619">
        <v>2030</v>
      </c>
      <c r="F1619">
        <v>67774.717172805787</v>
      </c>
    </row>
    <row r="1620" spans="1:6" x14ac:dyDescent="0.25">
      <c r="A1620" t="s">
        <v>143</v>
      </c>
      <c r="B1620" t="s">
        <v>12</v>
      </c>
      <c r="C1620" t="s">
        <v>43</v>
      </c>
      <c r="D1620" t="s">
        <v>68</v>
      </c>
      <c r="E1620">
        <v>2030</v>
      </c>
      <c r="F1620">
        <v>3047051.4177026679</v>
      </c>
    </row>
    <row r="1621" spans="1:6" x14ac:dyDescent="0.25">
      <c r="A1621" t="s">
        <v>143</v>
      </c>
      <c r="B1621" t="s">
        <v>12</v>
      </c>
      <c r="C1621" t="s">
        <v>43</v>
      </c>
      <c r="D1621" t="s">
        <v>69</v>
      </c>
      <c r="E1621">
        <v>2030</v>
      </c>
      <c r="F1621">
        <v>371889.1498666883</v>
      </c>
    </row>
    <row r="1622" spans="1:6" x14ac:dyDescent="0.25">
      <c r="A1622" t="s">
        <v>143</v>
      </c>
      <c r="B1622" t="s">
        <v>12</v>
      </c>
      <c r="C1622" t="s">
        <v>43</v>
      </c>
      <c r="D1622" t="s">
        <v>44</v>
      </c>
      <c r="E1622">
        <v>2050</v>
      </c>
      <c r="F1622">
        <v>982862.79756951681</v>
      </c>
    </row>
    <row r="1623" spans="1:6" x14ac:dyDescent="0.25">
      <c r="A1623" t="s">
        <v>143</v>
      </c>
      <c r="B1623" t="s">
        <v>12</v>
      </c>
      <c r="C1623" t="s">
        <v>43</v>
      </c>
      <c r="D1623" t="s">
        <v>45</v>
      </c>
      <c r="E1623">
        <v>2050</v>
      </c>
      <c r="F1623">
        <v>143919.86867046604</v>
      </c>
    </row>
    <row r="1624" spans="1:6" x14ac:dyDescent="0.25">
      <c r="A1624" t="s">
        <v>143</v>
      </c>
      <c r="B1624" t="s">
        <v>12</v>
      </c>
      <c r="C1624" t="s">
        <v>43</v>
      </c>
      <c r="D1624" t="s">
        <v>46</v>
      </c>
      <c r="E1624">
        <v>2050</v>
      </c>
      <c r="F1624">
        <v>273.74439328952366</v>
      </c>
    </row>
    <row r="1625" spans="1:6" x14ac:dyDescent="0.25">
      <c r="A1625" t="s">
        <v>143</v>
      </c>
      <c r="B1625" t="s">
        <v>12</v>
      </c>
      <c r="C1625" t="s">
        <v>43</v>
      </c>
      <c r="D1625" t="s">
        <v>50</v>
      </c>
      <c r="E1625">
        <v>2050</v>
      </c>
      <c r="F1625">
        <v>71371.713113742837</v>
      </c>
    </row>
    <row r="1626" spans="1:6" x14ac:dyDescent="0.25">
      <c r="A1626" t="s">
        <v>143</v>
      </c>
      <c r="B1626" t="s">
        <v>12</v>
      </c>
      <c r="C1626" t="s">
        <v>43</v>
      </c>
      <c r="D1626" t="s">
        <v>68</v>
      </c>
      <c r="E1626">
        <v>2050</v>
      </c>
      <c r="F1626">
        <v>3027912.4262798992</v>
      </c>
    </row>
    <row r="1627" spans="1:6" x14ac:dyDescent="0.25">
      <c r="A1627" t="s">
        <v>143</v>
      </c>
      <c r="B1627" t="s">
        <v>12</v>
      </c>
      <c r="C1627" t="s">
        <v>43</v>
      </c>
      <c r="D1627" t="s">
        <v>69</v>
      </c>
      <c r="E1627">
        <v>2050</v>
      </c>
      <c r="F1627">
        <v>362262.716942953</v>
      </c>
    </row>
    <row r="1628" spans="1:6" x14ac:dyDescent="0.25">
      <c r="A1628" t="s">
        <v>143</v>
      </c>
      <c r="B1628" t="s">
        <v>70</v>
      </c>
      <c r="C1628" t="s">
        <v>28</v>
      </c>
      <c r="D1628" t="s">
        <v>53</v>
      </c>
      <c r="E1628">
        <v>2019</v>
      </c>
      <c r="F1628">
        <v>0</v>
      </c>
    </row>
    <row r="1629" spans="1:6" x14ac:dyDescent="0.25">
      <c r="A1629" t="s">
        <v>143</v>
      </c>
      <c r="B1629" t="s">
        <v>70</v>
      </c>
      <c r="C1629" t="s">
        <v>28</v>
      </c>
      <c r="D1629" t="s">
        <v>53</v>
      </c>
      <c r="E1629">
        <v>2030</v>
      </c>
      <c r="F1629">
        <v>0</v>
      </c>
    </row>
    <row r="1630" spans="1:6" x14ac:dyDescent="0.25">
      <c r="A1630" t="s">
        <v>143</v>
      </c>
      <c r="B1630" t="s">
        <v>70</v>
      </c>
      <c r="C1630" t="s">
        <v>28</v>
      </c>
      <c r="D1630" t="s">
        <v>53</v>
      </c>
      <c r="E1630">
        <v>2050</v>
      </c>
      <c r="F1630">
        <v>0</v>
      </c>
    </row>
    <row r="1631" spans="1:6" x14ac:dyDescent="0.25">
      <c r="A1631" t="s">
        <v>143</v>
      </c>
      <c r="B1631" t="s">
        <v>70</v>
      </c>
      <c r="C1631" t="s">
        <v>43</v>
      </c>
      <c r="D1631" t="s">
        <v>53</v>
      </c>
      <c r="E1631">
        <v>2019</v>
      </c>
      <c r="F1631">
        <v>0</v>
      </c>
    </row>
    <row r="1632" spans="1:6" x14ac:dyDescent="0.25">
      <c r="A1632" t="s">
        <v>143</v>
      </c>
      <c r="B1632" t="s">
        <v>70</v>
      </c>
      <c r="C1632" t="s">
        <v>43</v>
      </c>
      <c r="D1632" t="s">
        <v>53</v>
      </c>
      <c r="E1632">
        <v>2030</v>
      </c>
      <c r="F1632">
        <v>0</v>
      </c>
    </row>
    <row r="1633" spans="1:6" x14ac:dyDescent="0.25">
      <c r="A1633" t="s">
        <v>143</v>
      </c>
      <c r="B1633" t="s">
        <v>70</v>
      </c>
      <c r="C1633" t="s">
        <v>43</v>
      </c>
      <c r="D1633" t="s">
        <v>53</v>
      </c>
      <c r="E1633">
        <v>2050</v>
      </c>
      <c r="F1633">
        <v>0</v>
      </c>
    </row>
    <row r="1634" spans="1:6" x14ac:dyDescent="0.25">
      <c r="A1634" t="s">
        <v>143</v>
      </c>
      <c r="B1634" t="s">
        <v>71</v>
      </c>
      <c r="C1634" t="s">
        <v>28</v>
      </c>
      <c r="D1634" t="s">
        <v>72</v>
      </c>
      <c r="E1634">
        <v>2019</v>
      </c>
      <c r="F1634">
        <v>484833.6848947219</v>
      </c>
    </row>
    <row r="1635" spans="1:6" x14ac:dyDescent="0.25">
      <c r="A1635" t="s">
        <v>143</v>
      </c>
      <c r="B1635" t="s">
        <v>71</v>
      </c>
      <c r="C1635" t="s">
        <v>28</v>
      </c>
      <c r="D1635" t="s">
        <v>72</v>
      </c>
      <c r="E1635">
        <v>2030</v>
      </c>
      <c r="F1635">
        <v>507790.70515370794</v>
      </c>
    </row>
    <row r="1636" spans="1:6" x14ac:dyDescent="0.25">
      <c r="A1636" t="s">
        <v>143</v>
      </c>
      <c r="B1636" t="s">
        <v>71</v>
      </c>
      <c r="C1636" t="s">
        <v>28</v>
      </c>
      <c r="D1636" t="s">
        <v>72</v>
      </c>
      <c r="E1636">
        <v>2050</v>
      </c>
      <c r="F1636">
        <v>489039.95714195294</v>
      </c>
    </row>
    <row r="1637" spans="1:6" x14ac:dyDescent="0.25">
      <c r="A1637" t="s">
        <v>143</v>
      </c>
      <c r="B1637" t="s">
        <v>71</v>
      </c>
      <c r="C1637" t="s">
        <v>43</v>
      </c>
      <c r="D1637" t="s">
        <v>72</v>
      </c>
      <c r="E1637">
        <v>2019</v>
      </c>
      <c r="F1637">
        <v>193574.13238370849</v>
      </c>
    </row>
    <row r="1638" spans="1:6" x14ac:dyDescent="0.25">
      <c r="A1638" t="s">
        <v>143</v>
      </c>
      <c r="B1638" t="s">
        <v>71</v>
      </c>
      <c r="C1638" t="s">
        <v>43</v>
      </c>
      <c r="D1638" t="s">
        <v>72</v>
      </c>
      <c r="E1638">
        <v>2030</v>
      </c>
      <c r="F1638">
        <v>204407.79128636757</v>
      </c>
    </row>
    <row r="1639" spans="1:6" x14ac:dyDescent="0.25">
      <c r="A1639" t="s">
        <v>143</v>
      </c>
      <c r="B1639" t="s">
        <v>71</v>
      </c>
      <c r="C1639" t="s">
        <v>43</v>
      </c>
      <c r="D1639" t="s">
        <v>72</v>
      </c>
      <c r="E1639">
        <v>2050</v>
      </c>
      <c r="F1639">
        <v>199163.17844104863</v>
      </c>
    </row>
    <row r="1640" spans="1:6" x14ac:dyDescent="0.25">
      <c r="A1640" t="s">
        <v>143</v>
      </c>
      <c r="B1640" t="s">
        <v>139</v>
      </c>
      <c r="C1640" t="s">
        <v>28</v>
      </c>
      <c r="D1640" t="s">
        <v>52</v>
      </c>
      <c r="E1640">
        <v>2019</v>
      </c>
      <c r="F1640">
        <v>0</v>
      </c>
    </row>
    <row r="1641" spans="1:6" x14ac:dyDescent="0.25">
      <c r="A1641" t="s">
        <v>143</v>
      </c>
      <c r="B1641" t="s">
        <v>139</v>
      </c>
      <c r="C1641" t="s">
        <v>28</v>
      </c>
      <c r="D1641" t="s">
        <v>52</v>
      </c>
      <c r="E1641">
        <v>2030</v>
      </c>
      <c r="F1641">
        <v>0</v>
      </c>
    </row>
    <row r="1642" spans="1:6" x14ac:dyDescent="0.25">
      <c r="A1642" t="s">
        <v>143</v>
      </c>
      <c r="B1642" t="s">
        <v>139</v>
      </c>
      <c r="C1642" t="s">
        <v>28</v>
      </c>
      <c r="D1642" t="s">
        <v>52</v>
      </c>
      <c r="E1642">
        <v>2050</v>
      </c>
      <c r="F1642">
        <v>0</v>
      </c>
    </row>
    <row r="1643" spans="1:6" x14ac:dyDescent="0.25">
      <c r="A1643" t="s">
        <v>143</v>
      </c>
      <c r="B1643" t="s">
        <v>139</v>
      </c>
      <c r="C1643" t="s">
        <v>43</v>
      </c>
      <c r="D1643" t="s">
        <v>52</v>
      </c>
      <c r="E1643">
        <v>2019</v>
      </c>
      <c r="F1643">
        <v>0</v>
      </c>
    </row>
    <row r="1644" spans="1:6" x14ac:dyDescent="0.25">
      <c r="A1644" t="s">
        <v>143</v>
      </c>
      <c r="B1644" t="s">
        <v>139</v>
      </c>
      <c r="C1644" t="s">
        <v>43</v>
      </c>
      <c r="D1644" t="s">
        <v>52</v>
      </c>
      <c r="E1644">
        <v>2030</v>
      </c>
      <c r="F1644">
        <v>0</v>
      </c>
    </row>
    <row r="1645" spans="1:6" x14ac:dyDescent="0.25">
      <c r="A1645" t="s">
        <v>143</v>
      </c>
      <c r="B1645" t="s">
        <v>139</v>
      </c>
      <c r="C1645" t="s">
        <v>43</v>
      </c>
      <c r="D1645" t="s">
        <v>52</v>
      </c>
      <c r="E1645">
        <v>2050</v>
      </c>
      <c r="F1645">
        <v>0</v>
      </c>
    </row>
    <row r="1646" spans="1:6" x14ac:dyDescent="0.25">
      <c r="A1646" t="s">
        <v>143</v>
      </c>
      <c r="B1646" t="s">
        <v>13</v>
      </c>
      <c r="C1646" t="s">
        <v>28</v>
      </c>
      <c r="D1646" t="s">
        <v>140</v>
      </c>
      <c r="E1646">
        <v>2019</v>
      </c>
      <c r="F1646">
        <v>0</v>
      </c>
    </row>
    <row r="1647" spans="1:6" x14ac:dyDescent="0.25">
      <c r="A1647" t="s">
        <v>143</v>
      </c>
      <c r="B1647" t="s">
        <v>13</v>
      </c>
      <c r="C1647" t="s">
        <v>28</v>
      </c>
      <c r="D1647" t="s">
        <v>141</v>
      </c>
      <c r="E1647">
        <v>2019</v>
      </c>
      <c r="F1647">
        <v>0</v>
      </c>
    </row>
    <row r="1648" spans="1:6" x14ac:dyDescent="0.25">
      <c r="A1648" t="s">
        <v>143</v>
      </c>
      <c r="B1648" t="s">
        <v>13</v>
      </c>
      <c r="C1648" t="s">
        <v>28</v>
      </c>
      <c r="D1648" t="s">
        <v>140</v>
      </c>
      <c r="E1648">
        <v>2030</v>
      </c>
      <c r="F1648">
        <v>0</v>
      </c>
    </row>
    <row r="1649" spans="1:6" x14ac:dyDescent="0.25">
      <c r="A1649" t="s">
        <v>143</v>
      </c>
      <c r="B1649" t="s">
        <v>13</v>
      </c>
      <c r="C1649" t="s">
        <v>28</v>
      </c>
      <c r="D1649" t="s">
        <v>141</v>
      </c>
      <c r="E1649">
        <v>2030</v>
      </c>
      <c r="F1649">
        <v>0</v>
      </c>
    </row>
    <row r="1650" spans="1:6" x14ac:dyDescent="0.25">
      <c r="A1650" t="s">
        <v>143</v>
      </c>
      <c r="B1650" t="s">
        <v>13</v>
      </c>
      <c r="C1650" t="s">
        <v>28</v>
      </c>
      <c r="D1650" t="s">
        <v>140</v>
      </c>
      <c r="E1650">
        <v>2050</v>
      </c>
      <c r="F1650">
        <v>0</v>
      </c>
    </row>
    <row r="1651" spans="1:6" x14ac:dyDescent="0.25">
      <c r="A1651" t="s">
        <v>143</v>
      </c>
      <c r="B1651" t="s">
        <v>13</v>
      </c>
      <c r="C1651" t="s">
        <v>28</v>
      </c>
      <c r="D1651" t="s">
        <v>141</v>
      </c>
      <c r="E1651">
        <v>2050</v>
      </c>
      <c r="F1651">
        <v>0</v>
      </c>
    </row>
    <row r="1652" spans="1:6" x14ac:dyDescent="0.25">
      <c r="A1652" t="s">
        <v>143</v>
      </c>
      <c r="B1652" t="s">
        <v>13</v>
      </c>
      <c r="C1652" t="s">
        <v>43</v>
      </c>
      <c r="D1652" t="s">
        <v>140</v>
      </c>
      <c r="E1652">
        <v>2019</v>
      </c>
      <c r="F1652">
        <v>0</v>
      </c>
    </row>
    <row r="1653" spans="1:6" x14ac:dyDescent="0.25">
      <c r="A1653" t="s">
        <v>143</v>
      </c>
      <c r="B1653" t="s">
        <v>13</v>
      </c>
      <c r="C1653" t="s">
        <v>43</v>
      </c>
      <c r="D1653" t="s">
        <v>141</v>
      </c>
      <c r="E1653">
        <v>2019</v>
      </c>
      <c r="F1653">
        <v>0</v>
      </c>
    </row>
    <row r="1654" spans="1:6" x14ac:dyDescent="0.25">
      <c r="A1654" t="s">
        <v>143</v>
      </c>
      <c r="B1654" t="s">
        <v>13</v>
      </c>
      <c r="C1654" t="s">
        <v>43</v>
      </c>
      <c r="D1654" t="s">
        <v>140</v>
      </c>
      <c r="E1654">
        <v>2030</v>
      </c>
      <c r="F1654">
        <v>0</v>
      </c>
    </row>
    <row r="1655" spans="1:6" x14ac:dyDescent="0.25">
      <c r="A1655" t="s">
        <v>143</v>
      </c>
      <c r="B1655" t="s">
        <v>13</v>
      </c>
      <c r="C1655" t="s">
        <v>43</v>
      </c>
      <c r="D1655" t="s">
        <v>141</v>
      </c>
      <c r="E1655">
        <v>2030</v>
      </c>
      <c r="F1655">
        <v>0</v>
      </c>
    </row>
    <row r="1656" spans="1:6" x14ac:dyDescent="0.25">
      <c r="A1656" t="s">
        <v>143</v>
      </c>
      <c r="B1656" t="s">
        <v>13</v>
      </c>
      <c r="C1656" t="s">
        <v>43</v>
      </c>
      <c r="D1656" t="s">
        <v>140</v>
      </c>
      <c r="E1656">
        <v>2050</v>
      </c>
      <c r="F1656">
        <v>0</v>
      </c>
    </row>
    <row r="1657" spans="1:6" x14ac:dyDescent="0.25">
      <c r="A1657" t="s">
        <v>143</v>
      </c>
      <c r="B1657" t="s">
        <v>13</v>
      </c>
      <c r="C1657" t="s">
        <v>43</v>
      </c>
      <c r="D1657" t="s">
        <v>141</v>
      </c>
      <c r="E1657">
        <v>2050</v>
      </c>
      <c r="F1657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A9793-4AC5-491A-AF8E-8D080736C320}">
  <sheetPr codeName="Sheet2">
    <tabColor rgb="FFFF0000"/>
  </sheetPr>
  <dimension ref="A1:Z1153"/>
  <sheetViews>
    <sheetView topLeftCell="A848" workbookViewId="0">
      <selection activeCell="B866" sqref="B866:Z1153"/>
    </sheetView>
  </sheetViews>
  <sheetFormatPr defaultRowHeight="15" x14ac:dyDescent="0.25"/>
  <sheetData>
    <row r="1" spans="1:26" x14ac:dyDescent="0.25">
      <c r="A1" t="s">
        <v>26</v>
      </c>
      <c r="B1" s="1" t="s">
        <v>2</v>
      </c>
      <c r="C1" s="1" t="s">
        <v>5</v>
      </c>
      <c r="D1" s="1" t="s">
        <v>6</v>
      </c>
      <c r="E1" s="1" t="s">
        <v>3</v>
      </c>
      <c r="F1" s="1" t="s">
        <v>1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2" t="s">
        <v>15</v>
      </c>
      <c r="P1" s="1" t="s">
        <v>16</v>
      </c>
      <c r="Q1" s="3" t="s">
        <v>17</v>
      </c>
      <c r="R1" s="1" t="s">
        <v>18</v>
      </c>
      <c r="S1" s="1" t="s">
        <v>19</v>
      </c>
      <c r="T1" s="1" t="s">
        <v>20</v>
      </c>
      <c r="U1" s="4" t="s">
        <v>21</v>
      </c>
      <c r="V1" s="5" t="s">
        <v>22</v>
      </c>
      <c r="W1" s="1" t="s">
        <v>23</v>
      </c>
      <c r="X1" s="1" t="s">
        <v>24</v>
      </c>
      <c r="Y1" s="4" t="s">
        <v>25</v>
      </c>
      <c r="Z1" s="11" t="s">
        <v>135</v>
      </c>
    </row>
    <row r="2" spans="1:26" x14ac:dyDescent="0.25">
      <c r="A2" t="s">
        <v>27</v>
      </c>
      <c r="B2" t="s">
        <v>40</v>
      </c>
      <c r="D2">
        <v>0</v>
      </c>
      <c r="E2">
        <v>2019</v>
      </c>
      <c r="F2" t="s">
        <v>28</v>
      </c>
      <c r="G2">
        <v>216549.9929685164</v>
      </c>
      <c r="H2">
        <v>0</v>
      </c>
      <c r="I2">
        <v>0</v>
      </c>
      <c r="J2">
        <v>31522.55833067331</v>
      </c>
      <c r="K2">
        <v>0</v>
      </c>
      <c r="L2">
        <v>0</v>
      </c>
      <c r="M2">
        <v>0</v>
      </c>
      <c r="N2">
        <v>0</v>
      </c>
      <c r="O2">
        <v>185027.43463784308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 x14ac:dyDescent="0.25">
      <c r="A3" t="s">
        <v>27</v>
      </c>
      <c r="B3" t="s">
        <v>34</v>
      </c>
      <c r="D3">
        <v>0</v>
      </c>
      <c r="E3">
        <v>2019</v>
      </c>
      <c r="F3" t="s">
        <v>28</v>
      </c>
      <c r="G3">
        <v>258086.32953598633</v>
      </c>
      <c r="H3">
        <v>64498.47547519199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193587.85406079434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 x14ac:dyDescent="0.25">
      <c r="A4" t="s">
        <v>27</v>
      </c>
      <c r="B4" t="s">
        <v>48</v>
      </c>
      <c r="C4" t="s">
        <v>73</v>
      </c>
      <c r="D4">
        <v>1</v>
      </c>
      <c r="E4">
        <v>2019</v>
      </c>
      <c r="F4" t="s">
        <v>28</v>
      </c>
      <c r="G4">
        <v>193591.30306616417</v>
      </c>
      <c r="H4">
        <v>0</v>
      </c>
      <c r="I4">
        <v>0</v>
      </c>
      <c r="J4">
        <v>0</v>
      </c>
      <c r="K4">
        <v>393543.64426779439</v>
      </c>
      <c r="L4">
        <v>0</v>
      </c>
      <c r="M4">
        <v>0</v>
      </c>
      <c r="N4">
        <v>0</v>
      </c>
      <c r="O4">
        <v>-199952.34120163022</v>
      </c>
      <c r="P4">
        <v>0</v>
      </c>
      <c r="Q4">
        <v>393543.64426779439</v>
      </c>
      <c r="R4">
        <v>0</v>
      </c>
      <c r="S4">
        <v>1.3407677770923916</v>
      </c>
      <c r="T4">
        <v>1.3407677770923916</v>
      </c>
      <c r="U4">
        <v>0</v>
      </c>
      <c r="V4">
        <v>0</v>
      </c>
      <c r="W4">
        <v>110192.22039498243</v>
      </c>
      <c r="X4">
        <v>110192.22039498243</v>
      </c>
      <c r="Y4">
        <v>0</v>
      </c>
      <c r="Z4">
        <v>1</v>
      </c>
    </row>
    <row r="5" spans="1:26" x14ac:dyDescent="0.25">
      <c r="A5" t="s">
        <v>27</v>
      </c>
      <c r="B5" t="s">
        <v>11</v>
      </c>
      <c r="D5">
        <v>1</v>
      </c>
      <c r="E5">
        <v>2019</v>
      </c>
      <c r="F5" t="s">
        <v>28</v>
      </c>
      <c r="G5">
        <v>352020257.59705466</v>
      </c>
      <c r="H5">
        <v>0</v>
      </c>
      <c r="I5">
        <v>0</v>
      </c>
      <c r="J5">
        <v>0</v>
      </c>
      <c r="K5">
        <v>0</v>
      </c>
      <c r="L5">
        <v>0</v>
      </c>
      <c r="M5">
        <v>352020257.59705466</v>
      </c>
      <c r="N5">
        <v>0</v>
      </c>
      <c r="O5">
        <v>0</v>
      </c>
      <c r="P5">
        <v>0</v>
      </c>
      <c r="Q5">
        <v>352020257.59705466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 x14ac:dyDescent="0.25">
      <c r="A6" t="s">
        <v>27</v>
      </c>
      <c r="B6" t="s">
        <v>68</v>
      </c>
      <c r="D6">
        <v>0</v>
      </c>
      <c r="E6">
        <v>2019</v>
      </c>
      <c r="F6" t="s">
        <v>28</v>
      </c>
      <c r="G6">
        <v>9571125.1585832145</v>
      </c>
      <c r="H6">
        <v>0</v>
      </c>
      <c r="I6">
        <v>0</v>
      </c>
      <c r="J6">
        <v>0</v>
      </c>
      <c r="K6">
        <v>0</v>
      </c>
      <c r="L6">
        <v>7001759.6428652545</v>
      </c>
      <c r="M6">
        <v>0</v>
      </c>
      <c r="N6">
        <v>0</v>
      </c>
      <c r="O6">
        <v>2569365.51571796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 x14ac:dyDescent="0.25">
      <c r="A7" t="s">
        <v>27</v>
      </c>
      <c r="B7" t="s">
        <v>51</v>
      </c>
      <c r="C7" t="s">
        <v>73</v>
      </c>
      <c r="D7">
        <v>1</v>
      </c>
      <c r="E7">
        <v>2019</v>
      </c>
      <c r="F7" t="s">
        <v>28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 x14ac:dyDescent="0.25">
      <c r="A8" t="s">
        <v>27</v>
      </c>
      <c r="B8" t="s">
        <v>50</v>
      </c>
      <c r="C8" t="s">
        <v>74</v>
      </c>
      <c r="D8">
        <v>1</v>
      </c>
      <c r="E8">
        <v>2019</v>
      </c>
      <c r="F8" t="s">
        <v>28</v>
      </c>
      <c r="G8">
        <v>2600310.0770241949</v>
      </c>
      <c r="H8">
        <v>0</v>
      </c>
      <c r="I8">
        <v>0</v>
      </c>
      <c r="J8">
        <v>0</v>
      </c>
      <c r="K8">
        <v>671194.67155029252</v>
      </c>
      <c r="L8">
        <v>730307.97492940596</v>
      </c>
      <c r="M8">
        <v>0</v>
      </c>
      <c r="N8">
        <v>0</v>
      </c>
      <c r="O8">
        <v>1198807.4305444965</v>
      </c>
      <c r="P8">
        <v>1198807.4305444965</v>
      </c>
      <c r="Q8">
        <v>671194.67155029252</v>
      </c>
      <c r="R8">
        <v>2.5822312053928456</v>
      </c>
      <c r="S8">
        <v>1.4457533225193302</v>
      </c>
      <c r="T8">
        <v>1.4457533225193302</v>
      </c>
      <c r="U8">
        <v>0</v>
      </c>
      <c r="V8">
        <v>359642.22916334897</v>
      </c>
      <c r="W8">
        <v>201358.40146508775</v>
      </c>
      <c r="X8">
        <v>201358.40146508775</v>
      </c>
      <c r="Y8">
        <v>0</v>
      </c>
      <c r="Z8">
        <v>0</v>
      </c>
    </row>
    <row r="9" spans="1:26" x14ac:dyDescent="0.25">
      <c r="A9" t="s">
        <v>27</v>
      </c>
      <c r="B9" t="s">
        <v>60</v>
      </c>
      <c r="D9">
        <v>0</v>
      </c>
      <c r="E9">
        <v>2019</v>
      </c>
      <c r="F9" t="s">
        <v>28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 x14ac:dyDescent="0.25">
      <c r="A10" t="s">
        <v>27</v>
      </c>
      <c r="B10" t="s">
        <v>46</v>
      </c>
      <c r="C10" t="s">
        <v>74</v>
      </c>
      <c r="D10">
        <v>1</v>
      </c>
      <c r="E10">
        <v>2019</v>
      </c>
      <c r="F10" t="s">
        <v>28</v>
      </c>
      <c r="G10">
        <v>8207.6123560951182</v>
      </c>
      <c r="H10">
        <v>0</v>
      </c>
      <c r="I10">
        <v>0</v>
      </c>
      <c r="J10">
        <v>0</v>
      </c>
      <c r="K10">
        <v>4103.8061780475591</v>
      </c>
      <c r="L10">
        <v>3107.1675348074377</v>
      </c>
      <c r="M10">
        <v>0</v>
      </c>
      <c r="N10">
        <v>0</v>
      </c>
      <c r="O10">
        <v>996.63864324012138</v>
      </c>
      <c r="P10">
        <v>996.63864324012138</v>
      </c>
      <c r="Q10">
        <v>4103.8061780475591</v>
      </c>
      <c r="R10">
        <v>4.6870918752939668E-4</v>
      </c>
      <c r="S10">
        <v>1.9299790074739866E-3</v>
      </c>
      <c r="T10">
        <v>1.9299790074739866E-3</v>
      </c>
      <c r="U10">
        <v>0</v>
      </c>
      <c r="V10">
        <v>62.788234524127645</v>
      </c>
      <c r="W10">
        <v>258.53978921699621</v>
      </c>
      <c r="X10">
        <v>258.53978921699621</v>
      </c>
      <c r="Y10">
        <v>0</v>
      </c>
      <c r="Z10">
        <v>0</v>
      </c>
    </row>
    <row r="11" spans="1:26" x14ac:dyDescent="0.25">
      <c r="A11" t="s">
        <v>27</v>
      </c>
      <c r="B11" t="s">
        <v>39</v>
      </c>
      <c r="D11">
        <v>0</v>
      </c>
      <c r="E11">
        <v>2019</v>
      </c>
      <c r="F11" t="s">
        <v>28</v>
      </c>
      <c r="G11">
        <v>185576.29959415729</v>
      </c>
      <c r="H11">
        <v>0</v>
      </c>
      <c r="I11">
        <v>0</v>
      </c>
      <c r="J11">
        <v>34149.438191562753</v>
      </c>
      <c r="K11">
        <v>0</v>
      </c>
      <c r="L11">
        <v>0</v>
      </c>
      <c r="M11">
        <v>0</v>
      </c>
      <c r="N11">
        <v>0</v>
      </c>
      <c r="O11">
        <v>151426.86140259454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 x14ac:dyDescent="0.25">
      <c r="A12" t="s">
        <v>27</v>
      </c>
      <c r="B12" t="s">
        <v>75</v>
      </c>
      <c r="D12">
        <v>0</v>
      </c>
      <c r="E12">
        <v>2019</v>
      </c>
      <c r="F12" t="s">
        <v>28</v>
      </c>
      <c r="G12">
        <v>890042.58416558511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890042.58416558511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 x14ac:dyDescent="0.25">
      <c r="A13" t="s">
        <v>27</v>
      </c>
      <c r="B13" t="s">
        <v>41</v>
      </c>
      <c r="D13">
        <v>0</v>
      </c>
      <c r="E13">
        <v>2019</v>
      </c>
      <c r="F13" t="s">
        <v>28</v>
      </c>
      <c r="G13">
        <v>25923.363510878662</v>
      </c>
      <c r="H13">
        <v>0</v>
      </c>
      <c r="I13">
        <v>0</v>
      </c>
      <c r="J13">
        <v>249553.58678449702</v>
      </c>
      <c r="K13">
        <v>0</v>
      </c>
      <c r="L13">
        <v>0</v>
      </c>
      <c r="M13">
        <v>0</v>
      </c>
      <c r="N13">
        <v>0</v>
      </c>
      <c r="O13">
        <v>-223630.22327361835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1</v>
      </c>
    </row>
    <row r="14" spans="1:26" x14ac:dyDescent="0.25">
      <c r="A14" t="s">
        <v>27</v>
      </c>
      <c r="B14" t="s">
        <v>57</v>
      </c>
      <c r="C14" t="s">
        <v>57</v>
      </c>
      <c r="D14">
        <v>1</v>
      </c>
      <c r="E14">
        <v>2019</v>
      </c>
      <c r="F14" t="s">
        <v>28</v>
      </c>
      <c r="G14">
        <v>0</v>
      </c>
      <c r="H14">
        <v>0</v>
      </c>
      <c r="I14">
        <v>0</v>
      </c>
      <c r="J14">
        <v>0</v>
      </c>
      <c r="K14">
        <v>114193.60000000001</v>
      </c>
      <c r="L14">
        <v>0</v>
      </c>
      <c r="M14">
        <v>0</v>
      </c>
      <c r="N14">
        <v>0</v>
      </c>
      <c r="O14">
        <v>-114193.60000000001</v>
      </c>
      <c r="P14">
        <v>0</v>
      </c>
      <c r="Q14">
        <v>114193.60000000001</v>
      </c>
      <c r="R14">
        <v>0</v>
      </c>
      <c r="S14">
        <v>1.7355855896064003</v>
      </c>
      <c r="T14">
        <v>1.7355855896064003</v>
      </c>
      <c r="U14">
        <v>0</v>
      </c>
      <c r="V14">
        <v>0</v>
      </c>
      <c r="W14">
        <v>102774.24</v>
      </c>
      <c r="X14">
        <v>102774.24</v>
      </c>
      <c r="Y14">
        <v>0</v>
      </c>
      <c r="Z14">
        <v>1</v>
      </c>
    </row>
    <row r="15" spans="1:26" x14ac:dyDescent="0.25">
      <c r="A15" t="s">
        <v>27</v>
      </c>
      <c r="B15" t="s">
        <v>53</v>
      </c>
      <c r="C15" t="s">
        <v>76</v>
      </c>
      <c r="D15">
        <v>1</v>
      </c>
      <c r="E15">
        <v>2019</v>
      </c>
      <c r="F15" t="s">
        <v>28</v>
      </c>
      <c r="G15">
        <v>15863611.568544758</v>
      </c>
      <c r="H15">
        <v>12237689.9092583</v>
      </c>
      <c r="I15">
        <v>0</v>
      </c>
      <c r="J15">
        <v>0</v>
      </c>
      <c r="K15">
        <v>75746.163899662715</v>
      </c>
      <c r="L15">
        <v>0</v>
      </c>
      <c r="M15">
        <v>0</v>
      </c>
      <c r="N15">
        <v>0</v>
      </c>
      <c r="O15">
        <v>3550175.4953867961</v>
      </c>
      <c r="P15">
        <v>3550175.4953867961</v>
      </c>
      <c r="Q15">
        <v>75746.163899662715</v>
      </c>
      <c r="R15">
        <v>6.5318791395747819</v>
      </c>
      <c r="S15">
        <v>0.13936347330489193</v>
      </c>
      <c r="T15">
        <v>0.13936347330489193</v>
      </c>
      <c r="U15">
        <v>0</v>
      </c>
      <c r="V15">
        <v>994049.13870830298</v>
      </c>
      <c r="W15">
        <v>21208.925891905561</v>
      </c>
      <c r="X15">
        <v>21208.925891905561</v>
      </c>
      <c r="Y15">
        <v>0</v>
      </c>
      <c r="Z15">
        <v>0</v>
      </c>
    </row>
    <row r="16" spans="1:26" x14ac:dyDescent="0.25">
      <c r="A16" t="s">
        <v>27</v>
      </c>
      <c r="B16" t="s">
        <v>61</v>
      </c>
      <c r="D16">
        <v>0</v>
      </c>
      <c r="E16">
        <v>2019</v>
      </c>
      <c r="F16" t="s">
        <v>28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 x14ac:dyDescent="0.25">
      <c r="A17" t="s">
        <v>27</v>
      </c>
      <c r="B17" t="s">
        <v>30</v>
      </c>
      <c r="D17">
        <v>0</v>
      </c>
      <c r="E17">
        <v>2019</v>
      </c>
      <c r="F17" t="s">
        <v>28</v>
      </c>
      <c r="G17">
        <v>184529.62070571107</v>
      </c>
      <c r="H17">
        <v>0</v>
      </c>
      <c r="I17">
        <v>0</v>
      </c>
      <c r="J17">
        <v>261374.54615849949</v>
      </c>
      <c r="K17">
        <v>0</v>
      </c>
      <c r="L17">
        <v>0</v>
      </c>
      <c r="M17">
        <v>0</v>
      </c>
      <c r="N17">
        <v>0</v>
      </c>
      <c r="O17">
        <v>-76844.925452788419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1</v>
      </c>
    </row>
    <row r="18" spans="1:26" x14ac:dyDescent="0.25">
      <c r="A18" t="s">
        <v>27</v>
      </c>
      <c r="B18" t="s">
        <v>52</v>
      </c>
      <c r="C18" t="s">
        <v>77</v>
      </c>
      <c r="D18">
        <v>1</v>
      </c>
      <c r="E18">
        <v>2019</v>
      </c>
      <c r="F18" t="s">
        <v>28</v>
      </c>
      <c r="G18">
        <v>2714031.9406148358</v>
      </c>
      <c r="H18">
        <v>773085.89354292618</v>
      </c>
      <c r="I18">
        <v>728216.84089200001</v>
      </c>
      <c r="J18">
        <v>0</v>
      </c>
      <c r="K18">
        <v>53138.892747161146</v>
      </c>
      <c r="L18">
        <v>0</v>
      </c>
      <c r="M18">
        <v>1159590.3134327475</v>
      </c>
      <c r="N18">
        <v>0</v>
      </c>
      <c r="O18">
        <v>0</v>
      </c>
      <c r="P18">
        <v>0</v>
      </c>
      <c r="Q18">
        <v>1212729.2061799087</v>
      </c>
      <c r="R18">
        <v>0</v>
      </c>
      <c r="S18">
        <v>12.291675324066466</v>
      </c>
      <c r="T18">
        <v>0.3063744116894675</v>
      </c>
      <c r="U18">
        <v>11.985300912376998</v>
      </c>
      <c r="V18">
        <v>0</v>
      </c>
      <c r="W18">
        <v>1030819.8252529224</v>
      </c>
      <c r="X18">
        <v>45168.058835086973</v>
      </c>
      <c r="Y18">
        <v>985651.76641783537</v>
      </c>
      <c r="Z18">
        <v>0</v>
      </c>
    </row>
    <row r="19" spans="1:26" x14ac:dyDescent="0.25">
      <c r="A19" t="s">
        <v>27</v>
      </c>
      <c r="B19" t="s">
        <v>56</v>
      </c>
      <c r="C19" t="s">
        <v>73</v>
      </c>
      <c r="D19">
        <v>1</v>
      </c>
      <c r="E19">
        <v>2019</v>
      </c>
      <c r="F19" t="s">
        <v>28</v>
      </c>
      <c r="G19">
        <v>530462.48766233202</v>
      </c>
      <c r="H19">
        <v>0</v>
      </c>
      <c r="I19">
        <v>0</v>
      </c>
      <c r="J19">
        <v>0</v>
      </c>
      <c r="K19">
        <v>42.099811904105366</v>
      </c>
      <c r="L19">
        <v>0</v>
      </c>
      <c r="M19">
        <v>530420.38785042788</v>
      </c>
      <c r="N19">
        <v>0</v>
      </c>
      <c r="O19">
        <v>0</v>
      </c>
      <c r="P19">
        <v>0</v>
      </c>
      <c r="Q19">
        <v>530462.48766233202</v>
      </c>
      <c r="R19">
        <v>0</v>
      </c>
      <c r="S19">
        <v>9.4692532209947728</v>
      </c>
      <c r="T19">
        <v>7.148842760000421E-5</v>
      </c>
      <c r="U19">
        <v>9.4691817325671721</v>
      </c>
      <c r="V19">
        <v>0</v>
      </c>
      <c r="W19">
        <v>159138.74629869961</v>
      </c>
      <c r="X19">
        <v>12.629943571231609</v>
      </c>
      <c r="Y19">
        <v>159126.11635512838</v>
      </c>
      <c r="Z19">
        <v>0</v>
      </c>
    </row>
    <row r="20" spans="1:26" x14ac:dyDescent="0.25">
      <c r="A20" t="s">
        <v>27</v>
      </c>
      <c r="B20" t="s">
        <v>63</v>
      </c>
      <c r="D20">
        <v>0</v>
      </c>
      <c r="E20">
        <v>2019</v>
      </c>
      <c r="F20" t="s">
        <v>28</v>
      </c>
      <c r="G20">
        <v>0</v>
      </c>
      <c r="H20">
        <v>4828427.5390456235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-4828427.5390456235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1</v>
      </c>
    </row>
    <row r="21" spans="1:26" x14ac:dyDescent="0.25">
      <c r="A21" t="s">
        <v>27</v>
      </c>
      <c r="B21" t="s">
        <v>49</v>
      </c>
      <c r="C21" t="s">
        <v>73</v>
      </c>
      <c r="D21">
        <v>1</v>
      </c>
      <c r="E21">
        <v>2019</v>
      </c>
      <c r="F21" t="s">
        <v>28</v>
      </c>
      <c r="G21">
        <v>513042.22037196398</v>
      </c>
      <c r="H21">
        <v>0</v>
      </c>
      <c r="I21">
        <v>0</v>
      </c>
      <c r="J21">
        <v>0</v>
      </c>
      <c r="K21">
        <v>716103.75203569303</v>
      </c>
      <c r="L21">
        <v>0</v>
      </c>
      <c r="M21">
        <v>0</v>
      </c>
      <c r="N21">
        <v>0</v>
      </c>
      <c r="O21">
        <v>-203061.53166372905</v>
      </c>
      <c r="P21">
        <v>0</v>
      </c>
      <c r="Q21">
        <v>716103.75203569303</v>
      </c>
      <c r="R21">
        <v>0</v>
      </c>
      <c r="S21">
        <v>2.637525053399659</v>
      </c>
      <c r="T21">
        <v>2.637525053399659</v>
      </c>
      <c r="U21">
        <v>0</v>
      </c>
      <c r="V21">
        <v>0</v>
      </c>
      <c r="W21">
        <v>300763.57585499104</v>
      </c>
      <c r="X21">
        <v>300763.57585499104</v>
      </c>
      <c r="Y21">
        <v>0</v>
      </c>
      <c r="Z21">
        <v>1</v>
      </c>
    </row>
    <row r="22" spans="1:26" x14ac:dyDescent="0.25">
      <c r="A22" t="s">
        <v>27</v>
      </c>
      <c r="B22" t="s">
        <v>78</v>
      </c>
      <c r="D22">
        <v>0</v>
      </c>
      <c r="E22">
        <v>2019</v>
      </c>
      <c r="F22" t="s">
        <v>28</v>
      </c>
      <c r="G22">
        <v>765723.03528474667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765723.03528474667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 x14ac:dyDescent="0.25">
      <c r="A23" t="s">
        <v>27</v>
      </c>
      <c r="B23" t="s">
        <v>31</v>
      </c>
      <c r="D23">
        <v>0</v>
      </c>
      <c r="E23">
        <v>2019</v>
      </c>
      <c r="F23" t="s">
        <v>28</v>
      </c>
      <c r="G23">
        <v>2145904.0489790672</v>
      </c>
      <c r="H23">
        <v>0</v>
      </c>
      <c r="I23">
        <v>0</v>
      </c>
      <c r="J23">
        <v>119523.03367046962</v>
      </c>
      <c r="K23">
        <v>0</v>
      </c>
      <c r="L23">
        <v>0</v>
      </c>
      <c r="M23">
        <v>0</v>
      </c>
      <c r="N23">
        <v>0</v>
      </c>
      <c r="O23">
        <v>2026381.0153085976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 x14ac:dyDescent="0.25">
      <c r="A24" t="s">
        <v>27</v>
      </c>
      <c r="B24" t="s">
        <v>29</v>
      </c>
      <c r="C24" t="s">
        <v>77</v>
      </c>
      <c r="D24">
        <v>1</v>
      </c>
      <c r="E24">
        <v>2019</v>
      </c>
      <c r="F24" t="s">
        <v>28</v>
      </c>
      <c r="G24">
        <v>6833990.0005322779</v>
      </c>
      <c r="H24">
        <v>5879215.2019956242</v>
      </c>
      <c r="I24">
        <v>0</v>
      </c>
      <c r="J24">
        <v>286329.90483694919</v>
      </c>
      <c r="K24">
        <v>2840.1853290986264</v>
      </c>
      <c r="L24">
        <v>0</v>
      </c>
      <c r="M24">
        <v>0</v>
      </c>
      <c r="N24">
        <v>0</v>
      </c>
      <c r="O24">
        <v>665604.70837060641</v>
      </c>
      <c r="P24">
        <v>665604.70837060641</v>
      </c>
      <c r="Q24">
        <v>2840.1853290986264</v>
      </c>
      <c r="R24">
        <v>2.2796029415101553</v>
      </c>
      <c r="S24">
        <v>9.7272371262167243E-3</v>
      </c>
      <c r="T24">
        <v>9.7272371262167243E-3</v>
      </c>
      <c r="U24">
        <v>0</v>
      </c>
      <c r="V24">
        <v>206337.459594888</v>
      </c>
      <c r="W24">
        <v>880.45745202057424</v>
      </c>
      <c r="X24">
        <v>880.45745202057424</v>
      </c>
      <c r="Y24">
        <v>0</v>
      </c>
      <c r="Z24">
        <v>0</v>
      </c>
    </row>
    <row r="25" spans="1:26" x14ac:dyDescent="0.25">
      <c r="A25" t="s">
        <v>27</v>
      </c>
      <c r="B25" t="s">
        <v>69</v>
      </c>
      <c r="D25">
        <v>0</v>
      </c>
      <c r="E25">
        <v>2019</v>
      </c>
      <c r="F25" t="s">
        <v>28</v>
      </c>
      <c r="G25">
        <v>0</v>
      </c>
      <c r="H25">
        <v>0</v>
      </c>
      <c r="I25">
        <v>0</v>
      </c>
      <c r="J25">
        <v>0</v>
      </c>
      <c r="K25">
        <v>0</v>
      </c>
      <c r="L25">
        <v>720643.40546424</v>
      </c>
      <c r="M25">
        <v>0</v>
      </c>
      <c r="N25">
        <v>0</v>
      </c>
      <c r="O25">
        <v>-720643.40546424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1</v>
      </c>
    </row>
    <row r="26" spans="1:26" x14ac:dyDescent="0.25">
      <c r="A26" t="s">
        <v>27</v>
      </c>
      <c r="B26" t="s">
        <v>45</v>
      </c>
      <c r="C26" t="s">
        <v>74</v>
      </c>
      <c r="D26">
        <v>1</v>
      </c>
      <c r="E26">
        <v>2019</v>
      </c>
      <c r="F26" t="s">
        <v>28</v>
      </c>
      <c r="G26">
        <v>13124915.780770566</v>
      </c>
      <c r="H26">
        <v>0</v>
      </c>
      <c r="I26">
        <v>0</v>
      </c>
      <c r="J26">
        <v>0</v>
      </c>
      <c r="K26">
        <v>4066864.6068164087</v>
      </c>
      <c r="L26">
        <v>6000958.9027446285</v>
      </c>
      <c r="M26">
        <v>0</v>
      </c>
      <c r="N26">
        <v>0</v>
      </c>
      <c r="O26">
        <v>3057092.2712095287</v>
      </c>
      <c r="P26">
        <v>3057092.2712095287</v>
      </c>
      <c r="Q26">
        <v>4066864.6068164087</v>
      </c>
      <c r="R26">
        <v>1.5474695367635516</v>
      </c>
      <c r="S26">
        <v>2.0586061953243981</v>
      </c>
      <c r="T26">
        <v>2.0586061953243981</v>
      </c>
      <c r="U26">
        <v>0</v>
      </c>
      <c r="V26">
        <v>232339.01261192418</v>
      </c>
      <c r="W26">
        <v>309081.71011804708</v>
      </c>
      <c r="X26">
        <v>309081.71011804708</v>
      </c>
      <c r="Y26">
        <v>0</v>
      </c>
      <c r="Z26">
        <v>0</v>
      </c>
    </row>
    <row r="27" spans="1:26" x14ac:dyDescent="0.25">
      <c r="A27" t="s">
        <v>27</v>
      </c>
      <c r="B27" t="s">
        <v>59</v>
      </c>
      <c r="D27">
        <v>0</v>
      </c>
      <c r="E27">
        <v>2019</v>
      </c>
      <c r="F27" t="s">
        <v>28</v>
      </c>
      <c r="G27">
        <v>1638157.7192038004</v>
      </c>
      <c r="H27">
        <v>1515714.1736670118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122443.54553678865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 x14ac:dyDescent="0.25">
      <c r="A28" t="s">
        <v>27</v>
      </c>
      <c r="B28" t="s">
        <v>54</v>
      </c>
      <c r="C28" t="s">
        <v>76</v>
      </c>
      <c r="D28">
        <v>1</v>
      </c>
      <c r="E28">
        <v>2019</v>
      </c>
      <c r="F28" t="s">
        <v>28</v>
      </c>
      <c r="G28">
        <v>7581538.5357748987</v>
      </c>
      <c r="H28">
        <v>5657053.7864699634</v>
      </c>
      <c r="I28">
        <v>0</v>
      </c>
      <c r="J28">
        <v>0</v>
      </c>
      <c r="K28">
        <v>314821.43493156106</v>
      </c>
      <c r="L28">
        <v>0</v>
      </c>
      <c r="M28">
        <v>0</v>
      </c>
      <c r="N28">
        <v>0</v>
      </c>
      <c r="O28">
        <v>1609663.314373374</v>
      </c>
      <c r="P28">
        <v>1266262.2462674922</v>
      </c>
      <c r="Q28">
        <v>314821.43493156106</v>
      </c>
      <c r="R28">
        <v>4.5458814641002974</v>
      </c>
      <c r="S28">
        <v>1.1302089514043043</v>
      </c>
      <c r="T28">
        <v>1.1302089514043043</v>
      </c>
      <c r="U28">
        <v>0</v>
      </c>
      <c r="V28">
        <v>379878.67388024763</v>
      </c>
      <c r="W28">
        <v>94446.430479468312</v>
      </c>
      <c r="X28">
        <v>94446.430479468312</v>
      </c>
      <c r="Y28">
        <v>0</v>
      </c>
      <c r="Z28">
        <v>0</v>
      </c>
    </row>
    <row r="29" spans="1:26" x14ac:dyDescent="0.25">
      <c r="A29" t="s">
        <v>27</v>
      </c>
      <c r="B29" t="s">
        <v>38</v>
      </c>
      <c r="D29">
        <v>0</v>
      </c>
      <c r="E29">
        <v>2019</v>
      </c>
      <c r="F29" t="s">
        <v>28</v>
      </c>
      <c r="G29">
        <v>3160794.2116654618</v>
      </c>
      <c r="H29">
        <v>0</v>
      </c>
      <c r="I29">
        <v>0</v>
      </c>
      <c r="J29">
        <v>457077.09579476295</v>
      </c>
      <c r="K29">
        <v>0</v>
      </c>
      <c r="L29">
        <v>0</v>
      </c>
      <c r="M29">
        <v>0</v>
      </c>
      <c r="N29">
        <v>0</v>
      </c>
      <c r="O29">
        <v>2703717.1158706988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 x14ac:dyDescent="0.25">
      <c r="A30" t="s">
        <v>27</v>
      </c>
      <c r="B30" t="s">
        <v>35</v>
      </c>
      <c r="C30" t="s">
        <v>79</v>
      </c>
      <c r="D30">
        <v>1</v>
      </c>
      <c r="E30">
        <v>2019</v>
      </c>
      <c r="F30" t="s">
        <v>28</v>
      </c>
      <c r="G30">
        <v>878.90231344976178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878.90231344976178</v>
      </c>
      <c r="P30">
        <v>878.90231344976178</v>
      </c>
      <c r="Q30">
        <v>0</v>
      </c>
      <c r="R30">
        <v>7.8881482632116122E-4</v>
      </c>
      <c r="S30">
        <v>0</v>
      </c>
      <c r="T30">
        <v>0</v>
      </c>
      <c r="U30">
        <v>0</v>
      </c>
      <c r="V30">
        <v>131.83534701746427</v>
      </c>
      <c r="W30">
        <v>0</v>
      </c>
      <c r="X30">
        <v>0</v>
      </c>
      <c r="Y30">
        <v>0</v>
      </c>
      <c r="Z30">
        <v>0</v>
      </c>
    </row>
    <row r="31" spans="1:26" x14ac:dyDescent="0.25">
      <c r="A31" t="s">
        <v>27</v>
      </c>
      <c r="B31" t="s">
        <v>33</v>
      </c>
      <c r="D31">
        <v>0</v>
      </c>
      <c r="E31">
        <v>2019</v>
      </c>
      <c r="F31" t="s">
        <v>28</v>
      </c>
      <c r="G31">
        <v>108094.85577035608</v>
      </c>
      <c r="H31">
        <v>0</v>
      </c>
      <c r="I31">
        <v>0</v>
      </c>
      <c r="J31">
        <v>58080.313724265572</v>
      </c>
      <c r="K31">
        <v>0</v>
      </c>
      <c r="L31">
        <v>0</v>
      </c>
      <c r="M31">
        <v>0</v>
      </c>
      <c r="N31">
        <v>0</v>
      </c>
      <c r="O31">
        <v>50014.542046090508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 x14ac:dyDescent="0.25">
      <c r="A32" t="s">
        <v>27</v>
      </c>
      <c r="B32" t="s">
        <v>80</v>
      </c>
      <c r="D32">
        <v>0</v>
      </c>
      <c r="E32">
        <v>2019</v>
      </c>
      <c r="F32" t="s">
        <v>28</v>
      </c>
      <c r="G32">
        <v>1609044.2994914718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1609044.2994914718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 x14ac:dyDescent="0.25">
      <c r="A33" t="s">
        <v>27</v>
      </c>
      <c r="B33" t="s">
        <v>65</v>
      </c>
      <c r="C33" t="s">
        <v>81</v>
      </c>
      <c r="D33">
        <v>1</v>
      </c>
      <c r="E33">
        <v>2019</v>
      </c>
      <c r="F33" t="s">
        <v>28</v>
      </c>
      <c r="G33">
        <v>172205.06744997756</v>
      </c>
      <c r="H33">
        <v>0</v>
      </c>
      <c r="I33">
        <v>0</v>
      </c>
      <c r="J33">
        <v>0</v>
      </c>
      <c r="K33">
        <v>0</v>
      </c>
      <c r="L33">
        <v>0</v>
      </c>
      <c r="M33">
        <v>172205.06744997756</v>
      </c>
      <c r="N33">
        <v>0</v>
      </c>
      <c r="O33">
        <v>0</v>
      </c>
      <c r="P33">
        <v>0</v>
      </c>
      <c r="Q33">
        <v>172205.06744997756</v>
      </c>
      <c r="R33">
        <v>0</v>
      </c>
      <c r="S33">
        <v>3.1685732410795864</v>
      </c>
      <c r="T33">
        <v>0</v>
      </c>
      <c r="U33">
        <v>3.1685732410795864</v>
      </c>
      <c r="V33">
        <v>0</v>
      </c>
      <c r="W33">
        <v>71465.1029917407</v>
      </c>
      <c r="X33">
        <v>0</v>
      </c>
      <c r="Y33">
        <v>71465.1029917407</v>
      </c>
      <c r="Z33">
        <v>0</v>
      </c>
    </row>
    <row r="34" spans="1:26" x14ac:dyDescent="0.25">
      <c r="A34" t="s">
        <v>27</v>
      </c>
      <c r="B34" t="s">
        <v>140</v>
      </c>
      <c r="C34" t="s">
        <v>142</v>
      </c>
      <c r="D34">
        <v>1</v>
      </c>
      <c r="E34">
        <v>2019</v>
      </c>
      <c r="F34" t="s">
        <v>28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 x14ac:dyDescent="0.25">
      <c r="A35" t="s">
        <v>27</v>
      </c>
      <c r="B35" t="s">
        <v>141</v>
      </c>
      <c r="C35" t="s">
        <v>142</v>
      </c>
      <c r="D35">
        <v>1</v>
      </c>
      <c r="E35">
        <v>2019</v>
      </c>
      <c r="F35" t="s">
        <v>28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 x14ac:dyDescent="0.25">
      <c r="A36" t="s">
        <v>27</v>
      </c>
      <c r="B36" t="s">
        <v>82</v>
      </c>
      <c r="D36">
        <v>0</v>
      </c>
      <c r="E36">
        <v>2019</v>
      </c>
      <c r="F36" t="s">
        <v>28</v>
      </c>
      <c r="G36">
        <v>4922001.9803787302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4922001.9803787302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 x14ac:dyDescent="0.25">
      <c r="A37" t="s">
        <v>27</v>
      </c>
      <c r="B37" t="s">
        <v>72</v>
      </c>
      <c r="D37">
        <v>0</v>
      </c>
      <c r="E37">
        <v>2019</v>
      </c>
      <c r="F37" t="s">
        <v>28</v>
      </c>
      <c r="G37">
        <v>484833.6848947219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484833.6848947219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 x14ac:dyDescent="0.25">
      <c r="A38" t="s">
        <v>27</v>
      </c>
      <c r="B38" t="s">
        <v>58</v>
      </c>
      <c r="D38">
        <v>0</v>
      </c>
      <c r="E38">
        <v>2019</v>
      </c>
      <c r="F38" t="s">
        <v>28</v>
      </c>
      <c r="G38">
        <v>242416.84244736095</v>
      </c>
      <c r="H38">
        <v>214099.10609126228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28317.736356098671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 x14ac:dyDescent="0.25">
      <c r="A39" t="s">
        <v>27</v>
      </c>
      <c r="B39" t="s">
        <v>64</v>
      </c>
      <c r="C39" t="s">
        <v>64</v>
      </c>
      <c r="D39">
        <v>1</v>
      </c>
      <c r="E39">
        <v>2019</v>
      </c>
      <c r="F39" t="s">
        <v>28</v>
      </c>
      <c r="G39">
        <v>155146.779166311</v>
      </c>
      <c r="H39">
        <v>0</v>
      </c>
      <c r="I39">
        <v>0</v>
      </c>
      <c r="J39">
        <v>0</v>
      </c>
      <c r="K39">
        <v>0</v>
      </c>
      <c r="L39">
        <v>0</v>
      </c>
      <c r="M39">
        <v>3102.9355833262225</v>
      </c>
      <c r="N39">
        <v>152043.84358298479</v>
      </c>
      <c r="O39">
        <v>0</v>
      </c>
      <c r="P39">
        <v>0</v>
      </c>
      <c r="Q39">
        <v>3102.9355833262225</v>
      </c>
      <c r="R39">
        <v>0</v>
      </c>
      <c r="S39">
        <v>0.10860274541641778</v>
      </c>
      <c r="T39">
        <v>0</v>
      </c>
      <c r="U39">
        <v>0.10860274541641778</v>
      </c>
      <c r="V39">
        <v>0</v>
      </c>
      <c r="W39">
        <v>2823.6713808268628</v>
      </c>
      <c r="X39">
        <v>0</v>
      </c>
      <c r="Y39">
        <v>2823.6713808268628</v>
      </c>
      <c r="Z39">
        <v>0</v>
      </c>
    </row>
    <row r="40" spans="1:26" x14ac:dyDescent="0.25">
      <c r="A40" t="s">
        <v>27</v>
      </c>
      <c r="B40" t="s">
        <v>55</v>
      </c>
      <c r="C40" t="s">
        <v>76</v>
      </c>
      <c r="D40">
        <v>1</v>
      </c>
      <c r="E40">
        <v>2019</v>
      </c>
      <c r="F40" t="s">
        <v>28</v>
      </c>
      <c r="G40">
        <v>376449.39511597221</v>
      </c>
      <c r="H40">
        <v>841167.61765562883</v>
      </c>
      <c r="I40">
        <v>0</v>
      </c>
      <c r="J40">
        <v>0</v>
      </c>
      <c r="K40">
        <v>4101.0489241972273</v>
      </c>
      <c r="L40">
        <v>0</v>
      </c>
      <c r="M40">
        <v>0</v>
      </c>
      <c r="N40">
        <v>0</v>
      </c>
      <c r="O40">
        <v>-468819.27146385383</v>
      </c>
      <c r="P40">
        <v>0</v>
      </c>
      <c r="Q40">
        <v>4101.0489241972273</v>
      </c>
      <c r="R40">
        <v>0</v>
      </c>
      <c r="S40">
        <v>1.1130410822228242E-2</v>
      </c>
      <c r="T40">
        <v>1.1130410822228242E-2</v>
      </c>
      <c r="U40">
        <v>0</v>
      </c>
      <c r="V40">
        <v>0</v>
      </c>
      <c r="W40">
        <v>820.20978483944555</v>
      </c>
      <c r="X40">
        <v>820.20978483944555</v>
      </c>
      <c r="Y40">
        <v>0</v>
      </c>
      <c r="Z40">
        <v>0</v>
      </c>
    </row>
    <row r="41" spans="1:26" x14ac:dyDescent="0.25">
      <c r="A41" t="s">
        <v>27</v>
      </c>
      <c r="B41" t="s">
        <v>83</v>
      </c>
      <c r="D41">
        <v>0</v>
      </c>
      <c r="E41">
        <v>2019</v>
      </c>
      <c r="F41" t="s">
        <v>28</v>
      </c>
      <c r="G41">
        <v>193830.89221723122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193830.89221723122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</row>
    <row r="42" spans="1:26" x14ac:dyDescent="0.25">
      <c r="A42" t="s">
        <v>27</v>
      </c>
      <c r="B42" t="s">
        <v>62</v>
      </c>
      <c r="D42">
        <v>0</v>
      </c>
      <c r="E42">
        <v>2019</v>
      </c>
      <c r="F42" t="s">
        <v>28</v>
      </c>
      <c r="G42">
        <v>131276.07587880219</v>
      </c>
      <c r="H42">
        <v>39415.735012617326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91860.340866184866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</row>
    <row r="43" spans="1:26" x14ac:dyDescent="0.25">
      <c r="A43" t="s">
        <v>27</v>
      </c>
      <c r="B43" t="s">
        <v>47</v>
      </c>
      <c r="C43" t="s">
        <v>73</v>
      </c>
      <c r="D43">
        <v>1</v>
      </c>
      <c r="E43">
        <v>2019</v>
      </c>
      <c r="F43" t="s">
        <v>28</v>
      </c>
      <c r="G43">
        <v>3850196.5402414175</v>
      </c>
      <c r="H43">
        <v>0</v>
      </c>
      <c r="I43">
        <v>0</v>
      </c>
      <c r="J43">
        <v>0</v>
      </c>
      <c r="K43">
        <v>1460182.5874658169</v>
      </c>
      <c r="L43">
        <v>0</v>
      </c>
      <c r="M43">
        <v>0</v>
      </c>
      <c r="N43">
        <v>0</v>
      </c>
      <c r="O43">
        <v>2390013.9527756004</v>
      </c>
      <c r="P43">
        <v>2390013.9527756004</v>
      </c>
      <c r="Q43">
        <v>1460182.5874658169</v>
      </c>
      <c r="R43">
        <v>1.1926408625745526</v>
      </c>
      <c r="S43">
        <v>0.72864571297131742</v>
      </c>
      <c r="T43">
        <v>0.72864571297131742</v>
      </c>
      <c r="U43">
        <v>0</v>
      </c>
      <c r="V43">
        <v>143400.83716653602</v>
      </c>
      <c r="W43">
        <v>87610.955247949008</v>
      </c>
      <c r="X43">
        <v>87610.955247949008</v>
      </c>
      <c r="Y43">
        <v>0</v>
      </c>
      <c r="Z43">
        <v>0</v>
      </c>
    </row>
    <row r="44" spans="1:26" x14ac:dyDescent="0.25">
      <c r="A44" t="s">
        <v>27</v>
      </c>
      <c r="B44" t="s">
        <v>44</v>
      </c>
      <c r="C44" t="s">
        <v>74</v>
      </c>
      <c r="D44">
        <v>1</v>
      </c>
      <c r="E44">
        <v>2019</v>
      </c>
      <c r="F44" t="s">
        <v>28</v>
      </c>
      <c r="G44">
        <v>15352538.506892066</v>
      </c>
      <c r="H44">
        <v>0</v>
      </c>
      <c r="I44">
        <v>0</v>
      </c>
      <c r="J44">
        <v>0</v>
      </c>
      <c r="K44">
        <v>2534442.072977222</v>
      </c>
      <c r="L44">
        <v>12818096.433914844</v>
      </c>
      <c r="M44">
        <v>0</v>
      </c>
      <c r="N44">
        <v>0</v>
      </c>
      <c r="O44">
        <v>0</v>
      </c>
      <c r="P44">
        <v>0</v>
      </c>
      <c r="Q44">
        <v>2534442.072977222</v>
      </c>
      <c r="R44">
        <v>0</v>
      </c>
      <c r="S44">
        <v>1.0918376450385874</v>
      </c>
      <c r="T44">
        <v>1.0918376450385874</v>
      </c>
      <c r="U44">
        <v>0</v>
      </c>
      <c r="V44">
        <v>0</v>
      </c>
      <c r="W44">
        <v>126722.10364886111</v>
      </c>
      <c r="X44">
        <v>126722.10364886111</v>
      </c>
      <c r="Y44">
        <v>0</v>
      </c>
      <c r="Z44">
        <v>0</v>
      </c>
    </row>
    <row r="45" spans="1:26" x14ac:dyDescent="0.25">
      <c r="A45" t="s">
        <v>27</v>
      </c>
      <c r="B45" t="s">
        <v>32</v>
      </c>
      <c r="D45">
        <v>0</v>
      </c>
      <c r="E45">
        <v>2019</v>
      </c>
      <c r="F45" t="s">
        <v>28</v>
      </c>
      <c r="G45">
        <v>1394376.9846055224</v>
      </c>
      <c r="H45">
        <v>0</v>
      </c>
      <c r="I45">
        <v>0</v>
      </c>
      <c r="J45">
        <v>117920.63695532705</v>
      </c>
      <c r="K45">
        <v>0</v>
      </c>
      <c r="L45">
        <v>0</v>
      </c>
      <c r="M45">
        <v>0</v>
      </c>
      <c r="N45">
        <v>0</v>
      </c>
      <c r="O45">
        <v>1276456.3476501952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</row>
    <row r="46" spans="1:26" x14ac:dyDescent="0.25">
      <c r="A46" t="s">
        <v>27</v>
      </c>
      <c r="B46" t="s">
        <v>36</v>
      </c>
      <c r="C46" t="s">
        <v>79</v>
      </c>
      <c r="D46">
        <v>1</v>
      </c>
      <c r="E46">
        <v>2019</v>
      </c>
      <c r="F46" t="s">
        <v>28</v>
      </c>
      <c r="G46">
        <v>76.5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76.5</v>
      </c>
      <c r="P46">
        <v>76.5</v>
      </c>
      <c r="Q46">
        <v>0</v>
      </c>
      <c r="R46">
        <v>6.8658750000000004E-5</v>
      </c>
      <c r="S46">
        <v>0</v>
      </c>
      <c r="T46">
        <v>0</v>
      </c>
      <c r="U46">
        <v>0</v>
      </c>
      <c r="V46">
        <v>11.475</v>
      </c>
      <c r="W46">
        <v>0</v>
      </c>
      <c r="X46">
        <v>0</v>
      </c>
      <c r="Y46">
        <v>0</v>
      </c>
      <c r="Z46">
        <v>0</v>
      </c>
    </row>
    <row r="47" spans="1:26" x14ac:dyDescent="0.25">
      <c r="A47" t="s">
        <v>27</v>
      </c>
      <c r="B47" t="s">
        <v>84</v>
      </c>
      <c r="D47">
        <v>1</v>
      </c>
      <c r="E47">
        <v>2019</v>
      </c>
      <c r="F47" t="s">
        <v>28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</row>
    <row r="48" spans="1:26" x14ac:dyDescent="0.25">
      <c r="A48" t="s">
        <v>27</v>
      </c>
      <c r="B48" t="s">
        <v>66</v>
      </c>
      <c r="C48" t="s">
        <v>81</v>
      </c>
      <c r="D48">
        <v>1</v>
      </c>
      <c r="E48">
        <v>2019</v>
      </c>
      <c r="F48" t="s">
        <v>28</v>
      </c>
      <c r="G48">
        <v>2328635.6388303456</v>
      </c>
      <c r="H48">
        <v>0</v>
      </c>
      <c r="I48">
        <v>0</v>
      </c>
      <c r="J48">
        <v>0</v>
      </c>
      <c r="K48">
        <v>0</v>
      </c>
      <c r="L48">
        <v>0</v>
      </c>
      <c r="M48">
        <v>2328635.6388303456</v>
      </c>
      <c r="N48">
        <v>0</v>
      </c>
      <c r="O48">
        <v>0</v>
      </c>
      <c r="P48">
        <v>0</v>
      </c>
      <c r="Q48">
        <v>2328635.6388303456</v>
      </c>
      <c r="R48">
        <v>0</v>
      </c>
      <c r="S48">
        <v>33.750241076188566</v>
      </c>
      <c r="T48">
        <v>0</v>
      </c>
      <c r="U48">
        <v>33.750241076188566</v>
      </c>
      <c r="V48">
        <v>0</v>
      </c>
      <c r="W48">
        <v>1151704.3763715085</v>
      </c>
      <c r="X48">
        <v>0</v>
      </c>
      <c r="Y48">
        <v>1151704.3763715085</v>
      </c>
      <c r="Z48">
        <v>0</v>
      </c>
    </row>
    <row r="49" spans="1:26" x14ac:dyDescent="0.25">
      <c r="A49" t="s">
        <v>27</v>
      </c>
      <c r="B49" t="s">
        <v>85</v>
      </c>
      <c r="D49">
        <v>0</v>
      </c>
      <c r="E49">
        <v>2019</v>
      </c>
      <c r="F49" t="s">
        <v>28</v>
      </c>
      <c r="G49">
        <v>640280.13059892249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640280.13059892249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</row>
    <row r="50" spans="1:26" x14ac:dyDescent="0.25">
      <c r="A50" t="s">
        <v>27</v>
      </c>
      <c r="B50" t="s">
        <v>40</v>
      </c>
      <c r="C50" t="s">
        <v>86</v>
      </c>
      <c r="D50">
        <v>0</v>
      </c>
      <c r="E50">
        <v>2030</v>
      </c>
      <c r="F50" t="s">
        <v>28</v>
      </c>
      <c r="G50">
        <v>213791.94985288731</v>
      </c>
      <c r="H50">
        <v>0</v>
      </c>
      <c r="I50">
        <v>0</v>
      </c>
      <c r="J50">
        <v>32579.784552999867</v>
      </c>
      <c r="K50">
        <v>0</v>
      </c>
      <c r="L50">
        <v>0</v>
      </c>
      <c r="M50">
        <v>0</v>
      </c>
      <c r="N50">
        <v>0</v>
      </c>
      <c r="O50">
        <v>181212.16529988745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</row>
    <row r="51" spans="1:26" x14ac:dyDescent="0.25">
      <c r="A51" t="s">
        <v>27</v>
      </c>
      <c r="B51" t="s">
        <v>34</v>
      </c>
      <c r="C51" t="s">
        <v>86</v>
      </c>
      <c r="D51">
        <v>0</v>
      </c>
      <c r="E51">
        <v>2030</v>
      </c>
      <c r="F51" t="s">
        <v>28</v>
      </c>
      <c r="G51">
        <v>270118.44306124689</v>
      </c>
      <c r="H51">
        <v>64498.475475191975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205619.9675860549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</row>
    <row r="52" spans="1:26" x14ac:dyDescent="0.25">
      <c r="A52" t="s">
        <v>27</v>
      </c>
      <c r="B52" t="s">
        <v>48</v>
      </c>
      <c r="C52" t="s">
        <v>73</v>
      </c>
      <c r="D52">
        <v>1</v>
      </c>
      <c r="E52">
        <v>2030</v>
      </c>
      <c r="F52" t="s">
        <v>28</v>
      </c>
      <c r="G52">
        <v>195082.22598438186</v>
      </c>
      <c r="H52">
        <v>0</v>
      </c>
      <c r="I52">
        <v>0</v>
      </c>
      <c r="J52">
        <v>0</v>
      </c>
      <c r="K52">
        <v>195082.24112879002</v>
      </c>
      <c r="L52">
        <v>0</v>
      </c>
      <c r="M52">
        <v>0</v>
      </c>
      <c r="N52">
        <v>0</v>
      </c>
      <c r="O52">
        <v>-1.5144408156629652E-2</v>
      </c>
      <c r="P52">
        <v>0</v>
      </c>
      <c r="Q52">
        <v>195082.24112879002</v>
      </c>
      <c r="R52">
        <v>0</v>
      </c>
      <c r="S52">
        <v>0.6646276381240861</v>
      </c>
      <c r="T52">
        <v>0.6646276381240861</v>
      </c>
      <c r="U52">
        <v>0</v>
      </c>
      <c r="V52">
        <v>0</v>
      </c>
      <c r="W52">
        <v>54623.027516061207</v>
      </c>
      <c r="X52">
        <v>54623.027516061207</v>
      </c>
      <c r="Y52">
        <v>0</v>
      </c>
      <c r="Z52">
        <v>1</v>
      </c>
    </row>
    <row r="53" spans="1:26" x14ac:dyDescent="0.25">
      <c r="A53" t="s">
        <v>27</v>
      </c>
      <c r="B53" t="s">
        <v>11</v>
      </c>
      <c r="C53" t="s">
        <v>86</v>
      </c>
      <c r="D53">
        <v>1</v>
      </c>
      <c r="E53">
        <v>2030</v>
      </c>
      <c r="F53" t="s">
        <v>28</v>
      </c>
      <c r="G53">
        <v>500535240.15105212</v>
      </c>
      <c r="H53">
        <v>0</v>
      </c>
      <c r="I53">
        <v>0</v>
      </c>
      <c r="J53">
        <v>0</v>
      </c>
      <c r="K53">
        <v>0</v>
      </c>
      <c r="L53">
        <v>0</v>
      </c>
      <c r="M53">
        <v>500535240.15105212</v>
      </c>
      <c r="N53">
        <v>0</v>
      </c>
      <c r="O53">
        <v>0</v>
      </c>
      <c r="P53">
        <v>0</v>
      </c>
      <c r="Q53">
        <v>500535240.15105212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</row>
    <row r="54" spans="1:26" x14ac:dyDescent="0.25">
      <c r="A54" t="s">
        <v>27</v>
      </c>
      <c r="B54" t="s">
        <v>68</v>
      </c>
      <c r="C54" t="s">
        <v>86</v>
      </c>
      <c r="D54">
        <v>0</v>
      </c>
      <c r="E54">
        <v>2030</v>
      </c>
      <c r="F54" t="s">
        <v>28</v>
      </c>
      <c r="G54">
        <v>20203745.041476861</v>
      </c>
      <c r="H54">
        <v>0</v>
      </c>
      <c r="I54">
        <v>0</v>
      </c>
      <c r="J54">
        <v>0</v>
      </c>
      <c r="K54">
        <v>0</v>
      </c>
      <c r="L54">
        <v>17711207.128625918</v>
      </c>
      <c r="M54">
        <v>0</v>
      </c>
      <c r="N54">
        <v>0</v>
      </c>
      <c r="O54">
        <v>2492537.9128509425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</row>
    <row r="55" spans="1:26" x14ac:dyDescent="0.25">
      <c r="A55" t="s">
        <v>27</v>
      </c>
      <c r="B55" t="s">
        <v>51</v>
      </c>
      <c r="C55" t="s">
        <v>73</v>
      </c>
      <c r="D55">
        <v>1</v>
      </c>
      <c r="E55">
        <v>2030</v>
      </c>
      <c r="F55" t="s">
        <v>28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</row>
    <row r="56" spans="1:26" x14ac:dyDescent="0.25">
      <c r="A56" t="s">
        <v>27</v>
      </c>
      <c r="B56" t="s">
        <v>50</v>
      </c>
      <c r="C56" t="s">
        <v>74</v>
      </c>
      <c r="D56">
        <v>1</v>
      </c>
      <c r="E56">
        <v>2030</v>
      </c>
      <c r="F56" t="s">
        <v>28</v>
      </c>
      <c r="G56">
        <v>2652925.8184588463</v>
      </c>
      <c r="H56">
        <v>0</v>
      </c>
      <c r="I56">
        <v>0</v>
      </c>
      <c r="J56">
        <v>0</v>
      </c>
      <c r="K56">
        <v>1326462.9092294232</v>
      </c>
      <c r="L56">
        <v>502160.95849399589</v>
      </c>
      <c r="M56">
        <v>0</v>
      </c>
      <c r="N56">
        <v>0</v>
      </c>
      <c r="O56">
        <v>824301.95073542721</v>
      </c>
      <c r="P56">
        <v>824301.95073542721</v>
      </c>
      <c r="Q56">
        <v>1326462.9092294232</v>
      </c>
      <c r="R56">
        <v>1.7755464018841103</v>
      </c>
      <c r="S56">
        <v>4.6327475083642877</v>
      </c>
      <c r="T56">
        <v>2.8572011064801774</v>
      </c>
      <c r="U56">
        <v>1.7755464018841103</v>
      </c>
      <c r="V56">
        <v>247290.58522062816</v>
      </c>
      <c r="W56">
        <v>645229.45798945508</v>
      </c>
      <c r="X56">
        <v>397938.87276882696</v>
      </c>
      <c r="Y56">
        <v>247290.58522062813</v>
      </c>
      <c r="Z56">
        <v>0</v>
      </c>
    </row>
    <row r="57" spans="1:26" x14ac:dyDescent="0.25">
      <c r="A57" t="s">
        <v>27</v>
      </c>
      <c r="B57" t="s">
        <v>60</v>
      </c>
      <c r="C57" t="s">
        <v>86</v>
      </c>
      <c r="D57">
        <v>0</v>
      </c>
      <c r="E57">
        <v>2030</v>
      </c>
      <c r="F57" t="s">
        <v>28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</row>
    <row r="58" spans="1:26" x14ac:dyDescent="0.25">
      <c r="A58" t="s">
        <v>27</v>
      </c>
      <c r="B58" t="s">
        <v>46</v>
      </c>
      <c r="C58" t="s">
        <v>74</v>
      </c>
      <c r="D58">
        <v>1</v>
      </c>
      <c r="E58">
        <v>2030</v>
      </c>
      <c r="F58" t="s">
        <v>28</v>
      </c>
      <c r="G58">
        <v>8342.726135545483</v>
      </c>
      <c r="H58">
        <v>0</v>
      </c>
      <c r="I58">
        <v>0</v>
      </c>
      <c r="J58">
        <v>0</v>
      </c>
      <c r="K58">
        <v>4171.3630677727415</v>
      </c>
      <c r="L58">
        <v>3158.317751313647</v>
      </c>
      <c r="M58">
        <v>0</v>
      </c>
      <c r="N58">
        <v>0</v>
      </c>
      <c r="O58">
        <v>1013.0453164590945</v>
      </c>
      <c r="P58">
        <v>1013.0453164590945</v>
      </c>
      <c r="Q58">
        <v>4171.3630677727415</v>
      </c>
      <c r="R58">
        <v>4.7642508187754754E-4</v>
      </c>
      <c r="S58">
        <v>2.4381754190203903E-3</v>
      </c>
      <c r="T58">
        <v>1.9617503371428427E-3</v>
      </c>
      <c r="U58">
        <v>4.7642508187754765E-4</v>
      </c>
      <c r="V58">
        <v>63.821854936922954</v>
      </c>
      <c r="W58">
        <v>326.61772820660565</v>
      </c>
      <c r="X58">
        <v>262.79587326968272</v>
      </c>
      <c r="Y58">
        <v>63.821854936922932</v>
      </c>
      <c r="Z58">
        <v>0</v>
      </c>
    </row>
    <row r="59" spans="1:26" x14ac:dyDescent="0.25">
      <c r="A59" t="s">
        <v>27</v>
      </c>
      <c r="B59" t="s">
        <v>39</v>
      </c>
      <c r="C59" t="s">
        <v>86</v>
      </c>
      <c r="D59">
        <v>0</v>
      </c>
      <c r="E59">
        <v>2030</v>
      </c>
      <c r="F59" t="s">
        <v>28</v>
      </c>
      <c r="G59">
        <v>181628.8895635134</v>
      </c>
      <c r="H59">
        <v>0</v>
      </c>
      <c r="I59">
        <v>0</v>
      </c>
      <c r="J59">
        <v>35294.766599083188</v>
      </c>
      <c r="K59">
        <v>0</v>
      </c>
      <c r="L59">
        <v>0</v>
      </c>
      <c r="M59">
        <v>0</v>
      </c>
      <c r="N59">
        <v>0</v>
      </c>
      <c r="O59">
        <v>146334.12296443019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1:26" x14ac:dyDescent="0.25">
      <c r="A60" t="s">
        <v>27</v>
      </c>
      <c r="B60" t="s">
        <v>75</v>
      </c>
      <c r="C60" t="s">
        <v>86</v>
      </c>
      <c r="D60">
        <v>0</v>
      </c>
      <c r="E60">
        <v>2030</v>
      </c>
      <c r="F60" t="s">
        <v>28</v>
      </c>
      <c r="G60">
        <v>925155.87360935542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925155.87360935542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</row>
    <row r="61" spans="1:26" x14ac:dyDescent="0.25">
      <c r="A61" t="s">
        <v>27</v>
      </c>
      <c r="B61" t="s">
        <v>41</v>
      </c>
      <c r="C61" t="s">
        <v>86</v>
      </c>
      <c r="D61">
        <v>0</v>
      </c>
      <c r="E61">
        <v>2030</v>
      </c>
      <c r="F61" t="s">
        <v>28</v>
      </c>
      <c r="G61">
        <v>27117.337735936886</v>
      </c>
      <c r="H61">
        <v>0</v>
      </c>
      <c r="I61">
        <v>0</v>
      </c>
      <c r="J61">
        <v>257923.29437791562</v>
      </c>
      <c r="K61">
        <v>0</v>
      </c>
      <c r="L61">
        <v>0</v>
      </c>
      <c r="M61">
        <v>0</v>
      </c>
      <c r="N61">
        <v>0</v>
      </c>
      <c r="O61">
        <v>-230805.95664197873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1</v>
      </c>
    </row>
    <row r="62" spans="1:26" x14ac:dyDescent="0.25">
      <c r="A62" t="s">
        <v>27</v>
      </c>
      <c r="B62" t="s">
        <v>57</v>
      </c>
      <c r="C62" t="s">
        <v>57</v>
      </c>
      <c r="D62">
        <v>1</v>
      </c>
      <c r="E62">
        <v>2030</v>
      </c>
      <c r="F62" t="s">
        <v>28</v>
      </c>
      <c r="G62">
        <v>0</v>
      </c>
      <c r="H62">
        <v>0</v>
      </c>
      <c r="I62">
        <v>0</v>
      </c>
      <c r="J62">
        <v>0</v>
      </c>
      <c r="K62">
        <v>114193.60000000001</v>
      </c>
      <c r="L62">
        <v>0</v>
      </c>
      <c r="M62">
        <v>0</v>
      </c>
      <c r="N62">
        <v>0</v>
      </c>
      <c r="O62">
        <v>-114193.60000000001</v>
      </c>
      <c r="P62">
        <v>0</v>
      </c>
      <c r="Q62">
        <v>114193.60000000001</v>
      </c>
      <c r="R62">
        <v>0</v>
      </c>
      <c r="S62">
        <v>1.7355855896064003</v>
      </c>
      <c r="T62">
        <v>1.7355855896064003</v>
      </c>
      <c r="U62">
        <v>0</v>
      </c>
      <c r="V62">
        <v>0</v>
      </c>
      <c r="W62">
        <v>102774.24</v>
      </c>
      <c r="X62">
        <v>102774.24</v>
      </c>
      <c r="Y62">
        <v>0</v>
      </c>
      <c r="Z62">
        <v>1</v>
      </c>
    </row>
    <row r="63" spans="1:26" x14ac:dyDescent="0.25">
      <c r="A63" t="s">
        <v>27</v>
      </c>
      <c r="B63" t="s">
        <v>53</v>
      </c>
      <c r="C63" t="s">
        <v>76</v>
      </c>
      <c r="D63">
        <v>1</v>
      </c>
      <c r="E63">
        <v>2030</v>
      </c>
      <c r="F63" t="s">
        <v>28</v>
      </c>
      <c r="G63">
        <v>16463363.602305863</v>
      </c>
      <c r="H63">
        <v>12237689.909258299</v>
      </c>
      <c r="I63">
        <v>0</v>
      </c>
      <c r="J63">
        <v>0</v>
      </c>
      <c r="K63">
        <v>75614.059561949907</v>
      </c>
      <c r="L63">
        <v>0</v>
      </c>
      <c r="M63">
        <v>0</v>
      </c>
      <c r="N63">
        <v>0</v>
      </c>
      <c r="O63">
        <v>4150059.6334856153</v>
      </c>
      <c r="P63">
        <v>4150059.6334856153</v>
      </c>
      <c r="Q63">
        <v>75614.059561949907</v>
      </c>
      <c r="R63">
        <v>7.635590968159347</v>
      </c>
      <c r="S63">
        <v>7.7747113859958894</v>
      </c>
      <c r="T63">
        <v>0.13912041783654258</v>
      </c>
      <c r="U63">
        <v>7.635590968159347</v>
      </c>
      <c r="V63">
        <v>1162016.6973759723</v>
      </c>
      <c r="W63">
        <v>1183188.6340533185</v>
      </c>
      <c r="X63">
        <v>21171.936677345977</v>
      </c>
      <c r="Y63">
        <v>1162016.6973759725</v>
      </c>
      <c r="Z63">
        <v>0</v>
      </c>
    </row>
    <row r="64" spans="1:26" x14ac:dyDescent="0.25">
      <c r="A64" t="s">
        <v>27</v>
      </c>
      <c r="B64" t="s">
        <v>61</v>
      </c>
      <c r="C64" t="s">
        <v>86</v>
      </c>
      <c r="D64">
        <v>0</v>
      </c>
      <c r="E64">
        <v>2030</v>
      </c>
      <c r="F64" t="s">
        <v>28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</row>
    <row r="65" spans="1:26" x14ac:dyDescent="0.25">
      <c r="A65" t="s">
        <v>27</v>
      </c>
      <c r="B65" t="s">
        <v>30</v>
      </c>
      <c r="C65" t="s">
        <v>86</v>
      </c>
      <c r="D65">
        <v>0</v>
      </c>
      <c r="E65">
        <v>2030</v>
      </c>
      <c r="F65" t="s">
        <v>28</v>
      </c>
      <c r="G65">
        <v>192243.07548074043</v>
      </c>
      <c r="H65">
        <v>0</v>
      </c>
      <c r="I65">
        <v>0</v>
      </c>
      <c r="J65">
        <v>270140.71358529059</v>
      </c>
      <c r="K65">
        <v>0</v>
      </c>
      <c r="L65">
        <v>0</v>
      </c>
      <c r="M65">
        <v>0</v>
      </c>
      <c r="N65">
        <v>0</v>
      </c>
      <c r="O65">
        <v>-77897.638104550162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1</v>
      </c>
    </row>
    <row r="66" spans="1:26" x14ac:dyDescent="0.25">
      <c r="A66" t="s">
        <v>27</v>
      </c>
      <c r="B66" t="s">
        <v>52</v>
      </c>
      <c r="C66" t="s">
        <v>77</v>
      </c>
      <c r="D66">
        <v>1</v>
      </c>
      <c r="E66">
        <v>2030</v>
      </c>
      <c r="F66" t="s">
        <v>28</v>
      </c>
      <c r="G66">
        <v>2639184.2877324577</v>
      </c>
      <c r="H66">
        <v>773085.89354292606</v>
      </c>
      <c r="I66">
        <v>726974.95402379602</v>
      </c>
      <c r="J66">
        <v>0</v>
      </c>
      <c r="K66">
        <v>52868.994212030084</v>
      </c>
      <c r="L66">
        <v>0</v>
      </c>
      <c r="M66">
        <v>1086254.4459537058</v>
      </c>
      <c r="N66">
        <v>0</v>
      </c>
      <c r="O66">
        <v>0</v>
      </c>
      <c r="P66">
        <v>0</v>
      </c>
      <c r="Q66">
        <v>1139123.4401657358</v>
      </c>
      <c r="R66">
        <v>0</v>
      </c>
      <c r="S66">
        <v>11.532133889290428</v>
      </c>
      <c r="T66">
        <v>0.30481830088922796</v>
      </c>
      <c r="U66">
        <v>11.227315588401201</v>
      </c>
      <c r="V66">
        <v>0</v>
      </c>
      <c r="W66">
        <v>968254.92414087534</v>
      </c>
      <c r="X66">
        <v>44938.645080225571</v>
      </c>
      <c r="Y66">
        <v>923316.2790606498</v>
      </c>
      <c r="Z66">
        <v>0</v>
      </c>
    </row>
    <row r="67" spans="1:26" x14ac:dyDescent="0.25">
      <c r="A67" t="s">
        <v>27</v>
      </c>
      <c r="B67" t="s">
        <v>56</v>
      </c>
      <c r="C67" t="s">
        <v>73</v>
      </c>
      <c r="D67">
        <v>1</v>
      </c>
      <c r="E67">
        <v>2030</v>
      </c>
      <c r="F67" t="s">
        <v>28</v>
      </c>
      <c r="G67">
        <v>526734.10986839118</v>
      </c>
      <c r="H67">
        <v>0</v>
      </c>
      <c r="I67">
        <v>0</v>
      </c>
      <c r="J67">
        <v>0</v>
      </c>
      <c r="K67">
        <v>41.80391161429587</v>
      </c>
      <c r="L67">
        <v>0</v>
      </c>
      <c r="M67">
        <v>526692.30595677684</v>
      </c>
      <c r="N67">
        <v>0</v>
      </c>
      <c r="O67">
        <v>0</v>
      </c>
      <c r="P67">
        <v>0</v>
      </c>
      <c r="Q67">
        <v>526734.10986839118</v>
      </c>
      <c r="R67">
        <v>0</v>
      </c>
      <c r="S67">
        <v>9.4026981784507786</v>
      </c>
      <c r="T67">
        <v>7.0985968194887394E-5</v>
      </c>
      <c r="U67">
        <v>9.4026271924825835</v>
      </c>
      <c r="V67">
        <v>0</v>
      </c>
      <c r="W67">
        <v>158020.23296051734</v>
      </c>
      <c r="X67">
        <v>12.541173484288761</v>
      </c>
      <c r="Y67">
        <v>158007.69178703305</v>
      </c>
      <c r="Z67">
        <v>0</v>
      </c>
    </row>
    <row r="68" spans="1:26" x14ac:dyDescent="0.25">
      <c r="A68" t="s">
        <v>27</v>
      </c>
      <c r="B68" t="s">
        <v>63</v>
      </c>
      <c r="C68" t="s">
        <v>86</v>
      </c>
      <c r="D68">
        <v>0</v>
      </c>
      <c r="E68">
        <v>2030</v>
      </c>
      <c r="F68" t="s">
        <v>28</v>
      </c>
      <c r="G68">
        <v>0</v>
      </c>
      <c r="H68">
        <v>4828427.5390456226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-4828427.5390456226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1</v>
      </c>
    </row>
    <row r="69" spans="1:26" x14ac:dyDescent="0.25">
      <c r="A69" t="s">
        <v>27</v>
      </c>
      <c r="B69" t="s">
        <v>49</v>
      </c>
      <c r="C69" t="s">
        <v>73</v>
      </c>
      <c r="D69">
        <v>1</v>
      </c>
      <c r="E69">
        <v>2030</v>
      </c>
      <c r="F69" t="s">
        <v>28</v>
      </c>
      <c r="G69">
        <v>523057.42126360437</v>
      </c>
      <c r="H69">
        <v>0</v>
      </c>
      <c r="I69">
        <v>0</v>
      </c>
      <c r="J69">
        <v>0</v>
      </c>
      <c r="K69">
        <v>523057.13098607323</v>
      </c>
      <c r="L69">
        <v>0</v>
      </c>
      <c r="M69">
        <v>0</v>
      </c>
      <c r="N69">
        <v>0</v>
      </c>
      <c r="O69">
        <v>0.29027753113768995</v>
      </c>
      <c r="P69">
        <v>0.29027753113768995</v>
      </c>
      <c r="Q69">
        <v>523057.13098607323</v>
      </c>
      <c r="R69">
        <v>1.2578102784986585E-6</v>
      </c>
      <c r="S69">
        <v>1.9265046219015098</v>
      </c>
      <c r="T69">
        <v>1.9265033640912312</v>
      </c>
      <c r="U69">
        <v>1.2578102785987255E-6</v>
      </c>
      <c r="V69">
        <v>0.12191656307782978</v>
      </c>
      <c r="W69">
        <v>219684.11693071382</v>
      </c>
      <c r="X69">
        <v>219683.99501415074</v>
      </c>
      <c r="Y69">
        <v>0.12191656307550147</v>
      </c>
      <c r="Z69">
        <v>0</v>
      </c>
    </row>
    <row r="70" spans="1:26" x14ac:dyDescent="0.25">
      <c r="A70" t="s">
        <v>27</v>
      </c>
      <c r="B70" t="s">
        <v>78</v>
      </c>
      <c r="C70" t="s">
        <v>86</v>
      </c>
      <c r="D70">
        <v>0</v>
      </c>
      <c r="E70">
        <v>2030</v>
      </c>
      <c r="F70" t="s">
        <v>28</v>
      </c>
      <c r="G70">
        <v>800990.58717012103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800990.58717012103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</row>
    <row r="71" spans="1:26" x14ac:dyDescent="0.25">
      <c r="A71" t="s">
        <v>27</v>
      </c>
      <c r="B71" t="s">
        <v>31</v>
      </c>
      <c r="C71" t="s">
        <v>86</v>
      </c>
      <c r="D71">
        <v>0</v>
      </c>
      <c r="E71">
        <v>2030</v>
      </c>
      <c r="F71" t="s">
        <v>28</v>
      </c>
      <c r="G71">
        <v>2241845.3275075206</v>
      </c>
      <c r="H71">
        <v>0</v>
      </c>
      <c r="I71">
        <v>0</v>
      </c>
      <c r="J71">
        <v>123531.68309679118</v>
      </c>
      <c r="K71">
        <v>0</v>
      </c>
      <c r="L71">
        <v>0</v>
      </c>
      <c r="M71">
        <v>0</v>
      </c>
      <c r="N71">
        <v>0</v>
      </c>
      <c r="O71">
        <v>2118313.6444107294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</row>
    <row r="72" spans="1:26" x14ac:dyDescent="0.25">
      <c r="A72" t="s">
        <v>27</v>
      </c>
      <c r="B72" t="s">
        <v>29</v>
      </c>
      <c r="C72" t="s">
        <v>77</v>
      </c>
      <c r="D72">
        <v>1</v>
      </c>
      <c r="E72">
        <v>2030</v>
      </c>
      <c r="F72" t="s">
        <v>28</v>
      </c>
      <c r="G72">
        <v>7171156.7599390233</v>
      </c>
      <c r="H72">
        <v>5879215.2019956233</v>
      </c>
      <c r="I72">
        <v>0</v>
      </c>
      <c r="J72">
        <v>295933.04302308214</v>
      </c>
      <c r="K72">
        <v>2833.9333697705197</v>
      </c>
      <c r="L72">
        <v>0</v>
      </c>
      <c r="M72">
        <v>0</v>
      </c>
      <c r="N72">
        <v>0</v>
      </c>
      <c r="O72">
        <v>993174.58155054692</v>
      </c>
      <c r="P72">
        <v>993174.58155054692</v>
      </c>
      <c r="Q72">
        <v>2833.9333697705197</v>
      </c>
      <c r="R72">
        <v>3.4014838973692068</v>
      </c>
      <c r="S72">
        <v>3.4111897224099992</v>
      </c>
      <c r="T72">
        <v>9.7058250407922632E-3</v>
      </c>
      <c r="U72">
        <v>3.4014838973692068</v>
      </c>
      <c r="V72">
        <v>307884.12028066954</v>
      </c>
      <c r="W72">
        <v>308762.63962529838</v>
      </c>
      <c r="X72">
        <v>878.51934462886106</v>
      </c>
      <c r="Y72">
        <v>307884.12028066954</v>
      </c>
      <c r="Z72">
        <v>0</v>
      </c>
    </row>
    <row r="73" spans="1:26" x14ac:dyDescent="0.25">
      <c r="A73" t="s">
        <v>27</v>
      </c>
      <c r="B73" t="s">
        <v>69</v>
      </c>
      <c r="C73" t="s">
        <v>86</v>
      </c>
      <c r="D73">
        <v>0</v>
      </c>
      <c r="E73">
        <v>2030</v>
      </c>
      <c r="F73" t="s">
        <v>28</v>
      </c>
      <c r="G73">
        <v>0</v>
      </c>
      <c r="H73">
        <v>0</v>
      </c>
      <c r="I73">
        <v>0</v>
      </c>
      <c r="J73">
        <v>0</v>
      </c>
      <c r="K73">
        <v>0</v>
      </c>
      <c r="L73">
        <v>620537.39357630478</v>
      </c>
      <c r="M73">
        <v>0</v>
      </c>
      <c r="N73">
        <v>0</v>
      </c>
      <c r="O73">
        <v>-620537.39357630478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1</v>
      </c>
    </row>
    <row r="74" spans="1:26" x14ac:dyDescent="0.25">
      <c r="A74" t="s">
        <v>27</v>
      </c>
      <c r="B74" t="s">
        <v>45</v>
      </c>
      <c r="C74" t="s">
        <v>74</v>
      </c>
      <c r="D74">
        <v>1</v>
      </c>
      <c r="E74">
        <v>2030</v>
      </c>
      <c r="F74" t="s">
        <v>28</v>
      </c>
      <c r="G74">
        <v>12983496.711335782</v>
      </c>
      <c r="H74">
        <v>0</v>
      </c>
      <c r="I74">
        <v>0</v>
      </c>
      <c r="J74">
        <v>0</v>
      </c>
      <c r="K74">
        <v>9867457.5006151944</v>
      </c>
      <c r="L74">
        <v>2064375.9771023891</v>
      </c>
      <c r="M74">
        <v>0</v>
      </c>
      <c r="N74">
        <v>0</v>
      </c>
      <c r="O74">
        <v>1051663.233618198</v>
      </c>
      <c r="P74">
        <v>1051663.233618198</v>
      </c>
      <c r="Q74">
        <v>9867457.5006151944</v>
      </c>
      <c r="R74">
        <v>0.53234141222519571</v>
      </c>
      <c r="S74">
        <v>5.5271497244616015</v>
      </c>
      <c r="T74">
        <v>4.9948083122364055</v>
      </c>
      <c r="U74">
        <v>0.53234141222519593</v>
      </c>
      <c r="V74">
        <v>79926.405754983047</v>
      </c>
      <c r="W74">
        <v>829853.17580173782</v>
      </c>
      <c r="X74">
        <v>749926.77004675474</v>
      </c>
      <c r="Y74">
        <v>79926.405754983076</v>
      </c>
      <c r="Z74">
        <v>0</v>
      </c>
    </row>
    <row r="75" spans="1:26" x14ac:dyDescent="0.25">
      <c r="A75" t="s">
        <v>27</v>
      </c>
      <c r="B75" t="s">
        <v>59</v>
      </c>
      <c r="C75" t="s">
        <v>86</v>
      </c>
      <c r="D75">
        <v>0</v>
      </c>
      <c r="E75">
        <v>2030</v>
      </c>
      <c r="F75" t="s">
        <v>28</v>
      </c>
      <c r="G75">
        <v>1620993.8653666629</v>
      </c>
      <c r="H75">
        <v>1515714.1736670113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105279.69169965154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</row>
    <row r="76" spans="1:26" x14ac:dyDescent="0.25">
      <c r="A76" t="s">
        <v>27</v>
      </c>
      <c r="B76" t="s">
        <v>54</v>
      </c>
      <c r="C76" t="s">
        <v>76</v>
      </c>
      <c r="D76">
        <v>1</v>
      </c>
      <c r="E76">
        <v>2030</v>
      </c>
      <c r="F76" t="s">
        <v>28</v>
      </c>
      <c r="G76">
        <v>7983307.7524896674</v>
      </c>
      <c r="H76">
        <v>5657053.7864699624</v>
      </c>
      <c r="I76">
        <v>0</v>
      </c>
      <c r="J76">
        <v>0</v>
      </c>
      <c r="K76">
        <v>314692.31350359169</v>
      </c>
      <c r="L76">
        <v>0</v>
      </c>
      <c r="M76">
        <v>0</v>
      </c>
      <c r="N76">
        <v>0</v>
      </c>
      <c r="O76">
        <v>2011561.6525161136</v>
      </c>
      <c r="P76">
        <v>1690869.0750561175</v>
      </c>
      <c r="Q76">
        <v>314692.31350359169</v>
      </c>
      <c r="R76">
        <v>6.070219979451462</v>
      </c>
      <c r="S76">
        <v>7.1999653849293566</v>
      </c>
      <c r="T76">
        <v>1.1297454054778944</v>
      </c>
      <c r="U76">
        <v>6.070219979451462</v>
      </c>
      <c r="V76">
        <v>507260.7225168352</v>
      </c>
      <c r="W76">
        <v>601668.41656791279</v>
      </c>
      <c r="X76">
        <v>94407.694051077502</v>
      </c>
      <c r="Y76">
        <v>507260.72251683532</v>
      </c>
      <c r="Z76">
        <v>0</v>
      </c>
    </row>
    <row r="77" spans="1:26" x14ac:dyDescent="0.25">
      <c r="A77" t="s">
        <v>27</v>
      </c>
      <c r="B77" t="s">
        <v>38</v>
      </c>
      <c r="C77" t="s">
        <v>86</v>
      </c>
      <c r="D77">
        <v>0</v>
      </c>
      <c r="E77">
        <v>2030</v>
      </c>
      <c r="F77" t="s">
        <v>28</v>
      </c>
      <c r="G77">
        <v>3127676.8816170068</v>
      </c>
      <c r="H77">
        <v>0</v>
      </c>
      <c r="I77">
        <v>0</v>
      </c>
      <c r="J77">
        <v>472406.87601849809</v>
      </c>
      <c r="K77">
        <v>0</v>
      </c>
      <c r="L77">
        <v>0</v>
      </c>
      <c r="M77">
        <v>0</v>
      </c>
      <c r="N77">
        <v>0</v>
      </c>
      <c r="O77">
        <v>2655270.0055985088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</row>
    <row r="78" spans="1:26" x14ac:dyDescent="0.25">
      <c r="A78" t="s">
        <v>27</v>
      </c>
      <c r="B78" t="s">
        <v>35</v>
      </c>
      <c r="C78" t="s">
        <v>79</v>
      </c>
      <c r="D78">
        <v>1</v>
      </c>
      <c r="E78">
        <v>2030</v>
      </c>
      <c r="F78" t="s">
        <v>28</v>
      </c>
      <c r="G78">
        <v>144989.33878430488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144989.33878430488</v>
      </c>
      <c r="P78">
        <v>144989.33878430488</v>
      </c>
      <c r="Q78">
        <v>0</v>
      </c>
      <c r="R78">
        <v>0.13012793155891364</v>
      </c>
      <c r="S78">
        <v>0.13012793155891364</v>
      </c>
      <c r="T78">
        <v>0</v>
      </c>
      <c r="U78">
        <v>0.13012793155891364</v>
      </c>
      <c r="V78">
        <v>21748.400817645732</v>
      </c>
      <c r="W78">
        <v>21748.400817645732</v>
      </c>
      <c r="X78">
        <v>0</v>
      </c>
      <c r="Y78">
        <v>21748.400817645732</v>
      </c>
      <c r="Z78">
        <v>0</v>
      </c>
    </row>
    <row r="79" spans="1:26" x14ac:dyDescent="0.25">
      <c r="A79" t="s">
        <v>27</v>
      </c>
      <c r="B79" t="s">
        <v>33</v>
      </c>
      <c r="C79" t="s">
        <v>86</v>
      </c>
      <c r="D79">
        <v>0</v>
      </c>
      <c r="E79">
        <v>2030</v>
      </c>
      <c r="F79" t="s">
        <v>28</v>
      </c>
      <c r="G79">
        <v>106168.13854148486</v>
      </c>
      <c r="H79">
        <v>0</v>
      </c>
      <c r="I79">
        <v>0</v>
      </c>
      <c r="J79">
        <v>60028.253038902265</v>
      </c>
      <c r="K79">
        <v>0</v>
      </c>
      <c r="L79">
        <v>0</v>
      </c>
      <c r="M79">
        <v>0</v>
      </c>
      <c r="N79">
        <v>0</v>
      </c>
      <c r="O79">
        <v>46139.885502582598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</row>
    <row r="80" spans="1:26" x14ac:dyDescent="0.25">
      <c r="A80" t="s">
        <v>27</v>
      </c>
      <c r="B80" t="s">
        <v>80</v>
      </c>
      <c r="C80" t="s">
        <v>86</v>
      </c>
      <c r="D80">
        <v>0</v>
      </c>
      <c r="E80">
        <v>2030</v>
      </c>
      <c r="F80" t="s">
        <v>28</v>
      </c>
      <c r="G80">
        <v>1683153.4103621913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1683153.4103621913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</row>
    <row r="81" spans="1:26" x14ac:dyDescent="0.25">
      <c r="A81" t="s">
        <v>27</v>
      </c>
      <c r="B81" t="s">
        <v>65</v>
      </c>
      <c r="C81" t="s">
        <v>81</v>
      </c>
      <c r="D81">
        <v>1</v>
      </c>
      <c r="E81">
        <v>2030</v>
      </c>
      <c r="F81" t="s">
        <v>28</v>
      </c>
      <c r="G81">
        <v>177516.46640303911</v>
      </c>
      <c r="H81">
        <v>0</v>
      </c>
      <c r="I81">
        <v>0</v>
      </c>
      <c r="J81">
        <v>0</v>
      </c>
      <c r="K81">
        <v>0</v>
      </c>
      <c r="L81">
        <v>0</v>
      </c>
      <c r="M81">
        <v>177516.46640303911</v>
      </c>
      <c r="N81">
        <v>0</v>
      </c>
      <c r="O81">
        <v>0</v>
      </c>
      <c r="P81">
        <v>0</v>
      </c>
      <c r="Q81">
        <v>177516.46640303911</v>
      </c>
      <c r="R81">
        <v>0</v>
      </c>
      <c r="S81">
        <v>3.2663029818159193</v>
      </c>
      <c r="T81">
        <v>0</v>
      </c>
      <c r="U81">
        <v>3.2663029818159193</v>
      </c>
      <c r="V81">
        <v>0</v>
      </c>
      <c r="W81">
        <v>73669.333557261241</v>
      </c>
      <c r="X81">
        <v>0</v>
      </c>
      <c r="Y81">
        <v>73669.333557261241</v>
      </c>
      <c r="Z81">
        <v>0</v>
      </c>
    </row>
    <row r="82" spans="1:26" x14ac:dyDescent="0.25">
      <c r="A82" t="s">
        <v>27</v>
      </c>
      <c r="B82" t="s">
        <v>140</v>
      </c>
      <c r="C82" t="s">
        <v>142</v>
      </c>
      <c r="D82">
        <v>1</v>
      </c>
      <c r="E82">
        <v>2030</v>
      </c>
      <c r="F82" t="s">
        <v>28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</row>
    <row r="83" spans="1:26" x14ac:dyDescent="0.25">
      <c r="A83" t="s">
        <v>27</v>
      </c>
      <c r="B83" t="s">
        <v>141</v>
      </c>
      <c r="C83" t="s">
        <v>142</v>
      </c>
      <c r="D83">
        <v>1</v>
      </c>
      <c r="E83">
        <v>2030</v>
      </c>
      <c r="F83" t="s">
        <v>28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</row>
    <row r="84" spans="1:26" x14ac:dyDescent="0.25">
      <c r="A84" t="s">
        <v>27</v>
      </c>
      <c r="B84" t="s">
        <v>82</v>
      </c>
      <c r="C84" t="s">
        <v>86</v>
      </c>
      <c r="D84">
        <v>0</v>
      </c>
      <c r="E84">
        <v>2030</v>
      </c>
      <c r="F84" t="s">
        <v>28</v>
      </c>
      <c r="G84">
        <v>4870431.535367866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4870431.535367866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</row>
    <row r="85" spans="1:26" x14ac:dyDescent="0.25">
      <c r="A85" t="s">
        <v>27</v>
      </c>
      <c r="B85" t="s">
        <v>72</v>
      </c>
      <c r="C85" t="s">
        <v>86</v>
      </c>
      <c r="D85">
        <v>0</v>
      </c>
      <c r="E85">
        <v>2030</v>
      </c>
      <c r="F85" t="s">
        <v>28</v>
      </c>
      <c r="G85">
        <v>507790.70515370794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507790.70515370794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</row>
    <row r="86" spans="1:26" x14ac:dyDescent="0.25">
      <c r="A86" t="s">
        <v>27</v>
      </c>
      <c r="B86" t="s">
        <v>58</v>
      </c>
      <c r="C86" t="s">
        <v>86</v>
      </c>
      <c r="D86">
        <v>0</v>
      </c>
      <c r="E86">
        <v>2030</v>
      </c>
      <c r="F86" t="s">
        <v>28</v>
      </c>
      <c r="G86">
        <v>253895.35257685397</v>
      </c>
      <c r="H86">
        <v>214099.10609126225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39796.246485591721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</row>
    <row r="87" spans="1:26" x14ac:dyDescent="0.25">
      <c r="A87" t="s">
        <v>27</v>
      </c>
      <c r="B87" t="s">
        <v>64</v>
      </c>
      <c r="C87" t="s">
        <v>64</v>
      </c>
      <c r="D87">
        <v>1</v>
      </c>
      <c r="E87">
        <v>2030</v>
      </c>
      <c r="F87" t="s">
        <v>28</v>
      </c>
      <c r="G87">
        <v>162493.02564918654</v>
      </c>
      <c r="H87">
        <v>0</v>
      </c>
      <c r="I87">
        <v>0</v>
      </c>
      <c r="J87">
        <v>0</v>
      </c>
      <c r="K87">
        <v>0</v>
      </c>
      <c r="L87">
        <v>0</v>
      </c>
      <c r="M87">
        <v>162493.02564918654</v>
      </c>
      <c r="N87">
        <v>0</v>
      </c>
      <c r="O87">
        <v>0</v>
      </c>
      <c r="P87">
        <v>0</v>
      </c>
      <c r="Q87">
        <v>162493.02564918654</v>
      </c>
      <c r="R87">
        <v>0</v>
      </c>
      <c r="S87">
        <v>5.6872558977215286</v>
      </c>
      <c r="T87">
        <v>0</v>
      </c>
      <c r="U87">
        <v>5.6872558977215286</v>
      </c>
      <c r="V87">
        <v>0</v>
      </c>
      <c r="W87">
        <v>147868.65334075977</v>
      </c>
      <c r="X87">
        <v>0</v>
      </c>
      <c r="Y87">
        <v>147868.65334075977</v>
      </c>
      <c r="Z87">
        <v>0</v>
      </c>
    </row>
    <row r="88" spans="1:26" x14ac:dyDescent="0.25">
      <c r="A88" t="s">
        <v>27</v>
      </c>
      <c r="B88" t="s">
        <v>55</v>
      </c>
      <c r="C88" t="s">
        <v>76</v>
      </c>
      <c r="D88">
        <v>1</v>
      </c>
      <c r="E88">
        <v>2030</v>
      </c>
      <c r="F88" t="s">
        <v>28</v>
      </c>
      <c r="G88">
        <v>395099.15710561507</v>
      </c>
      <c r="H88">
        <v>841167.61765562883</v>
      </c>
      <c r="I88">
        <v>0</v>
      </c>
      <c r="J88">
        <v>0</v>
      </c>
      <c r="K88">
        <v>4075.7207832735812</v>
      </c>
      <c r="L88">
        <v>0</v>
      </c>
      <c r="M88">
        <v>0</v>
      </c>
      <c r="N88">
        <v>0</v>
      </c>
      <c r="O88">
        <v>-450144.18133328733</v>
      </c>
      <c r="P88">
        <v>0</v>
      </c>
      <c r="Q88">
        <v>4075.7207832735812</v>
      </c>
      <c r="R88">
        <v>0</v>
      </c>
      <c r="S88">
        <v>1.1061669234635831E-2</v>
      </c>
      <c r="T88">
        <v>1.1061669234635831E-2</v>
      </c>
      <c r="U88">
        <v>0</v>
      </c>
      <c r="V88">
        <v>0</v>
      </c>
      <c r="W88">
        <v>815.14415665471631</v>
      </c>
      <c r="X88">
        <v>815.14415665471631</v>
      </c>
      <c r="Y88">
        <v>0</v>
      </c>
      <c r="Z88">
        <v>0</v>
      </c>
    </row>
    <row r="89" spans="1:26" x14ac:dyDescent="0.25">
      <c r="A89" t="s">
        <v>27</v>
      </c>
      <c r="B89" t="s">
        <v>83</v>
      </c>
      <c r="C89" t="s">
        <v>86</v>
      </c>
      <c r="D89">
        <v>0</v>
      </c>
      <c r="E89">
        <v>2030</v>
      </c>
      <c r="F89" t="s">
        <v>28</v>
      </c>
      <c r="G89">
        <v>191123.07715634341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191123.07715634341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</row>
    <row r="90" spans="1:26" x14ac:dyDescent="0.25">
      <c r="A90" t="s">
        <v>27</v>
      </c>
      <c r="B90" t="s">
        <v>62</v>
      </c>
      <c r="C90" t="s">
        <v>86</v>
      </c>
      <c r="D90">
        <v>0</v>
      </c>
      <c r="E90">
        <v>2030</v>
      </c>
      <c r="F90" t="s">
        <v>28</v>
      </c>
      <c r="G90">
        <v>129693.32771377628</v>
      </c>
      <c r="H90">
        <v>39415.735012617326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90277.592701158952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</row>
    <row r="91" spans="1:26" x14ac:dyDescent="0.25">
      <c r="A91" t="s">
        <v>27</v>
      </c>
      <c r="B91" t="s">
        <v>47</v>
      </c>
      <c r="C91" t="s">
        <v>73</v>
      </c>
      <c r="D91">
        <v>1</v>
      </c>
      <c r="E91">
        <v>2030</v>
      </c>
      <c r="F91" t="s">
        <v>28</v>
      </c>
      <c r="G91">
        <v>3973910.9975047</v>
      </c>
      <c r="H91">
        <v>0</v>
      </c>
      <c r="I91">
        <v>0</v>
      </c>
      <c r="J91">
        <v>0</v>
      </c>
      <c r="K91">
        <v>1507101.1523820646</v>
      </c>
      <c r="L91">
        <v>0</v>
      </c>
      <c r="M91">
        <v>0</v>
      </c>
      <c r="N91">
        <v>0</v>
      </c>
      <c r="O91">
        <v>2466809.8451226354</v>
      </c>
      <c r="P91">
        <v>2466809.8451226354</v>
      </c>
      <c r="Q91">
        <v>1507101.1523820646</v>
      </c>
      <c r="R91">
        <v>1.2309627808146464</v>
      </c>
      <c r="S91">
        <v>1.9830213268648205</v>
      </c>
      <c r="T91">
        <v>0.75205854605017419</v>
      </c>
      <c r="U91">
        <v>1.2309627808146462</v>
      </c>
      <c r="V91">
        <v>148008.59070735812</v>
      </c>
      <c r="W91">
        <v>238434.65985028198</v>
      </c>
      <c r="X91">
        <v>90426.06914292388</v>
      </c>
      <c r="Y91">
        <v>148008.59070735809</v>
      </c>
      <c r="Z91">
        <v>0</v>
      </c>
    </row>
    <row r="92" spans="1:26" x14ac:dyDescent="0.25">
      <c r="A92" t="s">
        <v>27</v>
      </c>
      <c r="B92" t="s">
        <v>44</v>
      </c>
      <c r="C92" t="s">
        <v>74</v>
      </c>
      <c r="D92">
        <v>1</v>
      </c>
      <c r="E92">
        <v>2030</v>
      </c>
      <c r="F92" t="s">
        <v>28</v>
      </c>
      <c r="G92">
        <v>15074833.175881069</v>
      </c>
      <c r="H92">
        <v>0</v>
      </c>
      <c r="I92">
        <v>0</v>
      </c>
      <c r="J92">
        <v>0</v>
      </c>
      <c r="K92">
        <v>7989661.5832169671</v>
      </c>
      <c r="L92">
        <v>7085171.5926641021</v>
      </c>
      <c r="M92">
        <v>0</v>
      </c>
      <c r="N92">
        <v>0</v>
      </c>
      <c r="O92">
        <v>0</v>
      </c>
      <c r="P92">
        <v>0</v>
      </c>
      <c r="Q92">
        <v>7989661.5832169671</v>
      </c>
      <c r="R92">
        <v>0</v>
      </c>
      <c r="S92">
        <v>3.4419462100498701</v>
      </c>
      <c r="T92">
        <v>3.4419462100498701</v>
      </c>
      <c r="U92">
        <v>0</v>
      </c>
      <c r="V92">
        <v>0</v>
      </c>
      <c r="W92">
        <v>399483.0791608484</v>
      </c>
      <c r="X92">
        <v>399483.0791608484</v>
      </c>
      <c r="Y92">
        <v>0</v>
      </c>
      <c r="Z92">
        <v>0</v>
      </c>
    </row>
    <row r="93" spans="1:26" x14ac:dyDescent="0.25">
      <c r="A93" t="s">
        <v>27</v>
      </c>
      <c r="B93" t="s">
        <v>32</v>
      </c>
      <c r="C93" t="s">
        <v>86</v>
      </c>
      <c r="D93">
        <v>0</v>
      </c>
      <c r="E93">
        <v>2030</v>
      </c>
      <c r="F93" t="s">
        <v>28</v>
      </c>
      <c r="G93">
        <v>1378013.0257817972</v>
      </c>
      <c r="H93">
        <v>0</v>
      </c>
      <c r="I93">
        <v>0</v>
      </c>
      <c r="J93">
        <v>121875.54404868034</v>
      </c>
      <c r="K93">
        <v>0</v>
      </c>
      <c r="L93">
        <v>0</v>
      </c>
      <c r="M93">
        <v>0</v>
      </c>
      <c r="N93">
        <v>0</v>
      </c>
      <c r="O93">
        <v>1256137.4817331168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</row>
    <row r="94" spans="1:26" x14ac:dyDescent="0.25">
      <c r="A94" t="s">
        <v>27</v>
      </c>
      <c r="B94" t="s">
        <v>36</v>
      </c>
      <c r="C94" t="s">
        <v>79</v>
      </c>
      <c r="D94">
        <v>1</v>
      </c>
      <c r="E94">
        <v>2030</v>
      </c>
      <c r="F94" t="s">
        <v>28</v>
      </c>
      <c r="G94">
        <v>10800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10800</v>
      </c>
      <c r="P94">
        <v>10800</v>
      </c>
      <c r="Q94">
        <v>0</v>
      </c>
      <c r="R94">
        <v>9.6930000000000002E-3</v>
      </c>
      <c r="S94">
        <v>9.6930000000000002E-3</v>
      </c>
      <c r="T94">
        <v>0</v>
      </c>
      <c r="U94">
        <v>9.6930000000000002E-3</v>
      </c>
      <c r="V94">
        <v>1620</v>
      </c>
      <c r="W94">
        <v>1620</v>
      </c>
      <c r="X94">
        <v>0</v>
      </c>
      <c r="Y94">
        <v>1620</v>
      </c>
      <c r="Z94">
        <v>0</v>
      </c>
    </row>
    <row r="95" spans="1:26" x14ac:dyDescent="0.25">
      <c r="A95" t="s">
        <v>27</v>
      </c>
      <c r="B95" t="s">
        <v>84</v>
      </c>
      <c r="C95" t="s">
        <v>86</v>
      </c>
      <c r="D95">
        <v>1</v>
      </c>
      <c r="E95">
        <v>2030</v>
      </c>
      <c r="F95" t="s">
        <v>28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</row>
    <row r="96" spans="1:26" x14ac:dyDescent="0.25">
      <c r="A96" t="s">
        <v>27</v>
      </c>
      <c r="B96" t="s">
        <v>66</v>
      </c>
      <c r="C96" t="s">
        <v>81</v>
      </c>
      <c r="D96">
        <v>1</v>
      </c>
      <c r="E96">
        <v>2030</v>
      </c>
      <c r="F96" t="s">
        <v>28</v>
      </c>
      <c r="G96">
        <v>2203715.0015238998</v>
      </c>
      <c r="H96">
        <v>0</v>
      </c>
      <c r="I96">
        <v>0</v>
      </c>
      <c r="J96">
        <v>0</v>
      </c>
      <c r="K96">
        <v>0</v>
      </c>
      <c r="L96">
        <v>0</v>
      </c>
      <c r="M96">
        <v>2203715.0015238998</v>
      </c>
      <c r="N96">
        <v>0</v>
      </c>
      <c r="O96">
        <v>0</v>
      </c>
      <c r="P96">
        <v>0</v>
      </c>
      <c r="Q96">
        <v>2203715.0015238998</v>
      </c>
      <c r="R96">
        <v>0</v>
      </c>
      <c r="S96">
        <v>31.93969521225883</v>
      </c>
      <c r="T96">
        <v>0</v>
      </c>
      <c r="U96">
        <v>31.93969521225883</v>
      </c>
      <c r="V96">
        <v>0</v>
      </c>
      <c r="W96">
        <v>1089920.7111703621</v>
      </c>
      <c r="X96">
        <v>0</v>
      </c>
      <c r="Y96">
        <v>1089920.7111703621</v>
      </c>
      <c r="Z96">
        <v>0</v>
      </c>
    </row>
    <row r="97" spans="1:26" x14ac:dyDescent="0.25">
      <c r="A97" t="s">
        <v>27</v>
      </c>
      <c r="B97" t="s">
        <v>85</v>
      </c>
      <c r="C97" t="s">
        <v>86</v>
      </c>
      <c r="D97">
        <v>0</v>
      </c>
      <c r="E97">
        <v>2030</v>
      </c>
      <c r="F97" t="s">
        <v>28</v>
      </c>
      <c r="G97">
        <v>605932.0339558397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605932.0339558397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</row>
    <row r="98" spans="1:26" x14ac:dyDescent="0.25">
      <c r="A98" t="s">
        <v>27</v>
      </c>
      <c r="B98" t="s">
        <v>40</v>
      </c>
      <c r="C98" t="s">
        <v>86</v>
      </c>
      <c r="D98">
        <v>0</v>
      </c>
      <c r="E98">
        <v>2050</v>
      </c>
      <c r="F98" t="s">
        <v>28</v>
      </c>
      <c r="G98">
        <v>208223.23899291924</v>
      </c>
      <c r="H98">
        <v>0</v>
      </c>
      <c r="I98">
        <v>0</v>
      </c>
      <c r="J98">
        <v>33849.968886444818</v>
      </c>
      <c r="K98">
        <v>0</v>
      </c>
      <c r="L98">
        <v>0</v>
      </c>
      <c r="M98">
        <v>0</v>
      </c>
      <c r="N98">
        <v>0</v>
      </c>
      <c r="O98">
        <v>174373.27010647443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</row>
    <row r="99" spans="1:26" x14ac:dyDescent="0.25">
      <c r="A99" t="s">
        <v>27</v>
      </c>
      <c r="B99" t="s">
        <v>34</v>
      </c>
      <c r="C99" t="s">
        <v>86</v>
      </c>
      <c r="D99">
        <v>0</v>
      </c>
      <c r="E99">
        <v>2050</v>
      </c>
      <c r="F99" t="s">
        <v>28</v>
      </c>
      <c r="G99">
        <v>260463.0327135307</v>
      </c>
      <c r="H99">
        <v>64498.475475191975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195964.55723833872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</row>
    <row r="100" spans="1:26" x14ac:dyDescent="0.25">
      <c r="A100" t="s">
        <v>27</v>
      </c>
      <c r="B100" t="s">
        <v>48</v>
      </c>
      <c r="C100" t="s">
        <v>73</v>
      </c>
      <c r="D100">
        <v>1</v>
      </c>
      <c r="E100">
        <v>2050</v>
      </c>
      <c r="F100" t="s">
        <v>28</v>
      </c>
      <c r="G100">
        <v>197484.13479984918</v>
      </c>
      <c r="H100">
        <v>0</v>
      </c>
      <c r="I100">
        <v>0</v>
      </c>
      <c r="J100">
        <v>0</v>
      </c>
      <c r="K100">
        <v>197484.23354298095</v>
      </c>
      <c r="L100">
        <v>0</v>
      </c>
      <c r="M100">
        <v>0</v>
      </c>
      <c r="N100">
        <v>0</v>
      </c>
      <c r="O100">
        <v>-9.8743131762603298E-2</v>
      </c>
      <c r="P100">
        <v>0</v>
      </c>
      <c r="Q100">
        <v>197484.23354298095</v>
      </c>
      <c r="R100">
        <v>0</v>
      </c>
      <c r="S100">
        <v>0.67281101009991739</v>
      </c>
      <c r="T100">
        <v>0.67281101009991739</v>
      </c>
      <c r="U100">
        <v>0</v>
      </c>
      <c r="V100">
        <v>0</v>
      </c>
      <c r="W100">
        <v>55295.585392034671</v>
      </c>
      <c r="X100">
        <v>55295.585392034671</v>
      </c>
      <c r="Y100">
        <v>0</v>
      </c>
      <c r="Z100">
        <v>1</v>
      </c>
    </row>
    <row r="101" spans="1:26" x14ac:dyDescent="0.25">
      <c r="A101" t="s">
        <v>27</v>
      </c>
      <c r="B101" t="s">
        <v>11</v>
      </c>
      <c r="C101" t="s">
        <v>86</v>
      </c>
      <c r="D101">
        <v>1</v>
      </c>
      <c r="E101">
        <v>2050</v>
      </c>
      <c r="F101" t="s">
        <v>28</v>
      </c>
      <c r="G101">
        <v>498129173.15808135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498129173.15808135</v>
      </c>
      <c r="N101">
        <v>0</v>
      </c>
      <c r="O101">
        <v>0</v>
      </c>
      <c r="P101">
        <v>0</v>
      </c>
      <c r="Q101">
        <v>498129173.15808135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</row>
    <row r="102" spans="1:26" x14ac:dyDescent="0.25">
      <c r="A102" t="s">
        <v>27</v>
      </c>
      <c r="B102" t="s">
        <v>68</v>
      </c>
      <c r="C102" t="s">
        <v>86</v>
      </c>
      <c r="D102">
        <v>0</v>
      </c>
      <c r="E102">
        <v>2050</v>
      </c>
      <c r="F102" t="s">
        <v>28</v>
      </c>
      <c r="G102">
        <v>19825065.796666823</v>
      </c>
      <c r="H102">
        <v>0</v>
      </c>
      <c r="I102">
        <v>0</v>
      </c>
      <c r="J102">
        <v>0</v>
      </c>
      <c r="K102">
        <v>0</v>
      </c>
      <c r="L102">
        <v>17222483.674164686</v>
      </c>
      <c r="M102">
        <v>0</v>
      </c>
      <c r="N102">
        <v>0</v>
      </c>
      <c r="O102">
        <v>2602582.122502137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</row>
    <row r="103" spans="1:26" x14ac:dyDescent="0.25">
      <c r="A103" t="s">
        <v>27</v>
      </c>
      <c r="B103" t="s">
        <v>51</v>
      </c>
      <c r="C103" t="s">
        <v>73</v>
      </c>
      <c r="D103">
        <v>1</v>
      </c>
      <c r="E103">
        <v>2050</v>
      </c>
      <c r="F103" t="s">
        <v>28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</row>
    <row r="104" spans="1:26" x14ac:dyDescent="0.25">
      <c r="A104" t="s">
        <v>27</v>
      </c>
      <c r="B104" t="s">
        <v>50</v>
      </c>
      <c r="C104" t="s">
        <v>74</v>
      </c>
      <c r="D104">
        <v>1</v>
      </c>
      <c r="E104">
        <v>2050</v>
      </c>
      <c r="F104" t="s">
        <v>28</v>
      </c>
      <c r="G104">
        <v>2777977.7276885756</v>
      </c>
      <c r="H104">
        <v>0</v>
      </c>
      <c r="I104">
        <v>0</v>
      </c>
      <c r="J104">
        <v>0</v>
      </c>
      <c r="K104">
        <v>1388988.8638442878</v>
      </c>
      <c r="L104">
        <v>525831.49845533748</v>
      </c>
      <c r="M104">
        <v>0</v>
      </c>
      <c r="N104">
        <v>0</v>
      </c>
      <c r="O104">
        <v>863157.36538895033</v>
      </c>
      <c r="P104">
        <v>863157.36538895033</v>
      </c>
      <c r="Q104">
        <v>1388988.8638442878</v>
      </c>
      <c r="R104">
        <v>1.859240965047799</v>
      </c>
      <c r="S104">
        <v>4.8511229777683953</v>
      </c>
      <c r="T104">
        <v>2.9918820127205961</v>
      </c>
      <c r="U104">
        <v>1.8592409650477992</v>
      </c>
      <c r="V104">
        <v>258947.20961668508</v>
      </c>
      <c r="W104">
        <v>675643.8687699713</v>
      </c>
      <c r="X104">
        <v>416696.65915328631</v>
      </c>
      <c r="Y104">
        <v>258947.209616685</v>
      </c>
      <c r="Z104">
        <v>0</v>
      </c>
    </row>
    <row r="105" spans="1:26" x14ac:dyDescent="0.25">
      <c r="A105" t="s">
        <v>27</v>
      </c>
      <c r="B105" t="s">
        <v>60</v>
      </c>
      <c r="C105" t="s">
        <v>86</v>
      </c>
      <c r="D105">
        <v>0</v>
      </c>
      <c r="E105">
        <v>2050</v>
      </c>
      <c r="F105" t="s">
        <v>28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</row>
    <row r="106" spans="1:26" x14ac:dyDescent="0.25">
      <c r="A106" t="s">
        <v>27</v>
      </c>
      <c r="B106" t="s">
        <v>46</v>
      </c>
      <c r="C106" t="s">
        <v>74</v>
      </c>
      <c r="D106">
        <v>1</v>
      </c>
      <c r="E106">
        <v>2050</v>
      </c>
      <c r="F106" t="s">
        <v>28</v>
      </c>
      <c r="G106">
        <v>8615.5317224824212</v>
      </c>
      <c r="H106">
        <v>0</v>
      </c>
      <c r="I106">
        <v>0</v>
      </c>
      <c r="J106">
        <v>0</v>
      </c>
      <c r="K106">
        <v>4307.7658612412106</v>
      </c>
      <c r="L106">
        <v>3261.5941520826309</v>
      </c>
      <c r="M106">
        <v>0</v>
      </c>
      <c r="N106">
        <v>0</v>
      </c>
      <c r="O106">
        <v>1046.1717091585797</v>
      </c>
      <c r="P106">
        <v>1046.1717091585797</v>
      </c>
      <c r="Q106">
        <v>4307.7658612412106</v>
      </c>
      <c r="R106">
        <v>4.9200409310018846E-4</v>
      </c>
      <c r="S106">
        <v>2.5179032999833174E-3</v>
      </c>
      <c r="T106">
        <v>2.025899206883129E-3</v>
      </c>
      <c r="U106">
        <v>4.9200409310018846E-4</v>
      </c>
      <c r="V106">
        <v>65.908817676990523</v>
      </c>
      <c r="W106">
        <v>337.2980669351868</v>
      </c>
      <c r="X106">
        <v>271.38924925819629</v>
      </c>
      <c r="Y106">
        <v>65.908817676990509</v>
      </c>
      <c r="Z106">
        <v>0</v>
      </c>
    </row>
    <row r="107" spans="1:26" x14ac:dyDescent="0.25">
      <c r="A107" t="s">
        <v>27</v>
      </c>
      <c r="B107" t="s">
        <v>39</v>
      </c>
      <c r="C107" t="s">
        <v>86</v>
      </c>
      <c r="D107">
        <v>0</v>
      </c>
      <c r="E107">
        <v>2050</v>
      </c>
      <c r="F107" t="s">
        <v>28</v>
      </c>
      <c r="G107">
        <v>173658.75124992887</v>
      </c>
      <c r="H107">
        <v>0</v>
      </c>
      <c r="I107">
        <v>0</v>
      </c>
      <c r="J107">
        <v>36670.799626981883</v>
      </c>
      <c r="K107">
        <v>0</v>
      </c>
      <c r="L107">
        <v>0</v>
      </c>
      <c r="M107">
        <v>0</v>
      </c>
      <c r="N107">
        <v>0</v>
      </c>
      <c r="O107">
        <v>136987.951622947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</row>
    <row r="108" spans="1:26" x14ac:dyDescent="0.25">
      <c r="A108" t="s">
        <v>27</v>
      </c>
      <c r="B108" t="s">
        <v>75</v>
      </c>
      <c r="C108" t="s">
        <v>86</v>
      </c>
      <c r="D108">
        <v>0</v>
      </c>
      <c r="E108">
        <v>2050</v>
      </c>
      <c r="F108" t="s">
        <v>28</v>
      </c>
      <c r="G108">
        <v>893493.81900150096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893493.81900150096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</row>
    <row r="109" spans="1:26" x14ac:dyDescent="0.25">
      <c r="A109" t="s">
        <v>27</v>
      </c>
      <c r="B109" t="s">
        <v>41</v>
      </c>
      <c r="C109" t="s">
        <v>86</v>
      </c>
      <c r="D109">
        <v>0</v>
      </c>
      <c r="E109">
        <v>2050</v>
      </c>
      <c r="F109" t="s">
        <v>28</v>
      </c>
      <c r="G109">
        <v>26150.496751056631</v>
      </c>
      <c r="H109">
        <v>0</v>
      </c>
      <c r="I109">
        <v>0</v>
      </c>
      <c r="J109">
        <v>267978.92035102146</v>
      </c>
      <c r="K109">
        <v>0</v>
      </c>
      <c r="L109">
        <v>0</v>
      </c>
      <c r="M109">
        <v>0</v>
      </c>
      <c r="N109">
        <v>0</v>
      </c>
      <c r="O109">
        <v>-241828.42359996482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1</v>
      </c>
    </row>
    <row r="110" spans="1:26" x14ac:dyDescent="0.25">
      <c r="A110" t="s">
        <v>27</v>
      </c>
      <c r="B110" t="s">
        <v>57</v>
      </c>
      <c r="C110" t="s">
        <v>57</v>
      </c>
      <c r="D110">
        <v>1</v>
      </c>
      <c r="E110">
        <v>2050</v>
      </c>
      <c r="F110" t="s">
        <v>28</v>
      </c>
      <c r="G110">
        <v>0</v>
      </c>
      <c r="H110">
        <v>0</v>
      </c>
      <c r="I110">
        <v>0</v>
      </c>
      <c r="J110">
        <v>0</v>
      </c>
      <c r="K110">
        <v>114193.60000000001</v>
      </c>
      <c r="L110">
        <v>0</v>
      </c>
      <c r="M110">
        <v>0</v>
      </c>
      <c r="N110">
        <v>0</v>
      </c>
      <c r="O110">
        <v>-114193.60000000001</v>
      </c>
      <c r="P110">
        <v>0</v>
      </c>
      <c r="Q110">
        <v>114193.60000000001</v>
      </c>
      <c r="R110">
        <v>0</v>
      </c>
      <c r="S110">
        <v>1.7355855896064003</v>
      </c>
      <c r="T110">
        <v>1.7355855896064003</v>
      </c>
      <c r="U110">
        <v>0</v>
      </c>
      <c r="V110">
        <v>0</v>
      </c>
      <c r="W110">
        <v>102774.24</v>
      </c>
      <c r="X110">
        <v>102774.24</v>
      </c>
      <c r="Y110">
        <v>0</v>
      </c>
      <c r="Z110">
        <v>1</v>
      </c>
    </row>
    <row r="111" spans="1:26" x14ac:dyDescent="0.25">
      <c r="A111" t="s">
        <v>27</v>
      </c>
      <c r="B111" t="s">
        <v>53</v>
      </c>
      <c r="C111" t="s">
        <v>76</v>
      </c>
      <c r="D111">
        <v>1</v>
      </c>
      <c r="E111">
        <v>2050</v>
      </c>
      <c r="F111" t="s">
        <v>28</v>
      </c>
      <c r="G111">
        <v>16099999.551723864</v>
      </c>
      <c r="H111">
        <v>12237689.909258299</v>
      </c>
      <c r="I111">
        <v>0</v>
      </c>
      <c r="J111">
        <v>0</v>
      </c>
      <c r="K111">
        <v>75527.053678542041</v>
      </c>
      <c r="L111">
        <v>0</v>
      </c>
      <c r="M111">
        <v>0</v>
      </c>
      <c r="N111">
        <v>0</v>
      </c>
      <c r="O111">
        <v>3786782.588787023</v>
      </c>
      <c r="P111">
        <v>3786782.588787023</v>
      </c>
      <c r="Q111">
        <v>75527.053678542041</v>
      </c>
      <c r="R111">
        <v>6.9672066155445247</v>
      </c>
      <c r="S111">
        <v>7.1061669534313321</v>
      </c>
      <c r="T111">
        <v>0.13896033788680753</v>
      </c>
      <c r="U111">
        <v>6.9672066155445247</v>
      </c>
      <c r="V111">
        <v>1060299.1248603666</v>
      </c>
      <c r="W111">
        <v>1081446.6998903584</v>
      </c>
      <c r="X111">
        <v>21147.575029991774</v>
      </c>
      <c r="Y111">
        <v>1060299.1248603666</v>
      </c>
      <c r="Z111">
        <v>0</v>
      </c>
    </row>
    <row r="112" spans="1:26" x14ac:dyDescent="0.25">
      <c r="A112" t="s">
        <v>27</v>
      </c>
      <c r="B112" t="s">
        <v>61</v>
      </c>
      <c r="C112" t="s">
        <v>86</v>
      </c>
      <c r="D112">
        <v>0</v>
      </c>
      <c r="E112">
        <v>2050</v>
      </c>
      <c r="F112" t="s">
        <v>28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</row>
    <row r="113" spans="1:26" x14ac:dyDescent="0.25">
      <c r="A113" t="s">
        <v>27</v>
      </c>
      <c r="B113" t="s">
        <v>30</v>
      </c>
      <c r="C113" t="s">
        <v>86</v>
      </c>
      <c r="D113">
        <v>0</v>
      </c>
      <c r="E113">
        <v>2050</v>
      </c>
      <c r="F113" t="s">
        <v>28</v>
      </c>
      <c r="G113">
        <v>185255.23058853028</v>
      </c>
      <c r="H113">
        <v>0</v>
      </c>
      <c r="I113">
        <v>0</v>
      </c>
      <c r="J113">
        <v>280672.65868343826</v>
      </c>
      <c r="K113">
        <v>0</v>
      </c>
      <c r="L113">
        <v>0</v>
      </c>
      <c r="M113">
        <v>0</v>
      </c>
      <c r="N113">
        <v>0</v>
      </c>
      <c r="O113">
        <v>-95417.428094907984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1</v>
      </c>
    </row>
    <row r="114" spans="1:26" x14ac:dyDescent="0.25">
      <c r="A114" t="s">
        <v>27</v>
      </c>
      <c r="B114" t="s">
        <v>52</v>
      </c>
      <c r="C114" t="s">
        <v>77</v>
      </c>
      <c r="D114">
        <v>1</v>
      </c>
      <c r="E114">
        <v>2050</v>
      </c>
      <c r="F114" t="s">
        <v>28</v>
      </c>
      <c r="G114">
        <v>2554079.4309541653</v>
      </c>
      <c r="H114">
        <v>773085.89354292606</v>
      </c>
      <c r="I114">
        <v>724013.50560011622</v>
      </c>
      <c r="J114">
        <v>0</v>
      </c>
      <c r="K114">
        <v>52543.907435919093</v>
      </c>
      <c r="L114">
        <v>0</v>
      </c>
      <c r="M114">
        <v>1004436.1243752033</v>
      </c>
      <c r="N114">
        <v>0</v>
      </c>
      <c r="O114">
        <v>0</v>
      </c>
      <c r="P114">
        <v>0</v>
      </c>
      <c r="Q114">
        <v>1056980.0318111223</v>
      </c>
      <c r="R114">
        <v>0</v>
      </c>
      <c r="S114">
        <v>10.684601261650869</v>
      </c>
      <c r="T114">
        <v>0.30294400007808897</v>
      </c>
      <c r="U114">
        <v>10.38165726157278</v>
      </c>
      <c r="V114">
        <v>0</v>
      </c>
      <c r="W114">
        <v>898433.02703945397</v>
      </c>
      <c r="X114">
        <v>44662.321320531228</v>
      </c>
      <c r="Y114">
        <v>853770.70571892278</v>
      </c>
      <c r="Z114">
        <v>0</v>
      </c>
    </row>
    <row r="115" spans="1:26" x14ac:dyDescent="0.25">
      <c r="A115" t="s">
        <v>27</v>
      </c>
      <c r="B115" t="s">
        <v>56</v>
      </c>
      <c r="C115" t="s">
        <v>73</v>
      </c>
      <c r="D115">
        <v>1</v>
      </c>
      <c r="E115">
        <v>2050</v>
      </c>
      <c r="F115" t="s">
        <v>28</v>
      </c>
      <c r="G115">
        <v>524881.97503939818</v>
      </c>
      <c r="H115">
        <v>0</v>
      </c>
      <c r="I115">
        <v>0</v>
      </c>
      <c r="J115">
        <v>0</v>
      </c>
      <c r="K115">
        <v>41.656918132692169</v>
      </c>
      <c r="L115">
        <v>0</v>
      </c>
      <c r="M115">
        <v>524840.3181212655</v>
      </c>
      <c r="N115">
        <v>0</v>
      </c>
      <c r="O115">
        <v>0</v>
      </c>
      <c r="P115">
        <v>0</v>
      </c>
      <c r="Q115">
        <v>524881.97503939818</v>
      </c>
      <c r="R115">
        <v>0</v>
      </c>
      <c r="S115">
        <v>9.3696358336044021</v>
      </c>
      <c r="T115">
        <v>7.0736362973580603E-5</v>
      </c>
      <c r="U115">
        <v>9.3695650972414288</v>
      </c>
      <c r="V115">
        <v>0</v>
      </c>
      <c r="W115">
        <v>157464.59251181944</v>
      </c>
      <c r="X115">
        <v>12.49707543980765</v>
      </c>
      <c r="Y115">
        <v>157452.09543637963</v>
      </c>
      <c r="Z115">
        <v>0</v>
      </c>
    </row>
    <row r="116" spans="1:26" x14ac:dyDescent="0.25">
      <c r="A116" t="s">
        <v>27</v>
      </c>
      <c r="B116" t="s">
        <v>63</v>
      </c>
      <c r="C116" t="s">
        <v>86</v>
      </c>
      <c r="D116">
        <v>0</v>
      </c>
      <c r="E116">
        <v>2050</v>
      </c>
      <c r="F116" t="s">
        <v>28</v>
      </c>
      <c r="G116">
        <v>0</v>
      </c>
      <c r="H116">
        <v>4828427.5390456226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-4828427.5390456226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1</v>
      </c>
    </row>
    <row r="117" spans="1:26" x14ac:dyDescent="0.25">
      <c r="A117" t="s">
        <v>27</v>
      </c>
      <c r="B117" t="s">
        <v>49</v>
      </c>
      <c r="C117" t="s">
        <v>73</v>
      </c>
      <c r="D117">
        <v>1</v>
      </c>
      <c r="E117">
        <v>2050</v>
      </c>
      <c r="F117" t="s">
        <v>28</v>
      </c>
      <c r="G117">
        <v>519697.07047323068</v>
      </c>
      <c r="H117">
        <v>0</v>
      </c>
      <c r="I117">
        <v>0</v>
      </c>
      <c r="J117">
        <v>0</v>
      </c>
      <c r="K117">
        <v>519697.15308066551</v>
      </c>
      <c r="L117">
        <v>0</v>
      </c>
      <c r="M117">
        <v>0</v>
      </c>
      <c r="N117">
        <v>0</v>
      </c>
      <c r="O117">
        <v>-8.2607434829697013E-2</v>
      </c>
      <c r="P117">
        <v>0</v>
      </c>
      <c r="Q117">
        <v>519697.15308066551</v>
      </c>
      <c r="R117">
        <v>0</v>
      </c>
      <c r="S117">
        <v>1.9141280261891607</v>
      </c>
      <c r="T117">
        <v>1.9141280261891607</v>
      </c>
      <c r="U117">
        <v>0</v>
      </c>
      <c r="V117">
        <v>0</v>
      </c>
      <c r="W117">
        <v>218272.80429387951</v>
      </c>
      <c r="X117">
        <v>218272.80429387951</v>
      </c>
      <c r="Y117">
        <v>0</v>
      </c>
      <c r="Z117">
        <v>1</v>
      </c>
    </row>
    <row r="118" spans="1:26" x14ac:dyDescent="0.25">
      <c r="A118" t="s">
        <v>27</v>
      </c>
      <c r="B118" t="s">
        <v>78</v>
      </c>
      <c r="C118" t="s">
        <v>86</v>
      </c>
      <c r="D118">
        <v>0</v>
      </c>
      <c r="E118">
        <v>2050</v>
      </c>
      <c r="F118" t="s">
        <v>28</v>
      </c>
      <c r="G118">
        <v>772432.08575229661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772432.08575229661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</row>
    <row r="119" spans="1:26" x14ac:dyDescent="0.25">
      <c r="A119" t="s">
        <v>27</v>
      </c>
      <c r="B119" t="s">
        <v>31</v>
      </c>
      <c r="C119" t="s">
        <v>86</v>
      </c>
      <c r="D119">
        <v>0</v>
      </c>
      <c r="E119">
        <v>2050</v>
      </c>
      <c r="F119" t="s">
        <v>28</v>
      </c>
      <c r="G119">
        <v>2162497.7416876755</v>
      </c>
      <c r="H119">
        <v>0</v>
      </c>
      <c r="I119">
        <v>0</v>
      </c>
      <c r="J119">
        <v>128347.79869443661</v>
      </c>
      <c r="K119">
        <v>0</v>
      </c>
      <c r="L119">
        <v>0</v>
      </c>
      <c r="M119">
        <v>0</v>
      </c>
      <c r="N119">
        <v>0</v>
      </c>
      <c r="O119">
        <v>2034149.9429932388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</row>
    <row r="120" spans="1:26" x14ac:dyDescent="0.25">
      <c r="A120" t="s">
        <v>27</v>
      </c>
      <c r="B120" t="s">
        <v>29</v>
      </c>
      <c r="C120" t="s">
        <v>77</v>
      </c>
      <c r="D120">
        <v>1</v>
      </c>
      <c r="E120">
        <v>2050</v>
      </c>
      <c r="F120" t="s">
        <v>28</v>
      </c>
      <c r="G120">
        <v>6945589.6789912721</v>
      </c>
      <c r="H120">
        <v>5879215.2019956233</v>
      </c>
      <c r="I120">
        <v>0</v>
      </c>
      <c r="J120">
        <v>307470.55071854044</v>
      </c>
      <c r="K120">
        <v>2825.7560217041437</v>
      </c>
      <c r="L120">
        <v>0</v>
      </c>
      <c r="M120">
        <v>0</v>
      </c>
      <c r="N120">
        <v>0</v>
      </c>
      <c r="O120">
        <v>756078.17025540397</v>
      </c>
      <c r="P120">
        <v>756078.17025540397</v>
      </c>
      <c r="Q120">
        <v>2825.7560217041437</v>
      </c>
      <c r="R120">
        <v>2.5894618821809234</v>
      </c>
      <c r="S120">
        <v>2.5991397009494173</v>
      </c>
      <c r="T120">
        <v>9.6778187684936554E-3</v>
      </c>
      <c r="U120">
        <v>2.5894618821809234</v>
      </c>
      <c r="V120">
        <v>234384.23277917522</v>
      </c>
      <c r="W120">
        <v>235260.21714590353</v>
      </c>
      <c r="X120">
        <v>875.9843667282845</v>
      </c>
      <c r="Y120">
        <v>234384.23277917525</v>
      </c>
      <c r="Z120">
        <v>0</v>
      </c>
    </row>
    <row r="121" spans="1:26" x14ac:dyDescent="0.25">
      <c r="A121" t="s">
        <v>27</v>
      </c>
      <c r="B121" t="s">
        <v>69</v>
      </c>
      <c r="C121" t="s">
        <v>86</v>
      </c>
      <c r="D121">
        <v>0</v>
      </c>
      <c r="E121">
        <v>2050</v>
      </c>
      <c r="F121" t="s">
        <v>28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597110.0145929947</v>
      </c>
      <c r="M121">
        <v>0</v>
      </c>
      <c r="N121">
        <v>0</v>
      </c>
      <c r="O121">
        <v>-597110.0145929947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1</v>
      </c>
    </row>
    <row r="122" spans="1:26" x14ac:dyDescent="0.25">
      <c r="A122" t="s">
        <v>27</v>
      </c>
      <c r="B122" t="s">
        <v>45</v>
      </c>
      <c r="C122" t="s">
        <v>74</v>
      </c>
      <c r="D122">
        <v>1</v>
      </c>
      <c r="E122">
        <v>2050</v>
      </c>
      <c r="F122" t="s">
        <v>28</v>
      </c>
      <c r="G122">
        <v>12735406.502549823</v>
      </c>
      <c r="H122">
        <v>0</v>
      </c>
      <c r="I122">
        <v>0</v>
      </c>
      <c r="J122">
        <v>0</v>
      </c>
      <c r="K122">
        <v>9678908.9419378657</v>
      </c>
      <c r="L122">
        <v>2024929.6339054219</v>
      </c>
      <c r="M122">
        <v>0</v>
      </c>
      <c r="N122">
        <v>0</v>
      </c>
      <c r="O122">
        <v>1031567.9267065357</v>
      </c>
      <c r="P122">
        <v>1031567.9267065357</v>
      </c>
      <c r="Q122">
        <v>9678908.9419378657</v>
      </c>
      <c r="R122">
        <v>0.52216936881958143</v>
      </c>
      <c r="S122">
        <v>5.4215362861391103</v>
      </c>
      <c r="T122">
        <v>4.8993669173195284</v>
      </c>
      <c r="U122">
        <v>0.52216936881958187</v>
      </c>
      <c r="V122">
        <v>78399.16242969672</v>
      </c>
      <c r="W122">
        <v>813996.24201697449</v>
      </c>
      <c r="X122">
        <v>735597.07958727772</v>
      </c>
      <c r="Y122">
        <v>78399.162429696764</v>
      </c>
      <c r="Z122">
        <v>0</v>
      </c>
    </row>
    <row r="123" spans="1:26" x14ac:dyDescent="0.25">
      <c r="A123" t="s">
        <v>27</v>
      </c>
      <c r="B123" t="s">
        <v>59</v>
      </c>
      <c r="C123" t="s">
        <v>86</v>
      </c>
      <c r="D123">
        <v>0</v>
      </c>
      <c r="E123">
        <v>2050</v>
      </c>
      <c r="F123" t="s">
        <v>28</v>
      </c>
      <c r="G123">
        <v>1590883.4700780637</v>
      </c>
      <c r="H123">
        <v>1515714.1736670113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75169.296411052346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</row>
    <row r="124" spans="1:26" x14ac:dyDescent="0.25">
      <c r="A124" t="s">
        <v>27</v>
      </c>
      <c r="B124" t="s">
        <v>54</v>
      </c>
      <c r="C124" t="s">
        <v>76</v>
      </c>
      <c r="D124">
        <v>1</v>
      </c>
      <c r="E124">
        <v>2050</v>
      </c>
      <c r="F124" t="s">
        <v>28</v>
      </c>
      <c r="G124">
        <v>7786550.4071108392</v>
      </c>
      <c r="H124">
        <v>5657053.7864699624</v>
      </c>
      <c r="I124">
        <v>0</v>
      </c>
      <c r="J124">
        <v>0</v>
      </c>
      <c r="K124">
        <v>314525.12457946909</v>
      </c>
      <c r="L124">
        <v>0</v>
      </c>
      <c r="M124">
        <v>0</v>
      </c>
      <c r="N124">
        <v>0</v>
      </c>
      <c r="O124">
        <v>1814971.496061408</v>
      </c>
      <c r="P124">
        <v>1488865.2333387681</v>
      </c>
      <c r="Q124">
        <v>314525.12457946909</v>
      </c>
      <c r="R124">
        <v>5.3450261876861784</v>
      </c>
      <c r="S124">
        <v>6.474171384926473</v>
      </c>
      <c r="T124">
        <v>1.1291451972402942</v>
      </c>
      <c r="U124">
        <v>5.3450261876861784</v>
      </c>
      <c r="V124">
        <v>446659.5700016304</v>
      </c>
      <c r="W124">
        <v>541017.10737547115</v>
      </c>
      <c r="X124">
        <v>94357.537373840722</v>
      </c>
      <c r="Y124">
        <v>446659.57000163046</v>
      </c>
      <c r="Z124">
        <v>0</v>
      </c>
    </row>
    <row r="125" spans="1:26" x14ac:dyDescent="0.25">
      <c r="A125" t="s">
        <v>27</v>
      </c>
      <c r="B125" t="s">
        <v>38</v>
      </c>
      <c r="C125" t="s">
        <v>86</v>
      </c>
      <c r="D125">
        <v>0</v>
      </c>
      <c r="E125">
        <v>2050</v>
      </c>
      <c r="F125" t="s">
        <v>28</v>
      </c>
      <c r="G125">
        <v>3069579.4456842686</v>
      </c>
      <c r="H125">
        <v>0</v>
      </c>
      <c r="I125">
        <v>0</v>
      </c>
      <c r="J125">
        <v>490824.54885344987</v>
      </c>
      <c r="K125">
        <v>0</v>
      </c>
      <c r="L125">
        <v>0</v>
      </c>
      <c r="M125">
        <v>0</v>
      </c>
      <c r="N125">
        <v>0</v>
      </c>
      <c r="O125">
        <v>2578754.8968308186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</row>
    <row r="126" spans="1:26" x14ac:dyDescent="0.25">
      <c r="A126" t="s">
        <v>27</v>
      </c>
      <c r="B126" t="s">
        <v>35</v>
      </c>
      <c r="C126" t="s">
        <v>79</v>
      </c>
      <c r="D126">
        <v>1</v>
      </c>
      <c r="E126">
        <v>2050</v>
      </c>
      <c r="F126" t="s">
        <v>28</v>
      </c>
      <c r="G126">
        <v>194761.7983669767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194761.7983669767</v>
      </c>
      <c r="P126">
        <v>194761.7983669767</v>
      </c>
      <c r="Q126">
        <v>0</v>
      </c>
      <c r="R126">
        <v>0.17479871403436159</v>
      </c>
      <c r="S126">
        <v>0.17479871403436159</v>
      </c>
      <c r="T126">
        <v>0</v>
      </c>
      <c r="U126">
        <v>0.17479871403436159</v>
      </c>
      <c r="V126">
        <v>29214.269755046505</v>
      </c>
      <c r="W126">
        <v>29214.269755046505</v>
      </c>
      <c r="X126">
        <v>0</v>
      </c>
      <c r="Y126">
        <v>29214.269755046505</v>
      </c>
      <c r="Z126">
        <v>0</v>
      </c>
    </row>
    <row r="127" spans="1:26" x14ac:dyDescent="0.25">
      <c r="A127" t="s">
        <v>27</v>
      </c>
      <c r="B127" t="s">
        <v>33</v>
      </c>
      <c r="C127" t="s">
        <v>86</v>
      </c>
      <c r="D127">
        <v>0</v>
      </c>
      <c r="E127">
        <v>2050</v>
      </c>
      <c r="F127" t="s">
        <v>28</v>
      </c>
      <c r="G127">
        <v>102788.11573768182</v>
      </c>
      <c r="H127">
        <v>0</v>
      </c>
      <c r="I127">
        <v>0</v>
      </c>
      <c r="J127">
        <v>62368.567673274578</v>
      </c>
      <c r="K127">
        <v>0</v>
      </c>
      <c r="L127">
        <v>0</v>
      </c>
      <c r="M127">
        <v>0</v>
      </c>
      <c r="N127">
        <v>0</v>
      </c>
      <c r="O127">
        <v>40419.548064407238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1</v>
      </c>
    </row>
    <row r="128" spans="1:26" x14ac:dyDescent="0.25">
      <c r="A128" t="s">
        <v>27</v>
      </c>
      <c r="B128" t="s">
        <v>80</v>
      </c>
      <c r="C128" t="s">
        <v>86</v>
      </c>
      <c r="D128">
        <v>0</v>
      </c>
      <c r="E128">
        <v>2050</v>
      </c>
      <c r="F128" t="s">
        <v>28</v>
      </c>
      <c r="G128">
        <v>1623142.2943438755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1623142.2943438755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</row>
    <row r="129" spans="1:26" x14ac:dyDescent="0.25">
      <c r="A129" t="s">
        <v>27</v>
      </c>
      <c r="B129" t="s">
        <v>65</v>
      </c>
      <c r="C129" t="s">
        <v>81</v>
      </c>
      <c r="D129">
        <v>1</v>
      </c>
      <c r="E129">
        <v>2050</v>
      </c>
      <c r="F129" t="s">
        <v>28</v>
      </c>
      <c r="G129">
        <v>171775.11908496951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171775.11908496951</v>
      </c>
      <c r="N129">
        <v>0</v>
      </c>
      <c r="O129">
        <v>0</v>
      </c>
      <c r="P129">
        <v>0</v>
      </c>
      <c r="Q129">
        <v>171775.11908496951</v>
      </c>
      <c r="R129">
        <v>0</v>
      </c>
      <c r="S129">
        <v>3.1606621911634383</v>
      </c>
      <c r="T129">
        <v>0</v>
      </c>
      <c r="U129">
        <v>3.1606621911634383</v>
      </c>
      <c r="V129">
        <v>0</v>
      </c>
      <c r="W129">
        <v>71286.674420262352</v>
      </c>
      <c r="X129">
        <v>0</v>
      </c>
      <c r="Y129">
        <v>71286.674420262352</v>
      </c>
      <c r="Z129">
        <v>0</v>
      </c>
    </row>
    <row r="130" spans="1:26" x14ac:dyDescent="0.25">
      <c r="A130" t="s">
        <v>27</v>
      </c>
      <c r="B130" t="s">
        <v>140</v>
      </c>
      <c r="C130" t="s">
        <v>142</v>
      </c>
      <c r="D130">
        <v>1</v>
      </c>
      <c r="E130">
        <v>2050</v>
      </c>
      <c r="F130" t="s">
        <v>28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</row>
    <row r="131" spans="1:26" x14ac:dyDescent="0.25">
      <c r="A131" t="s">
        <v>27</v>
      </c>
      <c r="B131" t="s">
        <v>141</v>
      </c>
      <c r="C131" t="s">
        <v>142</v>
      </c>
      <c r="D131">
        <v>1</v>
      </c>
      <c r="E131">
        <v>2050</v>
      </c>
      <c r="F131" t="s">
        <v>28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</row>
    <row r="132" spans="1:26" x14ac:dyDescent="0.25">
      <c r="A132" t="s">
        <v>27</v>
      </c>
      <c r="B132" t="s">
        <v>82</v>
      </c>
      <c r="C132" t="s">
        <v>86</v>
      </c>
      <c r="D132">
        <v>0</v>
      </c>
      <c r="E132">
        <v>2050</v>
      </c>
      <c r="F132" t="s">
        <v>28</v>
      </c>
      <c r="G132">
        <v>4779961.9648844432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4779961.9648844432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</row>
    <row r="133" spans="1:26" x14ac:dyDescent="0.25">
      <c r="A133" t="s">
        <v>27</v>
      </c>
      <c r="B133" t="s">
        <v>72</v>
      </c>
      <c r="C133" t="s">
        <v>86</v>
      </c>
      <c r="D133">
        <v>0</v>
      </c>
      <c r="E133">
        <v>2050</v>
      </c>
      <c r="F133" t="s">
        <v>28</v>
      </c>
      <c r="G133">
        <v>489039.95714195294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489039.95714195294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</row>
    <row r="134" spans="1:26" x14ac:dyDescent="0.25">
      <c r="A134" t="s">
        <v>27</v>
      </c>
      <c r="B134" t="s">
        <v>58</v>
      </c>
      <c r="C134" t="s">
        <v>86</v>
      </c>
      <c r="D134">
        <v>0</v>
      </c>
      <c r="E134">
        <v>2050</v>
      </c>
      <c r="F134" t="s">
        <v>28</v>
      </c>
      <c r="G134">
        <v>244519.97857097647</v>
      </c>
      <c r="H134">
        <v>214099.10609126225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30420.87247971422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</row>
    <row r="135" spans="1:26" x14ac:dyDescent="0.25">
      <c r="A135" t="s">
        <v>27</v>
      </c>
      <c r="B135" t="s">
        <v>64</v>
      </c>
      <c r="C135" t="s">
        <v>64</v>
      </c>
      <c r="D135">
        <v>1</v>
      </c>
      <c r="E135">
        <v>2050</v>
      </c>
      <c r="F135" t="s">
        <v>28</v>
      </c>
      <c r="G135">
        <v>156492.78628542495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156492.78628542495</v>
      </c>
      <c r="N135">
        <v>0</v>
      </c>
      <c r="O135">
        <v>0</v>
      </c>
      <c r="P135">
        <v>0</v>
      </c>
      <c r="Q135">
        <v>156492.78628542495</v>
      </c>
      <c r="R135">
        <v>0</v>
      </c>
      <c r="S135">
        <v>5.4772475199898727</v>
      </c>
      <c r="T135">
        <v>0</v>
      </c>
      <c r="U135">
        <v>5.4772475199898727</v>
      </c>
      <c r="V135">
        <v>0</v>
      </c>
      <c r="W135">
        <v>142408.43551973673</v>
      </c>
      <c r="X135">
        <v>0</v>
      </c>
      <c r="Y135">
        <v>142408.43551973673</v>
      </c>
      <c r="Z135">
        <v>0</v>
      </c>
    </row>
    <row r="136" spans="1:26" x14ac:dyDescent="0.25">
      <c r="A136" t="s">
        <v>27</v>
      </c>
      <c r="B136" t="s">
        <v>55</v>
      </c>
      <c r="C136" t="s">
        <v>76</v>
      </c>
      <c r="D136">
        <v>1</v>
      </c>
      <c r="E136">
        <v>2050</v>
      </c>
      <c r="F136" t="s">
        <v>28</v>
      </c>
      <c r="G136">
        <v>380710.74225422333</v>
      </c>
      <c r="H136">
        <v>841167.61765562883</v>
      </c>
      <c r="I136">
        <v>0</v>
      </c>
      <c r="J136">
        <v>0</v>
      </c>
      <c r="K136">
        <v>4034.07077562927</v>
      </c>
      <c r="L136">
        <v>0</v>
      </c>
      <c r="M136">
        <v>0</v>
      </c>
      <c r="N136">
        <v>0</v>
      </c>
      <c r="O136">
        <v>-464490.94617703476</v>
      </c>
      <c r="P136">
        <v>0</v>
      </c>
      <c r="Q136">
        <v>4034.07077562927</v>
      </c>
      <c r="R136">
        <v>0</v>
      </c>
      <c r="S136">
        <v>1.0948629447888865E-2</v>
      </c>
      <c r="T136">
        <v>1.0948629447888865E-2</v>
      </c>
      <c r="U136">
        <v>0</v>
      </c>
      <c r="V136">
        <v>0</v>
      </c>
      <c r="W136">
        <v>806.81415512585409</v>
      </c>
      <c r="X136">
        <v>806.81415512585409</v>
      </c>
      <c r="Y136">
        <v>0</v>
      </c>
      <c r="Z136">
        <v>0</v>
      </c>
    </row>
    <row r="137" spans="1:26" x14ac:dyDescent="0.25">
      <c r="A137" t="s">
        <v>27</v>
      </c>
      <c r="B137" t="s">
        <v>83</v>
      </c>
      <c r="C137" t="s">
        <v>86</v>
      </c>
      <c r="D137">
        <v>0</v>
      </c>
      <c r="E137">
        <v>2050</v>
      </c>
      <c r="F137" t="s">
        <v>28</v>
      </c>
      <c r="G137">
        <v>185567.16171821824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185567.16171821824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</row>
    <row r="138" spans="1:26" x14ac:dyDescent="0.25">
      <c r="A138" t="s">
        <v>27</v>
      </c>
      <c r="B138" t="s">
        <v>62</v>
      </c>
      <c r="C138" t="s">
        <v>86</v>
      </c>
      <c r="D138">
        <v>0</v>
      </c>
      <c r="E138">
        <v>2050</v>
      </c>
      <c r="F138" t="s">
        <v>28</v>
      </c>
      <c r="G138">
        <v>126100.24826746272</v>
      </c>
      <c r="H138">
        <v>39415.735012617326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86684.513254845398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</row>
    <row r="139" spans="1:26" x14ac:dyDescent="0.25">
      <c r="A139" t="s">
        <v>27</v>
      </c>
      <c r="B139" t="s">
        <v>47</v>
      </c>
      <c r="C139" t="s">
        <v>73</v>
      </c>
      <c r="D139">
        <v>1</v>
      </c>
      <c r="E139">
        <v>2050</v>
      </c>
      <c r="F139" t="s">
        <v>28</v>
      </c>
      <c r="G139">
        <v>4121832.5977837904</v>
      </c>
      <c r="H139">
        <v>0</v>
      </c>
      <c r="I139">
        <v>0</v>
      </c>
      <c r="J139">
        <v>0</v>
      </c>
      <c r="K139">
        <v>1563200.2483061554</v>
      </c>
      <c r="L139">
        <v>0</v>
      </c>
      <c r="M139">
        <v>0</v>
      </c>
      <c r="N139">
        <v>0</v>
      </c>
      <c r="O139">
        <v>2558632.3494776348</v>
      </c>
      <c r="P139">
        <v>2558632.3494776348</v>
      </c>
      <c r="Q139">
        <v>1563200.2483061554</v>
      </c>
      <c r="R139">
        <v>1.2767831287128346</v>
      </c>
      <c r="S139">
        <v>2.0568356846200895</v>
      </c>
      <c r="T139">
        <v>0.78005255590725475</v>
      </c>
      <c r="U139">
        <v>1.2767831287128346</v>
      </c>
      <c r="V139">
        <v>153517.94096865808</v>
      </c>
      <c r="W139">
        <v>247309.9558670274</v>
      </c>
      <c r="X139">
        <v>93792.014898369322</v>
      </c>
      <c r="Y139">
        <v>153517.94096865808</v>
      </c>
      <c r="Z139">
        <v>0</v>
      </c>
    </row>
    <row r="140" spans="1:26" x14ac:dyDescent="0.25">
      <c r="A140" t="s">
        <v>27</v>
      </c>
      <c r="B140" t="s">
        <v>44</v>
      </c>
      <c r="C140" t="s">
        <v>74</v>
      </c>
      <c r="D140">
        <v>1</v>
      </c>
      <c r="E140">
        <v>2050</v>
      </c>
      <c r="F140" t="s">
        <v>28</v>
      </c>
      <c r="G140">
        <v>14432291.767579561</v>
      </c>
      <c r="H140">
        <v>0</v>
      </c>
      <c r="I140">
        <v>0</v>
      </c>
      <c r="J140">
        <v>0</v>
      </c>
      <c r="K140">
        <v>7649114.6368171675</v>
      </c>
      <c r="L140">
        <v>6783177.1307623936</v>
      </c>
      <c r="M140">
        <v>0</v>
      </c>
      <c r="N140">
        <v>0</v>
      </c>
      <c r="O140">
        <v>0</v>
      </c>
      <c r="P140">
        <v>0</v>
      </c>
      <c r="Q140">
        <v>7649114.6368171675</v>
      </c>
      <c r="R140">
        <v>0</v>
      </c>
      <c r="S140">
        <v>3.2952385855408362</v>
      </c>
      <c r="T140">
        <v>3.2952385855408362</v>
      </c>
      <c r="U140">
        <v>0</v>
      </c>
      <c r="V140">
        <v>0</v>
      </c>
      <c r="W140">
        <v>382455.73184085841</v>
      </c>
      <c r="X140">
        <v>382455.73184085841</v>
      </c>
      <c r="Y140">
        <v>0</v>
      </c>
      <c r="Z140">
        <v>0</v>
      </c>
    </row>
    <row r="141" spans="1:26" x14ac:dyDescent="0.25">
      <c r="A141" t="s">
        <v>27</v>
      </c>
      <c r="B141" t="s">
        <v>32</v>
      </c>
      <c r="C141" t="s">
        <v>86</v>
      </c>
      <c r="D141">
        <v>0</v>
      </c>
      <c r="E141">
        <v>2050</v>
      </c>
      <c r="F141" t="s">
        <v>28</v>
      </c>
      <c r="G141">
        <v>1340150.8748835563</v>
      </c>
      <c r="H141">
        <v>0</v>
      </c>
      <c r="I141">
        <v>0</v>
      </c>
      <c r="J141">
        <v>126627.09194270898</v>
      </c>
      <c r="K141">
        <v>0</v>
      </c>
      <c r="L141">
        <v>0</v>
      </c>
      <c r="M141">
        <v>0</v>
      </c>
      <c r="N141">
        <v>0</v>
      </c>
      <c r="O141">
        <v>1213523.7829408473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</row>
    <row r="142" spans="1:26" x14ac:dyDescent="0.25">
      <c r="A142" t="s">
        <v>27</v>
      </c>
      <c r="B142" t="s">
        <v>36</v>
      </c>
      <c r="C142" t="s">
        <v>79</v>
      </c>
      <c r="D142">
        <v>1</v>
      </c>
      <c r="E142">
        <v>2050</v>
      </c>
      <c r="F142" t="s">
        <v>28</v>
      </c>
      <c r="G142">
        <v>13500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13500</v>
      </c>
      <c r="P142">
        <v>13500</v>
      </c>
      <c r="Q142">
        <v>0</v>
      </c>
      <c r="R142">
        <v>1.2116250000000002E-2</v>
      </c>
      <c r="S142">
        <v>1.2116250000000002E-2</v>
      </c>
      <c r="T142">
        <v>0</v>
      </c>
      <c r="U142">
        <v>1.2116250000000002E-2</v>
      </c>
      <c r="V142">
        <v>2025</v>
      </c>
      <c r="W142">
        <v>2025</v>
      </c>
      <c r="X142">
        <v>0</v>
      </c>
      <c r="Y142">
        <v>2025</v>
      </c>
      <c r="Z142">
        <v>0</v>
      </c>
    </row>
    <row r="143" spans="1:26" x14ac:dyDescent="0.25">
      <c r="A143" t="s">
        <v>27</v>
      </c>
      <c r="B143" t="s">
        <v>84</v>
      </c>
      <c r="C143" t="s">
        <v>86</v>
      </c>
      <c r="D143">
        <v>1</v>
      </c>
      <c r="E143">
        <v>2050</v>
      </c>
      <c r="F143" t="s">
        <v>28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</row>
    <row r="144" spans="1:26" x14ac:dyDescent="0.25">
      <c r="A144" t="s">
        <v>27</v>
      </c>
      <c r="B144" t="s">
        <v>66</v>
      </c>
      <c r="C144" t="s">
        <v>81</v>
      </c>
      <c r="D144">
        <v>1</v>
      </c>
      <c r="E144">
        <v>2050</v>
      </c>
      <c r="F144" t="s">
        <v>28</v>
      </c>
      <c r="G144">
        <v>2001135.6433479721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2001135.6433479721</v>
      </c>
      <c r="N144">
        <v>0</v>
      </c>
      <c r="O144">
        <v>0</v>
      </c>
      <c r="P144">
        <v>0</v>
      </c>
      <c r="Q144">
        <v>2001135.6433479721</v>
      </c>
      <c r="R144">
        <v>0</v>
      </c>
      <c r="S144">
        <v>29.003597326661179</v>
      </c>
      <c r="T144">
        <v>0</v>
      </c>
      <c r="U144">
        <v>29.003597326661179</v>
      </c>
      <c r="V144">
        <v>0</v>
      </c>
      <c r="W144">
        <v>989728.33693918446</v>
      </c>
      <c r="X144">
        <v>0</v>
      </c>
      <c r="Y144">
        <v>989728.33693918446</v>
      </c>
      <c r="Z144">
        <v>0</v>
      </c>
    </row>
    <row r="145" spans="1:26" x14ac:dyDescent="0.25">
      <c r="A145" t="s">
        <v>27</v>
      </c>
      <c r="B145" t="s">
        <v>85</v>
      </c>
      <c r="C145" t="s">
        <v>86</v>
      </c>
      <c r="D145">
        <v>0</v>
      </c>
      <c r="E145">
        <v>2050</v>
      </c>
      <c r="F145" t="s">
        <v>28</v>
      </c>
      <c r="G145">
        <v>551646.84040095157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551646.84040095157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</row>
    <row r="146" spans="1:26" x14ac:dyDescent="0.25">
      <c r="A146" t="s">
        <v>27</v>
      </c>
      <c r="B146" t="s">
        <v>40</v>
      </c>
      <c r="D146">
        <v>0</v>
      </c>
      <c r="E146">
        <v>2019</v>
      </c>
      <c r="F146" t="s">
        <v>43</v>
      </c>
      <c r="G146">
        <v>18450.007031483605</v>
      </c>
      <c r="H146">
        <v>0</v>
      </c>
      <c r="I146">
        <v>0</v>
      </c>
      <c r="J146">
        <v>26880.542267330831</v>
      </c>
      <c r="K146">
        <v>0</v>
      </c>
      <c r="L146">
        <v>0</v>
      </c>
      <c r="M146">
        <v>0</v>
      </c>
      <c r="N146">
        <v>0</v>
      </c>
      <c r="O146">
        <v>-8430.5352358472264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</row>
    <row r="147" spans="1:26" x14ac:dyDescent="0.25">
      <c r="A147" t="s">
        <v>27</v>
      </c>
      <c r="B147" t="s">
        <v>34</v>
      </c>
      <c r="D147">
        <v>0</v>
      </c>
      <c r="E147">
        <v>2019</v>
      </c>
      <c r="F147" t="s">
        <v>43</v>
      </c>
      <c r="G147">
        <v>27039.772448692573</v>
      </c>
      <c r="H147">
        <v>7916.616753740097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19123.155694952475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</row>
    <row r="148" spans="1:26" x14ac:dyDescent="0.25">
      <c r="A148" t="s">
        <v>27</v>
      </c>
      <c r="B148" t="s">
        <v>48</v>
      </c>
      <c r="C148" t="s">
        <v>73</v>
      </c>
      <c r="D148">
        <v>1</v>
      </c>
      <c r="E148">
        <v>2019</v>
      </c>
      <c r="F148" t="s">
        <v>43</v>
      </c>
      <c r="G148">
        <v>165083.0224523381</v>
      </c>
      <c r="H148">
        <v>0</v>
      </c>
      <c r="I148">
        <v>0</v>
      </c>
      <c r="J148">
        <v>0</v>
      </c>
      <c r="K148">
        <v>335590.35573220561</v>
      </c>
      <c r="L148">
        <v>0</v>
      </c>
      <c r="M148">
        <v>0</v>
      </c>
      <c r="N148">
        <v>0</v>
      </c>
      <c r="O148">
        <v>-170507.33327986751</v>
      </c>
      <c r="P148">
        <v>0</v>
      </c>
      <c r="Q148">
        <v>335590.35573220561</v>
      </c>
      <c r="R148">
        <v>0</v>
      </c>
      <c r="S148">
        <v>1.1433261388476088</v>
      </c>
      <c r="T148">
        <v>1.1433261388476088</v>
      </c>
      <c r="U148">
        <v>0</v>
      </c>
      <c r="V148">
        <v>0</v>
      </c>
      <c r="W148">
        <v>93965.299605017586</v>
      </c>
      <c r="X148">
        <v>93965.299605017586</v>
      </c>
      <c r="Y148">
        <v>0</v>
      </c>
      <c r="Z148">
        <v>1</v>
      </c>
    </row>
    <row r="149" spans="1:26" x14ac:dyDescent="0.25">
      <c r="A149" t="s">
        <v>27</v>
      </c>
      <c r="B149" t="s">
        <v>11</v>
      </c>
      <c r="D149">
        <v>1</v>
      </c>
      <c r="E149">
        <v>2019</v>
      </c>
      <c r="F149" t="s">
        <v>43</v>
      </c>
      <c r="G149">
        <v>110817031.25294524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110817031.25294524</v>
      </c>
      <c r="N149">
        <v>0</v>
      </c>
      <c r="O149">
        <v>0</v>
      </c>
      <c r="P149">
        <v>0</v>
      </c>
      <c r="Q149">
        <v>110817031.25294524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</row>
    <row r="150" spans="1:26" x14ac:dyDescent="0.25">
      <c r="A150" t="s">
        <v>27</v>
      </c>
      <c r="B150" t="s">
        <v>68</v>
      </c>
      <c r="D150">
        <v>0</v>
      </c>
      <c r="E150">
        <v>2019</v>
      </c>
      <c r="F150" t="s">
        <v>43</v>
      </c>
      <c r="G150">
        <v>2462895.6491667829</v>
      </c>
      <c r="H150">
        <v>0</v>
      </c>
      <c r="I150">
        <v>0</v>
      </c>
      <c r="J150">
        <v>0</v>
      </c>
      <c r="K150">
        <v>0</v>
      </c>
      <c r="L150">
        <v>1801732.0926432305</v>
      </c>
      <c r="M150">
        <v>0</v>
      </c>
      <c r="N150">
        <v>0</v>
      </c>
      <c r="O150">
        <v>661163.5565235524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</row>
    <row r="151" spans="1:26" x14ac:dyDescent="0.25">
      <c r="A151" t="s">
        <v>27</v>
      </c>
      <c r="B151" t="s">
        <v>51</v>
      </c>
      <c r="C151" t="s">
        <v>73</v>
      </c>
      <c r="D151">
        <v>1</v>
      </c>
      <c r="E151">
        <v>2019</v>
      </c>
      <c r="F151" t="s">
        <v>43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</row>
    <row r="152" spans="1:26" x14ac:dyDescent="0.25">
      <c r="A152" t="s">
        <v>27</v>
      </c>
      <c r="B152" t="s">
        <v>50</v>
      </c>
      <c r="C152" t="s">
        <v>74</v>
      </c>
      <c r="D152">
        <v>1</v>
      </c>
      <c r="E152">
        <v>2019</v>
      </c>
      <c r="F152" t="s">
        <v>43</v>
      </c>
      <c r="G152">
        <v>332759.92297580565</v>
      </c>
      <c r="H152">
        <v>0</v>
      </c>
      <c r="I152">
        <v>0</v>
      </c>
      <c r="J152">
        <v>0</v>
      </c>
      <c r="K152">
        <v>85892.328449707566</v>
      </c>
      <c r="L152">
        <v>93457.017927737121</v>
      </c>
      <c r="M152">
        <v>0</v>
      </c>
      <c r="N152">
        <v>0</v>
      </c>
      <c r="O152">
        <v>153410.57659836096</v>
      </c>
      <c r="P152">
        <v>153410.57659836096</v>
      </c>
      <c r="Q152">
        <v>85892.328449707566</v>
      </c>
      <c r="R152">
        <v>0.33044638199286952</v>
      </c>
      <c r="S152">
        <v>0.18501207548067011</v>
      </c>
      <c r="T152">
        <v>0.18501207548067011</v>
      </c>
      <c r="U152">
        <v>0</v>
      </c>
      <c r="V152">
        <v>46023.172979508287</v>
      </c>
      <c r="W152">
        <v>25767.69853491227</v>
      </c>
      <c r="X152">
        <v>25767.69853491227</v>
      </c>
      <c r="Y152">
        <v>0</v>
      </c>
      <c r="Z152">
        <v>0</v>
      </c>
    </row>
    <row r="153" spans="1:26" x14ac:dyDescent="0.25">
      <c r="A153" t="s">
        <v>27</v>
      </c>
      <c r="B153" t="s">
        <v>60</v>
      </c>
      <c r="D153">
        <v>0</v>
      </c>
      <c r="E153">
        <v>2019</v>
      </c>
      <c r="F153" t="s">
        <v>43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</row>
    <row r="154" spans="1:26" x14ac:dyDescent="0.25">
      <c r="A154" t="s">
        <v>27</v>
      </c>
      <c r="B154" t="s">
        <v>46</v>
      </c>
      <c r="C154" t="s">
        <v>74</v>
      </c>
      <c r="D154">
        <v>1</v>
      </c>
      <c r="E154">
        <v>2019</v>
      </c>
      <c r="F154" t="s">
        <v>43</v>
      </c>
      <c r="G154">
        <v>675.387643904882</v>
      </c>
      <c r="H154">
        <v>0</v>
      </c>
      <c r="I154">
        <v>0</v>
      </c>
      <c r="J154">
        <v>0</v>
      </c>
      <c r="K154">
        <v>337.693821952441</v>
      </c>
      <c r="L154">
        <v>255.68246519256246</v>
      </c>
      <c r="M154">
        <v>0</v>
      </c>
      <c r="N154">
        <v>0</v>
      </c>
      <c r="O154">
        <v>82.011356759878481</v>
      </c>
      <c r="P154">
        <v>82.011356759878481</v>
      </c>
      <c r="Q154">
        <v>337.693821952441</v>
      </c>
      <c r="R154">
        <v>3.8569120970603255E-5</v>
      </c>
      <c r="S154">
        <v>1.5881402752601349E-4</v>
      </c>
      <c r="T154">
        <v>1.5881402752601349E-4</v>
      </c>
      <c r="U154">
        <v>0</v>
      </c>
      <c r="V154">
        <v>5.1667154758723441</v>
      </c>
      <c r="W154">
        <v>21.274710783003783</v>
      </c>
      <c r="X154">
        <v>21.274710783003783</v>
      </c>
      <c r="Y154">
        <v>0</v>
      </c>
      <c r="Z154">
        <v>0</v>
      </c>
    </row>
    <row r="155" spans="1:26" x14ac:dyDescent="0.25">
      <c r="A155" t="s">
        <v>27</v>
      </c>
      <c r="B155" t="s">
        <v>39</v>
      </c>
      <c r="D155">
        <v>0</v>
      </c>
      <c r="E155">
        <v>2019</v>
      </c>
      <c r="F155" t="s">
        <v>43</v>
      </c>
      <c r="G155">
        <v>15969.006082579654</v>
      </c>
      <c r="H155">
        <v>0</v>
      </c>
      <c r="I155">
        <v>0</v>
      </c>
      <c r="J155">
        <v>29120.587456275069</v>
      </c>
      <c r="K155">
        <v>0</v>
      </c>
      <c r="L155">
        <v>0</v>
      </c>
      <c r="M155">
        <v>0</v>
      </c>
      <c r="N155">
        <v>0</v>
      </c>
      <c r="O155">
        <v>-13151.581373695415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</row>
    <row r="156" spans="1:26" x14ac:dyDescent="0.25">
      <c r="A156" t="s">
        <v>27</v>
      </c>
      <c r="B156" t="s">
        <v>75</v>
      </c>
      <c r="D156">
        <v>0</v>
      </c>
      <c r="E156">
        <v>2019</v>
      </c>
      <c r="F156" t="s">
        <v>43</v>
      </c>
      <c r="G156">
        <v>612515.4514426298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612515.4514426298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</row>
    <row r="157" spans="1:26" x14ac:dyDescent="0.25">
      <c r="A157" t="s">
        <v>27</v>
      </c>
      <c r="B157" t="s">
        <v>41</v>
      </c>
      <c r="D157">
        <v>0</v>
      </c>
      <c r="E157">
        <v>2019</v>
      </c>
      <c r="F157" t="s">
        <v>43</v>
      </c>
      <c r="G157">
        <v>15804.526381892863</v>
      </c>
      <c r="H157">
        <v>0</v>
      </c>
      <c r="I157">
        <v>0</v>
      </c>
      <c r="J157">
        <v>212804.29294970242</v>
      </c>
      <c r="K157">
        <v>0</v>
      </c>
      <c r="L157">
        <v>0</v>
      </c>
      <c r="M157">
        <v>0</v>
      </c>
      <c r="N157">
        <v>0</v>
      </c>
      <c r="O157">
        <v>-196999.76656780957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1</v>
      </c>
    </row>
    <row r="158" spans="1:26" x14ac:dyDescent="0.25">
      <c r="A158" t="s">
        <v>27</v>
      </c>
      <c r="B158" t="s">
        <v>57</v>
      </c>
      <c r="C158" t="s">
        <v>57</v>
      </c>
      <c r="D158">
        <v>1</v>
      </c>
      <c r="E158">
        <v>2019</v>
      </c>
      <c r="F158" t="s">
        <v>43</v>
      </c>
      <c r="G158">
        <v>0</v>
      </c>
      <c r="H158">
        <v>0</v>
      </c>
      <c r="I158">
        <v>0</v>
      </c>
      <c r="J158">
        <v>0</v>
      </c>
      <c r="K158">
        <v>28548.400000000001</v>
      </c>
      <c r="L158">
        <v>0</v>
      </c>
      <c r="M158">
        <v>0</v>
      </c>
      <c r="N158">
        <v>0</v>
      </c>
      <c r="O158">
        <v>-28548.400000000001</v>
      </c>
      <c r="P158">
        <v>0</v>
      </c>
      <c r="Q158">
        <v>28548.400000000001</v>
      </c>
      <c r="R158">
        <v>0</v>
      </c>
      <c r="S158">
        <v>0.43389639740160008</v>
      </c>
      <c r="T158">
        <v>0.43389639740160008</v>
      </c>
      <c r="U158">
        <v>0</v>
      </c>
      <c r="V158">
        <v>0</v>
      </c>
      <c r="W158">
        <v>25693.56</v>
      </c>
      <c r="X158">
        <v>25693.56</v>
      </c>
      <c r="Y158">
        <v>0</v>
      </c>
      <c r="Z158">
        <v>1</v>
      </c>
    </row>
    <row r="159" spans="1:26" x14ac:dyDescent="0.25">
      <c r="A159" t="s">
        <v>27</v>
      </c>
      <c r="B159" t="s">
        <v>53</v>
      </c>
      <c r="C159" t="s">
        <v>76</v>
      </c>
      <c r="D159">
        <v>1</v>
      </c>
      <c r="E159">
        <v>2019</v>
      </c>
      <c r="F159" t="s">
        <v>43</v>
      </c>
      <c r="G159">
        <v>2079827.1270254222</v>
      </c>
      <c r="H159">
        <v>1502068.0760117143</v>
      </c>
      <c r="I159">
        <v>0</v>
      </c>
      <c r="J159">
        <v>0</v>
      </c>
      <c r="K159">
        <v>9930.836100337272</v>
      </c>
      <c r="L159">
        <v>0</v>
      </c>
      <c r="M159">
        <v>0</v>
      </c>
      <c r="N159">
        <v>0</v>
      </c>
      <c r="O159">
        <v>567828.21491337055</v>
      </c>
      <c r="P159">
        <v>567828.21491337055</v>
      </c>
      <c r="Q159">
        <v>9930.836100337272</v>
      </c>
      <c r="R159">
        <v>1.0447329369137377</v>
      </c>
      <c r="S159">
        <v>1.8271497070108039E-2</v>
      </c>
      <c r="T159">
        <v>1.8271497070108039E-2</v>
      </c>
      <c r="U159">
        <v>0</v>
      </c>
      <c r="V159">
        <v>158991.90017574377</v>
      </c>
      <c r="W159">
        <v>2780.6341080944362</v>
      </c>
      <c r="X159">
        <v>2780.6341080944362</v>
      </c>
      <c r="Y159">
        <v>0</v>
      </c>
      <c r="Z159">
        <v>0</v>
      </c>
    </row>
    <row r="160" spans="1:26" x14ac:dyDescent="0.25">
      <c r="A160" t="s">
        <v>27</v>
      </c>
      <c r="B160" t="s">
        <v>61</v>
      </c>
      <c r="D160">
        <v>0</v>
      </c>
      <c r="E160">
        <v>2019</v>
      </c>
      <c r="F160" t="s">
        <v>43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</row>
    <row r="161" spans="1:26" x14ac:dyDescent="0.25">
      <c r="A161" t="s">
        <v>27</v>
      </c>
      <c r="B161" t="s">
        <v>30</v>
      </c>
      <c r="D161">
        <v>0</v>
      </c>
      <c r="E161">
        <v>2019</v>
      </c>
      <c r="F161" t="s">
        <v>43</v>
      </c>
      <c r="G161">
        <v>96079.800747233821</v>
      </c>
      <c r="H161">
        <v>0</v>
      </c>
      <c r="I161">
        <v>0</v>
      </c>
      <c r="J161">
        <v>222884.49629995148</v>
      </c>
      <c r="K161">
        <v>0</v>
      </c>
      <c r="L161">
        <v>0</v>
      </c>
      <c r="M161">
        <v>0</v>
      </c>
      <c r="N161">
        <v>0</v>
      </c>
      <c r="O161">
        <v>-126804.69555271766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1</v>
      </c>
    </row>
    <row r="162" spans="1:26" x14ac:dyDescent="0.25">
      <c r="A162" t="s">
        <v>27</v>
      </c>
      <c r="B162" t="s">
        <v>52</v>
      </c>
      <c r="C162" t="s">
        <v>77</v>
      </c>
      <c r="D162">
        <v>1</v>
      </c>
      <c r="E162">
        <v>2019</v>
      </c>
      <c r="F162" t="s">
        <v>43</v>
      </c>
      <c r="G162">
        <v>955988.04344506538</v>
      </c>
      <c r="H162">
        <v>94889.448034412548</v>
      </c>
      <c r="I162">
        <v>104128.58905499999</v>
      </c>
      <c r="J162">
        <v>0</v>
      </c>
      <c r="K162">
        <v>22795.107252838847</v>
      </c>
      <c r="L162">
        <v>0</v>
      </c>
      <c r="M162">
        <v>734174.89910281403</v>
      </c>
      <c r="N162">
        <v>0</v>
      </c>
      <c r="O162">
        <v>0</v>
      </c>
      <c r="P162">
        <v>0</v>
      </c>
      <c r="Q162">
        <v>756970.00635565282</v>
      </c>
      <c r="R162">
        <v>0</v>
      </c>
      <c r="S162">
        <v>7.7197156788507311</v>
      </c>
      <c r="T162">
        <v>0.13142610267053248</v>
      </c>
      <c r="U162">
        <v>7.5882895761801983</v>
      </c>
      <c r="V162">
        <v>0</v>
      </c>
      <c r="W162">
        <v>643424.50540230493</v>
      </c>
      <c r="X162">
        <v>19375.841164913018</v>
      </c>
      <c r="Y162">
        <v>624048.6642373919</v>
      </c>
      <c r="Z162">
        <v>0</v>
      </c>
    </row>
    <row r="163" spans="1:26" x14ac:dyDescent="0.25">
      <c r="A163" t="s">
        <v>27</v>
      </c>
      <c r="B163" t="s">
        <v>56</v>
      </c>
      <c r="C163" t="s">
        <v>73</v>
      </c>
      <c r="D163">
        <v>1</v>
      </c>
      <c r="E163">
        <v>2019</v>
      </c>
      <c r="F163" t="s">
        <v>43</v>
      </c>
      <c r="G163">
        <v>452346.51233766804</v>
      </c>
      <c r="H163">
        <v>0</v>
      </c>
      <c r="I163">
        <v>0</v>
      </c>
      <c r="J163">
        <v>0</v>
      </c>
      <c r="K163">
        <v>35.900188095894634</v>
      </c>
      <c r="L163">
        <v>0</v>
      </c>
      <c r="M163">
        <v>452310.61214957217</v>
      </c>
      <c r="N163">
        <v>0</v>
      </c>
      <c r="O163">
        <v>0</v>
      </c>
      <c r="P163">
        <v>0</v>
      </c>
      <c r="Q163">
        <v>452346.51233766804</v>
      </c>
      <c r="R163">
        <v>0</v>
      </c>
      <c r="S163">
        <v>8.0748097529675267</v>
      </c>
      <c r="T163">
        <v>6.0961032399995807E-5</v>
      </c>
      <c r="U163">
        <v>8.0747487919351268</v>
      </c>
      <c r="V163">
        <v>0</v>
      </c>
      <c r="W163">
        <v>135703.9537013004</v>
      </c>
      <c r="X163">
        <v>10.77005642876839</v>
      </c>
      <c r="Y163">
        <v>135693.18364487163</v>
      </c>
      <c r="Z163">
        <v>0</v>
      </c>
    </row>
    <row r="164" spans="1:26" x14ac:dyDescent="0.25">
      <c r="A164" t="s">
        <v>27</v>
      </c>
      <c r="B164" t="s">
        <v>63</v>
      </c>
      <c r="D164">
        <v>0</v>
      </c>
      <c r="E164">
        <v>2019</v>
      </c>
      <c r="F164" t="s">
        <v>43</v>
      </c>
      <c r="G164">
        <v>0</v>
      </c>
      <c r="H164">
        <v>592646.72642582108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-592646.72642582108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1</v>
      </c>
    </row>
    <row r="165" spans="1:26" x14ac:dyDescent="0.25">
      <c r="A165" t="s">
        <v>27</v>
      </c>
      <c r="B165" t="s">
        <v>49</v>
      </c>
      <c r="C165" t="s">
        <v>73</v>
      </c>
      <c r="D165">
        <v>1</v>
      </c>
      <c r="E165">
        <v>2019</v>
      </c>
      <c r="F165" t="s">
        <v>43</v>
      </c>
      <c r="G165">
        <v>200279.74928693369</v>
      </c>
      <c r="H165">
        <v>0</v>
      </c>
      <c r="I165">
        <v>0</v>
      </c>
      <c r="J165">
        <v>0</v>
      </c>
      <c r="K165">
        <v>279550.24796430691</v>
      </c>
      <c r="L165">
        <v>0</v>
      </c>
      <c r="M165">
        <v>0</v>
      </c>
      <c r="N165">
        <v>0</v>
      </c>
      <c r="O165">
        <v>-79270.498677373223</v>
      </c>
      <c r="P165">
        <v>0</v>
      </c>
      <c r="Q165">
        <v>279550.24796430691</v>
      </c>
      <c r="R165">
        <v>0</v>
      </c>
      <c r="S165">
        <v>1.0296284310673407</v>
      </c>
      <c r="T165">
        <v>1.0296284310673407</v>
      </c>
      <c r="U165">
        <v>0</v>
      </c>
      <c r="V165">
        <v>0</v>
      </c>
      <c r="W165">
        <v>117411.1041450089</v>
      </c>
      <c r="X165">
        <v>117411.1041450089</v>
      </c>
      <c r="Y165">
        <v>0</v>
      </c>
      <c r="Z165">
        <v>1</v>
      </c>
    </row>
    <row r="166" spans="1:26" x14ac:dyDescent="0.25">
      <c r="A166" t="s">
        <v>27</v>
      </c>
      <c r="B166" t="s">
        <v>78</v>
      </c>
      <c r="D166">
        <v>0</v>
      </c>
      <c r="E166">
        <v>2019</v>
      </c>
      <c r="F166" t="s">
        <v>43</v>
      </c>
      <c r="G166">
        <v>145851.60720031991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145851.60720031991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</row>
    <row r="167" spans="1:26" x14ac:dyDescent="0.25">
      <c r="A167" t="s">
        <v>27</v>
      </c>
      <c r="B167" t="s">
        <v>31</v>
      </c>
      <c r="D167">
        <v>0</v>
      </c>
      <c r="E167">
        <v>2019</v>
      </c>
      <c r="F167" t="s">
        <v>43</v>
      </c>
      <c r="G167">
        <v>116414.7916544996</v>
      </c>
      <c r="H167">
        <v>0</v>
      </c>
      <c r="I167">
        <v>0</v>
      </c>
      <c r="J167">
        <v>101922.05609696274</v>
      </c>
      <c r="K167">
        <v>0</v>
      </c>
      <c r="L167">
        <v>0</v>
      </c>
      <c r="M167">
        <v>0</v>
      </c>
      <c r="N167">
        <v>0</v>
      </c>
      <c r="O167">
        <v>14492.735557536857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</row>
    <row r="168" spans="1:26" x14ac:dyDescent="0.25">
      <c r="A168" t="s">
        <v>27</v>
      </c>
      <c r="B168" t="s">
        <v>29</v>
      </c>
      <c r="C168" t="s">
        <v>77</v>
      </c>
      <c r="D168">
        <v>1</v>
      </c>
      <c r="E168">
        <v>2019</v>
      </c>
      <c r="F168" t="s">
        <v>43</v>
      </c>
      <c r="G168">
        <v>2275797.9689121391</v>
      </c>
      <c r="H168">
        <v>721621.60770550335</v>
      </c>
      <c r="I168">
        <v>0</v>
      </c>
      <c r="J168">
        <v>244164.92559492172</v>
      </c>
      <c r="K168">
        <v>945.81467090137289</v>
      </c>
      <c r="L168">
        <v>0</v>
      </c>
      <c r="M168">
        <v>0</v>
      </c>
      <c r="N168">
        <v>0</v>
      </c>
      <c r="O168">
        <v>1309065.6209408126</v>
      </c>
      <c r="P168">
        <v>1309065.6209408126</v>
      </c>
      <c r="Q168">
        <v>945.81467090137289</v>
      </c>
      <c r="R168">
        <v>4.4833664825353523</v>
      </c>
      <c r="S168">
        <v>3.2392828337832764E-3</v>
      </c>
      <c r="T168">
        <v>3.2392828337832764E-3</v>
      </c>
      <c r="U168">
        <v>0</v>
      </c>
      <c r="V168">
        <v>405810.34249165189</v>
      </c>
      <c r="W168">
        <v>293.20254797942562</v>
      </c>
      <c r="X168">
        <v>293.20254797942562</v>
      </c>
      <c r="Y168">
        <v>0</v>
      </c>
      <c r="Z168">
        <v>0</v>
      </c>
    </row>
    <row r="169" spans="1:26" x14ac:dyDescent="0.25">
      <c r="A169" t="s">
        <v>27</v>
      </c>
      <c r="B169" t="s">
        <v>69</v>
      </c>
      <c r="D169">
        <v>0</v>
      </c>
      <c r="E169">
        <v>2019</v>
      </c>
      <c r="F169" t="s">
        <v>43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387847.14852834243</v>
      </c>
      <c r="M169">
        <v>0</v>
      </c>
      <c r="N169">
        <v>0</v>
      </c>
      <c r="O169">
        <v>-387847.14852834243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1</v>
      </c>
    </row>
    <row r="170" spans="1:26" x14ac:dyDescent="0.25">
      <c r="A170" t="s">
        <v>27</v>
      </c>
      <c r="B170" t="s">
        <v>45</v>
      </c>
      <c r="C170" t="s">
        <v>74</v>
      </c>
      <c r="D170">
        <v>1</v>
      </c>
      <c r="E170">
        <v>2019</v>
      </c>
      <c r="F170" t="s">
        <v>43</v>
      </c>
      <c r="G170">
        <v>925084.21922943438</v>
      </c>
      <c r="H170">
        <v>0</v>
      </c>
      <c r="I170">
        <v>0</v>
      </c>
      <c r="J170">
        <v>0</v>
      </c>
      <c r="K170">
        <v>286645.05985025823</v>
      </c>
      <c r="L170">
        <v>422965.94308870414</v>
      </c>
      <c r="M170">
        <v>0</v>
      </c>
      <c r="N170">
        <v>0</v>
      </c>
      <c r="O170">
        <v>215473.21629047208</v>
      </c>
      <c r="P170">
        <v>215473.21629047208</v>
      </c>
      <c r="Q170">
        <v>286645.05985025823</v>
      </c>
      <c r="R170">
        <v>0.10907038735407407</v>
      </c>
      <c r="S170">
        <v>0.14509686284560222</v>
      </c>
      <c r="T170">
        <v>0.14509686284560222</v>
      </c>
      <c r="U170">
        <v>0</v>
      </c>
      <c r="V170">
        <v>16375.964438075878</v>
      </c>
      <c r="W170">
        <v>21785.024548619625</v>
      </c>
      <c r="X170">
        <v>21785.024548619625</v>
      </c>
      <c r="Y170">
        <v>0</v>
      </c>
      <c r="Z170">
        <v>0</v>
      </c>
    </row>
    <row r="171" spans="1:26" x14ac:dyDescent="0.25">
      <c r="A171" t="s">
        <v>27</v>
      </c>
      <c r="B171" t="s">
        <v>59</v>
      </c>
      <c r="D171">
        <v>0</v>
      </c>
      <c r="E171">
        <v>2019</v>
      </c>
      <c r="F171" t="s">
        <v>43</v>
      </c>
      <c r="G171">
        <v>115489.08079619991</v>
      </c>
      <c r="H171">
        <v>186040.49371289223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-70551.412916692323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</row>
    <row r="172" spans="1:26" x14ac:dyDescent="0.25">
      <c r="A172" t="s">
        <v>27</v>
      </c>
      <c r="B172" t="s">
        <v>54</v>
      </c>
      <c r="C172" t="s">
        <v>76</v>
      </c>
      <c r="D172">
        <v>1</v>
      </c>
      <c r="E172">
        <v>2019</v>
      </c>
      <c r="F172" t="s">
        <v>43</v>
      </c>
      <c r="G172">
        <v>366156.75807184458</v>
      </c>
      <c r="H172">
        <v>694353.2611092875</v>
      </c>
      <c r="I172">
        <v>0</v>
      </c>
      <c r="J172">
        <v>0</v>
      </c>
      <c r="K172">
        <v>15204.565068438918</v>
      </c>
      <c r="L172">
        <v>0</v>
      </c>
      <c r="M172">
        <v>0</v>
      </c>
      <c r="N172">
        <v>0</v>
      </c>
      <c r="O172">
        <v>-343401.0681058818</v>
      </c>
      <c r="P172">
        <v>0</v>
      </c>
      <c r="Q172">
        <v>15204.565068438918</v>
      </c>
      <c r="R172">
        <v>0</v>
      </c>
      <c r="S172">
        <v>5.4584388595695719E-2</v>
      </c>
      <c r="T172">
        <v>5.4584388595695719E-2</v>
      </c>
      <c r="U172">
        <v>0</v>
      </c>
      <c r="V172">
        <v>0</v>
      </c>
      <c r="W172">
        <v>4561.3695205316753</v>
      </c>
      <c r="X172">
        <v>4561.3695205316753</v>
      </c>
      <c r="Y172">
        <v>0</v>
      </c>
      <c r="Z172">
        <v>0</v>
      </c>
    </row>
    <row r="173" spans="1:26" x14ac:dyDescent="0.25">
      <c r="A173" t="s">
        <v>27</v>
      </c>
      <c r="B173" t="s">
        <v>38</v>
      </c>
      <c r="D173">
        <v>0</v>
      </c>
      <c r="E173">
        <v>2019</v>
      </c>
      <c r="F173" t="s">
        <v>43</v>
      </c>
      <c r="G173">
        <v>222833.98833453824</v>
      </c>
      <c r="H173">
        <v>0</v>
      </c>
      <c r="I173">
        <v>0</v>
      </c>
      <c r="J173">
        <v>389767.86287629709</v>
      </c>
      <c r="K173">
        <v>0</v>
      </c>
      <c r="L173">
        <v>0</v>
      </c>
      <c r="M173">
        <v>0</v>
      </c>
      <c r="N173">
        <v>0</v>
      </c>
      <c r="O173">
        <v>-166933.87454175885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</row>
    <row r="174" spans="1:26" x14ac:dyDescent="0.25">
      <c r="A174" t="s">
        <v>27</v>
      </c>
      <c r="B174" t="s">
        <v>35</v>
      </c>
      <c r="C174" t="s">
        <v>79</v>
      </c>
      <c r="D174">
        <v>1</v>
      </c>
      <c r="E174">
        <v>2019</v>
      </c>
      <c r="F174" t="s">
        <v>43</v>
      </c>
      <c r="G174">
        <v>1.1976865502381491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1.1976865502381491</v>
      </c>
      <c r="P174">
        <v>1.1976865502381491</v>
      </c>
      <c r="Q174">
        <v>0</v>
      </c>
      <c r="R174">
        <v>1.0749236788387388E-6</v>
      </c>
      <c r="S174">
        <v>0</v>
      </c>
      <c r="T174">
        <v>0</v>
      </c>
      <c r="U174">
        <v>0</v>
      </c>
      <c r="V174">
        <v>0.17965298253572234</v>
      </c>
      <c r="W174">
        <v>0</v>
      </c>
      <c r="X174">
        <v>0</v>
      </c>
      <c r="Y174">
        <v>0</v>
      </c>
      <c r="Z174">
        <v>0</v>
      </c>
    </row>
    <row r="175" spans="1:26" x14ac:dyDescent="0.25">
      <c r="A175" t="s">
        <v>27</v>
      </c>
      <c r="B175" t="s">
        <v>33</v>
      </c>
      <c r="D175">
        <v>0</v>
      </c>
      <c r="E175">
        <v>2019</v>
      </c>
      <c r="F175" t="s">
        <v>43</v>
      </c>
      <c r="G175">
        <v>7577.0634215631153</v>
      </c>
      <c r="H175">
        <v>0</v>
      </c>
      <c r="I175">
        <v>0</v>
      </c>
      <c r="J175">
        <v>49527.399127557059</v>
      </c>
      <c r="K175">
        <v>0</v>
      </c>
      <c r="L175">
        <v>0</v>
      </c>
      <c r="M175">
        <v>0</v>
      </c>
      <c r="N175">
        <v>0</v>
      </c>
      <c r="O175">
        <v>-41950.335705993944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</row>
    <row r="176" spans="1:26" x14ac:dyDescent="0.25">
      <c r="A176" t="s">
        <v>27</v>
      </c>
      <c r="B176" t="s">
        <v>80</v>
      </c>
      <c r="D176">
        <v>0</v>
      </c>
      <c r="E176">
        <v>2019</v>
      </c>
      <c r="F176" t="s">
        <v>43</v>
      </c>
      <c r="G176">
        <v>396057.87190930446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396057.87190930446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</row>
    <row r="177" spans="1:26" x14ac:dyDescent="0.25">
      <c r="A177" t="s">
        <v>27</v>
      </c>
      <c r="B177" t="s">
        <v>65</v>
      </c>
      <c r="C177" t="s">
        <v>81</v>
      </c>
      <c r="D177">
        <v>1</v>
      </c>
      <c r="E177">
        <v>2019</v>
      </c>
      <c r="F177" t="s">
        <v>43</v>
      </c>
      <c r="G177">
        <v>37577.319945022478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37577.319945022478</v>
      </c>
      <c r="N177">
        <v>0</v>
      </c>
      <c r="O177">
        <v>0</v>
      </c>
      <c r="P177">
        <v>0</v>
      </c>
      <c r="Q177">
        <v>37577.319945022478</v>
      </c>
      <c r="R177">
        <v>0</v>
      </c>
      <c r="S177">
        <v>0.69142268698841347</v>
      </c>
      <c r="T177">
        <v>0</v>
      </c>
      <c r="U177">
        <v>0.69142268698841347</v>
      </c>
      <c r="V177">
        <v>0</v>
      </c>
      <c r="W177">
        <v>15594.58777718433</v>
      </c>
      <c r="X177">
        <v>0</v>
      </c>
      <c r="Y177">
        <v>15594.58777718433</v>
      </c>
      <c r="Z177">
        <v>0</v>
      </c>
    </row>
    <row r="178" spans="1:26" x14ac:dyDescent="0.25">
      <c r="A178" t="s">
        <v>27</v>
      </c>
      <c r="B178" t="s">
        <v>140</v>
      </c>
      <c r="C178" t="s">
        <v>142</v>
      </c>
      <c r="D178">
        <v>1</v>
      </c>
      <c r="E178">
        <v>2019</v>
      </c>
      <c r="F178" t="s">
        <v>43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</row>
    <row r="179" spans="1:26" x14ac:dyDescent="0.25">
      <c r="A179" t="s">
        <v>27</v>
      </c>
      <c r="B179" t="s">
        <v>141</v>
      </c>
      <c r="C179" t="s">
        <v>142</v>
      </c>
      <c r="D179">
        <v>1</v>
      </c>
      <c r="E179">
        <v>2019</v>
      </c>
      <c r="F179" t="s">
        <v>43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</row>
    <row r="180" spans="1:26" x14ac:dyDescent="0.25">
      <c r="A180" t="s">
        <v>27</v>
      </c>
      <c r="B180" t="s">
        <v>82</v>
      </c>
      <c r="D180">
        <v>0</v>
      </c>
      <c r="E180">
        <v>2019</v>
      </c>
      <c r="F180" t="s">
        <v>43</v>
      </c>
      <c r="G180">
        <v>346998.01962126989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346998.01962126989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</row>
    <row r="181" spans="1:26" x14ac:dyDescent="0.25">
      <c r="A181" t="s">
        <v>27</v>
      </c>
      <c r="B181" t="s">
        <v>72</v>
      </c>
      <c r="D181">
        <v>0</v>
      </c>
      <c r="E181">
        <v>2019</v>
      </c>
      <c r="F181" t="s">
        <v>43</v>
      </c>
      <c r="G181">
        <v>193574.13238370849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193574.13238370849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</row>
    <row r="182" spans="1:26" x14ac:dyDescent="0.25">
      <c r="A182" t="s">
        <v>27</v>
      </c>
      <c r="B182" t="s">
        <v>58</v>
      </c>
      <c r="D182">
        <v>0</v>
      </c>
      <c r="E182">
        <v>2019</v>
      </c>
      <c r="F182" t="s">
        <v>43</v>
      </c>
      <c r="G182">
        <v>96787.066191854246</v>
      </c>
      <c r="H182">
        <v>26278.769501998373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70508.296689855866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</row>
    <row r="183" spans="1:26" x14ac:dyDescent="0.25">
      <c r="A183" t="s">
        <v>27</v>
      </c>
      <c r="B183" t="s">
        <v>64</v>
      </c>
      <c r="C183" t="s">
        <v>64</v>
      </c>
      <c r="D183">
        <v>1</v>
      </c>
      <c r="E183">
        <v>2019</v>
      </c>
      <c r="F183" t="s">
        <v>43</v>
      </c>
      <c r="G183">
        <v>61943.722362786721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1238.8744472557355</v>
      </c>
      <c r="N183">
        <v>60704.847915530983</v>
      </c>
      <c r="O183">
        <v>0</v>
      </c>
      <c r="P183">
        <v>0</v>
      </c>
      <c r="Q183">
        <v>1238.8744472557355</v>
      </c>
      <c r="R183">
        <v>0</v>
      </c>
      <c r="S183">
        <v>4.3360605653950737E-2</v>
      </c>
      <c r="T183">
        <v>0</v>
      </c>
      <c r="U183">
        <v>4.3360605653950737E-2</v>
      </c>
      <c r="V183">
        <v>0</v>
      </c>
      <c r="W183">
        <v>1127.3757470027194</v>
      </c>
      <c r="X183">
        <v>0</v>
      </c>
      <c r="Y183">
        <v>1127.3757470027194</v>
      </c>
      <c r="Z183">
        <v>0</v>
      </c>
    </row>
    <row r="184" spans="1:26" x14ac:dyDescent="0.25">
      <c r="A184" t="s">
        <v>27</v>
      </c>
      <c r="B184" t="s">
        <v>55</v>
      </c>
      <c r="C184" t="s">
        <v>76</v>
      </c>
      <c r="D184">
        <v>1</v>
      </c>
      <c r="E184">
        <v>2019</v>
      </c>
      <c r="F184" t="s">
        <v>43</v>
      </c>
      <c r="G184">
        <v>2252973.7408705982</v>
      </c>
      <c r="H184">
        <v>103245.87683002709</v>
      </c>
      <c r="I184">
        <v>0</v>
      </c>
      <c r="J184">
        <v>0</v>
      </c>
      <c r="K184">
        <v>24543.951075802775</v>
      </c>
      <c r="L184">
        <v>0</v>
      </c>
      <c r="M184">
        <v>0</v>
      </c>
      <c r="N184">
        <v>0</v>
      </c>
      <c r="O184">
        <v>2125183.9129647682</v>
      </c>
      <c r="P184">
        <v>1656364.6415009145</v>
      </c>
      <c r="Q184">
        <v>24543.951075802775</v>
      </c>
      <c r="R184">
        <v>4.4954398916191423</v>
      </c>
      <c r="S184">
        <v>6.6613264977771772E-2</v>
      </c>
      <c r="T184">
        <v>6.6613264977771772E-2</v>
      </c>
      <c r="U184">
        <v>0</v>
      </c>
      <c r="V184">
        <v>331272.92830018292</v>
      </c>
      <c r="W184">
        <v>4908.7902151605549</v>
      </c>
      <c r="X184">
        <v>4908.7902151605549</v>
      </c>
      <c r="Y184">
        <v>0</v>
      </c>
      <c r="Z184">
        <v>0</v>
      </c>
    </row>
    <row r="185" spans="1:26" x14ac:dyDescent="0.25">
      <c r="A185" t="s">
        <v>27</v>
      </c>
      <c r="B185" t="s">
        <v>83</v>
      </c>
      <c r="D185">
        <v>0</v>
      </c>
      <c r="E185">
        <v>2019</v>
      </c>
      <c r="F185" t="s">
        <v>43</v>
      </c>
      <c r="G185">
        <v>23179.475218292017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23179.475218292017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</row>
    <row r="186" spans="1:26" x14ac:dyDescent="0.25">
      <c r="A186" t="s">
        <v>27</v>
      </c>
      <c r="B186" t="s">
        <v>62</v>
      </c>
      <c r="D186">
        <v>0</v>
      </c>
      <c r="E186">
        <v>2019</v>
      </c>
      <c r="F186" t="s">
        <v>43</v>
      </c>
      <c r="G186">
        <v>18923.903166389329</v>
      </c>
      <c r="H186">
        <v>4837.9324606189475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14085.970705770382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</row>
    <row r="187" spans="1:26" x14ac:dyDescent="0.25">
      <c r="A187" t="s">
        <v>27</v>
      </c>
      <c r="B187" t="s">
        <v>47</v>
      </c>
      <c r="C187" t="s">
        <v>73</v>
      </c>
      <c r="D187">
        <v>1</v>
      </c>
      <c r="E187">
        <v>2019</v>
      </c>
      <c r="F187" t="s">
        <v>43</v>
      </c>
      <c r="G187">
        <v>3186961.3614372411</v>
      </c>
      <c r="H187">
        <v>0</v>
      </c>
      <c r="I187">
        <v>0</v>
      </c>
      <c r="J187">
        <v>0</v>
      </c>
      <c r="K187">
        <v>1208651.4125341829</v>
      </c>
      <c r="L187">
        <v>0</v>
      </c>
      <c r="M187">
        <v>0</v>
      </c>
      <c r="N187">
        <v>0</v>
      </c>
      <c r="O187">
        <v>1978309.9489030582</v>
      </c>
      <c r="P187">
        <v>1978309.9489030582</v>
      </c>
      <c r="Q187">
        <v>1208651.4125341829</v>
      </c>
      <c r="R187">
        <v>0.98719644760211522</v>
      </c>
      <c r="S187">
        <v>0.60312914136868268</v>
      </c>
      <c r="T187">
        <v>0.60312914136868268</v>
      </c>
      <c r="U187">
        <v>0</v>
      </c>
      <c r="V187">
        <v>118698.59693418349</v>
      </c>
      <c r="W187">
        <v>72519.084752050971</v>
      </c>
      <c r="X187">
        <v>72519.084752050971</v>
      </c>
      <c r="Y187">
        <v>0</v>
      </c>
      <c r="Z187">
        <v>0</v>
      </c>
    </row>
    <row r="188" spans="1:26" x14ac:dyDescent="0.25">
      <c r="A188" t="s">
        <v>27</v>
      </c>
      <c r="B188" t="s">
        <v>44</v>
      </c>
      <c r="C188" t="s">
        <v>74</v>
      </c>
      <c r="D188">
        <v>1</v>
      </c>
      <c r="E188">
        <v>2019</v>
      </c>
      <c r="F188" t="s">
        <v>43</v>
      </c>
      <c r="G188">
        <v>2304461.4931079326</v>
      </c>
      <c r="H188">
        <v>0</v>
      </c>
      <c r="I188">
        <v>0</v>
      </c>
      <c r="J188">
        <v>0</v>
      </c>
      <c r="K188">
        <v>380427.26035611134</v>
      </c>
      <c r="L188">
        <v>1924034.2327518209</v>
      </c>
      <c r="M188">
        <v>0</v>
      </c>
      <c r="N188">
        <v>0</v>
      </c>
      <c r="O188">
        <v>0</v>
      </c>
      <c r="P188">
        <v>0</v>
      </c>
      <c r="Q188">
        <v>380427.26035611134</v>
      </c>
      <c r="R188">
        <v>0</v>
      </c>
      <c r="S188">
        <v>0.16388806376141279</v>
      </c>
      <c r="T188">
        <v>0.16388806376141279</v>
      </c>
      <c r="U188">
        <v>0</v>
      </c>
      <c r="V188">
        <v>0</v>
      </c>
      <c r="W188">
        <v>19021.363017805568</v>
      </c>
      <c r="X188">
        <v>19021.363017805568</v>
      </c>
      <c r="Y188">
        <v>0</v>
      </c>
      <c r="Z188">
        <v>0</v>
      </c>
    </row>
    <row r="189" spans="1:26" x14ac:dyDescent="0.25">
      <c r="A189" t="s">
        <v>27</v>
      </c>
      <c r="B189" t="s">
        <v>32</v>
      </c>
      <c r="D189">
        <v>0</v>
      </c>
      <c r="E189">
        <v>2019</v>
      </c>
      <c r="F189" t="s">
        <v>43</v>
      </c>
      <c r="G189">
        <v>206750.71206041813</v>
      </c>
      <c r="H189">
        <v>0</v>
      </c>
      <c r="I189">
        <v>0</v>
      </c>
      <c r="J189">
        <v>100555.62853170674</v>
      </c>
      <c r="K189">
        <v>0</v>
      </c>
      <c r="L189">
        <v>0</v>
      </c>
      <c r="M189">
        <v>0</v>
      </c>
      <c r="N189">
        <v>0</v>
      </c>
      <c r="O189">
        <v>106195.08352871139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</row>
    <row r="190" spans="1:26" x14ac:dyDescent="0.25">
      <c r="A190" t="s">
        <v>27</v>
      </c>
      <c r="B190" t="s">
        <v>36</v>
      </c>
      <c r="C190" t="s">
        <v>79</v>
      </c>
      <c r="D190">
        <v>1</v>
      </c>
      <c r="E190">
        <v>2019</v>
      </c>
      <c r="F190" t="s">
        <v>43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</row>
    <row r="191" spans="1:26" x14ac:dyDescent="0.25">
      <c r="A191" t="s">
        <v>27</v>
      </c>
      <c r="B191" t="s">
        <v>84</v>
      </c>
      <c r="D191">
        <v>1</v>
      </c>
      <c r="E191">
        <v>2019</v>
      </c>
      <c r="F191" t="s">
        <v>43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</row>
    <row r="192" spans="1:26" x14ac:dyDescent="0.25">
      <c r="A192" t="s">
        <v>27</v>
      </c>
      <c r="B192" t="s">
        <v>66</v>
      </c>
      <c r="C192" t="s">
        <v>81</v>
      </c>
      <c r="D192">
        <v>1</v>
      </c>
      <c r="E192">
        <v>2019</v>
      </c>
      <c r="F192" t="s">
        <v>43</v>
      </c>
      <c r="G192">
        <v>681602.85349434032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681602.85349434032</v>
      </c>
      <c r="N192">
        <v>0</v>
      </c>
      <c r="O192">
        <v>0</v>
      </c>
      <c r="P192">
        <v>0</v>
      </c>
      <c r="Q192">
        <v>681602.85349434032</v>
      </c>
      <c r="R192">
        <v>0</v>
      </c>
      <c r="S192">
        <v>9.878857920085288</v>
      </c>
      <c r="T192">
        <v>0</v>
      </c>
      <c r="U192">
        <v>9.878857920085288</v>
      </c>
      <c r="V192">
        <v>0</v>
      </c>
      <c r="W192">
        <v>337109.41129074246</v>
      </c>
      <c r="X192">
        <v>0</v>
      </c>
      <c r="Y192">
        <v>337109.41129074246</v>
      </c>
      <c r="Z192">
        <v>0</v>
      </c>
    </row>
    <row r="193" spans="1:26" x14ac:dyDescent="0.25">
      <c r="A193" t="s">
        <v>27</v>
      </c>
      <c r="B193" t="s">
        <v>85</v>
      </c>
      <c r="D193">
        <v>0</v>
      </c>
      <c r="E193">
        <v>2019</v>
      </c>
      <c r="F193" t="s">
        <v>43</v>
      </c>
      <c r="G193">
        <v>187413.07432328182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187413.07432328182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</row>
    <row r="194" spans="1:26" x14ac:dyDescent="0.25">
      <c r="A194" t="s">
        <v>27</v>
      </c>
      <c r="B194" t="s">
        <v>40</v>
      </c>
      <c r="C194" t="s">
        <v>86</v>
      </c>
      <c r="D194">
        <v>0</v>
      </c>
      <c r="E194">
        <v>2030</v>
      </c>
      <c r="F194" t="s">
        <v>43</v>
      </c>
      <c r="G194">
        <v>17943.479437897957</v>
      </c>
      <c r="H194">
        <v>0</v>
      </c>
      <c r="I194">
        <v>0</v>
      </c>
      <c r="J194">
        <v>28209.340124628539</v>
      </c>
      <c r="K194">
        <v>0</v>
      </c>
      <c r="L194">
        <v>0</v>
      </c>
      <c r="M194">
        <v>0</v>
      </c>
      <c r="N194">
        <v>0</v>
      </c>
      <c r="O194">
        <v>-10265.860686730583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</row>
    <row r="195" spans="1:26" x14ac:dyDescent="0.25">
      <c r="A195" t="s">
        <v>27</v>
      </c>
      <c r="B195" t="s">
        <v>34</v>
      </c>
      <c r="C195" t="s">
        <v>86</v>
      </c>
      <c r="D195">
        <v>0</v>
      </c>
      <c r="E195">
        <v>2030</v>
      </c>
      <c r="F195" t="s">
        <v>43</v>
      </c>
      <c r="G195">
        <v>28552.425442007137</v>
      </c>
      <c r="H195">
        <v>7916.616753740097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20635.80868826704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</row>
    <row r="196" spans="1:26" x14ac:dyDescent="0.25">
      <c r="A196" t="s">
        <v>27</v>
      </c>
      <c r="B196" t="s">
        <v>48</v>
      </c>
      <c r="C196" t="s">
        <v>73</v>
      </c>
      <c r="D196">
        <v>1</v>
      </c>
      <c r="E196">
        <v>2030</v>
      </c>
      <c r="F196" t="s">
        <v>43</v>
      </c>
      <c r="G196">
        <v>168912.745758362</v>
      </c>
      <c r="H196">
        <v>0</v>
      </c>
      <c r="I196">
        <v>0</v>
      </c>
      <c r="J196">
        <v>0</v>
      </c>
      <c r="K196">
        <v>168912.75887120995</v>
      </c>
      <c r="L196">
        <v>0</v>
      </c>
      <c r="M196">
        <v>0</v>
      </c>
      <c r="N196">
        <v>0</v>
      </c>
      <c r="O196">
        <v>-1.3112847955198959E-2</v>
      </c>
      <c r="P196">
        <v>0</v>
      </c>
      <c r="Q196">
        <v>168912.75887120995</v>
      </c>
      <c r="R196">
        <v>0</v>
      </c>
      <c r="S196">
        <v>0.57547056732591406</v>
      </c>
      <c r="T196">
        <v>0.57547056732591406</v>
      </c>
      <c r="U196">
        <v>0</v>
      </c>
      <c r="V196">
        <v>0</v>
      </c>
      <c r="W196">
        <v>47295.572483938791</v>
      </c>
      <c r="X196">
        <v>47295.572483938791</v>
      </c>
      <c r="Y196">
        <v>0</v>
      </c>
      <c r="Z196">
        <v>1</v>
      </c>
    </row>
    <row r="197" spans="1:26" x14ac:dyDescent="0.25">
      <c r="A197" t="s">
        <v>27</v>
      </c>
      <c r="B197" t="s">
        <v>11</v>
      </c>
      <c r="C197" t="s">
        <v>86</v>
      </c>
      <c r="D197">
        <v>1</v>
      </c>
      <c r="E197">
        <v>2030</v>
      </c>
      <c r="F197" t="s">
        <v>43</v>
      </c>
      <c r="G197">
        <v>108792396.63373713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108792396.63373713</v>
      </c>
      <c r="N197">
        <v>0</v>
      </c>
      <c r="O197">
        <v>0</v>
      </c>
      <c r="P197">
        <v>0</v>
      </c>
      <c r="Q197">
        <v>108792396.63373713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</row>
    <row r="198" spans="1:26" x14ac:dyDescent="0.25">
      <c r="A198" t="s">
        <v>27</v>
      </c>
      <c r="B198" t="s">
        <v>68</v>
      </c>
      <c r="C198" t="s">
        <v>86</v>
      </c>
      <c r="D198">
        <v>0</v>
      </c>
      <c r="E198">
        <v>2030</v>
      </c>
      <c r="F198" t="s">
        <v>43</v>
      </c>
      <c r="G198">
        <v>3475869.7995257122</v>
      </c>
      <c r="H198">
        <v>0</v>
      </c>
      <c r="I198">
        <v>0</v>
      </c>
      <c r="J198">
        <v>0</v>
      </c>
      <c r="K198">
        <v>0</v>
      </c>
      <c r="L198">
        <v>3047051.4177026679</v>
      </c>
      <c r="M198">
        <v>0</v>
      </c>
      <c r="N198">
        <v>0</v>
      </c>
      <c r="O198">
        <v>428818.38182304427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</row>
    <row r="199" spans="1:26" x14ac:dyDescent="0.25">
      <c r="A199" t="s">
        <v>27</v>
      </c>
      <c r="B199" t="s">
        <v>51</v>
      </c>
      <c r="C199" t="s">
        <v>73</v>
      </c>
      <c r="D199">
        <v>1</v>
      </c>
      <c r="E199">
        <v>2030</v>
      </c>
      <c r="F199" t="s">
        <v>43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</row>
    <row r="200" spans="1:26" x14ac:dyDescent="0.25">
      <c r="A200" t="s">
        <v>27</v>
      </c>
      <c r="B200" t="s">
        <v>50</v>
      </c>
      <c r="C200" t="s">
        <v>74</v>
      </c>
      <c r="D200">
        <v>1</v>
      </c>
      <c r="E200">
        <v>2030</v>
      </c>
      <c r="F200" t="s">
        <v>43</v>
      </c>
      <c r="G200">
        <v>358055.10959218151</v>
      </c>
      <c r="H200">
        <v>0</v>
      </c>
      <c r="I200">
        <v>0</v>
      </c>
      <c r="J200">
        <v>0</v>
      </c>
      <c r="K200">
        <v>179027.55479609076</v>
      </c>
      <c r="L200">
        <v>67774.717172805787</v>
      </c>
      <c r="M200">
        <v>0</v>
      </c>
      <c r="N200">
        <v>0</v>
      </c>
      <c r="O200">
        <v>111252.83762328496</v>
      </c>
      <c r="P200">
        <v>111252.83762328496</v>
      </c>
      <c r="Q200">
        <v>179027.55479609076</v>
      </c>
      <c r="R200">
        <v>0.2396386122405558</v>
      </c>
      <c r="S200">
        <v>0.62526396527133532</v>
      </c>
      <c r="T200">
        <v>0.38562535303077949</v>
      </c>
      <c r="U200">
        <v>0.23963861224055583</v>
      </c>
      <c r="V200">
        <v>33375.851286985482</v>
      </c>
      <c r="W200">
        <v>87084.117725812714</v>
      </c>
      <c r="X200">
        <v>53708.266438827224</v>
      </c>
      <c r="Y200">
        <v>33375.851286985489</v>
      </c>
      <c r="Z200">
        <v>0</v>
      </c>
    </row>
    <row r="201" spans="1:26" x14ac:dyDescent="0.25">
      <c r="A201" t="s">
        <v>27</v>
      </c>
      <c r="B201" t="s">
        <v>60</v>
      </c>
      <c r="C201" t="s">
        <v>86</v>
      </c>
      <c r="D201">
        <v>0</v>
      </c>
      <c r="E201">
        <v>2030</v>
      </c>
      <c r="F201" t="s">
        <v>43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</row>
    <row r="202" spans="1:26" x14ac:dyDescent="0.25">
      <c r="A202" t="s">
        <v>27</v>
      </c>
      <c r="B202" t="s">
        <v>46</v>
      </c>
      <c r="C202" t="s">
        <v>74</v>
      </c>
      <c r="D202">
        <v>1</v>
      </c>
      <c r="E202">
        <v>2030</v>
      </c>
      <c r="F202" t="s">
        <v>43</v>
      </c>
      <c r="G202">
        <v>700.20192515285464</v>
      </c>
      <c r="H202">
        <v>0</v>
      </c>
      <c r="I202">
        <v>0</v>
      </c>
      <c r="J202">
        <v>0</v>
      </c>
      <c r="K202">
        <v>350.10096257642732</v>
      </c>
      <c r="L202">
        <v>265.07644309358068</v>
      </c>
      <c r="M202">
        <v>0</v>
      </c>
      <c r="N202">
        <v>0</v>
      </c>
      <c r="O202">
        <v>85.024519482846586</v>
      </c>
      <c r="P202">
        <v>85.024519482846586</v>
      </c>
      <c r="Q202">
        <v>350.10096257642732</v>
      </c>
      <c r="R202">
        <v>3.9986181267587921E-5</v>
      </c>
      <c r="S202">
        <v>2.0463516295765594E-4</v>
      </c>
      <c r="T202">
        <v>1.6464898169006801E-4</v>
      </c>
      <c r="U202">
        <v>3.9986181267587928E-5</v>
      </c>
      <c r="V202">
        <v>5.356544727419335</v>
      </c>
      <c r="W202">
        <v>27.412905369734258</v>
      </c>
      <c r="X202">
        <v>22.056360642314921</v>
      </c>
      <c r="Y202">
        <v>5.3565447274193367</v>
      </c>
      <c r="Z202">
        <v>0</v>
      </c>
    </row>
    <row r="203" spans="1:26" x14ac:dyDescent="0.25">
      <c r="A203" t="s">
        <v>27</v>
      </c>
      <c r="B203" t="s">
        <v>39</v>
      </c>
      <c r="C203" t="s">
        <v>86</v>
      </c>
      <c r="D203">
        <v>0</v>
      </c>
      <c r="E203">
        <v>2030</v>
      </c>
      <c r="F203" t="s">
        <v>43</v>
      </c>
      <c r="G203">
        <v>15244.045659594452</v>
      </c>
      <c r="H203">
        <v>0</v>
      </c>
      <c r="I203">
        <v>0</v>
      </c>
      <c r="J203">
        <v>30560.118468347584</v>
      </c>
      <c r="K203">
        <v>0</v>
      </c>
      <c r="L203">
        <v>0</v>
      </c>
      <c r="M203">
        <v>0</v>
      </c>
      <c r="N203">
        <v>0</v>
      </c>
      <c r="O203">
        <v>-15316.072808753132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</row>
    <row r="204" spans="1:26" x14ac:dyDescent="0.25">
      <c r="A204" t="s">
        <v>27</v>
      </c>
      <c r="B204" t="s">
        <v>75</v>
      </c>
      <c r="C204" t="s">
        <v>86</v>
      </c>
      <c r="D204">
        <v>0</v>
      </c>
      <c r="E204">
        <v>2030</v>
      </c>
      <c r="F204" t="s">
        <v>43</v>
      </c>
      <c r="G204">
        <v>645001.32802557282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645001.32802557282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</row>
    <row r="205" spans="1:26" x14ac:dyDescent="0.25">
      <c r="A205" t="s">
        <v>27</v>
      </c>
      <c r="B205" t="s">
        <v>41</v>
      </c>
      <c r="C205" t="s">
        <v>86</v>
      </c>
      <c r="D205">
        <v>0</v>
      </c>
      <c r="E205">
        <v>2030</v>
      </c>
      <c r="F205" t="s">
        <v>43</v>
      </c>
      <c r="G205">
        <v>16686.121067916127</v>
      </c>
      <c r="H205">
        <v>0</v>
      </c>
      <c r="I205">
        <v>0</v>
      </c>
      <c r="J205">
        <v>223323.94265330929</v>
      </c>
      <c r="K205">
        <v>0</v>
      </c>
      <c r="L205">
        <v>0</v>
      </c>
      <c r="M205">
        <v>0</v>
      </c>
      <c r="N205">
        <v>0</v>
      </c>
      <c r="O205">
        <v>-206637.82158539316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1</v>
      </c>
    </row>
    <row r="206" spans="1:26" x14ac:dyDescent="0.25">
      <c r="A206" t="s">
        <v>27</v>
      </c>
      <c r="B206" t="s">
        <v>57</v>
      </c>
      <c r="C206" t="s">
        <v>57</v>
      </c>
      <c r="D206">
        <v>1</v>
      </c>
      <c r="E206">
        <v>2030</v>
      </c>
      <c r="F206" t="s">
        <v>43</v>
      </c>
      <c r="G206">
        <v>0</v>
      </c>
      <c r="H206">
        <v>0</v>
      </c>
      <c r="I206">
        <v>0</v>
      </c>
      <c r="J206">
        <v>0</v>
      </c>
      <c r="K206">
        <v>28548.400000000001</v>
      </c>
      <c r="L206">
        <v>0</v>
      </c>
      <c r="M206">
        <v>0</v>
      </c>
      <c r="N206">
        <v>0</v>
      </c>
      <c r="O206">
        <v>-28548.400000000001</v>
      </c>
      <c r="P206">
        <v>0</v>
      </c>
      <c r="Q206">
        <v>28548.400000000001</v>
      </c>
      <c r="R206">
        <v>0</v>
      </c>
      <c r="S206">
        <v>0.43389639740160008</v>
      </c>
      <c r="T206">
        <v>0.43389639740160008</v>
      </c>
      <c r="U206">
        <v>0</v>
      </c>
      <c r="V206">
        <v>0</v>
      </c>
      <c r="W206">
        <v>25693.56</v>
      </c>
      <c r="X206">
        <v>25693.56</v>
      </c>
      <c r="Y206">
        <v>0</v>
      </c>
      <c r="Z206">
        <v>1</v>
      </c>
    </row>
    <row r="207" spans="1:26" x14ac:dyDescent="0.25">
      <c r="A207" t="s">
        <v>27</v>
      </c>
      <c r="B207" t="s">
        <v>53</v>
      </c>
      <c r="C207" t="s">
        <v>76</v>
      </c>
      <c r="D207">
        <v>1</v>
      </c>
      <c r="E207">
        <v>2030</v>
      </c>
      <c r="F207" t="s">
        <v>43</v>
      </c>
      <c r="G207">
        <v>2190992.6315255472</v>
      </c>
      <c r="H207">
        <v>1502068.0760117145</v>
      </c>
      <c r="I207">
        <v>0</v>
      </c>
      <c r="J207">
        <v>0</v>
      </c>
      <c r="K207">
        <v>10062.940438050116</v>
      </c>
      <c r="L207">
        <v>0</v>
      </c>
      <c r="M207">
        <v>0</v>
      </c>
      <c r="N207">
        <v>0</v>
      </c>
      <c r="O207">
        <v>678861.61507578264</v>
      </c>
      <c r="P207">
        <v>678861.61507578264</v>
      </c>
      <c r="Q207">
        <v>10062.940438050116</v>
      </c>
      <c r="R207">
        <v>1.2490205140375557</v>
      </c>
      <c r="S207">
        <v>1.267535066576013</v>
      </c>
      <c r="T207">
        <v>1.8514552538457459E-2</v>
      </c>
      <c r="U207">
        <v>1.2490205140375557</v>
      </c>
      <c r="V207">
        <v>190081.25222121915</v>
      </c>
      <c r="W207">
        <v>192898.87554387318</v>
      </c>
      <c r="X207">
        <v>2817.623322654033</v>
      </c>
      <c r="Y207">
        <v>190081.25222121915</v>
      </c>
      <c r="Z207">
        <v>0</v>
      </c>
    </row>
    <row r="208" spans="1:26" x14ac:dyDescent="0.25">
      <c r="A208" t="s">
        <v>27</v>
      </c>
      <c r="B208" t="s">
        <v>61</v>
      </c>
      <c r="C208" t="s">
        <v>86</v>
      </c>
      <c r="D208">
        <v>0</v>
      </c>
      <c r="E208">
        <v>2030</v>
      </c>
      <c r="F208" t="s">
        <v>43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</row>
    <row r="209" spans="1:26" x14ac:dyDescent="0.25">
      <c r="A209" t="s">
        <v>27</v>
      </c>
      <c r="B209" t="s">
        <v>30</v>
      </c>
      <c r="C209" t="s">
        <v>86</v>
      </c>
      <c r="D209">
        <v>0</v>
      </c>
      <c r="E209">
        <v>2030</v>
      </c>
      <c r="F209" t="s">
        <v>43</v>
      </c>
      <c r="G209">
        <v>100834.72491971773</v>
      </c>
      <c r="H209">
        <v>0</v>
      </c>
      <c r="I209">
        <v>0</v>
      </c>
      <c r="J209">
        <v>233902.44520004498</v>
      </c>
      <c r="K209">
        <v>0</v>
      </c>
      <c r="L209">
        <v>0</v>
      </c>
      <c r="M209">
        <v>0</v>
      </c>
      <c r="N209">
        <v>0</v>
      </c>
      <c r="O209">
        <v>-133067.72028032725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1</v>
      </c>
    </row>
    <row r="210" spans="1:26" x14ac:dyDescent="0.25">
      <c r="A210" t="s">
        <v>27</v>
      </c>
      <c r="B210" t="s">
        <v>52</v>
      </c>
      <c r="C210" t="s">
        <v>77</v>
      </c>
      <c r="D210">
        <v>1</v>
      </c>
      <c r="E210">
        <v>2030</v>
      </c>
      <c r="F210" t="s">
        <v>43</v>
      </c>
      <c r="G210">
        <v>937754.98883303662</v>
      </c>
      <c r="H210">
        <v>94889.448034412562</v>
      </c>
      <c r="I210">
        <v>103520.85960187271</v>
      </c>
      <c r="J210">
        <v>0</v>
      </c>
      <c r="K210">
        <v>23065.005787969905</v>
      </c>
      <c r="L210">
        <v>0</v>
      </c>
      <c r="M210">
        <v>716279.67540878139</v>
      </c>
      <c r="N210">
        <v>0</v>
      </c>
      <c r="O210">
        <v>0</v>
      </c>
      <c r="P210">
        <v>0</v>
      </c>
      <c r="Q210">
        <v>739344.68119675131</v>
      </c>
      <c r="R210">
        <v>0</v>
      </c>
      <c r="S210">
        <v>7.5363102231539605</v>
      </c>
      <c r="T210">
        <v>0.13298221347077202</v>
      </c>
      <c r="U210">
        <v>7.4033280096831886</v>
      </c>
      <c r="V210">
        <v>0</v>
      </c>
      <c r="W210">
        <v>628442.9790172386</v>
      </c>
      <c r="X210">
        <v>19605.254919774419</v>
      </c>
      <c r="Y210">
        <v>608837.72409746423</v>
      </c>
      <c r="Z210">
        <v>0</v>
      </c>
    </row>
    <row r="211" spans="1:26" x14ac:dyDescent="0.25">
      <c r="A211" t="s">
        <v>27</v>
      </c>
      <c r="B211" t="s">
        <v>56</v>
      </c>
      <c r="C211" t="s">
        <v>73</v>
      </c>
      <c r="D211">
        <v>1</v>
      </c>
      <c r="E211">
        <v>2030</v>
      </c>
      <c r="F211" t="s">
        <v>43</v>
      </c>
      <c r="G211">
        <v>456074.89013160887</v>
      </c>
      <c r="H211">
        <v>0</v>
      </c>
      <c r="I211">
        <v>0</v>
      </c>
      <c r="J211">
        <v>0</v>
      </c>
      <c r="K211">
        <v>36.19608838570413</v>
      </c>
      <c r="L211">
        <v>0</v>
      </c>
      <c r="M211">
        <v>456038.69404322316</v>
      </c>
      <c r="N211">
        <v>0</v>
      </c>
      <c r="O211">
        <v>0</v>
      </c>
      <c r="P211">
        <v>0</v>
      </c>
      <c r="Q211">
        <v>456074.89013160887</v>
      </c>
      <c r="R211">
        <v>0</v>
      </c>
      <c r="S211">
        <v>8.1413647955115209</v>
      </c>
      <c r="T211">
        <v>6.1463491805112617E-5</v>
      </c>
      <c r="U211">
        <v>8.1413033320197155</v>
      </c>
      <c r="V211">
        <v>0</v>
      </c>
      <c r="W211">
        <v>136822.46703948267</v>
      </c>
      <c r="X211">
        <v>10.858826515711238</v>
      </c>
      <c r="Y211">
        <v>136811.60821296697</v>
      </c>
      <c r="Z211">
        <v>0</v>
      </c>
    </row>
    <row r="212" spans="1:26" x14ac:dyDescent="0.25">
      <c r="A212" t="s">
        <v>27</v>
      </c>
      <c r="B212" t="s">
        <v>63</v>
      </c>
      <c r="C212" t="s">
        <v>86</v>
      </c>
      <c r="D212">
        <v>0</v>
      </c>
      <c r="E212">
        <v>2030</v>
      </c>
      <c r="F212" t="s">
        <v>43</v>
      </c>
      <c r="G212">
        <v>0</v>
      </c>
      <c r="H212">
        <v>592646.72642582119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-592646.72642582119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1</v>
      </c>
    </row>
    <row r="213" spans="1:26" x14ac:dyDescent="0.25">
      <c r="A213" t="s">
        <v>27</v>
      </c>
      <c r="B213" t="s">
        <v>49</v>
      </c>
      <c r="C213" t="s">
        <v>73</v>
      </c>
      <c r="D213">
        <v>1</v>
      </c>
      <c r="E213">
        <v>2030</v>
      </c>
      <c r="F213" t="s">
        <v>43</v>
      </c>
      <c r="G213">
        <v>202910.9816220197</v>
      </c>
      <c r="H213">
        <v>0</v>
      </c>
      <c r="I213">
        <v>0</v>
      </c>
      <c r="J213">
        <v>0</v>
      </c>
      <c r="K213">
        <v>202910.8690139266</v>
      </c>
      <c r="L213">
        <v>0</v>
      </c>
      <c r="M213">
        <v>0</v>
      </c>
      <c r="N213">
        <v>0</v>
      </c>
      <c r="O213">
        <v>0.11260809309897013</v>
      </c>
      <c r="P213">
        <v>0.11260809309897013</v>
      </c>
      <c r="Q213">
        <v>202910.8690139266</v>
      </c>
      <c r="R213">
        <v>4.8794550644994054E-7</v>
      </c>
      <c r="S213">
        <v>0.74735378571827482</v>
      </c>
      <c r="T213">
        <v>0.74735329777276838</v>
      </c>
      <c r="U213">
        <v>4.8794550644437606E-7</v>
      </c>
      <c r="V213">
        <v>4.7295399101567451E-2</v>
      </c>
      <c r="W213">
        <v>85222.612281248264</v>
      </c>
      <c r="X213">
        <v>85222.564985849167</v>
      </c>
      <c r="Y213">
        <v>4.7295399097492918E-2</v>
      </c>
      <c r="Z213">
        <v>0</v>
      </c>
    </row>
    <row r="214" spans="1:26" x14ac:dyDescent="0.25">
      <c r="A214" t="s">
        <v>27</v>
      </c>
      <c r="B214" t="s">
        <v>78</v>
      </c>
      <c r="C214" t="s">
        <v>86</v>
      </c>
      <c r="D214">
        <v>0</v>
      </c>
      <c r="E214">
        <v>2030</v>
      </c>
      <c r="F214" t="s">
        <v>43</v>
      </c>
      <c r="G214">
        <v>153987.37784910508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153987.37784910508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</row>
    <row r="215" spans="1:26" x14ac:dyDescent="0.25">
      <c r="A215" t="s">
        <v>27</v>
      </c>
      <c r="B215" t="s">
        <v>31</v>
      </c>
      <c r="C215" t="s">
        <v>86</v>
      </c>
      <c r="D215">
        <v>0</v>
      </c>
      <c r="E215">
        <v>2030</v>
      </c>
      <c r="F215" t="s">
        <v>43</v>
      </c>
      <c r="G215">
        <v>122853.28204903381</v>
      </c>
      <c r="H215">
        <v>0</v>
      </c>
      <c r="I215">
        <v>0</v>
      </c>
      <c r="J215">
        <v>106960.41463921656</v>
      </c>
      <c r="K215">
        <v>0</v>
      </c>
      <c r="L215">
        <v>0</v>
      </c>
      <c r="M215">
        <v>0</v>
      </c>
      <c r="N215">
        <v>0</v>
      </c>
      <c r="O215">
        <v>15892.867409817249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</row>
    <row r="216" spans="1:26" x14ac:dyDescent="0.25">
      <c r="A216" t="s">
        <v>27</v>
      </c>
      <c r="B216" t="s">
        <v>29</v>
      </c>
      <c r="C216" t="s">
        <v>77</v>
      </c>
      <c r="D216">
        <v>1</v>
      </c>
      <c r="E216">
        <v>2030</v>
      </c>
      <c r="F216" t="s">
        <v>43</v>
      </c>
      <c r="G216">
        <v>2409167.1046716827</v>
      </c>
      <c r="H216">
        <v>721621.60770550347</v>
      </c>
      <c r="I216">
        <v>0</v>
      </c>
      <c r="J216">
        <v>256234.83946537593</v>
      </c>
      <c r="K216">
        <v>952.06663022948101</v>
      </c>
      <c r="L216">
        <v>0</v>
      </c>
      <c r="M216">
        <v>0</v>
      </c>
      <c r="N216">
        <v>0</v>
      </c>
      <c r="O216">
        <v>1430358.5908705737</v>
      </c>
      <c r="P216">
        <v>1430358.5908705737</v>
      </c>
      <c r="Q216">
        <v>952.06663022948101</v>
      </c>
      <c r="R216">
        <v>4.8987779235289937</v>
      </c>
      <c r="S216">
        <v>4.9020386184482012</v>
      </c>
      <c r="T216">
        <v>3.2606949192077409E-3</v>
      </c>
      <c r="U216">
        <v>4.8987779235289937</v>
      </c>
      <c r="V216">
        <v>443411.16316987784</v>
      </c>
      <c r="W216">
        <v>443706.30382524902</v>
      </c>
      <c r="X216">
        <v>295.14065537113913</v>
      </c>
      <c r="Y216">
        <v>443411.16316987789</v>
      </c>
      <c r="Z216">
        <v>0</v>
      </c>
    </row>
    <row r="217" spans="1:26" x14ac:dyDescent="0.25">
      <c r="A217" t="s">
        <v>27</v>
      </c>
      <c r="B217" t="s">
        <v>69</v>
      </c>
      <c r="C217" t="s">
        <v>86</v>
      </c>
      <c r="D217">
        <v>0</v>
      </c>
      <c r="E217">
        <v>2030</v>
      </c>
      <c r="F217" t="s">
        <v>43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371889.1498666883</v>
      </c>
      <c r="M217">
        <v>0</v>
      </c>
      <c r="N217">
        <v>0</v>
      </c>
      <c r="O217">
        <v>-371889.1498666883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1</v>
      </c>
    </row>
    <row r="218" spans="1:26" x14ac:dyDescent="0.25">
      <c r="A218" t="s">
        <v>27</v>
      </c>
      <c r="B218" t="s">
        <v>45</v>
      </c>
      <c r="C218" t="s">
        <v>74</v>
      </c>
      <c r="D218">
        <v>1</v>
      </c>
      <c r="E218">
        <v>2030</v>
      </c>
      <c r="F218" t="s">
        <v>43</v>
      </c>
      <c r="G218">
        <v>922789.17266620893</v>
      </c>
      <c r="H218">
        <v>0</v>
      </c>
      <c r="I218">
        <v>0</v>
      </c>
      <c r="J218">
        <v>0</v>
      </c>
      <c r="K218">
        <v>701319.77122631879</v>
      </c>
      <c r="L218">
        <v>146723.47845392721</v>
      </c>
      <c r="M218">
        <v>0</v>
      </c>
      <c r="N218">
        <v>0</v>
      </c>
      <c r="O218">
        <v>74745.922985962941</v>
      </c>
      <c r="P218">
        <v>74745.922985962941</v>
      </c>
      <c r="Q218">
        <v>701319.77122631879</v>
      </c>
      <c r="R218">
        <v>3.7835638756264584E-2</v>
      </c>
      <c r="S218">
        <v>0.39283669375331498</v>
      </c>
      <c r="T218">
        <v>0.35500105499705037</v>
      </c>
      <c r="U218">
        <v>3.7835638756264611E-2</v>
      </c>
      <c r="V218">
        <v>5680.6901469331833</v>
      </c>
      <c r="W218">
        <v>58980.992760133413</v>
      </c>
      <c r="X218">
        <v>53300.302613200227</v>
      </c>
      <c r="Y218">
        <v>5680.690146933186</v>
      </c>
      <c r="Z218">
        <v>0</v>
      </c>
    </row>
    <row r="219" spans="1:26" x14ac:dyDescent="0.25">
      <c r="A219" t="s">
        <v>27</v>
      </c>
      <c r="B219" t="s">
        <v>59</v>
      </c>
      <c r="C219" t="s">
        <v>86</v>
      </c>
      <c r="D219">
        <v>0</v>
      </c>
      <c r="E219">
        <v>2030</v>
      </c>
      <c r="F219" t="s">
        <v>43</v>
      </c>
      <c r="G219">
        <v>115210.53389359287</v>
      </c>
      <c r="H219">
        <v>186040.49371289229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-70829.959819299416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</row>
    <row r="220" spans="1:26" x14ac:dyDescent="0.25">
      <c r="A220" t="s">
        <v>27</v>
      </c>
      <c r="B220" t="s">
        <v>54</v>
      </c>
      <c r="C220" t="s">
        <v>76</v>
      </c>
      <c r="D220">
        <v>1</v>
      </c>
      <c r="E220">
        <v>2030</v>
      </c>
      <c r="F220" t="s">
        <v>43</v>
      </c>
      <c r="G220">
        <v>388994.37014569982</v>
      </c>
      <c r="H220">
        <v>694353.26110928762</v>
      </c>
      <c r="I220">
        <v>0</v>
      </c>
      <c r="J220">
        <v>0</v>
      </c>
      <c r="K220">
        <v>15333.686496408332</v>
      </c>
      <c r="L220">
        <v>0</v>
      </c>
      <c r="M220">
        <v>0</v>
      </c>
      <c r="N220">
        <v>0</v>
      </c>
      <c r="O220">
        <v>-320692.5774599961</v>
      </c>
      <c r="P220">
        <v>0</v>
      </c>
      <c r="Q220">
        <v>15333.686496408332</v>
      </c>
      <c r="R220">
        <v>0</v>
      </c>
      <c r="S220">
        <v>5.5047934522105921E-2</v>
      </c>
      <c r="T220">
        <v>5.5047934522105921E-2</v>
      </c>
      <c r="U220">
        <v>0</v>
      </c>
      <c r="V220">
        <v>0</v>
      </c>
      <c r="W220">
        <v>4600.1059489224999</v>
      </c>
      <c r="X220">
        <v>4600.1059489224999</v>
      </c>
      <c r="Y220">
        <v>0</v>
      </c>
      <c r="Z220">
        <v>0</v>
      </c>
    </row>
    <row r="221" spans="1:26" x14ac:dyDescent="0.25">
      <c r="A221" t="s">
        <v>27</v>
      </c>
      <c r="B221" t="s">
        <v>38</v>
      </c>
      <c r="C221" t="s">
        <v>86</v>
      </c>
      <c r="D221">
        <v>0</v>
      </c>
      <c r="E221">
        <v>2030</v>
      </c>
      <c r="F221" t="s">
        <v>43</v>
      </c>
      <c r="G221">
        <v>222296.53737538058</v>
      </c>
      <c r="H221">
        <v>0</v>
      </c>
      <c r="I221">
        <v>0</v>
      </c>
      <c r="J221">
        <v>409035.43180711387</v>
      </c>
      <c r="K221">
        <v>0</v>
      </c>
      <c r="L221">
        <v>0</v>
      </c>
      <c r="M221">
        <v>0</v>
      </c>
      <c r="N221">
        <v>0</v>
      </c>
      <c r="O221">
        <v>-186738.89443173329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</row>
    <row r="222" spans="1:26" x14ac:dyDescent="0.25">
      <c r="A222" t="s">
        <v>27</v>
      </c>
      <c r="B222" t="s">
        <v>35</v>
      </c>
      <c r="C222" t="s">
        <v>79</v>
      </c>
      <c r="D222">
        <v>1</v>
      </c>
      <c r="E222">
        <v>2030</v>
      </c>
      <c r="F222" t="s">
        <v>43</v>
      </c>
      <c r="G222">
        <v>3243.3351780449079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3243.3351780449079</v>
      </c>
      <c r="P222">
        <v>3243.3351780449079</v>
      </c>
      <c r="Q222">
        <v>0</v>
      </c>
      <c r="R222">
        <v>2.9108933222953054E-3</v>
      </c>
      <c r="S222">
        <v>2.9108933222953054E-3</v>
      </c>
      <c r="T222">
        <v>0</v>
      </c>
      <c r="U222">
        <v>2.9108933222953054E-3</v>
      </c>
      <c r="V222">
        <v>486.50027670673614</v>
      </c>
      <c r="W222">
        <v>486.50027670673614</v>
      </c>
      <c r="X222">
        <v>0</v>
      </c>
      <c r="Y222">
        <v>486.50027670673614</v>
      </c>
      <c r="Z222">
        <v>0</v>
      </c>
    </row>
    <row r="223" spans="1:26" x14ac:dyDescent="0.25">
      <c r="A223" t="s">
        <v>27</v>
      </c>
      <c r="B223" t="s">
        <v>33</v>
      </c>
      <c r="C223" t="s">
        <v>86</v>
      </c>
      <c r="D223">
        <v>0</v>
      </c>
      <c r="E223">
        <v>2030</v>
      </c>
      <c r="F223" t="s">
        <v>43</v>
      </c>
      <c r="G223">
        <v>7545.7953205064359</v>
      </c>
      <c r="H223">
        <v>0</v>
      </c>
      <c r="I223">
        <v>0</v>
      </c>
      <c r="J223">
        <v>51975.70917962808</v>
      </c>
      <c r="K223">
        <v>0</v>
      </c>
      <c r="L223">
        <v>0</v>
      </c>
      <c r="M223">
        <v>0</v>
      </c>
      <c r="N223">
        <v>0</v>
      </c>
      <c r="O223">
        <v>-44429.913859121647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</row>
    <row r="224" spans="1:26" x14ac:dyDescent="0.25">
      <c r="A224" t="s">
        <v>27</v>
      </c>
      <c r="B224" t="s">
        <v>80</v>
      </c>
      <c r="C224" t="s">
        <v>86</v>
      </c>
      <c r="D224">
        <v>0</v>
      </c>
      <c r="E224">
        <v>2030</v>
      </c>
      <c r="F224" t="s">
        <v>43</v>
      </c>
      <c r="G224">
        <v>418150.43620360433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418150.43620360433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</row>
    <row r="225" spans="1:26" x14ac:dyDescent="0.25">
      <c r="A225" t="s">
        <v>27</v>
      </c>
      <c r="B225" t="s">
        <v>65</v>
      </c>
      <c r="C225" t="s">
        <v>81</v>
      </c>
      <c r="D225">
        <v>1</v>
      </c>
      <c r="E225">
        <v>2030</v>
      </c>
      <c r="F225" t="s">
        <v>43</v>
      </c>
      <c r="G225">
        <v>39419.677245239443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39419.677245239443</v>
      </c>
      <c r="N225">
        <v>0</v>
      </c>
      <c r="O225">
        <v>0</v>
      </c>
      <c r="P225">
        <v>0</v>
      </c>
      <c r="Q225">
        <v>39419.677245239443</v>
      </c>
      <c r="R225">
        <v>0</v>
      </c>
      <c r="S225">
        <v>0.72532206131240562</v>
      </c>
      <c r="T225">
        <v>0</v>
      </c>
      <c r="U225">
        <v>0.72532206131240562</v>
      </c>
      <c r="V225">
        <v>0</v>
      </c>
      <c r="W225">
        <v>16359.166056774371</v>
      </c>
      <c r="X225">
        <v>0</v>
      </c>
      <c r="Y225">
        <v>16359.166056774371</v>
      </c>
      <c r="Z225">
        <v>0</v>
      </c>
    </row>
    <row r="226" spans="1:26" x14ac:dyDescent="0.25">
      <c r="A226" t="s">
        <v>27</v>
      </c>
      <c r="B226" t="s">
        <v>140</v>
      </c>
      <c r="C226" t="s">
        <v>142</v>
      </c>
      <c r="D226">
        <v>1</v>
      </c>
      <c r="E226">
        <v>2030</v>
      </c>
      <c r="F226" t="s">
        <v>43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</row>
    <row r="227" spans="1:26" x14ac:dyDescent="0.25">
      <c r="A227" t="s">
        <v>27</v>
      </c>
      <c r="B227" t="s">
        <v>141</v>
      </c>
      <c r="C227" t="s">
        <v>142</v>
      </c>
      <c r="D227">
        <v>1</v>
      </c>
      <c r="E227">
        <v>2030</v>
      </c>
      <c r="F227" t="s">
        <v>43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</row>
    <row r="228" spans="1:26" x14ac:dyDescent="0.25">
      <c r="A228" t="s">
        <v>27</v>
      </c>
      <c r="B228" t="s">
        <v>82</v>
      </c>
      <c r="C228" t="s">
        <v>86</v>
      </c>
      <c r="D228">
        <v>0</v>
      </c>
      <c r="E228">
        <v>2030</v>
      </c>
      <c r="F228" t="s">
        <v>43</v>
      </c>
      <c r="G228">
        <v>346161.09873740864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346161.09873740864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</row>
    <row r="229" spans="1:26" x14ac:dyDescent="0.25">
      <c r="A229" t="s">
        <v>27</v>
      </c>
      <c r="B229" t="s">
        <v>72</v>
      </c>
      <c r="C229" t="s">
        <v>86</v>
      </c>
      <c r="D229">
        <v>0</v>
      </c>
      <c r="E229">
        <v>2030</v>
      </c>
      <c r="F229" t="s">
        <v>43</v>
      </c>
      <c r="G229">
        <v>204407.79128636757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204407.79128636757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</row>
    <row r="230" spans="1:26" x14ac:dyDescent="0.25">
      <c r="A230" t="s">
        <v>27</v>
      </c>
      <c r="B230" t="s">
        <v>58</v>
      </c>
      <c r="C230" t="s">
        <v>86</v>
      </c>
      <c r="D230">
        <v>0</v>
      </c>
      <c r="E230">
        <v>2030</v>
      </c>
      <c r="F230" t="s">
        <v>43</v>
      </c>
      <c r="G230">
        <v>102203.89564318379</v>
      </c>
      <c r="H230">
        <v>26278.769501998377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75925.126141185407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</row>
    <row r="231" spans="1:26" x14ac:dyDescent="0.25">
      <c r="A231" t="s">
        <v>27</v>
      </c>
      <c r="B231" t="s">
        <v>64</v>
      </c>
      <c r="C231" t="s">
        <v>64</v>
      </c>
      <c r="D231">
        <v>1</v>
      </c>
      <c r="E231">
        <v>2030</v>
      </c>
      <c r="F231" t="s">
        <v>43</v>
      </c>
      <c r="G231">
        <v>65410.493211637622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65410.493211637622</v>
      </c>
      <c r="N231">
        <v>0</v>
      </c>
      <c r="O231">
        <v>0</v>
      </c>
      <c r="P231">
        <v>0</v>
      </c>
      <c r="Q231">
        <v>65410.493211637622</v>
      </c>
      <c r="R231">
        <v>0</v>
      </c>
      <c r="S231">
        <v>2.2893672624073167</v>
      </c>
      <c r="T231">
        <v>0</v>
      </c>
      <c r="U231">
        <v>2.2893672624073167</v>
      </c>
      <c r="V231">
        <v>0</v>
      </c>
      <c r="W231">
        <v>59523.548822590237</v>
      </c>
      <c r="X231">
        <v>0</v>
      </c>
      <c r="Y231">
        <v>59523.548822590237</v>
      </c>
      <c r="Z231">
        <v>0</v>
      </c>
    </row>
    <row r="232" spans="1:26" x14ac:dyDescent="0.25">
      <c r="A232" t="s">
        <v>27</v>
      </c>
      <c r="B232" t="s">
        <v>55</v>
      </c>
      <c r="C232" t="s">
        <v>76</v>
      </c>
      <c r="D232">
        <v>1</v>
      </c>
      <c r="E232">
        <v>2030</v>
      </c>
      <c r="F232" t="s">
        <v>43</v>
      </c>
      <c r="G232">
        <v>2381738.5992335565</v>
      </c>
      <c r="H232">
        <v>103245.8768300271</v>
      </c>
      <c r="I232">
        <v>0</v>
      </c>
      <c r="J232">
        <v>0</v>
      </c>
      <c r="K232">
        <v>24569.279216726416</v>
      </c>
      <c r="L232">
        <v>0</v>
      </c>
      <c r="M232">
        <v>0</v>
      </c>
      <c r="N232">
        <v>0</v>
      </c>
      <c r="O232">
        <v>2253923.4431868028</v>
      </c>
      <c r="P232">
        <v>1803779.2618535154</v>
      </c>
      <c r="Q232">
        <v>24569.279216726416</v>
      </c>
      <c r="R232">
        <v>4.8955290678409149</v>
      </c>
      <c r="S232">
        <v>4.9622110744062793</v>
      </c>
      <c r="T232">
        <v>6.668200656536416E-2</v>
      </c>
      <c r="U232">
        <v>4.8955290678409149</v>
      </c>
      <c r="V232">
        <v>360755.85237070313</v>
      </c>
      <c r="W232">
        <v>365669.70821404835</v>
      </c>
      <c r="X232">
        <v>4913.8558433452836</v>
      </c>
      <c r="Y232">
        <v>360755.85237070307</v>
      </c>
      <c r="Z232">
        <v>0</v>
      </c>
    </row>
    <row r="233" spans="1:26" x14ac:dyDescent="0.25">
      <c r="A233" t="s">
        <v>27</v>
      </c>
      <c r="B233" t="s">
        <v>83</v>
      </c>
      <c r="C233" t="s">
        <v>86</v>
      </c>
      <c r="D233">
        <v>0</v>
      </c>
      <c r="E233">
        <v>2030</v>
      </c>
      <c r="F233" t="s">
        <v>43</v>
      </c>
      <c r="G233">
        <v>22535.823292320583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22535.823292320583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</row>
    <row r="234" spans="1:26" x14ac:dyDescent="0.25">
      <c r="A234" t="s">
        <v>27</v>
      </c>
      <c r="B234" t="s">
        <v>62</v>
      </c>
      <c r="C234" t="s">
        <v>86</v>
      </c>
      <c r="D234">
        <v>0</v>
      </c>
      <c r="E234">
        <v>2030</v>
      </c>
      <c r="F234" t="s">
        <v>43</v>
      </c>
      <c r="G234">
        <v>18290.426254310609</v>
      </c>
      <c r="H234">
        <v>4837.9324606189484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13452.493793691661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</row>
    <row r="235" spans="1:26" x14ac:dyDescent="0.25">
      <c r="A235" t="s">
        <v>27</v>
      </c>
      <c r="B235" t="s">
        <v>47</v>
      </c>
      <c r="C235" t="s">
        <v>73</v>
      </c>
      <c r="D235">
        <v>1</v>
      </c>
      <c r="E235">
        <v>2030</v>
      </c>
      <c r="F235" t="s">
        <v>43</v>
      </c>
      <c r="G235">
        <v>3344054.0907642334</v>
      </c>
      <c r="H235">
        <v>0</v>
      </c>
      <c r="I235">
        <v>0</v>
      </c>
      <c r="J235">
        <v>0</v>
      </c>
      <c r="K235">
        <v>1268228.6485488336</v>
      </c>
      <c r="L235">
        <v>0</v>
      </c>
      <c r="M235">
        <v>0</v>
      </c>
      <c r="N235">
        <v>0</v>
      </c>
      <c r="O235">
        <v>2075825.4422153998</v>
      </c>
      <c r="P235">
        <v>2075825.4422153998</v>
      </c>
      <c r="Q235">
        <v>1268228.6485488336</v>
      </c>
      <c r="R235">
        <v>1.0358576539199069</v>
      </c>
      <c r="S235">
        <v>1.6687164318322605</v>
      </c>
      <c r="T235">
        <v>0.63285877791235357</v>
      </c>
      <c r="U235">
        <v>1.0358576539199069</v>
      </c>
      <c r="V235">
        <v>124549.52653292398</v>
      </c>
      <c r="W235">
        <v>200643.245445854</v>
      </c>
      <c r="X235">
        <v>76093.71891293001</v>
      </c>
      <c r="Y235">
        <v>124549.52653292399</v>
      </c>
      <c r="Z235">
        <v>0</v>
      </c>
    </row>
    <row r="236" spans="1:26" x14ac:dyDescent="0.25">
      <c r="A236" t="s">
        <v>27</v>
      </c>
      <c r="B236" t="s">
        <v>44</v>
      </c>
      <c r="C236" t="s">
        <v>74</v>
      </c>
      <c r="D236">
        <v>1</v>
      </c>
      <c r="E236">
        <v>2030</v>
      </c>
      <c r="F236" t="s">
        <v>43</v>
      </c>
      <c r="G236">
        <v>2184299.8380428459</v>
      </c>
      <c r="H236">
        <v>0</v>
      </c>
      <c r="I236">
        <v>0</v>
      </c>
      <c r="J236">
        <v>0</v>
      </c>
      <c r="K236">
        <v>1157678.9141627084</v>
      </c>
      <c r="L236">
        <v>1026620.9238801375</v>
      </c>
      <c r="M236">
        <v>0</v>
      </c>
      <c r="N236">
        <v>0</v>
      </c>
      <c r="O236">
        <v>0</v>
      </c>
      <c r="P236">
        <v>0</v>
      </c>
      <c r="Q236">
        <v>1157678.9141627084</v>
      </c>
      <c r="R236">
        <v>0</v>
      </c>
      <c r="S236">
        <v>0.49872807622129489</v>
      </c>
      <c r="T236">
        <v>0.49872807622129489</v>
      </c>
      <c r="U236">
        <v>0</v>
      </c>
      <c r="V236">
        <v>0</v>
      </c>
      <c r="W236">
        <v>57883.945708135427</v>
      </c>
      <c r="X236">
        <v>57883.945708135427</v>
      </c>
      <c r="Y236">
        <v>0</v>
      </c>
      <c r="Z236">
        <v>0</v>
      </c>
    </row>
    <row r="237" spans="1:26" x14ac:dyDescent="0.25">
      <c r="A237" t="s">
        <v>27</v>
      </c>
      <c r="B237" t="s">
        <v>32</v>
      </c>
      <c r="C237" t="s">
        <v>86</v>
      </c>
      <c r="D237">
        <v>0</v>
      </c>
      <c r="E237">
        <v>2030</v>
      </c>
      <c r="F237" t="s">
        <v>43</v>
      </c>
      <c r="G237">
        <v>199670.11202830033</v>
      </c>
      <c r="H237">
        <v>0</v>
      </c>
      <c r="I237">
        <v>0</v>
      </c>
      <c r="J237">
        <v>105526.43984954793</v>
      </c>
      <c r="K237">
        <v>0</v>
      </c>
      <c r="L237">
        <v>0</v>
      </c>
      <c r="M237">
        <v>0</v>
      </c>
      <c r="N237">
        <v>0</v>
      </c>
      <c r="O237">
        <v>94143.6721787524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</row>
    <row r="238" spans="1:26" x14ac:dyDescent="0.25">
      <c r="A238" t="s">
        <v>27</v>
      </c>
      <c r="B238" t="s">
        <v>36</v>
      </c>
      <c r="C238" t="s">
        <v>79</v>
      </c>
      <c r="D238">
        <v>1</v>
      </c>
      <c r="E238">
        <v>2030</v>
      </c>
      <c r="F238" t="s">
        <v>43</v>
      </c>
      <c r="G238">
        <v>3600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3600</v>
      </c>
      <c r="P238">
        <v>3600</v>
      </c>
      <c r="Q238">
        <v>0</v>
      </c>
      <c r="R238">
        <v>3.2310000000000004E-3</v>
      </c>
      <c r="S238">
        <v>3.2310000000000004E-3</v>
      </c>
      <c r="T238">
        <v>0</v>
      </c>
      <c r="U238">
        <v>3.2310000000000004E-3</v>
      </c>
      <c r="V238">
        <v>540</v>
      </c>
      <c r="W238">
        <v>540</v>
      </c>
      <c r="X238">
        <v>0</v>
      </c>
      <c r="Y238">
        <v>540</v>
      </c>
      <c r="Z238">
        <v>0</v>
      </c>
    </row>
    <row r="239" spans="1:26" x14ac:dyDescent="0.25">
      <c r="A239" t="s">
        <v>27</v>
      </c>
      <c r="B239" t="s">
        <v>84</v>
      </c>
      <c r="C239" t="s">
        <v>86</v>
      </c>
      <c r="D239">
        <v>1</v>
      </c>
      <c r="E239">
        <v>2030</v>
      </c>
      <c r="F239" t="s">
        <v>43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</row>
    <row r="240" spans="1:26" x14ac:dyDescent="0.25">
      <c r="A240" t="s">
        <v>27</v>
      </c>
      <c r="B240" t="s">
        <v>66</v>
      </c>
      <c r="C240" t="s">
        <v>81</v>
      </c>
      <c r="D240">
        <v>1</v>
      </c>
      <c r="E240">
        <v>2030</v>
      </c>
      <c r="F240" t="s">
        <v>43</v>
      </c>
      <c r="G240">
        <v>645037.98201828008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645037.98201828008</v>
      </c>
      <c r="N240">
        <v>0</v>
      </c>
      <c r="O240">
        <v>0</v>
      </c>
      <c r="P240">
        <v>0</v>
      </c>
      <c r="Q240">
        <v>645037.98201828008</v>
      </c>
      <c r="R240">
        <v>0</v>
      </c>
      <c r="S240">
        <v>9.3489024359990136</v>
      </c>
      <c r="T240">
        <v>0</v>
      </c>
      <c r="U240">
        <v>9.3489024359990136</v>
      </c>
      <c r="V240">
        <v>0</v>
      </c>
      <c r="W240">
        <v>319025.0352732077</v>
      </c>
      <c r="X240">
        <v>0</v>
      </c>
      <c r="Y240">
        <v>319025.0352732077</v>
      </c>
      <c r="Z240">
        <v>0</v>
      </c>
    </row>
    <row r="241" spans="1:26" x14ac:dyDescent="0.25">
      <c r="A241" t="s">
        <v>27</v>
      </c>
      <c r="B241" t="s">
        <v>85</v>
      </c>
      <c r="C241" t="s">
        <v>86</v>
      </c>
      <c r="D241">
        <v>0</v>
      </c>
      <c r="E241">
        <v>2030</v>
      </c>
      <c r="F241" t="s">
        <v>43</v>
      </c>
      <c r="G241">
        <v>177359.22120275494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177359.22120275494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</row>
    <row r="242" spans="1:26" x14ac:dyDescent="0.25">
      <c r="A242" t="s">
        <v>27</v>
      </c>
      <c r="B242" t="s">
        <v>40</v>
      </c>
      <c r="C242" t="s">
        <v>86</v>
      </c>
      <c r="D242">
        <v>0</v>
      </c>
      <c r="E242">
        <v>2050</v>
      </c>
      <c r="F242" t="s">
        <v>43</v>
      </c>
      <c r="G242">
        <v>17476.099590900943</v>
      </c>
      <c r="H242">
        <v>0</v>
      </c>
      <c r="I242">
        <v>0</v>
      </c>
      <c r="J242">
        <v>29532.002020101954</v>
      </c>
      <c r="K242">
        <v>0</v>
      </c>
      <c r="L242">
        <v>0</v>
      </c>
      <c r="M242">
        <v>0</v>
      </c>
      <c r="N242">
        <v>0</v>
      </c>
      <c r="O242">
        <v>-12055.902429201011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</row>
    <row r="243" spans="1:26" x14ac:dyDescent="0.25">
      <c r="A243" t="s">
        <v>27</v>
      </c>
      <c r="B243" t="s">
        <v>34</v>
      </c>
      <c r="C243" t="s">
        <v>86</v>
      </c>
      <c r="D243">
        <v>0</v>
      </c>
      <c r="E243">
        <v>2050</v>
      </c>
      <c r="F243" t="s">
        <v>43</v>
      </c>
      <c r="G243">
        <v>27846.800257878294</v>
      </c>
      <c r="H243">
        <v>7916.616753740097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19930.183504138196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</row>
    <row r="244" spans="1:26" x14ac:dyDescent="0.25">
      <c r="A244" t="s">
        <v>27</v>
      </c>
      <c r="B244" t="s">
        <v>48</v>
      </c>
      <c r="C244" t="s">
        <v>73</v>
      </c>
      <c r="D244">
        <v>1</v>
      </c>
      <c r="E244">
        <v>2050</v>
      </c>
      <c r="F244" t="s">
        <v>43</v>
      </c>
      <c r="G244">
        <v>172292.68030975034</v>
      </c>
      <c r="H244">
        <v>0</v>
      </c>
      <c r="I244">
        <v>0</v>
      </c>
      <c r="J244">
        <v>0</v>
      </c>
      <c r="K244">
        <v>172292.76645701908</v>
      </c>
      <c r="L244">
        <v>0</v>
      </c>
      <c r="M244">
        <v>0</v>
      </c>
      <c r="N244">
        <v>0</v>
      </c>
      <c r="O244">
        <v>-8.6147268739296123E-2</v>
      </c>
      <c r="P244">
        <v>0</v>
      </c>
      <c r="Q244">
        <v>172292.76645701908</v>
      </c>
      <c r="R244">
        <v>0</v>
      </c>
      <c r="S244">
        <v>0.58698594897008305</v>
      </c>
      <c r="T244">
        <v>0.58698594897008305</v>
      </c>
      <c r="U244">
        <v>0</v>
      </c>
      <c r="V244">
        <v>0</v>
      </c>
      <c r="W244">
        <v>48241.974607965349</v>
      </c>
      <c r="X244">
        <v>48241.974607965349</v>
      </c>
      <c r="Y244">
        <v>0</v>
      </c>
      <c r="Z244">
        <v>1</v>
      </c>
    </row>
    <row r="245" spans="1:26" x14ac:dyDescent="0.25">
      <c r="A245" t="s">
        <v>27</v>
      </c>
      <c r="B245" t="s">
        <v>11</v>
      </c>
      <c r="C245" t="s">
        <v>86</v>
      </c>
      <c r="D245">
        <v>1</v>
      </c>
      <c r="E245">
        <v>2050</v>
      </c>
      <c r="F245" t="s">
        <v>43</v>
      </c>
      <c r="G245">
        <v>109846697.94483337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109846697.94483337</v>
      </c>
      <c r="N245">
        <v>0</v>
      </c>
      <c r="O245">
        <v>0</v>
      </c>
      <c r="P245">
        <v>0</v>
      </c>
      <c r="Q245">
        <v>109846697.94483337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</row>
    <row r="246" spans="1:26" x14ac:dyDescent="0.25">
      <c r="A246" t="s">
        <v>27</v>
      </c>
      <c r="B246" t="s">
        <v>68</v>
      </c>
      <c r="C246" t="s">
        <v>86</v>
      </c>
      <c r="D246">
        <v>0</v>
      </c>
      <c r="E246">
        <v>2050</v>
      </c>
      <c r="F246" t="s">
        <v>43</v>
      </c>
      <c r="G246">
        <v>3485476.5557184103</v>
      </c>
      <c r="H246">
        <v>0</v>
      </c>
      <c r="I246">
        <v>0</v>
      </c>
      <c r="J246">
        <v>0</v>
      </c>
      <c r="K246">
        <v>0</v>
      </c>
      <c r="L246">
        <v>3027912.4262798992</v>
      </c>
      <c r="M246">
        <v>0</v>
      </c>
      <c r="N246">
        <v>0</v>
      </c>
      <c r="O246">
        <v>457564.1294385111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</row>
    <row r="247" spans="1:26" x14ac:dyDescent="0.25">
      <c r="A247" t="s">
        <v>27</v>
      </c>
      <c r="B247" t="s">
        <v>51</v>
      </c>
      <c r="C247" t="s">
        <v>73</v>
      </c>
      <c r="D247">
        <v>1</v>
      </c>
      <c r="E247">
        <v>2050</v>
      </c>
      <c r="F247" t="s">
        <v>43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</row>
    <row r="248" spans="1:26" x14ac:dyDescent="0.25">
      <c r="A248" t="s">
        <v>27</v>
      </c>
      <c r="B248" t="s">
        <v>50</v>
      </c>
      <c r="C248" t="s">
        <v>74</v>
      </c>
      <c r="D248">
        <v>1</v>
      </c>
      <c r="E248">
        <v>2050</v>
      </c>
      <c r="F248" t="s">
        <v>43</v>
      </c>
      <c r="G248">
        <v>377058.10701599991</v>
      </c>
      <c r="H248">
        <v>0</v>
      </c>
      <c r="I248">
        <v>0</v>
      </c>
      <c r="J248">
        <v>0</v>
      </c>
      <c r="K248">
        <v>188529.05350799995</v>
      </c>
      <c r="L248">
        <v>71371.713113742837</v>
      </c>
      <c r="M248">
        <v>0</v>
      </c>
      <c r="N248">
        <v>0</v>
      </c>
      <c r="O248">
        <v>117157.3403942571</v>
      </c>
      <c r="P248">
        <v>117157.3403942571</v>
      </c>
      <c r="Q248">
        <v>188529.05350799995</v>
      </c>
      <c r="R248">
        <v>0.25235691120922982</v>
      </c>
      <c r="S248">
        <v>0.65844849246546167</v>
      </c>
      <c r="T248">
        <v>0.4060915812562319</v>
      </c>
      <c r="U248">
        <v>0.25235691120922976</v>
      </c>
      <c r="V248">
        <v>35147.202118277128</v>
      </c>
      <c r="W248">
        <v>91705.91817067712</v>
      </c>
      <c r="X248">
        <v>56558.716052399985</v>
      </c>
      <c r="Y248">
        <v>35147.202118277135</v>
      </c>
      <c r="Z248">
        <v>0</v>
      </c>
    </row>
    <row r="249" spans="1:26" x14ac:dyDescent="0.25">
      <c r="A249" t="s">
        <v>27</v>
      </c>
      <c r="B249" t="s">
        <v>60</v>
      </c>
      <c r="C249" t="s">
        <v>86</v>
      </c>
      <c r="D249">
        <v>0</v>
      </c>
      <c r="E249">
        <v>2050</v>
      </c>
      <c r="F249" t="s">
        <v>43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</row>
    <row r="250" spans="1:26" x14ac:dyDescent="0.25">
      <c r="A250" t="s">
        <v>27</v>
      </c>
      <c r="B250" t="s">
        <v>46</v>
      </c>
      <c r="C250" t="s">
        <v>74</v>
      </c>
      <c r="D250">
        <v>1</v>
      </c>
      <c r="E250">
        <v>2050</v>
      </c>
      <c r="F250" t="s">
        <v>43</v>
      </c>
      <c r="G250">
        <v>723.09839736855315</v>
      </c>
      <c r="H250">
        <v>0</v>
      </c>
      <c r="I250">
        <v>0</v>
      </c>
      <c r="J250">
        <v>0</v>
      </c>
      <c r="K250">
        <v>361.54919868427658</v>
      </c>
      <c r="L250">
        <v>273.74439328952366</v>
      </c>
      <c r="M250">
        <v>0</v>
      </c>
      <c r="N250">
        <v>0</v>
      </c>
      <c r="O250">
        <v>87.804805394752975</v>
      </c>
      <c r="P250">
        <v>87.804805394752975</v>
      </c>
      <c r="Q250">
        <v>361.54919868427658</v>
      </c>
      <c r="R250">
        <v>4.1293721929098376E-5</v>
      </c>
      <c r="S250">
        <v>2.1132669457832681E-4</v>
      </c>
      <c r="T250">
        <v>1.7003297264922844E-4</v>
      </c>
      <c r="U250">
        <v>4.1293721929098369E-5</v>
      </c>
      <c r="V250">
        <v>5.5317027398694378</v>
      </c>
      <c r="W250">
        <v>28.30930225697886</v>
      </c>
      <c r="X250">
        <v>22.777599517109426</v>
      </c>
      <c r="Y250">
        <v>5.5317027398694343</v>
      </c>
      <c r="Z250">
        <v>0</v>
      </c>
    </row>
    <row r="251" spans="1:26" x14ac:dyDescent="0.25">
      <c r="A251" t="s">
        <v>27</v>
      </c>
      <c r="B251" t="s">
        <v>39</v>
      </c>
      <c r="C251" t="s">
        <v>86</v>
      </c>
      <c r="D251">
        <v>0</v>
      </c>
      <c r="E251">
        <v>2050</v>
      </c>
      <c r="F251" t="s">
        <v>43</v>
      </c>
      <c r="G251">
        <v>14575.114892812006</v>
      </c>
      <c r="H251">
        <v>0</v>
      </c>
      <c r="I251">
        <v>0</v>
      </c>
      <c r="J251">
        <v>31993.002188443785</v>
      </c>
      <c r="K251">
        <v>0</v>
      </c>
      <c r="L251">
        <v>0</v>
      </c>
      <c r="M251">
        <v>0</v>
      </c>
      <c r="N251">
        <v>0</v>
      </c>
      <c r="O251">
        <v>-17417.887295631779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</row>
    <row r="252" spans="1:26" x14ac:dyDescent="0.25">
      <c r="A252" t="s">
        <v>27</v>
      </c>
      <c r="B252" t="s">
        <v>75</v>
      </c>
      <c r="C252" t="s">
        <v>86</v>
      </c>
      <c r="D252">
        <v>0</v>
      </c>
      <c r="E252">
        <v>2050</v>
      </c>
      <c r="F252" t="s">
        <v>43</v>
      </c>
      <c r="G252">
        <v>629229.83697533351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629229.83697533351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</row>
    <row r="253" spans="1:26" x14ac:dyDescent="0.25">
      <c r="A253" t="s">
        <v>27</v>
      </c>
      <c r="B253" t="s">
        <v>41</v>
      </c>
      <c r="C253" t="s">
        <v>86</v>
      </c>
      <c r="D253">
        <v>0</v>
      </c>
      <c r="E253">
        <v>2050</v>
      </c>
      <c r="F253" t="s">
        <v>43</v>
      </c>
      <c r="G253">
        <v>16274.021455837808</v>
      </c>
      <c r="H253">
        <v>0</v>
      </c>
      <c r="I253">
        <v>0</v>
      </c>
      <c r="J253">
        <v>233795.01599247381</v>
      </c>
      <c r="K253">
        <v>0</v>
      </c>
      <c r="L253">
        <v>0</v>
      </c>
      <c r="M253">
        <v>0</v>
      </c>
      <c r="N253">
        <v>0</v>
      </c>
      <c r="O253">
        <v>-217520.99453663599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1</v>
      </c>
    </row>
    <row r="254" spans="1:26" x14ac:dyDescent="0.25">
      <c r="A254" t="s">
        <v>27</v>
      </c>
      <c r="B254" t="s">
        <v>57</v>
      </c>
      <c r="C254" t="s">
        <v>57</v>
      </c>
      <c r="D254">
        <v>1</v>
      </c>
      <c r="E254">
        <v>2050</v>
      </c>
      <c r="F254" t="s">
        <v>43</v>
      </c>
      <c r="G254">
        <v>0</v>
      </c>
      <c r="H254">
        <v>0</v>
      </c>
      <c r="I254">
        <v>0</v>
      </c>
      <c r="J254">
        <v>0</v>
      </c>
      <c r="K254">
        <v>28548.400000000001</v>
      </c>
      <c r="L254">
        <v>0</v>
      </c>
      <c r="M254">
        <v>0</v>
      </c>
      <c r="N254">
        <v>0</v>
      </c>
      <c r="O254">
        <v>-28548.400000000001</v>
      </c>
      <c r="P254">
        <v>0</v>
      </c>
      <c r="Q254">
        <v>28548.400000000001</v>
      </c>
      <c r="R254">
        <v>0</v>
      </c>
      <c r="S254">
        <v>0.43389639740160008</v>
      </c>
      <c r="T254">
        <v>0.43389639740160008</v>
      </c>
      <c r="U254">
        <v>0</v>
      </c>
      <c r="V254">
        <v>0</v>
      </c>
      <c r="W254">
        <v>25693.56</v>
      </c>
      <c r="X254">
        <v>25693.56</v>
      </c>
      <c r="Y254">
        <v>0</v>
      </c>
      <c r="Z254">
        <v>1</v>
      </c>
    </row>
    <row r="255" spans="1:26" x14ac:dyDescent="0.25">
      <c r="A255" t="s">
        <v>27</v>
      </c>
      <c r="B255" t="s">
        <v>53</v>
      </c>
      <c r="C255" t="s">
        <v>76</v>
      </c>
      <c r="D255">
        <v>1</v>
      </c>
      <c r="E255">
        <v>2050</v>
      </c>
      <c r="F255" t="s">
        <v>43</v>
      </c>
      <c r="G255">
        <v>2163650.2851152783</v>
      </c>
      <c r="H255">
        <v>1502068.0760117143</v>
      </c>
      <c r="I255">
        <v>0</v>
      </c>
      <c r="J255">
        <v>0</v>
      </c>
      <c r="K255">
        <v>10149.946321457959</v>
      </c>
      <c r="L255">
        <v>0</v>
      </c>
      <c r="M255">
        <v>0</v>
      </c>
      <c r="N255">
        <v>0</v>
      </c>
      <c r="O255">
        <v>651432.26278210618</v>
      </c>
      <c r="P255">
        <v>651432.26278210618</v>
      </c>
      <c r="Q255">
        <v>10149.946321457959</v>
      </c>
      <c r="R255">
        <v>1.1985539344862277</v>
      </c>
      <c r="S255">
        <v>1.2172285669744203</v>
      </c>
      <c r="T255">
        <v>1.8674632488192462E-2</v>
      </c>
      <c r="U255">
        <v>1.1985539344862277</v>
      </c>
      <c r="V255">
        <v>182401.03357898974</v>
      </c>
      <c r="W255">
        <v>185243.01854899799</v>
      </c>
      <c r="X255">
        <v>2841.9849700082286</v>
      </c>
      <c r="Y255">
        <v>182401.03357898977</v>
      </c>
      <c r="Z255">
        <v>0</v>
      </c>
    </row>
    <row r="256" spans="1:26" x14ac:dyDescent="0.25">
      <c r="A256" t="s">
        <v>27</v>
      </c>
      <c r="B256" t="s">
        <v>61</v>
      </c>
      <c r="C256" t="s">
        <v>86</v>
      </c>
      <c r="D256">
        <v>0</v>
      </c>
      <c r="E256">
        <v>2050</v>
      </c>
      <c r="F256" t="s">
        <v>43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</row>
    <row r="257" spans="1:26" x14ac:dyDescent="0.25">
      <c r="A257" t="s">
        <v>27</v>
      </c>
      <c r="B257" t="s">
        <v>30</v>
      </c>
      <c r="C257" t="s">
        <v>86</v>
      </c>
      <c r="D257">
        <v>0</v>
      </c>
      <c r="E257">
        <v>2050</v>
      </c>
      <c r="F257" t="s">
        <v>43</v>
      </c>
      <c r="G257">
        <v>98333.203509519633</v>
      </c>
      <c r="H257">
        <v>0</v>
      </c>
      <c r="I257">
        <v>0</v>
      </c>
      <c r="J257">
        <v>244869.51675001203</v>
      </c>
      <c r="K257">
        <v>0</v>
      </c>
      <c r="L257">
        <v>0</v>
      </c>
      <c r="M257">
        <v>0</v>
      </c>
      <c r="N257">
        <v>0</v>
      </c>
      <c r="O257">
        <v>-146536.3132404924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1</v>
      </c>
    </row>
    <row r="258" spans="1:26" x14ac:dyDescent="0.25">
      <c r="A258" t="s">
        <v>27</v>
      </c>
      <c r="B258" t="s">
        <v>52</v>
      </c>
      <c r="C258" t="s">
        <v>77</v>
      </c>
      <c r="D258">
        <v>1</v>
      </c>
      <c r="E258">
        <v>2050</v>
      </c>
      <c r="F258" t="s">
        <v>43</v>
      </c>
      <c r="G258">
        <v>917722.26759868616</v>
      </c>
      <c r="H258">
        <v>94889.448034412548</v>
      </c>
      <c r="I258">
        <v>103062.42440743271</v>
      </c>
      <c r="J258">
        <v>0</v>
      </c>
      <c r="K258">
        <v>23390.092564080911</v>
      </c>
      <c r="L258">
        <v>0</v>
      </c>
      <c r="M258">
        <v>696380.30259275995</v>
      </c>
      <c r="N258">
        <v>0</v>
      </c>
      <c r="O258">
        <v>0</v>
      </c>
      <c r="P258">
        <v>0</v>
      </c>
      <c r="Q258">
        <v>719770.39515684091</v>
      </c>
      <c r="R258">
        <v>0</v>
      </c>
      <c r="S258">
        <v>7.3325084602684676</v>
      </c>
      <c r="T258">
        <v>0.13485651428191106</v>
      </c>
      <c r="U258">
        <v>7.1976519459865562</v>
      </c>
      <c r="V258">
        <v>0</v>
      </c>
      <c r="W258">
        <v>611804.83588331472</v>
      </c>
      <c r="X258">
        <v>19881.578679468774</v>
      </c>
      <c r="Y258">
        <v>591923.25720384601</v>
      </c>
      <c r="Z258">
        <v>0</v>
      </c>
    </row>
    <row r="259" spans="1:26" x14ac:dyDescent="0.25">
      <c r="A259" t="s">
        <v>27</v>
      </c>
      <c r="B259" t="s">
        <v>56</v>
      </c>
      <c r="C259" t="s">
        <v>73</v>
      </c>
      <c r="D259">
        <v>1</v>
      </c>
      <c r="E259">
        <v>2050</v>
      </c>
      <c r="F259" t="s">
        <v>43</v>
      </c>
      <c r="G259">
        <v>457927.02496060182</v>
      </c>
      <c r="H259">
        <v>0</v>
      </c>
      <c r="I259">
        <v>0</v>
      </c>
      <c r="J259">
        <v>0</v>
      </c>
      <c r="K259">
        <v>36.343081867307831</v>
      </c>
      <c r="L259">
        <v>0</v>
      </c>
      <c r="M259">
        <v>457890.6818787345</v>
      </c>
      <c r="N259">
        <v>0</v>
      </c>
      <c r="O259">
        <v>0</v>
      </c>
      <c r="P259">
        <v>0</v>
      </c>
      <c r="Q259">
        <v>457927.02496060182</v>
      </c>
      <c r="R259">
        <v>0</v>
      </c>
      <c r="S259">
        <v>8.1744271403578974</v>
      </c>
      <c r="T259">
        <v>6.1713097026419407E-5</v>
      </c>
      <c r="U259">
        <v>8.1743654272608701</v>
      </c>
      <c r="V259">
        <v>0</v>
      </c>
      <c r="W259">
        <v>137378.10748818054</v>
      </c>
      <c r="X259">
        <v>10.902924560192348</v>
      </c>
      <c r="Y259">
        <v>137367.20456362035</v>
      </c>
      <c r="Z259">
        <v>0</v>
      </c>
    </row>
    <row r="260" spans="1:26" x14ac:dyDescent="0.25">
      <c r="A260" t="s">
        <v>27</v>
      </c>
      <c r="B260" t="s">
        <v>63</v>
      </c>
      <c r="C260" t="s">
        <v>86</v>
      </c>
      <c r="D260">
        <v>0</v>
      </c>
      <c r="E260">
        <v>2050</v>
      </c>
      <c r="F260" t="s">
        <v>43</v>
      </c>
      <c r="G260">
        <v>0</v>
      </c>
      <c r="H260">
        <v>592646.72642582108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-592646.72642582108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1</v>
      </c>
    </row>
    <row r="261" spans="1:26" x14ac:dyDescent="0.25">
      <c r="A261" t="s">
        <v>27</v>
      </c>
      <c r="B261" t="s">
        <v>49</v>
      </c>
      <c r="C261" t="s">
        <v>73</v>
      </c>
      <c r="D261">
        <v>1</v>
      </c>
      <c r="E261">
        <v>2050</v>
      </c>
      <c r="F261" t="s">
        <v>43</v>
      </c>
      <c r="G261">
        <v>203334.81459864558</v>
      </c>
      <c r="H261">
        <v>0</v>
      </c>
      <c r="I261">
        <v>0</v>
      </c>
      <c r="J261">
        <v>0</v>
      </c>
      <c r="K261">
        <v>203334.8469193347</v>
      </c>
      <c r="L261">
        <v>0</v>
      </c>
      <c r="M261">
        <v>0</v>
      </c>
      <c r="N261">
        <v>0</v>
      </c>
      <c r="O261">
        <v>-3.2320689118932933E-2</v>
      </c>
      <c r="P261">
        <v>0</v>
      </c>
      <c r="Q261">
        <v>203334.8469193347</v>
      </c>
      <c r="R261">
        <v>0</v>
      </c>
      <c r="S261">
        <v>0.74891487644684029</v>
      </c>
      <c r="T261">
        <v>0.74891487644684029</v>
      </c>
      <c r="U261">
        <v>0</v>
      </c>
      <c r="V261">
        <v>0</v>
      </c>
      <c r="W261">
        <v>85400.635706120564</v>
      </c>
      <c r="X261">
        <v>85400.635706120564</v>
      </c>
      <c r="Y261">
        <v>0</v>
      </c>
      <c r="Z261">
        <v>1</v>
      </c>
    </row>
    <row r="262" spans="1:26" x14ac:dyDescent="0.25">
      <c r="A262" t="s">
        <v>27</v>
      </c>
      <c r="B262" t="s">
        <v>78</v>
      </c>
      <c r="C262" t="s">
        <v>86</v>
      </c>
      <c r="D262">
        <v>0</v>
      </c>
      <c r="E262">
        <v>2050</v>
      </c>
      <c r="F262" t="s">
        <v>43</v>
      </c>
      <c r="G262">
        <v>150184.32869116802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150184.32869116802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</row>
    <row r="263" spans="1:26" x14ac:dyDescent="0.25">
      <c r="A263" t="s">
        <v>27</v>
      </c>
      <c r="B263" t="s">
        <v>31</v>
      </c>
      <c r="C263" t="s">
        <v>86</v>
      </c>
      <c r="D263">
        <v>0</v>
      </c>
      <c r="E263">
        <v>2050</v>
      </c>
      <c r="F263" t="s">
        <v>43</v>
      </c>
      <c r="G263">
        <v>119824.59197839584</v>
      </c>
      <c r="H263">
        <v>0</v>
      </c>
      <c r="I263">
        <v>0</v>
      </c>
      <c r="J263">
        <v>111975.50765955324</v>
      </c>
      <c r="K263">
        <v>0</v>
      </c>
      <c r="L263">
        <v>0</v>
      </c>
      <c r="M263">
        <v>0</v>
      </c>
      <c r="N263">
        <v>0</v>
      </c>
      <c r="O263">
        <v>7849.0843188425933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</row>
    <row r="264" spans="1:26" x14ac:dyDescent="0.25">
      <c r="A264" t="s">
        <v>27</v>
      </c>
      <c r="B264" t="s">
        <v>29</v>
      </c>
      <c r="C264" t="s">
        <v>77</v>
      </c>
      <c r="D264">
        <v>1</v>
      </c>
      <c r="E264">
        <v>2050</v>
      </c>
      <c r="F264" t="s">
        <v>43</v>
      </c>
      <c r="G264">
        <v>2360239.3885877775</v>
      </c>
      <c r="H264">
        <v>721621.60770550335</v>
      </c>
      <c r="I264">
        <v>0</v>
      </c>
      <c r="J264">
        <v>268249.01834925939</v>
      </c>
      <c r="K264">
        <v>960.24397829585632</v>
      </c>
      <c r="L264">
        <v>0</v>
      </c>
      <c r="M264">
        <v>0</v>
      </c>
      <c r="N264">
        <v>0</v>
      </c>
      <c r="O264">
        <v>1369408.5185547189</v>
      </c>
      <c r="P264">
        <v>1369408.5185547189</v>
      </c>
      <c r="Q264">
        <v>960.24397829585632</v>
      </c>
      <c r="R264">
        <v>4.6900324588573152</v>
      </c>
      <c r="S264">
        <v>4.6933211600488214</v>
      </c>
      <c r="T264">
        <v>3.288701191506347E-3</v>
      </c>
      <c r="U264">
        <v>4.6900324588573152</v>
      </c>
      <c r="V264">
        <v>424516.64075196284</v>
      </c>
      <c r="W264">
        <v>424814.31638523459</v>
      </c>
      <c r="X264">
        <v>297.67563327171547</v>
      </c>
      <c r="Y264">
        <v>424516.6407519629</v>
      </c>
      <c r="Z264">
        <v>0</v>
      </c>
    </row>
    <row r="265" spans="1:26" x14ac:dyDescent="0.25">
      <c r="A265" t="s">
        <v>27</v>
      </c>
      <c r="B265" t="s">
        <v>69</v>
      </c>
      <c r="C265" t="s">
        <v>86</v>
      </c>
      <c r="D265">
        <v>0</v>
      </c>
      <c r="E265">
        <v>2050</v>
      </c>
      <c r="F265" t="s">
        <v>43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362262.716942953</v>
      </c>
      <c r="M265">
        <v>0</v>
      </c>
      <c r="N265">
        <v>0</v>
      </c>
      <c r="O265">
        <v>-362262.716942953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1</v>
      </c>
    </row>
    <row r="266" spans="1:26" x14ac:dyDescent="0.25">
      <c r="A266" t="s">
        <v>27</v>
      </c>
      <c r="B266" t="s">
        <v>45</v>
      </c>
      <c r="C266" t="s">
        <v>74</v>
      </c>
      <c r="D266">
        <v>1</v>
      </c>
      <c r="E266">
        <v>2050</v>
      </c>
      <c r="F266" t="s">
        <v>43</v>
      </c>
      <c r="G266">
        <v>905156.40673249087</v>
      </c>
      <c r="H266">
        <v>0</v>
      </c>
      <c r="I266">
        <v>0</v>
      </c>
      <c r="J266">
        <v>0</v>
      </c>
      <c r="K266">
        <v>687918.86911669304</v>
      </c>
      <c r="L266">
        <v>143919.86867046604</v>
      </c>
      <c r="M266">
        <v>0</v>
      </c>
      <c r="N266">
        <v>0</v>
      </c>
      <c r="O266">
        <v>73317.668945331825</v>
      </c>
      <c r="P266">
        <v>73317.668945331825</v>
      </c>
      <c r="Q266">
        <v>687918.86911669304</v>
      </c>
      <c r="R266">
        <v>3.7112670843437522E-2</v>
      </c>
      <c r="S266">
        <v>0.38533032320161636</v>
      </c>
      <c r="T266">
        <v>0.34821765235817886</v>
      </c>
      <c r="U266">
        <v>3.7112670843437501E-2</v>
      </c>
      <c r="V266">
        <v>5572.142839845219</v>
      </c>
      <c r="W266">
        <v>57853.976892713887</v>
      </c>
      <c r="X266">
        <v>52281.834052868668</v>
      </c>
      <c r="Y266">
        <v>5572.142839845219</v>
      </c>
      <c r="Z266">
        <v>0</v>
      </c>
    </row>
    <row r="267" spans="1:26" x14ac:dyDescent="0.25">
      <c r="A267" t="s">
        <v>27</v>
      </c>
      <c r="B267" t="s">
        <v>59</v>
      </c>
      <c r="C267" t="s">
        <v>86</v>
      </c>
      <c r="D267">
        <v>0</v>
      </c>
      <c r="E267">
        <v>2050</v>
      </c>
      <c r="F267" t="s">
        <v>43</v>
      </c>
      <c r="G267">
        <v>113070.46736338305</v>
      </c>
      <c r="H267">
        <v>186040.49371289223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-72970.026349509179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</row>
    <row r="268" spans="1:26" x14ac:dyDescent="0.25">
      <c r="A268" t="s">
        <v>27</v>
      </c>
      <c r="B268" t="s">
        <v>54</v>
      </c>
      <c r="C268" t="s">
        <v>76</v>
      </c>
      <c r="D268">
        <v>1</v>
      </c>
      <c r="E268">
        <v>2050</v>
      </c>
      <c r="F268" t="s">
        <v>43</v>
      </c>
      <c r="G268">
        <v>383747.87380717852</v>
      </c>
      <c r="H268">
        <v>694353.2611092875</v>
      </c>
      <c r="I268">
        <v>0</v>
      </c>
      <c r="J268">
        <v>0</v>
      </c>
      <c r="K268">
        <v>15500.875420530891</v>
      </c>
      <c r="L268">
        <v>0</v>
      </c>
      <c r="M268">
        <v>0</v>
      </c>
      <c r="N268">
        <v>0</v>
      </c>
      <c r="O268">
        <v>-326106.26272263989</v>
      </c>
      <c r="P268">
        <v>0</v>
      </c>
      <c r="Q268">
        <v>15500.875420530891</v>
      </c>
      <c r="R268">
        <v>0</v>
      </c>
      <c r="S268">
        <v>5.56481427597059E-2</v>
      </c>
      <c r="T268">
        <v>5.56481427597059E-2</v>
      </c>
      <c r="U268">
        <v>0</v>
      </c>
      <c r="V268">
        <v>0</v>
      </c>
      <c r="W268">
        <v>4650.2626261592668</v>
      </c>
      <c r="X268">
        <v>4650.2626261592668</v>
      </c>
      <c r="Y268">
        <v>0</v>
      </c>
      <c r="Z268">
        <v>0</v>
      </c>
    </row>
    <row r="269" spans="1:26" x14ac:dyDescent="0.25">
      <c r="A269" t="s">
        <v>27</v>
      </c>
      <c r="B269" t="s">
        <v>38</v>
      </c>
      <c r="C269" t="s">
        <v>86</v>
      </c>
      <c r="D269">
        <v>0</v>
      </c>
      <c r="E269">
        <v>2050</v>
      </c>
      <c r="F269" t="s">
        <v>43</v>
      </c>
      <c r="G269">
        <v>218167.31964379738</v>
      </c>
      <c r="H269">
        <v>0</v>
      </c>
      <c r="I269">
        <v>0</v>
      </c>
      <c r="J269">
        <v>428214.02929147833</v>
      </c>
      <c r="K269">
        <v>0</v>
      </c>
      <c r="L269">
        <v>0</v>
      </c>
      <c r="M269">
        <v>0</v>
      </c>
      <c r="N269">
        <v>0</v>
      </c>
      <c r="O269">
        <v>-210046.70964768095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</row>
    <row r="270" spans="1:26" x14ac:dyDescent="0.25">
      <c r="A270" t="s">
        <v>27</v>
      </c>
      <c r="B270" t="s">
        <v>35</v>
      </c>
      <c r="C270" t="s">
        <v>79</v>
      </c>
      <c r="D270">
        <v>1</v>
      </c>
      <c r="E270">
        <v>2050</v>
      </c>
      <c r="F270" t="s">
        <v>43</v>
      </c>
      <c r="G270">
        <v>48650.027670673619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48650.027670673619</v>
      </c>
      <c r="P270">
        <v>48650.027670673619</v>
      </c>
      <c r="Q270">
        <v>0</v>
      </c>
      <c r="R270">
        <v>4.366339983442958E-2</v>
      </c>
      <c r="S270">
        <v>4.366339983442958E-2</v>
      </c>
      <c r="T270">
        <v>0</v>
      </c>
      <c r="U270">
        <v>4.366339983442958E-2</v>
      </c>
      <c r="V270">
        <v>7297.504150601043</v>
      </c>
      <c r="W270">
        <v>7297.504150601043</v>
      </c>
      <c r="X270">
        <v>0</v>
      </c>
      <c r="Y270">
        <v>7297.504150601043</v>
      </c>
      <c r="Z270">
        <v>0</v>
      </c>
    </row>
    <row r="271" spans="1:26" x14ac:dyDescent="0.25">
      <c r="A271" t="s">
        <v>27</v>
      </c>
      <c r="B271" t="s">
        <v>33</v>
      </c>
      <c r="C271" t="s">
        <v>86</v>
      </c>
      <c r="D271">
        <v>0</v>
      </c>
      <c r="E271">
        <v>2050</v>
      </c>
      <c r="F271" t="s">
        <v>43</v>
      </c>
      <c r="G271">
        <v>7305.5635465813803</v>
      </c>
      <c r="H271">
        <v>0</v>
      </c>
      <c r="I271">
        <v>0</v>
      </c>
      <c r="J271">
        <v>54412.71372203785</v>
      </c>
      <c r="K271">
        <v>0</v>
      </c>
      <c r="L271">
        <v>0</v>
      </c>
      <c r="M271">
        <v>0</v>
      </c>
      <c r="N271">
        <v>0</v>
      </c>
      <c r="O271">
        <v>-47107.150175456467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1</v>
      </c>
    </row>
    <row r="272" spans="1:26" x14ac:dyDescent="0.25">
      <c r="A272" t="s">
        <v>27</v>
      </c>
      <c r="B272" t="s">
        <v>80</v>
      </c>
      <c r="C272" t="s">
        <v>86</v>
      </c>
      <c r="D272">
        <v>0</v>
      </c>
      <c r="E272">
        <v>2050</v>
      </c>
      <c r="F272" t="s">
        <v>43</v>
      </c>
      <c r="G272">
        <v>407823.31273083866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407823.31273083866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</row>
    <row r="273" spans="1:26" x14ac:dyDescent="0.25">
      <c r="A273" t="s">
        <v>27</v>
      </c>
      <c r="B273" t="s">
        <v>65</v>
      </c>
      <c r="C273" t="s">
        <v>81</v>
      </c>
      <c r="D273">
        <v>1</v>
      </c>
      <c r="E273">
        <v>2050</v>
      </c>
      <c r="F273" t="s">
        <v>43</v>
      </c>
      <c r="G273">
        <v>38470.033999756291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38470.033999756291</v>
      </c>
      <c r="N273">
        <v>0</v>
      </c>
      <c r="O273">
        <v>0</v>
      </c>
      <c r="P273">
        <v>0</v>
      </c>
      <c r="Q273">
        <v>38470.033999756291</v>
      </c>
      <c r="R273">
        <v>0</v>
      </c>
      <c r="S273">
        <v>0.70784862559551565</v>
      </c>
      <c r="T273">
        <v>0</v>
      </c>
      <c r="U273">
        <v>0.70784862559551565</v>
      </c>
      <c r="V273">
        <v>0</v>
      </c>
      <c r="W273">
        <v>15965.064109898862</v>
      </c>
      <c r="X273">
        <v>0</v>
      </c>
      <c r="Y273">
        <v>15965.064109898862</v>
      </c>
      <c r="Z273">
        <v>0</v>
      </c>
    </row>
    <row r="274" spans="1:26" x14ac:dyDescent="0.25">
      <c r="A274" t="s">
        <v>27</v>
      </c>
      <c r="B274" t="s">
        <v>140</v>
      </c>
      <c r="C274" t="s">
        <v>142</v>
      </c>
      <c r="D274">
        <v>1</v>
      </c>
      <c r="E274">
        <v>2050</v>
      </c>
      <c r="F274" t="s">
        <v>43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</row>
    <row r="275" spans="1:26" x14ac:dyDescent="0.25">
      <c r="A275" t="s">
        <v>27</v>
      </c>
      <c r="B275" t="s">
        <v>141</v>
      </c>
      <c r="C275" t="s">
        <v>142</v>
      </c>
      <c r="D275">
        <v>1</v>
      </c>
      <c r="E275">
        <v>2050</v>
      </c>
      <c r="F275" t="s">
        <v>43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</row>
    <row r="276" spans="1:26" x14ac:dyDescent="0.25">
      <c r="A276" t="s">
        <v>27</v>
      </c>
      <c r="B276" t="s">
        <v>82</v>
      </c>
      <c r="C276" t="s">
        <v>86</v>
      </c>
      <c r="D276">
        <v>0</v>
      </c>
      <c r="E276">
        <v>2050</v>
      </c>
      <c r="F276" t="s">
        <v>43</v>
      </c>
      <c r="G276">
        <v>339731.06359710812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339731.06359710812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</row>
    <row r="277" spans="1:26" x14ac:dyDescent="0.25">
      <c r="A277" t="s">
        <v>27</v>
      </c>
      <c r="B277" t="s">
        <v>72</v>
      </c>
      <c r="C277" t="s">
        <v>86</v>
      </c>
      <c r="D277">
        <v>0</v>
      </c>
      <c r="E277">
        <v>2050</v>
      </c>
      <c r="F277" t="s">
        <v>43</v>
      </c>
      <c r="G277">
        <v>199163.17844104863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199163.17844104863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</row>
    <row r="278" spans="1:26" x14ac:dyDescent="0.25">
      <c r="A278" t="s">
        <v>27</v>
      </c>
      <c r="B278" t="s">
        <v>58</v>
      </c>
      <c r="C278" t="s">
        <v>86</v>
      </c>
      <c r="D278">
        <v>0</v>
      </c>
      <c r="E278">
        <v>2050</v>
      </c>
      <c r="F278" t="s">
        <v>43</v>
      </c>
      <c r="G278">
        <v>99581.589220524314</v>
      </c>
      <c r="H278">
        <v>26278.769501998373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73302.819718525949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</row>
    <row r="279" spans="1:26" x14ac:dyDescent="0.25">
      <c r="A279" t="s">
        <v>27</v>
      </c>
      <c r="B279" t="s">
        <v>64</v>
      </c>
      <c r="C279" t="s">
        <v>64</v>
      </c>
      <c r="D279">
        <v>1</v>
      </c>
      <c r="E279">
        <v>2050</v>
      </c>
      <c r="F279" t="s">
        <v>43</v>
      </c>
      <c r="G279">
        <v>63732.21710113556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63732.21710113556</v>
      </c>
      <c r="N279">
        <v>0</v>
      </c>
      <c r="O279">
        <v>0</v>
      </c>
      <c r="P279">
        <v>0</v>
      </c>
      <c r="Q279">
        <v>63732.21710113556</v>
      </c>
      <c r="R279">
        <v>0</v>
      </c>
      <c r="S279">
        <v>2.2306275985397446</v>
      </c>
      <c r="T279">
        <v>0</v>
      </c>
      <c r="U279">
        <v>2.2306275985397446</v>
      </c>
      <c r="V279">
        <v>0</v>
      </c>
      <c r="W279">
        <v>57996.317562033364</v>
      </c>
      <c r="X279">
        <v>0</v>
      </c>
      <c r="Y279">
        <v>57996.317562033364</v>
      </c>
      <c r="Z279">
        <v>0</v>
      </c>
    </row>
    <row r="280" spans="1:26" x14ac:dyDescent="0.25">
      <c r="A280" t="s">
        <v>27</v>
      </c>
      <c r="B280" t="s">
        <v>55</v>
      </c>
      <c r="C280" t="s">
        <v>76</v>
      </c>
      <c r="D280">
        <v>1</v>
      </c>
      <c r="E280">
        <v>2050</v>
      </c>
      <c r="F280" t="s">
        <v>43</v>
      </c>
      <c r="G280">
        <v>2322627.8500566902</v>
      </c>
      <c r="H280">
        <v>103245.87683002709</v>
      </c>
      <c r="I280">
        <v>0</v>
      </c>
      <c r="J280">
        <v>0</v>
      </c>
      <c r="K280">
        <v>24610.929224370728</v>
      </c>
      <c r="L280">
        <v>0</v>
      </c>
      <c r="M280">
        <v>0</v>
      </c>
      <c r="N280">
        <v>0</v>
      </c>
      <c r="O280">
        <v>2194771.0440022922</v>
      </c>
      <c r="P280">
        <v>1730280.0978252576</v>
      </c>
      <c r="Q280">
        <v>24610.929224370728</v>
      </c>
      <c r="R280">
        <v>4.6960493967016621</v>
      </c>
      <c r="S280">
        <v>4.7628444430537735</v>
      </c>
      <c r="T280">
        <v>6.6795046352111129E-2</v>
      </c>
      <c r="U280">
        <v>4.6960493967016621</v>
      </c>
      <c r="V280">
        <v>346056.01956505154</v>
      </c>
      <c r="W280">
        <v>350978.20540992566</v>
      </c>
      <c r="X280">
        <v>4922.1858448741459</v>
      </c>
      <c r="Y280">
        <v>346056.01956505154</v>
      </c>
      <c r="Z280">
        <v>0</v>
      </c>
    </row>
    <row r="281" spans="1:26" x14ac:dyDescent="0.25">
      <c r="A281" t="s">
        <v>27</v>
      </c>
      <c r="B281" t="s">
        <v>83</v>
      </c>
      <c r="C281" t="s">
        <v>86</v>
      </c>
      <c r="D281">
        <v>0</v>
      </c>
      <c r="E281">
        <v>2050</v>
      </c>
      <c r="F281" t="s">
        <v>43</v>
      </c>
      <c r="G281">
        <v>21894.979482137918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21894.979482137918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</row>
    <row r="282" spans="1:26" x14ac:dyDescent="0.25">
      <c r="A282" t="s">
        <v>27</v>
      </c>
      <c r="B282" t="s">
        <v>62</v>
      </c>
      <c r="C282" t="s">
        <v>86</v>
      </c>
      <c r="D282">
        <v>0</v>
      </c>
      <c r="E282">
        <v>2050</v>
      </c>
      <c r="F282" t="s">
        <v>43</v>
      </c>
      <c r="G282">
        <v>17785.773783011035</v>
      </c>
      <c r="H282">
        <v>4837.9324606189475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12947.841322392087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</row>
    <row r="283" spans="1:26" x14ac:dyDescent="0.25">
      <c r="A283" t="s">
        <v>27</v>
      </c>
      <c r="B283" t="s">
        <v>47</v>
      </c>
      <c r="C283" t="s">
        <v>73</v>
      </c>
      <c r="D283">
        <v>1</v>
      </c>
      <c r="E283">
        <v>2050</v>
      </c>
      <c r="F283" t="s">
        <v>43</v>
      </c>
      <c r="G283">
        <v>3500281.4918378997</v>
      </c>
      <c r="H283">
        <v>0</v>
      </c>
      <c r="I283">
        <v>0</v>
      </c>
      <c r="J283">
        <v>0</v>
      </c>
      <c r="K283">
        <v>1327477.7098236387</v>
      </c>
      <c r="L283">
        <v>0</v>
      </c>
      <c r="M283">
        <v>0</v>
      </c>
      <c r="N283">
        <v>0</v>
      </c>
      <c r="O283">
        <v>2172803.782014261</v>
      </c>
      <c r="P283">
        <v>2172803.782014261</v>
      </c>
      <c r="Q283">
        <v>1327477.7098236387</v>
      </c>
      <c r="R283">
        <v>1.0842508152629364</v>
      </c>
      <c r="S283">
        <v>1.7466754672420306</v>
      </c>
      <c r="T283">
        <v>0.66242465197909406</v>
      </c>
      <c r="U283">
        <v>1.0842508152629367</v>
      </c>
      <c r="V283">
        <v>130368.22692085565</v>
      </c>
      <c r="W283">
        <v>210016.88951027396</v>
      </c>
      <c r="X283">
        <v>79648.662589418323</v>
      </c>
      <c r="Y283">
        <v>130368.22692085564</v>
      </c>
      <c r="Z283">
        <v>0</v>
      </c>
    </row>
    <row r="284" spans="1:26" x14ac:dyDescent="0.25">
      <c r="A284" t="s">
        <v>27</v>
      </c>
      <c r="B284" t="s">
        <v>44</v>
      </c>
      <c r="C284" t="s">
        <v>74</v>
      </c>
      <c r="D284">
        <v>1</v>
      </c>
      <c r="E284">
        <v>2050</v>
      </c>
      <c r="F284" t="s">
        <v>43</v>
      </c>
      <c r="G284">
        <v>2091197.4416372697</v>
      </c>
      <c r="H284">
        <v>0</v>
      </c>
      <c r="I284">
        <v>0</v>
      </c>
      <c r="J284">
        <v>0</v>
      </c>
      <c r="K284">
        <v>1108334.6440677529</v>
      </c>
      <c r="L284">
        <v>982862.79756951681</v>
      </c>
      <c r="M284">
        <v>0</v>
      </c>
      <c r="N284">
        <v>0</v>
      </c>
      <c r="O284">
        <v>0</v>
      </c>
      <c r="P284">
        <v>0</v>
      </c>
      <c r="Q284">
        <v>1108334.6440677529</v>
      </c>
      <c r="R284">
        <v>0</v>
      </c>
      <c r="S284">
        <v>0.47747056466438803</v>
      </c>
      <c r="T284">
        <v>0.47747056466438803</v>
      </c>
      <c r="U284">
        <v>0</v>
      </c>
      <c r="V284">
        <v>0</v>
      </c>
      <c r="W284">
        <v>55416.732203387648</v>
      </c>
      <c r="X284">
        <v>55416.732203387648</v>
      </c>
      <c r="Y284">
        <v>0</v>
      </c>
      <c r="Z284">
        <v>0</v>
      </c>
    </row>
    <row r="285" spans="1:26" x14ac:dyDescent="0.25">
      <c r="A285" t="s">
        <v>27</v>
      </c>
      <c r="B285" t="s">
        <v>32</v>
      </c>
      <c r="C285" t="s">
        <v>86</v>
      </c>
      <c r="D285">
        <v>0</v>
      </c>
      <c r="E285">
        <v>2050</v>
      </c>
      <c r="F285" t="s">
        <v>43</v>
      </c>
      <c r="G285">
        <v>194183.99559105173</v>
      </c>
      <c r="H285">
        <v>0</v>
      </c>
      <c r="I285">
        <v>0</v>
      </c>
      <c r="J285">
        <v>110474.29755686472</v>
      </c>
      <c r="K285">
        <v>0</v>
      </c>
      <c r="L285">
        <v>0</v>
      </c>
      <c r="M285">
        <v>0</v>
      </c>
      <c r="N285">
        <v>0</v>
      </c>
      <c r="O285">
        <v>83709.698034187008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</row>
    <row r="286" spans="1:26" x14ac:dyDescent="0.25">
      <c r="A286" t="s">
        <v>27</v>
      </c>
      <c r="B286" t="s">
        <v>36</v>
      </c>
      <c r="C286" t="s">
        <v>79</v>
      </c>
      <c r="D286">
        <v>1</v>
      </c>
      <c r="E286">
        <v>2050</v>
      </c>
      <c r="F286" t="s">
        <v>43</v>
      </c>
      <c r="G286">
        <v>4500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4500</v>
      </c>
      <c r="P286">
        <v>4500</v>
      </c>
      <c r="Q286">
        <v>0</v>
      </c>
      <c r="R286">
        <v>4.0387500000000007E-3</v>
      </c>
      <c r="S286">
        <v>4.0387500000000007E-3</v>
      </c>
      <c r="T286">
        <v>0</v>
      </c>
      <c r="U286">
        <v>4.0387500000000007E-3</v>
      </c>
      <c r="V286">
        <v>675</v>
      </c>
      <c r="W286">
        <v>675</v>
      </c>
      <c r="X286">
        <v>0</v>
      </c>
      <c r="Y286">
        <v>675</v>
      </c>
      <c r="Z286">
        <v>0</v>
      </c>
    </row>
    <row r="287" spans="1:26" x14ac:dyDescent="0.25">
      <c r="A287" t="s">
        <v>27</v>
      </c>
      <c r="B287" t="s">
        <v>84</v>
      </c>
      <c r="C287" t="s">
        <v>86</v>
      </c>
      <c r="D287">
        <v>1</v>
      </c>
      <c r="E287">
        <v>2050</v>
      </c>
      <c r="F287" t="s">
        <v>43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</row>
    <row r="288" spans="1:26" x14ac:dyDescent="0.25">
      <c r="A288" t="s">
        <v>27</v>
      </c>
      <c r="B288" t="s">
        <v>66</v>
      </c>
      <c r="C288" t="s">
        <v>81</v>
      </c>
      <c r="D288">
        <v>1</v>
      </c>
      <c r="E288">
        <v>2050</v>
      </c>
      <c r="F288" t="s">
        <v>43</v>
      </c>
      <c r="G288">
        <v>585110.82295504375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585110.82295504375</v>
      </c>
      <c r="N288">
        <v>0</v>
      </c>
      <c r="O288">
        <v>0</v>
      </c>
      <c r="P288">
        <v>0</v>
      </c>
      <c r="Q288">
        <v>585110.82295504375</v>
      </c>
      <c r="R288">
        <v>0</v>
      </c>
      <c r="S288">
        <v>8.4803440270882753</v>
      </c>
      <c r="T288">
        <v>0</v>
      </c>
      <c r="U288">
        <v>8.4803440270882753</v>
      </c>
      <c r="V288">
        <v>0</v>
      </c>
      <c r="W288">
        <v>289386.06118651538</v>
      </c>
      <c r="X288">
        <v>0</v>
      </c>
      <c r="Y288">
        <v>289386.06118651538</v>
      </c>
      <c r="Z288">
        <v>0</v>
      </c>
    </row>
    <row r="289" spans="1:26" x14ac:dyDescent="0.25">
      <c r="A289" t="s">
        <v>27</v>
      </c>
      <c r="B289" t="s">
        <v>85</v>
      </c>
      <c r="C289" t="s">
        <v>86</v>
      </c>
      <c r="D289">
        <v>0</v>
      </c>
      <c r="E289">
        <v>2050</v>
      </c>
      <c r="F289" t="s">
        <v>43</v>
      </c>
      <c r="G289">
        <v>161179.02528703219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161179.02528703219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</row>
    <row r="290" spans="1:26" x14ac:dyDescent="0.25">
      <c r="A290" t="s">
        <v>129</v>
      </c>
      <c r="B290" t="s">
        <v>40</v>
      </c>
      <c r="D290">
        <v>0</v>
      </c>
      <c r="E290">
        <v>2019</v>
      </c>
      <c r="F290" t="s">
        <v>28</v>
      </c>
      <c r="G290">
        <v>216549.9929685164</v>
      </c>
      <c r="H290">
        <v>0</v>
      </c>
      <c r="I290">
        <v>0</v>
      </c>
      <c r="J290">
        <v>31522.55833067331</v>
      </c>
      <c r="K290">
        <v>0</v>
      </c>
      <c r="L290">
        <v>0</v>
      </c>
      <c r="M290">
        <v>0</v>
      </c>
      <c r="N290">
        <v>0</v>
      </c>
      <c r="O290">
        <v>185027.43463784308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</row>
    <row r="291" spans="1:26" x14ac:dyDescent="0.25">
      <c r="A291" t="s">
        <v>129</v>
      </c>
      <c r="B291" t="s">
        <v>34</v>
      </c>
      <c r="D291">
        <v>0</v>
      </c>
      <c r="E291">
        <v>2019</v>
      </c>
      <c r="F291" t="s">
        <v>28</v>
      </c>
      <c r="G291">
        <v>258086.32953598633</v>
      </c>
      <c r="H291">
        <v>64498.47547519199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193587.85406079434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</row>
    <row r="292" spans="1:26" x14ac:dyDescent="0.25">
      <c r="A292" t="s">
        <v>129</v>
      </c>
      <c r="B292" t="s">
        <v>48</v>
      </c>
      <c r="C292" t="s">
        <v>73</v>
      </c>
      <c r="D292">
        <v>1</v>
      </c>
      <c r="E292">
        <v>2019</v>
      </c>
      <c r="F292" t="s">
        <v>28</v>
      </c>
      <c r="G292">
        <v>193591.30306616417</v>
      </c>
      <c r="H292">
        <v>0</v>
      </c>
      <c r="I292">
        <v>0</v>
      </c>
      <c r="J292">
        <v>0</v>
      </c>
      <c r="K292">
        <v>393543.64426779439</v>
      </c>
      <c r="L292">
        <v>0</v>
      </c>
      <c r="M292">
        <v>0</v>
      </c>
      <c r="N292">
        <v>0</v>
      </c>
      <c r="O292">
        <v>-199952.34120163022</v>
      </c>
      <c r="P292">
        <v>0</v>
      </c>
      <c r="Q292">
        <v>393543.64426779439</v>
      </c>
      <c r="R292">
        <v>0</v>
      </c>
      <c r="S292">
        <v>1.3407677770923916</v>
      </c>
      <c r="T292">
        <v>1.3407677770923916</v>
      </c>
      <c r="U292">
        <v>0</v>
      </c>
      <c r="V292">
        <v>0</v>
      </c>
      <c r="W292">
        <v>110192.22039498243</v>
      </c>
      <c r="X292">
        <v>110192.22039498243</v>
      </c>
      <c r="Y292">
        <v>0</v>
      </c>
      <c r="Z292">
        <v>1</v>
      </c>
    </row>
    <row r="293" spans="1:26" x14ac:dyDescent="0.25">
      <c r="A293" t="s">
        <v>129</v>
      </c>
      <c r="B293" t="s">
        <v>11</v>
      </c>
      <c r="D293">
        <v>1</v>
      </c>
      <c r="E293">
        <v>2019</v>
      </c>
      <c r="F293" t="s">
        <v>28</v>
      </c>
      <c r="G293">
        <v>352020257.59705466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352020257.59705466</v>
      </c>
      <c r="N293">
        <v>0</v>
      </c>
      <c r="O293">
        <v>0</v>
      </c>
      <c r="P293">
        <v>0</v>
      </c>
      <c r="Q293">
        <v>352020257.59705466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</row>
    <row r="294" spans="1:26" x14ac:dyDescent="0.25">
      <c r="A294" t="s">
        <v>129</v>
      </c>
      <c r="B294" t="s">
        <v>68</v>
      </c>
      <c r="D294">
        <v>0</v>
      </c>
      <c r="E294">
        <v>2019</v>
      </c>
      <c r="F294" t="s">
        <v>28</v>
      </c>
      <c r="G294">
        <v>9571125.1585832145</v>
      </c>
      <c r="H294">
        <v>0</v>
      </c>
      <c r="I294">
        <v>0</v>
      </c>
      <c r="J294">
        <v>0</v>
      </c>
      <c r="K294">
        <v>0</v>
      </c>
      <c r="L294">
        <v>7001759.6428652545</v>
      </c>
      <c r="M294">
        <v>0</v>
      </c>
      <c r="N294">
        <v>0</v>
      </c>
      <c r="O294">
        <v>2569365.51571796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</row>
    <row r="295" spans="1:26" x14ac:dyDescent="0.25">
      <c r="A295" t="s">
        <v>129</v>
      </c>
      <c r="B295" t="s">
        <v>51</v>
      </c>
      <c r="C295" t="s">
        <v>73</v>
      </c>
      <c r="D295">
        <v>1</v>
      </c>
      <c r="E295">
        <v>2019</v>
      </c>
      <c r="F295" t="s">
        <v>28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</row>
    <row r="296" spans="1:26" x14ac:dyDescent="0.25">
      <c r="A296" t="s">
        <v>129</v>
      </c>
      <c r="B296" t="s">
        <v>50</v>
      </c>
      <c r="C296" t="s">
        <v>74</v>
      </c>
      <c r="D296">
        <v>1</v>
      </c>
      <c r="E296">
        <v>2019</v>
      </c>
      <c r="F296" t="s">
        <v>28</v>
      </c>
      <c r="G296">
        <v>2600310.0770241949</v>
      </c>
      <c r="H296">
        <v>0</v>
      </c>
      <c r="I296">
        <v>0</v>
      </c>
      <c r="J296">
        <v>0</v>
      </c>
      <c r="K296">
        <v>671194.67155029252</v>
      </c>
      <c r="L296">
        <v>730307.97492940596</v>
      </c>
      <c r="M296">
        <v>0</v>
      </c>
      <c r="N296">
        <v>0</v>
      </c>
      <c r="O296">
        <v>1198807.4305444965</v>
      </c>
      <c r="P296">
        <v>1198807.4305444965</v>
      </c>
      <c r="Q296">
        <v>671194.67155029252</v>
      </c>
      <c r="R296">
        <v>2.5822312053928456</v>
      </c>
      <c r="S296">
        <v>1.4457533225193302</v>
      </c>
      <c r="T296">
        <v>1.4457533225193302</v>
      </c>
      <c r="U296">
        <v>0</v>
      </c>
      <c r="V296">
        <v>359642.22916334897</v>
      </c>
      <c r="W296">
        <v>201358.40146508775</v>
      </c>
      <c r="X296">
        <v>201358.40146508775</v>
      </c>
      <c r="Y296">
        <v>0</v>
      </c>
      <c r="Z296">
        <v>0</v>
      </c>
    </row>
    <row r="297" spans="1:26" x14ac:dyDescent="0.25">
      <c r="A297" t="s">
        <v>129</v>
      </c>
      <c r="B297" t="s">
        <v>60</v>
      </c>
      <c r="D297">
        <v>0</v>
      </c>
      <c r="E297">
        <v>2019</v>
      </c>
      <c r="F297" t="s">
        <v>28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</row>
    <row r="298" spans="1:26" x14ac:dyDescent="0.25">
      <c r="A298" t="s">
        <v>129</v>
      </c>
      <c r="B298" t="s">
        <v>46</v>
      </c>
      <c r="C298" t="s">
        <v>74</v>
      </c>
      <c r="D298">
        <v>1</v>
      </c>
      <c r="E298">
        <v>2019</v>
      </c>
      <c r="F298" t="s">
        <v>28</v>
      </c>
      <c r="G298">
        <v>8207.6123560951182</v>
      </c>
      <c r="H298">
        <v>0</v>
      </c>
      <c r="I298">
        <v>0</v>
      </c>
      <c r="J298">
        <v>0</v>
      </c>
      <c r="K298">
        <v>4103.8061780475591</v>
      </c>
      <c r="L298">
        <v>3107.1675348074377</v>
      </c>
      <c r="M298">
        <v>0</v>
      </c>
      <c r="N298">
        <v>0</v>
      </c>
      <c r="O298">
        <v>996.63864324012138</v>
      </c>
      <c r="P298">
        <v>996.63864324012138</v>
      </c>
      <c r="Q298">
        <v>4103.8061780475591</v>
      </c>
      <c r="R298">
        <v>4.6870918752939668E-4</v>
      </c>
      <c r="S298">
        <v>1.9299790074739866E-3</v>
      </c>
      <c r="T298">
        <v>1.9299790074739866E-3</v>
      </c>
      <c r="U298">
        <v>0</v>
      </c>
      <c r="V298">
        <v>62.788234524127645</v>
      </c>
      <c r="W298">
        <v>258.53978921699621</v>
      </c>
      <c r="X298">
        <v>258.53978921699621</v>
      </c>
      <c r="Y298">
        <v>0</v>
      </c>
      <c r="Z298">
        <v>0</v>
      </c>
    </row>
    <row r="299" spans="1:26" x14ac:dyDescent="0.25">
      <c r="A299" t="s">
        <v>129</v>
      </c>
      <c r="B299" t="s">
        <v>39</v>
      </c>
      <c r="D299">
        <v>0</v>
      </c>
      <c r="E299">
        <v>2019</v>
      </c>
      <c r="F299" t="s">
        <v>28</v>
      </c>
      <c r="G299">
        <v>185576.29959415729</v>
      </c>
      <c r="H299">
        <v>0</v>
      </c>
      <c r="I299">
        <v>0</v>
      </c>
      <c r="J299">
        <v>34149.438191562753</v>
      </c>
      <c r="K299">
        <v>0</v>
      </c>
      <c r="L299">
        <v>0</v>
      </c>
      <c r="M299">
        <v>0</v>
      </c>
      <c r="N299">
        <v>0</v>
      </c>
      <c r="O299">
        <v>151426.86140259454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</row>
    <row r="300" spans="1:26" x14ac:dyDescent="0.25">
      <c r="A300" t="s">
        <v>129</v>
      </c>
      <c r="B300" t="s">
        <v>75</v>
      </c>
      <c r="D300">
        <v>0</v>
      </c>
      <c r="E300">
        <v>2019</v>
      </c>
      <c r="F300" t="s">
        <v>28</v>
      </c>
      <c r="G300">
        <v>890042.58416558511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890042.58416558511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</row>
    <row r="301" spans="1:26" x14ac:dyDescent="0.25">
      <c r="A301" t="s">
        <v>129</v>
      </c>
      <c r="B301" t="s">
        <v>41</v>
      </c>
      <c r="D301">
        <v>0</v>
      </c>
      <c r="E301">
        <v>2019</v>
      </c>
      <c r="F301" t="s">
        <v>28</v>
      </c>
      <c r="G301">
        <v>25923.363510878662</v>
      </c>
      <c r="H301">
        <v>0</v>
      </c>
      <c r="I301">
        <v>0</v>
      </c>
      <c r="J301">
        <v>249553.58678449702</v>
      </c>
      <c r="K301">
        <v>0</v>
      </c>
      <c r="L301">
        <v>0</v>
      </c>
      <c r="M301">
        <v>0</v>
      </c>
      <c r="N301">
        <v>0</v>
      </c>
      <c r="O301">
        <v>-223630.22327361835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1</v>
      </c>
    </row>
    <row r="302" spans="1:26" x14ac:dyDescent="0.25">
      <c r="A302" t="s">
        <v>129</v>
      </c>
      <c r="B302" t="s">
        <v>57</v>
      </c>
      <c r="C302" t="s">
        <v>57</v>
      </c>
      <c r="D302">
        <v>1</v>
      </c>
      <c r="E302">
        <v>2019</v>
      </c>
      <c r="F302" t="s">
        <v>28</v>
      </c>
      <c r="G302">
        <v>0</v>
      </c>
      <c r="H302">
        <v>0</v>
      </c>
      <c r="I302">
        <v>0</v>
      </c>
      <c r="J302">
        <v>0</v>
      </c>
      <c r="K302">
        <v>114193.60000000001</v>
      </c>
      <c r="L302">
        <v>0</v>
      </c>
      <c r="M302">
        <v>0</v>
      </c>
      <c r="N302">
        <v>0</v>
      </c>
      <c r="O302">
        <v>-114193.60000000001</v>
      </c>
      <c r="P302">
        <v>0</v>
      </c>
      <c r="Q302">
        <v>114193.60000000001</v>
      </c>
      <c r="R302">
        <v>0</v>
      </c>
      <c r="S302">
        <v>1.7355855896064003</v>
      </c>
      <c r="T302">
        <v>1.7355855896064003</v>
      </c>
      <c r="U302">
        <v>0</v>
      </c>
      <c r="V302">
        <v>0</v>
      </c>
      <c r="W302">
        <v>102774.24</v>
      </c>
      <c r="X302">
        <v>102774.24</v>
      </c>
      <c r="Y302">
        <v>0</v>
      </c>
      <c r="Z302">
        <v>1</v>
      </c>
    </row>
    <row r="303" spans="1:26" x14ac:dyDescent="0.25">
      <c r="A303" t="s">
        <v>129</v>
      </c>
      <c r="B303" t="s">
        <v>53</v>
      </c>
      <c r="C303" t="s">
        <v>76</v>
      </c>
      <c r="D303">
        <v>1</v>
      </c>
      <c r="E303">
        <v>2019</v>
      </c>
      <c r="F303" t="s">
        <v>28</v>
      </c>
      <c r="G303">
        <v>15863611.568544758</v>
      </c>
      <c r="H303">
        <v>12237689.9092583</v>
      </c>
      <c r="I303">
        <v>0</v>
      </c>
      <c r="J303">
        <v>0</v>
      </c>
      <c r="K303">
        <v>75746.163899662715</v>
      </c>
      <c r="L303">
        <v>0</v>
      </c>
      <c r="M303">
        <v>0</v>
      </c>
      <c r="N303">
        <v>0</v>
      </c>
      <c r="O303">
        <v>3550175.4953867961</v>
      </c>
      <c r="P303">
        <v>3550175.4953867961</v>
      </c>
      <c r="Q303">
        <v>75746.163899662715</v>
      </c>
      <c r="R303">
        <v>6.5318791395747819</v>
      </c>
      <c r="S303">
        <v>0.13936347330489193</v>
      </c>
      <c r="T303">
        <v>0.13936347330489193</v>
      </c>
      <c r="U303">
        <v>0</v>
      </c>
      <c r="V303">
        <v>994049.13870830298</v>
      </c>
      <c r="W303">
        <v>21208.925891905561</v>
      </c>
      <c r="X303">
        <v>21208.925891905561</v>
      </c>
      <c r="Y303">
        <v>0</v>
      </c>
      <c r="Z303">
        <v>0</v>
      </c>
    </row>
    <row r="304" spans="1:26" x14ac:dyDescent="0.25">
      <c r="A304" t="s">
        <v>129</v>
      </c>
      <c r="B304" t="s">
        <v>61</v>
      </c>
      <c r="D304">
        <v>0</v>
      </c>
      <c r="E304">
        <v>2019</v>
      </c>
      <c r="F304" t="s">
        <v>28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</row>
    <row r="305" spans="1:26" x14ac:dyDescent="0.25">
      <c r="A305" t="s">
        <v>129</v>
      </c>
      <c r="B305" t="s">
        <v>30</v>
      </c>
      <c r="D305">
        <v>0</v>
      </c>
      <c r="E305">
        <v>2019</v>
      </c>
      <c r="F305" t="s">
        <v>28</v>
      </c>
      <c r="G305">
        <v>184529.62070571107</v>
      </c>
      <c r="H305">
        <v>0</v>
      </c>
      <c r="I305">
        <v>0</v>
      </c>
      <c r="J305">
        <v>261374.54615849949</v>
      </c>
      <c r="K305">
        <v>0</v>
      </c>
      <c r="L305">
        <v>0</v>
      </c>
      <c r="M305">
        <v>0</v>
      </c>
      <c r="N305">
        <v>0</v>
      </c>
      <c r="O305">
        <v>-76844.925452788419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1</v>
      </c>
    </row>
    <row r="306" spans="1:26" x14ac:dyDescent="0.25">
      <c r="A306" t="s">
        <v>129</v>
      </c>
      <c r="B306" t="s">
        <v>52</v>
      </c>
      <c r="C306" t="s">
        <v>77</v>
      </c>
      <c r="D306">
        <v>1</v>
      </c>
      <c r="E306">
        <v>2019</v>
      </c>
      <c r="F306" t="s">
        <v>28</v>
      </c>
      <c r="G306">
        <v>2714031.9406148358</v>
      </c>
      <c r="H306">
        <v>773085.89354292618</v>
      </c>
      <c r="I306">
        <v>728216.84089200001</v>
      </c>
      <c r="J306">
        <v>0</v>
      </c>
      <c r="K306">
        <v>53138.892747161146</v>
      </c>
      <c r="L306">
        <v>0</v>
      </c>
      <c r="M306">
        <v>1159590.3134327475</v>
      </c>
      <c r="N306">
        <v>0</v>
      </c>
      <c r="O306">
        <v>0</v>
      </c>
      <c r="P306">
        <v>0</v>
      </c>
      <c r="Q306">
        <v>1212729.2061799087</v>
      </c>
      <c r="R306">
        <v>0</v>
      </c>
      <c r="S306">
        <v>12.291675324066466</v>
      </c>
      <c r="T306">
        <v>0.3063744116894675</v>
      </c>
      <c r="U306">
        <v>11.985300912376998</v>
      </c>
      <c r="V306">
        <v>0</v>
      </c>
      <c r="W306">
        <v>1030819.8252529224</v>
      </c>
      <c r="X306">
        <v>45168.058835086973</v>
      </c>
      <c r="Y306">
        <v>985651.76641783537</v>
      </c>
      <c r="Z306">
        <v>0</v>
      </c>
    </row>
    <row r="307" spans="1:26" x14ac:dyDescent="0.25">
      <c r="A307" t="s">
        <v>129</v>
      </c>
      <c r="B307" t="s">
        <v>56</v>
      </c>
      <c r="C307" t="s">
        <v>73</v>
      </c>
      <c r="D307">
        <v>1</v>
      </c>
      <c r="E307">
        <v>2019</v>
      </c>
      <c r="F307" t="s">
        <v>28</v>
      </c>
      <c r="G307">
        <v>530462.48766233202</v>
      </c>
      <c r="H307">
        <v>0</v>
      </c>
      <c r="I307">
        <v>0</v>
      </c>
      <c r="J307">
        <v>0</v>
      </c>
      <c r="K307">
        <v>42.099811904105366</v>
      </c>
      <c r="L307">
        <v>0</v>
      </c>
      <c r="M307">
        <v>530420.38785042788</v>
      </c>
      <c r="N307">
        <v>0</v>
      </c>
      <c r="O307">
        <v>0</v>
      </c>
      <c r="P307">
        <v>0</v>
      </c>
      <c r="Q307">
        <v>530462.48766233202</v>
      </c>
      <c r="R307">
        <v>0</v>
      </c>
      <c r="S307">
        <v>9.4692532209947728</v>
      </c>
      <c r="T307">
        <v>7.148842760000421E-5</v>
      </c>
      <c r="U307">
        <v>9.4691817325671721</v>
      </c>
      <c r="V307">
        <v>0</v>
      </c>
      <c r="W307">
        <v>159138.74629869961</v>
      </c>
      <c r="X307">
        <v>12.629943571231609</v>
      </c>
      <c r="Y307">
        <v>159126.11635512838</v>
      </c>
      <c r="Z307">
        <v>0</v>
      </c>
    </row>
    <row r="308" spans="1:26" x14ac:dyDescent="0.25">
      <c r="A308" t="s">
        <v>129</v>
      </c>
      <c r="B308" t="s">
        <v>63</v>
      </c>
      <c r="D308">
        <v>0</v>
      </c>
      <c r="E308">
        <v>2019</v>
      </c>
      <c r="F308" t="s">
        <v>28</v>
      </c>
      <c r="G308">
        <v>0</v>
      </c>
      <c r="H308">
        <v>4828427.5390456235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-4828427.5390456235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1</v>
      </c>
    </row>
    <row r="309" spans="1:26" x14ac:dyDescent="0.25">
      <c r="A309" t="s">
        <v>129</v>
      </c>
      <c r="B309" t="s">
        <v>49</v>
      </c>
      <c r="C309" t="s">
        <v>73</v>
      </c>
      <c r="D309">
        <v>1</v>
      </c>
      <c r="E309">
        <v>2019</v>
      </c>
      <c r="F309" t="s">
        <v>28</v>
      </c>
      <c r="G309">
        <v>513042.22037196398</v>
      </c>
      <c r="H309">
        <v>0</v>
      </c>
      <c r="I309">
        <v>0</v>
      </c>
      <c r="J309">
        <v>0</v>
      </c>
      <c r="K309">
        <v>716103.75203569303</v>
      </c>
      <c r="L309">
        <v>0</v>
      </c>
      <c r="M309">
        <v>0</v>
      </c>
      <c r="N309">
        <v>0</v>
      </c>
      <c r="O309">
        <v>-203061.53166372905</v>
      </c>
      <c r="P309">
        <v>0</v>
      </c>
      <c r="Q309">
        <v>716103.75203569303</v>
      </c>
      <c r="R309">
        <v>0</v>
      </c>
      <c r="S309">
        <v>2.637525053399659</v>
      </c>
      <c r="T309">
        <v>2.637525053399659</v>
      </c>
      <c r="U309">
        <v>0</v>
      </c>
      <c r="V309">
        <v>0</v>
      </c>
      <c r="W309">
        <v>300763.57585499104</v>
      </c>
      <c r="X309">
        <v>300763.57585499104</v>
      </c>
      <c r="Y309">
        <v>0</v>
      </c>
      <c r="Z309">
        <v>1</v>
      </c>
    </row>
    <row r="310" spans="1:26" x14ac:dyDescent="0.25">
      <c r="A310" t="s">
        <v>129</v>
      </c>
      <c r="B310" t="s">
        <v>78</v>
      </c>
      <c r="D310">
        <v>0</v>
      </c>
      <c r="E310">
        <v>2019</v>
      </c>
      <c r="F310" t="s">
        <v>28</v>
      </c>
      <c r="G310">
        <v>765723.03528474667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765723.03528474667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</row>
    <row r="311" spans="1:26" x14ac:dyDescent="0.25">
      <c r="A311" t="s">
        <v>129</v>
      </c>
      <c r="B311" t="s">
        <v>31</v>
      </c>
      <c r="D311">
        <v>0</v>
      </c>
      <c r="E311">
        <v>2019</v>
      </c>
      <c r="F311" t="s">
        <v>28</v>
      </c>
      <c r="G311">
        <v>2145904.0489790672</v>
      </c>
      <c r="H311">
        <v>0</v>
      </c>
      <c r="I311">
        <v>0</v>
      </c>
      <c r="J311">
        <v>119523.03367046962</v>
      </c>
      <c r="K311">
        <v>0</v>
      </c>
      <c r="L311">
        <v>0</v>
      </c>
      <c r="M311">
        <v>0</v>
      </c>
      <c r="N311">
        <v>0</v>
      </c>
      <c r="O311">
        <v>2026381.0153085976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</row>
    <row r="312" spans="1:26" x14ac:dyDescent="0.25">
      <c r="A312" t="s">
        <v>129</v>
      </c>
      <c r="B312" t="s">
        <v>29</v>
      </c>
      <c r="C312" t="s">
        <v>77</v>
      </c>
      <c r="D312">
        <v>1</v>
      </c>
      <c r="E312">
        <v>2019</v>
      </c>
      <c r="F312" t="s">
        <v>28</v>
      </c>
      <c r="G312">
        <v>6833990.0005322779</v>
      </c>
      <c r="H312">
        <v>5879215.2019956242</v>
      </c>
      <c r="I312">
        <v>0</v>
      </c>
      <c r="J312">
        <v>286329.90483694919</v>
      </c>
      <c r="K312">
        <v>2840.1853290986264</v>
      </c>
      <c r="L312">
        <v>0</v>
      </c>
      <c r="M312">
        <v>0</v>
      </c>
      <c r="N312">
        <v>0</v>
      </c>
      <c r="O312">
        <v>665604.70837060641</v>
      </c>
      <c r="P312">
        <v>665604.70837060641</v>
      </c>
      <c r="Q312">
        <v>2840.1853290986264</v>
      </c>
      <c r="R312">
        <v>2.2796029415101553</v>
      </c>
      <c r="S312">
        <v>9.7272371262167243E-3</v>
      </c>
      <c r="T312">
        <v>9.7272371262167243E-3</v>
      </c>
      <c r="U312">
        <v>0</v>
      </c>
      <c r="V312">
        <v>206337.459594888</v>
      </c>
      <c r="W312">
        <v>880.45745202057424</v>
      </c>
      <c r="X312">
        <v>880.45745202057424</v>
      </c>
      <c r="Y312">
        <v>0</v>
      </c>
      <c r="Z312">
        <v>0</v>
      </c>
    </row>
    <row r="313" spans="1:26" x14ac:dyDescent="0.25">
      <c r="A313" t="s">
        <v>129</v>
      </c>
      <c r="B313" t="s">
        <v>69</v>
      </c>
      <c r="D313">
        <v>0</v>
      </c>
      <c r="E313">
        <v>2019</v>
      </c>
      <c r="F313" t="s">
        <v>28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720643.40546424</v>
      </c>
      <c r="M313">
        <v>0</v>
      </c>
      <c r="N313">
        <v>0</v>
      </c>
      <c r="O313">
        <v>-720643.40546424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1</v>
      </c>
    </row>
    <row r="314" spans="1:26" x14ac:dyDescent="0.25">
      <c r="A314" t="s">
        <v>129</v>
      </c>
      <c r="B314" t="s">
        <v>45</v>
      </c>
      <c r="C314" t="s">
        <v>74</v>
      </c>
      <c r="D314">
        <v>1</v>
      </c>
      <c r="E314">
        <v>2019</v>
      </c>
      <c r="F314" t="s">
        <v>28</v>
      </c>
      <c r="G314">
        <v>13124915.780770566</v>
      </c>
      <c r="H314">
        <v>0</v>
      </c>
      <c r="I314">
        <v>0</v>
      </c>
      <c r="J314">
        <v>0</v>
      </c>
      <c r="K314">
        <v>4066864.6068164087</v>
      </c>
      <c r="L314">
        <v>6000958.9027446285</v>
      </c>
      <c r="M314">
        <v>0</v>
      </c>
      <c r="N314">
        <v>0</v>
      </c>
      <c r="O314">
        <v>3057092.2712095287</v>
      </c>
      <c r="P314">
        <v>3057092.2712095287</v>
      </c>
      <c r="Q314">
        <v>4066864.6068164087</v>
      </c>
      <c r="R314">
        <v>1.5474695367635516</v>
      </c>
      <c r="S314">
        <v>2.0586061953243981</v>
      </c>
      <c r="T314">
        <v>2.0586061953243981</v>
      </c>
      <c r="U314">
        <v>0</v>
      </c>
      <c r="V314">
        <v>232339.01261192418</v>
      </c>
      <c r="W314">
        <v>309081.71011804708</v>
      </c>
      <c r="X314">
        <v>309081.71011804708</v>
      </c>
      <c r="Y314">
        <v>0</v>
      </c>
      <c r="Z314">
        <v>0</v>
      </c>
    </row>
    <row r="315" spans="1:26" x14ac:dyDescent="0.25">
      <c r="A315" t="s">
        <v>129</v>
      </c>
      <c r="B315" t="s">
        <v>59</v>
      </c>
      <c r="D315">
        <v>0</v>
      </c>
      <c r="E315">
        <v>2019</v>
      </c>
      <c r="F315" t="s">
        <v>28</v>
      </c>
      <c r="G315">
        <v>1638157.7192038004</v>
      </c>
      <c r="H315">
        <v>1515714.1736670118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122443.54553678865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</row>
    <row r="316" spans="1:26" x14ac:dyDescent="0.25">
      <c r="A316" t="s">
        <v>129</v>
      </c>
      <c r="B316" t="s">
        <v>54</v>
      </c>
      <c r="C316" t="s">
        <v>76</v>
      </c>
      <c r="D316">
        <v>1</v>
      </c>
      <c r="E316">
        <v>2019</v>
      </c>
      <c r="F316" t="s">
        <v>28</v>
      </c>
      <c r="G316">
        <v>7581538.5357748987</v>
      </c>
      <c r="H316">
        <v>5657053.7864699634</v>
      </c>
      <c r="I316">
        <v>0</v>
      </c>
      <c r="J316">
        <v>0</v>
      </c>
      <c r="K316">
        <v>314821.43493156106</v>
      </c>
      <c r="L316">
        <v>0</v>
      </c>
      <c r="M316">
        <v>0</v>
      </c>
      <c r="N316">
        <v>0</v>
      </c>
      <c r="O316">
        <v>1609663.314373374</v>
      </c>
      <c r="P316">
        <v>1266262.2462674922</v>
      </c>
      <c r="Q316">
        <v>314821.43493156106</v>
      </c>
      <c r="R316">
        <v>4.5458814641002974</v>
      </c>
      <c r="S316">
        <v>1.1302089514043043</v>
      </c>
      <c r="T316">
        <v>1.1302089514043043</v>
      </c>
      <c r="U316">
        <v>0</v>
      </c>
      <c r="V316">
        <v>379878.67388024763</v>
      </c>
      <c r="W316">
        <v>94446.430479468312</v>
      </c>
      <c r="X316">
        <v>94446.430479468312</v>
      </c>
      <c r="Y316">
        <v>0</v>
      </c>
      <c r="Z316">
        <v>0</v>
      </c>
    </row>
    <row r="317" spans="1:26" x14ac:dyDescent="0.25">
      <c r="A317" t="s">
        <v>129</v>
      </c>
      <c r="B317" t="s">
        <v>38</v>
      </c>
      <c r="D317">
        <v>0</v>
      </c>
      <c r="E317">
        <v>2019</v>
      </c>
      <c r="F317" t="s">
        <v>28</v>
      </c>
      <c r="G317">
        <v>3160794.2116654618</v>
      </c>
      <c r="H317">
        <v>0</v>
      </c>
      <c r="I317">
        <v>0</v>
      </c>
      <c r="J317">
        <v>457077.09579476295</v>
      </c>
      <c r="K317">
        <v>0</v>
      </c>
      <c r="L317">
        <v>0</v>
      </c>
      <c r="M317">
        <v>0</v>
      </c>
      <c r="N317">
        <v>0</v>
      </c>
      <c r="O317">
        <v>2703717.1158706988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</row>
    <row r="318" spans="1:26" x14ac:dyDescent="0.25">
      <c r="A318" t="s">
        <v>129</v>
      </c>
      <c r="B318" t="s">
        <v>35</v>
      </c>
      <c r="C318" t="s">
        <v>79</v>
      </c>
      <c r="D318">
        <v>1</v>
      </c>
      <c r="E318">
        <v>2019</v>
      </c>
      <c r="F318" t="s">
        <v>28</v>
      </c>
      <c r="G318">
        <v>878.90231344976178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878.90231344976178</v>
      </c>
      <c r="P318">
        <v>878.90231344976178</v>
      </c>
      <c r="Q318">
        <v>0</v>
      </c>
      <c r="R318">
        <v>7.8881482632116122E-4</v>
      </c>
      <c r="S318">
        <v>0</v>
      </c>
      <c r="T318">
        <v>0</v>
      </c>
      <c r="U318">
        <v>0</v>
      </c>
      <c r="V318">
        <v>131.83534701746427</v>
      </c>
      <c r="W318">
        <v>0</v>
      </c>
      <c r="X318">
        <v>0</v>
      </c>
      <c r="Y318">
        <v>0</v>
      </c>
      <c r="Z318">
        <v>0</v>
      </c>
    </row>
    <row r="319" spans="1:26" x14ac:dyDescent="0.25">
      <c r="A319" t="s">
        <v>129</v>
      </c>
      <c r="B319" t="s">
        <v>33</v>
      </c>
      <c r="D319">
        <v>0</v>
      </c>
      <c r="E319">
        <v>2019</v>
      </c>
      <c r="F319" t="s">
        <v>28</v>
      </c>
      <c r="G319">
        <v>108094.85577035608</v>
      </c>
      <c r="H319">
        <v>0</v>
      </c>
      <c r="I319">
        <v>0</v>
      </c>
      <c r="J319">
        <v>58080.313724265572</v>
      </c>
      <c r="K319">
        <v>0</v>
      </c>
      <c r="L319">
        <v>0</v>
      </c>
      <c r="M319">
        <v>0</v>
      </c>
      <c r="N319">
        <v>0</v>
      </c>
      <c r="O319">
        <v>50014.542046090508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</row>
    <row r="320" spans="1:26" x14ac:dyDescent="0.25">
      <c r="A320" t="s">
        <v>129</v>
      </c>
      <c r="B320" t="s">
        <v>80</v>
      </c>
      <c r="D320">
        <v>0</v>
      </c>
      <c r="E320">
        <v>2019</v>
      </c>
      <c r="F320" t="s">
        <v>28</v>
      </c>
      <c r="G320">
        <v>1609044.2994914718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1609044.2994914718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</row>
    <row r="321" spans="1:26" x14ac:dyDescent="0.25">
      <c r="A321" t="s">
        <v>129</v>
      </c>
      <c r="B321" t="s">
        <v>65</v>
      </c>
      <c r="C321" t="s">
        <v>81</v>
      </c>
      <c r="D321">
        <v>1</v>
      </c>
      <c r="E321">
        <v>2019</v>
      </c>
      <c r="F321" t="s">
        <v>28</v>
      </c>
      <c r="G321">
        <v>172205.06744997756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172205.06744997756</v>
      </c>
      <c r="N321">
        <v>0</v>
      </c>
      <c r="O321">
        <v>0</v>
      </c>
      <c r="P321">
        <v>0</v>
      </c>
      <c r="Q321">
        <v>172205.06744997756</v>
      </c>
      <c r="R321">
        <v>0</v>
      </c>
      <c r="S321">
        <v>3.1685732410795864</v>
      </c>
      <c r="T321">
        <v>0</v>
      </c>
      <c r="U321">
        <v>3.1685732410795864</v>
      </c>
      <c r="V321">
        <v>0</v>
      </c>
      <c r="W321">
        <v>71465.1029917407</v>
      </c>
      <c r="X321">
        <v>0</v>
      </c>
      <c r="Y321">
        <v>71465.1029917407</v>
      </c>
      <c r="Z321">
        <v>0</v>
      </c>
    </row>
    <row r="322" spans="1:26" x14ac:dyDescent="0.25">
      <c r="A322" t="s">
        <v>129</v>
      </c>
      <c r="B322" t="s">
        <v>140</v>
      </c>
      <c r="C322" t="s">
        <v>142</v>
      </c>
      <c r="D322">
        <v>1</v>
      </c>
      <c r="E322">
        <v>2019</v>
      </c>
      <c r="F322" t="s">
        <v>28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</row>
    <row r="323" spans="1:26" x14ac:dyDescent="0.25">
      <c r="A323" t="s">
        <v>129</v>
      </c>
      <c r="B323" t="s">
        <v>141</v>
      </c>
      <c r="C323" t="s">
        <v>142</v>
      </c>
      <c r="D323">
        <v>1</v>
      </c>
      <c r="E323">
        <v>2019</v>
      </c>
      <c r="F323" t="s">
        <v>28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</row>
    <row r="324" spans="1:26" x14ac:dyDescent="0.25">
      <c r="A324" t="s">
        <v>129</v>
      </c>
      <c r="B324" t="s">
        <v>82</v>
      </c>
      <c r="D324">
        <v>0</v>
      </c>
      <c r="E324">
        <v>2019</v>
      </c>
      <c r="F324" t="s">
        <v>28</v>
      </c>
      <c r="G324">
        <v>4922001.9803787302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4922001.9803787302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</row>
    <row r="325" spans="1:26" x14ac:dyDescent="0.25">
      <c r="A325" t="s">
        <v>129</v>
      </c>
      <c r="B325" t="s">
        <v>72</v>
      </c>
      <c r="D325">
        <v>0</v>
      </c>
      <c r="E325">
        <v>2019</v>
      </c>
      <c r="F325" t="s">
        <v>28</v>
      </c>
      <c r="G325">
        <v>484833.6848947219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484833.6848947219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</row>
    <row r="326" spans="1:26" x14ac:dyDescent="0.25">
      <c r="A326" t="s">
        <v>129</v>
      </c>
      <c r="B326" t="s">
        <v>58</v>
      </c>
      <c r="D326">
        <v>0</v>
      </c>
      <c r="E326">
        <v>2019</v>
      </c>
      <c r="F326" t="s">
        <v>28</v>
      </c>
      <c r="G326">
        <v>242416.84244736095</v>
      </c>
      <c r="H326">
        <v>214099.10609126228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28317.736356098671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</row>
    <row r="327" spans="1:26" x14ac:dyDescent="0.25">
      <c r="A327" t="s">
        <v>129</v>
      </c>
      <c r="B327" t="s">
        <v>64</v>
      </c>
      <c r="C327" t="s">
        <v>64</v>
      </c>
      <c r="D327">
        <v>1</v>
      </c>
      <c r="E327">
        <v>2019</v>
      </c>
      <c r="F327" t="s">
        <v>28</v>
      </c>
      <c r="G327">
        <v>155146.779166311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3102.9355833262225</v>
      </c>
      <c r="N327">
        <v>152043.84358298479</v>
      </c>
      <c r="O327">
        <v>0</v>
      </c>
      <c r="P327">
        <v>0</v>
      </c>
      <c r="Q327">
        <v>3102.9355833262225</v>
      </c>
      <c r="R327">
        <v>0</v>
      </c>
      <c r="S327">
        <v>0.10860274541641778</v>
      </c>
      <c r="T327">
        <v>0</v>
      </c>
      <c r="U327">
        <v>0.10860274541641778</v>
      </c>
      <c r="V327">
        <v>0</v>
      </c>
      <c r="W327">
        <v>2823.6713808268628</v>
      </c>
      <c r="X327">
        <v>0</v>
      </c>
      <c r="Y327">
        <v>2823.6713808268628</v>
      </c>
      <c r="Z327">
        <v>0</v>
      </c>
    </row>
    <row r="328" spans="1:26" x14ac:dyDescent="0.25">
      <c r="A328" t="s">
        <v>129</v>
      </c>
      <c r="B328" t="s">
        <v>55</v>
      </c>
      <c r="C328" t="s">
        <v>76</v>
      </c>
      <c r="D328">
        <v>1</v>
      </c>
      <c r="E328">
        <v>2019</v>
      </c>
      <c r="F328" t="s">
        <v>28</v>
      </c>
      <c r="G328">
        <v>376449.39511597221</v>
      </c>
      <c r="H328">
        <v>841167.61765562883</v>
      </c>
      <c r="I328">
        <v>0</v>
      </c>
      <c r="J328">
        <v>0</v>
      </c>
      <c r="K328">
        <v>4101.0489241972273</v>
      </c>
      <c r="L328">
        <v>0</v>
      </c>
      <c r="M328">
        <v>0</v>
      </c>
      <c r="N328">
        <v>0</v>
      </c>
      <c r="O328">
        <v>-468819.27146385383</v>
      </c>
      <c r="P328">
        <v>0</v>
      </c>
      <c r="Q328">
        <v>4101.0489241972273</v>
      </c>
      <c r="R328">
        <v>0</v>
      </c>
      <c r="S328">
        <v>1.1130410822228242E-2</v>
      </c>
      <c r="T328">
        <v>1.1130410822228242E-2</v>
      </c>
      <c r="U328">
        <v>0</v>
      </c>
      <c r="V328">
        <v>0</v>
      </c>
      <c r="W328">
        <v>820.20978483944555</v>
      </c>
      <c r="X328">
        <v>820.20978483944555</v>
      </c>
      <c r="Y328">
        <v>0</v>
      </c>
      <c r="Z328">
        <v>0</v>
      </c>
    </row>
    <row r="329" spans="1:26" x14ac:dyDescent="0.25">
      <c r="A329" t="s">
        <v>129</v>
      </c>
      <c r="B329" t="s">
        <v>83</v>
      </c>
      <c r="D329">
        <v>0</v>
      </c>
      <c r="E329">
        <v>2019</v>
      </c>
      <c r="F329" t="s">
        <v>28</v>
      </c>
      <c r="G329">
        <v>193830.89221723122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193830.89221723122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</row>
    <row r="330" spans="1:26" x14ac:dyDescent="0.25">
      <c r="A330" t="s">
        <v>129</v>
      </c>
      <c r="B330" t="s">
        <v>62</v>
      </c>
      <c r="D330">
        <v>0</v>
      </c>
      <c r="E330">
        <v>2019</v>
      </c>
      <c r="F330" t="s">
        <v>28</v>
      </c>
      <c r="G330">
        <v>131276.07587880219</v>
      </c>
      <c r="H330">
        <v>39415.735012617326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91860.340866184866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</row>
    <row r="331" spans="1:26" x14ac:dyDescent="0.25">
      <c r="A331" t="s">
        <v>129</v>
      </c>
      <c r="B331" t="s">
        <v>47</v>
      </c>
      <c r="C331" t="s">
        <v>73</v>
      </c>
      <c r="D331">
        <v>1</v>
      </c>
      <c r="E331">
        <v>2019</v>
      </c>
      <c r="F331" t="s">
        <v>28</v>
      </c>
      <c r="G331">
        <v>3850196.5402414175</v>
      </c>
      <c r="H331">
        <v>0</v>
      </c>
      <c r="I331">
        <v>0</v>
      </c>
      <c r="J331">
        <v>0</v>
      </c>
      <c r="K331">
        <v>1460182.5874658169</v>
      </c>
      <c r="L331">
        <v>0</v>
      </c>
      <c r="M331">
        <v>0</v>
      </c>
      <c r="N331">
        <v>0</v>
      </c>
      <c r="O331">
        <v>2390013.9527756004</v>
      </c>
      <c r="P331">
        <v>2390013.9527756004</v>
      </c>
      <c r="Q331">
        <v>1460182.5874658169</v>
      </c>
      <c r="R331">
        <v>1.1926408625745526</v>
      </c>
      <c r="S331">
        <v>0.72864571297131742</v>
      </c>
      <c r="T331">
        <v>0.72864571297131742</v>
      </c>
      <c r="U331">
        <v>0</v>
      </c>
      <c r="V331">
        <v>143400.83716653602</v>
      </c>
      <c r="W331">
        <v>87610.955247949008</v>
      </c>
      <c r="X331">
        <v>87610.955247949008</v>
      </c>
      <c r="Y331">
        <v>0</v>
      </c>
      <c r="Z331">
        <v>0</v>
      </c>
    </row>
    <row r="332" spans="1:26" x14ac:dyDescent="0.25">
      <c r="A332" t="s">
        <v>129</v>
      </c>
      <c r="B332" t="s">
        <v>44</v>
      </c>
      <c r="C332" t="s">
        <v>74</v>
      </c>
      <c r="D332">
        <v>1</v>
      </c>
      <c r="E332">
        <v>2019</v>
      </c>
      <c r="F332" t="s">
        <v>28</v>
      </c>
      <c r="G332">
        <v>15352538.506892066</v>
      </c>
      <c r="H332">
        <v>0</v>
      </c>
      <c r="I332">
        <v>0</v>
      </c>
      <c r="J332">
        <v>0</v>
      </c>
      <c r="K332">
        <v>2534442.072977222</v>
      </c>
      <c r="L332">
        <v>12818096.433914844</v>
      </c>
      <c r="M332">
        <v>0</v>
      </c>
      <c r="N332">
        <v>0</v>
      </c>
      <c r="O332">
        <v>0</v>
      </c>
      <c r="P332">
        <v>0</v>
      </c>
      <c r="Q332">
        <v>2534442.072977222</v>
      </c>
      <c r="R332">
        <v>0</v>
      </c>
      <c r="S332">
        <v>1.0918376450385874</v>
      </c>
      <c r="T332">
        <v>1.0918376450385874</v>
      </c>
      <c r="U332">
        <v>0</v>
      </c>
      <c r="V332">
        <v>0</v>
      </c>
      <c r="W332">
        <v>126722.10364886111</v>
      </c>
      <c r="X332">
        <v>126722.10364886111</v>
      </c>
      <c r="Y332">
        <v>0</v>
      </c>
      <c r="Z332">
        <v>0</v>
      </c>
    </row>
    <row r="333" spans="1:26" x14ac:dyDescent="0.25">
      <c r="A333" t="s">
        <v>129</v>
      </c>
      <c r="B333" t="s">
        <v>32</v>
      </c>
      <c r="D333">
        <v>0</v>
      </c>
      <c r="E333">
        <v>2019</v>
      </c>
      <c r="F333" t="s">
        <v>28</v>
      </c>
      <c r="G333">
        <v>1394376.9846055224</v>
      </c>
      <c r="H333">
        <v>0</v>
      </c>
      <c r="I333">
        <v>0</v>
      </c>
      <c r="J333">
        <v>117920.63695532705</v>
      </c>
      <c r="K333">
        <v>0</v>
      </c>
      <c r="L333">
        <v>0</v>
      </c>
      <c r="M333">
        <v>0</v>
      </c>
      <c r="N333">
        <v>0</v>
      </c>
      <c r="O333">
        <v>1276456.3476501952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</row>
    <row r="334" spans="1:26" x14ac:dyDescent="0.25">
      <c r="A334" t="s">
        <v>129</v>
      </c>
      <c r="B334" t="s">
        <v>36</v>
      </c>
      <c r="C334" t="s">
        <v>79</v>
      </c>
      <c r="D334">
        <v>1</v>
      </c>
      <c r="E334">
        <v>2019</v>
      </c>
      <c r="F334" t="s">
        <v>28</v>
      </c>
      <c r="G334">
        <v>76.5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76.5</v>
      </c>
      <c r="P334">
        <v>76.5</v>
      </c>
      <c r="Q334">
        <v>0</v>
      </c>
      <c r="R334">
        <v>6.8658750000000004E-5</v>
      </c>
      <c r="S334">
        <v>0</v>
      </c>
      <c r="T334">
        <v>0</v>
      </c>
      <c r="U334">
        <v>0</v>
      </c>
      <c r="V334">
        <v>11.475</v>
      </c>
      <c r="W334">
        <v>0</v>
      </c>
      <c r="X334">
        <v>0</v>
      </c>
      <c r="Y334">
        <v>0</v>
      </c>
      <c r="Z334">
        <v>0</v>
      </c>
    </row>
    <row r="335" spans="1:26" x14ac:dyDescent="0.25">
      <c r="A335" t="s">
        <v>129</v>
      </c>
      <c r="B335" t="s">
        <v>84</v>
      </c>
      <c r="D335">
        <v>1</v>
      </c>
      <c r="E335">
        <v>2019</v>
      </c>
      <c r="F335" t="s">
        <v>28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</row>
    <row r="336" spans="1:26" x14ac:dyDescent="0.25">
      <c r="A336" t="s">
        <v>129</v>
      </c>
      <c r="B336" t="s">
        <v>66</v>
      </c>
      <c r="C336" t="s">
        <v>81</v>
      </c>
      <c r="D336">
        <v>1</v>
      </c>
      <c r="E336">
        <v>2019</v>
      </c>
      <c r="F336" t="s">
        <v>28</v>
      </c>
      <c r="G336">
        <v>2328635.6388303456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2328635.6388303456</v>
      </c>
      <c r="N336">
        <v>0</v>
      </c>
      <c r="O336">
        <v>0</v>
      </c>
      <c r="P336">
        <v>0</v>
      </c>
      <c r="Q336">
        <v>2328635.6388303456</v>
      </c>
      <c r="R336">
        <v>0</v>
      </c>
      <c r="S336">
        <v>33.750241076188566</v>
      </c>
      <c r="T336">
        <v>0</v>
      </c>
      <c r="U336">
        <v>33.750241076188566</v>
      </c>
      <c r="V336">
        <v>0</v>
      </c>
      <c r="W336">
        <v>1151704.3763715085</v>
      </c>
      <c r="X336">
        <v>0</v>
      </c>
      <c r="Y336">
        <v>1151704.3763715085</v>
      </c>
      <c r="Z336">
        <v>0</v>
      </c>
    </row>
    <row r="337" spans="1:26" x14ac:dyDescent="0.25">
      <c r="A337" t="s">
        <v>129</v>
      </c>
      <c r="B337" t="s">
        <v>85</v>
      </c>
      <c r="D337">
        <v>0</v>
      </c>
      <c r="E337">
        <v>2019</v>
      </c>
      <c r="F337" t="s">
        <v>28</v>
      </c>
      <c r="G337">
        <v>640280.13059892249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640280.13059892249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</row>
    <row r="338" spans="1:26" x14ac:dyDescent="0.25">
      <c r="A338" t="s">
        <v>129</v>
      </c>
      <c r="B338" t="s">
        <v>40</v>
      </c>
      <c r="C338" t="s">
        <v>86</v>
      </c>
      <c r="D338">
        <v>0</v>
      </c>
      <c r="E338">
        <v>2030</v>
      </c>
      <c r="F338" t="s">
        <v>28</v>
      </c>
      <c r="G338">
        <v>213791.94985288731</v>
      </c>
      <c r="H338">
        <v>0</v>
      </c>
      <c r="I338">
        <v>0</v>
      </c>
      <c r="J338">
        <v>32579.784552999867</v>
      </c>
      <c r="K338">
        <v>0</v>
      </c>
      <c r="L338">
        <v>0</v>
      </c>
      <c r="M338">
        <v>0</v>
      </c>
      <c r="N338">
        <v>0</v>
      </c>
      <c r="O338">
        <v>181212.16529988745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</row>
    <row r="339" spans="1:26" x14ac:dyDescent="0.25">
      <c r="A339" t="s">
        <v>129</v>
      </c>
      <c r="B339" t="s">
        <v>34</v>
      </c>
      <c r="C339" t="s">
        <v>86</v>
      </c>
      <c r="D339">
        <v>0</v>
      </c>
      <c r="E339">
        <v>2030</v>
      </c>
      <c r="F339" t="s">
        <v>28</v>
      </c>
      <c r="G339">
        <v>270118.44306124689</v>
      </c>
      <c r="H339">
        <v>64498.475475191975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205619.9675860549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</row>
    <row r="340" spans="1:26" x14ac:dyDescent="0.25">
      <c r="A340" t="s">
        <v>129</v>
      </c>
      <c r="B340" t="s">
        <v>48</v>
      </c>
      <c r="C340" t="s">
        <v>73</v>
      </c>
      <c r="D340">
        <v>1</v>
      </c>
      <c r="E340">
        <v>2030</v>
      </c>
      <c r="F340" t="s">
        <v>28</v>
      </c>
      <c r="G340">
        <v>195082.22598438186</v>
      </c>
      <c r="H340">
        <v>0</v>
      </c>
      <c r="I340">
        <v>0</v>
      </c>
      <c r="J340">
        <v>0</v>
      </c>
      <c r="K340">
        <v>195082.24112879002</v>
      </c>
      <c r="L340">
        <v>0</v>
      </c>
      <c r="M340">
        <v>0</v>
      </c>
      <c r="N340">
        <v>0</v>
      </c>
      <c r="O340">
        <v>-1.5144408156629652E-2</v>
      </c>
      <c r="P340">
        <v>0</v>
      </c>
      <c r="Q340">
        <v>195082.24112879002</v>
      </c>
      <c r="R340">
        <v>0</v>
      </c>
      <c r="S340">
        <v>0.6646276381240861</v>
      </c>
      <c r="T340">
        <v>0.6646276381240861</v>
      </c>
      <c r="U340">
        <v>0</v>
      </c>
      <c r="V340">
        <v>0</v>
      </c>
      <c r="W340">
        <v>54623.027516061207</v>
      </c>
      <c r="X340">
        <v>54623.027516061207</v>
      </c>
      <c r="Y340">
        <v>0</v>
      </c>
      <c r="Z340">
        <v>1</v>
      </c>
    </row>
    <row r="341" spans="1:26" x14ac:dyDescent="0.25">
      <c r="A341" t="s">
        <v>129</v>
      </c>
      <c r="B341" t="s">
        <v>11</v>
      </c>
      <c r="C341" t="s">
        <v>86</v>
      </c>
      <c r="D341">
        <v>1</v>
      </c>
      <c r="E341">
        <v>2030</v>
      </c>
      <c r="F341" t="s">
        <v>28</v>
      </c>
      <c r="G341">
        <v>500535240.15105212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500535240.15105212</v>
      </c>
      <c r="N341">
        <v>0</v>
      </c>
      <c r="O341">
        <v>0</v>
      </c>
      <c r="P341">
        <v>0</v>
      </c>
      <c r="Q341">
        <v>500535240.15105212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</row>
    <row r="342" spans="1:26" x14ac:dyDescent="0.25">
      <c r="A342" t="s">
        <v>129</v>
      </c>
      <c r="B342" t="s">
        <v>68</v>
      </c>
      <c r="C342" t="s">
        <v>86</v>
      </c>
      <c r="D342">
        <v>0</v>
      </c>
      <c r="E342">
        <v>2030</v>
      </c>
      <c r="F342" t="s">
        <v>28</v>
      </c>
      <c r="G342">
        <v>20203745.041476861</v>
      </c>
      <c r="H342">
        <v>0</v>
      </c>
      <c r="I342">
        <v>0</v>
      </c>
      <c r="J342">
        <v>0</v>
      </c>
      <c r="K342">
        <v>0</v>
      </c>
      <c r="L342">
        <v>17711207.128625918</v>
      </c>
      <c r="M342">
        <v>0</v>
      </c>
      <c r="N342">
        <v>0</v>
      </c>
      <c r="O342">
        <v>2492537.9128509425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</row>
    <row r="343" spans="1:26" x14ac:dyDescent="0.25">
      <c r="A343" t="s">
        <v>129</v>
      </c>
      <c r="B343" t="s">
        <v>51</v>
      </c>
      <c r="C343" t="s">
        <v>73</v>
      </c>
      <c r="D343">
        <v>1</v>
      </c>
      <c r="E343">
        <v>2030</v>
      </c>
      <c r="F343" t="s">
        <v>28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</row>
    <row r="344" spans="1:26" x14ac:dyDescent="0.25">
      <c r="A344" t="s">
        <v>129</v>
      </c>
      <c r="B344" t="s">
        <v>50</v>
      </c>
      <c r="C344" t="s">
        <v>74</v>
      </c>
      <c r="D344">
        <v>1</v>
      </c>
      <c r="E344">
        <v>2030</v>
      </c>
      <c r="F344" t="s">
        <v>28</v>
      </c>
      <c r="G344">
        <v>2652925.8184588463</v>
      </c>
      <c r="H344">
        <v>0</v>
      </c>
      <c r="I344">
        <v>0</v>
      </c>
      <c r="J344">
        <v>0</v>
      </c>
      <c r="K344">
        <v>1326462.9092294232</v>
      </c>
      <c r="L344">
        <v>502160.95849399589</v>
      </c>
      <c r="M344">
        <v>0</v>
      </c>
      <c r="N344">
        <v>0</v>
      </c>
      <c r="O344">
        <v>824301.95073542721</v>
      </c>
      <c r="P344">
        <v>824301.95073542721</v>
      </c>
      <c r="Q344">
        <v>1326462.9092294232</v>
      </c>
      <c r="R344">
        <v>1.7755464018841103</v>
      </c>
      <c r="S344">
        <v>4.6327475083642877</v>
      </c>
      <c r="T344">
        <v>2.8572011064801774</v>
      </c>
      <c r="U344">
        <v>1.7755464018841103</v>
      </c>
      <c r="V344">
        <v>247290.58522062816</v>
      </c>
      <c r="W344">
        <v>645229.45798945508</v>
      </c>
      <c r="X344">
        <v>397938.87276882696</v>
      </c>
      <c r="Y344">
        <v>247290.58522062813</v>
      </c>
      <c r="Z344">
        <v>0</v>
      </c>
    </row>
    <row r="345" spans="1:26" x14ac:dyDescent="0.25">
      <c r="A345" t="s">
        <v>129</v>
      </c>
      <c r="B345" t="s">
        <v>60</v>
      </c>
      <c r="C345" t="s">
        <v>86</v>
      </c>
      <c r="D345">
        <v>0</v>
      </c>
      <c r="E345">
        <v>2030</v>
      </c>
      <c r="F345" t="s">
        <v>28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</row>
    <row r="346" spans="1:26" x14ac:dyDescent="0.25">
      <c r="A346" t="s">
        <v>129</v>
      </c>
      <c r="B346" t="s">
        <v>46</v>
      </c>
      <c r="C346" t="s">
        <v>74</v>
      </c>
      <c r="D346">
        <v>1</v>
      </c>
      <c r="E346">
        <v>2030</v>
      </c>
      <c r="F346" t="s">
        <v>28</v>
      </c>
      <c r="G346">
        <v>8342.726135545483</v>
      </c>
      <c r="H346">
        <v>0</v>
      </c>
      <c r="I346">
        <v>0</v>
      </c>
      <c r="J346">
        <v>0</v>
      </c>
      <c r="K346">
        <v>4171.3630677727415</v>
      </c>
      <c r="L346">
        <v>3158.317751313647</v>
      </c>
      <c r="M346">
        <v>0</v>
      </c>
      <c r="N346">
        <v>0</v>
      </c>
      <c r="O346">
        <v>1013.0453164590945</v>
      </c>
      <c r="P346">
        <v>1013.0453164590945</v>
      </c>
      <c r="Q346">
        <v>4171.3630677727415</v>
      </c>
      <c r="R346">
        <v>4.7642508187754754E-4</v>
      </c>
      <c r="S346">
        <v>2.4381754190203903E-3</v>
      </c>
      <c r="T346">
        <v>1.9617503371428427E-3</v>
      </c>
      <c r="U346">
        <v>4.7642508187754765E-4</v>
      </c>
      <c r="V346">
        <v>63.821854936922954</v>
      </c>
      <c r="W346">
        <v>326.61772820660565</v>
      </c>
      <c r="X346">
        <v>262.79587326968272</v>
      </c>
      <c r="Y346">
        <v>63.821854936922932</v>
      </c>
      <c r="Z346">
        <v>0</v>
      </c>
    </row>
    <row r="347" spans="1:26" x14ac:dyDescent="0.25">
      <c r="A347" t="s">
        <v>129</v>
      </c>
      <c r="B347" t="s">
        <v>39</v>
      </c>
      <c r="C347" t="s">
        <v>86</v>
      </c>
      <c r="D347">
        <v>0</v>
      </c>
      <c r="E347">
        <v>2030</v>
      </c>
      <c r="F347" t="s">
        <v>28</v>
      </c>
      <c r="G347">
        <v>181628.8895635134</v>
      </c>
      <c r="H347">
        <v>0</v>
      </c>
      <c r="I347">
        <v>0</v>
      </c>
      <c r="J347">
        <v>35294.766599083188</v>
      </c>
      <c r="K347">
        <v>0</v>
      </c>
      <c r="L347">
        <v>0</v>
      </c>
      <c r="M347">
        <v>0</v>
      </c>
      <c r="N347">
        <v>0</v>
      </c>
      <c r="O347">
        <v>146334.12296443019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</row>
    <row r="348" spans="1:26" x14ac:dyDescent="0.25">
      <c r="A348" t="s">
        <v>129</v>
      </c>
      <c r="B348" t="s">
        <v>75</v>
      </c>
      <c r="C348" t="s">
        <v>86</v>
      </c>
      <c r="D348">
        <v>0</v>
      </c>
      <c r="E348">
        <v>2030</v>
      </c>
      <c r="F348" t="s">
        <v>28</v>
      </c>
      <c r="G348">
        <v>925155.87360935542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925155.87360935542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</row>
    <row r="349" spans="1:26" x14ac:dyDescent="0.25">
      <c r="A349" t="s">
        <v>129</v>
      </c>
      <c r="B349" t="s">
        <v>41</v>
      </c>
      <c r="C349" t="s">
        <v>86</v>
      </c>
      <c r="D349">
        <v>0</v>
      </c>
      <c r="E349">
        <v>2030</v>
      </c>
      <c r="F349" t="s">
        <v>28</v>
      </c>
      <c r="G349">
        <v>27117.337735936886</v>
      </c>
      <c r="H349">
        <v>0</v>
      </c>
      <c r="I349">
        <v>0</v>
      </c>
      <c r="J349">
        <v>257923.29437791562</v>
      </c>
      <c r="K349">
        <v>0</v>
      </c>
      <c r="L349">
        <v>0</v>
      </c>
      <c r="M349">
        <v>0</v>
      </c>
      <c r="N349">
        <v>0</v>
      </c>
      <c r="O349">
        <v>-230805.95664197873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1</v>
      </c>
    </row>
    <row r="350" spans="1:26" x14ac:dyDescent="0.25">
      <c r="A350" t="s">
        <v>129</v>
      </c>
      <c r="B350" t="s">
        <v>57</v>
      </c>
      <c r="C350" t="s">
        <v>57</v>
      </c>
      <c r="D350">
        <v>1</v>
      </c>
      <c r="E350">
        <v>2030</v>
      </c>
      <c r="F350" t="s">
        <v>28</v>
      </c>
      <c r="G350">
        <v>0</v>
      </c>
      <c r="H350">
        <v>0</v>
      </c>
      <c r="I350">
        <v>0</v>
      </c>
      <c r="J350">
        <v>0</v>
      </c>
      <c r="K350">
        <v>114193.60000000001</v>
      </c>
      <c r="L350">
        <v>0</v>
      </c>
      <c r="M350">
        <v>0</v>
      </c>
      <c r="N350">
        <v>0</v>
      </c>
      <c r="O350">
        <v>-114193.60000000001</v>
      </c>
      <c r="P350">
        <v>0</v>
      </c>
      <c r="Q350">
        <v>114193.60000000001</v>
      </c>
      <c r="R350">
        <v>0</v>
      </c>
      <c r="S350">
        <v>1.7355855896064003</v>
      </c>
      <c r="T350">
        <v>1.7355855896064003</v>
      </c>
      <c r="U350">
        <v>0</v>
      </c>
      <c r="V350">
        <v>0</v>
      </c>
      <c r="W350">
        <v>102774.24</v>
      </c>
      <c r="X350">
        <v>102774.24</v>
      </c>
      <c r="Y350">
        <v>0</v>
      </c>
      <c r="Z350">
        <v>1</v>
      </c>
    </row>
    <row r="351" spans="1:26" x14ac:dyDescent="0.25">
      <c r="A351" t="s">
        <v>129</v>
      </c>
      <c r="B351" t="s">
        <v>53</v>
      </c>
      <c r="C351" t="s">
        <v>76</v>
      </c>
      <c r="D351">
        <v>1</v>
      </c>
      <c r="E351">
        <v>2030</v>
      </c>
      <c r="F351" t="s">
        <v>28</v>
      </c>
      <c r="G351">
        <v>16463363.602305863</v>
      </c>
      <c r="H351">
        <v>12237689.909258299</v>
      </c>
      <c r="I351">
        <v>0</v>
      </c>
      <c r="J351">
        <v>0</v>
      </c>
      <c r="K351">
        <v>75614.059561949907</v>
      </c>
      <c r="L351">
        <v>0</v>
      </c>
      <c r="M351">
        <v>0</v>
      </c>
      <c r="N351">
        <v>0</v>
      </c>
      <c r="O351">
        <v>4150059.6334856153</v>
      </c>
      <c r="P351">
        <v>4150059.6334856153</v>
      </c>
      <c r="Q351">
        <v>75614.059561949907</v>
      </c>
      <c r="R351">
        <v>7.635590968159347</v>
      </c>
      <c r="S351">
        <v>7.7747113859958894</v>
      </c>
      <c r="T351">
        <v>0.13912041783654258</v>
      </c>
      <c r="U351">
        <v>7.635590968159347</v>
      </c>
      <c r="V351">
        <v>1162016.6973759723</v>
      </c>
      <c r="W351">
        <v>1183188.6340533185</v>
      </c>
      <c r="X351">
        <v>21171.936677345977</v>
      </c>
      <c r="Y351">
        <v>1162016.6973759725</v>
      </c>
      <c r="Z351">
        <v>0</v>
      </c>
    </row>
    <row r="352" spans="1:26" x14ac:dyDescent="0.25">
      <c r="A352" t="s">
        <v>129</v>
      </c>
      <c r="B352" t="s">
        <v>61</v>
      </c>
      <c r="C352" t="s">
        <v>86</v>
      </c>
      <c r="D352">
        <v>0</v>
      </c>
      <c r="E352">
        <v>2030</v>
      </c>
      <c r="F352" t="s">
        <v>28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</row>
    <row r="353" spans="1:26" x14ac:dyDescent="0.25">
      <c r="A353" t="s">
        <v>129</v>
      </c>
      <c r="B353" t="s">
        <v>30</v>
      </c>
      <c r="C353" t="s">
        <v>86</v>
      </c>
      <c r="D353">
        <v>0</v>
      </c>
      <c r="E353">
        <v>2030</v>
      </c>
      <c r="F353" t="s">
        <v>28</v>
      </c>
      <c r="G353">
        <v>192243.07548074043</v>
      </c>
      <c r="H353">
        <v>0</v>
      </c>
      <c r="I353">
        <v>0</v>
      </c>
      <c r="J353">
        <v>270140.71358529059</v>
      </c>
      <c r="K353">
        <v>0</v>
      </c>
      <c r="L353">
        <v>0</v>
      </c>
      <c r="M353">
        <v>0</v>
      </c>
      <c r="N353">
        <v>0</v>
      </c>
      <c r="O353">
        <v>-77897.638104550162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1</v>
      </c>
    </row>
    <row r="354" spans="1:26" x14ac:dyDescent="0.25">
      <c r="A354" t="s">
        <v>129</v>
      </c>
      <c r="B354" t="s">
        <v>52</v>
      </c>
      <c r="C354" t="s">
        <v>77</v>
      </c>
      <c r="D354">
        <v>1</v>
      </c>
      <c r="E354">
        <v>2030</v>
      </c>
      <c r="F354" t="s">
        <v>28</v>
      </c>
      <c r="G354">
        <v>2639184.2877324577</v>
      </c>
      <c r="H354">
        <v>773085.89354292606</v>
      </c>
      <c r="I354">
        <v>726974.95402379602</v>
      </c>
      <c r="J354">
        <v>0</v>
      </c>
      <c r="K354">
        <v>52868.994212030084</v>
      </c>
      <c r="L354">
        <v>0</v>
      </c>
      <c r="M354">
        <v>1086254.4459537058</v>
      </c>
      <c r="N354">
        <v>0</v>
      </c>
      <c r="O354">
        <v>0</v>
      </c>
      <c r="P354">
        <v>0</v>
      </c>
      <c r="Q354">
        <v>1139123.4401657358</v>
      </c>
      <c r="R354">
        <v>0</v>
      </c>
      <c r="S354">
        <v>11.532133889290428</v>
      </c>
      <c r="T354">
        <v>0.30481830088922796</v>
      </c>
      <c r="U354">
        <v>11.227315588401201</v>
      </c>
      <c r="V354">
        <v>0</v>
      </c>
      <c r="W354">
        <v>968254.92414087534</v>
      </c>
      <c r="X354">
        <v>44938.645080225571</v>
      </c>
      <c r="Y354">
        <v>923316.2790606498</v>
      </c>
      <c r="Z354">
        <v>0</v>
      </c>
    </row>
    <row r="355" spans="1:26" x14ac:dyDescent="0.25">
      <c r="A355" t="s">
        <v>129</v>
      </c>
      <c r="B355" t="s">
        <v>56</v>
      </c>
      <c r="C355" t="s">
        <v>73</v>
      </c>
      <c r="D355">
        <v>1</v>
      </c>
      <c r="E355">
        <v>2030</v>
      </c>
      <c r="F355" t="s">
        <v>28</v>
      </c>
      <c r="G355">
        <v>526734.10986839118</v>
      </c>
      <c r="H355">
        <v>0</v>
      </c>
      <c r="I355">
        <v>0</v>
      </c>
      <c r="J355">
        <v>0</v>
      </c>
      <c r="K355">
        <v>41.80391161429587</v>
      </c>
      <c r="L355">
        <v>0</v>
      </c>
      <c r="M355">
        <v>526692.30595677684</v>
      </c>
      <c r="N355">
        <v>0</v>
      </c>
      <c r="O355">
        <v>0</v>
      </c>
      <c r="P355">
        <v>0</v>
      </c>
      <c r="Q355">
        <v>526734.10986839118</v>
      </c>
      <c r="R355">
        <v>0</v>
      </c>
      <c r="S355">
        <v>9.4026981784507786</v>
      </c>
      <c r="T355">
        <v>7.0985968194887394E-5</v>
      </c>
      <c r="U355">
        <v>9.4026271924825835</v>
      </c>
      <c r="V355">
        <v>0</v>
      </c>
      <c r="W355">
        <v>158020.23296051734</v>
      </c>
      <c r="X355">
        <v>12.541173484288761</v>
      </c>
      <c r="Y355">
        <v>158007.69178703305</v>
      </c>
      <c r="Z355">
        <v>0</v>
      </c>
    </row>
    <row r="356" spans="1:26" x14ac:dyDescent="0.25">
      <c r="A356" t="s">
        <v>129</v>
      </c>
      <c r="B356" t="s">
        <v>63</v>
      </c>
      <c r="C356" t="s">
        <v>86</v>
      </c>
      <c r="D356">
        <v>0</v>
      </c>
      <c r="E356">
        <v>2030</v>
      </c>
      <c r="F356" t="s">
        <v>28</v>
      </c>
      <c r="G356">
        <v>0</v>
      </c>
      <c r="H356">
        <v>4828427.5390456226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-4828427.5390456226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1</v>
      </c>
    </row>
    <row r="357" spans="1:26" x14ac:dyDescent="0.25">
      <c r="A357" t="s">
        <v>129</v>
      </c>
      <c r="B357" t="s">
        <v>49</v>
      </c>
      <c r="C357" t="s">
        <v>73</v>
      </c>
      <c r="D357">
        <v>1</v>
      </c>
      <c r="E357">
        <v>2030</v>
      </c>
      <c r="F357" t="s">
        <v>28</v>
      </c>
      <c r="G357">
        <v>523057.42126360437</v>
      </c>
      <c r="H357">
        <v>0</v>
      </c>
      <c r="I357">
        <v>0</v>
      </c>
      <c r="J357">
        <v>0</v>
      </c>
      <c r="K357">
        <v>523057.13098607323</v>
      </c>
      <c r="L357">
        <v>0</v>
      </c>
      <c r="M357">
        <v>0</v>
      </c>
      <c r="N357">
        <v>0</v>
      </c>
      <c r="O357">
        <v>0.29027753113768995</v>
      </c>
      <c r="P357">
        <v>0.29027753113768995</v>
      </c>
      <c r="Q357">
        <v>523057.13098607323</v>
      </c>
      <c r="R357">
        <v>1.2578102784986585E-6</v>
      </c>
      <c r="S357">
        <v>1.9265046219015098</v>
      </c>
      <c r="T357">
        <v>1.9265033640912312</v>
      </c>
      <c r="U357">
        <v>1.2578102785987255E-6</v>
      </c>
      <c r="V357">
        <v>0.12191656307782978</v>
      </c>
      <c r="W357">
        <v>219684.11693071382</v>
      </c>
      <c r="X357">
        <v>219683.99501415074</v>
      </c>
      <c r="Y357">
        <v>0.12191656307550147</v>
      </c>
      <c r="Z357">
        <v>0</v>
      </c>
    </row>
    <row r="358" spans="1:26" x14ac:dyDescent="0.25">
      <c r="A358" t="s">
        <v>129</v>
      </c>
      <c r="B358" t="s">
        <v>78</v>
      </c>
      <c r="C358" t="s">
        <v>86</v>
      </c>
      <c r="D358">
        <v>0</v>
      </c>
      <c r="E358">
        <v>2030</v>
      </c>
      <c r="F358" t="s">
        <v>28</v>
      </c>
      <c r="G358">
        <v>800990.58717012103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800990.58717012103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</row>
    <row r="359" spans="1:26" x14ac:dyDescent="0.25">
      <c r="A359" t="s">
        <v>129</v>
      </c>
      <c r="B359" t="s">
        <v>31</v>
      </c>
      <c r="C359" t="s">
        <v>86</v>
      </c>
      <c r="D359">
        <v>0</v>
      </c>
      <c r="E359">
        <v>2030</v>
      </c>
      <c r="F359" t="s">
        <v>28</v>
      </c>
      <c r="G359">
        <v>2241845.3275075206</v>
      </c>
      <c r="H359">
        <v>0</v>
      </c>
      <c r="I359">
        <v>0</v>
      </c>
      <c r="J359">
        <v>123531.68309679118</v>
      </c>
      <c r="K359">
        <v>0</v>
      </c>
      <c r="L359">
        <v>0</v>
      </c>
      <c r="M359">
        <v>0</v>
      </c>
      <c r="N359">
        <v>0</v>
      </c>
      <c r="O359">
        <v>2118313.6444107294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</row>
    <row r="360" spans="1:26" x14ac:dyDescent="0.25">
      <c r="A360" t="s">
        <v>129</v>
      </c>
      <c r="B360" t="s">
        <v>29</v>
      </c>
      <c r="C360" t="s">
        <v>77</v>
      </c>
      <c r="D360">
        <v>1</v>
      </c>
      <c r="E360">
        <v>2030</v>
      </c>
      <c r="F360" t="s">
        <v>28</v>
      </c>
      <c r="G360">
        <v>7171156.7599390233</v>
      </c>
      <c r="H360">
        <v>5879215.2019956233</v>
      </c>
      <c r="I360">
        <v>0</v>
      </c>
      <c r="J360">
        <v>295933.04302308214</v>
      </c>
      <c r="K360">
        <v>2833.9333697705197</v>
      </c>
      <c r="L360">
        <v>0</v>
      </c>
      <c r="M360">
        <v>0</v>
      </c>
      <c r="N360">
        <v>0</v>
      </c>
      <c r="O360">
        <v>993174.58155054692</v>
      </c>
      <c r="P360">
        <v>993174.58155054692</v>
      </c>
      <c r="Q360">
        <v>2833.9333697705197</v>
      </c>
      <c r="R360">
        <v>3.4014838973692068</v>
      </c>
      <c r="S360">
        <v>3.4111897224099992</v>
      </c>
      <c r="T360">
        <v>9.7058250407922632E-3</v>
      </c>
      <c r="U360">
        <v>3.4014838973692068</v>
      </c>
      <c r="V360">
        <v>307884.12028066954</v>
      </c>
      <c r="W360">
        <v>308762.63962529838</v>
      </c>
      <c r="X360">
        <v>878.51934462886106</v>
      </c>
      <c r="Y360">
        <v>307884.12028066954</v>
      </c>
      <c r="Z360">
        <v>0</v>
      </c>
    </row>
    <row r="361" spans="1:26" x14ac:dyDescent="0.25">
      <c r="A361" t="s">
        <v>129</v>
      </c>
      <c r="B361" t="s">
        <v>69</v>
      </c>
      <c r="C361" t="s">
        <v>86</v>
      </c>
      <c r="D361">
        <v>0</v>
      </c>
      <c r="E361">
        <v>2030</v>
      </c>
      <c r="F361" t="s">
        <v>28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620537.39357630478</v>
      </c>
      <c r="M361">
        <v>0</v>
      </c>
      <c r="N361">
        <v>0</v>
      </c>
      <c r="O361">
        <v>-620537.39357630478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1</v>
      </c>
    </row>
    <row r="362" spans="1:26" x14ac:dyDescent="0.25">
      <c r="A362" t="s">
        <v>129</v>
      </c>
      <c r="B362" t="s">
        <v>45</v>
      </c>
      <c r="C362" t="s">
        <v>74</v>
      </c>
      <c r="D362">
        <v>1</v>
      </c>
      <c r="E362">
        <v>2030</v>
      </c>
      <c r="F362" t="s">
        <v>28</v>
      </c>
      <c r="G362">
        <v>12983496.711335782</v>
      </c>
      <c r="H362">
        <v>0</v>
      </c>
      <c r="I362">
        <v>0</v>
      </c>
      <c r="J362">
        <v>0</v>
      </c>
      <c r="K362">
        <v>9867457.5006151944</v>
      </c>
      <c r="L362">
        <v>2064375.9771023891</v>
      </c>
      <c r="M362">
        <v>0</v>
      </c>
      <c r="N362">
        <v>0</v>
      </c>
      <c r="O362">
        <v>1051663.233618198</v>
      </c>
      <c r="P362">
        <v>1051663.233618198</v>
      </c>
      <c r="Q362">
        <v>9867457.5006151944</v>
      </c>
      <c r="R362">
        <v>0.53234141222519571</v>
      </c>
      <c r="S362">
        <v>5.5271497244616015</v>
      </c>
      <c r="T362">
        <v>4.9948083122364055</v>
      </c>
      <c r="U362">
        <v>0.53234141222519593</v>
      </c>
      <c r="V362">
        <v>79926.405754983047</v>
      </c>
      <c r="W362">
        <v>829853.17580173782</v>
      </c>
      <c r="X362">
        <v>749926.77004675474</v>
      </c>
      <c r="Y362">
        <v>79926.405754983076</v>
      </c>
      <c r="Z362">
        <v>0</v>
      </c>
    </row>
    <row r="363" spans="1:26" x14ac:dyDescent="0.25">
      <c r="A363" t="s">
        <v>129</v>
      </c>
      <c r="B363" t="s">
        <v>59</v>
      </c>
      <c r="C363" t="s">
        <v>86</v>
      </c>
      <c r="D363">
        <v>0</v>
      </c>
      <c r="E363">
        <v>2030</v>
      </c>
      <c r="F363" t="s">
        <v>28</v>
      </c>
      <c r="G363">
        <v>1620993.8653666629</v>
      </c>
      <c r="H363">
        <v>1515714.1736670113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105279.69169965154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</row>
    <row r="364" spans="1:26" x14ac:dyDescent="0.25">
      <c r="A364" t="s">
        <v>129</v>
      </c>
      <c r="B364" t="s">
        <v>54</v>
      </c>
      <c r="C364" t="s">
        <v>76</v>
      </c>
      <c r="D364">
        <v>1</v>
      </c>
      <c r="E364">
        <v>2030</v>
      </c>
      <c r="F364" t="s">
        <v>28</v>
      </c>
      <c r="G364">
        <v>7983307.7524896674</v>
      </c>
      <c r="H364">
        <v>5657053.7864699624</v>
      </c>
      <c r="I364">
        <v>0</v>
      </c>
      <c r="J364">
        <v>0</v>
      </c>
      <c r="K364">
        <v>314692.31350359169</v>
      </c>
      <c r="L364">
        <v>0</v>
      </c>
      <c r="M364">
        <v>0</v>
      </c>
      <c r="N364">
        <v>0</v>
      </c>
      <c r="O364">
        <v>2011561.6525161136</v>
      </c>
      <c r="P364">
        <v>1690869.0750561175</v>
      </c>
      <c r="Q364">
        <v>314692.31350359169</v>
      </c>
      <c r="R364">
        <v>6.070219979451462</v>
      </c>
      <c r="S364">
        <v>7.1999653849293566</v>
      </c>
      <c r="T364">
        <v>1.1297454054778944</v>
      </c>
      <c r="U364">
        <v>6.070219979451462</v>
      </c>
      <c r="V364">
        <v>507260.7225168352</v>
      </c>
      <c r="W364">
        <v>601668.41656791279</v>
      </c>
      <c r="X364">
        <v>94407.694051077502</v>
      </c>
      <c r="Y364">
        <v>507260.72251683532</v>
      </c>
      <c r="Z364">
        <v>0</v>
      </c>
    </row>
    <row r="365" spans="1:26" x14ac:dyDescent="0.25">
      <c r="A365" t="s">
        <v>129</v>
      </c>
      <c r="B365" t="s">
        <v>38</v>
      </c>
      <c r="C365" t="s">
        <v>86</v>
      </c>
      <c r="D365">
        <v>0</v>
      </c>
      <c r="E365">
        <v>2030</v>
      </c>
      <c r="F365" t="s">
        <v>28</v>
      </c>
      <c r="G365">
        <v>3127676.8816170068</v>
      </c>
      <c r="H365">
        <v>0</v>
      </c>
      <c r="I365">
        <v>0</v>
      </c>
      <c r="J365">
        <v>472406.87601849809</v>
      </c>
      <c r="K365">
        <v>0</v>
      </c>
      <c r="L365">
        <v>0</v>
      </c>
      <c r="M365">
        <v>0</v>
      </c>
      <c r="N365">
        <v>0</v>
      </c>
      <c r="O365">
        <v>2655270.0055985088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</row>
    <row r="366" spans="1:26" x14ac:dyDescent="0.25">
      <c r="A366" t="s">
        <v>129</v>
      </c>
      <c r="B366" t="s">
        <v>35</v>
      </c>
      <c r="C366" t="s">
        <v>79</v>
      </c>
      <c r="D366">
        <v>1</v>
      </c>
      <c r="E366">
        <v>2030</v>
      </c>
      <c r="F366" t="s">
        <v>28</v>
      </c>
      <c r="G366">
        <v>144989.33878430488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144989.33878430488</v>
      </c>
      <c r="P366">
        <v>144989.33878430488</v>
      </c>
      <c r="Q366">
        <v>0</v>
      </c>
      <c r="R366">
        <v>0.13012793155891364</v>
      </c>
      <c r="S366">
        <v>0.13012793155891364</v>
      </c>
      <c r="T366">
        <v>0</v>
      </c>
      <c r="U366">
        <v>0.13012793155891364</v>
      </c>
      <c r="V366">
        <v>21748.400817645732</v>
      </c>
      <c r="W366">
        <v>21748.400817645732</v>
      </c>
      <c r="X366">
        <v>0</v>
      </c>
      <c r="Y366">
        <v>21748.400817645732</v>
      </c>
      <c r="Z366">
        <v>0</v>
      </c>
    </row>
    <row r="367" spans="1:26" x14ac:dyDescent="0.25">
      <c r="A367" t="s">
        <v>129</v>
      </c>
      <c r="B367" t="s">
        <v>33</v>
      </c>
      <c r="C367" t="s">
        <v>86</v>
      </c>
      <c r="D367">
        <v>0</v>
      </c>
      <c r="E367">
        <v>2030</v>
      </c>
      <c r="F367" t="s">
        <v>28</v>
      </c>
      <c r="G367">
        <v>106168.13854148486</v>
      </c>
      <c r="H367">
        <v>0</v>
      </c>
      <c r="I367">
        <v>0</v>
      </c>
      <c r="J367">
        <v>60028.253038902265</v>
      </c>
      <c r="K367">
        <v>0</v>
      </c>
      <c r="L367">
        <v>0</v>
      </c>
      <c r="M367">
        <v>0</v>
      </c>
      <c r="N367">
        <v>0</v>
      </c>
      <c r="O367">
        <v>46139.885502582598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</row>
    <row r="368" spans="1:26" x14ac:dyDescent="0.25">
      <c r="A368" t="s">
        <v>129</v>
      </c>
      <c r="B368" t="s">
        <v>80</v>
      </c>
      <c r="C368" t="s">
        <v>86</v>
      </c>
      <c r="D368">
        <v>0</v>
      </c>
      <c r="E368">
        <v>2030</v>
      </c>
      <c r="F368" t="s">
        <v>28</v>
      </c>
      <c r="G368">
        <v>1683153.4103621913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1683153.4103621913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</row>
    <row r="369" spans="1:26" x14ac:dyDescent="0.25">
      <c r="A369" t="s">
        <v>129</v>
      </c>
      <c r="B369" t="s">
        <v>65</v>
      </c>
      <c r="C369" t="s">
        <v>81</v>
      </c>
      <c r="D369">
        <v>1</v>
      </c>
      <c r="E369">
        <v>2030</v>
      </c>
      <c r="F369" t="s">
        <v>28</v>
      </c>
      <c r="G369">
        <v>177516.46640303911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177516.46640303911</v>
      </c>
      <c r="N369">
        <v>0</v>
      </c>
      <c r="O369">
        <v>0</v>
      </c>
      <c r="P369">
        <v>0</v>
      </c>
      <c r="Q369">
        <v>177516.46640303911</v>
      </c>
      <c r="R369">
        <v>0</v>
      </c>
      <c r="S369">
        <v>3.2663029818159193</v>
      </c>
      <c r="T369">
        <v>0</v>
      </c>
      <c r="U369">
        <v>3.2663029818159193</v>
      </c>
      <c r="V369">
        <v>0</v>
      </c>
      <c r="W369">
        <v>73669.333557261241</v>
      </c>
      <c r="X369">
        <v>0</v>
      </c>
      <c r="Y369">
        <v>73669.333557261241</v>
      </c>
      <c r="Z369">
        <v>0</v>
      </c>
    </row>
    <row r="370" spans="1:26" x14ac:dyDescent="0.25">
      <c r="A370" t="s">
        <v>129</v>
      </c>
      <c r="B370" t="s">
        <v>140</v>
      </c>
      <c r="C370" t="s">
        <v>142</v>
      </c>
      <c r="D370">
        <v>1</v>
      </c>
      <c r="E370">
        <v>2030</v>
      </c>
      <c r="F370" t="s">
        <v>28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</row>
    <row r="371" spans="1:26" x14ac:dyDescent="0.25">
      <c r="A371" t="s">
        <v>129</v>
      </c>
      <c r="B371" t="s">
        <v>141</v>
      </c>
      <c r="C371" t="s">
        <v>142</v>
      </c>
      <c r="D371">
        <v>1</v>
      </c>
      <c r="E371">
        <v>2030</v>
      </c>
      <c r="F371" t="s">
        <v>28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</row>
    <row r="372" spans="1:26" x14ac:dyDescent="0.25">
      <c r="A372" t="s">
        <v>129</v>
      </c>
      <c r="B372" t="s">
        <v>82</v>
      </c>
      <c r="C372" t="s">
        <v>86</v>
      </c>
      <c r="D372">
        <v>0</v>
      </c>
      <c r="E372">
        <v>2030</v>
      </c>
      <c r="F372" t="s">
        <v>28</v>
      </c>
      <c r="G372">
        <v>4870431.535367866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4870431.535367866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</row>
    <row r="373" spans="1:26" x14ac:dyDescent="0.25">
      <c r="A373" t="s">
        <v>129</v>
      </c>
      <c r="B373" t="s">
        <v>72</v>
      </c>
      <c r="C373" t="s">
        <v>86</v>
      </c>
      <c r="D373">
        <v>0</v>
      </c>
      <c r="E373">
        <v>2030</v>
      </c>
      <c r="F373" t="s">
        <v>28</v>
      </c>
      <c r="G373">
        <v>507790.70515370794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507790.70515370794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</row>
    <row r="374" spans="1:26" x14ac:dyDescent="0.25">
      <c r="A374" t="s">
        <v>129</v>
      </c>
      <c r="B374" t="s">
        <v>58</v>
      </c>
      <c r="C374" t="s">
        <v>86</v>
      </c>
      <c r="D374">
        <v>0</v>
      </c>
      <c r="E374">
        <v>2030</v>
      </c>
      <c r="F374" t="s">
        <v>28</v>
      </c>
      <c r="G374">
        <v>253895.35257685397</v>
      </c>
      <c r="H374">
        <v>214099.10609126225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39796.246485591721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</row>
    <row r="375" spans="1:26" x14ac:dyDescent="0.25">
      <c r="A375" t="s">
        <v>129</v>
      </c>
      <c r="B375" t="s">
        <v>64</v>
      </c>
      <c r="C375" t="s">
        <v>64</v>
      </c>
      <c r="D375">
        <v>1</v>
      </c>
      <c r="E375">
        <v>2030</v>
      </c>
      <c r="F375" t="s">
        <v>28</v>
      </c>
      <c r="G375">
        <v>162493.02564918654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162493.02564918654</v>
      </c>
      <c r="N375">
        <v>0</v>
      </c>
      <c r="O375">
        <v>0</v>
      </c>
      <c r="P375">
        <v>0</v>
      </c>
      <c r="Q375">
        <v>162493.02564918654</v>
      </c>
      <c r="R375">
        <v>0</v>
      </c>
      <c r="S375">
        <v>5.6872558977215286</v>
      </c>
      <c r="T375">
        <v>0</v>
      </c>
      <c r="U375">
        <v>5.6872558977215286</v>
      </c>
      <c r="V375">
        <v>0</v>
      </c>
      <c r="W375">
        <v>147868.65334075977</v>
      </c>
      <c r="X375">
        <v>0</v>
      </c>
      <c r="Y375">
        <v>147868.65334075977</v>
      </c>
      <c r="Z375">
        <v>0</v>
      </c>
    </row>
    <row r="376" spans="1:26" x14ac:dyDescent="0.25">
      <c r="A376" t="s">
        <v>129</v>
      </c>
      <c r="B376" t="s">
        <v>55</v>
      </c>
      <c r="C376" t="s">
        <v>76</v>
      </c>
      <c r="D376">
        <v>1</v>
      </c>
      <c r="E376">
        <v>2030</v>
      </c>
      <c r="F376" t="s">
        <v>28</v>
      </c>
      <c r="G376">
        <v>395099.15710561507</v>
      </c>
      <c r="H376">
        <v>841167.61765562883</v>
      </c>
      <c r="I376">
        <v>0</v>
      </c>
      <c r="J376">
        <v>0</v>
      </c>
      <c r="K376">
        <v>4075.7207832735812</v>
      </c>
      <c r="L376">
        <v>0</v>
      </c>
      <c r="M376">
        <v>0</v>
      </c>
      <c r="N376">
        <v>0</v>
      </c>
      <c r="O376">
        <v>-450144.18133328733</v>
      </c>
      <c r="P376">
        <v>0</v>
      </c>
      <c r="Q376">
        <v>4075.7207832735812</v>
      </c>
      <c r="R376">
        <v>0</v>
      </c>
      <c r="S376">
        <v>1.1061669234635831E-2</v>
      </c>
      <c r="T376">
        <v>1.1061669234635831E-2</v>
      </c>
      <c r="U376">
        <v>0</v>
      </c>
      <c r="V376">
        <v>0</v>
      </c>
      <c r="W376">
        <v>815.14415665471631</v>
      </c>
      <c r="X376">
        <v>815.14415665471631</v>
      </c>
      <c r="Y376">
        <v>0</v>
      </c>
      <c r="Z376">
        <v>0</v>
      </c>
    </row>
    <row r="377" spans="1:26" x14ac:dyDescent="0.25">
      <c r="A377" t="s">
        <v>129</v>
      </c>
      <c r="B377" t="s">
        <v>83</v>
      </c>
      <c r="C377" t="s">
        <v>86</v>
      </c>
      <c r="D377">
        <v>0</v>
      </c>
      <c r="E377">
        <v>2030</v>
      </c>
      <c r="F377" t="s">
        <v>28</v>
      </c>
      <c r="G377">
        <v>191123.07715634341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191123.07715634341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</row>
    <row r="378" spans="1:26" x14ac:dyDescent="0.25">
      <c r="A378" t="s">
        <v>129</v>
      </c>
      <c r="B378" t="s">
        <v>62</v>
      </c>
      <c r="C378" t="s">
        <v>86</v>
      </c>
      <c r="D378">
        <v>0</v>
      </c>
      <c r="E378">
        <v>2030</v>
      </c>
      <c r="F378" t="s">
        <v>28</v>
      </c>
      <c r="G378">
        <v>129693.32771377628</v>
      </c>
      <c r="H378">
        <v>39415.735012617326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90277.592701158952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</row>
    <row r="379" spans="1:26" x14ac:dyDescent="0.25">
      <c r="A379" t="s">
        <v>129</v>
      </c>
      <c r="B379" t="s">
        <v>47</v>
      </c>
      <c r="C379" t="s">
        <v>73</v>
      </c>
      <c r="D379">
        <v>1</v>
      </c>
      <c r="E379">
        <v>2030</v>
      </c>
      <c r="F379" t="s">
        <v>28</v>
      </c>
      <c r="G379">
        <v>3973910.9975047</v>
      </c>
      <c r="H379">
        <v>0</v>
      </c>
      <c r="I379">
        <v>0</v>
      </c>
      <c r="J379">
        <v>0</v>
      </c>
      <c r="K379">
        <v>1507101.1523820646</v>
      </c>
      <c r="L379">
        <v>0</v>
      </c>
      <c r="M379">
        <v>0</v>
      </c>
      <c r="N379">
        <v>0</v>
      </c>
      <c r="O379">
        <v>2466809.8451226354</v>
      </c>
      <c r="P379">
        <v>2466809.8451226354</v>
      </c>
      <c r="Q379">
        <v>1507101.1523820646</v>
      </c>
      <c r="R379">
        <v>1.2309627808146464</v>
      </c>
      <c r="S379">
        <v>1.9830213268648205</v>
      </c>
      <c r="T379">
        <v>0.75205854605017419</v>
      </c>
      <c r="U379">
        <v>1.2309627808146462</v>
      </c>
      <c r="V379">
        <v>148008.59070735812</v>
      </c>
      <c r="W379">
        <v>238434.65985028198</v>
      </c>
      <c r="X379">
        <v>90426.06914292388</v>
      </c>
      <c r="Y379">
        <v>148008.59070735809</v>
      </c>
      <c r="Z379">
        <v>0</v>
      </c>
    </row>
    <row r="380" spans="1:26" x14ac:dyDescent="0.25">
      <c r="A380" t="s">
        <v>129</v>
      </c>
      <c r="B380" t="s">
        <v>44</v>
      </c>
      <c r="C380" t="s">
        <v>74</v>
      </c>
      <c r="D380">
        <v>1</v>
      </c>
      <c r="E380">
        <v>2030</v>
      </c>
      <c r="F380" t="s">
        <v>28</v>
      </c>
      <c r="G380">
        <v>15074833.175881069</v>
      </c>
      <c r="H380">
        <v>0</v>
      </c>
      <c r="I380">
        <v>0</v>
      </c>
      <c r="J380">
        <v>0</v>
      </c>
      <c r="K380">
        <v>7989661.5832169671</v>
      </c>
      <c r="L380">
        <v>7085171.5926641021</v>
      </c>
      <c r="M380">
        <v>0</v>
      </c>
      <c r="N380">
        <v>0</v>
      </c>
      <c r="O380">
        <v>0</v>
      </c>
      <c r="P380">
        <v>0</v>
      </c>
      <c r="Q380">
        <v>7989661.5832169671</v>
      </c>
      <c r="R380">
        <v>0</v>
      </c>
      <c r="S380">
        <v>3.4419462100498701</v>
      </c>
      <c r="T380">
        <v>3.4419462100498701</v>
      </c>
      <c r="U380">
        <v>0</v>
      </c>
      <c r="V380">
        <v>0</v>
      </c>
      <c r="W380">
        <v>399483.0791608484</v>
      </c>
      <c r="X380">
        <v>399483.0791608484</v>
      </c>
      <c r="Y380">
        <v>0</v>
      </c>
      <c r="Z380">
        <v>0</v>
      </c>
    </row>
    <row r="381" spans="1:26" x14ac:dyDescent="0.25">
      <c r="A381" t="s">
        <v>129</v>
      </c>
      <c r="B381" t="s">
        <v>32</v>
      </c>
      <c r="C381" t="s">
        <v>86</v>
      </c>
      <c r="D381">
        <v>0</v>
      </c>
      <c r="E381">
        <v>2030</v>
      </c>
      <c r="F381" t="s">
        <v>28</v>
      </c>
      <c r="G381">
        <v>1378013.0257817972</v>
      </c>
      <c r="H381">
        <v>0</v>
      </c>
      <c r="I381">
        <v>0</v>
      </c>
      <c r="J381">
        <v>121875.54404868034</v>
      </c>
      <c r="K381">
        <v>0</v>
      </c>
      <c r="L381">
        <v>0</v>
      </c>
      <c r="M381">
        <v>0</v>
      </c>
      <c r="N381">
        <v>0</v>
      </c>
      <c r="O381">
        <v>1256137.4817331168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</row>
    <row r="382" spans="1:26" x14ac:dyDescent="0.25">
      <c r="A382" t="s">
        <v>129</v>
      </c>
      <c r="B382" t="s">
        <v>36</v>
      </c>
      <c r="C382" t="s">
        <v>79</v>
      </c>
      <c r="D382">
        <v>1</v>
      </c>
      <c r="E382">
        <v>2030</v>
      </c>
      <c r="F382" t="s">
        <v>28</v>
      </c>
      <c r="G382">
        <v>10800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10800</v>
      </c>
      <c r="P382">
        <v>10800</v>
      </c>
      <c r="Q382">
        <v>0</v>
      </c>
      <c r="R382">
        <v>9.6930000000000002E-3</v>
      </c>
      <c r="S382">
        <v>9.6930000000000002E-3</v>
      </c>
      <c r="T382">
        <v>0</v>
      </c>
      <c r="U382">
        <v>9.6930000000000002E-3</v>
      </c>
      <c r="V382">
        <v>1620</v>
      </c>
      <c r="W382">
        <v>1620</v>
      </c>
      <c r="X382">
        <v>0</v>
      </c>
      <c r="Y382">
        <v>1620</v>
      </c>
      <c r="Z382">
        <v>0</v>
      </c>
    </row>
    <row r="383" spans="1:26" x14ac:dyDescent="0.25">
      <c r="A383" t="s">
        <v>129</v>
      </c>
      <c r="B383" t="s">
        <v>84</v>
      </c>
      <c r="C383" t="s">
        <v>86</v>
      </c>
      <c r="D383">
        <v>1</v>
      </c>
      <c r="E383">
        <v>2030</v>
      </c>
      <c r="F383" t="s">
        <v>28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</row>
    <row r="384" spans="1:26" x14ac:dyDescent="0.25">
      <c r="A384" t="s">
        <v>129</v>
      </c>
      <c r="B384" t="s">
        <v>66</v>
      </c>
      <c r="C384" t="s">
        <v>81</v>
      </c>
      <c r="D384">
        <v>1</v>
      </c>
      <c r="E384">
        <v>2030</v>
      </c>
      <c r="F384" t="s">
        <v>28</v>
      </c>
      <c r="G384">
        <v>2203715.0015238998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2203715.0015238998</v>
      </c>
      <c r="N384">
        <v>0</v>
      </c>
      <c r="O384">
        <v>0</v>
      </c>
      <c r="P384">
        <v>0</v>
      </c>
      <c r="Q384">
        <v>2203715.0015238998</v>
      </c>
      <c r="R384">
        <v>0</v>
      </c>
      <c r="S384">
        <v>31.93969521225883</v>
      </c>
      <c r="T384">
        <v>0</v>
      </c>
      <c r="U384">
        <v>31.93969521225883</v>
      </c>
      <c r="V384">
        <v>0</v>
      </c>
      <c r="W384">
        <v>1089920.7111703621</v>
      </c>
      <c r="X384">
        <v>0</v>
      </c>
      <c r="Y384">
        <v>1089920.7111703621</v>
      </c>
      <c r="Z384">
        <v>0</v>
      </c>
    </row>
    <row r="385" spans="1:26" x14ac:dyDescent="0.25">
      <c r="A385" t="s">
        <v>129</v>
      </c>
      <c r="B385" t="s">
        <v>85</v>
      </c>
      <c r="C385" t="s">
        <v>86</v>
      </c>
      <c r="D385">
        <v>0</v>
      </c>
      <c r="E385">
        <v>2030</v>
      </c>
      <c r="F385" t="s">
        <v>28</v>
      </c>
      <c r="G385">
        <v>605932.0339558397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605932.0339558397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</row>
    <row r="386" spans="1:26" x14ac:dyDescent="0.25">
      <c r="A386" t="s">
        <v>129</v>
      </c>
      <c r="B386" t="s">
        <v>40</v>
      </c>
      <c r="C386" t="s">
        <v>86</v>
      </c>
      <c r="D386">
        <v>0</v>
      </c>
      <c r="E386">
        <v>2050</v>
      </c>
      <c r="F386" t="s">
        <v>28</v>
      </c>
      <c r="G386">
        <v>166578.5911943354</v>
      </c>
      <c r="H386">
        <v>0</v>
      </c>
      <c r="I386">
        <v>0</v>
      </c>
      <c r="J386">
        <v>33849.968886444818</v>
      </c>
      <c r="K386">
        <v>0</v>
      </c>
      <c r="L386">
        <v>0</v>
      </c>
      <c r="M386">
        <v>0</v>
      </c>
      <c r="N386">
        <v>0</v>
      </c>
      <c r="O386">
        <v>132728.62230789059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</row>
    <row r="387" spans="1:26" x14ac:dyDescent="0.25">
      <c r="A387" t="s">
        <v>129</v>
      </c>
      <c r="B387" t="s">
        <v>34</v>
      </c>
      <c r="C387" t="s">
        <v>86</v>
      </c>
      <c r="D387">
        <v>0</v>
      </c>
      <c r="E387">
        <v>2050</v>
      </c>
      <c r="F387" t="s">
        <v>28</v>
      </c>
      <c r="G387">
        <v>260463.0327135307</v>
      </c>
      <c r="H387">
        <v>51598.780380153592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208864.25233337711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</row>
    <row r="388" spans="1:26" x14ac:dyDescent="0.25">
      <c r="A388" t="s">
        <v>129</v>
      </c>
      <c r="B388" t="s">
        <v>48</v>
      </c>
      <c r="C388" t="s">
        <v>73</v>
      </c>
      <c r="D388">
        <v>1</v>
      </c>
      <c r="E388">
        <v>2050</v>
      </c>
      <c r="F388" t="s">
        <v>28</v>
      </c>
      <c r="G388">
        <v>197484.13479984918</v>
      </c>
      <c r="H388">
        <v>0</v>
      </c>
      <c r="I388">
        <v>0</v>
      </c>
      <c r="J388">
        <v>0</v>
      </c>
      <c r="K388">
        <v>197484.23354298095</v>
      </c>
      <c r="L388">
        <v>0</v>
      </c>
      <c r="M388">
        <v>0</v>
      </c>
      <c r="N388">
        <v>0</v>
      </c>
      <c r="O388">
        <v>-9.8743131762603298E-2</v>
      </c>
      <c r="P388">
        <v>0</v>
      </c>
      <c r="Q388">
        <v>197484.23354298095</v>
      </c>
      <c r="R388">
        <v>0</v>
      </c>
      <c r="S388">
        <v>0.67281101009991739</v>
      </c>
      <c r="T388">
        <v>0.67281101009991739</v>
      </c>
      <c r="U388">
        <v>0</v>
      </c>
      <c r="V388">
        <v>0</v>
      </c>
      <c r="W388">
        <v>55295.585392034671</v>
      </c>
      <c r="X388">
        <v>55295.585392034671</v>
      </c>
      <c r="Y388">
        <v>0</v>
      </c>
      <c r="Z388">
        <v>1</v>
      </c>
    </row>
    <row r="389" spans="1:26" x14ac:dyDescent="0.25">
      <c r="A389" t="s">
        <v>129</v>
      </c>
      <c r="B389" t="s">
        <v>11</v>
      </c>
      <c r="C389" t="s">
        <v>86</v>
      </c>
      <c r="D389">
        <v>1</v>
      </c>
      <c r="E389">
        <v>2050</v>
      </c>
      <c r="F389" t="s">
        <v>28</v>
      </c>
      <c r="G389">
        <v>434305248.86575383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434305248.86575383</v>
      </c>
      <c r="N389">
        <v>0</v>
      </c>
      <c r="O389">
        <v>0</v>
      </c>
      <c r="P389">
        <v>0</v>
      </c>
      <c r="Q389">
        <v>434305248.86575383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</row>
    <row r="390" spans="1:26" x14ac:dyDescent="0.25">
      <c r="A390" t="s">
        <v>129</v>
      </c>
      <c r="B390" t="s">
        <v>68</v>
      </c>
      <c r="C390" t="s">
        <v>86</v>
      </c>
      <c r="D390">
        <v>0</v>
      </c>
      <c r="E390">
        <v>2050</v>
      </c>
      <c r="F390" t="s">
        <v>28</v>
      </c>
      <c r="G390">
        <v>16361961.782417906</v>
      </c>
      <c r="H390">
        <v>0</v>
      </c>
      <c r="I390">
        <v>0</v>
      </c>
      <c r="J390">
        <v>0</v>
      </c>
      <c r="K390">
        <v>0</v>
      </c>
      <c r="L390">
        <v>13769683.498114759</v>
      </c>
      <c r="M390">
        <v>0</v>
      </c>
      <c r="N390">
        <v>0</v>
      </c>
      <c r="O390">
        <v>2592278.2843031473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</row>
    <row r="391" spans="1:26" x14ac:dyDescent="0.25">
      <c r="A391" t="s">
        <v>129</v>
      </c>
      <c r="B391" t="s">
        <v>51</v>
      </c>
      <c r="C391" t="s">
        <v>73</v>
      </c>
      <c r="D391">
        <v>1</v>
      </c>
      <c r="E391">
        <v>2050</v>
      </c>
      <c r="F391" t="s">
        <v>28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</row>
    <row r="392" spans="1:26" x14ac:dyDescent="0.25">
      <c r="A392" t="s">
        <v>129</v>
      </c>
      <c r="B392" t="s">
        <v>50</v>
      </c>
      <c r="C392" t="s">
        <v>74</v>
      </c>
      <c r="D392">
        <v>1</v>
      </c>
      <c r="E392">
        <v>2050</v>
      </c>
      <c r="F392" t="s">
        <v>28</v>
      </c>
      <c r="G392">
        <v>2222382.1821508599</v>
      </c>
      <c r="H392">
        <v>0</v>
      </c>
      <c r="I392">
        <v>0</v>
      </c>
      <c r="J392">
        <v>0</v>
      </c>
      <c r="K392">
        <v>1111191.0910754299</v>
      </c>
      <c r="L392">
        <v>420665.19876426988</v>
      </c>
      <c r="M392">
        <v>0</v>
      </c>
      <c r="N392">
        <v>0</v>
      </c>
      <c r="O392">
        <v>690525.89231115999</v>
      </c>
      <c r="P392">
        <v>690525.89231115999</v>
      </c>
      <c r="Q392">
        <v>1111191.0910754299</v>
      </c>
      <c r="R392">
        <v>1.4873927720382387</v>
      </c>
      <c r="S392">
        <v>3.8808983822147152</v>
      </c>
      <c r="T392">
        <v>2.3935056101764762</v>
      </c>
      <c r="U392">
        <v>1.4873927720382389</v>
      </c>
      <c r="V392">
        <v>207157.767693348</v>
      </c>
      <c r="W392">
        <v>540515.09501597693</v>
      </c>
      <c r="X392">
        <v>333357.32732262899</v>
      </c>
      <c r="Y392">
        <v>207157.76769334794</v>
      </c>
      <c r="Z392">
        <v>0</v>
      </c>
    </row>
    <row r="393" spans="1:26" x14ac:dyDescent="0.25">
      <c r="A393" t="s">
        <v>129</v>
      </c>
      <c r="B393" t="s">
        <v>60</v>
      </c>
      <c r="C393" t="s">
        <v>86</v>
      </c>
      <c r="D393">
        <v>0</v>
      </c>
      <c r="E393">
        <v>2050</v>
      </c>
      <c r="F393" t="s">
        <v>28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</row>
    <row r="394" spans="1:26" x14ac:dyDescent="0.25">
      <c r="A394" t="s">
        <v>129</v>
      </c>
      <c r="B394" t="s">
        <v>46</v>
      </c>
      <c r="C394" t="s">
        <v>74</v>
      </c>
      <c r="D394">
        <v>1</v>
      </c>
      <c r="E394">
        <v>2050</v>
      </c>
      <c r="F394" t="s">
        <v>28</v>
      </c>
      <c r="G394">
        <v>6892.4253779859373</v>
      </c>
      <c r="H394">
        <v>0</v>
      </c>
      <c r="I394">
        <v>0</v>
      </c>
      <c r="J394">
        <v>0</v>
      </c>
      <c r="K394">
        <v>3446.2126889929687</v>
      </c>
      <c r="L394">
        <v>2609.2753216661044</v>
      </c>
      <c r="M394">
        <v>0</v>
      </c>
      <c r="N394">
        <v>0</v>
      </c>
      <c r="O394">
        <v>836.93736732686375</v>
      </c>
      <c r="P394">
        <v>836.93736732686375</v>
      </c>
      <c r="Q394">
        <v>3446.2126889929687</v>
      </c>
      <c r="R394">
        <v>3.9360327448015076E-4</v>
      </c>
      <c r="S394">
        <v>2.0143226399866538E-3</v>
      </c>
      <c r="T394">
        <v>1.6207193655065032E-3</v>
      </c>
      <c r="U394">
        <v>3.936032744801506E-4</v>
      </c>
      <c r="V394">
        <v>52.727054141592419</v>
      </c>
      <c r="W394">
        <v>269.83845354814946</v>
      </c>
      <c r="X394">
        <v>217.11139940655701</v>
      </c>
      <c r="Y394">
        <v>52.727054141592447</v>
      </c>
      <c r="Z394">
        <v>0</v>
      </c>
    </row>
    <row r="395" spans="1:26" x14ac:dyDescent="0.25">
      <c r="A395" t="s">
        <v>129</v>
      </c>
      <c r="B395" t="s">
        <v>39</v>
      </c>
      <c r="C395" t="s">
        <v>86</v>
      </c>
      <c r="D395">
        <v>0</v>
      </c>
      <c r="E395">
        <v>2050</v>
      </c>
      <c r="F395" t="s">
        <v>28</v>
      </c>
      <c r="G395">
        <v>138927.00099994309</v>
      </c>
      <c r="H395">
        <v>0</v>
      </c>
      <c r="I395">
        <v>0</v>
      </c>
      <c r="J395">
        <v>36670.799626981883</v>
      </c>
      <c r="K395">
        <v>0</v>
      </c>
      <c r="L395">
        <v>0</v>
      </c>
      <c r="M395">
        <v>0</v>
      </c>
      <c r="N395">
        <v>0</v>
      </c>
      <c r="O395">
        <v>102256.20137296121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</row>
    <row r="396" spans="1:26" x14ac:dyDescent="0.25">
      <c r="A396" t="s">
        <v>129</v>
      </c>
      <c r="B396" t="s">
        <v>75</v>
      </c>
      <c r="C396" t="s">
        <v>86</v>
      </c>
      <c r="D396">
        <v>0</v>
      </c>
      <c r="E396">
        <v>2050</v>
      </c>
      <c r="F396" t="s">
        <v>28</v>
      </c>
      <c r="G396">
        <v>893493.81900150096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893493.81900150096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</row>
    <row r="397" spans="1:26" x14ac:dyDescent="0.25">
      <c r="A397" t="s">
        <v>129</v>
      </c>
      <c r="B397" t="s">
        <v>41</v>
      </c>
      <c r="C397" t="s">
        <v>86</v>
      </c>
      <c r="D397">
        <v>0</v>
      </c>
      <c r="E397">
        <v>2050</v>
      </c>
      <c r="F397" t="s">
        <v>28</v>
      </c>
      <c r="G397">
        <v>26150.496751056631</v>
      </c>
      <c r="H397">
        <v>0</v>
      </c>
      <c r="I397">
        <v>0</v>
      </c>
      <c r="J397">
        <v>267978.92035102146</v>
      </c>
      <c r="K397">
        <v>0</v>
      </c>
      <c r="L397">
        <v>0</v>
      </c>
      <c r="M397">
        <v>0</v>
      </c>
      <c r="N397">
        <v>0</v>
      </c>
      <c r="O397">
        <v>-241828.42359996482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1</v>
      </c>
    </row>
    <row r="398" spans="1:26" x14ac:dyDescent="0.25">
      <c r="A398" t="s">
        <v>129</v>
      </c>
      <c r="B398" t="s">
        <v>57</v>
      </c>
      <c r="C398" t="s">
        <v>57</v>
      </c>
      <c r="D398">
        <v>1</v>
      </c>
      <c r="E398">
        <v>2050</v>
      </c>
      <c r="F398" t="s">
        <v>28</v>
      </c>
      <c r="G398">
        <v>0</v>
      </c>
      <c r="H398">
        <v>0</v>
      </c>
      <c r="I398">
        <v>0</v>
      </c>
      <c r="J398">
        <v>0</v>
      </c>
      <c r="K398">
        <v>114193.60000000001</v>
      </c>
      <c r="L398">
        <v>0</v>
      </c>
      <c r="M398">
        <v>0</v>
      </c>
      <c r="N398">
        <v>0</v>
      </c>
      <c r="O398">
        <v>-114193.60000000001</v>
      </c>
      <c r="P398">
        <v>0</v>
      </c>
      <c r="Q398">
        <v>114193.60000000001</v>
      </c>
      <c r="R398">
        <v>0</v>
      </c>
      <c r="S398">
        <v>1.7355855896064003</v>
      </c>
      <c r="T398">
        <v>1.7355855896064003</v>
      </c>
      <c r="U398">
        <v>0</v>
      </c>
      <c r="V398">
        <v>0</v>
      </c>
      <c r="W398">
        <v>102774.24</v>
      </c>
      <c r="X398">
        <v>102774.24</v>
      </c>
      <c r="Y398">
        <v>0</v>
      </c>
      <c r="Z398">
        <v>1</v>
      </c>
    </row>
    <row r="399" spans="1:26" x14ac:dyDescent="0.25">
      <c r="A399" t="s">
        <v>129</v>
      </c>
      <c r="B399" t="s">
        <v>53</v>
      </c>
      <c r="C399" t="s">
        <v>76</v>
      </c>
      <c r="D399">
        <v>1</v>
      </c>
      <c r="E399">
        <v>2050</v>
      </c>
      <c r="F399" t="s">
        <v>28</v>
      </c>
      <c r="G399">
        <v>16099999.551723864</v>
      </c>
      <c r="H399">
        <v>9790151.9274066389</v>
      </c>
      <c r="I399">
        <v>0</v>
      </c>
      <c r="J399">
        <v>0</v>
      </c>
      <c r="K399">
        <v>75527.053678542041</v>
      </c>
      <c r="L399">
        <v>0</v>
      </c>
      <c r="M399">
        <v>0</v>
      </c>
      <c r="N399">
        <v>0</v>
      </c>
      <c r="O399">
        <v>6234320.5706386827</v>
      </c>
      <c r="P399">
        <v>6234320.5706386827</v>
      </c>
      <c r="Q399">
        <v>75527.053678542041</v>
      </c>
      <c r="R399">
        <v>11.470370559903847</v>
      </c>
      <c r="S399">
        <v>11.609330897790654</v>
      </c>
      <c r="T399">
        <v>0.13896033788680753</v>
      </c>
      <c r="U399">
        <v>11.470370559903847</v>
      </c>
      <c r="V399">
        <v>1745609.7597788314</v>
      </c>
      <c r="W399">
        <v>1766757.3348088232</v>
      </c>
      <c r="X399">
        <v>21147.575029991774</v>
      </c>
      <c r="Y399">
        <v>1745609.7597788314</v>
      </c>
      <c r="Z399">
        <v>0</v>
      </c>
    </row>
    <row r="400" spans="1:26" x14ac:dyDescent="0.25">
      <c r="A400" t="s">
        <v>129</v>
      </c>
      <c r="B400" t="s">
        <v>61</v>
      </c>
      <c r="C400" t="s">
        <v>86</v>
      </c>
      <c r="D400">
        <v>0</v>
      </c>
      <c r="E400">
        <v>2050</v>
      </c>
      <c r="F400" t="s">
        <v>28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</row>
    <row r="401" spans="1:26" x14ac:dyDescent="0.25">
      <c r="A401" t="s">
        <v>129</v>
      </c>
      <c r="B401" t="s">
        <v>30</v>
      </c>
      <c r="C401" t="s">
        <v>86</v>
      </c>
      <c r="D401">
        <v>0</v>
      </c>
      <c r="E401">
        <v>2050</v>
      </c>
      <c r="F401" t="s">
        <v>28</v>
      </c>
      <c r="G401">
        <v>185255.23058853028</v>
      </c>
      <c r="H401">
        <v>0</v>
      </c>
      <c r="I401">
        <v>0</v>
      </c>
      <c r="J401">
        <v>280672.65868343826</v>
      </c>
      <c r="K401">
        <v>0</v>
      </c>
      <c r="L401">
        <v>0</v>
      </c>
      <c r="M401">
        <v>0</v>
      </c>
      <c r="N401">
        <v>0</v>
      </c>
      <c r="O401">
        <v>-95417.428094907984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1</v>
      </c>
    </row>
    <row r="402" spans="1:26" x14ac:dyDescent="0.25">
      <c r="A402" t="s">
        <v>129</v>
      </c>
      <c r="B402" t="s">
        <v>52</v>
      </c>
      <c r="C402" t="s">
        <v>77</v>
      </c>
      <c r="D402">
        <v>1</v>
      </c>
      <c r="E402">
        <v>2050</v>
      </c>
      <c r="F402" t="s">
        <v>28</v>
      </c>
      <c r="G402">
        <v>2554079.4309541653</v>
      </c>
      <c r="H402">
        <v>618468.71483434096</v>
      </c>
      <c r="I402">
        <v>579210.80448009283</v>
      </c>
      <c r="J402">
        <v>0</v>
      </c>
      <c r="K402">
        <v>53363.755309158871</v>
      </c>
      <c r="L402">
        <v>0</v>
      </c>
      <c r="M402">
        <v>1303036.156330572</v>
      </c>
      <c r="N402">
        <v>0</v>
      </c>
      <c r="O402">
        <v>0</v>
      </c>
      <c r="P402">
        <v>0</v>
      </c>
      <c r="Q402">
        <v>1356399.9116397309</v>
      </c>
      <c r="R402">
        <v>0</v>
      </c>
      <c r="S402">
        <v>13.775600230507971</v>
      </c>
      <c r="T402">
        <v>0.30767086578516784</v>
      </c>
      <c r="U402">
        <v>13.467929364722803</v>
      </c>
      <c r="V402">
        <v>0</v>
      </c>
      <c r="W402">
        <v>1152939.9248937713</v>
      </c>
      <c r="X402">
        <v>45359.192012785039</v>
      </c>
      <c r="Y402">
        <v>1107580.7328809863</v>
      </c>
      <c r="Z402">
        <v>0</v>
      </c>
    </row>
    <row r="403" spans="1:26" x14ac:dyDescent="0.25">
      <c r="A403" t="s">
        <v>129</v>
      </c>
      <c r="B403" t="s">
        <v>56</v>
      </c>
      <c r="C403" t="s">
        <v>73</v>
      </c>
      <c r="D403">
        <v>1</v>
      </c>
      <c r="E403">
        <v>2050</v>
      </c>
      <c r="F403" t="s">
        <v>28</v>
      </c>
      <c r="G403">
        <v>524881.97503939818</v>
      </c>
      <c r="H403">
        <v>0</v>
      </c>
      <c r="I403">
        <v>0</v>
      </c>
      <c r="J403">
        <v>0</v>
      </c>
      <c r="K403">
        <v>41.656918132692169</v>
      </c>
      <c r="L403">
        <v>0</v>
      </c>
      <c r="M403">
        <v>524840.3181212655</v>
      </c>
      <c r="N403">
        <v>0</v>
      </c>
      <c r="O403">
        <v>0</v>
      </c>
      <c r="P403">
        <v>0</v>
      </c>
      <c r="Q403">
        <v>524881.97503939818</v>
      </c>
      <c r="R403">
        <v>0</v>
      </c>
      <c r="S403">
        <v>9.3696358336044021</v>
      </c>
      <c r="T403">
        <v>7.0736362973580603E-5</v>
      </c>
      <c r="U403">
        <v>9.3695650972414288</v>
      </c>
      <c r="V403">
        <v>0</v>
      </c>
      <c r="W403">
        <v>157464.59251181944</v>
      </c>
      <c r="X403">
        <v>12.49707543980765</v>
      </c>
      <c r="Y403">
        <v>157452.09543637963</v>
      </c>
      <c r="Z403">
        <v>0</v>
      </c>
    </row>
    <row r="404" spans="1:26" x14ac:dyDescent="0.25">
      <c r="A404" t="s">
        <v>129</v>
      </c>
      <c r="B404" t="s">
        <v>63</v>
      </c>
      <c r="C404" t="s">
        <v>86</v>
      </c>
      <c r="D404">
        <v>0</v>
      </c>
      <c r="E404">
        <v>2050</v>
      </c>
      <c r="F404" t="s">
        <v>28</v>
      </c>
      <c r="G404">
        <v>0</v>
      </c>
      <c r="H404">
        <v>3862742.0312364982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-3862742.0312364982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1</v>
      </c>
    </row>
    <row r="405" spans="1:26" x14ac:dyDescent="0.25">
      <c r="A405" t="s">
        <v>129</v>
      </c>
      <c r="B405" t="s">
        <v>49</v>
      </c>
      <c r="C405" t="s">
        <v>73</v>
      </c>
      <c r="D405">
        <v>1</v>
      </c>
      <c r="E405">
        <v>2050</v>
      </c>
      <c r="F405" t="s">
        <v>28</v>
      </c>
      <c r="G405">
        <v>453678.05576738477</v>
      </c>
      <c r="H405">
        <v>0</v>
      </c>
      <c r="I405">
        <v>0</v>
      </c>
      <c r="J405">
        <v>0</v>
      </c>
      <c r="K405">
        <v>505095.54922592157</v>
      </c>
      <c r="L405">
        <v>0</v>
      </c>
      <c r="M405">
        <v>0</v>
      </c>
      <c r="N405">
        <v>0</v>
      </c>
      <c r="O405">
        <v>-51417.493458536803</v>
      </c>
      <c r="P405">
        <v>0</v>
      </c>
      <c r="Q405">
        <v>505095.54922592157</v>
      </c>
      <c r="R405">
        <v>0</v>
      </c>
      <c r="S405">
        <v>1.8603479756347201</v>
      </c>
      <c r="T405">
        <v>1.8603479756347201</v>
      </c>
      <c r="U405">
        <v>0</v>
      </c>
      <c r="V405">
        <v>0</v>
      </c>
      <c r="W405">
        <v>212140.13067488704</v>
      </c>
      <c r="X405">
        <v>212140.13067488704</v>
      </c>
      <c r="Y405">
        <v>0</v>
      </c>
      <c r="Z405">
        <v>1</v>
      </c>
    </row>
    <row r="406" spans="1:26" x14ac:dyDescent="0.25">
      <c r="A406" t="s">
        <v>129</v>
      </c>
      <c r="B406" t="s">
        <v>78</v>
      </c>
      <c r="C406" t="s">
        <v>86</v>
      </c>
      <c r="D406">
        <v>0</v>
      </c>
      <c r="E406">
        <v>2050</v>
      </c>
      <c r="F406" t="s">
        <v>28</v>
      </c>
      <c r="G406">
        <v>772432.08575229661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772432.08575229661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</row>
    <row r="407" spans="1:26" x14ac:dyDescent="0.25">
      <c r="A407" t="s">
        <v>129</v>
      </c>
      <c r="B407" t="s">
        <v>31</v>
      </c>
      <c r="C407" t="s">
        <v>86</v>
      </c>
      <c r="D407">
        <v>0</v>
      </c>
      <c r="E407">
        <v>2050</v>
      </c>
      <c r="F407" t="s">
        <v>28</v>
      </c>
      <c r="G407">
        <v>2162497.7416876755</v>
      </c>
      <c r="H407">
        <v>0</v>
      </c>
      <c r="I407">
        <v>0</v>
      </c>
      <c r="J407">
        <v>128347.79869443661</v>
      </c>
      <c r="K407">
        <v>0</v>
      </c>
      <c r="L407">
        <v>0</v>
      </c>
      <c r="M407">
        <v>0</v>
      </c>
      <c r="N407">
        <v>0</v>
      </c>
      <c r="O407">
        <v>2034149.9429932388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</row>
    <row r="408" spans="1:26" x14ac:dyDescent="0.25">
      <c r="A408" t="s">
        <v>129</v>
      </c>
      <c r="B408" t="s">
        <v>29</v>
      </c>
      <c r="C408" t="s">
        <v>77</v>
      </c>
      <c r="D408">
        <v>1</v>
      </c>
      <c r="E408">
        <v>2050</v>
      </c>
      <c r="F408" t="s">
        <v>28</v>
      </c>
      <c r="G408">
        <v>6945589.6789912721</v>
      </c>
      <c r="H408">
        <v>4703372.1615964994</v>
      </c>
      <c r="I408">
        <v>0</v>
      </c>
      <c r="J408">
        <v>307470.55071854044</v>
      </c>
      <c r="K408">
        <v>2825.7560217041437</v>
      </c>
      <c r="L408">
        <v>0</v>
      </c>
      <c r="M408">
        <v>0</v>
      </c>
      <c r="N408">
        <v>0</v>
      </c>
      <c r="O408">
        <v>1931921.2106545279</v>
      </c>
      <c r="P408">
        <v>1931921.2106545279</v>
      </c>
      <c r="Q408">
        <v>2825.7560217041437</v>
      </c>
      <c r="R408">
        <v>6.6165596775222673</v>
      </c>
      <c r="S408">
        <v>6.6262374962907611</v>
      </c>
      <c r="T408">
        <v>9.6778187684936554E-3</v>
      </c>
      <c r="U408">
        <v>6.6165596775222673</v>
      </c>
      <c r="V408">
        <v>598895.57530290366</v>
      </c>
      <c r="W408">
        <v>599771.55966963188</v>
      </c>
      <c r="X408">
        <v>875.9843667282845</v>
      </c>
      <c r="Y408">
        <v>598895.57530290354</v>
      </c>
      <c r="Z408">
        <v>0</v>
      </c>
    </row>
    <row r="409" spans="1:26" x14ac:dyDescent="0.25">
      <c r="A409" t="s">
        <v>129</v>
      </c>
      <c r="B409" t="s">
        <v>69</v>
      </c>
      <c r="C409" t="s">
        <v>86</v>
      </c>
      <c r="D409">
        <v>0</v>
      </c>
      <c r="E409">
        <v>2050</v>
      </c>
      <c r="F409" t="s">
        <v>28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822588.45729733328</v>
      </c>
      <c r="M409">
        <v>0</v>
      </c>
      <c r="N409">
        <v>0</v>
      </c>
      <c r="O409">
        <v>-822588.45729733328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1</v>
      </c>
    </row>
    <row r="410" spans="1:26" x14ac:dyDescent="0.25">
      <c r="A410" t="s">
        <v>129</v>
      </c>
      <c r="B410" t="s">
        <v>45</v>
      </c>
      <c r="C410" t="s">
        <v>74</v>
      </c>
      <c r="D410">
        <v>1</v>
      </c>
      <c r="E410">
        <v>2050</v>
      </c>
      <c r="F410" t="s">
        <v>28</v>
      </c>
      <c r="G410">
        <v>10188325.202039858</v>
      </c>
      <c r="H410">
        <v>0</v>
      </c>
      <c r="I410">
        <v>0</v>
      </c>
      <c r="J410">
        <v>0</v>
      </c>
      <c r="K410">
        <v>7743127.1535502924</v>
      </c>
      <c r="L410">
        <v>1619943.7071243373</v>
      </c>
      <c r="M410">
        <v>0</v>
      </c>
      <c r="N410">
        <v>0</v>
      </c>
      <c r="O410">
        <v>825254.34136522934</v>
      </c>
      <c r="P410">
        <v>825254.34136522934</v>
      </c>
      <c r="Q410">
        <v>7743127.1535502924</v>
      </c>
      <c r="R410">
        <v>0.41773549505566548</v>
      </c>
      <c r="S410">
        <v>4.3372290289112883</v>
      </c>
      <c r="T410">
        <v>3.9194935338556229</v>
      </c>
      <c r="U410">
        <v>0.41773549505566532</v>
      </c>
      <c r="V410">
        <v>62719.329943757431</v>
      </c>
      <c r="W410">
        <v>651196.99361357966</v>
      </c>
      <c r="X410">
        <v>588477.66366982216</v>
      </c>
      <c r="Y410">
        <v>62719.329943757504</v>
      </c>
      <c r="Z410">
        <v>0</v>
      </c>
    </row>
    <row r="411" spans="1:26" x14ac:dyDescent="0.25">
      <c r="A411" t="s">
        <v>129</v>
      </c>
      <c r="B411" t="s">
        <v>59</v>
      </c>
      <c r="C411" t="s">
        <v>86</v>
      </c>
      <c r="D411">
        <v>0</v>
      </c>
      <c r="E411">
        <v>2050</v>
      </c>
      <c r="F411" t="s">
        <v>28</v>
      </c>
      <c r="G411">
        <v>1272706.7760624508</v>
      </c>
      <c r="H411">
        <v>1212571.3389336092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60135.437128841644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</row>
    <row r="412" spans="1:26" x14ac:dyDescent="0.25">
      <c r="A412" t="s">
        <v>129</v>
      </c>
      <c r="B412" t="s">
        <v>54</v>
      </c>
      <c r="C412" t="s">
        <v>76</v>
      </c>
      <c r="D412">
        <v>1</v>
      </c>
      <c r="E412">
        <v>2050</v>
      </c>
      <c r="F412" t="s">
        <v>28</v>
      </c>
      <c r="G412">
        <v>7786550.4071108392</v>
      </c>
      <c r="H412">
        <v>4525643.0291759707</v>
      </c>
      <c r="I412">
        <v>0</v>
      </c>
      <c r="J412">
        <v>0</v>
      </c>
      <c r="K412">
        <v>314525.12457946909</v>
      </c>
      <c r="L412">
        <v>0</v>
      </c>
      <c r="M412">
        <v>0</v>
      </c>
      <c r="N412">
        <v>0</v>
      </c>
      <c r="O412">
        <v>2946382.2533553997</v>
      </c>
      <c r="P412">
        <v>2759146.6428546174</v>
      </c>
      <c r="Q412">
        <v>314525.12457946909</v>
      </c>
      <c r="R412">
        <v>9.905336447848077</v>
      </c>
      <c r="S412">
        <v>11.034481645088372</v>
      </c>
      <c r="T412">
        <v>1.1291451972402942</v>
      </c>
      <c r="U412">
        <v>9.905336447848077</v>
      </c>
      <c r="V412">
        <v>827743.99285638519</v>
      </c>
      <c r="W412">
        <v>922101.530230226</v>
      </c>
      <c r="X412">
        <v>94357.537373840722</v>
      </c>
      <c r="Y412">
        <v>827743.9928563853</v>
      </c>
      <c r="Z412">
        <v>0</v>
      </c>
    </row>
    <row r="413" spans="1:26" x14ac:dyDescent="0.25">
      <c r="A413" t="s">
        <v>129</v>
      </c>
      <c r="B413" t="s">
        <v>38</v>
      </c>
      <c r="C413" t="s">
        <v>86</v>
      </c>
      <c r="D413">
        <v>0</v>
      </c>
      <c r="E413">
        <v>2050</v>
      </c>
      <c r="F413" t="s">
        <v>28</v>
      </c>
      <c r="G413">
        <v>2455663.5565474145</v>
      </c>
      <c r="H413">
        <v>0</v>
      </c>
      <c r="I413">
        <v>0</v>
      </c>
      <c r="J413">
        <v>490824.54885344987</v>
      </c>
      <c r="K413">
        <v>0</v>
      </c>
      <c r="L413">
        <v>0</v>
      </c>
      <c r="M413">
        <v>0</v>
      </c>
      <c r="N413">
        <v>0</v>
      </c>
      <c r="O413">
        <v>1964839.0076939645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</row>
    <row r="414" spans="1:26" x14ac:dyDescent="0.25">
      <c r="A414" t="s">
        <v>129</v>
      </c>
      <c r="B414" t="s">
        <v>35</v>
      </c>
      <c r="C414" t="s">
        <v>79</v>
      </c>
      <c r="D414">
        <v>1</v>
      </c>
      <c r="E414">
        <v>2050</v>
      </c>
      <c r="F414" t="s">
        <v>28</v>
      </c>
      <c r="G414">
        <v>194761.7983669767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194761.7983669767</v>
      </c>
      <c r="P414">
        <v>194761.7983669767</v>
      </c>
      <c r="Q414">
        <v>0</v>
      </c>
      <c r="R414">
        <v>0.17479871403436159</v>
      </c>
      <c r="S414">
        <v>0.17479871403436159</v>
      </c>
      <c r="T414">
        <v>0</v>
      </c>
      <c r="U414">
        <v>0.17479871403436159</v>
      </c>
      <c r="V414">
        <v>29214.269755046505</v>
      </c>
      <c r="W414">
        <v>29214.269755046505</v>
      </c>
      <c r="X414">
        <v>0</v>
      </c>
      <c r="Y414">
        <v>29214.269755046505</v>
      </c>
      <c r="Z414">
        <v>0</v>
      </c>
    </row>
    <row r="415" spans="1:26" x14ac:dyDescent="0.25">
      <c r="A415" t="s">
        <v>129</v>
      </c>
      <c r="B415" t="s">
        <v>33</v>
      </c>
      <c r="C415" t="s">
        <v>86</v>
      </c>
      <c r="D415">
        <v>0</v>
      </c>
      <c r="E415">
        <v>2050</v>
      </c>
      <c r="F415" t="s">
        <v>28</v>
      </c>
      <c r="G415">
        <v>82230.492590145455</v>
      </c>
      <c r="H415">
        <v>0</v>
      </c>
      <c r="I415">
        <v>0</v>
      </c>
      <c r="J415">
        <v>62368.567673274578</v>
      </c>
      <c r="K415">
        <v>0</v>
      </c>
      <c r="L415">
        <v>0</v>
      </c>
      <c r="M415">
        <v>0</v>
      </c>
      <c r="N415">
        <v>0</v>
      </c>
      <c r="O415">
        <v>19861.924916870877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1</v>
      </c>
    </row>
    <row r="416" spans="1:26" x14ac:dyDescent="0.25">
      <c r="A416" t="s">
        <v>129</v>
      </c>
      <c r="B416" t="s">
        <v>80</v>
      </c>
      <c r="C416" t="s">
        <v>86</v>
      </c>
      <c r="D416">
        <v>0</v>
      </c>
      <c r="E416">
        <v>2050</v>
      </c>
      <c r="F416" t="s">
        <v>28</v>
      </c>
      <c r="G416">
        <v>1623142.2943438755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1623142.2943438755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</row>
    <row r="417" spans="1:26" x14ac:dyDescent="0.25">
      <c r="A417" t="s">
        <v>129</v>
      </c>
      <c r="B417" t="s">
        <v>65</v>
      </c>
      <c r="C417" t="s">
        <v>81</v>
      </c>
      <c r="D417">
        <v>1</v>
      </c>
      <c r="E417">
        <v>2050</v>
      </c>
      <c r="F417" t="s">
        <v>28</v>
      </c>
      <c r="G417">
        <v>171775.11908496951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171775.11908496951</v>
      </c>
      <c r="N417">
        <v>0</v>
      </c>
      <c r="O417">
        <v>0</v>
      </c>
      <c r="P417">
        <v>0</v>
      </c>
      <c r="Q417">
        <v>171775.11908496951</v>
      </c>
      <c r="R417">
        <v>0</v>
      </c>
      <c r="S417">
        <v>3.1606621911634383</v>
      </c>
      <c r="T417">
        <v>0</v>
      </c>
      <c r="U417">
        <v>3.1606621911634383</v>
      </c>
      <c r="V417">
        <v>0</v>
      </c>
      <c r="W417">
        <v>71286.674420262352</v>
      </c>
      <c r="X417">
        <v>0</v>
      </c>
      <c r="Y417">
        <v>71286.674420262352</v>
      </c>
      <c r="Z417">
        <v>0</v>
      </c>
    </row>
    <row r="418" spans="1:26" x14ac:dyDescent="0.25">
      <c r="A418" t="s">
        <v>129</v>
      </c>
      <c r="B418" t="s">
        <v>140</v>
      </c>
      <c r="C418" t="s">
        <v>142</v>
      </c>
      <c r="D418">
        <v>1</v>
      </c>
      <c r="E418">
        <v>2050</v>
      </c>
      <c r="F418" t="s">
        <v>28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</row>
    <row r="419" spans="1:26" x14ac:dyDescent="0.25">
      <c r="A419" t="s">
        <v>129</v>
      </c>
      <c r="B419" t="s">
        <v>141</v>
      </c>
      <c r="C419" t="s">
        <v>142</v>
      </c>
      <c r="D419">
        <v>1</v>
      </c>
      <c r="E419">
        <v>2050</v>
      </c>
      <c r="F419" t="s">
        <v>28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</row>
    <row r="420" spans="1:26" x14ac:dyDescent="0.25">
      <c r="A420" t="s">
        <v>129</v>
      </c>
      <c r="B420" t="s">
        <v>82</v>
      </c>
      <c r="C420" t="s">
        <v>86</v>
      </c>
      <c r="D420">
        <v>0</v>
      </c>
      <c r="E420">
        <v>2050</v>
      </c>
      <c r="F420" t="s">
        <v>28</v>
      </c>
      <c r="G420">
        <v>3823969.5719075543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3823969.5719075543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</row>
    <row r="421" spans="1:26" x14ac:dyDescent="0.25">
      <c r="A421" t="s">
        <v>129</v>
      </c>
      <c r="B421" t="s">
        <v>72</v>
      </c>
      <c r="C421" t="s">
        <v>86</v>
      </c>
      <c r="D421">
        <v>0</v>
      </c>
      <c r="E421">
        <v>2050</v>
      </c>
      <c r="F421" t="s">
        <v>28</v>
      </c>
      <c r="G421">
        <v>489039.95714195294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489039.95714195294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</row>
    <row r="422" spans="1:26" x14ac:dyDescent="0.25">
      <c r="A422" t="s">
        <v>129</v>
      </c>
      <c r="B422" t="s">
        <v>58</v>
      </c>
      <c r="C422" t="s">
        <v>86</v>
      </c>
      <c r="D422">
        <v>0</v>
      </c>
      <c r="E422">
        <v>2050</v>
      </c>
      <c r="F422" t="s">
        <v>28</v>
      </c>
      <c r="G422">
        <v>244519.97857097647</v>
      </c>
      <c r="H422">
        <v>171279.2848730098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73240.693697966664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</row>
    <row r="423" spans="1:26" x14ac:dyDescent="0.25">
      <c r="A423" t="s">
        <v>129</v>
      </c>
      <c r="B423" t="s">
        <v>64</v>
      </c>
      <c r="C423" t="s">
        <v>64</v>
      </c>
      <c r="D423">
        <v>1</v>
      </c>
      <c r="E423">
        <v>2050</v>
      </c>
      <c r="F423" t="s">
        <v>28</v>
      </c>
      <c r="G423">
        <v>156492.78628542495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156492.78628542495</v>
      </c>
      <c r="N423">
        <v>0</v>
      </c>
      <c r="O423">
        <v>0</v>
      </c>
      <c r="P423">
        <v>0</v>
      </c>
      <c r="Q423">
        <v>156492.78628542495</v>
      </c>
      <c r="R423">
        <v>0</v>
      </c>
      <c r="S423">
        <v>5.4772475199898727</v>
      </c>
      <c r="T423">
        <v>0</v>
      </c>
      <c r="U423">
        <v>5.4772475199898727</v>
      </c>
      <c r="V423">
        <v>0</v>
      </c>
      <c r="W423">
        <v>142408.43551973673</v>
      </c>
      <c r="X423">
        <v>0</v>
      </c>
      <c r="Y423">
        <v>142408.43551973673</v>
      </c>
      <c r="Z423">
        <v>0</v>
      </c>
    </row>
    <row r="424" spans="1:26" x14ac:dyDescent="0.25">
      <c r="A424" t="s">
        <v>129</v>
      </c>
      <c r="B424" t="s">
        <v>55</v>
      </c>
      <c r="C424" t="s">
        <v>76</v>
      </c>
      <c r="D424">
        <v>1</v>
      </c>
      <c r="E424">
        <v>2050</v>
      </c>
      <c r="F424" t="s">
        <v>28</v>
      </c>
      <c r="G424">
        <v>380710.74225422333</v>
      </c>
      <c r="H424">
        <v>672934.09412450308</v>
      </c>
      <c r="I424">
        <v>0</v>
      </c>
      <c r="J424">
        <v>0</v>
      </c>
      <c r="K424">
        <v>4034.07077562927</v>
      </c>
      <c r="L424">
        <v>0</v>
      </c>
      <c r="M424">
        <v>0</v>
      </c>
      <c r="N424">
        <v>0</v>
      </c>
      <c r="O424">
        <v>-296257.42264590901</v>
      </c>
      <c r="P424">
        <v>0</v>
      </c>
      <c r="Q424">
        <v>4034.07077562927</v>
      </c>
      <c r="R424">
        <v>0</v>
      </c>
      <c r="S424">
        <v>1.0948629447888865E-2</v>
      </c>
      <c r="T424">
        <v>1.0948629447888865E-2</v>
      </c>
      <c r="U424">
        <v>0</v>
      </c>
      <c r="V424">
        <v>0</v>
      </c>
      <c r="W424">
        <v>806.81415512585409</v>
      </c>
      <c r="X424">
        <v>806.81415512585409</v>
      </c>
      <c r="Y424">
        <v>0</v>
      </c>
      <c r="Z424">
        <v>0</v>
      </c>
    </row>
    <row r="425" spans="1:26" x14ac:dyDescent="0.25">
      <c r="A425" t="s">
        <v>129</v>
      </c>
      <c r="B425" t="s">
        <v>83</v>
      </c>
      <c r="C425" t="s">
        <v>86</v>
      </c>
      <c r="D425">
        <v>0</v>
      </c>
      <c r="E425">
        <v>2050</v>
      </c>
      <c r="F425" t="s">
        <v>28</v>
      </c>
      <c r="G425">
        <v>148453.72937457461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148453.72937457461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</row>
    <row r="426" spans="1:26" x14ac:dyDescent="0.25">
      <c r="A426" t="s">
        <v>129</v>
      </c>
      <c r="B426" t="s">
        <v>62</v>
      </c>
      <c r="C426" t="s">
        <v>86</v>
      </c>
      <c r="D426">
        <v>0</v>
      </c>
      <c r="E426">
        <v>2050</v>
      </c>
      <c r="F426" t="s">
        <v>28</v>
      </c>
      <c r="G426">
        <v>100880.19861397019</v>
      </c>
      <c r="H426">
        <v>31532.588010093863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69347.610603876325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</row>
    <row r="427" spans="1:26" x14ac:dyDescent="0.25">
      <c r="A427" t="s">
        <v>129</v>
      </c>
      <c r="B427" t="s">
        <v>47</v>
      </c>
      <c r="C427" t="s">
        <v>73</v>
      </c>
      <c r="D427">
        <v>1</v>
      </c>
      <c r="E427">
        <v>2050</v>
      </c>
      <c r="F427" t="s">
        <v>28</v>
      </c>
      <c r="G427">
        <v>4097932.7879593684</v>
      </c>
      <c r="H427">
        <v>0</v>
      </c>
      <c r="I427">
        <v>0</v>
      </c>
      <c r="J427">
        <v>0</v>
      </c>
      <c r="K427">
        <v>1554136.2730559006</v>
      </c>
      <c r="L427">
        <v>0</v>
      </c>
      <c r="M427">
        <v>0</v>
      </c>
      <c r="N427">
        <v>0</v>
      </c>
      <c r="O427">
        <v>2543796.5149034681</v>
      </c>
      <c r="P427">
        <v>2543796.5149034681</v>
      </c>
      <c r="Q427">
        <v>1554136.2730559006</v>
      </c>
      <c r="R427">
        <v>1.2693798989019798</v>
      </c>
      <c r="S427">
        <v>2.0449094405196049</v>
      </c>
      <c r="T427">
        <v>0.77552954161762511</v>
      </c>
      <c r="U427">
        <v>1.2693798989019798</v>
      </c>
      <c r="V427">
        <v>152627.79089420807</v>
      </c>
      <c r="W427">
        <v>245875.96727756213</v>
      </c>
      <c r="X427">
        <v>93248.176383354032</v>
      </c>
      <c r="Y427">
        <v>152627.7908942081</v>
      </c>
      <c r="Z427">
        <v>0</v>
      </c>
    </row>
    <row r="428" spans="1:26" x14ac:dyDescent="0.25">
      <c r="A428" t="s">
        <v>129</v>
      </c>
      <c r="B428" t="s">
        <v>44</v>
      </c>
      <c r="C428" t="s">
        <v>74</v>
      </c>
      <c r="D428">
        <v>1</v>
      </c>
      <c r="E428">
        <v>2050</v>
      </c>
      <c r="F428" t="s">
        <v>28</v>
      </c>
      <c r="G428">
        <v>11545833.414063649</v>
      </c>
      <c r="H428">
        <v>0</v>
      </c>
      <c r="I428">
        <v>0</v>
      </c>
      <c r="J428">
        <v>0</v>
      </c>
      <c r="K428">
        <v>6119291.7094537346</v>
      </c>
      <c r="L428">
        <v>5426541.7046099147</v>
      </c>
      <c r="M428">
        <v>0</v>
      </c>
      <c r="N428">
        <v>0</v>
      </c>
      <c r="O428">
        <v>0</v>
      </c>
      <c r="P428">
        <v>0</v>
      </c>
      <c r="Q428">
        <v>6119291.7094537346</v>
      </c>
      <c r="R428">
        <v>0</v>
      </c>
      <c r="S428">
        <v>2.6361908684326694</v>
      </c>
      <c r="T428">
        <v>2.6361908684326694</v>
      </c>
      <c r="U428">
        <v>0</v>
      </c>
      <c r="V428">
        <v>0</v>
      </c>
      <c r="W428">
        <v>305964.58547268674</v>
      </c>
      <c r="X428">
        <v>305964.58547268674</v>
      </c>
      <c r="Y428">
        <v>0</v>
      </c>
      <c r="Z428">
        <v>0</v>
      </c>
    </row>
    <row r="429" spans="1:26" x14ac:dyDescent="0.25">
      <c r="A429" t="s">
        <v>129</v>
      </c>
      <c r="B429" t="s">
        <v>32</v>
      </c>
      <c r="C429" t="s">
        <v>86</v>
      </c>
      <c r="D429">
        <v>0</v>
      </c>
      <c r="E429">
        <v>2050</v>
      </c>
      <c r="F429" t="s">
        <v>28</v>
      </c>
      <c r="G429">
        <v>1072120.6999068451</v>
      </c>
      <c r="H429">
        <v>0</v>
      </c>
      <c r="I429">
        <v>0</v>
      </c>
      <c r="J429">
        <v>126627.09194270898</v>
      </c>
      <c r="K429">
        <v>0</v>
      </c>
      <c r="L429">
        <v>0</v>
      </c>
      <c r="M429">
        <v>0</v>
      </c>
      <c r="N429">
        <v>0</v>
      </c>
      <c r="O429">
        <v>945493.60796413617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</row>
    <row r="430" spans="1:26" x14ac:dyDescent="0.25">
      <c r="A430" t="s">
        <v>129</v>
      </c>
      <c r="B430" t="s">
        <v>36</v>
      </c>
      <c r="C430" t="s">
        <v>79</v>
      </c>
      <c r="D430">
        <v>1</v>
      </c>
      <c r="E430">
        <v>2050</v>
      </c>
      <c r="F430" t="s">
        <v>28</v>
      </c>
      <c r="G430">
        <v>13500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13500</v>
      </c>
      <c r="P430">
        <v>13500</v>
      </c>
      <c r="Q430">
        <v>0</v>
      </c>
      <c r="R430">
        <v>1.2116250000000002E-2</v>
      </c>
      <c r="S430">
        <v>1.2116250000000002E-2</v>
      </c>
      <c r="T430">
        <v>0</v>
      </c>
      <c r="U430">
        <v>1.2116250000000002E-2</v>
      </c>
      <c r="V430">
        <v>2025</v>
      </c>
      <c r="W430">
        <v>2025</v>
      </c>
      <c r="X430">
        <v>0</v>
      </c>
      <c r="Y430">
        <v>2025</v>
      </c>
      <c r="Z430">
        <v>0</v>
      </c>
    </row>
    <row r="431" spans="1:26" x14ac:dyDescent="0.25">
      <c r="A431" t="s">
        <v>129</v>
      </c>
      <c r="B431" t="s">
        <v>84</v>
      </c>
      <c r="C431" t="s">
        <v>86</v>
      </c>
      <c r="D431">
        <v>1</v>
      </c>
      <c r="E431">
        <v>2050</v>
      </c>
      <c r="F431" t="s">
        <v>28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</row>
    <row r="432" spans="1:26" x14ac:dyDescent="0.25">
      <c r="A432" t="s">
        <v>129</v>
      </c>
      <c r="B432" t="s">
        <v>66</v>
      </c>
      <c r="C432" t="s">
        <v>81</v>
      </c>
      <c r="D432">
        <v>1</v>
      </c>
      <c r="E432">
        <v>2050</v>
      </c>
      <c r="F432" t="s">
        <v>28</v>
      </c>
      <c r="G432">
        <v>2001135.6433479721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2001135.6433479721</v>
      </c>
      <c r="N432">
        <v>0</v>
      </c>
      <c r="O432">
        <v>0</v>
      </c>
      <c r="P432">
        <v>0</v>
      </c>
      <c r="Q432">
        <v>2001135.6433479721</v>
      </c>
      <c r="R432">
        <v>0</v>
      </c>
      <c r="S432">
        <v>29.003597326661179</v>
      </c>
      <c r="T432">
        <v>0</v>
      </c>
      <c r="U432">
        <v>29.003597326661179</v>
      </c>
      <c r="V432">
        <v>0</v>
      </c>
      <c r="W432">
        <v>989728.33693918446</v>
      </c>
      <c r="X432">
        <v>0</v>
      </c>
      <c r="Y432">
        <v>989728.33693918446</v>
      </c>
      <c r="Z432">
        <v>0</v>
      </c>
    </row>
    <row r="433" spans="1:26" x14ac:dyDescent="0.25">
      <c r="A433" t="s">
        <v>129</v>
      </c>
      <c r="B433" t="s">
        <v>85</v>
      </c>
      <c r="C433" t="s">
        <v>86</v>
      </c>
      <c r="D433">
        <v>0</v>
      </c>
      <c r="E433">
        <v>2050</v>
      </c>
      <c r="F433" t="s">
        <v>28</v>
      </c>
      <c r="G433">
        <v>551646.84040095157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551646.84040095157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</row>
    <row r="434" spans="1:26" x14ac:dyDescent="0.25">
      <c r="A434" t="s">
        <v>129</v>
      </c>
      <c r="B434" t="s">
        <v>40</v>
      </c>
      <c r="D434">
        <v>0</v>
      </c>
      <c r="E434">
        <v>2019</v>
      </c>
      <c r="F434" t="s">
        <v>43</v>
      </c>
      <c r="G434">
        <v>18450.007031483605</v>
      </c>
      <c r="H434">
        <v>0</v>
      </c>
      <c r="I434">
        <v>0</v>
      </c>
      <c r="J434">
        <v>26880.542267330831</v>
      </c>
      <c r="K434">
        <v>0</v>
      </c>
      <c r="L434">
        <v>0</v>
      </c>
      <c r="M434">
        <v>0</v>
      </c>
      <c r="N434">
        <v>0</v>
      </c>
      <c r="O434">
        <v>-8430.5352358472264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</row>
    <row r="435" spans="1:26" x14ac:dyDescent="0.25">
      <c r="A435" t="s">
        <v>129</v>
      </c>
      <c r="B435" t="s">
        <v>34</v>
      </c>
      <c r="D435">
        <v>0</v>
      </c>
      <c r="E435">
        <v>2019</v>
      </c>
      <c r="F435" t="s">
        <v>43</v>
      </c>
      <c r="G435">
        <v>27039.772448692573</v>
      </c>
      <c r="H435">
        <v>7916.616753740097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19123.155694952475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</row>
    <row r="436" spans="1:26" x14ac:dyDescent="0.25">
      <c r="A436" t="s">
        <v>129</v>
      </c>
      <c r="B436" t="s">
        <v>48</v>
      </c>
      <c r="C436" t="s">
        <v>73</v>
      </c>
      <c r="D436">
        <v>1</v>
      </c>
      <c r="E436">
        <v>2019</v>
      </c>
      <c r="F436" t="s">
        <v>43</v>
      </c>
      <c r="G436">
        <v>165083.0224523381</v>
      </c>
      <c r="H436">
        <v>0</v>
      </c>
      <c r="I436">
        <v>0</v>
      </c>
      <c r="J436">
        <v>0</v>
      </c>
      <c r="K436">
        <v>335590.35573220561</v>
      </c>
      <c r="L436">
        <v>0</v>
      </c>
      <c r="M436">
        <v>0</v>
      </c>
      <c r="N436">
        <v>0</v>
      </c>
      <c r="O436">
        <v>-170507.33327986751</v>
      </c>
      <c r="P436">
        <v>0</v>
      </c>
      <c r="Q436">
        <v>335590.35573220561</v>
      </c>
      <c r="R436">
        <v>0</v>
      </c>
      <c r="S436">
        <v>1.1433261388476088</v>
      </c>
      <c r="T436">
        <v>1.1433261388476088</v>
      </c>
      <c r="U436">
        <v>0</v>
      </c>
      <c r="V436">
        <v>0</v>
      </c>
      <c r="W436">
        <v>93965.299605017586</v>
      </c>
      <c r="X436">
        <v>93965.299605017586</v>
      </c>
      <c r="Y436">
        <v>0</v>
      </c>
      <c r="Z436">
        <v>1</v>
      </c>
    </row>
    <row r="437" spans="1:26" x14ac:dyDescent="0.25">
      <c r="A437" t="s">
        <v>129</v>
      </c>
      <c r="B437" t="s">
        <v>11</v>
      </c>
      <c r="D437">
        <v>1</v>
      </c>
      <c r="E437">
        <v>2019</v>
      </c>
      <c r="F437" t="s">
        <v>43</v>
      </c>
      <c r="G437">
        <v>110817031.25294524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110817031.25294524</v>
      </c>
      <c r="N437">
        <v>0</v>
      </c>
      <c r="O437">
        <v>0</v>
      </c>
      <c r="P437">
        <v>0</v>
      </c>
      <c r="Q437">
        <v>110817031.25294524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</row>
    <row r="438" spans="1:26" x14ac:dyDescent="0.25">
      <c r="A438" t="s">
        <v>129</v>
      </c>
      <c r="B438" t="s">
        <v>68</v>
      </c>
      <c r="D438">
        <v>0</v>
      </c>
      <c r="E438">
        <v>2019</v>
      </c>
      <c r="F438" t="s">
        <v>43</v>
      </c>
      <c r="G438">
        <v>2462895.6491667829</v>
      </c>
      <c r="H438">
        <v>0</v>
      </c>
      <c r="I438">
        <v>0</v>
      </c>
      <c r="J438">
        <v>0</v>
      </c>
      <c r="K438">
        <v>0</v>
      </c>
      <c r="L438">
        <v>1801732.0926432305</v>
      </c>
      <c r="M438">
        <v>0</v>
      </c>
      <c r="N438">
        <v>0</v>
      </c>
      <c r="O438">
        <v>661163.5565235524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</row>
    <row r="439" spans="1:26" x14ac:dyDescent="0.25">
      <c r="A439" t="s">
        <v>129</v>
      </c>
      <c r="B439" t="s">
        <v>51</v>
      </c>
      <c r="C439" t="s">
        <v>73</v>
      </c>
      <c r="D439">
        <v>1</v>
      </c>
      <c r="E439">
        <v>2019</v>
      </c>
      <c r="F439" t="s">
        <v>43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</row>
    <row r="440" spans="1:26" x14ac:dyDescent="0.25">
      <c r="A440" t="s">
        <v>129</v>
      </c>
      <c r="B440" t="s">
        <v>50</v>
      </c>
      <c r="C440" t="s">
        <v>74</v>
      </c>
      <c r="D440">
        <v>1</v>
      </c>
      <c r="E440">
        <v>2019</v>
      </c>
      <c r="F440" t="s">
        <v>43</v>
      </c>
      <c r="G440">
        <v>332759.92297580565</v>
      </c>
      <c r="H440">
        <v>0</v>
      </c>
      <c r="I440">
        <v>0</v>
      </c>
      <c r="J440">
        <v>0</v>
      </c>
      <c r="K440">
        <v>85892.328449707566</v>
      </c>
      <c r="L440">
        <v>93457.017927737121</v>
      </c>
      <c r="M440">
        <v>0</v>
      </c>
      <c r="N440">
        <v>0</v>
      </c>
      <c r="O440">
        <v>153410.57659836096</v>
      </c>
      <c r="P440">
        <v>153410.57659836096</v>
      </c>
      <c r="Q440">
        <v>85892.328449707566</v>
      </c>
      <c r="R440">
        <v>0.33044638199286952</v>
      </c>
      <c r="S440">
        <v>0.18501207548067011</v>
      </c>
      <c r="T440">
        <v>0.18501207548067011</v>
      </c>
      <c r="U440">
        <v>0</v>
      </c>
      <c r="V440">
        <v>46023.172979508287</v>
      </c>
      <c r="W440">
        <v>25767.69853491227</v>
      </c>
      <c r="X440">
        <v>25767.69853491227</v>
      </c>
      <c r="Y440">
        <v>0</v>
      </c>
      <c r="Z440">
        <v>0</v>
      </c>
    </row>
    <row r="441" spans="1:26" x14ac:dyDescent="0.25">
      <c r="A441" t="s">
        <v>129</v>
      </c>
      <c r="B441" t="s">
        <v>60</v>
      </c>
      <c r="D441">
        <v>0</v>
      </c>
      <c r="E441">
        <v>2019</v>
      </c>
      <c r="F441" t="s">
        <v>43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</row>
    <row r="442" spans="1:26" x14ac:dyDescent="0.25">
      <c r="A442" t="s">
        <v>129</v>
      </c>
      <c r="B442" t="s">
        <v>46</v>
      </c>
      <c r="C442" t="s">
        <v>74</v>
      </c>
      <c r="D442">
        <v>1</v>
      </c>
      <c r="E442">
        <v>2019</v>
      </c>
      <c r="F442" t="s">
        <v>43</v>
      </c>
      <c r="G442">
        <v>675.387643904882</v>
      </c>
      <c r="H442">
        <v>0</v>
      </c>
      <c r="I442">
        <v>0</v>
      </c>
      <c r="J442">
        <v>0</v>
      </c>
      <c r="K442">
        <v>337.693821952441</v>
      </c>
      <c r="L442">
        <v>255.68246519256246</v>
      </c>
      <c r="M442">
        <v>0</v>
      </c>
      <c r="N442">
        <v>0</v>
      </c>
      <c r="O442">
        <v>82.011356759878481</v>
      </c>
      <c r="P442">
        <v>82.011356759878481</v>
      </c>
      <c r="Q442">
        <v>337.693821952441</v>
      </c>
      <c r="R442">
        <v>3.8569120970603255E-5</v>
      </c>
      <c r="S442">
        <v>1.5881402752601349E-4</v>
      </c>
      <c r="T442">
        <v>1.5881402752601349E-4</v>
      </c>
      <c r="U442">
        <v>0</v>
      </c>
      <c r="V442">
        <v>5.1667154758723441</v>
      </c>
      <c r="W442">
        <v>21.274710783003783</v>
      </c>
      <c r="X442">
        <v>21.274710783003783</v>
      </c>
      <c r="Y442">
        <v>0</v>
      </c>
      <c r="Z442">
        <v>0</v>
      </c>
    </row>
    <row r="443" spans="1:26" x14ac:dyDescent="0.25">
      <c r="A443" t="s">
        <v>129</v>
      </c>
      <c r="B443" t="s">
        <v>39</v>
      </c>
      <c r="D443">
        <v>0</v>
      </c>
      <c r="E443">
        <v>2019</v>
      </c>
      <c r="F443" t="s">
        <v>43</v>
      </c>
      <c r="G443">
        <v>15969.006082579654</v>
      </c>
      <c r="H443">
        <v>0</v>
      </c>
      <c r="I443">
        <v>0</v>
      </c>
      <c r="J443">
        <v>29120.587456275069</v>
      </c>
      <c r="K443">
        <v>0</v>
      </c>
      <c r="L443">
        <v>0</v>
      </c>
      <c r="M443">
        <v>0</v>
      </c>
      <c r="N443">
        <v>0</v>
      </c>
      <c r="O443">
        <v>-13151.581373695415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</row>
    <row r="444" spans="1:26" x14ac:dyDescent="0.25">
      <c r="A444" t="s">
        <v>129</v>
      </c>
      <c r="B444" t="s">
        <v>75</v>
      </c>
      <c r="D444">
        <v>0</v>
      </c>
      <c r="E444">
        <v>2019</v>
      </c>
      <c r="F444" t="s">
        <v>43</v>
      </c>
      <c r="G444">
        <v>612515.4514426298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612515.4514426298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</row>
    <row r="445" spans="1:26" x14ac:dyDescent="0.25">
      <c r="A445" t="s">
        <v>129</v>
      </c>
      <c r="B445" t="s">
        <v>41</v>
      </c>
      <c r="D445">
        <v>0</v>
      </c>
      <c r="E445">
        <v>2019</v>
      </c>
      <c r="F445" t="s">
        <v>43</v>
      </c>
      <c r="G445">
        <v>15804.526381892863</v>
      </c>
      <c r="H445">
        <v>0</v>
      </c>
      <c r="I445">
        <v>0</v>
      </c>
      <c r="J445">
        <v>212804.29294970242</v>
      </c>
      <c r="K445">
        <v>0</v>
      </c>
      <c r="L445">
        <v>0</v>
      </c>
      <c r="M445">
        <v>0</v>
      </c>
      <c r="N445">
        <v>0</v>
      </c>
      <c r="O445">
        <v>-196999.76656780957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1</v>
      </c>
    </row>
    <row r="446" spans="1:26" x14ac:dyDescent="0.25">
      <c r="A446" t="s">
        <v>129</v>
      </c>
      <c r="B446" t="s">
        <v>57</v>
      </c>
      <c r="C446" t="s">
        <v>57</v>
      </c>
      <c r="D446">
        <v>1</v>
      </c>
      <c r="E446">
        <v>2019</v>
      </c>
      <c r="F446" t="s">
        <v>43</v>
      </c>
      <c r="G446">
        <v>0</v>
      </c>
      <c r="H446">
        <v>0</v>
      </c>
      <c r="I446">
        <v>0</v>
      </c>
      <c r="J446">
        <v>0</v>
      </c>
      <c r="K446">
        <v>28548.400000000001</v>
      </c>
      <c r="L446">
        <v>0</v>
      </c>
      <c r="M446">
        <v>0</v>
      </c>
      <c r="N446">
        <v>0</v>
      </c>
      <c r="O446">
        <v>-28548.400000000001</v>
      </c>
      <c r="P446">
        <v>0</v>
      </c>
      <c r="Q446">
        <v>28548.400000000001</v>
      </c>
      <c r="R446">
        <v>0</v>
      </c>
      <c r="S446">
        <v>0.43389639740160008</v>
      </c>
      <c r="T446">
        <v>0.43389639740160008</v>
      </c>
      <c r="U446">
        <v>0</v>
      </c>
      <c r="V446">
        <v>0</v>
      </c>
      <c r="W446">
        <v>25693.56</v>
      </c>
      <c r="X446">
        <v>25693.56</v>
      </c>
      <c r="Y446">
        <v>0</v>
      </c>
      <c r="Z446">
        <v>1</v>
      </c>
    </row>
    <row r="447" spans="1:26" x14ac:dyDescent="0.25">
      <c r="A447" t="s">
        <v>129</v>
      </c>
      <c r="B447" t="s">
        <v>53</v>
      </c>
      <c r="C447" t="s">
        <v>76</v>
      </c>
      <c r="D447">
        <v>1</v>
      </c>
      <c r="E447">
        <v>2019</v>
      </c>
      <c r="F447" t="s">
        <v>43</v>
      </c>
      <c r="G447">
        <v>2079827.1270254222</v>
      </c>
      <c r="H447">
        <v>1502068.0760117143</v>
      </c>
      <c r="I447">
        <v>0</v>
      </c>
      <c r="J447">
        <v>0</v>
      </c>
      <c r="K447">
        <v>9930.836100337272</v>
      </c>
      <c r="L447">
        <v>0</v>
      </c>
      <c r="M447">
        <v>0</v>
      </c>
      <c r="N447">
        <v>0</v>
      </c>
      <c r="O447">
        <v>567828.21491337055</v>
      </c>
      <c r="P447">
        <v>567828.21491337055</v>
      </c>
      <c r="Q447">
        <v>9930.836100337272</v>
      </c>
      <c r="R447">
        <v>1.0447329369137377</v>
      </c>
      <c r="S447">
        <v>1.8271497070108039E-2</v>
      </c>
      <c r="T447">
        <v>1.8271497070108039E-2</v>
      </c>
      <c r="U447">
        <v>0</v>
      </c>
      <c r="V447">
        <v>158991.90017574377</v>
      </c>
      <c r="W447">
        <v>2780.6341080944362</v>
      </c>
      <c r="X447">
        <v>2780.6341080944362</v>
      </c>
      <c r="Y447">
        <v>0</v>
      </c>
      <c r="Z447">
        <v>0</v>
      </c>
    </row>
    <row r="448" spans="1:26" x14ac:dyDescent="0.25">
      <c r="A448" t="s">
        <v>129</v>
      </c>
      <c r="B448" t="s">
        <v>61</v>
      </c>
      <c r="D448">
        <v>0</v>
      </c>
      <c r="E448">
        <v>2019</v>
      </c>
      <c r="F448" t="s">
        <v>43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</row>
    <row r="449" spans="1:26" x14ac:dyDescent="0.25">
      <c r="A449" t="s">
        <v>129</v>
      </c>
      <c r="B449" t="s">
        <v>30</v>
      </c>
      <c r="D449">
        <v>0</v>
      </c>
      <c r="E449">
        <v>2019</v>
      </c>
      <c r="F449" t="s">
        <v>43</v>
      </c>
      <c r="G449">
        <v>96079.800747233821</v>
      </c>
      <c r="H449">
        <v>0</v>
      </c>
      <c r="I449">
        <v>0</v>
      </c>
      <c r="J449">
        <v>222884.49629995148</v>
      </c>
      <c r="K449">
        <v>0</v>
      </c>
      <c r="L449">
        <v>0</v>
      </c>
      <c r="M449">
        <v>0</v>
      </c>
      <c r="N449">
        <v>0</v>
      </c>
      <c r="O449">
        <v>-126804.69555271766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1</v>
      </c>
    </row>
    <row r="450" spans="1:26" x14ac:dyDescent="0.25">
      <c r="A450" t="s">
        <v>129</v>
      </c>
      <c r="B450" t="s">
        <v>52</v>
      </c>
      <c r="C450" t="s">
        <v>77</v>
      </c>
      <c r="D450">
        <v>1</v>
      </c>
      <c r="E450">
        <v>2019</v>
      </c>
      <c r="F450" t="s">
        <v>43</v>
      </c>
      <c r="G450">
        <v>955988.04344506538</v>
      </c>
      <c r="H450">
        <v>94889.448034412548</v>
      </c>
      <c r="I450">
        <v>104128.58905499999</v>
      </c>
      <c r="J450">
        <v>0</v>
      </c>
      <c r="K450">
        <v>22795.107252838847</v>
      </c>
      <c r="L450">
        <v>0</v>
      </c>
      <c r="M450">
        <v>734174.89910281403</v>
      </c>
      <c r="N450">
        <v>0</v>
      </c>
      <c r="O450">
        <v>0</v>
      </c>
      <c r="P450">
        <v>0</v>
      </c>
      <c r="Q450">
        <v>756970.00635565282</v>
      </c>
      <c r="R450">
        <v>0</v>
      </c>
      <c r="S450">
        <v>7.7197156788507311</v>
      </c>
      <c r="T450">
        <v>0.13142610267053248</v>
      </c>
      <c r="U450">
        <v>7.5882895761801983</v>
      </c>
      <c r="V450">
        <v>0</v>
      </c>
      <c r="W450">
        <v>643424.50540230493</v>
      </c>
      <c r="X450">
        <v>19375.841164913018</v>
      </c>
      <c r="Y450">
        <v>624048.6642373919</v>
      </c>
      <c r="Z450">
        <v>0</v>
      </c>
    </row>
    <row r="451" spans="1:26" x14ac:dyDescent="0.25">
      <c r="A451" t="s">
        <v>129</v>
      </c>
      <c r="B451" t="s">
        <v>56</v>
      </c>
      <c r="C451" t="s">
        <v>73</v>
      </c>
      <c r="D451">
        <v>1</v>
      </c>
      <c r="E451">
        <v>2019</v>
      </c>
      <c r="F451" t="s">
        <v>43</v>
      </c>
      <c r="G451">
        <v>452346.51233766804</v>
      </c>
      <c r="H451">
        <v>0</v>
      </c>
      <c r="I451">
        <v>0</v>
      </c>
      <c r="J451">
        <v>0</v>
      </c>
      <c r="K451">
        <v>35.900188095894634</v>
      </c>
      <c r="L451">
        <v>0</v>
      </c>
      <c r="M451">
        <v>452310.61214957217</v>
      </c>
      <c r="N451">
        <v>0</v>
      </c>
      <c r="O451">
        <v>0</v>
      </c>
      <c r="P451">
        <v>0</v>
      </c>
      <c r="Q451">
        <v>452346.51233766804</v>
      </c>
      <c r="R451">
        <v>0</v>
      </c>
      <c r="S451">
        <v>8.0748097529675267</v>
      </c>
      <c r="T451">
        <v>6.0961032399995807E-5</v>
      </c>
      <c r="U451">
        <v>8.0747487919351268</v>
      </c>
      <c r="V451">
        <v>0</v>
      </c>
      <c r="W451">
        <v>135703.9537013004</v>
      </c>
      <c r="X451">
        <v>10.77005642876839</v>
      </c>
      <c r="Y451">
        <v>135693.18364487163</v>
      </c>
      <c r="Z451">
        <v>0</v>
      </c>
    </row>
    <row r="452" spans="1:26" x14ac:dyDescent="0.25">
      <c r="A452" t="s">
        <v>129</v>
      </c>
      <c r="B452" t="s">
        <v>63</v>
      </c>
      <c r="D452">
        <v>0</v>
      </c>
      <c r="E452">
        <v>2019</v>
      </c>
      <c r="F452" t="s">
        <v>43</v>
      </c>
      <c r="G452">
        <v>0</v>
      </c>
      <c r="H452">
        <v>592646.72642582108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-592646.72642582108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1</v>
      </c>
    </row>
    <row r="453" spans="1:26" x14ac:dyDescent="0.25">
      <c r="A453" t="s">
        <v>129</v>
      </c>
      <c r="B453" t="s">
        <v>49</v>
      </c>
      <c r="C453" t="s">
        <v>73</v>
      </c>
      <c r="D453">
        <v>1</v>
      </c>
      <c r="E453">
        <v>2019</v>
      </c>
      <c r="F453" t="s">
        <v>43</v>
      </c>
      <c r="G453">
        <v>200279.74928693369</v>
      </c>
      <c r="H453">
        <v>0</v>
      </c>
      <c r="I453">
        <v>0</v>
      </c>
      <c r="J453">
        <v>0</v>
      </c>
      <c r="K453">
        <v>279550.24796430691</v>
      </c>
      <c r="L453">
        <v>0</v>
      </c>
      <c r="M453">
        <v>0</v>
      </c>
      <c r="N453">
        <v>0</v>
      </c>
      <c r="O453">
        <v>-79270.498677373223</v>
      </c>
      <c r="P453">
        <v>0</v>
      </c>
      <c r="Q453">
        <v>279550.24796430691</v>
      </c>
      <c r="R453">
        <v>0</v>
      </c>
      <c r="S453">
        <v>1.0296284310673407</v>
      </c>
      <c r="T453">
        <v>1.0296284310673407</v>
      </c>
      <c r="U453">
        <v>0</v>
      </c>
      <c r="V453">
        <v>0</v>
      </c>
      <c r="W453">
        <v>117411.1041450089</v>
      </c>
      <c r="X453">
        <v>117411.1041450089</v>
      </c>
      <c r="Y453">
        <v>0</v>
      </c>
      <c r="Z453">
        <v>1</v>
      </c>
    </row>
    <row r="454" spans="1:26" x14ac:dyDescent="0.25">
      <c r="A454" t="s">
        <v>129</v>
      </c>
      <c r="B454" t="s">
        <v>78</v>
      </c>
      <c r="D454">
        <v>0</v>
      </c>
      <c r="E454">
        <v>2019</v>
      </c>
      <c r="F454" t="s">
        <v>43</v>
      </c>
      <c r="G454">
        <v>145851.60720031991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145851.60720031991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</row>
    <row r="455" spans="1:26" x14ac:dyDescent="0.25">
      <c r="A455" t="s">
        <v>129</v>
      </c>
      <c r="B455" t="s">
        <v>31</v>
      </c>
      <c r="D455">
        <v>0</v>
      </c>
      <c r="E455">
        <v>2019</v>
      </c>
      <c r="F455" t="s">
        <v>43</v>
      </c>
      <c r="G455">
        <v>116414.7916544996</v>
      </c>
      <c r="H455">
        <v>0</v>
      </c>
      <c r="I455">
        <v>0</v>
      </c>
      <c r="J455">
        <v>101922.05609696274</v>
      </c>
      <c r="K455">
        <v>0</v>
      </c>
      <c r="L455">
        <v>0</v>
      </c>
      <c r="M455">
        <v>0</v>
      </c>
      <c r="N455">
        <v>0</v>
      </c>
      <c r="O455">
        <v>14492.735557536857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</row>
    <row r="456" spans="1:26" x14ac:dyDescent="0.25">
      <c r="A456" t="s">
        <v>129</v>
      </c>
      <c r="B456" t="s">
        <v>29</v>
      </c>
      <c r="C456" t="s">
        <v>77</v>
      </c>
      <c r="D456">
        <v>1</v>
      </c>
      <c r="E456">
        <v>2019</v>
      </c>
      <c r="F456" t="s">
        <v>43</v>
      </c>
      <c r="G456">
        <v>2275797.9689121391</v>
      </c>
      <c r="H456">
        <v>721621.60770550335</v>
      </c>
      <c r="I456">
        <v>0</v>
      </c>
      <c r="J456">
        <v>244164.92559492172</v>
      </c>
      <c r="K456">
        <v>945.81467090137289</v>
      </c>
      <c r="L456">
        <v>0</v>
      </c>
      <c r="M456">
        <v>0</v>
      </c>
      <c r="N456">
        <v>0</v>
      </c>
      <c r="O456">
        <v>1309065.6209408126</v>
      </c>
      <c r="P456">
        <v>1309065.6209408126</v>
      </c>
      <c r="Q456">
        <v>945.81467090137289</v>
      </c>
      <c r="R456">
        <v>4.4833664825353523</v>
      </c>
      <c r="S456">
        <v>3.2392828337832764E-3</v>
      </c>
      <c r="T456">
        <v>3.2392828337832764E-3</v>
      </c>
      <c r="U456">
        <v>0</v>
      </c>
      <c r="V456">
        <v>405810.34249165189</v>
      </c>
      <c r="W456">
        <v>293.20254797942562</v>
      </c>
      <c r="X456">
        <v>293.20254797942562</v>
      </c>
      <c r="Y456">
        <v>0</v>
      </c>
      <c r="Z456">
        <v>0</v>
      </c>
    </row>
    <row r="457" spans="1:26" x14ac:dyDescent="0.25">
      <c r="A457" t="s">
        <v>129</v>
      </c>
      <c r="B457" t="s">
        <v>69</v>
      </c>
      <c r="D457">
        <v>0</v>
      </c>
      <c r="E457">
        <v>2019</v>
      </c>
      <c r="F457" t="s">
        <v>43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387847.14852834243</v>
      </c>
      <c r="M457">
        <v>0</v>
      </c>
      <c r="N457">
        <v>0</v>
      </c>
      <c r="O457">
        <v>-387847.14852834243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1</v>
      </c>
    </row>
    <row r="458" spans="1:26" x14ac:dyDescent="0.25">
      <c r="A458" t="s">
        <v>129</v>
      </c>
      <c r="B458" t="s">
        <v>45</v>
      </c>
      <c r="C458" t="s">
        <v>74</v>
      </c>
      <c r="D458">
        <v>1</v>
      </c>
      <c r="E458">
        <v>2019</v>
      </c>
      <c r="F458" t="s">
        <v>43</v>
      </c>
      <c r="G458">
        <v>925084.21922943438</v>
      </c>
      <c r="H458">
        <v>0</v>
      </c>
      <c r="I458">
        <v>0</v>
      </c>
      <c r="J458">
        <v>0</v>
      </c>
      <c r="K458">
        <v>286645.05985025823</v>
      </c>
      <c r="L458">
        <v>422965.94308870414</v>
      </c>
      <c r="M458">
        <v>0</v>
      </c>
      <c r="N458">
        <v>0</v>
      </c>
      <c r="O458">
        <v>215473.21629047208</v>
      </c>
      <c r="P458">
        <v>215473.21629047208</v>
      </c>
      <c r="Q458">
        <v>286645.05985025823</v>
      </c>
      <c r="R458">
        <v>0.10907038735407407</v>
      </c>
      <c r="S458">
        <v>0.14509686284560222</v>
      </c>
      <c r="T458">
        <v>0.14509686284560222</v>
      </c>
      <c r="U458">
        <v>0</v>
      </c>
      <c r="V458">
        <v>16375.964438075878</v>
      </c>
      <c r="W458">
        <v>21785.024548619625</v>
      </c>
      <c r="X458">
        <v>21785.024548619625</v>
      </c>
      <c r="Y458">
        <v>0</v>
      </c>
      <c r="Z458">
        <v>0</v>
      </c>
    </row>
    <row r="459" spans="1:26" x14ac:dyDescent="0.25">
      <c r="A459" t="s">
        <v>129</v>
      </c>
      <c r="B459" t="s">
        <v>59</v>
      </c>
      <c r="D459">
        <v>0</v>
      </c>
      <c r="E459">
        <v>2019</v>
      </c>
      <c r="F459" t="s">
        <v>43</v>
      </c>
      <c r="G459">
        <v>115489.08079619991</v>
      </c>
      <c r="H459">
        <v>186040.49371289223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-70551.412916692323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</row>
    <row r="460" spans="1:26" x14ac:dyDescent="0.25">
      <c r="A460" t="s">
        <v>129</v>
      </c>
      <c r="B460" t="s">
        <v>54</v>
      </c>
      <c r="C460" t="s">
        <v>76</v>
      </c>
      <c r="D460">
        <v>1</v>
      </c>
      <c r="E460">
        <v>2019</v>
      </c>
      <c r="F460" t="s">
        <v>43</v>
      </c>
      <c r="G460">
        <v>366156.75807184458</v>
      </c>
      <c r="H460">
        <v>694353.2611092875</v>
      </c>
      <c r="I460">
        <v>0</v>
      </c>
      <c r="J460">
        <v>0</v>
      </c>
      <c r="K460">
        <v>15204.565068438918</v>
      </c>
      <c r="L460">
        <v>0</v>
      </c>
      <c r="M460">
        <v>0</v>
      </c>
      <c r="N460">
        <v>0</v>
      </c>
      <c r="O460">
        <v>-343401.0681058818</v>
      </c>
      <c r="P460">
        <v>0</v>
      </c>
      <c r="Q460">
        <v>15204.565068438918</v>
      </c>
      <c r="R460">
        <v>0</v>
      </c>
      <c r="S460">
        <v>5.4584388595695719E-2</v>
      </c>
      <c r="T460">
        <v>5.4584388595695719E-2</v>
      </c>
      <c r="U460">
        <v>0</v>
      </c>
      <c r="V460">
        <v>0</v>
      </c>
      <c r="W460">
        <v>4561.3695205316753</v>
      </c>
      <c r="X460">
        <v>4561.3695205316753</v>
      </c>
      <c r="Y460">
        <v>0</v>
      </c>
      <c r="Z460">
        <v>0</v>
      </c>
    </row>
    <row r="461" spans="1:26" x14ac:dyDescent="0.25">
      <c r="A461" t="s">
        <v>129</v>
      </c>
      <c r="B461" t="s">
        <v>38</v>
      </c>
      <c r="D461">
        <v>0</v>
      </c>
      <c r="E461">
        <v>2019</v>
      </c>
      <c r="F461" t="s">
        <v>43</v>
      </c>
      <c r="G461">
        <v>222833.98833453824</v>
      </c>
      <c r="H461">
        <v>0</v>
      </c>
      <c r="I461">
        <v>0</v>
      </c>
      <c r="J461">
        <v>389767.86287629709</v>
      </c>
      <c r="K461">
        <v>0</v>
      </c>
      <c r="L461">
        <v>0</v>
      </c>
      <c r="M461">
        <v>0</v>
      </c>
      <c r="N461">
        <v>0</v>
      </c>
      <c r="O461">
        <v>-166933.87454175885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</row>
    <row r="462" spans="1:26" x14ac:dyDescent="0.25">
      <c r="A462" t="s">
        <v>129</v>
      </c>
      <c r="B462" t="s">
        <v>35</v>
      </c>
      <c r="C462" t="s">
        <v>79</v>
      </c>
      <c r="D462">
        <v>1</v>
      </c>
      <c r="E462">
        <v>2019</v>
      </c>
      <c r="F462" t="s">
        <v>43</v>
      </c>
      <c r="G462">
        <v>1.1976865502381491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1.1976865502381491</v>
      </c>
      <c r="P462">
        <v>1.1976865502381491</v>
      </c>
      <c r="Q462">
        <v>0</v>
      </c>
      <c r="R462">
        <v>1.0749236788387388E-6</v>
      </c>
      <c r="S462">
        <v>0</v>
      </c>
      <c r="T462">
        <v>0</v>
      </c>
      <c r="U462">
        <v>0</v>
      </c>
      <c r="V462">
        <v>0.17965298253572234</v>
      </c>
      <c r="W462">
        <v>0</v>
      </c>
      <c r="X462">
        <v>0</v>
      </c>
      <c r="Y462">
        <v>0</v>
      </c>
      <c r="Z462">
        <v>0</v>
      </c>
    </row>
    <row r="463" spans="1:26" x14ac:dyDescent="0.25">
      <c r="A463" t="s">
        <v>129</v>
      </c>
      <c r="B463" t="s">
        <v>33</v>
      </c>
      <c r="D463">
        <v>0</v>
      </c>
      <c r="E463">
        <v>2019</v>
      </c>
      <c r="F463" t="s">
        <v>43</v>
      </c>
      <c r="G463">
        <v>7577.0634215631153</v>
      </c>
      <c r="H463">
        <v>0</v>
      </c>
      <c r="I463">
        <v>0</v>
      </c>
      <c r="J463">
        <v>49527.399127557059</v>
      </c>
      <c r="K463">
        <v>0</v>
      </c>
      <c r="L463">
        <v>0</v>
      </c>
      <c r="M463">
        <v>0</v>
      </c>
      <c r="N463">
        <v>0</v>
      </c>
      <c r="O463">
        <v>-41950.335705993944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</row>
    <row r="464" spans="1:26" x14ac:dyDescent="0.25">
      <c r="A464" t="s">
        <v>129</v>
      </c>
      <c r="B464" t="s">
        <v>80</v>
      </c>
      <c r="D464">
        <v>0</v>
      </c>
      <c r="E464">
        <v>2019</v>
      </c>
      <c r="F464" t="s">
        <v>43</v>
      </c>
      <c r="G464">
        <v>396057.87190930446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396057.87190930446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</row>
    <row r="465" spans="1:26" x14ac:dyDescent="0.25">
      <c r="A465" t="s">
        <v>129</v>
      </c>
      <c r="B465" t="s">
        <v>65</v>
      </c>
      <c r="C465" t="s">
        <v>81</v>
      </c>
      <c r="D465">
        <v>1</v>
      </c>
      <c r="E465">
        <v>2019</v>
      </c>
      <c r="F465" t="s">
        <v>43</v>
      </c>
      <c r="G465">
        <v>37577.319945022478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37577.319945022478</v>
      </c>
      <c r="N465">
        <v>0</v>
      </c>
      <c r="O465">
        <v>0</v>
      </c>
      <c r="P465">
        <v>0</v>
      </c>
      <c r="Q465">
        <v>37577.319945022478</v>
      </c>
      <c r="R465">
        <v>0</v>
      </c>
      <c r="S465">
        <v>0.69142268698841347</v>
      </c>
      <c r="T465">
        <v>0</v>
      </c>
      <c r="U465">
        <v>0.69142268698841347</v>
      </c>
      <c r="V465">
        <v>0</v>
      </c>
      <c r="W465">
        <v>15594.58777718433</v>
      </c>
      <c r="X465">
        <v>0</v>
      </c>
      <c r="Y465">
        <v>15594.58777718433</v>
      </c>
      <c r="Z465">
        <v>0</v>
      </c>
    </row>
    <row r="466" spans="1:26" x14ac:dyDescent="0.25">
      <c r="A466" t="s">
        <v>129</v>
      </c>
      <c r="B466" t="s">
        <v>140</v>
      </c>
      <c r="C466" t="s">
        <v>142</v>
      </c>
      <c r="D466">
        <v>1</v>
      </c>
      <c r="E466">
        <v>2019</v>
      </c>
      <c r="F466" t="s">
        <v>43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</row>
    <row r="467" spans="1:26" x14ac:dyDescent="0.25">
      <c r="A467" t="s">
        <v>129</v>
      </c>
      <c r="B467" t="s">
        <v>141</v>
      </c>
      <c r="C467" t="s">
        <v>142</v>
      </c>
      <c r="D467">
        <v>1</v>
      </c>
      <c r="E467">
        <v>2019</v>
      </c>
      <c r="F467" t="s">
        <v>43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</row>
    <row r="468" spans="1:26" x14ac:dyDescent="0.25">
      <c r="A468" t="s">
        <v>129</v>
      </c>
      <c r="B468" t="s">
        <v>82</v>
      </c>
      <c r="D468">
        <v>0</v>
      </c>
      <c r="E468">
        <v>2019</v>
      </c>
      <c r="F468" t="s">
        <v>43</v>
      </c>
      <c r="G468">
        <v>346998.01962126989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346998.01962126989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</row>
    <row r="469" spans="1:26" x14ac:dyDescent="0.25">
      <c r="A469" t="s">
        <v>129</v>
      </c>
      <c r="B469" t="s">
        <v>72</v>
      </c>
      <c r="D469">
        <v>0</v>
      </c>
      <c r="E469">
        <v>2019</v>
      </c>
      <c r="F469" t="s">
        <v>43</v>
      </c>
      <c r="G469">
        <v>193574.13238370849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193574.13238370849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</row>
    <row r="470" spans="1:26" x14ac:dyDescent="0.25">
      <c r="A470" t="s">
        <v>129</v>
      </c>
      <c r="B470" t="s">
        <v>58</v>
      </c>
      <c r="D470">
        <v>0</v>
      </c>
      <c r="E470">
        <v>2019</v>
      </c>
      <c r="F470" t="s">
        <v>43</v>
      </c>
      <c r="G470">
        <v>96787.066191854246</v>
      </c>
      <c r="H470">
        <v>26278.769501998373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70508.296689855866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</row>
    <row r="471" spans="1:26" x14ac:dyDescent="0.25">
      <c r="A471" t="s">
        <v>129</v>
      </c>
      <c r="B471" t="s">
        <v>64</v>
      </c>
      <c r="C471" t="s">
        <v>64</v>
      </c>
      <c r="D471">
        <v>1</v>
      </c>
      <c r="E471">
        <v>2019</v>
      </c>
      <c r="F471" t="s">
        <v>43</v>
      </c>
      <c r="G471">
        <v>61943.722362786721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1238.8744472557355</v>
      </c>
      <c r="N471">
        <v>60704.847915530983</v>
      </c>
      <c r="O471">
        <v>0</v>
      </c>
      <c r="P471">
        <v>0</v>
      </c>
      <c r="Q471">
        <v>1238.8744472557355</v>
      </c>
      <c r="R471">
        <v>0</v>
      </c>
      <c r="S471">
        <v>4.3360605653950737E-2</v>
      </c>
      <c r="T471">
        <v>0</v>
      </c>
      <c r="U471">
        <v>4.3360605653950737E-2</v>
      </c>
      <c r="V471">
        <v>0</v>
      </c>
      <c r="W471">
        <v>1127.3757470027194</v>
      </c>
      <c r="X471">
        <v>0</v>
      </c>
      <c r="Y471">
        <v>1127.3757470027194</v>
      </c>
      <c r="Z471">
        <v>0</v>
      </c>
    </row>
    <row r="472" spans="1:26" x14ac:dyDescent="0.25">
      <c r="A472" t="s">
        <v>129</v>
      </c>
      <c r="B472" t="s">
        <v>55</v>
      </c>
      <c r="C472" t="s">
        <v>76</v>
      </c>
      <c r="D472">
        <v>1</v>
      </c>
      <c r="E472">
        <v>2019</v>
      </c>
      <c r="F472" t="s">
        <v>43</v>
      </c>
      <c r="G472">
        <v>2252973.7408705982</v>
      </c>
      <c r="H472">
        <v>103245.87683002709</v>
      </c>
      <c r="I472">
        <v>0</v>
      </c>
      <c r="J472">
        <v>0</v>
      </c>
      <c r="K472">
        <v>24543.951075802775</v>
      </c>
      <c r="L472">
        <v>0</v>
      </c>
      <c r="M472">
        <v>0</v>
      </c>
      <c r="N472">
        <v>0</v>
      </c>
      <c r="O472">
        <v>2125183.9129647682</v>
      </c>
      <c r="P472">
        <v>1656364.6415009145</v>
      </c>
      <c r="Q472">
        <v>24543.951075802775</v>
      </c>
      <c r="R472">
        <v>4.4954398916191423</v>
      </c>
      <c r="S472">
        <v>6.6613264977771772E-2</v>
      </c>
      <c r="T472">
        <v>6.6613264977771772E-2</v>
      </c>
      <c r="U472">
        <v>0</v>
      </c>
      <c r="V472">
        <v>331272.92830018292</v>
      </c>
      <c r="W472">
        <v>4908.7902151605549</v>
      </c>
      <c r="X472">
        <v>4908.7902151605549</v>
      </c>
      <c r="Y472">
        <v>0</v>
      </c>
      <c r="Z472">
        <v>0</v>
      </c>
    </row>
    <row r="473" spans="1:26" x14ac:dyDescent="0.25">
      <c r="A473" t="s">
        <v>129</v>
      </c>
      <c r="B473" t="s">
        <v>83</v>
      </c>
      <c r="D473">
        <v>0</v>
      </c>
      <c r="E473">
        <v>2019</v>
      </c>
      <c r="F473" t="s">
        <v>43</v>
      </c>
      <c r="G473">
        <v>23179.475218292017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23179.475218292017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</row>
    <row r="474" spans="1:26" x14ac:dyDescent="0.25">
      <c r="A474" t="s">
        <v>129</v>
      </c>
      <c r="B474" t="s">
        <v>62</v>
      </c>
      <c r="D474">
        <v>0</v>
      </c>
      <c r="E474">
        <v>2019</v>
      </c>
      <c r="F474" t="s">
        <v>43</v>
      </c>
      <c r="G474">
        <v>18923.903166389329</v>
      </c>
      <c r="H474">
        <v>4837.9324606189475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14085.970705770382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</row>
    <row r="475" spans="1:26" x14ac:dyDescent="0.25">
      <c r="A475" t="s">
        <v>129</v>
      </c>
      <c r="B475" t="s">
        <v>47</v>
      </c>
      <c r="C475" t="s">
        <v>73</v>
      </c>
      <c r="D475">
        <v>1</v>
      </c>
      <c r="E475">
        <v>2019</v>
      </c>
      <c r="F475" t="s">
        <v>43</v>
      </c>
      <c r="G475">
        <v>3186961.3614372411</v>
      </c>
      <c r="H475">
        <v>0</v>
      </c>
      <c r="I475">
        <v>0</v>
      </c>
      <c r="J475">
        <v>0</v>
      </c>
      <c r="K475">
        <v>1208651.4125341829</v>
      </c>
      <c r="L475">
        <v>0</v>
      </c>
      <c r="M475">
        <v>0</v>
      </c>
      <c r="N475">
        <v>0</v>
      </c>
      <c r="O475">
        <v>1978309.9489030582</v>
      </c>
      <c r="P475">
        <v>1978309.9489030582</v>
      </c>
      <c r="Q475">
        <v>1208651.4125341829</v>
      </c>
      <c r="R475">
        <v>0.98719644760211522</v>
      </c>
      <c r="S475">
        <v>0.60312914136868268</v>
      </c>
      <c r="T475">
        <v>0.60312914136868268</v>
      </c>
      <c r="U475">
        <v>0</v>
      </c>
      <c r="V475">
        <v>118698.59693418349</v>
      </c>
      <c r="W475">
        <v>72519.084752050971</v>
      </c>
      <c r="X475">
        <v>72519.084752050971</v>
      </c>
      <c r="Y475">
        <v>0</v>
      </c>
      <c r="Z475">
        <v>0</v>
      </c>
    </row>
    <row r="476" spans="1:26" x14ac:dyDescent="0.25">
      <c r="A476" t="s">
        <v>129</v>
      </c>
      <c r="B476" t="s">
        <v>44</v>
      </c>
      <c r="C476" t="s">
        <v>74</v>
      </c>
      <c r="D476">
        <v>1</v>
      </c>
      <c r="E476">
        <v>2019</v>
      </c>
      <c r="F476" t="s">
        <v>43</v>
      </c>
      <c r="G476">
        <v>2304461.4931079326</v>
      </c>
      <c r="H476">
        <v>0</v>
      </c>
      <c r="I476">
        <v>0</v>
      </c>
      <c r="J476">
        <v>0</v>
      </c>
      <c r="K476">
        <v>380427.26035611134</v>
      </c>
      <c r="L476">
        <v>1924034.2327518209</v>
      </c>
      <c r="M476">
        <v>0</v>
      </c>
      <c r="N476">
        <v>0</v>
      </c>
      <c r="O476">
        <v>0</v>
      </c>
      <c r="P476">
        <v>0</v>
      </c>
      <c r="Q476">
        <v>380427.26035611134</v>
      </c>
      <c r="R476">
        <v>0</v>
      </c>
      <c r="S476">
        <v>0.16388806376141279</v>
      </c>
      <c r="T476">
        <v>0.16388806376141279</v>
      </c>
      <c r="U476">
        <v>0</v>
      </c>
      <c r="V476">
        <v>0</v>
      </c>
      <c r="W476">
        <v>19021.363017805568</v>
      </c>
      <c r="X476">
        <v>19021.363017805568</v>
      </c>
      <c r="Y476">
        <v>0</v>
      </c>
      <c r="Z476">
        <v>0</v>
      </c>
    </row>
    <row r="477" spans="1:26" x14ac:dyDescent="0.25">
      <c r="A477" t="s">
        <v>129</v>
      </c>
      <c r="B477" t="s">
        <v>32</v>
      </c>
      <c r="D477">
        <v>0</v>
      </c>
      <c r="E477">
        <v>2019</v>
      </c>
      <c r="F477" t="s">
        <v>43</v>
      </c>
      <c r="G477">
        <v>206750.71206041813</v>
      </c>
      <c r="H477">
        <v>0</v>
      </c>
      <c r="I477">
        <v>0</v>
      </c>
      <c r="J477">
        <v>100555.62853170674</v>
      </c>
      <c r="K477">
        <v>0</v>
      </c>
      <c r="L477">
        <v>0</v>
      </c>
      <c r="M477">
        <v>0</v>
      </c>
      <c r="N477">
        <v>0</v>
      </c>
      <c r="O477">
        <v>106195.08352871139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</row>
    <row r="478" spans="1:26" x14ac:dyDescent="0.25">
      <c r="A478" t="s">
        <v>129</v>
      </c>
      <c r="B478" t="s">
        <v>36</v>
      </c>
      <c r="C478" t="s">
        <v>79</v>
      </c>
      <c r="D478">
        <v>1</v>
      </c>
      <c r="E478">
        <v>2019</v>
      </c>
      <c r="F478" t="s">
        <v>43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</row>
    <row r="479" spans="1:26" x14ac:dyDescent="0.25">
      <c r="A479" t="s">
        <v>129</v>
      </c>
      <c r="B479" t="s">
        <v>84</v>
      </c>
      <c r="D479">
        <v>1</v>
      </c>
      <c r="E479">
        <v>2019</v>
      </c>
      <c r="F479" t="s">
        <v>43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</row>
    <row r="480" spans="1:26" x14ac:dyDescent="0.25">
      <c r="A480" t="s">
        <v>129</v>
      </c>
      <c r="B480" t="s">
        <v>66</v>
      </c>
      <c r="C480" t="s">
        <v>81</v>
      </c>
      <c r="D480">
        <v>1</v>
      </c>
      <c r="E480">
        <v>2019</v>
      </c>
      <c r="F480" t="s">
        <v>43</v>
      </c>
      <c r="G480">
        <v>681602.85349434032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681602.85349434032</v>
      </c>
      <c r="N480">
        <v>0</v>
      </c>
      <c r="O480">
        <v>0</v>
      </c>
      <c r="P480">
        <v>0</v>
      </c>
      <c r="Q480">
        <v>681602.85349434032</v>
      </c>
      <c r="R480">
        <v>0</v>
      </c>
      <c r="S480">
        <v>9.878857920085288</v>
      </c>
      <c r="T480">
        <v>0</v>
      </c>
      <c r="U480">
        <v>9.878857920085288</v>
      </c>
      <c r="V480">
        <v>0</v>
      </c>
      <c r="W480">
        <v>337109.41129074246</v>
      </c>
      <c r="X480">
        <v>0</v>
      </c>
      <c r="Y480">
        <v>337109.41129074246</v>
      </c>
      <c r="Z480">
        <v>0</v>
      </c>
    </row>
    <row r="481" spans="1:26" x14ac:dyDescent="0.25">
      <c r="A481" t="s">
        <v>129</v>
      </c>
      <c r="B481" t="s">
        <v>85</v>
      </c>
      <c r="D481">
        <v>0</v>
      </c>
      <c r="E481">
        <v>2019</v>
      </c>
      <c r="F481" t="s">
        <v>43</v>
      </c>
      <c r="G481">
        <v>187413.07432328182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187413.07432328182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</row>
    <row r="482" spans="1:26" x14ac:dyDescent="0.25">
      <c r="A482" t="s">
        <v>129</v>
      </c>
      <c r="B482" t="s">
        <v>40</v>
      </c>
      <c r="C482" t="s">
        <v>86</v>
      </c>
      <c r="D482">
        <v>0</v>
      </c>
      <c r="E482">
        <v>2030</v>
      </c>
      <c r="F482" t="s">
        <v>43</v>
      </c>
      <c r="G482">
        <v>17943.479437897957</v>
      </c>
      <c r="H482">
        <v>0</v>
      </c>
      <c r="I482">
        <v>0</v>
      </c>
      <c r="J482">
        <v>28209.340124628539</v>
      </c>
      <c r="K482">
        <v>0</v>
      </c>
      <c r="L482">
        <v>0</v>
      </c>
      <c r="M482">
        <v>0</v>
      </c>
      <c r="N482">
        <v>0</v>
      </c>
      <c r="O482">
        <v>-10265.860686730583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</row>
    <row r="483" spans="1:26" x14ac:dyDescent="0.25">
      <c r="A483" t="s">
        <v>129</v>
      </c>
      <c r="B483" t="s">
        <v>34</v>
      </c>
      <c r="C483" t="s">
        <v>86</v>
      </c>
      <c r="D483">
        <v>0</v>
      </c>
      <c r="E483">
        <v>2030</v>
      </c>
      <c r="F483" t="s">
        <v>43</v>
      </c>
      <c r="G483">
        <v>28552.425442007137</v>
      </c>
      <c r="H483">
        <v>7916.616753740097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20635.80868826704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</row>
    <row r="484" spans="1:26" x14ac:dyDescent="0.25">
      <c r="A484" t="s">
        <v>129</v>
      </c>
      <c r="B484" t="s">
        <v>48</v>
      </c>
      <c r="C484" t="s">
        <v>73</v>
      </c>
      <c r="D484">
        <v>1</v>
      </c>
      <c r="E484">
        <v>2030</v>
      </c>
      <c r="F484" t="s">
        <v>43</v>
      </c>
      <c r="G484">
        <v>168912.745758362</v>
      </c>
      <c r="H484">
        <v>0</v>
      </c>
      <c r="I484">
        <v>0</v>
      </c>
      <c r="J484">
        <v>0</v>
      </c>
      <c r="K484">
        <v>168912.75887120995</v>
      </c>
      <c r="L484">
        <v>0</v>
      </c>
      <c r="M484">
        <v>0</v>
      </c>
      <c r="N484">
        <v>0</v>
      </c>
      <c r="O484">
        <v>-1.3112847955198959E-2</v>
      </c>
      <c r="P484">
        <v>0</v>
      </c>
      <c r="Q484">
        <v>168912.75887120995</v>
      </c>
      <c r="R484">
        <v>0</v>
      </c>
      <c r="S484">
        <v>0.57547056732591406</v>
      </c>
      <c r="T484">
        <v>0.57547056732591406</v>
      </c>
      <c r="U484">
        <v>0</v>
      </c>
      <c r="V484">
        <v>0</v>
      </c>
      <c r="W484">
        <v>47295.572483938791</v>
      </c>
      <c r="X484">
        <v>47295.572483938791</v>
      </c>
      <c r="Y484">
        <v>0</v>
      </c>
      <c r="Z484">
        <v>1</v>
      </c>
    </row>
    <row r="485" spans="1:26" x14ac:dyDescent="0.25">
      <c r="A485" t="s">
        <v>129</v>
      </c>
      <c r="B485" t="s">
        <v>11</v>
      </c>
      <c r="C485" t="s">
        <v>86</v>
      </c>
      <c r="D485">
        <v>1</v>
      </c>
      <c r="E485">
        <v>2030</v>
      </c>
      <c r="F485" t="s">
        <v>43</v>
      </c>
      <c r="G485">
        <v>108792396.63373713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108792396.63373713</v>
      </c>
      <c r="N485">
        <v>0</v>
      </c>
      <c r="O485">
        <v>0</v>
      </c>
      <c r="P485">
        <v>0</v>
      </c>
      <c r="Q485">
        <v>108792396.63373713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</row>
    <row r="486" spans="1:26" x14ac:dyDescent="0.25">
      <c r="A486" t="s">
        <v>129</v>
      </c>
      <c r="B486" t="s">
        <v>68</v>
      </c>
      <c r="C486" t="s">
        <v>86</v>
      </c>
      <c r="D486">
        <v>0</v>
      </c>
      <c r="E486">
        <v>2030</v>
      </c>
      <c r="F486" t="s">
        <v>43</v>
      </c>
      <c r="G486">
        <v>3475869.7995257122</v>
      </c>
      <c r="H486">
        <v>0</v>
      </c>
      <c r="I486">
        <v>0</v>
      </c>
      <c r="J486">
        <v>0</v>
      </c>
      <c r="K486">
        <v>0</v>
      </c>
      <c r="L486">
        <v>3047051.4177026679</v>
      </c>
      <c r="M486">
        <v>0</v>
      </c>
      <c r="N486">
        <v>0</v>
      </c>
      <c r="O486">
        <v>428818.38182304427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</row>
    <row r="487" spans="1:26" x14ac:dyDescent="0.25">
      <c r="A487" t="s">
        <v>129</v>
      </c>
      <c r="B487" t="s">
        <v>51</v>
      </c>
      <c r="C487" t="s">
        <v>73</v>
      </c>
      <c r="D487">
        <v>1</v>
      </c>
      <c r="E487">
        <v>2030</v>
      </c>
      <c r="F487" t="s">
        <v>43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</row>
    <row r="488" spans="1:26" x14ac:dyDescent="0.25">
      <c r="A488" t="s">
        <v>129</v>
      </c>
      <c r="B488" t="s">
        <v>50</v>
      </c>
      <c r="C488" t="s">
        <v>74</v>
      </c>
      <c r="D488">
        <v>1</v>
      </c>
      <c r="E488">
        <v>2030</v>
      </c>
      <c r="F488" t="s">
        <v>43</v>
      </c>
      <c r="G488">
        <v>358055.10959218151</v>
      </c>
      <c r="H488">
        <v>0</v>
      </c>
      <c r="I488">
        <v>0</v>
      </c>
      <c r="J488">
        <v>0</v>
      </c>
      <c r="K488">
        <v>179027.55479609076</v>
      </c>
      <c r="L488">
        <v>67774.717172805787</v>
      </c>
      <c r="M488">
        <v>0</v>
      </c>
      <c r="N488">
        <v>0</v>
      </c>
      <c r="O488">
        <v>111252.83762328496</v>
      </c>
      <c r="P488">
        <v>111252.83762328496</v>
      </c>
      <c r="Q488">
        <v>179027.55479609076</v>
      </c>
      <c r="R488">
        <v>0.2396386122405558</v>
      </c>
      <c r="S488">
        <v>0.62526396527133532</v>
      </c>
      <c r="T488">
        <v>0.38562535303077949</v>
      </c>
      <c r="U488">
        <v>0.23963861224055583</v>
      </c>
      <c r="V488">
        <v>33375.851286985482</v>
      </c>
      <c r="W488">
        <v>87084.117725812714</v>
      </c>
      <c r="X488">
        <v>53708.266438827224</v>
      </c>
      <c r="Y488">
        <v>33375.851286985489</v>
      </c>
      <c r="Z488">
        <v>0</v>
      </c>
    </row>
    <row r="489" spans="1:26" x14ac:dyDescent="0.25">
      <c r="A489" t="s">
        <v>129</v>
      </c>
      <c r="B489" t="s">
        <v>60</v>
      </c>
      <c r="C489" t="s">
        <v>86</v>
      </c>
      <c r="D489">
        <v>0</v>
      </c>
      <c r="E489">
        <v>2030</v>
      </c>
      <c r="F489" t="s">
        <v>43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</row>
    <row r="490" spans="1:26" x14ac:dyDescent="0.25">
      <c r="A490" t="s">
        <v>129</v>
      </c>
      <c r="B490" t="s">
        <v>46</v>
      </c>
      <c r="C490" t="s">
        <v>74</v>
      </c>
      <c r="D490">
        <v>1</v>
      </c>
      <c r="E490">
        <v>2030</v>
      </c>
      <c r="F490" t="s">
        <v>43</v>
      </c>
      <c r="G490">
        <v>700.20192515285464</v>
      </c>
      <c r="H490">
        <v>0</v>
      </c>
      <c r="I490">
        <v>0</v>
      </c>
      <c r="J490">
        <v>0</v>
      </c>
      <c r="K490">
        <v>350.10096257642732</v>
      </c>
      <c r="L490">
        <v>265.07644309358068</v>
      </c>
      <c r="M490">
        <v>0</v>
      </c>
      <c r="N490">
        <v>0</v>
      </c>
      <c r="O490">
        <v>85.024519482846586</v>
      </c>
      <c r="P490">
        <v>85.024519482846586</v>
      </c>
      <c r="Q490">
        <v>350.10096257642732</v>
      </c>
      <c r="R490">
        <v>3.9986181267587921E-5</v>
      </c>
      <c r="S490">
        <v>2.0463516295765594E-4</v>
      </c>
      <c r="T490">
        <v>1.6464898169006801E-4</v>
      </c>
      <c r="U490">
        <v>3.9986181267587928E-5</v>
      </c>
      <c r="V490">
        <v>5.356544727419335</v>
      </c>
      <c r="W490">
        <v>27.412905369734258</v>
      </c>
      <c r="X490">
        <v>22.056360642314921</v>
      </c>
      <c r="Y490">
        <v>5.3565447274193367</v>
      </c>
      <c r="Z490">
        <v>0</v>
      </c>
    </row>
    <row r="491" spans="1:26" x14ac:dyDescent="0.25">
      <c r="A491" t="s">
        <v>129</v>
      </c>
      <c r="B491" t="s">
        <v>39</v>
      </c>
      <c r="C491" t="s">
        <v>86</v>
      </c>
      <c r="D491">
        <v>0</v>
      </c>
      <c r="E491">
        <v>2030</v>
      </c>
      <c r="F491" t="s">
        <v>43</v>
      </c>
      <c r="G491">
        <v>15244.045659594452</v>
      </c>
      <c r="H491">
        <v>0</v>
      </c>
      <c r="I491">
        <v>0</v>
      </c>
      <c r="J491">
        <v>30560.118468347584</v>
      </c>
      <c r="K491">
        <v>0</v>
      </c>
      <c r="L491">
        <v>0</v>
      </c>
      <c r="M491">
        <v>0</v>
      </c>
      <c r="N491">
        <v>0</v>
      </c>
      <c r="O491">
        <v>-15316.072808753132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</row>
    <row r="492" spans="1:26" x14ac:dyDescent="0.25">
      <c r="A492" t="s">
        <v>129</v>
      </c>
      <c r="B492" t="s">
        <v>75</v>
      </c>
      <c r="C492" t="s">
        <v>86</v>
      </c>
      <c r="D492">
        <v>0</v>
      </c>
      <c r="E492">
        <v>2030</v>
      </c>
      <c r="F492" t="s">
        <v>43</v>
      </c>
      <c r="G492">
        <v>645001.32802557282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645001.32802557282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</row>
    <row r="493" spans="1:26" x14ac:dyDescent="0.25">
      <c r="A493" t="s">
        <v>129</v>
      </c>
      <c r="B493" t="s">
        <v>41</v>
      </c>
      <c r="C493" t="s">
        <v>86</v>
      </c>
      <c r="D493">
        <v>0</v>
      </c>
      <c r="E493">
        <v>2030</v>
      </c>
      <c r="F493" t="s">
        <v>43</v>
      </c>
      <c r="G493">
        <v>16686.121067916127</v>
      </c>
      <c r="H493">
        <v>0</v>
      </c>
      <c r="I493">
        <v>0</v>
      </c>
      <c r="J493">
        <v>223323.94265330929</v>
      </c>
      <c r="K493">
        <v>0</v>
      </c>
      <c r="L493">
        <v>0</v>
      </c>
      <c r="M493">
        <v>0</v>
      </c>
      <c r="N493">
        <v>0</v>
      </c>
      <c r="O493">
        <v>-206637.82158539316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1</v>
      </c>
    </row>
    <row r="494" spans="1:26" x14ac:dyDescent="0.25">
      <c r="A494" t="s">
        <v>129</v>
      </c>
      <c r="B494" t="s">
        <v>57</v>
      </c>
      <c r="C494" t="s">
        <v>57</v>
      </c>
      <c r="D494">
        <v>1</v>
      </c>
      <c r="E494">
        <v>2030</v>
      </c>
      <c r="F494" t="s">
        <v>43</v>
      </c>
      <c r="G494">
        <v>0</v>
      </c>
      <c r="H494">
        <v>0</v>
      </c>
      <c r="I494">
        <v>0</v>
      </c>
      <c r="J494">
        <v>0</v>
      </c>
      <c r="K494">
        <v>28548.400000000001</v>
      </c>
      <c r="L494">
        <v>0</v>
      </c>
      <c r="M494">
        <v>0</v>
      </c>
      <c r="N494">
        <v>0</v>
      </c>
      <c r="O494">
        <v>-28548.400000000001</v>
      </c>
      <c r="P494">
        <v>0</v>
      </c>
      <c r="Q494">
        <v>28548.400000000001</v>
      </c>
      <c r="R494">
        <v>0</v>
      </c>
      <c r="S494">
        <v>0.43389639740160008</v>
      </c>
      <c r="T494">
        <v>0.43389639740160008</v>
      </c>
      <c r="U494">
        <v>0</v>
      </c>
      <c r="V494">
        <v>0</v>
      </c>
      <c r="W494">
        <v>25693.56</v>
      </c>
      <c r="X494">
        <v>25693.56</v>
      </c>
      <c r="Y494">
        <v>0</v>
      </c>
      <c r="Z494">
        <v>1</v>
      </c>
    </row>
    <row r="495" spans="1:26" x14ac:dyDescent="0.25">
      <c r="A495" t="s">
        <v>129</v>
      </c>
      <c r="B495" t="s">
        <v>53</v>
      </c>
      <c r="C495" t="s">
        <v>76</v>
      </c>
      <c r="D495">
        <v>1</v>
      </c>
      <c r="E495">
        <v>2030</v>
      </c>
      <c r="F495" t="s">
        <v>43</v>
      </c>
      <c r="G495">
        <v>2190992.6315255472</v>
      </c>
      <c r="H495">
        <v>1502068.0760117145</v>
      </c>
      <c r="I495">
        <v>0</v>
      </c>
      <c r="J495">
        <v>0</v>
      </c>
      <c r="K495">
        <v>10062.940438050116</v>
      </c>
      <c r="L495">
        <v>0</v>
      </c>
      <c r="M495">
        <v>0</v>
      </c>
      <c r="N495">
        <v>0</v>
      </c>
      <c r="O495">
        <v>678861.61507578264</v>
      </c>
      <c r="P495">
        <v>678861.61507578264</v>
      </c>
      <c r="Q495">
        <v>10062.940438050116</v>
      </c>
      <c r="R495">
        <v>1.2490205140375557</v>
      </c>
      <c r="S495">
        <v>1.267535066576013</v>
      </c>
      <c r="T495">
        <v>1.8514552538457459E-2</v>
      </c>
      <c r="U495">
        <v>1.2490205140375557</v>
      </c>
      <c r="V495">
        <v>190081.25222121915</v>
      </c>
      <c r="W495">
        <v>192898.87554387318</v>
      </c>
      <c r="X495">
        <v>2817.623322654033</v>
      </c>
      <c r="Y495">
        <v>190081.25222121915</v>
      </c>
      <c r="Z495">
        <v>0</v>
      </c>
    </row>
    <row r="496" spans="1:26" x14ac:dyDescent="0.25">
      <c r="A496" t="s">
        <v>129</v>
      </c>
      <c r="B496" t="s">
        <v>61</v>
      </c>
      <c r="C496" t="s">
        <v>86</v>
      </c>
      <c r="D496">
        <v>0</v>
      </c>
      <c r="E496">
        <v>2030</v>
      </c>
      <c r="F496" t="s">
        <v>43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</row>
    <row r="497" spans="1:26" x14ac:dyDescent="0.25">
      <c r="A497" t="s">
        <v>129</v>
      </c>
      <c r="B497" t="s">
        <v>30</v>
      </c>
      <c r="C497" t="s">
        <v>86</v>
      </c>
      <c r="D497">
        <v>0</v>
      </c>
      <c r="E497">
        <v>2030</v>
      </c>
      <c r="F497" t="s">
        <v>43</v>
      </c>
      <c r="G497">
        <v>100834.72491971773</v>
      </c>
      <c r="H497">
        <v>0</v>
      </c>
      <c r="I497">
        <v>0</v>
      </c>
      <c r="J497">
        <v>233902.44520004498</v>
      </c>
      <c r="K497">
        <v>0</v>
      </c>
      <c r="L497">
        <v>0</v>
      </c>
      <c r="M497">
        <v>0</v>
      </c>
      <c r="N497">
        <v>0</v>
      </c>
      <c r="O497">
        <v>-133067.72028032725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1</v>
      </c>
    </row>
    <row r="498" spans="1:26" x14ac:dyDescent="0.25">
      <c r="A498" t="s">
        <v>129</v>
      </c>
      <c r="B498" t="s">
        <v>52</v>
      </c>
      <c r="C498" t="s">
        <v>77</v>
      </c>
      <c r="D498">
        <v>1</v>
      </c>
      <c r="E498">
        <v>2030</v>
      </c>
      <c r="F498" t="s">
        <v>43</v>
      </c>
      <c r="G498">
        <v>937754.98883303662</v>
      </c>
      <c r="H498">
        <v>94889.448034412562</v>
      </c>
      <c r="I498">
        <v>103520.85960187271</v>
      </c>
      <c r="J498">
        <v>0</v>
      </c>
      <c r="K498">
        <v>23065.005787969905</v>
      </c>
      <c r="L498">
        <v>0</v>
      </c>
      <c r="M498">
        <v>716279.67540878139</v>
      </c>
      <c r="N498">
        <v>0</v>
      </c>
      <c r="O498">
        <v>0</v>
      </c>
      <c r="P498">
        <v>0</v>
      </c>
      <c r="Q498">
        <v>739344.68119675131</v>
      </c>
      <c r="R498">
        <v>0</v>
      </c>
      <c r="S498">
        <v>7.5363102231539605</v>
      </c>
      <c r="T498">
        <v>0.13298221347077202</v>
      </c>
      <c r="U498">
        <v>7.4033280096831886</v>
      </c>
      <c r="V498">
        <v>0</v>
      </c>
      <c r="W498">
        <v>628442.9790172386</v>
      </c>
      <c r="X498">
        <v>19605.254919774419</v>
      </c>
      <c r="Y498">
        <v>608837.72409746423</v>
      </c>
      <c r="Z498">
        <v>0</v>
      </c>
    </row>
    <row r="499" spans="1:26" x14ac:dyDescent="0.25">
      <c r="A499" t="s">
        <v>129</v>
      </c>
      <c r="B499" t="s">
        <v>56</v>
      </c>
      <c r="C499" t="s">
        <v>73</v>
      </c>
      <c r="D499">
        <v>1</v>
      </c>
      <c r="E499">
        <v>2030</v>
      </c>
      <c r="F499" t="s">
        <v>43</v>
      </c>
      <c r="G499">
        <v>456074.89013160887</v>
      </c>
      <c r="H499">
        <v>0</v>
      </c>
      <c r="I499">
        <v>0</v>
      </c>
      <c r="J499">
        <v>0</v>
      </c>
      <c r="K499">
        <v>36.19608838570413</v>
      </c>
      <c r="L499">
        <v>0</v>
      </c>
      <c r="M499">
        <v>456038.69404322316</v>
      </c>
      <c r="N499">
        <v>0</v>
      </c>
      <c r="O499">
        <v>0</v>
      </c>
      <c r="P499">
        <v>0</v>
      </c>
      <c r="Q499">
        <v>456074.89013160887</v>
      </c>
      <c r="R499">
        <v>0</v>
      </c>
      <c r="S499">
        <v>8.1413647955115209</v>
      </c>
      <c r="T499">
        <v>6.1463491805112617E-5</v>
      </c>
      <c r="U499">
        <v>8.1413033320197155</v>
      </c>
      <c r="V499">
        <v>0</v>
      </c>
      <c r="W499">
        <v>136822.46703948267</v>
      </c>
      <c r="X499">
        <v>10.858826515711238</v>
      </c>
      <c r="Y499">
        <v>136811.60821296697</v>
      </c>
      <c r="Z499">
        <v>0</v>
      </c>
    </row>
    <row r="500" spans="1:26" x14ac:dyDescent="0.25">
      <c r="A500" t="s">
        <v>129</v>
      </c>
      <c r="B500" t="s">
        <v>63</v>
      </c>
      <c r="C500" t="s">
        <v>86</v>
      </c>
      <c r="D500">
        <v>0</v>
      </c>
      <c r="E500">
        <v>2030</v>
      </c>
      <c r="F500" t="s">
        <v>43</v>
      </c>
      <c r="G500">
        <v>0</v>
      </c>
      <c r="H500">
        <v>592646.72642582119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-592646.72642582119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1</v>
      </c>
    </row>
    <row r="501" spans="1:26" x14ac:dyDescent="0.25">
      <c r="A501" t="s">
        <v>129</v>
      </c>
      <c r="B501" t="s">
        <v>49</v>
      </c>
      <c r="C501" t="s">
        <v>73</v>
      </c>
      <c r="D501">
        <v>1</v>
      </c>
      <c r="E501">
        <v>2030</v>
      </c>
      <c r="F501" t="s">
        <v>43</v>
      </c>
      <c r="G501">
        <v>202910.9816220197</v>
      </c>
      <c r="H501">
        <v>0</v>
      </c>
      <c r="I501">
        <v>0</v>
      </c>
      <c r="J501">
        <v>0</v>
      </c>
      <c r="K501">
        <v>202910.8690139266</v>
      </c>
      <c r="L501">
        <v>0</v>
      </c>
      <c r="M501">
        <v>0</v>
      </c>
      <c r="N501">
        <v>0</v>
      </c>
      <c r="O501">
        <v>0.11260809309897013</v>
      </c>
      <c r="P501">
        <v>0.11260809309897013</v>
      </c>
      <c r="Q501">
        <v>202910.8690139266</v>
      </c>
      <c r="R501">
        <v>4.8794550644994054E-7</v>
      </c>
      <c r="S501">
        <v>0.74735378571827482</v>
      </c>
      <c r="T501">
        <v>0.74735329777276838</v>
      </c>
      <c r="U501">
        <v>4.8794550644437606E-7</v>
      </c>
      <c r="V501">
        <v>4.7295399101567451E-2</v>
      </c>
      <c r="W501">
        <v>85222.612281248264</v>
      </c>
      <c r="X501">
        <v>85222.564985849167</v>
      </c>
      <c r="Y501">
        <v>4.7295399097492918E-2</v>
      </c>
      <c r="Z501">
        <v>0</v>
      </c>
    </row>
    <row r="502" spans="1:26" x14ac:dyDescent="0.25">
      <c r="A502" t="s">
        <v>129</v>
      </c>
      <c r="B502" t="s">
        <v>78</v>
      </c>
      <c r="C502" t="s">
        <v>86</v>
      </c>
      <c r="D502">
        <v>0</v>
      </c>
      <c r="E502">
        <v>2030</v>
      </c>
      <c r="F502" t="s">
        <v>43</v>
      </c>
      <c r="G502">
        <v>153987.37784910508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153987.37784910508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</row>
    <row r="503" spans="1:26" x14ac:dyDescent="0.25">
      <c r="A503" t="s">
        <v>129</v>
      </c>
      <c r="B503" t="s">
        <v>31</v>
      </c>
      <c r="C503" t="s">
        <v>86</v>
      </c>
      <c r="D503">
        <v>0</v>
      </c>
      <c r="E503">
        <v>2030</v>
      </c>
      <c r="F503" t="s">
        <v>43</v>
      </c>
      <c r="G503">
        <v>122853.28204903381</v>
      </c>
      <c r="H503">
        <v>0</v>
      </c>
      <c r="I503">
        <v>0</v>
      </c>
      <c r="J503">
        <v>106960.41463921656</v>
      </c>
      <c r="K503">
        <v>0</v>
      </c>
      <c r="L503">
        <v>0</v>
      </c>
      <c r="M503">
        <v>0</v>
      </c>
      <c r="N503">
        <v>0</v>
      </c>
      <c r="O503">
        <v>15892.867409817249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</row>
    <row r="504" spans="1:26" x14ac:dyDescent="0.25">
      <c r="A504" t="s">
        <v>129</v>
      </c>
      <c r="B504" t="s">
        <v>29</v>
      </c>
      <c r="C504" t="s">
        <v>77</v>
      </c>
      <c r="D504">
        <v>1</v>
      </c>
      <c r="E504">
        <v>2030</v>
      </c>
      <c r="F504" t="s">
        <v>43</v>
      </c>
      <c r="G504">
        <v>2409167.1046716827</v>
      </c>
      <c r="H504">
        <v>721621.60770550347</v>
      </c>
      <c r="I504">
        <v>0</v>
      </c>
      <c r="J504">
        <v>256234.83946537593</v>
      </c>
      <c r="K504">
        <v>952.06663022948101</v>
      </c>
      <c r="L504">
        <v>0</v>
      </c>
      <c r="M504">
        <v>0</v>
      </c>
      <c r="N504">
        <v>0</v>
      </c>
      <c r="O504">
        <v>1430358.5908705737</v>
      </c>
      <c r="P504">
        <v>1430358.5908705737</v>
      </c>
      <c r="Q504">
        <v>952.06663022948101</v>
      </c>
      <c r="R504">
        <v>4.8987779235289937</v>
      </c>
      <c r="S504">
        <v>4.9020386184482012</v>
      </c>
      <c r="T504">
        <v>3.2606949192077409E-3</v>
      </c>
      <c r="U504">
        <v>4.8987779235289937</v>
      </c>
      <c r="V504">
        <v>443411.16316987784</v>
      </c>
      <c r="W504">
        <v>443706.30382524902</v>
      </c>
      <c r="X504">
        <v>295.14065537113913</v>
      </c>
      <c r="Y504">
        <v>443411.16316987789</v>
      </c>
      <c r="Z504">
        <v>0</v>
      </c>
    </row>
    <row r="505" spans="1:26" x14ac:dyDescent="0.25">
      <c r="A505" t="s">
        <v>129</v>
      </c>
      <c r="B505" t="s">
        <v>69</v>
      </c>
      <c r="C505" t="s">
        <v>86</v>
      </c>
      <c r="D505">
        <v>0</v>
      </c>
      <c r="E505">
        <v>2030</v>
      </c>
      <c r="F505" t="s">
        <v>43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371889.1498666883</v>
      </c>
      <c r="M505">
        <v>0</v>
      </c>
      <c r="N505">
        <v>0</v>
      </c>
      <c r="O505">
        <v>-371889.1498666883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1</v>
      </c>
    </row>
    <row r="506" spans="1:26" x14ac:dyDescent="0.25">
      <c r="A506" t="s">
        <v>129</v>
      </c>
      <c r="B506" t="s">
        <v>45</v>
      </c>
      <c r="C506" t="s">
        <v>74</v>
      </c>
      <c r="D506">
        <v>1</v>
      </c>
      <c r="E506">
        <v>2030</v>
      </c>
      <c r="F506" t="s">
        <v>43</v>
      </c>
      <c r="G506">
        <v>922789.17266620893</v>
      </c>
      <c r="H506">
        <v>0</v>
      </c>
      <c r="I506">
        <v>0</v>
      </c>
      <c r="J506">
        <v>0</v>
      </c>
      <c r="K506">
        <v>701319.77122631879</v>
      </c>
      <c r="L506">
        <v>146723.47845392721</v>
      </c>
      <c r="M506">
        <v>0</v>
      </c>
      <c r="N506">
        <v>0</v>
      </c>
      <c r="O506">
        <v>74745.922985962941</v>
      </c>
      <c r="P506">
        <v>74745.922985962941</v>
      </c>
      <c r="Q506">
        <v>701319.77122631879</v>
      </c>
      <c r="R506">
        <v>3.7835638756264584E-2</v>
      </c>
      <c r="S506">
        <v>0.39283669375331498</v>
      </c>
      <c r="T506">
        <v>0.35500105499705037</v>
      </c>
      <c r="U506">
        <v>3.7835638756264611E-2</v>
      </c>
      <c r="V506">
        <v>5680.6901469331833</v>
      </c>
      <c r="W506">
        <v>58980.992760133413</v>
      </c>
      <c r="X506">
        <v>53300.302613200227</v>
      </c>
      <c r="Y506">
        <v>5680.690146933186</v>
      </c>
      <c r="Z506">
        <v>0</v>
      </c>
    </row>
    <row r="507" spans="1:26" x14ac:dyDescent="0.25">
      <c r="A507" t="s">
        <v>129</v>
      </c>
      <c r="B507" t="s">
        <v>59</v>
      </c>
      <c r="C507" t="s">
        <v>86</v>
      </c>
      <c r="D507">
        <v>0</v>
      </c>
      <c r="E507">
        <v>2030</v>
      </c>
      <c r="F507" t="s">
        <v>43</v>
      </c>
      <c r="G507">
        <v>115210.53389359287</v>
      </c>
      <c r="H507">
        <v>186040.49371289229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-70829.959819299416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</row>
    <row r="508" spans="1:26" x14ac:dyDescent="0.25">
      <c r="A508" t="s">
        <v>129</v>
      </c>
      <c r="B508" t="s">
        <v>54</v>
      </c>
      <c r="C508" t="s">
        <v>76</v>
      </c>
      <c r="D508">
        <v>1</v>
      </c>
      <c r="E508">
        <v>2030</v>
      </c>
      <c r="F508" t="s">
        <v>43</v>
      </c>
      <c r="G508">
        <v>388994.37014569982</v>
      </c>
      <c r="H508">
        <v>694353.26110928762</v>
      </c>
      <c r="I508">
        <v>0</v>
      </c>
      <c r="J508">
        <v>0</v>
      </c>
      <c r="K508">
        <v>15333.686496408332</v>
      </c>
      <c r="L508">
        <v>0</v>
      </c>
      <c r="M508">
        <v>0</v>
      </c>
      <c r="N508">
        <v>0</v>
      </c>
      <c r="O508">
        <v>-320692.5774599961</v>
      </c>
      <c r="P508">
        <v>0</v>
      </c>
      <c r="Q508">
        <v>15333.686496408332</v>
      </c>
      <c r="R508">
        <v>0</v>
      </c>
      <c r="S508">
        <v>5.5047934522105921E-2</v>
      </c>
      <c r="T508">
        <v>5.5047934522105921E-2</v>
      </c>
      <c r="U508">
        <v>0</v>
      </c>
      <c r="V508">
        <v>0</v>
      </c>
      <c r="W508">
        <v>4600.1059489224999</v>
      </c>
      <c r="X508">
        <v>4600.1059489224999</v>
      </c>
      <c r="Y508">
        <v>0</v>
      </c>
      <c r="Z508">
        <v>0</v>
      </c>
    </row>
    <row r="509" spans="1:26" x14ac:dyDescent="0.25">
      <c r="A509" t="s">
        <v>129</v>
      </c>
      <c r="B509" t="s">
        <v>38</v>
      </c>
      <c r="C509" t="s">
        <v>86</v>
      </c>
      <c r="D509">
        <v>0</v>
      </c>
      <c r="E509">
        <v>2030</v>
      </c>
      <c r="F509" t="s">
        <v>43</v>
      </c>
      <c r="G509">
        <v>222296.53737538058</v>
      </c>
      <c r="H509">
        <v>0</v>
      </c>
      <c r="I509">
        <v>0</v>
      </c>
      <c r="J509">
        <v>409035.43180711387</v>
      </c>
      <c r="K509">
        <v>0</v>
      </c>
      <c r="L509">
        <v>0</v>
      </c>
      <c r="M509">
        <v>0</v>
      </c>
      <c r="N509">
        <v>0</v>
      </c>
      <c r="O509">
        <v>-186738.89443173329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</row>
    <row r="510" spans="1:26" x14ac:dyDescent="0.25">
      <c r="A510" t="s">
        <v>129</v>
      </c>
      <c r="B510" t="s">
        <v>35</v>
      </c>
      <c r="C510" t="s">
        <v>79</v>
      </c>
      <c r="D510">
        <v>1</v>
      </c>
      <c r="E510">
        <v>2030</v>
      </c>
      <c r="F510" t="s">
        <v>43</v>
      </c>
      <c r="G510">
        <v>3243.3351780449079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3243.3351780449079</v>
      </c>
      <c r="P510">
        <v>3243.3351780449079</v>
      </c>
      <c r="Q510">
        <v>0</v>
      </c>
      <c r="R510">
        <v>2.9108933222953054E-3</v>
      </c>
      <c r="S510">
        <v>2.9108933222953054E-3</v>
      </c>
      <c r="T510">
        <v>0</v>
      </c>
      <c r="U510">
        <v>2.9108933222953054E-3</v>
      </c>
      <c r="V510">
        <v>486.50027670673614</v>
      </c>
      <c r="W510">
        <v>486.50027670673614</v>
      </c>
      <c r="X510">
        <v>0</v>
      </c>
      <c r="Y510">
        <v>486.50027670673614</v>
      </c>
      <c r="Z510">
        <v>0</v>
      </c>
    </row>
    <row r="511" spans="1:26" x14ac:dyDescent="0.25">
      <c r="A511" t="s">
        <v>129</v>
      </c>
      <c r="B511" t="s">
        <v>33</v>
      </c>
      <c r="C511" t="s">
        <v>86</v>
      </c>
      <c r="D511">
        <v>0</v>
      </c>
      <c r="E511">
        <v>2030</v>
      </c>
      <c r="F511" t="s">
        <v>43</v>
      </c>
      <c r="G511">
        <v>7545.7953205064359</v>
      </c>
      <c r="H511">
        <v>0</v>
      </c>
      <c r="I511">
        <v>0</v>
      </c>
      <c r="J511">
        <v>51975.70917962808</v>
      </c>
      <c r="K511">
        <v>0</v>
      </c>
      <c r="L511">
        <v>0</v>
      </c>
      <c r="M511">
        <v>0</v>
      </c>
      <c r="N511">
        <v>0</v>
      </c>
      <c r="O511">
        <v>-44429.913859121647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</row>
    <row r="512" spans="1:26" x14ac:dyDescent="0.25">
      <c r="A512" t="s">
        <v>129</v>
      </c>
      <c r="B512" t="s">
        <v>80</v>
      </c>
      <c r="C512" t="s">
        <v>86</v>
      </c>
      <c r="D512">
        <v>0</v>
      </c>
      <c r="E512">
        <v>2030</v>
      </c>
      <c r="F512" t="s">
        <v>43</v>
      </c>
      <c r="G512">
        <v>418150.43620360433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418150.43620360433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</row>
    <row r="513" spans="1:26" x14ac:dyDescent="0.25">
      <c r="A513" t="s">
        <v>129</v>
      </c>
      <c r="B513" t="s">
        <v>65</v>
      </c>
      <c r="C513" t="s">
        <v>81</v>
      </c>
      <c r="D513">
        <v>1</v>
      </c>
      <c r="E513">
        <v>2030</v>
      </c>
      <c r="F513" t="s">
        <v>43</v>
      </c>
      <c r="G513">
        <v>39419.677245239443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39419.677245239443</v>
      </c>
      <c r="N513">
        <v>0</v>
      </c>
      <c r="O513">
        <v>0</v>
      </c>
      <c r="P513">
        <v>0</v>
      </c>
      <c r="Q513">
        <v>39419.677245239443</v>
      </c>
      <c r="R513">
        <v>0</v>
      </c>
      <c r="S513">
        <v>0.72532206131240562</v>
      </c>
      <c r="T513">
        <v>0</v>
      </c>
      <c r="U513">
        <v>0.72532206131240562</v>
      </c>
      <c r="V513">
        <v>0</v>
      </c>
      <c r="W513">
        <v>16359.166056774371</v>
      </c>
      <c r="X513">
        <v>0</v>
      </c>
      <c r="Y513">
        <v>16359.166056774371</v>
      </c>
      <c r="Z513">
        <v>0</v>
      </c>
    </row>
    <row r="514" spans="1:26" x14ac:dyDescent="0.25">
      <c r="A514" t="s">
        <v>129</v>
      </c>
      <c r="B514" t="s">
        <v>140</v>
      </c>
      <c r="C514" t="s">
        <v>142</v>
      </c>
      <c r="D514">
        <v>1</v>
      </c>
      <c r="E514">
        <v>2030</v>
      </c>
      <c r="F514" t="s">
        <v>43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</row>
    <row r="515" spans="1:26" x14ac:dyDescent="0.25">
      <c r="A515" t="s">
        <v>129</v>
      </c>
      <c r="B515" t="s">
        <v>141</v>
      </c>
      <c r="C515" t="s">
        <v>142</v>
      </c>
      <c r="D515">
        <v>1</v>
      </c>
      <c r="E515">
        <v>2030</v>
      </c>
      <c r="F515" t="s">
        <v>43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</row>
    <row r="516" spans="1:26" x14ac:dyDescent="0.25">
      <c r="A516" t="s">
        <v>129</v>
      </c>
      <c r="B516" t="s">
        <v>82</v>
      </c>
      <c r="C516" t="s">
        <v>86</v>
      </c>
      <c r="D516">
        <v>0</v>
      </c>
      <c r="E516">
        <v>2030</v>
      </c>
      <c r="F516" t="s">
        <v>43</v>
      </c>
      <c r="G516">
        <v>346161.09873740864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346161.09873740864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</row>
    <row r="517" spans="1:26" x14ac:dyDescent="0.25">
      <c r="A517" t="s">
        <v>129</v>
      </c>
      <c r="B517" t="s">
        <v>72</v>
      </c>
      <c r="C517" t="s">
        <v>86</v>
      </c>
      <c r="D517">
        <v>0</v>
      </c>
      <c r="E517">
        <v>2030</v>
      </c>
      <c r="F517" t="s">
        <v>43</v>
      </c>
      <c r="G517">
        <v>204407.79128636757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204407.79128636757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</row>
    <row r="518" spans="1:26" x14ac:dyDescent="0.25">
      <c r="A518" t="s">
        <v>129</v>
      </c>
      <c r="B518" t="s">
        <v>58</v>
      </c>
      <c r="C518" t="s">
        <v>86</v>
      </c>
      <c r="D518">
        <v>0</v>
      </c>
      <c r="E518">
        <v>2030</v>
      </c>
      <c r="F518" t="s">
        <v>43</v>
      </c>
      <c r="G518">
        <v>102203.89564318379</v>
      </c>
      <c r="H518">
        <v>26278.769501998377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75925.126141185407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</row>
    <row r="519" spans="1:26" x14ac:dyDescent="0.25">
      <c r="A519" t="s">
        <v>129</v>
      </c>
      <c r="B519" t="s">
        <v>64</v>
      </c>
      <c r="C519" t="s">
        <v>64</v>
      </c>
      <c r="D519">
        <v>1</v>
      </c>
      <c r="E519">
        <v>2030</v>
      </c>
      <c r="F519" t="s">
        <v>43</v>
      </c>
      <c r="G519">
        <v>65410.493211637622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65410.493211637622</v>
      </c>
      <c r="N519">
        <v>0</v>
      </c>
      <c r="O519">
        <v>0</v>
      </c>
      <c r="P519">
        <v>0</v>
      </c>
      <c r="Q519">
        <v>65410.493211637622</v>
      </c>
      <c r="R519">
        <v>0</v>
      </c>
      <c r="S519">
        <v>2.2893672624073167</v>
      </c>
      <c r="T519">
        <v>0</v>
      </c>
      <c r="U519">
        <v>2.2893672624073167</v>
      </c>
      <c r="V519">
        <v>0</v>
      </c>
      <c r="W519">
        <v>59523.548822590237</v>
      </c>
      <c r="X519">
        <v>0</v>
      </c>
      <c r="Y519">
        <v>59523.548822590237</v>
      </c>
      <c r="Z519">
        <v>0</v>
      </c>
    </row>
    <row r="520" spans="1:26" x14ac:dyDescent="0.25">
      <c r="A520" t="s">
        <v>129</v>
      </c>
      <c r="B520" t="s">
        <v>55</v>
      </c>
      <c r="C520" t="s">
        <v>76</v>
      </c>
      <c r="D520">
        <v>1</v>
      </c>
      <c r="E520">
        <v>2030</v>
      </c>
      <c r="F520" t="s">
        <v>43</v>
      </c>
      <c r="G520">
        <v>2381738.5992335565</v>
      </c>
      <c r="H520">
        <v>103245.8768300271</v>
      </c>
      <c r="I520">
        <v>0</v>
      </c>
      <c r="J520">
        <v>0</v>
      </c>
      <c r="K520">
        <v>24569.279216726416</v>
      </c>
      <c r="L520">
        <v>0</v>
      </c>
      <c r="M520">
        <v>0</v>
      </c>
      <c r="N520">
        <v>0</v>
      </c>
      <c r="O520">
        <v>2253923.4431868028</v>
      </c>
      <c r="P520">
        <v>1803779.2618535154</v>
      </c>
      <c r="Q520">
        <v>24569.279216726416</v>
      </c>
      <c r="R520">
        <v>4.8955290678409149</v>
      </c>
      <c r="S520">
        <v>4.9622110744062793</v>
      </c>
      <c r="T520">
        <v>6.668200656536416E-2</v>
      </c>
      <c r="U520">
        <v>4.8955290678409149</v>
      </c>
      <c r="V520">
        <v>360755.85237070313</v>
      </c>
      <c r="W520">
        <v>365669.70821404835</v>
      </c>
      <c r="X520">
        <v>4913.8558433452836</v>
      </c>
      <c r="Y520">
        <v>360755.85237070307</v>
      </c>
      <c r="Z520">
        <v>0</v>
      </c>
    </row>
    <row r="521" spans="1:26" x14ac:dyDescent="0.25">
      <c r="A521" t="s">
        <v>129</v>
      </c>
      <c r="B521" t="s">
        <v>83</v>
      </c>
      <c r="C521" t="s">
        <v>86</v>
      </c>
      <c r="D521">
        <v>0</v>
      </c>
      <c r="E521">
        <v>2030</v>
      </c>
      <c r="F521" t="s">
        <v>43</v>
      </c>
      <c r="G521">
        <v>22535.823292320583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22535.823292320583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</row>
    <row r="522" spans="1:26" x14ac:dyDescent="0.25">
      <c r="A522" t="s">
        <v>129</v>
      </c>
      <c r="B522" t="s">
        <v>62</v>
      </c>
      <c r="C522" t="s">
        <v>86</v>
      </c>
      <c r="D522">
        <v>0</v>
      </c>
      <c r="E522">
        <v>2030</v>
      </c>
      <c r="F522" t="s">
        <v>43</v>
      </c>
      <c r="G522">
        <v>18290.426254310609</v>
      </c>
      <c r="H522">
        <v>4837.9324606189484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13452.493793691661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</row>
    <row r="523" spans="1:26" x14ac:dyDescent="0.25">
      <c r="A523" t="s">
        <v>129</v>
      </c>
      <c r="B523" t="s">
        <v>47</v>
      </c>
      <c r="C523" t="s">
        <v>73</v>
      </c>
      <c r="D523">
        <v>1</v>
      </c>
      <c r="E523">
        <v>2030</v>
      </c>
      <c r="F523" t="s">
        <v>43</v>
      </c>
      <c r="G523">
        <v>3344054.0907642334</v>
      </c>
      <c r="H523">
        <v>0</v>
      </c>
      <c r="I523">
        <v>0</v>
      </c>
      <c r="J523">
        <v>0</v>
      </c>
      <c r="K523">
        <v>1268228.6485488336</v>
      </c>
      <c r="L523">
        <v>0</v>
      </c>
      <c r="M523">
        <v>0</v>
      </c>
      <c r="N523">
        <v>0</v>
      </c>
      <c r="O523">
        <v>2075825.4422153998</v>
      </c>
      <c r="P523">
        <v>2075825.4422153998</v>
      </c>
      <c r="Q523">
        <v>1268228.6485488336</v>
      </c>
      <c r="R523">
        <v>1.0358576539199069</v>
      </c>
      <c r="S523">
        <v>1.6687164318322605</v>
      </c>
      <c r="T523">
        <v>0.63285877791235357</v>
      </c>
      <c r="U523">
        <v>1.0358576539199069</v>
      </c>
      <c r="V523">
        <v>124549.52653292398</v>
      </c>
      <c r="W523">
        <v>200643.245445854</v>
      </c>
      <c r="X523">
        <v>76093.71891293001</v>
      </c>
      <c r="Y523">
        <v>124549.52653292399</v>
      </c>
      <c r="Z523">
        <v>0</v>
      </c>
    </row>
    <row r="524" spans="1:26" x14ac:dyDescent="0.25">
      <c r="A524" t="s">
        <v>129</v>
      </c>
      <c r="B524" t="s">
        <v>44</v>
      </c>
      <c r="C524" t="s">
        <v>74</v>
      </c>
      <c r="D524">
        <v>1</v>
      </c>
      <c r="E524">
        <v>2030</v>
      </c>
      <c r="F524" t="s">
        <v>43</v>
      </c>
      <c r="G524">
        <v>2184299.8380428459</v>
      </c>
      <c r="H524">
        <v>0</v>
      </c>
      <c r="I524">
        <v>0</v>
      </c>
      <c r="J524">
        <v>0</v>
      </c>
      <c r="K524">
        <v>1157678.9141627084</v>
      </c>
      <c r="L524">
        <v>1026620.9238801375</v>
      </c>
      <c r="M524">
        <v>0</v>
      </c>
      <c r="N524">
        <v>0</v>
      </c>
      <c r="O524">
        <v>0</v>
      </c>
      <c r="P524">
        <v>0</v>
      </c>
      <c r="Q524">
        <v>1157678.9141627084</v>
      </c>
      <c r="R524">
        <v>0</v>
      </c>
      <c r="S524">
        <v>0.49872807622129489</v>
      </c>
      <c r="T524">
        <v>0.49872807622129489</v>
      </c>
      <c r="U524">
        <v>0</v>
      </c>
      <c r="V524">
        <v>0</v>
      </c>
      <c r="W524">
        <v>57883.945708135427</v>
      </c>
      <c r="X524">
        <v>57883.945708135427</v>
      </c>
      <c r="Y524">
        <v>0</v>
      </c>
      <c r="Z524">
        <v>0</v>
      </c>
    </row>
    <row r="525" spans="1:26" x14ac:dyDescent="0.25">
      <c r="A525" t="s">
        <v>129</v>
      </c>
      <c r="B525" t="s">
        <v>32</v>
      </c>
      <c r="C525" t="s">
        <v>86</v>
      </c>
      <c r="D525">
        <v>0</v>
      </c>
      <c r="E525">
        <v>2030</v>
      </c>
      <c r="F525" t="s">
        <v>43</v>
      </c>
      <c r="G525">
        <v>199670.11202830033</v>
      </c>
      <c r="H525">
        <v>0</v>
      </c>
      <c r="I525">
        <v>0</v>
      </c>
      <c r="J525">
        <v>105526.43984954793</v>
      </c>
      <c r="K525">
        <v>0</v>
      </c>
      <c r="L525">
        <v>0</v>
      </c>
      <c r="M525">
        <v>0</v>
      </c>
      <c r="N525">
        <v>0</v>
      </c>
      <c r="O525">
        <v>94143.6721787524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</row>
    <row r="526" spans="1:26" x14ac:dyDescent="0.25">
      <c r="A526" t="s">
        <v>129</v>
      </c>
      <c r="B526" t="s">
        <v>36</v>
      </c>
      <c r="C526" t="s">
        <v>79</v>
      </c>
      <c r="D526">
        <v>1</v>
      </c>
      <c r="E526">
        <v>2030</v>
      </c>
      <c r="F526" t="s">
        <v>43</v>
      </c>
      <c r="G526">
        <v>3600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3600</v>
      </c>
      <c r="P526">
        <v>3600</v>
      </c>
      <c r="Q526">
        <v>0</v>
      </c>
      <c r="R526">
        <v>3.2310000000000004E-3</v>
      </c>
      <c r="S526">
        <v>3.2310000000000004E-3</v>
      </c>
      <c r="T526">
        <v>0</v>
      </c>
      <c r="U526">
        <v>3.2310000000000004E-3</v>
      </c>
      <c r="V526">
        <v>540</v>
      </c>
      <c r="W526">
        <v>540</v>
      </c>
      <c r="X526">
        <v>0</v>
      </c>
      <c r="Y526">
        <v>540</v>
      </c>
      <c r="Z526">
        <v>0</v>
      </c>
    </row>
    <row r="527" spans="1:26" x14ac:dyDescent="0.25">
      <c r="A527" t="s">
        <v>129</v>
      </c>
      <c r="B527" t="s">
        <v>84</v>
      </c>
      <c r="C527" t="s">
        <v>86</v>
      </c>
      <c r="D527">
        <v>1</v>
      </c>
      <c r="E527">
        <v>2030</v>
      </c>
      <c r="F527" t="s">
        <v>43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</row>
    <row r="528" spans="1:26" x14ac:dyDescent="0.25">
      <c r="A528" t="s">
        <v>129</v>
      </c>
      <c r="B528" t="s">
        <v>66</v>
      </c>
      <c r="C528" t="s">
        <v>81</v>
      </c>
      <c r="D528">
        <v>1</v>
      </c>
      <c r="E528">
        <v>2030</v>
      </c>
      <c r="F528" t="s">
        <v>43</v>
      </c>
      <c r="G528">
        <v>645037.98201828008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645037.98201828008</v>
      </c>
      <c r="N528">
        <v>0</v>
      </c>
      <c r="O528">
        <v>0</v>
      </c>
      <c r="P528">
        <v>0</v>
      </c>
      <c r="Q528">
        <v>645037.98201828008</v>
      </c>
      <c r="R528">
        <v>0</v>
      </c>
      <c r="S528">
        <v>9.3489024359990136</v>
      </c>
      <c r="T528">
        <v>0</v>
      </c>
      <c r="U528">
        <v>9.3489024359990136</v>
      </c>
      <c r="V528">
        <v>0</v>
      </c>
      <c r="W528">
        <v>319025.0352732077</v>
      </c>
      <c r="X528">
        <v>0</v>
      </c>
      <c r="Y528">
        <v>319025.0352732077</v>
      </c>
      <c r="Z528">
        <v>0</v>
      </c>
    </row>
    <row r="529" spans="1:26" x14ac:dyDescent="0.25">
      <c r="A529" t="s">
        <v>129</v>
      </c>
      <c r="B529" t="s">
        <v>85</v>
      </c>
      <c r="C529" t="s">
        <v>86</v>
      </c>
      <c r="D529">
        <v>0</v>
      </c>
      <c r="E529">
        <v>2030</v>
      </c>
      <c r="F529" t="s">
        <v>43</v>
      </c>
      <c r="G529">
        <v>177359.22120275494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177359.22120275494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</row>
    <row r="530" spans="1:26" x14ac:dyDescent="0.25">
      <c r="A530" t="s">
        <v>129</v>
      </c>
      <c r="B530" t="s">
        <v>40</v>
      </c>
      <c r="C530" t="s">
        <v>86</v>
      </c>
      <c r="D530">
        <v>0</v>
      </c>
      <c r="E530">
        <v>2050</v>
      </c>
      <c r="F530" t="s">
        <v>43</v>
      </c>
      <c r="G530">
        <v>13980.879672720754</v>
      </c>
      <c r="H530">
        <v>0</v>
      </c>
      <c r="I530">
        <v>0</v>
      </c>
      <c r="J530">
        <v>29532.002020101954</v>
      </c>
      <c r="K530">
        <v>0</v>
      </c>
      <c r="L530">
        <v>0</v>
      </c>
      <c r="M530">
        <v>0</v>
      </c>
      <c r="N530">
        <v>0</v>
      </c>
      <c r="O530">
        <v>-15551.122347381201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</row>
    <row r="531" spans="1:26" x14ac:dyDescent="0.25">
      <c r="A531" t="s">
        <v>129</v>
      </c>
      <c r="B531" t="s">
        <v>34</v>
      </c>
      <c r="C531" t="s">
        <v>86</v>
      </c>
      <c r="D531">
        <v>0</v>
      </c>
      <c r="E531">
        <v>2050</v>
      </c>
      <c r="F531" t="s">
        <v>43</v>
      </c>
      <c r="G531">
        <v>27846.800257878294</v>
      </c>
      <c r="H531">
        <v>6333.293402992078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21513.506854886218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</row>
    <row r="532" spans="1:26" x14ac:dyDescent="0.25">
      <c r="A532" t="s">
        <v>129</v>
      </c>
      <c r="B532" t="s">
        <v>48</v>
      </c>
      <c r="C532" t="s">
        <v>73</v>
      </c>
      <c r="D532">
        <v>1</v>
      </c>
      <c r="E532">
        <v>2050</v>
      </c>
      <c r="F532" t="s">
        <v>43</v>
      </c>
      <c r="G532">
        <v>172292.68030975034</v>
      </c>
      <c r="H532">
        <v>0</v>
      </c>
      <c r="I532">
        <v>0</v>
      </c>
      <c r="J532">
        <v>0</v>
      </c>
      <c r="K532">
        <v>172292.76645701908</v>
      </c>
      <c r="L532">
        <v>0</v>
      </c>
      <c r="M532">
        <v>0</v>
      </c>
      <c r="N532">
        <v>0</v>
      </c>
      <c r="O532">
        <v>-8.6147268739296123E-2</v>
      </c>
      <c r="P532">
        <v>0</v>
      </c>
      <c r="Q532">
        <v>172292.76645701908</v>
      </c>
      <c r="R532">
        <v>0</v>
      </c>
      <c r="S532">
        <v>0.58698594897008305</v>
      </c>
      <c r="T532">
        <v>0.58698594897008305</v>
      </c>
      <c r="U532">
        <v>0</v>
      </c>
      <c r="V532">
        <v>0</v>
      </c>
      <c r="W532">
        <v>48241.974607965349</v>
      </c>
      <c r="X532">
        <v>48241.974607965349</v>
      </c>
      <c r="Y532">
        <v>0</v>
      </c>
      <c r="Z532">
        <v>1</v>
      </c>
    </row>
    <row r="533" spans="1:26" x14ac:dyDescent="0.25">
      <c r="A533" t="s">
        <v>129</v>
      </c>
      <c r="B533" t="s">
        <v>11</v>
      </c>
      <c r="C533" t="s">
        <v>86</v>
      </c>
      <c r="D533">
        <v>1</v>
      </c>
      <c r="E533">
        <v>2050</v>
      </c>
      <c r="F533" t="s">
        <v>43</v>
      </c>
      <c r="G533">
        <v>104340897.10458454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104340897.10458454</v>
      </c>
      <c r="N533">
        <v>0</v>
      </c>
      <c r="O533">
        <v>0</v>
      </c>
      <c r="P533">
        <v>0</v>
      </c>
      <c r="Q533">
        <v>104340897.10458454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</row>
    <row r="534" spans="1:26" x14ac:dyDescent="0.25">
      <c r="A534" t="s">
        <v>129</v>
      </c>
      <c r="B534" t="s">
        <v>68</v>
      </c>
      <c r="C534" t="s">
        <v>86</v>
      </c>
      <c r="D534">
        <v>0</v>
      </c>
      <c r="E534">
        <v>2050</v>
      </c>
      <c r="F534" t="s">
        <v>43</v>
      </c>
      <c r="G534">
        <v>3132565.3017730014</v>
      </c>
      <c r="H534">
        <v>0</v>
      </c>
      <c r="I534">
        <v>0</v>
      </c>
      <c r="J534">
        <v>0</v>
      </c>
      <c r="K534">
        <v>0</v>
      </c>
      <c r="L534">
        <v>2636262.8953785724</v>
      </c>
      <c r="M534">
        <v>0</v>
      </c>
      <c r="N534">
        <v>0</v>
      </c>
      <c r="O534">
        <v>496302.40639442904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</row>
    <row r="535" spans="1:26" x14ac:dyDescent="0.25">
      <c r="A535" t="s">
        <v>129</v>
      </c>
      <c r="B535" t="s">
        <v>51</v>
      </c>
      <c r="C535" t="s">
        <v>73</v>
      </c>
      <c r="D535">
        <v>1</v>
      </c>
      <c r="E535">
        <v>2050</v>
      </c>
      <c r="F535" t="s">
        <v>43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</row>
    <row r="536" spans="1:26" x14ac:dyDescent="0.25">
      <c r="A536" t="s">
        <v>129</v>
      </c>
      <c r="B536" t="s">
        <v>50</v>
      </c>
      <c r="C536" t="s">
        <v>74</v>
      </c>
      <c r="D536">
        <v>1</v>
      </c>
      <c r="E536">
        <v>2050</v>
      </c>
      <c r="F536" t="s">
        <v>43</v>
      </c>
      <c r="G536">
        <v>301646.48561279988</v>
      </c>
      <c r="H536">
        <v>0</v>
      </c>
      <c r="I536">
        <v>0</v>
      </c>
      <c r="J536">
        <v>0</v>
      </c>
      <c r="K536">
        <v>150823.24280639994</v>
      </c>
      <c r="L536">
        <v>57097.370490994261</v>
      </c>
      <c r="M536">
        <v>0</v>
      </c>
      <c r="N536">
        <v>0</v>
      </c>
      <c r="O536">
        <v>93725.872315405693</v>
      </c>
      <c r="P536">
        <v>93725.872315405693</v>
      </c>
      <c r="Q536">
        <v>150823.24280639994</v>
      </c>
      <c r="R536">
        <v>0.20188552896738388</v>
      </c>
      <c r="S536">
        <v>0.52675879397236935</v>
      </c>
      <c r="T536">
        <v>0.32487326500498548</v>
      </c>
      <c r="U536">
        <v>0.20188552896738388</v>
      </c>
      <c r="V536">
        <v>28117.761694621706</v>
      </c>
      <c r="W536">
        <v>73364.734536541684</v>
      </c>
      <c r="X536">
        <v>45246.972841919982</v>
      </c>
      <c r="Y536">
        <v>28117.761694621702</v>
      </c>
      <c r="Z536">
        <v>0</v>
      </c>
    </row>
    <row r="537" spans="1:26" x14ac:dyDescent="0.25">
      <c r="A537" t="s">
        <v>129</v>
      </c>
      <c r="B537" t="s">
        <v>60</v>
      </c>
      <c r="C537" t="s">
        <v>86</v>
      </c>
      <c r="D537">
        <v>0</v>
      </c>
      <c r="E537">
        <v>2050</v>
      </c>
      <c r="F537" t="s">
        <v>43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</row>
    <row r="538" spans="1:26" x14ac:dyDescent="0.25">
      <c r="A538" t="s">
        <v>129</v>
      </c>
      <c r="B538" t="s">
        <v>46</v>
      </c>
      <c r="C538" t="s">
        <v>74</v>
      </c>
      <c r="D538">
        <v>1</v>
      </c>
      <c r="E538">
        <v>2050</v>
      </c>
      <c r="F538" t="s">
        <v>43</v>
      </c>
      <c r="G538">
        <v>578.47871789484248</v>
      </c>
      <c r="H538">
        <v>0</v>
      </c>
      <c r="I538">
        <v>0</v>
      </c>
      <c r="J538">
        <v>0</v>
      </c>
      <c r="K538">
        <v>289.23935894742124</v>
      </c>
      <c r="L538">
        <v>218.99551463161893</v>
      </c>
      <c r="M538">
        <v>0</v>
      </c>
      <c r="N538">
        <v>0</v>
      </c>
      <c r="O538">
        <v>70.243844315802335</v>
      </c>
      <c r="P538">
        <v>70.243844315802335</v>
      </c>
      <c r="Q538">
        <v>289.23935894742124</v>
      </c>
      <c r="R538">
        <v>3.3034977543278681E-5</v>
      </c>
      <c r="S538">
        <v>1.690613556626614E-4</v>
      </c>
      <c r="T538">
        <v>1.3602637811938273E-4</v>
      </c>
      <c r="U538">
        <v>3.3034977543278674E-5</v>
      </c>
      <c r="V538">
        <v>4.4253621918955472</v>
      </c>
      <c r="W538">
        <v>22.647441805583085</v>
      </c>
      <c r="X538">
        <v>18.222079613687537</v>
      </c>
      <c r="Y538">
        <v>4.4253621918955481</v>
      </c>
      <c r="Z538">
        <v>0</v>
      </c>
    </row>
    <row r="539" spans="1:26" x14ac:dyDescent="0.25">
      <c r="A539" t="s">
        <v>129</v>
      </c>
      <c r="B539" t="s">
        <v>39</v>
      </c>
      <c r="C539" t="s">
        <v>86</v>
      </c>
      <c r="D539">
        <v>0</v>
      </c>
      <c r="E539">
        <v>2050</v>
      </c>
      <c r="F539" t="s">
        <v>43</v>
      </c>
      <c r="G539">
        <v>11660.091914249606</v>
      </c>
      <c r="H539">
        <v>0</v>
      </c>
      <c r="I539">
        <v>0</v>
      </c>
      <c r="J539">
        <v>31993.002188443785</v>
      </c>
      <c r="K539">
        <v>0</v>
      </c>
      <c r="L539">
        <v>0</v>
      </c>
      <c r="M539">
        <v>0</v>
      </c>
      <c r="N539">
        <v>0</v>
      </c>
      <c r="O539">
        <v>-20332.910274194179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</row>
    <row r="540" spans="1:26" x14ac:dyDescent="0.25">
      <c r="A540" t="s">
        <v>129</v>
      </c>
      <c r="B540" t="s">
        <v>75</v>
      </c>
      <c r="C540" t="s">
        <v>86</v>
      </c>
      <c r="D540">
        <v>0</v>
      </c>
      <c r="E540">
        <v>2050</v>
      </c>
      <c r="F540" t="s">
        <v>43</v>
      </c>
      <c r="G540">
        <v>629229.83697533351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629229.83697533351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</row>
    <row r="541" spans="1:26" x14ac:dyDescent="0.25">
      <c r="A541" t="s">
        <v>129</v>
      </c>
      <c r="B541" t="s">
        <v>41</v>
      </c>
      <c r="C541" t="s">
        <v>86</v>
      </c>
      <c r="D541">
        <v>0</v>
      </c>
      <c r="E541">
        <v>2050</v>
      </c>
      <c r="F541" t="s">
        <v>43</v>
      </c>
      <c r="G541">
        <v>16274.021455837808</v>
      </c>
      <c r="H541">
        <v>0</v>
      </c>
      <c r="I541">
        <v>0</v>
      </c>
      <c r="J541">
        <v>233795.01599247381</v>
      </c>
      <c r="K541">
        <v>0</v>
      </c>
      <c r="L541">
        <v>0</v>
      </c>
      <c r="M541">
        <v>0</v>
      </c>
      <c r="N541">
        <v>0</v>
      </c>
      <c r="O541">
        <v>-217520.99453663599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1</v>
      </c>
    </row>
    <row r="542" spans="1:26" x14ac:dyDescent="0.25">
      <c r="A542" t="s">
        <v>129</v>
      </c>
      <c r="B542" t="s">
        <v>57</v>
      </c>
      <c r="C542" t="s">
        <v>57</v>
      </c>
      <c r="D542">
        <v>1</v>
      </c>
      <c r="E542">
        <v>2050</v>
      </c>
      <c r="F542" t="s">
        <v>43</v>
      </c>
      <c r="G542">
        <v>0</v>
      </c>
      <c r="H542">
        <v>0</v>
      </c>
      <c r="I542">
        <v>0</v>
      </c>
      <c r="J542">
        <v>0</v>
      </c>
      <c r="K542">
        <v>28548.400000000001</v>
      </c>
      <c r="L542">
        <v>0</v>
      </c>
      <c r="M542">
        <v>0</v>
      </c>
      <c r="N542">
        <v>0</v>
      </c>
      <c r="O542">
        <v>-28548.400000000001</v>
      </c>
      <c r="P542">
        <v>0</v>
      </c>
      <c r="Q542">
        <v>28548.400000000001</v>
      </c>
      <c r="R542">
        <v>0</v>
      </c>
      <c r="S542">
        <v>0.43389639740160008</v>
      </c>
      <c r="T542">
        <v>0.43389639740160008</v>
      </c>
      <c r="U542">
        <v>0</v>
      </c>
      <c r="V542">
        <v>0</v>
      </c>
      <c r="W542">
        <v>25693.56</v>
      </c>
      <c r="X542">
        <v>25693.56</v>
      </c>
      <c r="Y542">
        <v>0</v>
      </c>
      <c r="Z542">
        <v>1</v>
      </c>
    </row>
    <row r="543" spans="1:26" x14ac:dyDescent="0.25">
      <c r="A543" t="s">
        <v>129</v>
      </c>
      <c r="B543" t="s">
        <v>53</v>
      </c>
      <c r="C543" t="s">
        <v>76</v>
      </c>
      <c r="D543">
        <v>1</v>
      </c>
      <c r="E543">
        <v>2050</v>
      </c>
      <c r="F543" t="s">
        <v>43</v>
      </c>
      <c r="G543">
        <v>2163650.2851152783</v>
      </c>
      <c r="H543">
        <v>1201654.4608093717</v>
      </c>
      <c r="I543">
        <v>0</v>
      </c>
      <c r="J543">
        <v>0</v>
      </c>
      <c r="K543">
        <v>10149.946321457959</v>
      </c>
      <c r="L543">
        <v>0</v>
      </c>
      <c r="M543">
        <v>0</v>
      </c>
      <c r="N543">
        <v>0</v>
      </c>
      <c r="O543">
        <v>951845.8779844488</v>
      </c>
      <c r="P543">
        <v>951845.8779844488</v>
      </c>
      <c r="Q543">
        <v>10149.946321457959</v>
      </c>
      <c r="R543">
        <v>1.7512774347566378</v>
      </c>
      <c r="S543">
        <v>1.7699520672448303</v>
      </c>
      <c r="T543">
        <v>1.8674632488192462E-2</v>
      </c>
      <c r="U543">
        <v>1.7512774347566378</v>
      </c>
      <c r="V543">
        <v>266516.84583564568</v>
      </c>
      <c r="W543">
        <v>269358.83080565394</v>
      </c>
      <c r="X543">
        <v>2841.9849700082286</v>
      </c>
      <c r="Y543">
        <v>266516.84583564568</v>
      </c>
      <c r="Z543">
        <v>0</v>
      </c>
    </row>
    <row r="544" spans="1:26" x14ac:dyDescent="0.25">
      <c r="A544" t="s">
        <v>129</v>
      </c>
      <c r="B544" t="s">
        <v>61</v>
      </c>
      <c r="C544" t="s">
        <v>86</v>
      </c>
      <c r="D544">
        <v>0</v>
      </c>
      <c r="E544">
        <v>2050</v>
      </c>
      <c r="F544" t="s">
        <v>43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</row>
    <row r="545" spans="1:26" x14ac:dyDescent="0.25">
      <c r="A545" t="s">
        <v>129</v>
      </c>
      <c r="B545" t="s">
        <v>30</v>
      </c>
      <c r="C545" t="s">
        <v>86</v>
      </c>
      <c r="D545">
        <v>0</v>
      </c>
      <c r="E545">
        <v>2050</v>
      </c>
      <c r="F545" t="s">
        <v>43</v>
      </c>
      <c r="G545">
        <v>98333.203509519633</v>
      </c>
      <c r="H545">
        <v>0</v>
      </c>
      <c r="I545">
        <v>0</v>
      </c>
      <c r="J545">
        <v>244869.51675001203</v>
      </c>
      <c r="K545">
        <v>0</v>
      </c>
      <c r="L545">
        <v>0</v>
      </c>
      <c r="M545">
        <v>0</v>
      </c>
      <c r="N545">
        <v>0</v>
      </c>
      <c r="O545">
        <v>-146536.3132404924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1</v>
      </c>
    </row>
    <row r="546" spans="1:26" x14ac:dyDescent="0.25">
      <c r="A546" t="s">
        <v>129</v>
      </c>
      <c r="B546" t="s">
        <v>52</v>
      </c>
      <c r="C546" t="s">
        <v>77</v>
      </c>
      <c r="D546">
        <v>1</v>
      </c>
      <c r="E546">
        <v>2050</v>
      </c>
      <c r="F546" t="s">
        <v>43</v>
      </c>
      <c r="G546">
        <v>917722.26759868616</v>
      </c>
      <c r="H546">
        <v>75911.55842753005</v>
      </c>
      <c r="I546">
        <v>82449.939525946174</v>
      </c>
      <c r="J546">
        <v>0</v>
      </c>
      <c r="K546">
        <v>22570.244690841144</v>
      </c>
      <c r="L546">
        <v>0</v>
      </c>
      <c r="M546">
        <v>736790.52495436871</v>
      </c>
      <c r="N546">
        <v>0</v>
      </c>
      <c r="O546">
        <v>0</v>
      </c>
      <c r="P546">
        <v>0</v>
      </c>
      <c r="Q546">
        <v>759360.76964520989</v>
      </c>
      <c r="R546">
        <v>0</v>
      </c>
      <c r="S546">
        <v>7.7454538270123328</v>
      </c>
      <c r="T546">
        <v>0.13012964857483225</v>
      </c>
      <c r="U546">
        <v>7.6153241784375005</v>
      </c>
      <c r="V546">
        <v>0</v>
      </c>
      <c r="W546">
        <v>645456.65419842838</v>
      </c>
      <c r="X546">
        <v>19184.707987214973</v>
      </c>
      <c r="Y546">
        <v>626271.94621121336</v>
      </c>
      <c r="Z546">
        <v>0</v>
      </c>
    </row>
    <row r="547" spans="1:26" x14ac:dyDescent="0.25">
      <c r="A547" t="s">
        <v>129</v>
      </c>
      <c r="B547" t="s">
        <v>56</v>
      </c>
      <c r="C547" t="s">
        <v>73</v>
      </c>
      <c r="D547">
        <v>1</v>
      </c>
      <c r="E547">
        <v>2050</v>
      </c>
      <c r="F547" t="s">
        <v>43</v>
      </c>
      <c r="G547">
        <v>457927.02496060182</v>
      </c>
      <c r="H547">
        <v>0</v>
      </c>
      <c r="I547">
        <v>0</v>
      </c>
      <c r="J547">
        <v>0</v>
      </c>
      <c r="K547">
        <v>36.343081867307831</v>
      </c>
      <c r="L547">
        <v>0</v>
      </c>
      <c r="M547">
        <v>457890.6818787345</v>
      </c>
      <c r="N547">
        <v>0</v>
      </c>
      <c r="O547">
        <v>0</v>
      </c>
      <c r="P547">
        <v>0</v>
      </c>
      <c r="Q547">
        <v>457927.02496060182</v>
      </c>
      <c r="R547">
        <v>0</v>
      </c>
      <c r="S547">
        <v>8.1744271403578974</v>
      </c>
      <c r="T547">
        <v>6.1713097026419407E-5</v>
      </c>
      <c r="U547">
        <v>8.1743654272608701</v>
      </c>
      <c r="V547">
        <v>0</v>
      </c>
      <c r="W547">
        <v>137378.10748818054</v>
      </c>
      <c r="X547">
        <v>10.902924560192348</v>
      </c>
      <c r="Y547">
        <v>137367.20456362035</v>
      </c>
      <c r="Z547">
        <v>0</v>
      </c>
    </row>
    <row r="548" spans="1:26" x14ac:dyDescent="0.25">
      <c r="A548" t="s">
        <v>129</v>
      </c>
      <c r="B548" t="s">
        <v>63</v>
      </c>
      <c r="C548" t="s">
        <v>86</v>
      </c>
      <c r="D548">
        <v>0</v>
      </c>
      <c r="E548">
        <v>2050</v>
      </c>
      <c r="F548" t="s">
        <v>43</v>
      </c>
      <c r="G548">
        <v>0</v>
      </c>
      <c r="H548">
        <v>474117.381140657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-474117.381140657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1</v>
      </c>
    </row>
    <row r="549" spans="1:26" x14ac:dyDescent="0.25">
      <c r="A549" t="s">
        <v>129</v>
      </c>
      <c r="B549" t="s">
        <v>49</v>
      </c>
      <c r="C549" t="s">
        <v>73</v>
      </c>
      <c r="D549">
        <v>1</v>
      </c>
      <c r="E549">
        <v>2050</v>
      </c>
      <c r="F549" t="s">
        <v>43</v>
      </c>
      <c r="G549">
        <v>195751.05229011617</v>
      </c>
      <c r="H549">
        <v>0</v>
      </c>
      <c r="I549">
        <v>0</v>
      </c>
      <c r="J549">
        <v>0</v>
      </c>
      <c r="K549">
        <v>217936.45077407858</v>
      </c>
      <c r="L549">
        <v>0</v>
      </c>
      <c r="M549">
        <v>0</v>
      </c>
      <c r="N549">
        <v>0</v>
      </c>
      <c r="O549">
        <v>-22185.398483962403</v>
      </c>
      <c r="P549">
        <v>0</v>
      </c>
      <c r="Q549">
        <v>217936.45077407858</v>
      </c>
      <c r="R549">
        <v>0</v>
      </c>
      <c r="S549">
        <v>0.80269492700128076</v>
      </c>
      <c r="T549">
        <v>0.80269492700128076</v>
      </c>
      <c r="U549">
        <v>0</v>
      </c>
      <c r="V549">
        <v>0</v>
      </c>
      <c r="W549">
        <v>91533.309325113005</v>
      </c>
      <c r="X549">
        <v>91533.309325113005</v>
      </c>
      <c r="Y549">
        <v>0</v>
      </c>
      <c r="Z549">
        <v>1</v>
      </c>
    </row>
    <row r="550" spans="1:26" x14ac:dyDescent="0.25">
      <c r="A550" t="s">
        <v>129</v>
      </c>
      <c r="B550" t="s">
        <v>78</v>
      </c>
      <c r="C550" t="s">
        <v>86</v>
      </c>
      <c r="D550">
        <v>0</v>
      </c>
      <c r="E550">
        <v>2050</v>
      </c>
      <c r="F550" t="s">
        <v>43</v>
      </c>
      <c r="G550">
        <v>150184.32869116802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150184.32869116802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</row>
    <row r="551" spans="1:26" x14ac:dyDescent="0.25">
      <c r="A551" t="s">
        <v>129</v>
      </c>
      <c r="B551" t="s">
        <v>31</v>
      </c>
      <c r="C551" t="s">
        <v>86</v>
      </c>
      <c r="D551">
        <v>0</v>
      </c>
      <c r="E551">
        <v>2050</v>
      </c>
      <c r="F551" t="s">
        <v>43</v>
      </c>
      <c r="G551">
        <v>119824.59197839584</v>
      </c>
      <c r="H551">
        <v>0</v>
      </c>
      <c r="I551">
        <v>0</v>
      </c>
      <c r="J551">
        <v>111975.50765955324</v>
      </c>
      <c r="K551">
        <v>0</v>
      </c>
      <c r="L551">
        <v>0</v>
      </c>
      <c r="M551">
        <v>0</v>
      </c>
      <c r="N551">
        <v>0</v>
      </c>
      <c r="O551">
        <v>7849.0843188425933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</row>
    <row r="552" spans="1:26" x14ac:dyDescent="0.25">
      <c r="A552" t="s">
        <v>129</v>
      </c>
      <c r="B552" t="s">
        <v>29</v>
      </c>
      <c r="C552" t="s">
        <v>77</v>
      </c>
      <c r="D552">
        <v>1</v>
      </c>
      <c r="E552">
        <v>2050</v>
      </c>
      <c r="F552" t="s">
        <v>43</v>
      </c>
      <c r="G552">
        <v>2360239.3885877775</v>
      </c>
      <c r="H552">
        <v>577297.28616440273</v>
      </c>
      <c r="I552">
        <v>0</v>
      </c>
      <c r="J552">
        <v>268249.01834925939</v>
      </c>
      <c r="K552">
        <v>960.24397829585632</v>
      </c>
      <c r="L552">
        <v>0</v>
      </c>
      <c r="M552">
        <v>0</v>
      </c>
      <c r="N552">
        <v>0</v>
      </c>
      <c r="O552">
        <v>1513732.8400958194</v>
      </c>
      <c r="P552">
        <v>1513732.8400958194</v>
      </c>
      <c r="Q552">
        <v>960.24397829585632</v>
      </c>
      <c r="R552">
        <v>5.1843230547305694</v>
      </c>
      <c r="S552">
        <v>5.1876117559220756</v>
      </c>
      <c r="T552">
        <v>3.288701191506347E-3</v>
      </c>
      <c r="U552">
        <v>5.1843230547305694</v>
      </c>
      <c r="V552">
        <v>469257.18042970402</v>
      </c>
      <c r="W552">
        <v>469554.85606297577</v>
      </c>
      <c r="X552">
        <v>297.67563327171547</v>
      </c>
      <c r="Y552">
        <v>469257.18042970408</v>
      </c>
      <c r="Z552">
        <v>0</v>
      </c>
    </row>
    <row r="553" spans="1:26" x14ac:dyDescent="0.25">
      <c r="A553" t="s">
        <v>129</v>
      </c>
      <c r="B553" t="s">
        <v>69</v>
      </c>
      <c r="C553" t="s">
        <v>86</v>
      </c>
      <c r="D553">
        <v>0</v>
      </c>
      <c r="E553">
        <v>2050</v>
      </c>
      <c r="F553" t="s">
        <v>43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388599.4488834205</v>
      </c>
      <c r="M553">
        <v>0</v>
      </c>
      <c r="N553">
        <v>0</v>
      </c>
      <c r="O553">
        <v>-388599.4488834205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1</v>
      </c>
    </row>
    <row r="554" spans="1:26" x14ac:dyDescent="0.25">
      <c r="A554" t="s">
        <v>129</v>
      </c>
      <c r="B554" t="s">
        <v>45</v>
      </c>
      <c r="C554" t="s">
        <v>74</v>
      </c>
      <c r="D554">
        <v>1</v>
      </c>
      <c r="E554">
        <v>2050</v>
      </c>
      <c r="F554" t="s">
        <v>43</v>
      </c>
      <c r="G554">
        <v>724125.12538599269</v>
      </c>
      <c r="H554">
        <v>0</v>
      </c>
      <c r="I554">
        <v>0</v>
      </c>
      <c r="J554">
        <v>0</v>
      </c>
      <c r="K554">
        <v>550335.09529335448</v>
      </c>
      <c r="L554">
        <v>115135.89493637283</v>
      </c>
      <c r="M554">
        <v>0</v>
      </c>
      <c r="N554">
        <v>0</v>
      </c>
      <c r="O554">
        <v>58654.135156265344</v>
      </c>
      <c r="P554">
        <v>58654.135156265344</v>
      </c>
      <c r="Q554">
        <v>550335.09529335448</v>
      </c>
      <c r="R554">
        <v>2.9690136674749956E-2</v>
      </c>
      <c r="S554">
        <v>0.30826425856129308</v>
      </c>
      <c r="T554">
        <v>0.27857412188654312</v>
      </c>
      <c r="U554">
        <v>2.9690136674749956E-2</v>
      </c>
      <c r="V554">
        <v>4457.7142718761661</v>
      </c>
      <c r="W554">
        <v>46283.181514171105</v>
      </c>
      <c r="X554">
        <v>41825.467242294937</v>
      </c>
      <c r="Y554">
        <v>4457.7142718761679</v>
      </c>
      <c r="Z554">
        <v>0</v>
      </c>
    </row>
    <row r="555" spans="1:26" x14ac:dyDescent="0.25">
      <c r="A555" t="s">
        <v>129</v>
      </c>
      <c r="B555" t="s">
        <v>59</v>
      </c>
      <c r="C555" t="s">
        <v>86</v>
      </c>
      <c r="D555">
        <v>0</v>
      </c>
      <c r="E555">
        <v>2050</v>
      </c>
      <c r="F555" t="s">
        <v>43</v>
      </c>
      <c r="G555">
        <v>90456.37389070644</v>
      </c>
      <c r="H555">
        <v>148832.39497031382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-58376.021079607381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</row>
    <row r="556" spans="1:26" x14ac:dyDescent="0.25">
      <c r="A556" t="s">
        <v>129</v>
      </c>
      <c r="B556" t="s">
        <v>54</v>
      </c>
      <c r="C556" t="s">
        <v>76</v>
      </c>
      <c r="D556">
        <v>1</v>
      </c>
      <c r="E556">
        <v>2050</v>
      </c>
      <c r="F556" t="s">
        <v>43</v>
      </c>
      <c r="G556">
        <v>383747.87380717852</v>
      </c>
      <c r="H556">
        <v>555482.60888743005</v>
      </c>
      <c r="I556">
        <v>0</v>
      </c>
      <c r="J556">
        <v>0</v>
      </c>
      <c r="K556">
        <v>15500.875420530891</v>
      </c>
      <c r="L556">
        <v>0</v>
      </c>
      <c r="M556">
        <v>0</v>
      </c>
      <c r="N556">
        <v>0</v>
      </c>
      <c r="O556">
        <v>-187235.61050078244</v>
      </c>
      <c r="P556">
        <v>0</v>
      </c>
      <c r="Q556">
        <v>15500.875420530891</v>
      </c>
      <c r="R556">
        <v>0</v>
      </c>
      <c r="S556">
        <v>5.56481427597059E-2</v>
      </c>
      <c r="T556">
        <v>5.56481427597059E-2</v>
      </c>
      <c r="U556">
        <v>0</v>
      </c>
      <c r="V556">
        <v>0</v>
      </c>
      <c r="W556">
        <v>4650.2626261592668</v>
      </c>
      <c r="X556">
        <v>4650.2626261592668</v>
      </c>
      <c r="Y556">
        <v>0</v>
      </c>
      <c r="Z556">
        <v>0</v>
      </c>
    </row>
    <row r="557" spans="1:26" x14ac:dyDescent="0.25">
      <c r="A557" t="s">
        <v>129</v>
      </c>
      <c r="B557" t="s">
        <v>38</v>
      </c>
      <c r="C557" t="s">
        <v>86</v>
      </c>
      <c r="D557">
        <v>0</v>
      </c>
      <c r="E557">
        <v>2050</v>
      </c>
      <c r="F557" t="s">
        <v>43</v>
      </c>
      <c r="G557">
        <v>174533.85571503793</v>
      </c>
      <c r="H557">
        <v>0</v>
      </c>
      <c r="I557">
        <v>0</v>
      </c>
      <c r="J557">
        <v>428214.02929147833</v>
      </c>
      <c r="K557">
        <v>0</v>
      </c>
      <c r="L557">
        <v>0</v>
      </c>
      <c r="M557">
        <v>0</v>
      </c>
      <c r="N557">
        <v>0</v>
      </c>
      <c r="O557">
        <v>-253680.1735764404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</row>
    <row r="558" spans="1:26" x14ac:dyDescent="0.25">
      <c r="A558" t="s">
        <v>129</v>
      </c>
      <c r="B558" t="s">
        <v>35</v>
      </c>
      <c r="C558" t="s">
        <v>79</v>
      </c>
      <c r="D558">
        <v>1</v>
      </c>
      <c r="E558">
        <v>2050</v>
      </c>
      <c r="F558" t="s">
        <v>43</v>
      </c>
      <c r="G558">
        <v>48650.027670673619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48650.027670673619</v>
      </c>
      <c r="P558">
        <v>48650.027670673619</v>
      </c>
      <c r="Q558">
        <v>0</v>
      </c>
      <c r="R558">
        <v>4.366339983442958E-2</v>
      </c>
      <c r="S558">
        <v>4.366339983442958E-2</v>
      </c>
      <c r="T558">
        <v>0</v>
      </c>
      <c r="U558">
        <v>4.366339983442958E-2</v>
      </c>
      <c r="V558">
        <v>7297.504150601043</v>
      </c>
      <c r="W558">
        <v>7297.504150601043</v>
      </c>
      <c r="X558">
        <v>0</v>
      </c>
      <c r="Y558">
        <v>7297.504150601043</v>
      </c>
      <c r="Z558">
        <v>0</v>
      </c>
    </row>
    <row r="559" spans="1:26" x14ac:dyDescent="0.25">
      <c r="A559" t="s">
        <v>129</v>
      </c>
      <c r="B559" t="s">
        <v>33</v>
      </c>
      <c r="C559" t="s">
        <v>86</v>
      </c>
      <c r="D559">
        <v>0</v>
      </c>
      <c r="E559">
        <v>2050</v>
      </c>
      <c r="F559" t="s">
        <v>43</v>
      </c>
      <c r="G559">
        <v>5844.4508372651044</v>
      </c>
      <c r="H559">
        <v>0</v>
      </c>
      <c r="I559">
        <v>0</v>
      </c>
      <c r="J559">
        <v>54412.71372203785</v>
      </c>
      <c r="K559">
        <v>0</v>
      </c>
      <c r="L559">
        <v>0</v>
      </c>
      <c r="M559">
        <v>0</v>
      </c>
      <c r="N559">
        <v>0</v>
      </c>
      <c r="O559">
        <v>-48568.262884772746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1</v>
      </c>
    </row>
    <row r="560" spans="1:26" x14ac:dyDescent="0.25">
      <c r="A560" t="s">
        <v>129</v>
      </c>
      <c r="B560" t="s">
        <v>80</v>
      </c>
      <c r="C560" t="s">
        <v>86</v>
      </c>
      <c r="D560">
        <v>0</v>
      </c>
      <c r="E560">
        <v>2050</v>
      </c>
      <c r="F560" t="s">
        <v>43</v>
      </c>
      <c r="G560">
        <v>407823.31273083866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407823.31273083866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</row>
    <row r="561" spans="1:26" x14ac:dyDescent="0.25">
      <c r="A561" t="s">
        <v>129</v>
      </c>
      <c r="B561" t="s">
        <v>65</v>
      </c>
      <c r="C561" t="s">
        <v>81</v>
      </c>
      <c r="D561">
        <v>1</v>
      </c>
      <c r="E561">
        <v>2050</v>
      </c>
      <c r="F561" t="s">
        <v>43</v>
      </c>
      <c r="G561">
        <v>38470.033999756291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38470.033999756291</v>
      </c>
      <c r="N561">
        <v>0</v>
      </c>
      <c r="O561">
        <v>0</v>
      </c>
      <c r="P561">
        <v>0</v>
      </c>
      <c r="Q561">
        <v>38470.033999756291</v>
      </c>
      <c r="R561">
        <v>0</v>
      </c>
      <c r="S561">
        <v>0.70784862559551565</v>
      </c>
      <c r="T561">
        <v>0</v>
      </c>
      <c r="U561">
        <v>0.70784862559551565</v>
      </c>
      <c r="V561">
        <v>0</v>
      </c>
      <c r="W561">
        <v>15965.064109898862</v>
      </c>
      <c r="X561">
        <v>0</v>
      </c>
      <c r="Y561">
        <v>15965.064109898862</v>
      </c>
      <c r="Z561">
        <v>0</v>
      </c>
    </row>
    <row r="562" spans="1:26" x14ac:dyDescent="0.25">
      <c r="A562" t="s">
        <v>129</v>
      </c>
      <c r="B562" t="s">
        <v>140</v>
      </c>
      <c r="C562" t="s">
        <v>142</v>
      </c>
      <c r="D562">
        <v>1</v>
      </c>
      <c r="E562">
        <v>2050</v>
      </c>
      <c r="F562" t="s">
        <v>43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</row>
    <row r="563" spans="1:26" x14ac:dyDescent="0.25">
      <c r="A563" t="s">
        <v>129</v>
      </c>
      <c r="B563" t="s">
        <v>141</v>
      </c>
      <c r="C563" t="s">
        <v>142</v>
      </c>
      <c r="D563">
        <v>1</v>
      </c>
      <c r="E563">
        <v>2050</v>
      </c>
      <c r="F563" t="s">
        <v>43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</row>
    <row r="564" spans="1:26" x14ac:dyDescent="0.25">
      <c r="A564" t="s">
        <v>129</v>
      </c>
      <c r="B564" t="s">
        <v>82</v>
      </c>
      <c r="C564" t="s">
        <v>86</v>
      </c>
      <c r="D564">
        <v>0</v>
      </c>
      <c r="E564">
        <v>2050</v>
      </c>
      <c r="F564" t="s">
        <v>43</v>
      </c>
      <c r="G564">
        <v>271784.85087768652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271784.85087768652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</row>
    <row r="565" spans="1:26" x14ac:dyDescent="0.25">
      <c r="A565" t="s">
        <v>129</v>
      </c>
      <c r="B565" t="s">
        <v>72</v>
      </c>
      <c r="C565" t="s">
        <v>86</v>
      </c>
      <c r="D565">
        <v>0</v>
      </c>
      <c r="E565">
        <v>2050</v>
      </c>
      <c r="F565" t="s">
        <v>43</v>
      </c>
      <c r="G565">
        <v>199163.17844104863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199163.17844104863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</row>
    <row r="566" spans="1:26" x14ac:dyDescent="0.25">
      <c r="A566" t="s">
        <v>129</v>
      </c>
      <c r="B566" t="s">
        <v>58</v>
      </c>
      <c r="C566" t="s">
        <v>86</v>
      </c>
      <c r="D566">
        <v>0</v>
      </c>
      <c r="E566">
        <v>2050</v>
      </c>
      <c r="F566" t="s">
        <v>43</v>
      </c>
      <c r="G566">
        <v>99581.589220524314</v>
      </c>
      <c r="H566">
        <v>21023.015601598701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78558.573618925613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</row>
    <row r="567" spans="1:26" x14ac:dyDescent="0.25">
      <c r="A567" t="s">
        <v>129</v>
      </c>
      <c r="B567" t="s">
        <v>64</v>
      </c>
      <c r="C567" t="s">
        <v>64</v>
      </c>
      <c r="D567">
        <v>1</v>
      </c>
      <c r="E567">
        <v>2050</v>
      </c>
      <c r="F567" t="s">
        <v>43</v>
      </c>
      <c r="G567">
        <v>63732.21710113556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63732.21710113556</v>
      </c>
      <c r="N567">
        <v>0</v>
      </c>
      <c r="O567">
        <v>0</v>
      </c>
      <c r="P567">
        <v>0</v>
      </c>
      <c r="Q567">
        <v>63732.21710113556</v>
      </c>
      <c r="R567">
        <v>0</v>
      </c>
      <c r="S567">
        <v>2.2306275985397446</v>
      </c>
      <c r="T567">
        <v>0</v>
      </c>
      <c r="U567">
        <v>2.2306275985397446</v>
      </c>
      <c r="V567">
        <v>0</v>
      </c>
      <c r="W567">
        <v>57996.317562033364</v>
      </c>
      <c r="X567">
        <v>0</v>
      </c>
      <c r="Y567">
        <v>57996.317562033364</v>
      </c>
      <c r="Z567">
        <v>0</v>
      </c>
    </row>
    <row r="568" spans="1:26" x14ac:dyDescent="0.25">
      <c r="A568" t="s">
        <v>129</v>
      </c>
      <c r="B568" t="s">
        <v>55</v>
      </c>
      <c r="C568" t="s">
        <v>76</v>
      </c>
      <c r="D568">
        <v>1</v>
      </c>
      <c r="E568">
        <v>2050</v>
      </c>
      <c r="F568" t="s">
        <v>43</v>
      </c>
      <c r="G568">
        <v>2322627.8500566902</v>
      </c>
      <c r="H568">
        <v>82596.70146402168</v>
      </c>
      <c r="I568">
        <v>0</v>
      </c>
      <c r="J568">
        <v>0</v>
      </c>
      <c r="K568">
        <v>24610.929224370728</v>
      </c>
      <c r="L568">
        <v>0</v>
      </c>
      <c r="M568">
        <v>0</v>
      </c>
      <c r="N568">
        <v>0</v>
      </c>
      <c r="O568">
        <v>2215420.2193682976</v>
      </c>
      <c r="P568">
        <v>1919162.7967223886</v>
      </c>
      <c r="Q568">
        <v>24610.929224370728</v>
      </c>
      <c r="R568">
        <v>5.2086845968164317</v>
      </c>
      <c r="S568">
        <v>5.2754796431685431</v>
      </c>
      <c r="T568">
        <v>6.6795046352111129E-2</v>
      </c>
      <c r="U568">
        <v>5.2086845968164317</v>
      </c>
      <c r="V568">
        <v>383832.55934447772</v>
      </c>
      <c r="W568">
        <v>388754.7451893519</v>
      </c>
      <c r="X568">
        <v>4922.1858448741459</v>
      </c>
      <c r="Y568">
        <v>383832.55934447778</v>
      </c>
      <c r="Z568">
        <v>0</v>
      </c>
    </row>
    <row r="569" spans="1:26" x14ac:dyDescent="0.25">
      <c r="A569" t="s">
        <v>129</v>
      </c>
      <c r="B569" t="s">
        <v>83</v>
      </c>
      <c r="C569" t="s">
        <v>86</v>
      </c>
      <c r="D569">
        <v>0</v>
      </c>
      <c r="E569">
        <v>2050</v>
      </c>
      <c r="F569" t="s">
        <v>43</v>
      </c>
      <c r="G569">
        <v>17515.983585710339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17515.983585710339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</row>
    <row r="570" spans="1:26" x14ac:dyDescent="0.25">
      <c r="A570" t="s">
        <v>129</v>
      </c>
      <c r="B570" t="s">
        <v>62</v>
      </c>
      <c r="C570" t="s">
        <v>86</v>
      </c>
      <c r="D570">
        <v>0</v>
      </c>
      <c r="E570">
        <v>2050</v>
      </c>
      <c r="F570" t="s">
        <v>43</v>
      </c>
      <c r="G570">
        <v>14228.619026408833</v>
      </c>
      <c r="H570">
        <v>3870.345968495159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10358.273057913673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</row>
    <row r="571" spans="1:26" x14ac:dyDescent="0.25">
      <c r="A571" t="s">
        <v>129</v>
      </c>
      <c r="B571" t="s">
        <v>47</v>
      </c>
      <c r="C571" t="s">
        <v>73</v>
      </c>
      <c r="D571">
        <v>1</v>
      </c>
      <c r="E571">
        <v>2050</v>
      </c>
      <c r="F571" t="s">
        <v>43</v>
      </c>
      <c r="G571">
        <v>3498582.8365199142</v>
      </c>
      <c r="H571">
        <v>0</v>
      </c>
      <c r="I571">
        <v>0</v>
      </c>
      <c r="J571">
        <v>0</v>
      </c>
      <c r="K571">
        <v>1326833.4967577588</v>
      </c>
      <c r="L571">
        <v>0</v>
      </c>
      <c r="M571">
        <v>0</v>
      </c>
      <c r="N571">
        <v>0</v>
      </c>
      <c r="O571">
        <v>2171749.3397621554</v>
      </c>
      <c r="P571">
        <v>2171749.3397621554</v>
      </c>
      <c r="Q571">
        <v>1326833.4967577588</v>
      </c>
      <c r="R571">
        <v>1.0837246380347134</v>
      </c>
      <c r="S571">
        <v>1.7458278212518028</v>
      </c>
      <c r="T571">
        <v>0.66210318321708928</v>
      </c>
      <c r="U571">
        <v>1.0837246380347136</v>
      </c>
      <c r="V571">
        <v>130304.96038572933</v>
      </c>
      <c r="W571">
        <v>209914.97019119485</v>
      </c>
      <c r="X571">
        <v>79610.009805465525</v>
      </c>
      <c r="Y571">
        <v>130304.96038572933</v>
      </c>
      <c r="Z571">
        <v>0</v>
      </c>
    </row>
    <row r="572" spans="1:26" x14ac:dyDescent="0.25">
      <c r="A572" t="s">
        <v>129</v>
      </c>
      <c r="B572" t="s">
        <v>44</v>
      </c>
      <c r="C572" t="s">
        <v>74</v>
      </c>
      <c r="D572">
        <v>1</v>
      </c>
      <c r="E572">
        <v>2050</v>
      </c>
      <c r="F572" t="s">
        <v>43</v>
      </c>
      <c r="G572">
        <v>1672957.9533098161</v>
      </c>
      <c r="H572">
        <v>0</v>
      </c>
      <c r="I572">
        <v>0</v>
      </c>
      <c r="J572">
        <v>0</v>
      </c>
      <c r="K572">
        <v>886667.7152542026</v>
      </c>
      <c r="L572">
        <v>786290.23805561347</v>
      </c>
      <c r="M572">
        <v>0</v>
      </c>
      <c r="N572">
        <v>0</v>
      </c>
      <c r="O572">
        <v>0</v>
      </c>
      <c r="P572">
        <v>0</v>
      </c>
      <c r="Q572">
        <v>886667.7152542026</v>
      </c>
      <c r="R572">
        <v>0</v>
      </c>
      <c r="S572">
        <v>0.38197645173151057</v>
      </c>
      <c r="T572">
        <v>0.38197645173151057</v>
      </c>
      <c r="U572">
        <v>0</v>
      </c>
      <c r="V572">
        <v>0</v>
      </c>
      <c r="W572">
        <v>44333.385762710132</v>
      </c>
      <c r="X572">
        <v>44333.385762710132</v>
      </c>
      <c r="Y572">
        <v>0</v>
      </c>
      <c r="Z572">
        <v>0</v>
      </c>
    </row>
    <row r="573" spans="1:26" x14ac:dyDescent="0.25">
      <c r="A573" t="s">
        <v>129</v>
      </c>
      <c r="B573" t="s">
        <v>32</v>
      </c>
      <c r="C573" t="s">
        <v>86</v>
      </c>
      <c r="D573">
        <v>0</v>
      </c>
      <c r="E573">
        <v>2050</v>
      </c>
      <c r="F573" t="s">
        <v>43</v>
      </c>
      <c r="G573">
        <v>155347.1964728414</v>
      </c>
      <c r="H573">
        <v>0</v>
      </c>
      <c r="I573">
        <v>0</v>
      </c>
      <c r="J573">
        <v>110474.29755686472</v>
      </c>
      <c r="K573">
        <v>0</v>
      </c>
      <c r="L573">
        <v>0</v>
      </c>
      <c r="M573">
        <v>0</v>
      </c>
      <c r="N573">
        <v>0</v>
      </c>
      <c r="O573">
        <v>44872.898915976679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</row>
    <row r="574" spans="1:26" x14ac:dyDescent="0.25">
      <c r="A574" t="s">
        <v>129</v>
      </c>
      <c r="B574" t="s">
        <v>36</v>
      </c>
      <c r="C574" t="s">
        <v>79</v>
      </c>
      <c r="D574">
        <v>1</v>
      </c>
      <c r="E574">
        <v>2050</v>
      </c>
      <c r="F574" t="s">
        <v>43</v>
      </c>
      <c r="G574">
        <v>4500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4500</v>
      </c>
      <c r="P574">
        <v>4500</v>
      </c>
      <c r="Q574">
        <v>0</v>
      </c>
      <c r="R574">
        <v>4.0387500000000007E-3</v>
      </c>
      <c r="S574">
        <v>4.0387500000000007E-3</v>
      </c>
      <c r="T574">
        <v>0</v>
      </c>
      <c r="U574">
        <v>4.0387500000000007E-3</v>
      </c>
      <c r="V574">
        <v>675</v>
      </c>
      <c r="W574">
        <v>675</v>
      </c>
      <c r="X574">
        <v>0</v>
      </c>
      <c r="Y574">
        <v>675</v>
      </c>
      <c r="Z574">
        <v>0</v>
      </c>
    </row>
    <row r="575" spans="1:26" x14ac:dyDescent="0.25">
      <c r="A575" t="s">
        <v>129</v>
      </c>
      <c r="B575" t="s">
        <v>84</v>
      </c>
      <c r="C575" t="s">
        <v>86</v>
      </c>
      <c r="D575">
        <v>1</v>
      </c>
      <c r="E575">
        <v>2050</v>
      </c>
      <c r="F575" t="s">
        <v>43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</row>
    <row r="576" spans="1:26" x14ac:dyDescent="0.25">
      <c r="A576" t="s">
        <v>129</v>
      </c>
      <c r="B576" t="s">
        <v>66</v>
      </c>
      <c r="C576" t="s">
        <v>81</v>
      </c>
      <c r="D576">
        <v>1</v>
      </c>
      <c r="E576">
        <v>2050</v>
      </c>
      <c r="F576" t="s">
        <v>43</v>
      </c>
      <c r="G576">
        <v>585110.82295504375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585110.82295504375</v>
      </c>
      <c r="N576">
        <v>0</v>
      </c>
      <c r="O576">
        <v>0</v>
      </c>
      <c r="P576">
        <v>0</v>
      </c>
      <c r="Q576">
        <v>585110.82295504375</v>
      </c>
      <c r="R576">
        <v>0</v>
      </c>
      <c r="S576">
        <v>8.4803440270882753</v>
      </c>
      <c r="T576">
        <v>0</v>
      </c>
      <c r="U576">
        <v>8.4803440270882753</v>
      </c>
      <c r="V576">
        <v>0</v>
      </c>
      <c r="W576">
        <v>289386.06118651538</v>
      </c>
      <c r="X576">
        <v>0</v>
      </c>
      <c r="Y576">
        <v>289386.06118651538</v>
      </c>
      <c r="Z576">
        <v>0</v>
      </c>
    </row>
    <row r="577" spans="1:26" x14ac:dyDescent="0.25">
      <c r="A577" t="s">
        <v>129</v>
      </c>
      <c r="B577" t="s">
        <v>85</v>
      </c>
      <c r="C577" t="s">
        <v>86</v>
      </c>
      <c r="D577">
        <v>0</v>
      </c>
      <c r="E577">
        <v>2050</v>
      </c>
      <c r="F577" t="s">
        <v>43</v>
      </c>
      <c r="G577">
        <v>161179.02528703219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161179.02528703219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</row>
    <row r="578" spans="1:26" x14ac:dyDescent="0.25">
      <c r="A578" t="s">
        <v>130</v>
      </c>
      <c r="B578" t="s">
        <v>40</v>
      </c>
      <c r="D578">
        <v>0</v>
      </c>
      <c r="E578">
        <v>2019</v>
      </c>
      <c r="F578" t="s">
        <v>28</v>
      </c>
      <c r="G578">
        <v>216549.9929685164</v>
      </c>
      <c r="H578">
        <v>0</v>
      </c>
      <c r="I578">
        <v>0</v>
      </c>
      <c r="J578">
        <v>31522.55833067331</v>
      </c>
      <c r="K578">
        <v>0</v>
      </c>
      <c r="L578">
        <v>0</v>
      </c>
      <c r="M578">
        <v>0</v>
      </c>
      <c r="N578">
        <v>0</v>
      </c>
      <c r="O578">
        <v>185027.43463784308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</row>
    <row r="579" spans="1:26" x14ac:dyDescent="0.25">
      <c r="A579" t="s">
        <v>130</v>
      </c>
      <c r="B579" t="s">
        <v>34</v>
      </c>
      <c r="D579">
        <v>0</v>
      </c>
      <c r="E579">
        <v>2019</v>
      </c>
      <c r="F579" t="s">
        <v>28</v>
      </c>
      <c r="G579">
        <v>258086.32953598633</v>
      </c>
      <c r="H579">
        <v>64498.47547519199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193587.85406079434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</row>
    <row r="580" spans="1:26" x14ac:dyDescent="0.25">
      <c r="A580" t="s">
        <v>130</v>
      </c>
      <c r="B580" t="s">
        <v>48</v>
      </c>
      <c r="C580" t="s">
        <v>73</v>
      </c>
      <c r="D580">
        <v>1</v>
      </c>
      <c r="E580">
        <v>2019</v>
      </c>
      <c r="F580" t="s">
        <v>28</v>
      </c>
      <c r="G580">
        <v>193591.30306616417</v>
      </c>
      <c r="H580">
        <v>0</v>
      </c>
      <c r="I580">
        <v>0</v>
      </c>
      <c r="J580">
        <v>0</v>
      </c>
      <c r="K580">
        <v>393543.64426779439</v>
      </c>
      <c r="L580">
        <v>0</v>
      </c>
      <c r="M580">
        <v>0</v>
      </c>
      <c r="N580">
        <v>0</v>
      </c>
      <c r="O580">
        <v>-199952.34120163022</v>
      </c>
      <c r="P580">
        <v>0</v>
      </c>
      <c r="Q580">
        <v>393543.64426779439</v>
      </c>
      <c r="R580">
        <v>0</v>
      </c>
      <c r="S580">
        <v>1.3407677770923916</v>
      </c>
      <c r="T580">
        <v>1.3407677770923916</v>
      </c>
      <c r="U580">
        <v>0</v>
      </c>
      <c r="V580">
        <v>0</v>
      </c>
      <c r="W580">
        <v>110192.22039498243</v>
      </c>
      <c r="X580">
        <v>110192.22039498243</v>
      </c>
      <c r="Y580">
        <v>0</v>
      </c>
      <c r="Z580">
        <v>1</v>
      </c>
    </row>
    <row r="581" spans="1:26" x14ac:dyDescent="0.25">
      <c r="A581" t="s">
        <v>130</v>
      </c>
      <c r="B581" t="s">
        <v>11</v>
      </c>
      <c r="D581">
        <v>1</v>
      </c>
      <c r="E581">
        <v>2019</v>
      </c>
      <c r="F581" t="s">
        <v>28</v>
      </c>
      <c r="G581">
        <v>352020257.59705466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352020257.59705466</v>
      </c>
      <c r="N581">
        <v>0</v>
      </c>
      <c r="O581">
        <v>0</v>
      </c>
      <c r="P581">
        <v>0</v>
      </c>
      <c r="Q581">
        <v>352020257.59705466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</row>
    <row r="582" spans="1:26" x14ac:dyDescent="0.25">
      <c r="A582" t="s">
        <v>130</v>
      </c>
      <c r="B582" t="s">
        <v>68</v>
      </c>
      <c r="D582">
        <v>0</v>
      </c>
      <c r="E582">
        <v>2019</v>
      </c>
      <c r="F582" t="s">
        <v>28</v>
      </c>
      <c r="G582">
        <v>9571125.1585832145</v>
      </c>
      <c r="H582">
        <v>0</v>
      </c>
      <c r="I582">
        <v>0</v>
      </c>
      <c r="J582">
        <v>0</v>
      </c>
      <c r="K582">
        <v>0</v>
      </c>
      <c r="L582">
        <v>7001759.6428652545</v>
      </c>
      <c r="M582">
        <v>0</v>
      </c>
      <c r="N582">
        <v>0</v>
      </c>
      <c r="O582">
        <v>2569365.51571796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</row>
    <row r="583" spans="1:26" x14ac:dyDescent="0.25">
      <c r="A583" t="s">
        <v>130</v>
      </c>
      <c r="B583" t="s">
        <v>51</v>
      </c>
      <c r="C583" t="s">
        <v>73</v>
      </c>
      <c r="D583">
        <v>1</v>
      </c>
      <c r="E583">
        <v>2019</v>
      </c>
      <c r="F583" t="s">
        <v>28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</row>
    <row r="584" spans="1:26" x14ac:dyDescent="0.25">
      <c r="A584" t="s">
        <v>130</v>
      </c>
      <c r="B584" t="s">
        <v>50</v>
      </c>
      <c r="C584" t="s">
        <v>74</v>
      </c>
      <c r="D584">
        <v>1</v>
      </c>
      <c r="E584">
        <v>2019</v>
      </c>
      <c r="F584" t="s">
        <v>28</v>
      </c>
      <c r="G584">
        <v>2600310.0770241949</v>
      </c>
      <c r="H584">
        <v>0</v>
      </c>
      <c r="I584">
        <v>0</v>
      </c>
      <c r="J584">
        <v>0</v>
      </c>
      <c r="K584">
        <v>671194.67155029252</v>
      </c>
      <c r="L584">
        <v>730307.97492940596</v>
      </c>
      <c r="M584">
        <v>0</v>
      </c>
      <c r="N584">
        <v>0</v>
      </c>
      <c r="O584">
        <v>1198807.4305444965</v>
      </c>
      <c r="P584">
        <v>1198807.4305444965</v>
      </c>
      <c r="Q584">
        <v>671194.67155029252</v>
      </c>
      <c r="R584">
        <v>2.5822312053928456</v>
      </c>
      <c r="S584">
        <v>1.4457533225193302</v>
      </c>
      <c r="T584">
        <v>1.4457533225193302</v>
      </c>
      <c r="U584">
        <v>0</v>
      </c>
      <c r="V584">
        <v>359642.22916334897</v>
      </c>
      <c r="W584">
        <v>201358.40146508775</v>
      </c>
      <c r="X584">
        <v>201358.40146508775</v>
      </c>
      <c r="Y584">
        <v>0</v>
      </c>
      <c r="Z584">
        <v>0</v>
      </c>
    </row>
    <row r="585" spans="1:26" x14ac:dyDescent="0.25">
      <c r="A585" t="s">
        <v>130</v>
      </c>
      <c r="B585" t="s">
        <v>60</v>
      </c>
      <c r="D585">
        <v>0</v>
      </c>
      <c r="E585">
        <v>2019</v>
      </c>
      <c r="F585" t="s">
        <v>28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</row>
    <row r="586" spans="1:26" x14ac:dyDescent="0.25">
      <c r="A586" t="s">
        <v>130</v>
      </c>
      <c r="B586" t="s">
        <v>46</v>
      </c>
      <c r="C586" t="s">
        <v>74</v>
      </c>
      <c r="D586">
        <v>1</v>
      </c>
      <c r="E586">
        <v>2019</v>
      </c>
      <c r="F586" t="s">
        <v>28</v>
      </c>
      <c r="G586">
        <v>8207.6123560951182</v>
      </c>
      <c r="H586">
        <v>0</v>
      </c>
      <c r="I586">
        <v>0</v>
      </c>
      <c r="J586">
        <v>0</v>
      </c>
      <c r="K586">
        <v>4103.8061780475591</v>
      </c>
      <c r="L586">
        <v>3107.1675348074377</v>
      </c>
      <c r="M586">
        <v>0</v>
      </c>
      <c r="N586">
        <v>0</v>
      </c>
      <c r="O586">
        <v>996.63864324012138</v>
      </c>
      <c r="P586">
        <v>996.63864324012138</v>
      </c>
      <c r="Q586">
        <v>4103.8061780475591</v>
      </c>
      <c r="R586">
        <v>4.6870918752939668E-4</v>
      </c>
      <c r="S586">
        <v>1.9299790074739866E-3</v>
      </c>
      <c r="T586">
        <v>1.9299790074739866E-3</v>
      </c>
      <c r="U586">
        <v>0</v>
      </c>
      <c r="V586">
        <v>62.788234524127645</v>
      </c>
      <c r="W586">
        <v>258.53978921699621</v>
      </c>
      <c r="X586">
        <v>258.53978921699621</v>
      </c>
      <c r="Y586">
        <v>0</v>
      </c>
      <c r="Z586">
        <v>0</v>
      </c>
    </row>
    <row r="587" spans="1:26" x14ac:dyDescent="0.25">
      <c r="A587" t="s">
        <v>130</v>
      </c>
      <c r="B587" t="s">
        <v>39</v>
      </c>
      <c r="D587">
        <v>0</v>
      </c>
      <c r="E587">
        <v>2019</v>
      </c>
      <c r="F587" t="s">
        <v>28</v>
      </c>
      <c r="G587">
        <v>185576.29959415729</v>
      </c>
      <c r="H587">
        <v>0</v>
      </c>
      <c r="I587">
        <v>0</v>
      </c>
      <c r="J587">
        <v>34149.438191562753</v>
      </c>
      <c r="K587">
        <v>0</v>
      </c>
      <c r="L587">
        <v>0</v>
      </c>
      <c r="M587">
        <v>0</v>
      </c>
      <c r="N587">
        <v>0</v>
      </c>
      <c r="O587">
        <v>151426.86140259454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</row>
    <row r="588" spans="1:26" x14ac:dyDescent="0.25">
      <c r="A588" t="s">
        <v>130</v>
      </c>
      <c r="B588" t="s">
        <v>75</v>
      </c>
      <c r="D588">
        <v>0</v>
      </c>
      <c r="E588">
        <v>2019</v>
      </c>
      <c r="F588" t="s">
        <v>28</v>
      </c>
      <c r="G588">
        <v>890042.58416558511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890042.58416558511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</row>
    <row r="589" spans="1:26" x14ac:dyDescent="0.25">
      <c r="A589" t="s">
        <v>130</v>
      </c>
      <c r="B589" t="s">
        <v>41</v>
      </c>
      <c r="D589">
        <v>0</v>
      </c>
      <c r="E589">
        <v>2019</v>
      </c>
      <c r="F589" t="s">
        <v>28</v>
      </c>
      <c r="G589">
        <v>25923.363510878662</v>
      </c>
      <c r="H589">
        <v>0</v>
      </c>
      <c r="I589">
        <v>0</v>
      </c>
      <c r="J589">
        <v>249553.58678449702</v>
      </c>
      <c r="K589">
        <v>0</v>
      </c>
      <c r="L589">
        <v>0</v>
      </c>
      <c r="M589">
        <v>0</v>
      </c>
      <c r="N589">
        <v>0</v>
      </c>
      <c r="O589">
        <v>-223630.22327361835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1</v>
      </c>
    </row>
    <row r="590" spans="1:26" x14ac:dyDescent="0.25">
      <c r="A590" t="s">
        <v>130</v>
      </c>
      <c r="B590" t="s">
        <v>57</v>
      </c>
      <c r="C590" t="s">
        <v>57</v>
      </c>
      <c r="D590">
        <v>1</v>
      </c>
      <c r="E590">
        <v>2019</v>
      </c>
      <c r="F590" t="s">
        <v>28</v>
      </c>
      <c r="G590">
        <v>0</v>
      </c>
      <c r="H590">
        <v>0</v>
      </c>
      <c r="I590">
        <v>0</v>
      </c>
      <c r="J590">
        <v>0</v>
      </c>
      <c r="K590">
        <v>114193.60000000001</v>
      </c>
      <c r="L590">
        <v>0</v>
      </c>
      <c r="M590">
        <v>0</v>
      </c>
      <c r="N590">
        <v>0</v>
      </c>
      <c r="O590">
        <v>-114193.60000000001</v>
      </c>
      <c r="P590">
        <v>0</v>
      </c>
      <c r="Q590">
        <v>114193.60000000001</v>
      </c>
      <c r="R590">
        <v>0</v>
      </c>
      <c r="S590">
        <v>1.7355855896064003</v>
      </c>
      <c r="T590">
        <v>1.7355855896064003</v>
      </c>
      <c r="U590">
        <v>0</v>
      </c>
      <c r="V590">
        <v>0</v>
      </c>
      <c r="W590">
        <v>102774.24</v>
      </c>
      <c r="X590">
        <v>102774.24</v>
      </c>
      <c r="Y590">
        <v>0</v>
      </c>
      <c r="Z590">
        <v>1</v>
      </c>
    </row>
    <row r="591" spans="1:26" x14ac:dyDescent="0.25">
      <c r="A591" t="s">
        <v>130</v>
      </c>
      <c r="B591" t="s">
        <v>53</v>
      </c>
      <c r="C591" t="s">
        <v>76</v>
      </c>
      <c r="D591">
        <v>1</v>
      </c>
      <c r="E591">
        <v>2019</v>
      </c>
      <c r="F591" t="s">
        <v>28</v>
      </c>
      <c r="G591">
        <v>15863611.568544758</v>
      </c>
      <c r="H591">
        <v>12237689.9092583</v>
      </c>
      <c r="I591">
        <v>0</v>
      </c>
      <c r="J591">
        <v>0</v>
      </c>
      <c r="K591">
        <v>75746.163899662715</v>
      </c>
      <c r="L591">
        <v>0</v>
      </c>
      <c r="M591">
        <v>0</v>
      </c>
      <c r="N591">
        <v>0</v>
      </c>
      <c r="O591">
        <v>3550175.4953867961</v>
      </c>
      <c r="P591">
        <v>3550175.4953867961</v>
      </c>
      <c r="Q591">
        <v>75746.163899662715</v>
      </c>
      <c r="R591">
        <v>6.5318791395747819</v>
      </c>
      <c r="S591">
        <v>0.13936347330489193</v>
      </c>
      <c r="T591">
        <v>0.13936347330489193</v>
      </c>
      <c r="U591">
        <v>0</v>
      </c>
      <c r="V591">
        <v>994049.13870830298</v>
      </c>
      <c r="W591">
        <v>21208.925891905561</v>
      </c>
      <c r="X591">
        <v>21208.925891905561</v>
      </c>
      <c r="Y591">
        <v>0</v>
      </c>
      <c r="Z591">
        <v>0</v>
      </c>
    </row>
    <row r="592" spans="1:26" x14ac:dyDescent="0.25">
      <c r="A592" t="s">
        <v>130</v>
      </c>
      <c r="B592" t="s">
        <v>61</v>
      </c>
      <c r="D592">
        <v>0</v>
      </c>
      <c r="E592">
        <v>2019</v>
      </c>
      <c r="F592" t="s">
        <v>28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</row>
    <row r="593" spans="1:26" x14ac:dyDescent="0.25">
      <c r="A593" t="s">
        <v>130</v>
      </c>
      <c r="B593" t="s">
        <v>30</v>
      </c>
      <c r="D593">
        <v>0</v>
      </c>
      <c r="E593">
        <v>2019</v>
      </c>
      <c r="F593" t="s">
        <v>28</v>
      </c>
      <c r="G593">
        <v>184529.62070571107</v>
      </c>
      <c r="H593">
        <v>0</v>
      </c>
      <c r="I593">
        <v>0</v>
      </c>
      <c r="J593">
        <v>261374.54615849949</v>
      </c>
      <c r="K593">
        <v>0</v>
      </c>
      <c r="L593">
        <v>0</v>
      </c>
      <c r="M593">
        <v>0</v>
      </c>
      <c r="N593">
        <v>0</v>
      </c>
      <c r="O593">
        <v>-76844.925452788419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1</v>
      </c>
    </row>
    <row r="594" spans="1:26" x14ac:dyDescent="0.25">
      <c r="A594" t="s">
        <v>130</v>
      </c>
      <c r="B594" t="s">
        <v>52</v>
      </c>
      <c r="C594" t="s">
        <v>77</v>
      </c>
      <c r="D594">
        <v>1</v>
      </c>
      <c r="E594">
        <v>2019</v>
      </c>
      <c r="F594" t="s">
        <v>28</v>
      </c>
      <c r="G594">
        <v>2714031.9406148358</v>
      </c>
      <c r="H594">
        <v>773085.89354292618</v>
      </c>
      <c r="I594">
        <v>728216.84089200001</v>
      </c>
      <c r="J594">
        <v>0</v>
      </c>
      <c r="K594">
        <v>53138.892747161146</v>
      </c>
      <c r="L594">
        <v>0</v>
      </c>
      <c r="M594">
        <v>1159590.3134327475</v>
      </c>
      <c r="N594">
        <v>0</v>
      </c>
      <c r="O594">
        <v>0</v>
      </c>
      <c r="P594">
        <v>0</v>
      </c>
      <c r="Q594">
        <v>1212729.2061799087</v>
      </c>
      <c r="R594">
        <v>0</v>
      </c>
      <c r="S594">
        <v>12.291675324066466</v>
      </c>
      <c r="T594">
        <v>0.3063744116894675</v>
      </c>
      <c r="U594">
        <v>11.985300912376998</v>
      </c>
      <c r="V594">
        <v>0</v>
      </c>
      <c r="W594">
        <v>1030819.8252529224</v>
      </c>
      <c r="X594">
        <v>45168.058835086973</v>
      </c>
      <c r="Y594">
        <v>985651.76641783537</v>
      </c>
      <c r="Z594">
        <v>0</v>
      </c>
    </row>
    <row r="595" spans="1:26" x14ac:dyDescent="0.25">
      <c r="A595" t="s">
        <v>130</v>
      </c>
      <c r="B595" t="s">
        <v>56</v>
      </c>
      <c r="C595" t="s">
        <v>73</v>
      </c>
      <c r="D595">
        <v>1</v>
      </c>
      <c r="E595">
        <v>2019</v>
      </c>
      <c r="F595" t="s">
        <v>28</v>
      </c>
      <c r="G595">
        <v>530462.48766233202</v>
      </c>
      <c r="H595">
        <v>0</v>
      </c>
      <c r="I595">
        <v>0</v>
      </c>
      <c r="J595">
        <v>0</v>
      </c>
      <c r="K595">
        <v>42.099811904105366</v>
      </c>
      <c r="L595">
        <v>0</v>
      </c>
      <c r="M595">
        <v>530420.38785042788</v>
      </c>
      <c r="N595">
        <v>0</v>
      </c>
      <c r="O595">
        <v>0</v>
      </c>
      <c r="P595">
        <v>0</v>
      </c>
      <c r="Q595">
        <v>530462.48766233202</v>
      </c>
      <c r="R595">
        <v>0</v>
      </c>
      <c r="S595">
        <v>9.4692532209947728</v>
      </c>
      <c r="T595">
        <v>7.148842760000421E-5</v>
      </c>
      <c r="U595">
        <v>9.4691817325671721</v>
      </c>
      <c r="V595">
        <v>0</v>
      </c>
      <c r="W595">
        <v>159138.74629869961</v>
      </c>
      <c r="X595">
        <v>12.629943571231609</v>
      </c>
      <c r="Y595">
        <v>159126.11635512838</v>
      </c>
      <c r="Z595">
        <v>0</v>
      </c>
    </row>
    <row r="596" spans="1:26" x14ac:dyDescent="0.25">
      <c r="A596" t="s">
        <v>130</v>
      </c>
      <c r="B596" t="s">
        <v>63</v>
      </c>
      <c r="D596">
        <v>0</v>
      </c>
      <c r="E596">
        <v>2019</v>
      </c>
      <c r="F596" t="s">
        <v>28</v>
      </c>
      <c r="G596">
        <v>0</v>
      </c>
      <c r="H596">
        <v>4828427.5390456235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-4828427.5390456235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1</v>
      </c>
    </row>
    <row r="597" spans="1:26" x14ac:dyDescent="0.25">
      <c r="A597" t="s">
        <v>130</v>
      </c>
      <c r="B597" t="s">
        <v>49</v>
      </c>
      <c r="C597" t="s">
        <v>73</v>
      </c>
      <c r="D597">
        <v>1</v>
      </c>
      <c r="E597">
        <v>2019</v>
      </c>
      <c r="F597" t="s">
        <v>28</v>
      </c>
      <c r="G597">
        <v>513042.22037196398</v>
      </c>
      <c r="H597">
        <v>0</v>
      </c>
      <c r="I597">
        <v>0</v>
      </c>
      <c r="J597">
        <v>0</v>
      </c>
      <c r="K597">
        <v>716103.75203569303</v>
      </c>
      <c r="L597">
        <v>0</v>
      </c>
      <c r="M597">
        <v>0</v>
      </c>
      <c r="N597">
        <v>0</v>
      </c>
      <c r="O597">
        <v>-203061.53166372905</v>
      </c>
      <c r="P597">
        <v>0</v>
      </c>
      <c r="Q597">
        <v>716103.75203569303</v>
      </c>
      <c r="R597">
        <v>0</v>
      </c>
      <c r="S597">
        <v>2.637525053399659</v>
      </c>
      <c r="T597">
        <v>2.637525053399659</v>
      </c>
      <c r="U597">
        <v>0</v>
      </c>
      <c r="V597">
        <v>0</v>
      </c>
      <c r="W597">
        <v>300763.57585499104</v>
      </c>
      <c r="X597">
        <v>300763.57585499104</v>
      </c>
      <c r="Y597">
        <v>0</v>
      </c>
      <c r="Z597">
        <v>1</v>
      </c>
    </row>
    <row r="598" spans="1:26" x14ac:dyDescent="0.25">
      <c r="A598" t="s">
        <v>130</v>
      </c>
      <c r="B598" t="s">
        <v>78</v>
      </c>
      <c r="D598">
        <v>0</v>
      </c>
      <c r="E598">
        <v>2019</v>
      </c>
      <c r="F598" t="s">
        <v>28</v>
      </c>
      <c r="G598">
        <v>765723.03528474667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765723.03528474667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</row>
    <row r="599" spans="1:26" x14ac:dyDescent="0.25">
      <c r="A599" t="s">
        <v>130</v>
      </c>
      <c r="B599" t="s">
        <v>31</v>
      </c>
      <c r="D599">
        <v>0</v>
      </c>
      <c r="E599">
        <v>2019</v>
      </c>
      <c r="F599" t="s">
        <v>28</v>
      </c>
      <c r="G599">
        <v>2145904.0489790672</v>
      </c>
      <c r="H599">
        <v>0</v>
      </c>
      <c r="I599">
        <v>0</v>
      </c>
      <c r="J599">
        <v>119523.03367046962</v>
      </c>
      <c r="K599">
        <v>0</v>
      </c>
      <c r="L599">
        <v>0</v>
      </c>
      <c r="M599">
        <v>0</v>
      </c>
      <c r="N599">
        <v>0</v>
      </c>
      <c r="O599">
        <v>2026381.0153085976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</row>
    <row r="600" spans="1:26" x14ac:dyDescent="0.25">
      <c r="A600" t="s">
        <v>130</v>
      </c>
      <c r="B600" t="s">
        <v>29</v>
      </c>
      <c r="C600" t="s">
        <v>77</v>
      </c>
      <c r="D600">
        <v>1</v>
      </c>
      <c r="E600">
        <v>2019</v>
      </c>
      <c r="F600" t="s">
        <v>28</v>
      </c>
      <c r="G600">
        <v>6833990.0005322779</v>
      </c>
      <c r="H600">
        <v>5879215.2019956242</v>
      </c>
      <c r="I600">
        <v>0</v>
      </c>
      <c r="J600">
        <v>286329.90483694919</v>
      </c>
      <c r="K600">
        <v>2840.1853290986264</v>
      </c>
      <c r="L600">
        <v>0</v>
      </c>
      <c r="M600">
        <v>0</v>
      </c>
      <c r="N600">
        <v>0</v>
      </c>
      <c r="O600">
        <v>665604.70837060641</v>
      </c>
      <c r="P600">
        <v>665604.70837060641</v>
      </c>
      <c r="Q600">
        <v>2840.1853290986264</v>
      </c>
      <c r="R600">
        <v>2.2796029415101553</v>
      </c>
      <c r="S600">
        <v>9.7272371262167243E-3</v>
      </c>
      <c r="T600">
        <v>9.7272371262167243E-3</v>
      </c>
      <c r="U600">
        <v>0</v>
      </c>
      <c r="V600">
        <v>206337.459594888</v>
      </c>
      <c r="W600">
        <v>880.45745202057424</v>
      </c>
      <c r="X600">
        <v>880.45745202057424</v>
      </c>
      <c r="Y600">
        <v>0</v>
      </c>
      <c r="Z600">
        <v>0</v>
      </c>
    </row>
    <row r="601" spans="1:26" x14ac:dyDescent="0.25">
      <c r="A601" t="s">
        <v>130</v>
      </c>
      <c r="B601" t="s">
        <v>69</v>
      </c>
      <c r="D601">
        <v>0</v>
      </c>
      <c r="E601">
        <v>2019</v>
      </c>
      <c r="F601" t="s">
        <v>28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720643.40546424</v>
      </c>
      <c r="M601">
        <v>0</v>
      </c>
      <c r="N601">
        <v>0</v>
      </c>
      <c r="O601">
        <v>-720643.40546424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1</v>
      </c>
    </row>
    <row r="602" spans="1:26" x14ac:dyDescent="0.25">
      <c r="A602" t="s">
        <v>130</v>
      </c>
      <c r="B602" t="s">
        <v>45</v>
      </c>
      <c r="C602" t="s">
        <v>74</v>
      </c>
      <c r="D602">
        <v>1</v>
      </c>
      <c r="E602">
        <v>2019</v>
      </c>
      <c r="F602" t="s">
        <v>28</v>
      </c>
      <c r="G602">
        <v>13124915.780770566</v>
      </c>
      <c r="H602">
        <v>0</v>
      </c>
      <c r="I602">
        <v>0</v>
      </c>
      <c r="J602">
        <v>0</v>
      </c>
      <c r="K602">
        <v>4066864.6068164087</v>
      </c>
      <c r="L602">
        <v>6000958.9027446285</v>
      </c>
      <c r="M602">
        <v>0</v>
      </c>
      <c r="N602">
        <v>0</v>
      </c>
      <c r="O602">
        <v>3057092.2712095287</v>
      </c>
      <c r="P602">
        <v>3057092.2712095287</v>
      </c>
      <c r="Q602">
        <v>4066864.6068164087</v>
      </c>
      <c r="R602">
        <v>1.5474695367635516</v>
      </c>
      <c r="S602">
        <v>2.0586061953243981</v>
      </c>
      <c r="T602">
        <v>2.0586061953243981</v>
      </c>
      <c r="U602">
        <v>0</v>
      </c>
      <c r="V602">
        <v>232339.01261192418</v>
      </c>
      <c r="W602">
        <v>309081.71011804708</v>
      </c>
      <c r="X602">
        <v>309081.71011804708</v>
      </c>
      <c r="Y602">
        <v>0</v>
      </c>
      <c r="Z602">
        <v>0</v>
      </c>
    </row>
    <row r="603" spans="1:26" x14ac:dyDescent="0.25">
      <c r="A603" t="s">
        <v>130</v>
      </c>
      <c r="B603" t="s">
        <v>59</v>
      </c>
      <c r="D603">
        <v>0</v>
      </c>
      <c r="E603">
        <v>2019</v>
      </c>
      <c r="F603" t="s">
        <v>28</v>
      </c>
      <c r="G603">
        <v>1638157.7192038004</v>
      </c>
      <c r="H603">
        <v>1515714.1736670118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122443.54553678865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</row>
    <row r="604" spans="1:26" x14ac:dyDescent="0.25">
      <c r="A604" t="s">
        <v>130</v>
      </c>
      <c r="B604" t="s">
        <v>54</v>
      </c>
      <c r="C604" t="s">
        <v>76</v>
      </c>
      <c r="D604">
        <v>1</v>
      </c>
      <c r="E604">
        <v>2019</v>
      </c>
      <c r="F604" t="s">
        <v>28</v>
      </c>
      <c r="G604">
        <v>7581538.5357748987</v>
      </c>
      <c r="H604">
        <v>5657053.7864699634</v>
      </c>
      <c r="I604">
        <v>0</v>
      </c>
      <c r="J604">
        <v>0</v>
      </c>
      <c r="K604">
        <v>314821.43493156106</v>
      </c>
      <c r="L604">
        <v>0</v>
      </c>
      <c r="M604">
        <v>0</v>
      </c>
      <c r="N604">
        <v>0</v>
      </c>
      <c r="O604">
        <v>1609663.314373374</v>
      </c>
      <c r="P604">
        <v>1266262.2462674922</v>
      </c>
      <c r="Q604">
        <v>314821.43493156106</v>
      </c>
      <c r="R604">
        <v>4.5458814641002974</v>
      </c>
      <c r="S604">
        <v>1.1302089514043043</v>
      </c>
      <c r="T604">
        <v>1.1302089514043043</v>
      </c>
      <c r="U604">
        <v>0</v>
      </c>
      <c r="V604">
        <v>379878.67388024763</v>
      </c>
      <c r="W604">
        <v>94446.430479468312</v>
      </c>
      <c r="X604">
        <v>94446.430479468312</v>
      </c>
      <c r="Y604">
        <v>0</v>
      </c>
      <c r="Z604">
        <v>0</v>
      </c>
    </row>
    <row r="605" spans="1:26" x14ac:dyDescent="0.25">
      <c r="A605" t="s">
        <v>130</v>
      </c>
      <c r="B605" t="s">
        <v>38</v>
      </c>
      <c r="D605">
        <v>0</v>
      </c>
      <c r="E605">
        <v>2019</v>
      </c>
      <c r="F605" t="s">
        <v>28</v>
      </c>
      <c r="G605">
        <v>3160794.2116654618</v>
      </c>
      <c r="H605">
        <v>0</v>
      </c>
      <c r="I605">
        <v>0</v>
      </c>
      <c r="J605">
        <v>457077.09579476295</v>
      </c>
      <c r="K605">
        <v>0</v>
      </c>
      <c r="L605">
        <v>0</v>
      </c>
      <c r="M605">
        <v>0</v>
      </c>
      <c r="N605">
        <v>0</v>
      </c>
      <c r="O605">
        <v>2703717.1158706988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</row>
    <row r="606" spans="1:26" x14ac:dyDescent="0.25">
      <c r="A606" t="s">
        <v>130</v>
      </c>
      <c r="B606" t="s">
        <v>35</v>
      </c>
      <c r="C606" t="s">
        <v>79</v>
      </c>
      <c r="D606">
        <v>1</v>
      </c>
      <c r="E606">
        <v>2019</v>
      </c>
      <c r="F606" t="s">
        <v>28</v>
      </c>
      <c r="G606">
        <v>878.90231344976178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878.90231344976178</v>
      </c>
      <c r="P606">
        <v>878.90231344976178</v>
      </c>
      <c r="Q606">
        <v>0</v>
      </c>
      <c r="R606">
        <v>7.8881482632116122E-4</v>
      </c>
      <c r="S606">
        <v>0</v>
      </c>
      <c r="T606">
        <v>0</v>
      </c>
      <c r="U606">
        <v>0</v>
      </c>
      <c r="V606">
        <v>131.83534701746427</v>
      </c>
      <c r="W606">
        <v>0</v>
      </c>
      <c r="X606">
        <v>0</v>
      </c>
      <c r="Y606">
        <v>0</v>
      </c>
      <c r="Z606">
        <v>0</v>
      </c>
    </row>
    <row r="607" spans="1:26" x14ac:dyDescent="0.25">
      <c r="A607" t="s">
        <v>130</v>
      </c>
      <c r="B607" t="s">
        <v>33</v>
      </c>
      <c r="D607">
        <v>0</v>
      </c>
      <c r="E607">
        <v>2019</v>
      </c>
      <c r="F607" t="s">
        <v>28</v>
      </c>
      <c r="G607">
        <v>108094.85577035608</v>
      </c>
      <c r="H607">
        <v>0</v>
      </c>
      <c r="I607">
        <v>0</v>
      </c>
      <c r="J607">
        <v>58080.313724265572</v>
      </c>
      <c r="K607">
        <v>0</v>
      </c>
      <c r="L607">
        <v>0</v>
      </c>
      <c r="M607">
        <v>0</v>
      </c>
      <c r="N607">
        <v>0</v>
      </c>
      <c r="O607">
        <v>50014.542046090508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</row>
    <row r="608" spans="1:26" x14ac:dyDescent="0.25">
      <c r="A608" t="s">
        <v>130</v>
      </c>
      <c r="B608" t="s">
        <v>80</v>
      </c>
      <c r="D608">
        <v>0</v>
      </c>
      <c r="E608">
        <v>2019</v>
      </c>
      <c r="F608" t="s">
        <v>28</v>
      </c>
      <c r="G608">
        <v>1609044.2994914718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1609044.2994914718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</row>
    <row r="609" spans="1:26" x14ac:dyDescent="0.25">
      <c r="A609" t="s">
        <v>130</v>
      </c>
      <c r="B609" t="s">
        <v>65</v>
      </c>
      <c r="C609" t="s">
        <v>81</v>
      </c>
      <c r="D609">
        <v>1</v>
      </c>
      <c r="E609">
        <v>2019</v>
      </c>
      <c r="F609" t="s">
        <v>28</v>
      </c>
      <c r="G609">
        <v>172205.06744997756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172205.06744997756</v>
      </c>
      <c r="N609">
        <v>0</v>
      </c>
      <c r="O609">
        <v>0</v>
      </c>
      <c r="P609">
        <v>0</v>
      </c>
      <c r="Q609">
        <v>172205.06744997756</v>
      </c>
      <c r="R609">
        <v>0</v>
      </c>
      <c r="S609">
        <v>3.1685732410795864</v>
      </c>
      <c r="T609">
        <v>0</v>
      </c>
      <c r="U609">
        <v>3.1685732410795864</v>
      </c>
      <c r="V609">
        <v>0</v>
      </c>
      <c r="W609">
        <v>71465.1029917407</v>
      </c>
      <c r="X609">
        <v>0</v>
      </c>
      <c r="Y609">
        <v>71465.1029917407</v>
      </c>
      <c r="Z609">
        <v>0</v>
      </c>
    </row>
    <row r="610" spans="1:26" x14ac:dyDescent="0.25">
      <c r="A610" t="s">
        <v>130</v>
      </c>
      <c r="B610" t="s">
        <v>140</v>
      </c>
      <c r="C610" t="s">
        <v>142</v>
      </c>
      <c r="D610">
        <v>1</v>
      </c>
      <c r="E610">
        <v>2019</v>
      </c>
      <c r="F610" t="s">
        <v>28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</row>
    <row r="611" spans="1:26" x14ac:dyDescent="0.25">
      <c r="A611" t="s">
        <v>130</v>
      </c>
      <c r="B611" t="s">
        <v>141</v>
      </c>
      <c r="C611" t="s">
        <v>142</v>
      </c>
      <c r="D611">
        <v>1</v>
      </c>
      <c r="E611">
        <v>2019</v>
      </c>
      <c r="F611" t="s">
        <v>28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</row>
    <row r="612" spans="1:26" x14ac:dyDescent="0.25">
      <c r="A612" t="s">
        <v>130</v>
      </c>
      <c r="B612" t="s">
        <v>82</v>
      </c>
      <c r="D612">
        <v>0</v>
      </c>
      <c r="E612">
        <v>2019</v>
      </c>
      <c r="F612" t="s">
        <v>28</v>
      </c>
      <c r="G612">
        <v>4922001.9803787302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4922001.9803787302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</row>
    <row r="613" spans="1:26" x14ac:dyDescent="0.25">
      <c r="A613" t="s">
        <v>130</v>
      </c>
      <c r="B613" t="s">
        <v>72</v>
      </c>
      <c r="D613">
        <v>0</v>
      </c>
      <c r="E613">
        <v>2019</v>
      </c>
      <c r="F613" t="s">
        <v>28</v>
      </c>
      <c r="G613">
        <v>484833.6848947219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484833.6848947219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</row>
    <row r="614" spans="1:26" x14ac:dyDescent="0.25">
      <c r="A614" t="s">
        <v>130</v>
      </c>
      <c r="B614" t="s">
        <v>58</v>
      </c>
      <c r="D614">
        <v>0</v>
      </c>
      <c r="E614">
        <v>2019</v>
      </c>
      <c r="F614" t="s">
        <v>28</v>
      </c>
      <c r="G614">
        <v>242416.84244736095</v>
      </c>
      <c r="H614">
        <v>214099.10609126228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28317.736356098671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</row>
    <row r="615" spans="1:26" x14ac:dyDescent="0.25">
      <c r="A615" t="s">
        <v>130</v>
      </c>
      <c r="B615" t="s">
        <v>64</v>
      </c>
      <c r="C615" t="s">
        <v>64</v>
      </c>
      <c r="D615">
        <v>1</v>
      </c>
      <c r="E615">
        <v>2019</v>
      </c>
      <c r="F615" t="s">
        <v>28</v>
      </c>
      <c r="G615">
        <v>155146.779166311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3102.9355833262225</v>
      </c>
      <c r="N615">
        <v>152043.84358298479</v>
      </c>
      <c r="O615">
        <v>0</v>
      </c>
      <c r="P615">
        <v>0</v>
      </c>
      <c r="Q615">
        <v>3102.9355833262225</v>
      </c>
      <c r="R615">
        <v>0</v>
      </c>
      <c r="S615">
        <v>0.10860274541641778</v>
      </c>
      <c r="T615">
        <v>0</v>
      </c>
      <c r="U615">
        <v>0.10860274541641778</v>
      </c>
      <c r="V615">
        <v>0</v>
      </c>
      <c r="W615">
        <v>2823.6713808268628</v>
      </c>
      <c r="X615">
        <v>0</v>
      </c>
      <c r="Y615">
        <v>2823.6713808268628</v>
      </c>
      <c r="Z615">
        <v>0</v>
      </c>
    </row>
    <row r="616" spans="1:26" x14ac:dyDescent="0.25">
      <c r="A616" t="s">
        <v>130</v>
      </c>
      <c r="B616" t="s">
        <v>55</v>
      </c>
      <c r="C616" t="s">
        <v>76</v>
      </c>
      <c r="D616">
        <v>1</v>
      </c>
      <c r="E616">
        <v>2019</v>
      </c>
      <c r="F616" t="s">
        <v>28</v>
      </c>
      <c r="G616">
        <v>376449.39511597221</v>
      </c>
      <c r="H616">
        <v>841167.61765562883</v>
      </c>
      <c r="I616">
        <v>0</v>
      </c>
      <c r="J616">
        <v>0</v>
      </c>
      <c r="K616">
        <v>4101.0489241972273</v>
      </c>
      <c r="L616">
        <v>0</v>
      </c>
      <c r="M616">
        <v>0</v>
      </c>
      <c r="N616">
        <v>0</v>
      </c>
      <c r="O616">
        <v>-468819.27146385383</v>
      </c>
      <c r="P616">
        <v>0</v>
      </c>
      <c r="Q616">
        <v>4101.0489241972273</v>
      </c>
      <c r="R616">
        <v>0</v>
      </c>
      <c r="S616">
        <v>1.1130410822228242E-2</v>
      </c>
      <c r="T616">
        <v>1.1130410822228242E-2</v>
      </c>
      <c r="U616">
        <v>0</v>
      </c>
      <c r="V616">
        <v>0</v>
      </c>
      <c r="W616">
        <v>820.20978483944555</v>
      </c>
      <c r="X616">
        <v>820.20978483944555</v>
      </c>
      <c r="Y616">
        <v>0</v>
      </c>
      <c r="Z616">
        <v>0</v>
      </c>
    </row>
    <row r="617" spans="1:26" x14ac:dyDescent="0.25">
      <c r="A617" t="s">
        <v>130</v>
      </c>
      <c r="B617" t="s">
        <v>83</v>
      </c>
      <c r="D617">
        <v>0</v>
      </c>
      <c r="E617">
        <v>2019</v>
      </c>
      <c r="F617" t="s">
        <v>28</v>
      </c>
      <c r="G617">
        <v>193830.89221723122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193830.89221723122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</row>
    <row r="618" spans="1:26" x14ac:dyDescent="0.25">
      <c r="A618" t="s">
        <v>130</v>
      </c>
      <c r="B618" t="s">
        <v>62</v>
      </c>
      <c r="D618">
        <v>0</v>
      </c>
      <c r="E618">
        <v>2019</v>
      </c>
      <c r="F618" t="s">
        <v>28</v>
      </c>
      <c r="G618">
        <v>131276.07587880219</v>
      </c>
      <c r="H618">
        <v>39415.735012617326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91860.340866184866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</row>
    <row r="619" spans="1:26" x14ac:dyDescent="0.25">
      <c r="A619" t="s">
        <v>130</v>
      </c>
      <c r="B619" t="s">
        <v>47</v>
      </c>
      <c r="C619" t="s">
        <v>73</v>
      </c>
      <c r="D619">
        <v>1</v>
      </c>
      <c r="E619">
        <v>2019</v>
      </c>
      <c r="F619" t="s">
        <v>28</v>
      </c>
      <c r="G619">
        <v>3850196.5402414175</v>
      </c>
      <c r="H619">
        <v>0</v>
      </c>
      <c r="I619">
        <v>0</v>
      </c>
      <c r="J619">
        <v>0</v>
      </c>
      <c r="K619">
        <v>1460182.5874658169</v>
      </c>
      <c r="L619">
        <v>0</v>
      </c>
      <c r="M619">
        <v>0</v>
      </c>
      <c r="N619">
        <v>0</v>
      </c>
      <c r="O619">
        <v>2390013.9527756004</v>
      </c>
      <c r="P619">
        <v>2390013.9527756004</v>
      </c>
      <c r="Q619">
        <v>1460182.5874658169</v>
      </c>
      <c r="R619">
        <v>1.1926408625745526</v>
      </c>
      <c r="S619">
        <v>0.72864571297131742</v>
      </c>
      <c r="T619">
        <v>0.72864571297131742</v>
      </c>
      <c r="U619">
        <v>0</v>
      </c>
      <c r="V619">
        <v>143400.83716653602</v>
      </c>
      <c r="W619">
        <v>87610.955247949008</v>
      </c>
      <c r="X619">
        <v>87610.955247949008</v>
      </c>
      <c r="Y619">
        <v>0</v>
      </c>
      <c r="Z619">
        <v>0</v>
      </c>
    </row>
    <row r="620" spans="1:26" x14ac:dyDescent="0.25">
      <c r="A620" t="s">
        <v>130</v>
      </c>
      <c r="B620" t="s">
        <v>44</v>
      </c>
      <c r="C620" t="s">
        <v>74</v>
      </c>
      <c r="D620">
        <v>1</v>
      </c>
      <c r="E620">
        <v>2019</v>
      </c>
      <c r="F620" t="s">
        <v>28</v>
      </c>
      <c r="G620">
        <v>15352538.506892066</v>
      </c>
      <c r="H620">
        <v>0</v>
      </c>
      <c r="I620">
        <v>0</v>
      </c>
      <c r="J620">
        <v>0</v>
      </c>
      <c r="K620">
        <v>2534442.072977222</v>
      </c>
      <c r="L620">
        <v>12818096.433914844</v>
      </c>
      <c r="M620">
        <v>0</v>
      </c>
      <c r="N620">
        <v>0</v>
      </c>
      <c r="O620">
        <v>0</v>
      </c>
      <c r="P620">
        <v>0</v>
      </c>
      <c r="Q620">
        <v>2534442.072977222</v>
      </c>
      <c r="R620">
        <v>0</v>
      </c>
      <c r="S620">
        <v>1.0918376450385874</v>
      </c>
      <c r="T620">
        <v>1.0918376450385874</v>
      </c>
      <c r="U620">
        <v>0</v>
      </c>
      <c r="V620">
        <v>0</v>
      </c>
      <c r="W620">
        <v>126722.10364886111</v>
      </c>
      <c r="X620">
        <v>126722.10364886111</v>
      </c>
      <c r="Y620">
        <v>0</v>
      </c>
      <c r="Z620">
        <v>0</v>
      </c>
    </row>
    <row r="621" spans="1:26" x14ac:dyDescent="0.25">
      <c r="A621" t="s">
        <v>130</v>
      </c>
      <c r="B621" t="s">
        <v>32</v>
      </c>
      <c r="D621">
        <v>0</v>
      </c>
      <c r="E621">
        <v>2019</v>
      </c>
      <c r="F621" t="s">
        <v>28</v>
      </c>
      <c r="G621">
        <v>1394376.9846055224</v>
      </c>
      <c r="H621">
        <v>0</v>
      </c>
      <c r="I621">
        <v>0</v>
      </c>
      <c r="J621">
        <v>117920.63695532705</v>
      </c>
      <c r="K621">
        <v>0</v>
      </c>
      <c r="L621">
        <v>0</v>
      </c>
      <c r="M621">
        <v>0</v>
      </c>
      <c r="N621">
        <v>0</v>
      </c>
      <c r="O621">
        <v>1276456.3476501952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</row>
    <row r="622" spans="1:26" x14ac:dyDescent="0.25">
      <c r="A622" t="s">
        <v>130</v>
      </c>
      <c r="B622" t="s">
        <v>36</v>
      </c>
      <c r="C622" t="s">
        <v>79</v>
      </c>
      <c r="D622">
        <v>1</v>
      </c>
      <c r="E622">
        <v>2019</v>
      </c>
      <c r="F622" t="s">
        <v>28</v>
      </c>
      <c r="G622">
        <v>76.5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76.5</v>
      </c>
      <c r="P622">
        <v>76.5</v>
      </c>
      <c r="Q622">
        <v>0</v>
      </c>
      <c r="R622">
        <v>6.8658750000000004E-5</v>
      </c>
      <c r="S622">
        <v>0</v>
      </c>
      <c r="T622">
        <v>0</v>
      </c>
      <c r="U622">
        <v>0</v>
      </c>
      <c r="V622">
        <v>11.475</v>
      </c>
      <c r="W622">
        <v>0</v>
      </c>
      <c r="X622">
        <v>0</v>
      </c>
      <c r="Y622">
        <v>0</v>
      </c>
      <c r="Z622">
        <v>0</v>
      </c>
    </row>
    <row r="623" spans="1:26" x14ac:dyDescent="0.25">
      <c r="A623" t="s">
        <v>130</v>
      </c>
      <c r="B623" t="s">
        <v>84</v>
      </c>
      <c r="D623">
        <v>1</v>
      </c>
      <c r="E623">
        <v>2019</v>
      </c>
      <c r="F623" t="s">
        <v>28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</row>
    <row r="624" spans="1:26" x14ac:dyDescent="0.25">
      <c r="A624" t="s">
        <v>130</v>
      </c>
      <c r="B624" t="s">
        <v>66</v>
      </c>
      <c r="C624" t="s">
        <v>81</v>
      </c>
      <c r="D624">
        <v>1</v>
      </c>
      <c r="E624">
        <v>2019</v>
      </c>
      <c r="F624" t="s">
        <v>28</v>
      </c>
      <c r="G624">
        <v>2328635.6388303456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2328635.6388303456</v>
      </c>
      <c r="N624">
        <v>0</v>
      </c>
      <c r="O624">
        <v>0</v>
      </c>
      <c r="P624">
        <v>0</v>
      </c>
      <c r="Q624">
        <v>2328635.6388303456</v>
      </c>
      <c r="R624">
        <v>0</v>
      </c>
      <c r="S624">
        <v>33.750241076188566</v>
      </c>
      <c r="T624">
        <v>0</v>
      </c>
      <c r="U624">
        <v>33.750241076188566</v>
      </c>
      <c r="V624">
        <v>0</v>
      </c>
      <c r="W624">
        <v>1151704.3763715085</v>
      </c>
      <c r="X624">
        <v>0</v>
      </c>
      <c r="Y624">
        <v>1151704.3763715085</v>
      </c>
      <c r="Z624">
        <v>0</v>
      </c>
    </row>
    <row r="625" spans="1:26" x14ac:dyDescent="0.25">
      <c r="A625" t="s">
        <v>130</v>
      </c>
      <c r="B625" t="s">
        <v>85</v>
      </c>
      <c r="D625">
        <v>0</v>
      </c>
      <c r="E625">
        <v>2019</v>
      </c>
      <c r="F625" t="s">
        <v>28</v>
      </c>
      <c r="G625">
        <v>640280.13059892249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640280.13059892249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</row>
    <row r="626" spans="1:26" x14ac:dyDescent="0.25">
      <c r="A626" t="s">
        <v>130</v>
      </c>
      <c r="B626" t="s">
        <v>40</v>
      </c>
      <c r="C626" t="s">
        <v>86</v>
      </c>
      <c r="D626">
        <v>0</v>
      </c>
      <c r="E626">
        <v>2030</v>
      </c>
      <c r="F626" t="s">
        <v>28</v>
      </c>
      <c r="G626">
        <v>213791.94985288731</v>
      </c>
      <c r="H626">
        <v>0</v>
      </c>
      <c r="I626">
        <v>0</v>
      </c>
      <c r="J626">
        <v>32579.784552999867</v>
      </c>
      <c r="K626">
        <v>0</v>
      </c>
      <c r="L626">
        <v>0</v>
      </c>
      <c r="M626">
        <v>0</v>
      </c>
      <c r="N626">
        <v>0</v>
      </c>
      <c r="O626">
        <v>181212.16529988745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</row>
    <row r="627" spans="1:26" x14ac:dyDescent="0.25">
      <c r="A627" t="s">
        <v>130</v>
      </c>
      <c r="B627" t="s">
        <v>34</v>
      </c>
      <c r="C627" t="s">
        <v>86</v>
      </c>
      <c r="D627">
        <v>0</v>
      </c>
      <c r="E627">
        <v>2030</v>
      </c>
      <c r="F627" t="s">
        <v>28</v>
      </c>
      <c r="G627">
        <v>270118.44306124689</v>
      </c>
      <c r="H627">
        <v>64498.475475191975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205619.9675860549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</row>
    <row r="628" spans="1:26" x14ac:dyDescent="0.25">
      <c r="A628" t="s">
        <v>130</v>
      </c>
      <c r="B628" t="s">
        <v>48</v>
      </c>
      <c r="C628" t="s">
        <v>73</v>
      </c>
      <c r="D628">
        <v>1</v>
      </c>
      <c r="E628">
        <v>2030</v>
      </c>
      <c r="F628" t="s">
        <v>28</v>
      </c>
      <c r="G628">
        <v>195082.22598438186</v>
      </c>
      <c r="H628">
        <v>0</v>
      </c>
      <c r="I628">
        <v>0</v>
      </c>
      <c r="J628">
        <v>0</v>
      </c>
      <c r="K628">
        <v>195082.24112879002</v>
      </c>
      <c r="L628">
        <v>0</v>
      </c>
      <c r="M628">
        <v>0</v>
      </c>
      <c r="N628">
        <v>0</v>
      </c>
      <c r="O628">
        <v>-1.5144408156629652E-2</v>
      </c>
      <c r="P628">
        <v>0</v>
      </c>
      <c r="Q628">
        <v>195082.24112879002</v>
      </c>
      <c r="R628">
        <v>0</v>
      </c>
      <c r="S628">
        <v>0.6646276381240861</v>
      </c>
      <c r="T628">
        <v>0.6646276381240861</v>
      </c>
      <c r="U628">
        <v>0</v>
      </c>
      <c r="V628">
        <v>0</v>
      </c>
      <c r="W628">
        <v>54623.027516061207</v>
      </c>
      <c r="X628">
        <v>54623.027516061207</v>
      </c>
      <c r="Y628">
        <v>0</v>
      </c>
      <c r="Z628">
        <v>1</v>
      </c>
    </row>
    <row r="629" spans="1:26" x14ac:dyDescent="0.25">
      <c r="A629" t="s">
        <v>130</v>
      </c>
      <c r="B629" t="s">
        <v>11</v>
      </c>
      <c r="C629" t="s">
        <v>86</v>
      </c>
      <c r="D629">
        <v>1</v>
      </c>
      <c r="E629">
        <v>2030</v>
      </c>
      <c r="F629" t="s">
        <v>28</v>
      </c>
      <c r="G629">
        <v>500535240.15105212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500535240.15105212</v>
      </c>
      <c r="N629">
        <v>0</v>
      </c>
      <c r="O629">
        <v>0</v>
      </c>
      <c r="P629">
        <v>0</v>
      </c>
      <c r="Q629">
        <v>500535240.15105212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</row>
    <row r="630" spans="1:26" x14ac:dyDescent="0.25">
      <c r="A630" t="s">
        <v>130</v>
      </c>
      <c r="B630" t="s">
        <v>68</v>
      </c>
      <c r="C630" t="s">
        <v>86</v>
      </c>
      <c r="D630">
        <v>0</v>
      </c>
      <c r="E630">
        <v>2030</v>
      </c>
      <c r="F630" t="s">
        <v>28</v>
      </c>
      <c r="G630">
        <v>20203745.041476861</v>
      </c>
      <c r="H630">
        <v>0</v>
      </c>
      <c r="I630">
        <v>0</v>
      </c>
      <c r="J630">
        <v>0</v>
      </c>
      <c r="K630">
        <v>0</v>
      </c>
      <c r="L630">
        <v>17711207.128625918</v>
      </c>
      <c r="M630">
        <v>0</v>
      </c>
      <c r="N630">
        <v>0</v>
      </c>
      <c r="O630">
        <v>2492537.9128509425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</row>
    <row r="631" spans="1:26" x14ac:dyDescent="0.25">
      <c r="A631" t="s">
        <v>130</v>
      </c>
      <c r="B631" t="s">
        <v>51</v>
      </c>
      <c r="C631" t="s">
        <v>73</v>
      </c>
      <c r="D631">
        <v>1</v>
      </c>
      <c r="E631">
        <v>2030</v>
      </c>
      <c r="F631" t="s">
        <v>28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</row>
    <row r="632" spans="1:26" x14ac:dyDescent="0.25">
      <c r="A632" t="s">
        <v>130</v>
      </c>
      <c r="B632" t="s">
        <v>50</v>
      </c>
      <c r="C632" t="s">
        <v>74</v>
      </c>
      <c r="D632">
        <v>1</v>
      </c>
      <c r="E632">
        <v>2030</v>
      </c>
      <c r="F632" t="s">
        <v>28</v>
      </c>
      <c r="G632">
        <v>2652925.8184588463</v>
      </c>
      <c r="H632">
        <v>0</v>
      </c>
      <c r="I632">
        <v>0</v>
      </c>
      <c r="J632">
        <v>0</v>
      </c>
      <c r="K632">
        <v>1326462.9092294232</v>
      </c>
      <c r="L632">
        <v>502160.95849399589</v>
      </c>
      <c r="M632">
        <v>0</v>
      </c>
      <c r="N632">
        <v>0</v>
      </c>
      <c r="O632">
        <v>824301.95073542721</v>
      </c>
      <c r="P632">
        <v>824301.95073542721</v>
      </c>
      <c r="Q632">
        <v>1326462.9092294232</v>
      </c>
      <c r="R632">
        <v>1.7755464018841103</v>
      </c>
      <c r="S632">
        <v>4.6327475083642877</v>
      </c>
      <c r="T632">
        <v>2.8572011064801774</v>
      </c>
      <c r="U632">
        <v>1.7755464018841103</v>
      </c>
      <c r="V632">
        <v>247290.58522062816</v>
      </c>
      <c r="W632">
        <v>645229.45798945508</v>
      </c>
      <c r="X632">
        <v>397938.87276882696</v>
      </c>
      <c r="Y632">
        <v>247290.58522062813</v>
      </c>
      <c r="Z632">
        <v>0</v>
      </c>
    </row>
    <row r="633" spans="1:26" x14ac:dyDescent="0.25">
      <c r="A633" t="s">
        <v>130</v>
      </c>
      <c r="B633" t="s">
        <v>60</v>
      </c>
      <c r="C633" t="s">
        <v>86</v>
      </c>
      <c r="D633">
        <v>0</v>
      </c>
      <c r="E633">
        <v>2030</v>
      </c>
      <c r="F633" t="s">
        <v>28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</row>
    <row r="634" spans="1:26" x14ac:dyDescent="0.25">
      <c r="A634" t="s">
        <v>130</v>
      </c>
      <c r="B634" t="s">
        <v>46</v>
      </c>
      <c r="C634" t="s">
        <v>74</v>
      </c>
      <c r="D634">
        <v>1</v>
      </c>
      <c r="E634">
        <v>2030</v>
      </c>
      <c r="F634" t="s">
        <v>28</v>
      </c>
      <c r="G634">
        <v>8342.726135545483</v>
      </c>
      <c r="H634">
        <v>0</v>
      </c>
      <c r="I634">
        <v>0</v>
      </c>
      <c r="J634">
        <v>0</v>
      </c>
      <c r="K634">
        <v>4171.3630677727415</v>
      </c>
      <c r="L634">
        <v>3158.317751313647</v>
      </c>
      <c r="M634">
        <v>0</v>
      </c>
      <c r="N634">
        <v>0</v>
      </c>
      <c r="O634">
        <v>1013.0453164590945</v>
      </c>
      <c r="P634">
        <v>1013.0453164590945</v>
      </c>
      <c r="Q634">
        <v>4171.3630677727415</v>
      </c>
      <c r="R634">
        <v>4.7642508187754754E-4</v>
      </c>
      <c r="S634">
        <v>2.4381754190203903E-3</v>
      </c>
      <c r="T634">
        <v>1.9617503371428427E-3</v>
      </c>
      <c r="U634">
        <v>4.7642508187754765E-4</v>
      </c>
      <c r="V634">
        <v>63.821854936922954</v>
      </c>
      <c r="W634">
        <v>326.61772820660565</v>
      </c>
      <c r="X634">
        <v>262.79587326968272</v>
      </c>
      <c r="Y634">
        <v>63.821854936922932</v>
      </c>
      <c r="Z634">
        <v>0</v>
      </c>
    </row>
    <row r="635" spans="1:26" x14ac:dyDescent="0.25">
      <c r="A635" t="s">
        <v>130</v>
      </c>
      <c r="B635" t="s">
        <v>39</v>
      </c>
      <c r="C635" t="s">
        <v>86</v>
      </c>
      <c r="D635">
        <v>0</v>
      </c>
      <c r="E635">
        <v>2030</v>
      </c>
      <c r="F635" t="s">
        <v>28</v>
      </c>
      <c r="G635">
        <v>181628.8895635134</v>
      </c>
      <c r="H635">
        <v>0</v>
      </c>
      <c r="I635">
        <v>0</v>
      </c>
      <c r="J635">
        <v>35294.766599083188</v>
      </c>
      <c r="K635">
        <v>0</v>
      </c>
      <c r="L635">
        <v>0</v>
      </c>
      <c r="M635">
        <v>0</v>
      </c>
      <c r="N635">
        <v>0</v>
      </c>
      <c r="O635">
        <v>146334.12296443019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</row>
    <row r="636" spans="1:26" x14ac:dyDescent="0.25">
      <c r="A636" t="s">
        <v>130</v>
      </c>
      <c r="B636" t="s">
        <v>75</v>
      </c>
      <c r="C636" t="s">
        <v>86</v>
      </c>
      <c r="D636">
        <v>0</v>
      </c>
      <c r="E636">
        <v>2030</v>
      </c>
      <c r="F636" t="s">
        <v>28</v>
      </c>
      <c r="G636">
        <v>925155.87360935542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925155.87360935542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</row>
    <row r="637" spans="1:26" x14ac:dyDescent="0.25">
      <c r="A637" t="s">
        <v>130</v>
      </c>
      <c r="B637" t="s">
        <v>41</v>
      </c>
      <c r="C637" t="s">
        <v>86</v>
      </c>
      <c r="D637">
        <v>0</v>
      </c>
      <c r="E637">
        <v>2030</v>
      </c>
      <c r="F637" t="s">
        <v>28</v>
      </c>
      <c r="G637">
        <v>27117.337735936886</v>
      </c>
      <c r="H637">
        <v>0</v>
      </c>
      <c r="I637">
        <v>0</v>
      </c>
      <c r="J637">
        <v>257923.29437791562</v>
      </c>
      <c r="K637">
        <v>0</v>
      </c>
      <c r="L637">
        <v>0</v>
      </c>
      <c r="M637">
        <v>0</v>
      </c>
      <c r="N637">
        <v>0</v>
      </c>
      <c r="O637">
        <v>-230805.95664197873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1</v>
      </c>
    </row>
    <row r="638" spans="1:26" x14ac:dyDescent="0.25">
      <c r="A638" t="s">
        <v>130</v>
      </c>
      <c r="B638" t="s">
        <v>57</v>
      </c>
      <c r="C638" t="s">
        <v>57</v>
      </c>
      <c r="D638">
        <v>1</v>
      </c>
      <c r="E638">
        <v>2030</v>
      </c>
      <c r="F638" t="s">
        <v>28</v>
      </c>
      <c r="G638">
        <v>0</v>
      </c>
      <c r="H638">
        <v>0</v>
      </c>
      <c r="I638">
        <v>0</v>
      </c>
      <c r="J638">
        <v>0</v>
      </c>
      <c r="K638">
        <v>114193.60000000001</v>
      </c>
      <c r="L638">
        <v>0</v>
      </c>
      <c r="M638">
        <v>0</v>
      </c>
      <c r="N638">
        <v>0</v>
      </c>
      <c r="O638">
        <v>-114193.60000000001</v>
      </c>
      <c r="P638">
        <v>0</v>
      </c>
      <c r="Q638">
        <v>114193.60000000001</v>
      </c>
      <c r="R638">
        <v>0</v>
      </c>
      <c r="S638">
        <v>1.7355855896064003</v>
      </c>
      <c r="T638">
        <v>1.7355855896064003</v>
      </c>
      <c r="U638">
        <v>0</v>
      </c>
      <c r="V638">
        <v>0</v>
      </c>
      <c r="W638">
        <v>102774.24</v>
      </c>
      <c r="X638">
        <v>102774.24</v>
      </c>
      <c r="Y638">
        <v>0</v>
      </c>
      <c r="Z638">
        <v>1</v>
      </c>
    </row>
    <row r="639" spans="1:26" x14ac:dyDescent="0.25">
      <c r="A639" t="s">
        <v>130</v>
      </c>
      <c r="B639" t="s">
        <v>53</v>
      </c>
      <c r="C639" t="s">
        <v>76</v>
      </c>
      <c r="D639">
        <v>1</v>
      </c>
      <c r="E639">
        <v>2030</v>
      </c>
      <c r="F639" t="s">
        <v>28</v>
      </c>
      <c r="G639">
        <v>16463363.602305863</v>
      </c>
      <c r="H639">
        <v>12237689.909258299</v>
      </c>
      <c r="I639">
        <v>0</v>
      </c>
      <c r="J639">
        <v>0</v>
      </c>
      <c r="K639">
        <v>75614.059561949907</v>
      </c>
      <c r="L639">
        <v>0</v>
      </c>
      <c r="M639">
        <v>0</v>
      </c>
      <c r="N639">
        <v>0</v>
      </c>
      <c r="O639">
        <v>4150059.6334856153</v>
      </c>
      <c r="P639">
        <v>4150059.6334856153</v>
      </c>
      <c r="Q639">
        <v>75614.059561949907</v>
      </c>
      <c r="R639">
        <v>7.635590968159347</v>
      </c>
      <c r="S639">
        <v>7.7747113859958894</v>
      </c>
      <c r="T639">
        <v>0.13912041783654258</v>
      </c>
      <c r="U639">
        <v>7.635590968159347</v>
      </c>
      <c r="V639">
        <v>1162016.6973759723</v>
      </c>
      <c r="W639">
        <v>1183188.6340533185</v>
      </c>
      <c r="X639">
        <v>21171.936677345977</v>
      </c>
      <c r="Y639">
        <v>1162016.6973759725</v>
      </c>
      <c r="Z639">
        <v>0</v>
      </c>
    </row>
    <row r="640" spans="1:26" x14ac:dyDescent="0.25">
      <c r="A640" t="s">
        <v>130</v>
      </c>
      <c r="B640" t="s">
        <v>61</v>
      </c>
      <c r="C640" t="s">
        <v>86</v>
      </c>
      <c r="D640">
        <v>0</v>
      </c>
      <c r="E640">
        <v>2030</v>
      </c>
      <c r="F640" t="s">
        <v>28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</row>
    <row r="641" spans="1:26" x14ac:dyDescent="0.25">
      <c r="A641" t="s">
        <v>130</v>
      </c>
      <c r="B641" t="s">
        <v>30</v>
      </c>
      <c r="C641" t="s">
        <v>86</v>
      </c>
      <c r="D641">
        <v>0</v>
      </c>
      <c r="E641">
        <v>2030</v>
      </c>
      <c r="F641" t="s">
        <v>28</v>
      </c>
      <c r="G641">
        <v>192243.07548074043</v>
      </c>
      <c r="H641">
        <v>0</v>
      </c>
      <c r="I641">
        <v>0</v>
      </c>
      <c r="J641">
        <v>270140.71358529059</v>
      </c>
      <c r="K641">
        <v>0</v>
      </c>
      <c r="L641">
        <v>0</v>
      </c>
      <c r="M641">
        <v>0</v>
      </c>
      <c r="N641">
        <v>0</v>
      </c>
      <c r="O641">
        <v>-77897.638104550162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1</v>
      </c>
    </row>
    <row r="642" spans="1:26" x14ac:dyDescent="0.25">
      <c r="A642" t="s">
        <v>130</v>
      </c>
      <c r="B642" t="s">
        <v>52</v>
      </c>
      <c r="C642" t="s">
        <v>77</v>
      </c>
      <c r="D642">
        <v>1</v>
      </c>
      <c r="E642">
        <v>2030</v>
      </c>
      <c r="F642" t="s">
        <v>28</v>
      </c>
      <c r="G642">
        <v>2639184.2877324577</v>
      </c>
      <c r="H642">
        <v>773085.89354292606</v>
      </c>
      <c r="I642">
        <v>726974.95402379602</v>
      </c>
      <c r="J642">
        <v>0</v>
      </c>
      <c r="K642">
        <v>52868.994212030084</v>
      </c>
      <c r="L642">
        <v>0</v>
      </c>
      <c r="M642">
        <v>1086254.4459537058</v>
      </c>
      <c r="N642">
        <v>0</v>
      </c>
      <c r="O642">
        <v>0</v>
      </c>
      <c r="P642">
        <v>0</v>
      </c>
      <c r="Q642">
        <v>1139123.4401657358</v>
      </c>
      <c r="R642">
        <v>0</v>
      </c>
      <c r="S642">
        <v>11.532133889290428</v>
      </c>
      <c r="T642">
        <v>0.30481830088922796</v>
      </c>
      <c r="U642">
        <v>11.227315588401201</v>
      </c>
      <c r="V642">
        <v>0</v>
      </c>
      <c r="W642">
        <v>968254.92414087534</v>
      </c>
      <c r="X642">
        <v>44938.645080225571</v>
      </c>
      <c r="Y642">
        <v>923316.2790606498</v>
      </c>
      <c r="Z642">
        <v>0</v>
      </c>
    </row>
    <row r="643" spans="1:26" x14ac:dyDescent="0.25">
      <c r="A643" t="s">
        <v>130</v>
      </c>
      <c r="B643" t="s">
        <v>56</v>
      </c>
      <c r="C643" t="s">
        <v>73</v>
      </c>
      <c r="D643">
        <v>1</v>
      </c>
      <c r="E643">
        <v>2030</v>
      </c>
      <c r="F643" t="s">
        <v>28</v>
      </c>
      <c r="G643">
        <v>526734.10986839118</v>
      </c>
      <c r="H643">
        <v>0</v>
      </c>
      <c r="I643">
        <v>0</v>
      </c>
      <c r="J643">
        <v>0</v>
      </c>
      <c r="K643">
        <v>41.80391161429587</v>
      </c>
      <c r="L643">
        <v>0</v>
      </c>
      <c r="M643">
        <v>526692.30595677684</v>
      </c>
      <c r="N643">
        <v>0</v>
      </c>
      <c r="O643">
        <v>0</v>
      </c>
      <c r="P643">
        <v>0</v>
      </c>
      <c r="Q643">
        <v>526734.10986839118</v>
      </c>
      <c r="R643">
        <v>0</v>
      </c>
      <c r="S643">
        <v>9.4026981784507786</v>
      </c>
      <c r="T643">
        <v>7.0985968194887394E-5</v>
      </c>
      <c r="U643">
        <v>9.4026271924825835</v>
      </c>
      <c r="V643">
        <v>0</v>
      </c>
      <c r="W643">
        <v>158020.23296051734</v>
      </c>
      <c r="X643">
        <v>12.541173484288761</v>
      </c>
      <c r="Y643">
        <v>158007.69178703305</v>
      </c>
      <c r="Z643">
        <v>0</v>
      </c>
    </row>
    <row r="644" spans="1:26" x14ac:dyDescent="0.25">
      <c r="A644" t="s">
        <v>130</v>
      </c>
      <c r="B644" t="s">
        <v>63</v>
      </c>
      <c r="C644" t="s">
        <v>86</v>
      </c>
      <c r="D644">
        <v>0</v>
      </c>
      <c r="E644">
        <v>2030</v>
      </c>
      <c r="F644" t="s">
        <v>28</v>
      </c>
      <c r="G644">
        <v>0</v>
      </c>
      <c r="H644">
        <v>4828427.5390456226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-4828427.5390456226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1</v>
      </c>
    </row>
    <row r="645" spans="1:26" x14ac:dyDescent="0.25">
      <c r="A645" t="s">
        <v>130</v>
      </c>
      <c r="B645" t="s">
        <v>49</v>
      </c>
      <c r="C645" t="s">
        <v>73</v>
      </c>
      <c r="D645">
        <v>1</v>
      </c>
      <c r="E645">
        <v>2030</v>
      </c>
      <c r="F645" t="s">
        <v>28</v>
      </c>
      <c r="G645">
        <v>523057.42126360437</v>
      </c>
      <c r="H645">
        <v>0</v>
      </c>
      <c r="I645">
        <v>0</v>
      </c>
      <c r="J645">
        <v>0</v>
      </c>
      <c r="K645">
        <v>523057.13098607323</v>
      </c>
      <c r="L645">
        <v>0</v>
      </c>
      <c r="M645">
        <v>0</v>
      </c>
      <c r="N645">
        <v>0</v>
      </c>
      <c r="O645">
        <v>0.29027753113768995</v>
      </c>
      <c r="P645">
        <v>0.29027753113768995</v>
      </c>
      <c r="Q645">
        <v>523057.13098607323</v>
      </c>
      <c r="R645">
        <v>1.2578102784986585E-6</v>
      </c>
      <c r="S645">
        <v>1.9265046219015098</v>
      </c>
      <c r="T645">
        <v>1.9265033640912312</v>
      </c>
      <c r="U645">
        <v>1.2578102785987255E-6</v>
      </c>
      <c r="V645">
        <v>0.12191656307782978</v>
      </c>
      <c r="W645">
        <v>219684.11693071382</v>
      </c>
      <c r="X645">
        <v>219683.99501415074</v>
      </c>
      <c r="Y645">
        <v>0.12191656307550147</v>
      </c>
      <c r="Z645">
        <v>0</v>
      </c>
    </row>
    <row r="646" spans="1:26" x14ac:dyDescent="0.25">
      <c r="A646" t="s">
        <v>130</v>
      </c>
      <c r="B646" t="s">
        <v>78</v>
      </c>
      <c r="C646" t="s">
        <v>86</v>
      </c>
      <c r="D646">
        <v>0</v>
      </c>
      <c r="E646">
        <v>2030</v>
      </c>
      <c r="F646" t="s">
        <v>28</v>
      </c>
      <c r="G646">
        <v>800990.58717012103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800990.58717012103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</row>
    <row r="647" spans="1:26" x14ac:dyDescent="0.25">
      <c r="A647" t="s">
        <v>130</v>
      </c>
      <c r="B647" t="s">
        <v>31</v>
      </c>
      <c r="C647" t="s">
        <v>86</v>
      </c>
      <c r="D647">
        <v>0</v>
      </c>
      <c r="E647">
        <v>2030</v>
      </c>
      <c r="F647" t="s">
        <v>28</v>
      </c>
      <c r="G647">
        <v>2241845.3275075206</v>
      </c>
      <c r="H647">
        <v>0</v>
      </c>
      <c r="I647">
        <v>0</v>
      </c>
      <c r="J647">
        <v>123531.68309679118</v>
      </c>
      <c r="K647">
        <v>0</v>
      </c>
      <c r="L647">
        <v>0</v>
      </c>
      <c r="M647">
        <v>0</v>
      </c>
      <c r="N647">
        <v>0</v>
      </c>
      <c r="O647">
        <v>2118313.6444107294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</row>
    <row r="648" spans="1:26" x14ac:dyDescent="0.25">
      <c r="A648" t="s">
        <v>130</v>
      </c>
      <c r="B648" t="s">
        <v>29</v>
      </c>
      <c r="C648" t="s">
        <v>77</v>
      </c>
      <c r="D648">
        <v>1</v>
      </c>
      <c r="E648">
        <v>2030</v>
      </c>
      <c r="F648" t="s">
        <v>28</v>
      </c>
      <c r="G648">
        <v>7171156.7599390233</v>
      </c>
      <c r="H648">
        <v>5879215.2019956233</v>
      </c>
      <c r="I648">
        <v>0</v>
      </c>
      <c r="J648">
        <v>295933.04302308214</v>
      </c>
      <c r="K648">
        <v>2833.9333697705197</v>
      </c>
      <c r="L648">
        <v>0</v>
      </c>
      <c r="M648">
        <v>0</v>
      </c>
      <c r="N648">
        <v>0</v>
      </c>
      <c r="O648">
        <v>993174.58155054692</v>
      </c>
      <c r="P648">
        <v>993174.58155054692</v>
      </c>
      <c r="Q648">
        <v>2833.9333697705197</v>
      </c>
      <c r="R648">
        <v>3.4014838973692068</v>
      </c>
      <c r="S648">
        <v>3.4111897224099992</v>
      </c>
      <c r="T648">
        <v>9.7058250407922632E-3</v>
      </c>
      <c r="U648">
        <v>3.4014838973692068</v>
      </c>
      <c r="V648">
        <v>307884.12028066954</v>
      </c>
      <c r="W648">
        <v>308762.63962529838</v>
      </c>
      <c r="X648">
        <v>878.51934462886106</v>
      </c>
      <c r="Y648">
        <v>307884.12028066954</v>
      </c>
      <c r="Z648">
        <v>0</v>
      </c>
    </row>
    <row r="649" spans="1:26" x14ac:dyDescent="0.25">
      <c r="A649" t="s">
        <v>130</v>
      </c>
      <c r="B649" t="s">
        <v>69</v>
      </c>
      <c r="C649" t="s">
        <v>86</v>
      </c>
      <c r="D649">
        <v>0</v>
      </c>
      <c r="E649">
        <v>2030</v>
      </c>
      <c r="F649" t="s">
        <v>28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620537.39357630478</v>
      </c>
      <c r="M649">
        <v>0</v>
      </c>
      <c r="N649">
        <v>0</v>
      </c>
      <c r="O649">
        <v>-620537.39357630478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1</v>
      </c>
    </row>
    <row r="650" spans="1:26" x14ac:dyDescent="0.25">
      <c r="A650" t="s">
        <v>130</v>
      </c>
      <c r="B650" t="s">
        <v>45</v>
      </c>
      <c r="C650" t="s">
        <v>74</v>
      </c>
      <c r="D650">
        <v>1</v>
      </c>
      <c r="E650">
        <v>2030</v>
      </c>
      <c r="F650" t="s">
        <v>28</v>
      </c>
      <c r="G650">
        <v>12983496.711335782</v>
      </c>
      <c r="H650">
        <v>0</v>
      </c>
      <c r="I650">
        <v>0</v>
      </c>
      <c r="J650">
        <v>0</v>
      </c>
      <c r="K650">
        <v>9867457.5006151944</v>
      </c>
      <c r="L650">
        <v>2064375.9771023891</v>
      </c>
      <c r="M650">
        <v>0</v>
      </c>
      <c r="N650">
        <v>0</v>
      </c>
      <c r="O650">
        <v>1051663.233618198</v>
      </c>
      <c r="P650">
        <v>1051663.233618198</v>
      </c>
      <c r="Q650">
        <v>9867457.5006151944</v>
      </c>
      <c r="R650">
        <v>0.53234141222519571</v>
      </c>
      <c r="S650">
        <v>5.5271497244616015</v>
      </c>
      <c r="T650">
        <v>4.9948083122364055</v>
      </c>
      <c r="U650">
        <v>0.53234141222519593</v>
      </c>
      <c r="V650">
        <v>79926.405754983047</v>
      </c>
      <c r="W650">
        <v>829853.17580173782</v>
      </c>
      <c r="X650">
        <v>749926.77004675474</v>
      </c>
      <c r="Y650">
        <v>79926.405754983076</v>
      </c>
      <c r="Z650">
        <v>0</v>
      </c>
    </row>
    <row r="651" spans="1:26" x14ac:dyDescent="0.25">
      <c r="A651" t="s">
        <v>130</v>
      </c>
      <c r="B651" t="s">
        <v>59</v>
      </c>
      <c r="C651" t="s">
        <v>86</v>
      </c>
      <c r="D651">
        <v>0</v>
      </c>
      <c r="E651">
        <v>2030</v>
      </c>
      <c r="F651" t="s">
        <v>28</v>
      </c>
      <c r="G651">
        <v>1620993.8653666629</v>
      </c>
      <c r="H651">
        <v>1515714.1736670113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105279.69169965154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</row>
    <row r="652" spans="1:26" x14ac:dyDescent="0.25">
      <c r="A652" t="s">
        <v>130</v>
      </c>
      <c r="B652" t="s">
        <v>54</v>
      </c>
      <c r="C652" t="s">
        <v>76</v>
      </c>
      <c r="D652">
        <v>1</v>
      </c>
      <c r="E652">
        <v>2030</v>
      </c>
      <c r="F652" t="s">
        <v>28</v>
      </c>
      <c r="G652">
        <v>7983307.7524896674</v>
      </c>
      <c r="H652">
        <v>5657053.7864699624</v>
      </c>
      <c r="I652">
        <v>0</v>
      </c>
      <c r="J652">
        <v>0</v>
      </c>
      <c r="K652">
        <v>314692.31350359169</v>
      </c>
      <c r="L652">
        <v>0</v>
      </c>
      <c r="M652">
        <v>0</v>
      </c>
      <c r="N652">
        <v>0</v>
      </c>
      <c r="O652">
        <v>2011561.6525161136</v>
      </c>
      <c r="P652">
        <v>1690869.0750561175</v>
      </c>
      <c r="Q652">
        <v>314692.31350359169</v>
      </c>
      <c r="R652">
        <v>6.070219979451462</v>
      </c>
      <c r="S652">
        <v>7.1999653849293566</v>
      </c>
      <c r="T652">
        <v>1.1297454054778944</v>
      </c>
      <c r="U652">
        <v>6.070219979451462</v>
      </c>
      <c r="V652">
        <v>507260.7225168352</v>
      </c>
      <c r="W652">
        <v>601668.41656791279</v>
      </c>
      <c r="X652">
        <v>94407.694051077502</v>
      </c>
      <c r="Y652">
        <v>507260.72251683532</v>
      </c>
      <c r="Z652">
        <v>0</v>
      </c>
    </row>
    <row r="653" spans="1:26" x14ac:dyDescent="0.25">
      <c r="A653" t="s">
        <v>130</v>
      </c>
      <c r="B653" t="s">
        <v>38</v>
      </c>
      <c r="C653" t="s">
        <v>86</v>
      </c>
      <c r="D653">
        <v>0</v>
      </c>
      <c r="E653">
        <v>2030</v>
      </c>
      <c r="F653" t="s">
        <v>28</v>
      </c>
      <c r="G653">
        <v>3127676.8816170068</v>
      </c>
      <c r="H653">
        <v>0</v>
      </c>
      <c r="I653">
        <v>0</v>
      </c>
      <c r="J653">
        <v>472406.87601849809</v>
      </c>
      <c r="K653">
        <v>0</v>
      </c>
      <c r="L653">
        <v>0</v>
      </c>
      <c r="M653">
        <v>0</v>
      </c>
      <c r="N653">
        <v>0</v>
      </c>
      <c r="O653">
        <v>2655270.0055985088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</row>
    <row r="654" spans="1:26" x14ac:dyDescent="0.25">
      <c r="A654" t="s">
        <v>130</v>
      </c>
      <c r="B654" t="s">
        <v>35</v>
      </c>
      <c r="C654" t="s">
        <v>79</v>
      </c>
      <c r="D654">
        <v>1</v>
      </c>
      <c r="E654">
        <v>2030</v>
      </c>
      <c r="F654" t="s">
        <v>28</v>
      </c>
      <c r="G654">
        <v>144989.33878430488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144989.33878430488</v>
      </c>
      <c r="P654">
        <v>144989.33878430488</v>
      </c>
      <c r="Q654">
        <v>0</v>
      </c>
      <c r="R654">
        <v>0.13012793155891364</v>
      </c>
      <c r="S654">
        <v>0.13012793155891364</v>
      </c>
      <c r="T654">
        <v>0</v>
      </c>
      <c r="U654">
        <v>0.13012793155891364</v>
      </c>
      <c r="V654">
        <v>21748.400817645732</v>
      </c>
      <c r="W654">
        <v>21748.400817645732</v>
      </c>
      <c r="X654">
        <v>0</v>
      </c>
      <c r="Y654">
        <v>21748.400817645732</v>
      </c>
      <c r="Z654">
        <v>0</v>
      </c>
    </row>
    <row r="655" spans="1:26" x14ac:dyDescent="0.25">
      <c r="A655" t="s">
        <v>130</v>
      </c>
      <c r="B655" t="s">
        <v>33</v>
      </c>
      <c r="C655" t="s">
        <v>86</v>
      </c>
      <c r="D655">
        <v>0</v>
      </c>
      <c r="E655">
        <v>2030</v>
      </c>
      <c r="F655" t="s">
        <v>28</v>
      </c>
      <c r="G655">
        <v>106168.13854148486</v>
      </c>
      <c r="H655">
        <v>0</v>
      </c>
      <c r="I655">
        <v>0</v>
      </c>
      <c r="J655">
        <v>60028.253038902265</v>
      </c>
      <c r="K655">
        <v>0</v>
      </c>
      <c r="L655">
        <v>0</v>
      </c>
      <c r="M655">
        <v>0</v>
      </c>
      <c r="N655">
        <v>0</v>
      </c>
      <c r="O655">
        <v>46139.885502582598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</row>
    <row r="656" spans="1:26" x14ac:dyDescent="0.25">
      <c r="A656" t="s">
        <v>130</v>
      </c>
      <c r="B656" t="s">
        <v>80</v>
      </c>
      <c r="C656" t="s">
        <v>86</v>
      </c>
      <c r="D656">
        <v>0</v>
      </c>
      <c r="E656">
        <v>2030</v>
      </c>
      <c r="F656" t="s">
        <v>28</v>
      </c>
      <c r="G656">
        <v>1683153.4103621913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1683153.4103621913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</row>
    <row r="657" spans="1:26" x14ac:dyDescent="0.25">
      <c r="A657" t="s">
        <v>130</v>
      </c>
      <c r="B657" t="s">
        <v>65</v>
      </c>
      <c r="C657" t="s">
        <v>81</v>
      </c>
      <c r="D657">
        <v>1</v>
      </c>
      <c r="E657">
        <v>2030</v>
      </c>
      <c r="F657" t="s">
        <v>28</v>
      </c>
      <c r="G657">
        <v>177516.46640303911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177516.46640303911</v>
      </c>
      <c r="N657">
        <v>0</v>
      </c>
      <c r="O657">
        <v>0</v>
      </c>
      <c r="P657">
        <v>0</v>
      </c>
      <c r="Q657">
        <v>177516.46640303911</v>
      </c>
      <c r="R657">
        <v>0</v>
      </c>
      <c r="S657">
        <v>3.2663029818159193</v>
      </c>
      <c r="T657">
        <v>0</v>
      </c>
      <c r="U657">
        <v>3.2663029818159193</v>
      </c>
      <c r="V657">
        <v>0</v>
      </c>
      <c r="W657">
        <v>73669.333557261241</v>
      </c>
      <c r="X657">
        <v>0</v>
      </c>
      <c r="Y657">
        <v>73669.333557261241</v>
      </c>
      <c r="Z657">
        <v>0</v>
      </c>
    </row>
    <row r="658" spans="1:26" x14ac:dyDescent="0.25">
      <c r="A658" t="s">
        <v>130</v>
      </c>
      <c r="B658" t="s">
        <v>140</v>
      </c>
      <c r="C658" t="s">
        <v>142</v>
      </c>
      <c r="D658">
        <v>1</v>
      </c>
      <c r="E658">
        <v>2030</v>
      </c>
      <c r="F658" t="s">
        <v>28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</row>
    <row r="659" spans="1:26" x14ac:dyDescent="0.25">
      <c r="A659" t="s">
        <v>130</v>
      </c>
      <c r="B659" t="s">
        <v>141</v>
      </c>
      <c r="C659" t="s">
        <v>142</v>
      </c>
      <c r="D659">
        <v>1</v>
      </c>
      <c r="E659">
        <v>2030</v>
      </c>
      <c r="F659" t="s">
        <v>28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</row>
    <row r="660" spans="1:26" x14ac:dyDescent="0.25">
      <c r="A660" t="s">
        <v>130</v>
      </c>
      <c r="B660" t="s">
        <v>82</v>
      </c>
      <c r="C660" t="s">
        <v>86</v>
      </c>
      <c r="D660">
        <v>0</v>
      </c>
      <c r="E660">
        <v>2030</v>
      </c>
      <c r="F660" t="s">
        <v>28</v>
      </c>
      <c r="G660">
        <v>4870431.535367866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4870431.535367866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</row>
    <row r="661" spans="1:26" x14ac:dyDescent="0.25">
      <c r="A661" t="s">
        <v>130</v>
      </c>
      <c r="B661" t="s">
        <v>72</v>
      </c>
      <c r="C661" t="s">
        <v>86</v>
      </c>
      <c r="D661">
        <v>0</v>
      </c>
      <c r="E661">
        <v>2030</v>
      </c>
      <c r="F661" t="s">
        <v>28</v>
      </c>
      <c r="G661">
        <v>507790.70515370794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507790.70515370794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</row>
    <row r="662" spans="1:26" x14ac:dyDescent="0.25">
      <c r="A662" t="s">
        <v>130</v>
      </c>
      <c r="B662" t="s">
        <v>58</v>
      </c>
      <c r="C662" t="s">
        <v>86</v>
      </c>
      <c r="D662">
        <v>0</v>
      </c>
      <c r="E662">
        <v>2030</v>
      </c>
      <c r="F662" t="s">
        <v>28</v>
      </c>
      <c r="G662">
        <v>253895.35257685397</v>
      </c>
      <c r="H662">
        <v>214099.10609126225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39796.246485591721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</row>
    <row r="663" spans="1:26" x14ac:dyDescent="0.25">
      <c r="A663" t="s">
        <v>130</v>
      </c>
      <c r="B663" t="s">
        <v>64</v>
      </c>
      <c r="C663" t="s">
        <v>64</v>
      </c>
      <c r="D663">
        <v>1</v>
      </c>
      <c r="E663">
        <v>2030</v>
      </c>
      <c r="F663" t="s">
        <v>28</v>
      </c>
      <c r="G663">
        <v>162493.02564918654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162493.02564918654</v>
      </c>
      <c r="N663">
        <v>0</v>
      </c>
      <c r="O663">
        <v>0</v>
      </c>
      <c r="P663">
        <v>0</v>
      </c>
      <c r="Q663">
        <v>162493.02564918654</v>
      </c>
      <c r="R663">
        <v>0</v>
      </c>
      <c r="S663">
        <v>5.6872558977215286</v>
      </c>
      <c r="T663">
        <v>0</v>
      </c>
      <c r="U663">
        <v>5.6872558977215286</v>
      </c>
      <c r="V663">
        <v>0</v>
      </c>
      <c r="W663">
        <v>147868.65334075977</v>
      </c>
      <c r="X663">
        <v>0</v>
      </c>
      <c r="Y663">
        <v>147868.65334075977</v>
      </c>
      <c r="Z663">
        <v>0</v>
      </c>
    </row>
    <row r="664" spans="1:26" x14ac:dyDescent="0.25">
      <c r="A664" t="s">
        <v>130</v>
      </c>
      <c r="B664" t="s">
        <v>55</v>
      </c>
      <c r="C664" t="s">
        <v>76</v>
      </c>
      <c r="D664">
        <v>1</v>
      </c>
      <c r="E664">
        <v>2030</v>
      </c>
      <c r="F664" t="s">
        <v>28</v>
      </c>
      <c r="G664">
        <v>395099.15710561507</v>
      </c>
      <c r="H664">
        <v>841167.61765562883</v>
      </c>
      <c r="I664">
        <v>0</v>
      </c>
      <c r="J664">
        <v>0</v>
      </c>
      <c r="K664">
        <v>4075.7207832735812</v>
      </c>
      <c r="L664">
        <v>0</v>
      </c>
      <c r="M664">
        <v>0</v>
      </c>
      <c r="N664">
        <v>0</v>
      </c>
      <c r="O664">
        <v>-450144.18133328733</v>
      </c>
      <c r="P664">
        <v>0</v>
      </c>
      <c r="Q664">
        <v>4075.7207832735812</v>
      </c>
      <c r="R664">
        <v>0</v>
      </c>
      <c r="S664">
        <v>1.1061669234635831E-2</v>
      </c>
      <c r="T664">
        <v>1.1061669234635831E-2</v>
      </c>
      <c r="U664">
        <v>0</v>
      </c>
      <c r="V664">
        <v>0</v>
      </c>
      <c r="W664">
        <v>815.14415665471631</v>
      </c>
      <c r="X664">
        <v>815.14415665471631</v>
      </c>
      <c r="Y664">
        <v>0</v>
      </c>
      <c r="Z664">
        <v>0</v>
      </c>
    </row>
    <row r="665" spans="1:26" x14ac:dyDescent="0.25">
      <c r="A665" t="s">
        <v>130</v>
      </c>
      <c r="B665" t="s">
        <v>83</v>
      </c>
      <c r="C665" t="s">
        <v>86</v>
      </c>
      <c r="D665">
        <v>0</v>
      </c>
      <c r="E665">
        <v>2030</v>
      </c>
      <c r="F665" t="s">
        <v>28</v>
      </c>
      <c r="G665">
        <v>191123.07715634341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191123.07715634341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</row>
    <row r="666" spans="1:26" x14ac:dyDescent="0.25">
      <c r="A666" t="s">
        <v>130</v>
      </c>
      <c r="B666" t="s">
        <v>62</v>
      </c>
      <c r="C666" t="s">
        <v>86</v>
      </c>
      <c r="D666">
        <v>0</v>
      </c>
      <c r="E666">
        <v>2030</v>
      </c>
      <c r="F666" t="s">
        <v>28</v>
      </c>
      <c r="G666">
        <v>129693.32771377628</v>
      </c>
      <c r="H666">
        <v>39415.735012617326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90277.592701158952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</row>
    <row r="667" spans="1:26" x14ac:dyDescent="0.25">
      <c r="A667" t="s">
        <v>130</v>
      </c>
      <c r="B667" t="s">
        <v>47</v>
      </c>
      <c r="C667" t="s">
        <v>73</v>
      </c>
      <c r="D667">
        <v>1</v>
      </c>
      <c r="E667">
        <v>2030</v>
      </c>
      <c r="F667" t="s">
        <v>28</v>
      </c>
      <c r="G667">
        <v>3973910.9975047</v>
      </c>
      <c r="H667">
        <v>0</v>
      </c>
      <c r="I667">
        <v>0</v>
      </c>
      <c r="J667">
        <v>0</v>
      </c>
      <c r="K667">
        <v>1507101.1523820646</v>
      </c>
      <c r="L667">
        <v>0</v>
      </c>
      <c r="M667">
        <v>0</v>
      </c>
      <c r="N667">
        <v>0</v>
      </c>
      <c r="O667">
        <v>2466809.8451226354</v>
      </c>
      <c r="P667">
        <v>2466809.8451226354</v>
      </c>
      <c r="Q667">
        <v>1507101.1523820646</v>
      </c>
      <c r="R667">
        <v>1.2309627808146464</v>
      </c>
      <c r="S667">
        <v>1.9830213268648205</v>
      </c>
      <c r="T667">
        <v>0.75205854605017419</v>
      </c>
      <c r="U667">
        <v>1.2309627808146462</v>
      </c>
      <c r="V667">
        <v>148008.59070735812</v>
      </c>
      <c r="W667">
        <v>238434.65985028198</v>
      </c>
      <c r="X667">
        <v>90426.06914292388</v>
      </c>
      <c r="Y667">
        <v>148008.59070735809</v>
      </c>
      <c r="Z667">
        <v>0</v>
      </c>
    </row>
    <row r="668" spans="1:26" x14ac:dyDescent="0.25">
      <c r="A668" t="s">
        <v>130</v>
      </c>
      <c r="B668" t="s">
        <v>44</v>
      </c>
      <c r="C668" t="s">
        <v>74</v>
      </c>
      <c r="D668">
        <v>1</v>
      </c>
      <c r="E668">
        <v>2030</v>
      </c>
      <c r="F668" t="s">
        <v>28</v>
      </c>
      <c r="G668">
        <v>15074833.175881069</v>
      </c>
      <c r="H668">
        <v>0</v>
      </c>
      <c r="I668">
        <v>0</v>
      </c>
      <c r="J668">
        <v>0</v>
      </c>
      <c r="K668">
        <v>7989661.5832169671</v>
      </c>
      <c r="L668">
        <v>7085171.5926641021</v>
      </c>
      <c r="M668">
        <v>0</v>
      </c>
      <c r="N668">
        <v>0</v>
      </c>
      <c r="O668">
        <v>0</v>
      </c>
      <c r="P668">
        <v>0</v>
      </c>
      <c r="Q668">
        <v>7989661.5832169671</v>
      </c>
      <c r="R668">
        <v>0</v>
      </c>
      <c r="S668">
        <v>3.4419462100498701</v>
      </c>
      <c r="T668">
        <v>3.4419462100498701</v>
      </c>
      <c r="U668">
        <v>0</v>
      </c>
      <c r="V668">
        <v>0</v>
      </c>
      <c r="W668">
        <v>399483.0791608484</v>
      </c>
      <c r="X668">
        <v>399483.0791608484</v>
      </c>
      <c r="Y668">
        <v>0</v>
      </c>
      <c r="Z668">
        <v>0</v>
      </c>
    </row>
    <row r="669" spans="1:26" x14ac:dyDescent="0.25">
      <c r="A669" t="s">
        <v>130</v>
      </c>
      <c r="B669" t="s">
        <v>32</v>
      </c>
      <c r="C669" t="s">
        <v>86</v>
      </c>
      <c r="D669">
        <v>0</v>
      </c>
      <c r="E669">
        <v>2030</v>
      </c>
      <c r="F669" t="s">
        <v>28</v>
      </c>
      <c r="G669">
        <v>1378013.0257817972</v>
      </c>
      <c r="H669">
        <v>0</v>
      </c>
      <c r="I669">
        <v>0</v>
      </c>
      <c r="J669">
        <v>121875.54404868034</v>
      </c>
      <c r="K669">
        <v>0</v>
      </c>
      <c r="L669">
        <v>0</v>
      </c>
      <c r="M669">
        <v>0</v>
      </c>
      <c r="N669">
        <v>0</v>
      </c>
      <c r="O669">
        <v>1256137.4817331168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</row>
    <row r="670" spans="1:26" x14ac:dyDescent="0.25">
      <c r="A670" t="s">
        <v>130</v>
      </c>
      <c r="B670" t="s">
        <v>36</v>
      </c>
      <c r="C670" t="s">
        <v>79</v>
      </c>
      <c r="D670">
        <v>1</v>
      </c>
      <c r="E670">
        <v>2030</v>
      </c>
      <c r="F670" t="s">
        <v>28</v>
      </c>
      <c r="G670">
        <v>10800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10800</v>
      </c>
      <c r="P670">
        <v>10800</v>
      </c>
      <c r="Q670">
        <v>0</v>
      </c>
      <c r="R670">
        <v>9.6930000000000002E-3</v>
      </c>
      <c r="S670">
        <v>9.6930000000000002E-3</v>
      </c>
      <c r="T670">
        <v>0</v>
      </c>
      <c r="U670">
        <v>9.6930000000000002E-3</v>
      </c>
      <c r="V670">
        <v>1620</v>
      </c>
      <c r="W670">
        <v>1620</v>
      </c>
      <c r="X670">
        <v>0</v>
      </c>
      <c r="Y670">
        <v>1620</v>
      </c>
      <c r="Z670">
        <v>0</v>
      </c>
    </row>
    <row r="671" spans="1:26" x14ac:dyDescent="0.25">
      <c r="A671" t="s">
        <v>130</v>
      </c>
      <c r="B671" t="s">
        <v>84</v>
      </c>
      <c r="C671" t="s">
        <v>86</v>
      </c>
      <c r="D671">
        <v>1</v>
      </c>
      <c r="E671">
        <v>2030</v>
      </c>
      <c r="F671" t="s">
        <v>28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</row>
    <row r="672" spans="1:26" x14ac:dyDescent="0.25">
      <c r="A672" t="s">
        <v>130</v>
      </c>
      <c r="B672" t="s">
        <v>66</v>
      </c>
      <c r="C672" t="s">
        <v>81</v>
      </c>
      <c r="D672">
        <v>1</v>
      </c>
      <c r="E672">
        <v>2030</v>
      </c>
      <c r="F672" t="s">
        <v>28</v>
      </c>
      <c r="G672">
        <v>2203715.0015238998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2203715.0015238998</v>
      </c>
      <c r="N672">
        <v>0</v>
      </c>
      <c r="O672">
        <v>0</v>
      </c>
      <c r="P672">
        <v>0</v>
      </c>
      <c r="Q672">
        <v>2203715.0015238998</v>
      </c>
      <c r="R672">
        <v>0</v>
      </c>
      <c r="S672">
        <v>31.93969521225883</v>
      </c>
      <c r="T672">
        <v>0</v>
      </c>
      <c r="U672">
        <v>31.93969521225883</v>
      </c>
      <c r="V672">
        <v>0</v>
      </c>
      <c r="W672">
        <v>1089920.7111703621</v>
      </c>
      <c r="X672">
        <v>0</v>
      </c>
      <c r="Y672">
        <v>1089920.7111703621</v>
      </c>
      <c r="Z672">
        <v>0</v>
      </c>
    </row>
    <row r="673" spans="1:26" x14ac:dyDescent="0.25">
      <c r="A673" t="s">
        <v>130</v>
      </c>
      <c r="B673" t="s">
        <v>85</v>
      </c>
      <c r="C673" t="s">
        <v>86</v>
      </c>
      <c r="D673">
        <v>0</v>
      </c>
      <c r="E673">
        <v>2030</v>
      </c>
      <c r="F673" t="s">
        <v>28</v>
      </c>
      <c r="G673">
        <v>605932.0339558397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605932.0339558397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</row>
    <row r="674" spans="1:26" x14ac:dyDescent="0.25">
      <c r="A674" t="s">
        <v>130</v>
      </c>
      <c r="B674" t="s">
        <v>40</v>
      </c>
      <c r="C674" t="s">
        <v>86</v>
      </c>
      <c r="D674">
        <v>0</v>
      </c>
      <c r="E674">
        <v>2050</v>
      </c>
      <c r="F674" t="s">
        <v>28</v>
      </c>
      <c r="G674">
        <v>249867.88679150312</v>
      </c>
      <c r="H674">
        <v>0</v>
      </c>
      <c r="I674">
        <v>0</v>
      </c>
      <c r="J674">
        <v>33849.968886444818</v>
      </c>
      <c r="K674">
        <v>0</v>
      </c>
      <c r="L674">
        <v>0</v>
      </c>
      <c r="M674">
        <v>0</v>
      </c>
      <c r="N674">
        <v>0</v>
      </c>
      <c r="O674">
        <v>216017.9179050583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</row>
    <row r="675" spans="1:26" x14ac:dyDescent="0.25">
      <c r="A675" t="s">
        <v>130</v>
      </c>
      <c r="B675" t="s">
        <v>34</v>
      </c>
      <c r="C675" t="s">
        <v>86</v>
      </c>
      <c r="D675">
        <v>0</v>
      </c>
      <c r="E675">
        <v>2050</v>
      </c>
      <c r="F675" t="s">
        <v>28</v>
      </c>
      <c r="G675">
        <v>260463.0327135307</v>
      </c>
      <c r="H675">
        <v>77398.170570230373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183064.86214330033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</row>
    <row r="676" spans="1:26" x14ac:dyDescent="0.25">
      <c r="A676" t="s">
        <v>130</v>
      </c>
      <c r="B676" t="s">
        <v>48</v>
      </c>
      <c r="C676" t="s">
        <v>73</v>
      </c>
      <c r="D676">
        <v>1</v>
      </c>
      <c r="E676">
        <v>2050</v>
      </c>
      <c r="F676" t="s">
        <v>28</v>
      </c>
      <c r="G676">
        <v>197484.13479984918</v>
      </c>
      <c r="H676">
        <v>0</v>
      </c>
      <c r="I676">
        <v>0</v>
      </c>
      <c r="J676">
        <v>0</v>
      </c>
      <c r="K676">
        <v>197484.23354298095</v>
      </c>
      <c r="L676">
        <v>0</v>
      </c>
      <c r="M676">
        <v>0</v>
      </c>
      <c r="N676">
        <v>0</v>
      </c>
      <c r="O676">
        <v>-9.8743131762603298E-2</v>
      </c>
      <c r="P676">
        <v>0</v>
      </c>
      <c r="Q676">
        <v>197484.23354298095</v>
      </c>
      <c r="R676">
        <v>0</v>
      </c>
      <c r="S676">
        <v>0.67281101009991739</v>
      </c>
      <c r="T676">
        <v>0.67281101009991739</v>
      </c>
      <c r="U676">
        <v>0</v>
      </c>
      <c r="V676">
        <v>0</v>
      </c>
      <c r="W676">
        <v>55295.585392034671</v>
      </c>
      <c r="X676">
        <v>55295.585392034671</v>
      </c>
      <c r="Y676">
        <v>0</v>
      </c>
      <c r="Z676">
        <v>1</v>
      </c>
    </row>
    <row r="677" spans="1:26" x14ac:dyDescent="0.25">
      <c r="A677" t="s">
        <v>130</v>
      </c>
      <c r="B677" t="s">
        <v>11</v>
      </c>
      <c r="C677" t="s">
        <v>86</v>
      </c>
      <c r="D677">
        <v>1</v>
      </c>
      <c r="E677">
        <v>2050</v>
      </c>
      <c r="F677" t="s">
        <v>28</v>
      </c>
      <c r="G677">
        <v>561658711.83836472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561658711.83836472</v>
      </c>
      <c r="N677">
        <v>0</v>
      </c>
      <c r="O677">
        <v>0</v>
      </c>
      <c r="P677">
        <v>0</v>
      </c>
      <c r="Q677">
        <v>561658711.83836472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</row>
    <row r="678" spans="1:26" x14ac:dyDescent="0.25">
      <c r="A678" t="s">
        <v>130</v>
      </c>
      <c r="B678" t="s">
        <v>68</v>
      </c>
      <c r="C678" t="s">
        <v>86</v>
      </c>
      <c r="D678">
        <v>0</v>
      </c>
      <c r="E678">
        <v>2050</v>
      </c>
      <c r="F678" t="s">
        <v>28</v>
      </c>
      <c r="G678">
        <v>23285588.83545886</v>
      </c>
      <c r="H678">
        <v>0</v>
      </c>
      <c r="I678">
        <v>0</v>
      </c>
      <c r="J678">
        <v>0</v>
      </c>
      <c r="K678">
        <v>0</v>
      </c>
      <c r="L678">
        <v>20673448.784384709</v>
      </c>
      <c r="M678">
        <v>0</v>
      </c>
      <c r="N678">
        <v>0</v>
      </c>
      <c r="O678">
        <v>2612140.0510741509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</row>
    <row r="679" spans="1:26" x14ac:dyDescent="0.25">
      <c r="A679" t="s">
        <v>130</v>
      </c>
      <c r="B679" t="s">
        <v>51</v>
      </c>
      <c r="C679" t="s">
        <v>73</v>
      </c>
      <c r="D679">
        <v>1</v>
      </c>
      <c r="E679">
        <v>2050</v>
      </c>
      <c r="F679" t="s">
        <v>28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</row>
    <row r="680" spans="1:26" x14ac:dyDescent="0.25">
      <c r="A680" t="s">
        <v>130</v>
      </c>
      <c r="B680" t="s">
        <v>50</v>
      </c>
      <c r="C680" t="s">
        <v>74</v>
      </c>
      <c r="D680">
        <v>1</v>
      </c>
      <c r="E680">
        <v>2050</v>
      </c>
      <c r="F680" t="s">
        <v>28</v>
      </c>
      <c r="G680">
        <v>3333573.27322629</v>
      </c>
      <c r="H680">
        <v>0</v>
      </c>
      <c r="I680">
        <v>0</v>
      </c>
      <c r="J680">
        <v>0</v>
      </c>
      <c r="K680">
        <v>1666786.636613145</v>
      </c>
      <c r="L680">
        <v>630997.79814640491</v>
      </c>
      <c r="M680">
        <v>0</v>
      </c>
      <c r="N680">
        <v>0</v>
      </c>
      <c r="O680">
        <v>1035788.8384667402</v>
      </c>
      <c r="P680">
        <v>1035788.8384667402</v>
      </c>
      <c r="Q680">
        <v>1666786.636613145</v>
      </c>
      <c r="R680">
        <v>2.2310891580573586</v>
      </c>
      <c r="S680">
        <v>5.8213475733220736</v>
      </c>
      <c r="T680">
        <v>3.5902584152647146</v>
      </c>
      <c r="U680">
        <v>2.2310891580573591</v>
      </c>
      <c r="V680">
        <v>310736.65154002205</v>
      </c>
      <c r="W680">
        <v>810772.64252396557</v>
      </c>
      <c r="X680">
        <v>500035.99098394345</v>
      </c>
      <c r="Y680">
        <v>310736.65154002211</v>
      </c>
      <c r="Z680">
        <v>0</v>
      </c>
    </row>
    <row r="681" spans="1:26" x14ac:dyDescent="0.25">
      <c r="A681" t="s">
        <v>130</v>
      </c>
      <c r="B681" t="s">
        <v>60</v>
      </c>
      <c r="C681" t="s">
        <v>86</v>
      </c>
      <c r="D681">
        <v>0</v>
      </c>
      <c r="E681">
        <v>2050</v>
      </c>
      <c r="F681" t="s">
        <v>28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</row>
    <row r="682" spans="1:26" x14ac:dyDescent="0.25">
      <c r="A682" t="s">
        <v>130</v>
      </c>
      <c r="B682" t="s">
        <v>46</v>
      </c>
      <c r="C682" t="s">
        <v>74</v>
      </c>
      <c r="D682">
        <v>1</v>
      </c>
      <c r="E682">
        <v>2050</v>
      </c>
      <c r="F682" t="s">
        <v>28</v>
      </c>
      <c r="G682">
        <v>10338.638066978907</v>
      </c>
      <c r="H682">
        <v>0</v>
      </c>
      <c r="I682">
        <v>0</v>
      </c>
      <c r="J682">
        <v>0</v>
      </c>
      <c r="K682">
        <v>5169.3190334894534</v>
      </c>
      <c r="L682">
        <v>3913.9129824991574</v>
      </c>
      <c r="M682">
        <v>0</v>
      </c>
      <c r="N682">
        <v>0</v>
      </c>
      <c r="O682">
        <v>1255.4060509902956</v>
      </c>
      <c r="P682">
        <v>1255.4060509902956</v>
      </c>
      <c r="Q682">
        <v>5169.3190334894534</v>
      </c>
      <c r="R682">
        <v>5.9040491172022611E-4</v>
      </c>
      <c r="S682">
        <v>3.0214839599799811E-3</v>
      </c>
      <c r="T682">
        <v>2.4310790482597552E-3</v>
      </c>
      <c r="U682">
        <v>5.9040491172022589E-4</v>
      </c>
      <c r="V682">
        <v>79.090581212388628</v>
      </c>
      <c r="W682">
        <v>404.75768032222419</v>
      </c>
      <c r="X682">
        <v>325.66709910983559</v>
      </c>
      <c r="Y682">
        <v>79.090581212388599</v>
      </c>
      <c r="Z682">
        <v>0</v>
      </c>
    </row>
    <row r="683" spans="1:26" x14ac:dyDescent="0.25">
      <c r="A683" t="s">
        <v>130</v>
      </c>
      <c r="B683" t="s">
        <v>39</v>
      </c>
      <c r="C683" t="s">
        <v>86</v>
      </c>
      <c r="D683">
        <v>0</v>
      </c>
      <c r="E683">
        <v>2050</v>
      </c>
      <c r="F683" t="s">
        <v>28</v>
      </c>
      <c r="G683">
        <v>208390.50149991471</v>
      </c>
      <c r="H683">
        <v>0</v>
      </c>
      <c r="I683">
        <v>0</v>
      </c>
      <c r="J683">
        <v>36670.799626981883</v>
      </c>
      <c r="K683">
        <v>0</v>
      </c>
      <c r="L683">
        <v>0</v>
      </c>
      <c r="M683">
        <v>0</v>
      </c>
      <c r="N683">
        <v>0</v>
      </c>
      <c r="O683">
        <v>171719.70187293284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</row>
    <row r="684" spans="1:26" x14ac:dyDescent="0.25">
      <c r="A684" t="s">
        <v>130</v>
      </c>
      <c r="B684" t="s">
        <v>75</v>
      </c>
      <c r="C684" t="s">
        <v>86</v>
      </c>
      <c r="D684">
        <v>0</v>
      </c>
      <c r="E684">
        <v>2050</v>
      </c>
      <c r="F684" t="s">
        <v>28</v>
      </c>
      <c r="G684">
        <v>893493.81900150096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893493.81900150096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</row>
    <row r="685" spans="1:26" x14ac:dyDescent="0.25">
      <c r="A685" t="s">
        <v>130</v>
      </c>
      <c r="B685" t="s">
        <v>41</v>
      </c>
      <c r="C685" t="s">
        <v>86</v>
      </c>
      <c r="D685">
        <v>0</v>
      </c>
      <c r="E685">
        <v>2050</v>
      </c>
      <c r="F685" t="s">
        <v>28</v>
      </c>
      <c r="G685">
        <v>26150.496751056631</v>
      </c>
      <c r="H685">
        <v>0</v>
      </c>
      <c r="I685">
        <v>0</v>
      </c>
      <c r="J685">
        <v>267978.92035102146</v>
      </c>
      <c r="K685">
        <v>0</v>
      </c>
      <c r="L685">
        <v>0</v>
      </c>
      <c r="M685">
        <v>0</v>
      </c>
      <c r="N685">
        <v>0</v>
      </c>
      <c r="O685">
        <v>-241828.42359996482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1</v>
      </c>
    </row>
    <row r="686" spans="1:26" x14ac:dyDescent="0.25">
      <c r="A686" t="s">
        <v>130</v>
      </c>
      <c r="B686" t="s">
        <v>57</v>
      </c>
      <c r="C686" t="s">
        <v>57</v>
      </c>
      <c r="D686">
        <v>1</v>
      </c>
      <c r="E686">
        <v>2050</v>
      </c>
      <c r="F686" t="s">
        <v>28</v>
      </c>
      <c r="G686">
        <v>0</v>
      </c>
      <c r="H686">
        <v>0</v>
      </c>
      <c r="I686">
        <v>0</v>
      </c>
      <c r="J686">
        <v>0</v>
      </c>
      <c r="K686">
        <v>114193.60000000001</v>
      </c>
      <c r="L686">
        <v>0</v>
      </c>
      <c r="M686">
        <v>0</v>
      </c>
      <c r="N686">
        <v>0</v>
      </c>
      <c r="O686">
        <v>-114193.60000000001</v>
      </c>
      <c r="P686">
        <v>0</v>
      </c>
      <c r="Q686">
        <v>114193.60000000001</v>
      </c>
      <c r="R686">
        <v>0</v>
      </c>
      <c r="S686">
        <v>1.7355855896064003</v>
      </c>
      <c r="T686">
        <v>1.7355855896064003</v>
      </c>
      <c r="U686">
        <v>0</v>
      </c>
      <c r="V686">
        <v>0</v>
      </c>
      <c r="W686">
        <v>102774.24</v>
      </c>
      <c r="X686">
        <v>102774.24</v>
      </c>
      <c r="Y686">
        <v>0</v>
      </c>
      <c r="Z686">
        <v>1</v>
      </c>
    </row>
    <row r="687" spans="1:26" x14ac:dyDescent="0.25">
      <c r="A687" t="s">
        <v>130</v>
      </c>
      <c r="B687" t="s">
        <v>53</v>
      </c>
      <c r="C687" t="s">
        <v>76</v>
      </c>
      <c r="D687">
        <v>1</v>
      </c>
      <c r="E687">
        <v>2050</v>
      </c>
      <c r="F687" t="s">
        <v>28</v>
      </c>
      <c r="G687">
        <v>16099999.551723864</v>
      </c>
      <c r="H687">
        <v>14685227.891109958</v>
      </c>
      <c r="I687">
        <v>0</v>
      </c>
      <c r="J687">
        <v>0</v>
      </c>
      <c r="K687">
        <v>75527.053678542041</v>
      </c>
      <c r="L687">
        <v>0</v>
      </c>
      <c r="M687">
        <v>0</v>
      </c>
      <c r="N687">
        <v>0</v>
      </c>
      <c r="O687">
        <v>1339244.6069353633</v>
      </c>
      <c r="P687">
        <v>1339244.6069353633</v>
      </c>
      <c r="Q687">
        <v>75527.053678542041</v>
      </c>
      <c r="R687">
        <v>2.4640426711852017</v>
      </c>
      <c r="S687">
        <v>2.6030030090720091</v>
      </c>
      <c r="T687">
        <v>0.13896033788680753</v>
      </c>
      <c r="U687">
        <v>2.4640426711852017</v>
      </c>
      <c r="V687">
        <v>374988.48994190176</v>
      </c>
      <c r="W687">
        <v>396136.06497189356</v>
      </c>
      <c r="X687">
        <v>21147.575029991774</v>
      </c>
      <c r="Y687">
        <v>374988.48994190176</v>
      </c>
      <c r="Z687">
        <v>0</v>
      </c>
    </row>
    <row r="688" spans="1:26" x14ac:dyDescent="0.25">
      <c r="A688" t="s">
        <v>130</v>
      </c>
      <c r="B688" t="s">
        <v>61</v>
      </c>
      <c r="C688" t="s">
        <v>86</v>
      </c>
      <c r="D688">
        <v>0</v>
      </c>
      <c r="E688">
        <v>2050</v>
      </c>
      <c r="F688" t="s">
        <v>28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</row>
    <row r="689" spans="1:26" x14ac:dyDescent="0.25">
      <c r="A689" t="s">
        <v>130</v>
      </c>
      <c r="B689" t="s">
        <v>30</v>
      </c>
      <c r="C689" t="s">
        <v>86</v>
      </c>
      <c r="D689">
        <v>0</v>
      </c>
      <c r="E689">
        <v>2050</v>
      </c>
      <c r="F689" t="s">
        <v>28</v>
      </c>
      <c r="G689">
        <v>185255.23058853028</v>
      </c>
      <c r="H689">
        <v>0</v>
      </c>
      <c r="I689">
        <v>0</v>
      </c>
      <c r="J689">
        <v>280672.65868343826</v>
      </c>
      <c r="K689">
        <v>0</v>
      </c>
      <c r="L689">
        <v>0</v>
      </c>
      <c r="M689">
        <v>0</v>
      </c>
      <c r="N689">
        <v>0</v>
      </c>
      <c r="O689">
        <v>-95417.428094907984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1</v>
      </c>
    </row>
    <row r="690" spans="1:26" x14ac:dyDescent="0.25">
      <c r="A690" t="s">
        <v>130</v>
      </c>
      <c r="B690" t="s">
        <v>52</v>
      </c>
      <c r="C690" t="s">
        <v>77</v>
      </c>
      <c r="D690">
        <v>1</v>
      </c>
      <c r="E690">
        <v>2050</v>
      </c>
      <c r="F690" t="s">
        <v>28</v>
      </c>
      <c r="G690">
        <v>2554079.4309541653</v>
      </c>
      <c r="H690">
        <v>927703.07225151139</v>
      </c>
      <c r="I690">
        <v>868816.20672013925</v>
      </c>
      <c r="J690">
        <v>0</v>
      </c>
      <c r="K690">
        <v>51614.661983045924</v>
      </c>
      <c r="L690">
        <v>0</v>
      </c>
      <c r="M690">
        <v>705945.48999946821</v>
      </c>
      <c r="N690">
        <v>0</v>
      </c>
      <c r="O690">
        <v>0</v>
      </c>
      <c r="P690">
        <v>0</v>
      </c>
      <c r="Q690">
        <v>757560.15198251419</v>
      </c>
      <c r="R690">
        <v>0</v>
      </c>
      <c r="S690">
        <v>7.5941022688695501</v>
      </c>
      <c r="T690">
        <v>0.2975863982497306</v>
      </c>
      <c r="U690">
        <v>7.2965158706198192</v>
      </c>
      <c r="V690">
        <v>0</v>
      </c>
      <c r="W690">
        <v>643926.12918513699</v>
      </c>
      <c r="X690">
        <v>43872.462685589031</v>
      </c>
      <c r="Y690">
        <v>600053.66649954801</v>
      </c>
      <c r="Z690">
        <v>0</v>
      </c>
    </row>
    <row r="691" spans="1:26" x14ac:dyDescent="0.25">
      <c r="A691" t="s">
        <v>130</v>
      </c>
      <c r="B691" t="s">
        <v>56</v>
      </c>
      <c r="C691" t="s">
        <v>73</v>
      </c>
      <c r="D691">
        <v>1</v>
      </c>
      <c r="E691">
        <v>2050</v>
      </c>
      <c r="F691" t="s">
        <v>28</v>
      </c>
      <c r="G691">
        <v>524881.97503939818</v>
      </c>
      <c r="H691">
        <v>0</v>
      </c>
      <c r="I691">
        <v>0</v>
      </c>
      <c r="J691">
        <v>0</v>
      </c>
      <c r="K691">
        <v>41.656918132692169</v>
      </c>
      <c r="L691">
        <v>0</v>
      </c>
      <c r="M691">
        <v>524840.3181212655</v>
      </c>
      <c r="N691">
        <v>0</v>
      </c>
      <c r="O691">
        <v>0</v>
      </c>
      <c r="P691">
        <v>0</v>
      </c>
      <c r="Q691">
        <v>524881.97503939818</v>
      </c>
      <c r="R691">
        <v>0</v>
      </c>
      <c r="S691">
        <v>9.3696358336044021</v>
      </c>
      <c r="T691">
        <v>7.0736362973580603E-5</v>
      </c>
      <c r="U691">
        <v>9.3695650972414288</v>
      </c>
      <c r="V691">
        <v>0</v>
      </c>
      <c r="W691">
        <v>157464.59251181944</v>
      </c>
      <c r="X691">
        <v>12.49707543980765</v>
      </c>
      <c r="Y691">
        <v>157452.09543637963</v>
      </c>
      <c r="Z691">
        <v>0</v>
      </c>
    </row>
    <row r="692" spans="1:26" x14ac:dyDescent="0.25">
      <c r="A692" t="s">
        <v>130</v>
      </c>
      <c r="B692" t="s">
        <v>63</v>
      </c>
      <c r="C692" t="s">
        <v>86</v>
      </c>
      <c r="D692">
        <v>0</v>
      </c>
      <c r="E692">
        <v>2050</v>
      </c>
      <c r="F692" t="s">
        <v>28</v>
      </c>
      <c r="G692">
        <v>0</v>
      </c>
      <c r="H692">
        <v>5794113.0468547465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-5794113.0468547465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1</v>
      </c>
    </row>
    <row r="693" spans="1:26" x14ac:dyDescent="0.25">
      <c r="A693" t="s">
        <v>130</v>
      </c>
      <c r="B693" t="s">
        <v>49</v>
      </c>
      <c r="C693" t="s">
        <v>73</v>
      </c>
      <c r="D693">
        <v>1</v>
      </c>
      <c r="E693">
        <v>2050</v>
      </c>
      <c r="F693" t="s">
        <v>28</v>
      </c>
      <c r="G693">
        <v>585716.08517907641</v>
      </c>
      <c r="H693">
        <v>0</v>
      </c>
      <c r="I693">
        <v>0</v>
      </c>
      <c r="J693">
        <v>0</v>
      </c>
      <c r="K693">
        <v>531600.61023474101</v>
      </c>
      <c r="L693">
        <v>0</v>
      </c>
      <c r="M693">
        <v>0</v>
      </c>
      <c r="N693">
        <v>0</v>
      </c>
      <c r="O693">
        <v>54115.474944335409</v>
      </c>
      <c r="P693">
        <v>54115.474944335409</v>
      </c>
      <c r="Q693">
        <v>531600.61023474101</v>
      </c>
      <c r="R693">
        <v>0.23448938794554811</v>
      </c>
      <c r="S693">
        <v>2.192459757338042</v>
      </c>
      <c r="T693">
        <v>1.9579703693924939</v>
      </c>
      <c r="U693">
        <v>0.23448938794554808</v>
      </c>
      <c r="V693">
        <v>22728.499476620869</v>
      </c>
      <c r="W693">
        <v>246000.75577521208</v>
      </c>
      <c r="X693">
        <v>223272.25629859121</v>
      </c>
      <c r="Y693">
        <v>22728.499476620869</v>
      </c>
      <c r="Z693">
        <v>0</v>
      </c>
    </row>
    <row r="694" spans="1:26" x14ac:dyDescent="0.25">
      <c r="A694" t="s">
        <v>130</v>
      </c>
      <c r="B694" t="s">
        <v>78</v>
      </c>
      <c r="C694" t="s">
        <v>86</v>
      </c>
      <c r="D694">
        <v>0</v>
      </c>
      <c r="E694">
        <v>2050</v>
      </c>
      <c r="F694" t="s">
        <v>28</v>
      </c>
      <c r="G694">
        <v>772432.08575229661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772432.08575229661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</row>
    <row r="695" spans="1:26" x14ac:dyDescent="0.25">
      <c r="A695" t="s">
        <v>130</v>
      </c>
      <c r="B695" t="s">
        <v>31</v>
      </c>
      <c r="C695" t="s">
        <v>86</v>
      </c>
      <c r="D695">
        <v>0</v>
      </c>
      <c r="E695">
        <v>2050</v>
      </c>
      <c r="F695" t="s">
        <v>28</v>
      </c>
      <c r="G695">
        <v>2162497.7416876755</v>
      </c>
      <c r="H695">
        <v>0</v>
      </c>
      <c r="I695">
        <v>0</v>
      </c>
      <c r="J695">
        <v>128347.79869443661</v>
      </c>
      <c r="K695">
        <v>0</v>
      </c>
      <c r="L695">
        <v>0</v>
      </c>
      <c r="M695">
        <v>0</v>
      </c>
      <c r="N695">
        <v>0</v>
      </c>
      <c r="O695">
        <v>2034149.9429932388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</row>
    <row r="696" spans="1:26" x14ac:dyDescent="0.25">
      <c r="A696" t="s">
        <v>130</v>
      </c>
      <c r="B696" t="s">
        <v>29</v>
      </c>
      <c r="C696" t="s">
        <v>77</v>
      </c>
      <c r="D696">
        <v>1</v>
      </c>
      <c r="E696">
        <v>2050</v>
      </c>
      <c r="F696" t="s">
        <v>28</v>
      </c>
      <c r="G696">
        <v>6945589.6789912721</v>
      </c>
      <c r="H696">
        <v>7055058.2423947481</v>
      </c>
      <c r="I696">
        <v>0</v>
      </c>
      <c r="J696">
        <v>307470.55071854044</v>
      </c>
      <c r="K696">
        <v>2825.7560217041437</v>
      </c>
      <c r="L696">
        <v>0</v>
      </c>
      <c r="M696">
        <v>0</v>
      </c>
      <c r="N696">
        <v>0</v>
      </c>
      <c r="O696">
        <v>-419764.87014372088</v>
      </c>
      <c r="P696">
        <v>0</v>
      </c>
      <c r="Q696">
        <v>2825.7560217041437</v>
      </c>
      <c r="R696">
        <v>0</v>
      </c>
      <c r="S696">
        <v>9.6778187684936554E-3</v>
      </c>
      <c r="T696">
        <v>9.6778187684936554E-3</v>
      </c>
      <c r="U696">
        <v>0</v>
      </c>
      <c r="V696">
        <v>0</v>
      </c>
      <c r="W696">
        <v>875.9843667282845</v>
      </c>
      <c r="X696">
        <v>875.9843667282845</v>
      </c>
      <c r="Y696">
        <v>0</v>
      </c>
      <c r="Z696">
        <v>0</v>
      </c>
    </row>
    <row r="697" spans="1:26" x14ac:dyDescent="0.25">
      <c r="A697" t="s">
        <v>130</v>
      </c>
      <c r="B697" t="s">
        <v>69</v>
      </c>
      <c r="C697" t="s">
        <v>86</v>
      </c>
      <c r="D697">
        <v>0</v>
      </c>
      <c r="E697">
        <v>2050</v>
      </c>
      <c r="F697" t="s">
        <v>28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371711.85601871461</v>
      </c>
      <c r="M697">
        <v>0</v>
      </c>
      <c r="N697">
        <v>0</v>
      </c>
      <c r="O697">
        <v>-371711.85601871461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1</v>
      </c>
    </row>
    <row r="698" spans="1:26" x14ac:dyDescent="0.25">
      <c r="A698" t="s">
        <v>130</v>
      </c>
      <c r="B698" t="s">
        <v>45</v>
      </c>
      <c r="C698" t="s">
        <v>74</v>
      </c>
      <c r="D698">
        <v>1</v>
      </c>
      <c r="E698">
        <v>2050</v>
      </c>
      <c r="F698" t="s">
        <v>28</v>
      </c>
      <c r="G698">
        <v>15282487.80305979</v>
      </c>
      <c r="H698">
        <v>0</v>
      </c>
      <c r="I698">
        <v>0</v>
      </c>
      <c r="J698">
        <v>0</v>
      </c>
      <c r="K698">
        <v>11614690.73032544</v>
      </c>
      <c r="L698">
        <v>2429915.5606865063</v>
      </c>
      <c r="M698">
        <v>0</v>
      </c>
      <c r="N698">
        <v>0</v>
      </c>
      <c r="O698">
        <v>1237881.512047844</v>
      </c>
      <c r="P698">
        <v>1237881.512047844</v>
      </c>
      <c r="Q698">
        <v>11614690.73032544</v>
      </c>
      <c r="R698">
        <v>0.6266032425834982</v>
      </c>
      <c r="S698">
        <v>6.5058435433669333</v>
      </c>
      <c r="T698">
        <v>5.8792403007834348</v>
      </c>
      <c r="U698">
        <v>0.62660324258349842</v>
      </c>
      <c r="V698">
        <v>94078.99491563614</v>
      </c>
      <c r="W698">
        <v>976795.49042036955</v>
      </c>
      <c r="X698">
        <v>882716.49550473341</v>
      </c>
      <c r="Y698">
        <v>94078.99491563614</v>
      </c>
      <c r="Z698">
        <v>0</v>
      </c>
    </row>
    <row r="699" spans="1:26" x14ac:dyDescent="0.25">
      <c r="A699" t="s">
        <v>130</v>
      </c>
      <c r="B699" t="s">
        <v>59</v>
      </c>
      <c r="C699" t="s">
        <v>86</v>
      </c>
      <c r="D699">
        <v>0</v>
      </c>
      <c r="E699">
        <v>2050</v>
      </c>
      <c r="F699" t="s">
        <v>28</v>
      </c>
      <c r="G699">
        <v>1909060.1640936765</v>
      </c>
      <c r="H699">
        <v>1818857.0084004137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90203.155693262815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</row>
    <row r="700" spans="1:26" x14ac:dyDescent="0.25">
      <c r="A700" t="s">
        <v>130</v>
      </c>
      <c r="B700" t="s">
        <v>54</v>
      </c>
      <c r="C700" t="s">
        <v>76</v>
      </c>
      <c r="D700">
        <v>1</v>
      </c>
      <c r="E700">
        <v>2050</v>
      </c>
      <c r="F700" t="s">
        <v>28</v>
      </c>
      <c r="G700">
        <v>7786550.4071108392</v>
      </c>
      <c r="H700">
        <v>6788464.5437639551</v>
      </c>
      <c r="I700">
        <v>0</v>
      </c>
      <c r="J700">
        <v>0</v>
      </c>
      <c r="K700">
        <v>314525.12457946909</v>
      </c>
      <c r="L700">
        <v>0</v>
      </c>
      <c r="M700">
        <v>0</v>
      </c>
      <c r="N700">
        <v>0</v>
      </c>
      <c r="O700">
        <v>683560.73876741529</v>
      </c>
      <c r="P700">
        <v>218583.82382291782</v>
      </c>
      <c r="Q700">
        <v>314525.12457946909</v>
      </c>
      <c r="R700">
        <v>0.7847159275242751</v>
      </c>
      <c r="S700">
        <v>1.9138611247645692</v>
      </c>
      <c r="T700">
        <v>1.1291451972402942</v>
      </c>
      <c r="U700">
        <v>0.78471592752427499</v>
      </c>
      <c r="V700">
        <v>65575.147146875344</v>
      </c>
      <c r="W700">
        <v>159932.68452071605</v>
      </c>
      <c r="X700">
        <v>94357.537373840722</v>
      </c>
      <c r="Y700">
        <v>65575.14714687533</v>
      </c>
      <c r="Z700">
        <v>0</v>
      </c>
    </row>
    <row r="701" spans="1:26" x14ac:dyDescent="0.25">
      <c r="A701" t="s">
        <v>130</v>
      </c>
      <c r="B701" t="s">
        <v>38</v>
      </c>
      <c r="C701" t="s">
        <v>86</v>
      </c>
      <c r="D701">
        <v>0</v>
      </c>
      <c r="E701">
        <v>2050</v>
      </c>
      <c r="F701" t="s">
        <v>28</v>
      </c>
      <c r="G701">
        <v>3683495.3348211222</v>
      </c>
      <c r="H701">
        <v>0</v>
      </c>
      <c r="I701">
        <v>0</v>
      </c>
      <c r="J701">
        <v>490824.54885344987</v>
      </c>
      <c r="K701">
        <v>0</v>
      </c>
      <c r="L701">
        <v>0</v>
      </c>
      <c r="M701">
        <v>0</v>
      </c>
      <c r="N701">
        <v>0</v>
      </c>
      <c r="O701">
        <v>3192670.7859676722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</row>
    <row r="702" spans="1:26" x14ac:dyDescent="0.25">
      <c r="A702" t="s">
        <v>130</v>
      </c>
      <c r="B702" t="s">
        <v>35</v>
      </c>
      <c r="C702" t="s">
        <v>79</v>
      </c>
      <c r="D702">
        <v>1</v>
      </c>
      <c r="E702">
        <v>2050</v>
      </c>
      <c r="F702" t="s">
        <v>28</v>
      </c>
      <c r="G702">
        <v>194761.7983669767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194761.7983669767</v>
      </c>
      <c r="P702">
        <v>194761.7983669767</v>
      </c>
      <c r="Q702">
        <v>0</v>
      </c>
      <c r="R702">
        <v>0.17479871403436159</v>
      </c>
      <c r="S702">
        <v>0.17479871403436159</v>
      </c>
      <c r="T702">
        <v>0</v>
      </c>
      <c r="U702">
        <v>0.17479871403436159</v>
      </c>
      <c r="V702">
        <v>29214.269755046505</v>
      </c>
      <c r="W702">
        <v>29214.269755046505</v>
      </c>
      <c r="X702">
        <v>0</v>
      </c>
      <c r="Y702">
        <v>29214.269755046505</v>
      </c>
      <c r="Z702">
        <v>0</v>
      </c>
    </row>
    <row r="703" spans="1:26" x14ac:dyDescent="0.25">
      <c r="A703" t="s">
        <v>130</v>
      </c>
      <c r="B703" t="s">
        <v>33</v>
      </c>
      <c r="C703" t="s">
        <v>86</v>
      </c>
      <c r="D703">
        <v>0</v>
      </c>
      <c r="E703">
        <v>2050</v>
      </c>
      <c r="F703" t="s">
        <v>28</v>
      </c>
      <c r="G703">
        <v>123345.7388852182</v>
      </c>
      <c r="H703">
        <v>0</v>
      </c>
      <c r="I703">
        <v>0</v>
      </c>
      <c r="J703">
        <v>62368.567673274578</v>
      </c>
      <c r="K703">
        <v>0</v>
      </c>
      <c r="L703">
        <v>0</v>
      </c>
      <c r="M703">
        <v>0</v>
      </c>
      <c r="N703">
        <v>0</v>
      </c>
      <c r="O703">
        <v>60977.171211943627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</row>
    <row r="704" spans="1:26" x14ac:dyDescent="0.25">
      <c r="A704" t="s">
        <v>130</v>
      </c>
      <c r="B704" t="s">
        <v>80</v>
      </c>
      <c r="C704" t="s">
        <v>86</v>
      </c>
      <c r="D704">
        <v>0</v>
      </c>
      <c r="E704">
        <v>2050</v>
      </c>
      <c r="F704" t="s">
        <v>28</v>
      </c>
      <c r="G704">
        <v>1623142.2943438755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1623142.2943438755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</row>
    <row r="705" spans="1:26" x14ac:dyDescent="0.25">
      <c r="A705" t="s">
        <v>130</v>
      </c>
      <c r="B705" t="s">
        <v>65</v>
      </c>
      <c r="C705" t="s">
        <v>81</v>
      </c>
      <c r="D705">
        <v>1</v>
      </c>
      <c r="E705">
        <v>2050</v>
      </c>
      <c r="F705" t="s">
        <v>28</v>
      </c>
      <c r="G705">
        <v>171775.11908496951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171775.11908496951</v>
      </c>
      <c r="N705">
        <v>0</v>
      </c>
      <c r="O705">
        <v>0</v>
      </c>
      <c r="P705">
        <v>0</v>
      </c>
      <c r="Q705">
        <v>171775.11908496951</v>
      </c>
      <c r="R705">
        <v>0</v>
      </c>
      <c r="S705">
        <v>3.1606621911634383</v>
      </c>
      <c r="T705">
        <v>0</v>
      </c>
      <c r="U705">
        <v>3.1606621911634383</v>
      </c>
      <c r="V705">
        <v>0</v>
      </c>
      <c r="W705">
        <v>71286.674420262352</v>
      </c>
      <c r="X705">
        <v>0</v>
      </c>
      <c r="Y705">
        <v>71286.674420262352</v>
      </c>
      <c r="Z705">
        <v>0</v>
      </c>
    </row>
    <row r="706" spans="1:26" x14ac:dyDescent="0.25">
      <c r="A706" t="s">
        <v>130</v>
      </c>
      <c r="B706" t="s">
        <v>140</v>
      </c>
      <c r="C706" t="s">
        <v>142</v>
      </c>
      <c r="D706">
        <v>1</v>
      </c>
      <c r="E706">
        <v>2050</v>
      </c>
      <c r="F706" t="s">
        <v>28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</row>
    <row r="707" spans="1:26" x14ac:dyDescent="0.25">
      <c r="A707" t="s">
        <v>130</v>
      </c>
      <c r="B707" t="s">
        <v>141</v>
      </c>
      <c r="C707" t="s">
        <v>142</v>
      </c>
      <c r="D707">
        <v>1</v>
      </c>
      <c r="E707">
        <v>2050</v>
      </c>
      <c r="F707" t="s">
        <v>28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</row>
    <row r="708" spans="1:26" x14ac:dyDescent="0.25">
      <c r="A708" t="s">
        <v>130</v>
      </c>
      <c r="B708" t="s">
        <v>82</v>
      </c>
      <c r="C708" t="s">
        <v>86</v>
      </c>
      <c r="D708">
        <v>0</v>
      </c>
      <c r="E708">
        <v>2050</v>
      </c>
      <c r="F708" t="s">
        <v>28</v>
      </c>
      <c r="G708">
        <v>5735954.3578613317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5735954.3578613317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</row>
    <row r="709" spans="1:26" x14ac:dyDescent="0.25">
      <c r="A709" t="s">
        <v>130</v>
      </c>
      <c r="B709" t="s">
        <v>72</v>
      </c>
      <c r="C709" t="s">
        <v>86</v>
      </c>
      <c r="D709">
        <v>0</v>
      </c>
      <c r="E709">
        <v>2050</v>
      </c>
      <c r="F709" t="s">
        <v>28</v>
      </c>
      <c r="G709">
        <v>489039.95714195294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489039.95714195294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</row>
    <row r="710" spans="1:26" x14ac:dyDescent="0.25">
      <c r="A710" t="s">
        <v>130</v>
      </c>
      <c r="B710" t="s">
        <v>58</v>
      </c>
      <c r="C710" t="s">
        <v>86</v>
      </c>
      <c r="D710">
        <v>0</v>
      </c>
      <c r="E710">
        <v>2050</v>
      </c>
      <c r="F710" t="s">
        <v>28</v>
      </c>
      <c r="G710">
        <v>244519.97857097647</v>
      </c>
      <c r="H710">
        <v>256918.92730951472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-12398.948738538253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</row>
    <row r="711" spans="1:26" x14ac:dyDescent="0.25">
      <c r="A711" t="s">
        <v>130</v>
      </c>
      <c r="B711" t="s">
        <v>64</v>
      </c>
      <c r="C711" t="s">
        <v>64</v>
      </c>
      <c r="D711">
        <v>1</v>
      </c>
      <c r="E711">
        <v>2050</v>
      </c>
      <c r="F711" t="s">
        <v>28</v>
      </c>
      <c r="G711">
        <v>156492.78628542495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156492.78628542495</v>
      </c>
      <c r="N711">
        <v>0</v>
      </c>
      <c r="O711">
        <v>0</v>
      </c>
      <c r="P711">
        <v>0</v>
      </c>
      <c r="Q711">
        <v>156492.78628542495</v>
      </c>
      <c r="R711">
        <v>0</v>
      </c>
      <c r="S711">
        <v>5.4772475199898727</v>
      </c>
      <c r="T711">
        <v>0</v>
      </c>
      <c r="U711">
        <v>5.4772475199898727</v>
      </c>
      <c r="V711">
        <v>0</v>
      </c>
      <c r="W711">
        <v>142408.43551973673</v>
      </c>
      <c r="X711">
        <v>0</v>
      </c>
      <c r="Y711">
        <v>142408.43551973673</v>
      </c>
      <c r="Z711">
        <v>0</v>
      </c>
    </row>
    <row r="712" spans="1:26" x14ac:dyDescent="0.25">
      <c r="A712" t="s">
        <v>130</v>
      </c>
      <c r="B712" t="s">
        <v>55</v>
      </c>
      <c r="C712" t="s">
        <v>76</v>
      </c>
      <c r="D712">
        <v>1</v>
      </c>
      <c r="E712">
        <v>2050</v>
      </c>
      <c r="F712" t="s">
        <v>28</v>
      </c>
      <c r="G712">
        <v>380710.74225422333</v>
      </c>
      <c r="H712">
        <v>1009401.1411867546</v>
      </c>
      <c r="I712">
        <v>0</v>
      </c>
      <c r="J712">
        <v>0</v>
      </c>
      <c r="K712">
        <v>4034.07077562927</v>
      </c>
      <c r="L712">
        <v>0</v>
      </c>
      <c r="M712">
        <v>0</v>
      </c>
      <c r="N712">
        <v>0</v>
      </c>
      <c r="O712">
        <v>-632724.4697081605</v>
      </c>
      <c r="P712">
        <v>0</v>
      </c>
      <c r="Q712">
        <v>4034.07077562927</v>
      </c>
      <c r="R712">
        <v>0</v>
      </c>
      <c r="S712">
        <v>1.0948629447888865E-2</v>
      </c>
      <c r="T712">
        <v>1.0948629447888865E-2</v>
      </c>
      <c r="U712">
        <v>0</v>
      </c>
      <c r="V712">
        <v>0</v>
      </c>
      <c r="W712">
        <v>806.81415512585409</v>
      </c>
      <c r="X712">
        <v>806.81415512585409</v>
      </c>
      <c r="Y712">
        <v>0</v>
      </c>
      <c r="Z712">
        <v>0</v>
      </c>
    </row>
    <row r="713" spans="1:26" x14ac:dyDescent="0.25">
      <c r="A713" t="s">
        <v>130</v>
      </c>
      <c r="B713" t="s">
        <v>83</v>
      </c>
      <c r="C713" t="s">
        <v>86</v>
      </c>
      <c r="D713">
        <v>0</v>
      </c>
      <c r="E713">
        <v>2050</v>
      </c>
      <c r="F713" t="s">
        <v>28</v>
      </c>
      <c r="G713">
        <v>222680.59406186192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222680.59406186192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</row>
    <row r="714" spans="1:26" x14ac:dyDescent="0.25">
      <c r="A714" t="s">
        <v>130</v>
      </c>
      <c r="B714" t="s">
        <v>62</v>
      </c>
      <c r="C714" t="s">
        <v>86</v>
      </c>
      <c r="D714">
        <v>0</v>
      </c>
      <c r="E714">
        <v>2050</v>
      </c>
      <c r="F714" t="s">
        <v>28</v>
      </c>
      <c r="G714">
        <v>151320.29792095526</v>
      </c>
      <c r="H714">
        <v>47298.882015140785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104021.41590581447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</row>
    <row r="715" spans="1:26" x14ac:dyDescent="0.25">
      <c r="A715" t="s">
        <v>130</v>
      </c>
      <c r="B715" t="s">
        <v>47</v>
      </c>
      <c r="C715" t="s">
        <v>73</v>
      </c>
      <c r="D715">
        <v>1</v>
      </c>
      <c r="E715">
        <v>2050</v>
      </c>
      <c r="F715" t="s">
        <v>28</v>
      </c>
      <c r="G715">
        <v>4145732.4076082129</v>
      </c>
      <c r="H715">
        <v>0</v>
      </c>
      <c r="I715">
        <v>0</v>
      </c>
      <c r="J715">
        <v>0</v>
      </c>
      <c r="K715">
        <v>1572264.2235564108</v>
      </c>
      <c r="L715">
        <v>0</v>
      </c>
      <c r="M715">
        <v>0</v>
      </c>
      <c r="N715">
        <v>0</v>
      </c>
      <c r="O715">
        <v>2573468.1840518024</v>
      </c>
      <c r="P715">
        <v>2573468.1840518024</v>
      </c>
      <c r="Q715">
        <v>1572264.2235564108</v>
      </c>
      <c r="R715">
        <v>1.2841863585236901</v>
      </c>
      <c r="S715">
        <v>2.0687619287205745</v>
      </c>
      <c r="T715">
        <v>0.78457557019688462</v>
      </c>
      <c r="U715">
        <v>1.2841863585236899</v>
      </c>
      <c r="V715">
        <v>154408.09104310814</v>
      </c>
      <c r="W715">
        <v>248743.94445649275</v>
      </c>
      <c r="X715">
        <v>94335.853413384641</v>
      </c>
      <c r="Y715">
        <v>154408.09104310811</v>
      </c>
      <c r="Z715">
        <v>0</v>
      </c>
    </row>
    <row r="716" spans="1:26" x14ac:dyDescent="0.25">
      <c r="A716" t="s">
        <v>130</v>
      </c>
      <c r="B716" t="s">
        <v>44</v>
      </c>
      <c r="C716" t="s">
        <v>74</v>
      </c>
      <c r="D716">
        <v>1</v>
      </c>
      <c r="E716">
        <v>2050</v>
      </c>
      <c r="F716" t="s">
        <v>28</v>
      </c>
      <c r="G716">
        <v>17318750.121095471</v>
      </c>
      <c r="H716">
        <v>0</v>
      </c>
      <c r="I716">
        <v>0</v>
      </c>
      <c r="J716">
        <v>0</v>
      </c>
      <c r="K716">
        <v>9178937.5641805995</v>
      </c>
      <c r="L716">
        <v>8139812.5569148706</v>
      </c>
      <c r="M716">
        <v>0</v>
      </c>
      <c r="N716">
        <v>0</v>
      </c>
      <c r="O716">
        <v>0</v>
      </c>
      <c r="P716">
        <v>0</v>
      </c>
      <c r="Q716">
        <v>9178937.5641805995</v>
      </c>
      <c r="R716">
        <v>0</v>
      </c>
      <c r="S716">
        <v>3.9542863026490029</v>
      </c>
      <c r="T716">
        <v>3.9542863026490029</v>
      </c>
      <c r="U716">
        <v>0</v>
      </c>
      <c r="V716">
        <v>0</v>
      </c>
      <c r="W716">
        <v>458946.87820903002</v>
      </c>
      <c r="X716">
        <v>458946.87820903002</v>
      </c>
      <c r="Y716">
        <v>0</v>
      </c>
      <c r="Z716">
        <v>0</v>
      </c>
    </row>
    <row r="717" spans="1:26" x14ac:dyDescent="0.25">
      <c r="A717" t="s">
        <v>130</v>
      </c>
      <c r="B717" t="s">
        <v>32</v>
      </c>
      <c r="C717" t="s">
        <v>86</v>
      </c>
      <c r="D717">
        <v>0</v>
      </c>
      <c r="E717">
        <v>2050</v>
      </c>
      <c r="F717" t="s">
        <v>28</v>
      </c>
      <c r="G717">
        <v>1608181.0498602674</v>
      </c>
      <c r="H717">
        <v>0</v>
      </c>
      <c r="I717">
        <v>0</v>
      </c>
      <c r="J717">
        <v>126627.09194270898</v>
      </c>
      <c r="K717">
        <v>0</v>
      </c>
      <c r="L717">
        <v>0</v>
      </c>
      <c r="M717">
        <v>0</v>
      </c>
      <c r="N717">
        <v>0</v>
      </c>
      <c r="O717">
        <v>1481553.9579175585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</row>
    <row r="718" spans="1:26" x14ac:dyDescent="0.25">
      <c r="A718" t="s">
        <v>130</v>
      </c>
      <c r="B718" t="s">
        <v>36</v>
      </c>
      <c r="C718" t="s">
        <v>79</v>
      </c>
      <c r="D718">
        <v>1</v>
      </c>
      <c r="E718">
        <v>2050</v>
      </c>
      <c r="F718" t="s">
        <v>28</v>
      </c>
      <c r="G718">
        <v>13500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13500</v>
      </c>
      <c r="P718">
        <v>13500</v>
      </c>
      <c r="Q718">
        <v>0</v>
      </c>
      <c r="R718">
        <v>1.2116250000000002E-2</v>
      </c>
      <c r="S718">
        <v>1.2116250000000002E-2</v>
      </c>
      <c r="T718">
        <v>0</v>
      </c>
      <c r="U718">
        <v>1.2116250000000002E-2</v>
      </c>
      <c r="V718">
        <v>2025</v>
      </c>
      <c r="W718">
        <v>2025</v>
      </c>
      <c r="X718">
        <v>0</v>
      </c>
      <c r="Y718">
        <v>2025</v>
      </c>
      <c r="Z718">
        <v>0</v>
      </c>
    </row>
    <row r="719" spans="1:26" x14ac:dyDescent="0.25">
      <c r="A719" t="s">
        <v>130</v>
      </c>
      <c r="B719" t="s">
        <v>84</v>
      </c>
      <c r="C719" t="s">
        <v>86</v>
      </c>
      <c r="D719">
        <v>1</v>
      </c>
      <c r="E719">
        <v>2050</v>
      </c>
      <c r="F719" t="s">
        <v>28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</row>
    <row r="720" spans="1:26" x14ac:dyDescent="0.25">
      <c r="A720" t="s">
        <v>130</v>
      </c>
      <c r="B720" t="s">
        <v>66</v>
      </c>
      <c r="C720" t="s">
        <v>81</v>
      </c>
      <c r="D720">
        <v>1</v>
      </c>
      <c r="E720">
        <v>2050</v>
      </c>
      <c r="F720" t="s">
        <v>28</v>
      </c>
      <c r="G720">
        <v>2001135.6433479721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2001135.6433479721</v>
      </c>
      <c r="N720">
        <v>0</v>
      </c>
      <c r="O720">
        <v>0</v>
      </c>
      <c r="P720">
        <v>0</v>
      </c>
      <c r="Q720">
        <v>2001135.6433479721</v>
      </c>
      <c r="R720">
        <v>0</v>
      </c>
      <c r="S720">
        <v>29.003597326661179</v>
      </c>
      <c r="T720">
        <v>0</v>
      </c>
      <c r="U720">
        <v>29.003597326661179</v>
      </c>
      <c r="V720">
        <v>0</v>
      </c>
      <c r="W720">
        <v>989728.33693918446</v>
      </c>
      <c r="X720">
        <v>0</v>
      </c>
      <c r="Y720">
        <v>989728.33693918446</v>
      </c>
      <c r="Z720">
        <v>0</v>
      </c>
    </row>
    <row r="721" spans="1:26" x14ac:dyDescent="0.25">
      <c r="A721" t="s">
        <v>130</v>
      </c>
      <c r="B721" t="s">
        <v>85</v>
      </c>
      <c r="C721" t="s">
        <v>86</v>
      </c>
      <c r="D721">
        <v>0</v>
      </c>
      <c r="E721">
        <v>2050</v>
      </c>
      <c r="F721" t="s">
        <v>28</v>
      </c>
      <c r="G721">
        <v>551646.84040095157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551646.84040095157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</row>
    <row r="722" spans="1:26" x14ac:dyDescent="0.25">
      <c r="A722" t="s">
        <v>130</v>
      </c>
      <c r="B722" t="s">
        <v>40</v>
      </c>
      <c r="D722">
        <v>0</v>
      </c>
      <c r="E722">
        <v>2019</v>
      </c>
      <c r="F722" t="s">
        <v>43</v>
      </c>
      <c r="G722">
        <v>18450.007031483605</v>
      </c>
      <c r="H722">
        <v>0</v>
      </c>
      <c r="I722">
        <v>0</v>
      </c>
      <c r="J722">
        <v>26880.542267330831</v>
      </c>
      <c r="K722">
        <v>0</v>
      </c>
      <c r="L722">
        <v>0</v>
      </c>
      <c r="M722">
        <v>0</v>
      </c>
      <c r="N722">
        <v>0</v>
      </c>
      <c r="O722">
        <v>-8430.5352358472264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</row>
    <row r="723" spans="1:26" x14ac:dyDescent="0.25">
      <c r="A723" t="s">
        <v>130</v>
      </c>
      <c r="B723" t="s">
        <v>34</v>
      </c>
      <c r="D723">
        <v>0</v>
      </c>
      <c r="E723">
        <v>2019</v>
      </c>
      <c r="F723" t="s">
        <v>43</v>
      </c>
      <c r="G723">
        <v>27039.772448692573</v>
      </c>
      <c r="H723">
        <v>7916.616753740097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19123.155694952475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</row>
    <row r="724" spans="1:26" x14ac:dyDescent="0.25">
      <c r="A724" t="s">
        <v>130</v>
      </c>
      <c r="B724" t="s">
        <v>48</v>
      </c>
      <c r="C724" t="s">
        <v>73</v>
      </c>
      <c r="D724">
        <v>1</v>
      </c>
      <c r="E724">
        <v>2019</v>
      </c>
      <c r="F724" t="s">
        <v>43</v>
      </c>
      <c r="G724">
        <v>165083.0224523381</v>
      </c>
      <c r="H724">
        <v>0</v>
      </c>
      <c r="I724">
        <v>0</v>
      </c>
      <c r="J724">
        <v>0</v>
      </c>
      <c r="K724">
        <v>335590.35573220561</v>
      </c>
      <c r="L724">
        <v>0</v>
      </c>
      <c r="M724">
        <v>0</v>
      </c>
      <c r="N724">
        <v>0</v>
      </c>
      <c r="O724">
        <v>-170507.33327986751</v>
      </c>
      <c r="P724">
        <v>0</v>
      </c>
      <c r="Q724">
        <v>335590.35573220561</v>
      </c>
      <c r="R724">
        <v>0</v>
      </c>
      <c r="S724">
        <v>1.1433261388476088</v>
      </c>
      <c r="T724">
        <v>1.1433261388476088</v>
      </c>
      <c r="U724">
        <v>0</v>
      </c>
      <c r="V724">
        <v>0</v>
      </c>
      <c r="W724">
        <v>93965.299605017586</v>
      </c>
      <c r="X724">
        <v>93965.299605017586</v>
      </c>
      <c r="Y724">
        <v>0</v>
      </c>
      <c r="Z724">
        <v>1</v>
      </c>
    </row>
    <row r="725" spans="1:26" x14ac:dyDescent="0.25">
      <c r="A725" t="s">
        <v>130</v>
      </c>
      <c r="B725" t="s">
        <v>11</v>
      </c>
      <c r="D725">
        <v>1</v>
      </c>
      <c r="E725">
        <v>2019</v>
      </c>
      <c r="F725" t="s">
        <v>43</v>
      </c>
      <c r="G725">
        <v>110817031.25294524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110817031.25294524</v>
      </c>
      <c r="N725">
        <v>0</v>
      </c>
      <c r="O725">
        <v>0</v>
      </c>
      <c r="P725">
        <v>0</v>
      </c>
      <c r="Q725">
        <v>110817031.25294524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</row>
    <row r="726" spans="1:26" x14ac:dyDescent="0.25">
      <c r="A726" t="s">
        <v>130</v>
      </c>
      <c r="B726" t="s">
        <v>68</v>
      </c>
      <c r="D726">
        <v>0</v>
      </c>
      <c r="E726">
        <v>2019</v>
      </c>
      <c r="F726" t="s">
        <v>43</v>
      </c>
      <c r="G726">
        <v>2462895.6491667829</v>
      </c>
      <c r="H726">
        <v>0</v>
      </c>
      <c r="I726">
        <v>0</v>
      </c>
      <c r="J726">
        <v>0</v>
      </c>
      <c r="K726">
        <v>0</v>
      </c>
      <c r="L726">
        <v>1801732.0926432305</v>
      </c>
      <c r="M726">
        <v>0</v>
      </c>
      <c r="N726">
        <v>0</v>
      </c>
      <c r="O726">
        <v>661163.5565235524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</row>
    <row r="727" spans="1:26" x14ac:dyDescent="0.25">
      <c r="A727" t="s">
        <v>130</v>
      </c>
      <c r="B727" t="s">
        <v>51</v>
      </c>
      <c r="C727" t="s">
        <v>73</v>
      </c>
      <c r="D727">
        <v>1</v>
      </c>
      <c r="E727">
        <v>2019</v>
      </c>
      <c r="F727" t="s">
        <v>43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</row>
    <row r="728" spans="1:26" x14ac:dyDescent="0.25">
      <c r="A728" t="s">
        <v>130</v>
      </c>
      <c r="B728" t="s">
        <v>50</v>
      </c>
      <c r="C728" t="s">
        <v>74</v>
      </c>
      <c r="D728">
        <v>1</v>
      </c>
      <c r="E728">
        <v>2019</v>
      </c>
      <c r="F728" t="s">
        <v>43</v>
      </c>
      <c r="G728">
        <v>332759.92297580565</v>
      </c>
      <c r="H728">
        <v>0</v>
      </c>
      <c r="I728">
        <v>0</v>
      </c>
      <c r="J728">
        <v>0</v>
      </c>
      <c r="K728">
        <v>85892.328449707566</v>
      </c>
      <c r="L728">
        <v>93457.017927737121</v>
      </c>
      <c r="M728">
        <v>0</v>
      </c>
      <c r="N728">
        <v>0</v>
      </c>
      <c r="O728">
        <v>153410.57659836096</v>
      </c>
      <c r="P728">
        <v>153410.57659836096</v>
      </c>
      <c r="Q728">
        <v>85892.328449707566</v>
      </c>
      <c r="R728">
        <v>0.33044638199286952</v>
      </c>
      <c r="S728">
        <v>0.18501207548067011</v>
      </c>
      <c r="T728">
        <v>0.18501207548067011</v>
      </c>
      <c r="U728">
        <v>0</v>
      </c>
      <c r="V728">
        <v>46023.172979508287</v>
      </c>
      <c r="W728">
        <v>25767.69853491227</v>
      </c>
      <c r="X728">
        <v>25767.69853491227</v>
      </c>
      <c r="Y728">
        <v>0</v>
      </c>
      <c r="Z728">
        <v>0</v>
      </c>
    </row>
    <row r="729" spans="1:26" x14ac:dyDescent="0.25">
      <c r="A729" t="s">
        <v>130</v>
      </c>
      <c r="B729" t="s">
        <v>60</v>
      </c>
      <c r="D729">
        <v>0</v>
      </c>
      <c r="E729">
        <v>2019</v>
      </c>
      <c r="F729" t="s">
        <v>43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</row>
    <row r="730" spans="1:26" x14ac:dyDescent="0.25">
      <c r="A730" t="s">
        <v>130</v>
      </c>
      <c r="B730" t="s">
        <v>46</v>
      </c>
      <c r="C730" t="s">
        <v>74</v>
      </c>
      <c r="D730">
        <v>1</v>
      </c>
      <c r="E730">
        <v>2019</v>
      </c>
      <c r="F730" t="s">
        <v>43</v>
      </c>
      <c r="G730">
        <v>675.387643904882</v>
      </c>
      <c r="H730">
        <v>0</v>
      </c>
      <c r="I730">
        <v>0</v>
      </c>
      <c r="J730">
        <v>0</v>
      </c>
      <c r="K730">
        <v>337.693821952441</v>
      </c>
      <c r="L730">
        <v>255.68246519256246</v>
      </c>
      <c r="M730">
        <v>0</v>
      </c>
      <c r="N730">
        <v>0</v>
      </c>
      <c r="O730">
        <v>82.011356759878481</v>
      </c>
      <c r="P730">
        <v>82.011356759878481</v>
      </c>
      <c r="Q730">
        <v>337.693821952441</v>
      </c>
      <c r="R730">
        <v>3.8569120970603255E-5</v>
      </c>
      <c r="S730">
        <v>1.5881402752601349E-4</v>
      </c>
      <c r="T730">
        <v>1.5881402752601349E-4</v>
      </c>
      <c r="U730">
        <v>0</v>
      </c>
      <c r="V730">
        <v>5.1667154758723441</v>
      </c>
      <c r="W730">
        <v>21.274710783003783</v>
      </c>
      <c r="X730">
        <v>21.274710783003783</v>
      </c>
      <c r="Y730">
        <v>0</v>
      </c>
      <c r="Z730">
        <v>0</v>
      </c>
    </row>
    <row r="731" spans="1:26" x14ac:dyDescent="0.25">
      <c r="A731" t="s">
        <v>130</v>
      </c>
      <c r="B731" t="s">
        <v>39</v>
      </c>
      <c r="D731">
        <v>0</v>
      </c>
      <c r="E731">
        <v>2019</v>
      </c>
      <c r="F731" t="s">
        <v>43</v>
      </c>
      <c r="G731">
        <v>15969.006082579654</v>
      </c>
      <c r="H731">
        <v>0</v>
      </c>
      <c r="I731">
        <v>0</v>
      </c>
      <c r="J731">
        <v>29120.587456275069</v>
      </c>
      <c r="K731">
        <v>0</v>
      </c>
      <c r="L731">
        <v>0</v>
      </c>
      <c r="M731">
        <v>0</v>
      </c>
      <c r="N731">
        <v>0</v>
      </c>
      <c r="O731">
        <v>-13151.581373695415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</row>
    <row r="732" spans="1:26" x14ac:dyDescent="0.25">
      <c r="A732" t="s">
        <v>130</v>
      </c>
      <c r="B732" t="s">
        <v>75</v>
      </c>
      <c r="D732">
        <v>0</v>
      </c>
      <c r="E732">
        <v>2019</v>
      </c>
      <c r="F732" t="s">
        <v>43</v>
      </c>
      <c r="G732">
        <v>612515.4514426298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612515.4514426298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</row>
    <row r="733" spans="1:26" x14ac:dyDescent="0.25">
      <c r="A733" t="s">
        <v>130</v>
      </c>
      <c r="B733" t="s">
        <v>41</v>
      </c>
      <c r="D733">
        <v>0</v>
      </c>
      <c r="E733">
        <v>2019</v>
      </c>
      <c r="F733" t="s">
        <v>43</v>
      </c>
      <c r="G733">
        <v>15804.526381892863</v>
      </c>
      <c r="H733">
        <v>0</v>
      </c>
      <c r="I733">
        <v>0</v>
      </c>
      <c r="J733">
        <v>212804.29294970242</v>
      </c>
      <c r="K733">
        <v>0</v>
      </c>
      <c r="L733">
        <v>0</v>
      </c>
      <c r="M733">
        <v>0</v>
      </c>
      <c r="N733">
        <v>0</v>
      </c>
      <c r="O733">
        <v>-196999.76656780957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1</v>
      </c>
    </row>
    <row r="734" spans="1:26" x14ac:dyDescent="0.25">
      <c r="A734" t="s">
        <v>130</v>
      </c>
      <c r="B734" t="s">
        <v>57</v>
      </c>
      <c r="C734" t="s">
        <v>57</v>
      </c>
      <c r="D734">
        <v>1</v>
      </c>
      <c r="E734">
        <v>2019</v>
      </c>
      <c r="F734" t="s">
        <v>43</v>
      </c>
      <c r="G734">
        <v>0</v>
      </c>
      <c r="H734">
        <v>0</v>
      </c>
      <c r="I734">
        <v>0</v>
      </c>
      <c r="J734">
        <v>0</v>
      </c>
      <c r="K734">
        <v>28548.400000000001</v>
      </c>
      <c r="L734">
        <v>0</v>
      </c>
      <c r="M734">
        <v>0</v>
      </c>
      <c r="N734">
        <v>0</v>
      </c>
      <c r="O734">
        <v>-28548.400000000001</v>
      </c>
      <c r="P734">
        <v>0</v>
      </c>
      <c r="Q734">
        <v>28548.400000000001</v>
      </c>
      <c r="R734">
        <v>0</v>
      </c>
      <c r="S734">
        <v>0.43389639740160008</v>
      </c>
      <c r="T734">
        <v>0.43389639740160008</v>
      </c>
      <c r="U734">
        <v>0</v>
      </c>
      <c r="V734">
        <v>0</v>
      </c>
      <c r="W734">
        <v>25693.56</v>
      </c>
      <c r="X734">
        <v>25693.56</v>
      </c>
      <c r="Y734">
        <v>0</v>
      </c>
      <c r="Z734">
        <v>1</v>
      </c>
    </row>
    <row r="735" spans="1:26" x14ac:dyDescent="0.25">
      <c r="A735" t="s">
        <v>130</v>
      </c>
      <c r="B735" t="s">
        <v>53</v>
      </c>
      <c r="C735" t="s">
        <v>76</v>
      </c>
      <c r="D735">
        <v>1</v>
      </c>
      <c r="E735">
        <v>2019</v>
      </c>
      <c r="F735" t="s">
        <v>43</v>
      </c>
      <c r="G735">
        <v>2079827.1270254222</v>
      </c>
      <c r="H735">
        <v>1502068.0760117143</v>
      </c>
      <c r="I735">
        <v>0</v>
      </c>
      <c r="J735">
        <v>0</v>
      </c>
      <c r="K735">
        <v>9930.836100337272</v>
      </c>
      <c r="L735">
        <v>0</v>
      </c>
      <c r="M735">
        <v>0</v>
      </c>
      <c r="N735">
        <v>0</v>
      </c>
      <c r="O735">
        <v>567828.21491337055</v>
      </c>
      <c r="P735">
        <v>567828.21491337055</v>
      </c>
      <c r="Q735">
        <v>9930.836100337272</v>
      </c>
      <c r="R735">
        <v>1.0447329369137377</v>
      </c>
      <c r="S735">
        <v>1.8271497070108039E-2</v>
      </c>
      <c r="T735">
        <v>1.8271497070108039E-2</v>
      </c>
      <c r="U735">
        <v>0</v>
      </c>
      <c r="V735">
        <v>158991.90017574377</v>
      </c>
      <c r="W735">
        <v>2780.6341080944362</v>
      </c>
      <c r="X735">
        <v>2780.6341080944362</v>
      </c>
      <c r="Y735">
        <v>0</v>
      </c>
      <c r="Z735">
        <v>0</v>
      </c>
    </row>
    <row r="736" spans="1:26" x14ac:dyDescent="0.25">
      <c r="A736" t="s">
        <v>130</v>
      </c>
      <c r="B736" t="s">
        <v>61</v>
      </c>
      <c r="D736">
        <v>0</v>
      </c>
      <c r="E736">
        <v>2019</v>
      </c>
      <c r="F736" t="s">
        <v>43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</row>
    <row r="737" spans="1:26" x14ac:dyDescent="0.25">
      <c r="A737" t="s">
        <v>130</v>
      </c>
      <c r="B737" t="s">
        <v>30</v>
      </c>
      <c r="D737">
        <v>0</v>
      </c>
      <c r="E737">
        <v>2019</v>
      </c>
      <c r="F737" t="s">
        <v>43</v>
      </c>
      <c r="G737">
        <v>96079.800747233821</v>
      </c>
      <c r="H737">
        <v>0</v>
      </c>
      <c r="I737">
        <v>0</v>
      </c>
      <c r="J737">
        <v>222884.49629995148</v>
      </c>
      <c r="K737">
        <v>0</v>
      </c>
      <c r="L737">
        <v>0</v>
      </c>
      <c r="M737">
        <v>0</v>
      </c>
      <c r="N737">
        <v>0</v>
      </c>
      <c r="O737">
        <v>-126804.69555271766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1</v>
      </c>
    </row>
    <row r="738" spans="1:26" x14ac:dyDescent="0.25">
      <c r="A738" t="s">
        <v>130</v>
      </c>
      <c r="B738" t="s">
        <v>52</v>
      </c>
      <c r="C738" t="s">
        <v>77</v>
      </c>
      <c r="D738">
        <v>1</v>
      </c>
      <c r="E738">
        <v>2019</v>
      </c>
      <c r="F738" t="s">
        <v>43</v>
      </c>
      <c r="G738">
        <v>955988.04344506538</v>
      </c>
      <c r="H738">
        <v>94889.448034412548</v>
      </c>
      <c r="I738">
        <v>104128.58905499999</v>
      </c>
      <c r="J738">
        <v>0</v>
      </c>
      <c r="K738">
        <v>22795.107252838847</v>
      </c>
      <c r="L738">
        <v>0</v>
      </c>
      <c r="M738">
        <v>734174.89910281403</v>
      </c>
      <c r="N738">
        <v>0</v>
      </c>
      <c r="O738">
        <v>0</v>
      </c>
      <c r="P738">
        <v>0</v>
      </c>
      <c r="Q738">
        <v>756970.00635565282</v>
      </c>
      <c r="R738">
        <v>0</v>
      </c>
      <c r="S738">
        <v>7.7197156788507311</v>
      </c>
      <c r="T738">
        <v>0.13142610267053248</v>
      </c>
      <c r="U738">
        <v>7.5882895761801983</v>
      </c>
      <c r="V738">
        <v>0</v>
      </c>
      <c r="W738">
        <v>643424.50540230493</v>
      </c>
      <c r="X738">
        <v>19375.841164913018</v>
      </c>
      <c r="Y738">
        <v>624048.6642373919</v>
      </c>
      <c r="Z738">
        <v>0</v>
      </c>
    </row>
    <row r="739" spans="1:26" x14ac:dyDescent="0.25">
      <c r="A739" t="s">
        <v>130</v>
      </c>
      <c r="B739" t="s">
        <v>56</v>
      </c>
      <c r="C739" t="s">
        <v>73</v>
      </c>
      <c r="D739">
        <v>1</v>
      </c>
      <c r="E739">
        <v>2019</v>
      </c>
      <c r="F739" t="s">
        <v>43</v>
      </c>
      <c r="G739">
        <v>452346.51233766804</v>
      </c>
      <c r="H739">
        <v>0</v>
      </c>
      <c r="I739">
        <v>0</v>
      </c>
      <c r="J739">
        <v>0</v>
      </c>
      <c r="K739">
        <v>35.900188095894634</v>
      </c>
      <c r="L739">
        <v>0</v>
      </c>
      <c r="M739">
        <v>452310.61214957217</v>
      </c>
      <c r="N739">
        <v>0</v>
      </c>
      <c r="O739">
        <v>0</v>
      </c>
      <c r="P739">
        <v>0</v>
      </c>
      <c r="Q739">
        <v>452346.51233766804</v>
      </c>
      <c r="R739">
        <v>0</v>
      </c>
      <c r="S739">
        <v>8.0748097529675267</v>
      </c>
      <c r="T739">
        <v>6.0961032399995807E-5</v>
      </c>
      <c r="U739">
        <v>8.0747487919351268</v>
      </c>
      <c r="V739">
        <v>0</v>
      </c>
      <c r="W739">
        <v>135703.9537013004</v>
      </c>
      <c r="X739">
        <v>10.77005642876839</v>
      </c>
      <c r="Y739">
        <v>135693.18364487163</v>
      </c>
      <c r="Z739">
        <v>0</v>
      </c>
    </row>
    <row r="740" spans="1:26" x14ac:dyDescent="0.25">
      <c r="A740" t="s">
        <v>130</v>
      </c>
      <c r="B740" t="s">
        <v>63</v>
      </c>
      <c r="D740">
        <v>0</v>
      </c>
      <c r="E740">
        <v>2019</v>
      </c>
      <c r="F740" t="s">
        <v>43</v>
      </c>
      <c r="G740">
        <v>0</v>
      </c>
      <c r="H740">
        <v>592646.72642582108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-592646.72642582108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1</v>
      </c>
    </row>
    <row r="741" spans="1:26" x14ac:dyDescent="0.25">
      <c r="A741" t="s">
        <v>130</v>
      </c>
      <c r="B741" t="s">
        <v>49</v>
      </c>
      <c r="C741" t="s">
        <v>73</v>
      </c>
      <c r="D741">
        <v>1</v>
      </c>
      <c r="E741">
        <v>2019</v>
      </c>
      <c r="F741" t="s">
        <v>43</v>
      </c>
      <c r="G741">
        <v>200279.74928693369</v>
      </c>
      <c r="H741">
        <v>0</v>
      </c>
      <c r="I741">
        <v>0</v>
      </c>
      <c r="J741">
        <v>0</v>
      </c>
      <c r="K741">
        <v>279550.24796430691</v>
      </c>
      <c r="L741">
        <v>0</v>
      </c>
      <c r="M741">
        <v>0</v>
      </c>
      <c r="N741">
        <v>0</v>
      </c>
      <c r="O741">
        <v>-79270.498677373223</v>
      </c>
      <c r="P741">
        <v>0</v>
      </c>
      <c r="Q741">
        <v>279550.24796430691</v>
      </c>
      <c r="R741">
        <v>0</v>
      </c>
      <c r="S741">
        <v>1.0296284310673407</v>
      </c>
      <c r="T741">
        <v>1.0296284310673407</v>
      </c>
      <c r="U741">
        <v>0</v>
      </c>
      <c r="V741">
        <v>0</v>
      </c>
      <c r="W741">
        <v>117411.1041450089</v>
      </c>
      <c r="X741">
        <v>117411.1041450089</v>
      </c>
      <c r="Y741">
        <v>0</v>
      </c>
      <c r="Z741">
        <v>1</v>
      </c>
    </row>
    <row r="742" spans="1:26" x14ac:dyDescent="0.25">
      <c r="A742" t="s">
        <v>130</v>
      </c>
      <c r="B742" t="s">
        <v>78</v>
      </c>
      <c r="D742">
        <v>0</v>
      </c>
      <c r="E742">
        <v>2019</v>
      </c>
      <c r="F742" t="s">
        <v>43</v>
      </c>
      <c r="G742">
        <v>145851.60720031991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145851.60720031991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</row>
    <row r="743" spans="1:26" x14ac:dyDescent="0.25">
      <c r="A743" t="s">
        <v>130</v>
      </c>
      <c r="B743" t="s">
        <v>31</v>
      </c>
      <c r="D743">
        <v>0</v>
      </c>
      <c r="E743">
        <v>2019</v>
      </c>
      <c r="F743" t="s">
        <v>43</v>
      </c>
      <c r="G743">
        <v>116414.7916544996</v>
      </c>
      <c r="H743">
        <v>0</v>
      </c>
      <c r="I743">
        <v>0</v>
      </c>
      <c r="J743">
        <v>101922.05609696274</v>
      </c>
      <c r="K743">
        <v>0</v>
      </c>
      <c r="L743">
        <v>0</v>
      </c>
      <c r="M743">
        <v>0</v>
      </c>
      <c r="N743">
        <v>0</v>
      </c>
      <c r="O743">
        <v>14492.735557536857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</row>
    <row r="744" spans="1:26" x14ac:dyDescent="0.25">
      <c r="A744" t="s">
        <v>130</v>
      </c>
      <c r="B744" t="s">
        <v>29</v>
      </c>
      <c r="C744" t="s">
        <v>77</v>
      </c>
      <c r="D744">
        <v>1</v>
      </c>
      <c r="E744">
        <v>2019</v>
      </c>
      <c r="F744" t="s">
        <v>43</v>
      </c>
      <c r="G744">
        <v>2275797.9689121391</v>
      </c>
      <c r="H744">
        <v>721621.60770550335</v>
      </c>
      <c r="I744">
        <v>0</v>
      </c>
      <c r="J744">
        <v>244164.92559492172</v>
      </c>
      <c r="K744">
        <v>945.81467090137289</v>
      </c>
      <c r="L744">
        <v>0</v>
      </c>
      <c r="M744">
        <v>0</v>
      </c>
      <c r="N744">
        <v>0</v>
      </c>
      <c r="O744">
        <v>1309065.6209408126</v>
      </c>
      <c r="P744">
        <v>1309065.6209408126</v>
      </c>
      <c r="Q744">
        <v>945.81467090137289</v>
      </c>
      <c r="R744">
        <v>4.4833664825353523</v>
      </c>
      <c r="S744">
        <v>3.2392828337832764E-3</v>
      </c>
      <c r="T744">
        <v>3.2392828337832764E-3</v>
      </c>
      <c r="U744">
        <v>0</v>
      </c>
      <c r="V744">
        <v>405810.34249165189</v>
      </c>
      <c r="W744">
        <v>293.20254797942562</v>
      </c>
      <c r="X744">
        <v>293.20254797942562</v>
      </c>
      <c r="Y744">
        <v>0</v>
      </c>
      <c r="Z744">
        <v>0</v>
      </c>
    </row>
    <row r="745" spans="1:26" x14ac:dyDescent="0.25">
      <c r="A745" t="s">
        <v>130</v>
      </c>
      <c r="B745" t="s">
        <v>69</v>
      </c>
      <c r="D745">
        <v>0</v>
      </c>
      <c r="E745">
        <v>2019</v>
      </c>
      <c r="F745" t="s">
        <v>43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387847.14852834243</v>
      </c>
      <c r="M745">
        <v>0</v>
      </c>
      <c r="N745">
        <v>0</v>
      </c>
      <c r="O745">
        <v>-387847.14852834243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1</v>
      </c>
    </row>
    <row r="746" spans="1:26" x14ac:dyDescent="0.25">
      <c r="A746" t="s">
        <v>130</v>
      </c>
      <c r="B746" t="s">
        <v>45</v>
      </c>
      <c r="C746" t="s">
        <v>74</v>
      </c>
      <c r="D746">
        <v>1</v>
      </c>
      <c r="E746">
        <v>2019</v>
      </c>
      <c r="F746" t="s">
        <v>43</v>
      </c>
      <c r="G746">
        <v>925084.21922943438</v>
      </c>
      <c r="H746">
        <v>0</v>
      </c>
      <c r="I746">
        <v>0</v>
      </c>
      <c r="J746">
        <v>0</v>
      </c>
      <c r="K746">
        <v>286645.05985025823</v>
      </c>
      <c r="L746">
        <v>422965.94308870414</v>
      </c>
      <c r="M746">
        <v>0</v>
      </c>
      <c r="N746">
        <v>0</v>
      </c>
      <c r="O746">
        <v>215473.21629047208</v>
      </c>
      <c r="P746">
        <v>215473.21629047208</v>
      </c>
      <c r="Q746">
        <v>286645.05985025823</v>
      </c>
      <c r="R746">
        <v>0.10907038735407407</v>
      </c>
      <c r="S746">
        <v>0.14509686284560222</v>
      </c>
      <c r="T746">
        <v>0.14509686284560222</v>
      </c>
      <c r="U746">
        <v>0</v>
      </c>
      <c r="V746">
        <v>16375.964438075878</v>
      </c>
      <c r="W746">
        <v>21785.024548619625</v>
      </c>
      <c r="X746">
        <v>21785.024548619625</v>
      </c>
      <c r="Y746">
        <v>0</v>
      </c>
      <c r="Z746">
        <v>0</v>
      </c>
    </row>
    <row r="747" spans="1:26" x14ac:dyDescent="0.25">
      <c r="A747" t="s">
        <v>130</v>
      </c>
      <c r="B747" t="s">
        <v>59</v>
      </c>
      <c r="D747">
        <v>0</v>
      </c>
      <c r="E747">
        <v>2019</v>
      </c>
      <c r="F747" t="s">
        <v>43</v>
      </c>
      <c r="G747">
        <v>115489.08079619991</v>
      </c>
      <c r="H747">
        <v>186040.49371289223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-70551.412916692323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</row>
    <row r="748" spans="1:26" x14ac:dyDescent="0.25">
      <c r="A748" t="s">
        <v>130</v>
      </c>
      <c r="B748" t="s">
        <v>54</v>
      </c>
      <c r="C748" t="s">
        <v>76</v>
      </c>
      <c r="D748">
        <v>1</v>
      </c>
      <c r="E748">
        <v>2019</v>
      </c>
      <c r="F748" t="s">
        <v>43</v>
      </c>
      <c r="G748">
        <v>366156.75807184458</v>
      </c>
      <c r="H748">
        <v>694353.2611092875</v>
      </c>
      <c r="I748">
        <v>0</v>
      </c>
      <c r="J748">
        <v>0</v>
      </c>
      <c r="K748">
        <v>15204.565068438918</v>
      </c>
      <c r="L748">
        <v>0</v>
      </c>
      <c r="M748">
        <v>0</v>
      </c>
      <c r="N748">
        <v>0</v>
      </c>
      <c r="O748">
        <v>-343401.0681058818</v>
      </c>
      <c r="P748">
        <v>0</v>
      </c>
      <c r="Q748">
        <v>15204.565068438918</v>
      </c>
      <c r="R748">
        <v>0</v>
      </c>
      <c r="S748">
        <v>5.4584388595695719E-2</v>
      </c>
      <c r="T748">
        <v>5.4584388595695719E-2</v>
      </c>
      <c r="U748">
        <v>0</v>
      </c>
      <c r="V748">
        <v>0</v>
      </c>
      <c r="W748">
        <v>4561.3695205316753</v>
      </c>
      <c r="X748">
        <v>4561.3695205316753</v>
      </c>
      <c r="Y748">
        <v>0</v>
      </c>
      <c r="Z748">
        <v>0</v>
      </c>
    </row>
    <row r="749" spans="1:26" x14ac:dyDescent="0.25">
      <c r="A749" t="s">
        <v>130</v>
      </c>
      <c r="B749" t="s">
        <v>38</v>
      </c>
      <c r="D749">
        <v>0</v>
      </c>
      <c r="E749">
        <v>2019</v>
      </c>
      <c r="F749" t="s">
        <v>43</v>
      </c>
      <c r="G749">
        <v>222833.98833453824</v>
      </c>
      <c r="H749">
        <v>0</v>
      </c>
      <c r="I749">
        <v>0</v>
      </c>
      <c r="J749">
        <v>389767.86287629709</v>
      </c>
      <c r="K749">
        <v>0</v>
      </c>
      <c r="L749">
        <v>0</v>
      </c>
      <c r="M749">
        <v>0</v>
      </c>
      <c r="N749">
        <v>0</v>
      </c>
      <c r="O749">
        <v>-166933.87454175885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</row>
    <row r="750" spans="1:26" x14ac:dyDescent="0.25">
      <c r="A750" t="s">
        <v>130</v>
      </c>
      <c r="B750" t="s">
        <v>35</v>
      </c>
      <c r="C750" t="s">
        <v>79</v>
      </c>
      <c r="D750">
        <v>1</v>
      </c>
      <c r="E750">
        <v>2019</v>
      </c>
      <c r="F750" t="s">
        <v>43</v>
      </c>
      <c r="G750">
        <v>1.1976865502381491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1.1976865502381491</v>
      </c>
      <c r="P750">
        <v>1.1976865502381491</v>
      </c>
      <c r="Q750">
        <v>0</v>
      </c>
      <c r="R750">
        <v>1.0749236788387388E-6</v>
      </c>
      <c r="S750">
        <v>0</v>
      </c>
      <c r="T750">
        <v>0</v>
      </c>
      <c r="U750">
        <v>0</v>
      </c>
      <c r="V750">
        <v>0.17965298253572234</v>
      </c>
      <c r="W750">
        <v>0</v>
      </c>
      <c r="X750">
        <v>0</v>
      </c>
      <c r="Y750">
        <v>0</v>
      </c>
      <c r="Z750">
        <v>0</v>
      </c>
    </row>
    <row r="751" spans="1:26" x14ac:dyDescent="0.25">
      <c r="A751" t="s">
        <v>130</v>
      </c>
      <c r="B751" t="s">
        <v>33</v>
      </c>
      <c r="D751">
        <v>0</v>
      </c>
      <c r="E751">
        <v>2019</v>
      </c>
      <c r="F751" t="s">
        <v>43</v>
      </c>
      <c r="G751">
        <v>7577.0634215631153</v>
      </c>
      <c r="H751">
        <v>0</v>
      </c>
      <c r="I751">
        <v>0</v>
      </c>
      <c r="J751">
        <v>49527.399127557059</v>
      </c>
      <c r="K751">
        <v>0</v>
      </c>
      <c r="L751">
        <v>0</v>
      </c>
      <c r="M751">
        <v>0</v>
      </c>
      <c r="N751">
        <v>0</v>
      </c>
      <c r="O751">
        <v>-41950.335705993944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</row>
    <row r="752" spans="1:26" x14ac:dyDescent="0.25">
      <c r="A752" t="s">
        <v>130</v>
      </c>
      <c r="B752" t="s">
        <v>80</v>
      </c>
      <c r="D752">
        <v>0</v>
      </c>
      <c r="E752">
        <v>2019</v>
      </c>
      <c r="F752" t="s">
        <v>43</v>
      </c>
      <c r="G752">
        <v>396057.87190930446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396057.87190930446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</row>
    <row r="753" spans="1:26" x14ac:dyDescent="0.25">
      <c r="A753" t="s">
        <v>130</v>
      </c>
      <c r="B753" t="s">
        <v>65</v>
      </c>
      <c r="C753" t="s">
        <v>81</v>
      </c>
      <c r="D753">
        <v>1</v>
      </c>
      <c r="E753">
        <v>2019</v>
      </c>
      <c r="F753" t="s">
        <v>43</v>
      </c>
      <c r="G753">
        <v>37577.319945022478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37577.319945022478</v>
      </c>
      <c r="N753">
        <v>0</v>
      </c>
      <c r="O753">
        <v>0</v>
      </c>
      <c r="P753">
        <v>0</v>
      </c>
      <c r="Q753">
        <v>37577.319945022478</v>
      </c>
      <c r="R753">
        <v>0</v>
      </c>
      <c r="S753">
        <v>0.69142268698841347</v>
      </c>
      <c r="T753">
        <v>0</v>
      </c>
      <c r="U753">
        <v>0.69142268698841347</v>
      </c>
      <c r="V753">
        <v>0</v>
      </c>
      <c r="W753">
        <v>15594.58777718433</v>
      </c>
      <c r="X753">
        <v>0</v>
      </c>
      <c r="Y753">
        <v>15594.58777718433</v>
      </c>
      <c r="Z753">
        <v>0</v>
      </c>
    </row>
    <row r="754" spans="1:26" x14ac:dyDescent="0.25">
      <c r="A754" t="s">
        <v>130</v>
      </c>
      <c r="B754" t="s">
        <v>140</v>
      </c>
      <c r="C754" t="s">
        <v>142</v>
      </c>
      <c r="D754">
        <v>1</v>
      </c>
      <c r="E754">
        <v>2019</v>
      </c>
      <c r="F754" t="s">
        <v>43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</row>
    <row r="755" spans="1:26" x14ac:dyDescent="0.25">
      <c r="A755" t="s">
        <v>130</v>
      </c>
      <c r="B755" t="s">
        <v>141</v>
      </c>
      <c r="C755" t="s">
        <v>142</v>
      </c>
      <c r="D755">
        <v>1</v>
      </c>
      <c r="E755">
        <v>2019</v>
      </c>
      <c r="F755" t="s">
        <v>43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</row>
    <row r="756" spans="1:26" x14ac:dyDescent="0.25">
      <c r="A756" t="s">
        <v>130</v>
      </c>
      <c r="B756" t="s">
        <v>82</v>
      </c>
      <c r="D756">
        <v>0</v>
      </c>
      <c r="E756">
        <v>2019</v>
      </c>
      <c r="F756" t="s">
        <v>43</v>
      </c>
      <c r="G756">
        <v>346998.01962126989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346998.01962126989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</row>
    <row r="757" spans="1:26" x14ac:dyDescent="0.25">
      <c r="A757" t="s">
        <v>130</v>
      </c>
      <c r="B757" t="s">
        <v>72</v>
      </c>
      <c r="D757">
        <v>0</v>
      </c>
      <c r="E757">
        <v>2019</v>
      </c>
      <c r="F757" t="s">
        <v>43</v>
      </c>
      <c r="G757">
        <v>193574.13238370849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193574.13238370849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</row>
    <row r="758" spans="1:26" x14ac:dyDescent="0.25">
      <c r="A758" t="s">
        <v>130</v>
      </c>
      <c r="B758" t="s">
        <v>58</v>
      </c>
      <c r="D758">
        <v>0</v>
      </c>
      <c r="E758">
        <v>2019</v>
      </c>
      <c r="F758" t="s">
        <v>43</v>
      </c>
      <c r="G758">
        <v>96787.066191854246</v>
      </c>
      <c r="H758">
        <v>26278.769501998373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70508.296689855866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</row>
    <row r="759" spans="1:26" x14ac:dyDescent="0.25">
      <c r="A759" t="s">
        <v>130</v>
      </c>
      <c r="B759" t="s">
        <v>64</v>
      </c>
      <c r="C759" t="s">
        <v>64</v>
      </c>
      <c r="D759">
        <v>1</v>
      </c>
      <c r="E759">
        <v>2019</v>
      </c>
      <c r="F759" t="s">
        <v>43</v>
      </c>
      <c r="G759">
        <v>61943.722362786721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1238.8744472557355</v>
      </c>
      <c r="N759">
        <v>60704.847915530983</v>
      </c>
      <c r="O759">
        <v>0</v>
      </c>
      <c r="P759">
        <v>0</v>
      </c>
      <c r="Q759">
        <v>1238.8744472557355</v>
      </c>
      <c r="R759">
        <v>0</v>
      </c>
      <c r="S759">
        <v>4.3360605653950737E-2</v>
      </c>
      <c r="T759">
        <v>0</v>
      </c>
      <c r="U759">
        <v>4.3360605653950737E-2</v>
      </c>
      <c r="V759">
        <v>0</v>
      </c>
      <c r="W759">
        <v>1127.3757470027194</v>
      </c>
      <c r="X759">
        <v>0</v>
      </c>
      <c r="Y759">
        <v>1127.3757470027194</v>
      </c>
      <c r="Z759">
        <v>0</v>
      </c>
    </row>
    <row r="760" spans="1:26" x14ac:dyDescent="0.25">
      <c r="A760" t="s">
        <v>130</v>
      </c>
      <c r="B760" t="s">
        <v>55</v>
      </c>
      <c r="C760" t="s">
        <v>76</v>
      </c>
      <c r="D760">
        <v>1</v>
      </c>
      <c r="E760">
        <v>2019</v>
      </c>
      <c r="F760" t="s">
        <v>43</v>
      </c>
      <c r="G760">
        <v>2252973.7408705982</v>
      </c>
      <c r="H760">
        <v>103245.87683002709</v>
      </c>
      <c r="I760">
        <v>0</v>
      </c>
      <c r="J760">
        <v>0</v>
      </c>
      <c r="K760">
        <v>24543.951075802775</v>
      </c>
      <c r="L760">
        <v>0</v>
      </c>
      <c r="M760">
        <v>0</v>
      </c>
      <c r="N760">
        <v>0</v>
      </c>
      <c r="O760">
        <v>2125183.9129647682</v>
      </c>
      <c r="P760">
        <v>1656364.6415009145</v>
      </c>
      <c r="Q760">
        <v>24543.951075802775</v>
      </c>
      <c r="R760">
        <v>4.4954398916191423</v>
      </c>
      <c r="S760">
        <v>6.6613264977771772E-2</v>
      </c>
      <c r="T760">
        <v>6.6613264977771772E-2</v>
      </c>
      <c r="U760">
        <v>0</v>
      </c>
      <c r="V760">
        <v>331272.92830018292</v>
      </c>
      <c r="W760">
        <v>4908.7902151605549</v>
      </c>
      <c r="X760">
        <v>4908.7902151605549</v>
      </c>
      <c r="Y760">
        <v>0</v>
      </c>
      <c r="Z760">
        <v>0</v>
      </c>
    </row>
    <row r="761" spans="1:26" x14ac:dyDescent="0.25">
      <c r="A761" t="s">
        <v>130</v>
      </c>
      <c r="B761" t="s">
        <v>83</v>
      </c>
      <c r="D761">
        <v>0</v>
      </c>
      <c r="E761">
        <v>2019</v>
      </c>
      <c r="F761" t="s">
        <v>43</v>
      </c>
      <c r="G761">
        <v>23179.475218292017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23179.475218292017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</row>
    <row r="762" spans="1:26" x14ac:dyDescent="0.25">
      <c r="A762" t="s">
        <v>130</v>
      </c>
      <c r="B762" t="s">
        <v>62</v>
      </c>
      <c r="D762">
        <v>0</v>
      </c>
      <c r="E762">
        <v>2019</v>
      </c>
      <c r="F762" t="s">
        <v>43</v>
      </c>
      <c r="G762">
        <v>18923.903166389329</v>
      </c>
      <c r="H762">
        <v>4837.9324606189475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14085.970705770382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</row>
    <row r="763" spans="1:26" x14ac:dyDescent="0.25">
      <c r="A763" t="s">
        <v>130</v>
      </c>
      <c r="B763" t="s">
        <v>47</v>
      </c>
      <c r="C763" t="s">
        <v>73</v>
      </c>
      <c r="D763">
        <v>1</v>
      </c>
      <c r="E763">
        <v>2019</v>
      </c>
      <c r="F763" t="s">
        <v>43</v>
      </c>
      <c r="G763">
        <v>3186961.3614372411</v>
      </c>
      <c r="H763">
        <v>0</v>
      </c>
      <c r="I763">
        <v>0</v>
      </c>
      <c r="J763">
        <v>0</v>
      </c>
      <c r="K763">
        <v>1208651.4125341829</v>
      </c>
      <c r="L763">
        <v>0</v>
      </c>
      <c r="M763">
        <v>0</v>
      </c>
      <c r="N763">
        <v>0</v>
      </c>
      <c r="O763">
        <v>1978309.9489030582</v>
      </c>
      <c r="P763">
        <v>1978309.9489030582</v>
      </c>
      <c r="Q763">
        <v>1208651.4125341829</v>
      </c>
      <c r="R763">
        <v>0.98719644760211522</v>
      </c>
      <c r="S763">
        <v>0.60312914136868268</v>
      </c>
      <c r="T763">
        <v>0.60312914136868268</v>
      </c>
      <c r="U763">
        <v>0</v>
      </c>
      <c r="V763">
        <v>118698.59693418349</v>
      </c>
      <c r="W763">
        <v>72519.084752050971</v>
      </c>
      <c r="X763">
        <v>72519.084752050971</v>
      </c>
      <c r="Y763">
        <v>0</v>
      </c>
      <c r="Z763">
        <v>0</v>
      </c>
    </row>
    <row r="764" spans="1:26" x14ac:dyDescent="0.25">
      <c r="A764" t="s">
        <v>130</v>
      </c>
      <c r="B764" t="s">
        <v>44</v>
      </c>
      <c r="C764" t="s">
        <v>74</v>
      </c>
      <c r="D764">
        <v>1</v>
      </c>
      <c r="E764">
        <v>2019</v>
      </c>
      <c r="F764" t="s">
        <v>43</v>
      </c>
      <c r="G764">
        <v>2304461.4931079326</v>
      </c>
      <c r="H764">
        <v>0</v>
      </c>
      <c r="I764">
        <v>0</v>
      </c>
      <c r="J764">
        <v>0</v>
      </c>
      <c r="K764">
        <v>380427.26035611134</v>
      </c>
      <c r="L764">
        <v>1924034.2327518209</v>
      </c>
      <c r="M764">
        <v>0</v>
      </c>
      <c r="N764">
        <v>0</v>
      </c>
      <c r="O764">
        <v>0</v>
      </c>
      <c r="P764">
        <v>0</v>
      </c>
      <c r="Q764">
        <v>380427.26035611134</v>
      </c>
      <c r="R764">
        <v>0</v>
      </c>
      <c r="S764">
        <v>0.16388806376141279</v>
      </c>
      <c r="T764">
        <v>0.16388806376141279</v>
      </c>
      <c r="U764">
        <v>0</v>
      </c>
      <c r="V764">
        <v>0</v>
      </c>
      <c r="W764">
        <v>19021.363017805568</v>
      </c>
      <c r="X764">
        <v>19021.363017805568</v>
      </c>
      <c r="Y764">
        <v>0</v>
      </c>
      <c r="Z764">
        <v>0</v>
      </c>
    </row>
    <row r="765" spans="1:26" x14ac:dyDescent="0.25">
      <c r="A765" t="s">
        <v>130</v>
      </c>
      <c r="B765" t="s">
        <v>32</v>
      </c>
      <c r="D765">
        <v>0</v>
      </c>
      <c r="E765">
        <v>2019</v>
      </c>
      <c r="F765" t="s">
        <v>43</v>
      </c>
      <c r="G765">
        <v>206750.71206041813</v>
      </c>
      <c r="H765">
        <v>0</v>
      </c>
      <c r="I765">
        <v>0</v>
      </c>
      <c r="J765">
        <v>100555.62853170674</v>
      </c>
      <c r="K765">
        <v>0</v>
      </c>
      <c r="L765">
        <v>0</v>
      </c>
      <c r="M765">
        <v>0</v>
      </c>
      <c r="N765">
        <v>0</v>
      </c>
      <c r="O765">
        <v>106195.08352871139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</row>
    <row r="766" spans="1:26" x14ac:dyDescent="0.25">
      <c r="A766" t="s">
        <v>130</v>
      </c>
      <c r="B766" t="s">
        <v>36</v>
      </c>
      <c r="C766" t="s">
        <v>79</v>
      </c>
      <c r="D766">
        <v>1</v>
      </c>
      <c r="E766">
        <v>2019</v>
      </c>
      <c r="F766" t="s">
        <v>43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</row>
    <row r="767" spans="1:26" x14ac:dyDescent="0.25">
      <c r="A767" t="s">
        <v>130</v>
      </c>
      <c r="B767" t="s">
        <v>84</v>
      </c>
      <c r="D767">
        <v>1</v>
      </c>
      <c r="E767">
        <v>2019</v>
      </c>
      <c r="F767" t="s">
        <v>43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</row>
    <row r="768" spans="1:26" x14ac:dyDescent="0.25">
      <c r="A768" t="s">
        <v>130</v>
      </c>
      <c r="B768" t="s">
        <v>66</v>
      </c>
      <c r="C768" t="s">
        <v>81</v>
      </c>
      <c r="D768">
        <v>1</v>
      </c>
      <c r="E768">
        <v>2019</v>
      </c>
      <c r="F768" t="s">
        <v>43</v>
      </c>
      <c r="G768">
        <v>681602.85349434032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681602.85349434032</v>
      </c>
      <c r="N768">
        <v>0</v>
      </c>
      <c r="O768">
        <v>0</v>
      </c>
      <c r="P768">
        <v>0</v>
      </c>
      <c r="Q768">
        <v>681602.85349434032</v>
      </c>
      <c r="R768">
        <v>0</v>
      </c>
      <c r="S768">
        <v>9.878857920085288</v>
      </c>
      <c r="T768">
        <v>0</v>
      </c>
      <c r="U768">
        <v>9.878857920085288</v>
      </c>
      <c r="V768">
        <v>0</v>
      </c>
      <c r="W768">
        <v>337109.41129074246</v>
      </c>
      <c r="X768">
        <v>0</v>
      </c>
      <c r="Y768">
        <v>337109.41129074246</v>
      </c>
      <c r="Z768">
        <v>0</v>
      </c>
    </row>
    <row r="769" spans="1:26" x14ac:dyDescent="0.25">
      <c r="A769" t="s">
        <v>130</v>
      </c>
      <c r="B769" t="s">
        <v>85</v>
      </c>
      <c r="D769">
        <v>0</v>
      </c>
      <c r="E769">
        <v>2019</v>
      </c>
      <c r="F769" t="s">
        <v>43</v>
      </c>
      <c r="G769">
        <v>187413.07432328182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187413.07432328182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</row>
    <row r="770" spans="1:26" x14ac:dyDescent="0.25">
      <c r="A770" t="s">
        <v>130</v>
      </c>
      <c r="B770" t="s">
        <v>40</v>
      </c>
      <c r="C770" t="s">
        <v>86</v>
      </c>
      <c r="D770">
        <v>0</v>
      </c>
      <c r="E770">
        <v>2030</v>
      </c>
      <c r="F770" t="s">
        <v>43</v>
      </c>
      <c r="G770">
        <v>17943.479437897957</v>
      </c>
      <c r="H770">
        <v>0</v>
      </c>
      <c r="I770">
        <v>0</v>
      </c>
      <c r="J770">
        <v>28209.340124628539</v>
      </c>
      <c r="K770">
        <v>0</v>
      </c>
      <c r="L770">
        <v>0</v>
      </c>
      <c r="M770">
        <v>0</v>
      </c>
      <c r="N770">
        <v>0</v>
      </c>
      <c r="O770">
        <v>-10265.860686730583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</row>
    <row r="771" spans="1:26" x14ac:dyDescent="0.25">
      <c r="A771" t="s">
        <v>130</v>
      </c>
      <c r="B771" t="s">
        <v>34</v>
      </c>
      <c r="C771" t="s">
        <v>86</v>
      </c>
      <c r="D771">
        <v>0</v>
      </c>
      <c r="E771">
        <v>2030</v>
      </c>
      <c r="F771" t="s">
        <v>43</v>
      </c>
      <c r="G771">
        <v>28552.425442007137</v>
      </c>
      <c r="H771">
        <v>7916.616753740097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20635.80868826704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</row>
    <row r="772" spans="1:26" x14ac:dyDescent="0.25">
      <c r="A772" t="s">
        <v>130</v>
      </c>
      <c r="B772" t="s">
        <v>48</v>
      </c>
      <c r="C772" t="s">
        <v>73</v>
      </c>
      <c r="D772">
        <v>1</v>
      </c>
      <c r="E772">
        <v>2030</v>
      </c>
      <c r="F772" t="s">
        <v>43</v>
      </c>
      <c r="G772">
        <v>168912.745758362</v>
      </c>
      <c r="H772">
        <v>0</v>
      </c>
      <c r="I772">
        <v>0</v>
      </c>
      <c r="J772">
        <v>0</v>
      </c>
      <c r="K772">
        <v>168912.75887120995</v>
      </c>
      <c r="L772">
        <v>0</v>
      </c>
      <c r="M772">
        <v>0</v>
      </c>
      <c r="N772">
        <v>0</v>
      </c>
      <c r="O772">
        <v>-1.3112847955198959E-2</v>
      </c>
      <c r="P772">
        <v>0</v>
      </c>
      <c r="Q772">
        <v>168912.75887120995</v>
      </c>
      <c r="R772">
        <v>0</v>
      </c>
      <c r="S772">
        <v>0.57547056732591406</v>
      </c>
      <c r="T772">
        <v>0.57547056732591406</v>
      </c>
      <c r="U772">
        <v>0</v>
      </c>
      <c r="V772">
        <v>0</v>
      </c>
      <c r="W772">
        <v>47295.572483938791</v>
      </c>
      <c r="X772">
        <v>47295.572483938791</v>
      </c>
      <c r="Y772">
        <v>0</v>
      </c>
      <c r="Z772">
        <v>1</v>
      </c>
    </row>
    <row r="773" spans="1:26" x14ac:dyDescent="0.25">
      <c r="A773" t="s">
        <v>130</v>
      </c>
      <c r="B773" t="s">
        <v>11</v>
      </c>
      <c r="C773" t="s">
        <v>86</v>
      </c>
      <c r="D773">
        <v>1</v>
      </c>
      <c r="E773">
        <v>2030</v>
      </c>
      <c r="F773" t="s">
        <v>43</v>
      </c>
      <c r="G773">
        <v>108792396.63373713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108792396.63373713</v>
      </c>
      <c r="N773">
        <v>0</v>
      </c>
      <c r="O773">
        <v>0</v>
      </c>
      <c r="P773">
        <v>0</v>
      </c>
      <c r="Q773">
        <v>108792396.63373713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</row>
    <row r="774" spans="1:26" x14ac:dyDescent="0.25">
      <c r="A774" t="s">
        <v>130</v>
      </c>
      <c r="B774" t="s">
        <v>68</v>
      </c>
      <c r="C774" t="s">
        <v>86</v>
      </c>
      <c r="D774">
        <v>0</v>
      </c>
      <c r="E774">
        <v>2030</v>
      </c>
      <c r="F774" t="s">
        <v>43</v>
      </c>
      <c r="G774">
        <v>3475869.7995257122</v>
      </c>
      <c r="H774">
        <v>0</v>
      </c>
      <c r="I774">
        <v>0</v>
      </c>
      <c r="J774">
        <v>0</v>
      </c>
      <c r="K774">
        <v>0</v>
      </c>
      <c r="L774">
        <v>3047051.4177026679</v>
      </c>
      <c r="M774">
        <v>0</v>
      </c>
      <c r="N774">
        <v>0</v>
      </c>
      <c r="O774">
        <v>428818.38182304427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</row>
    <row r="775" spans="1:26" x14ac:dyDescent="0.25">
      <c r="A775" t="s">
        <v>130</v>
      </c>
      <c r="B775" t="s">
        <v>51</v>
      </c>
      <c r="C775" t="s">
        <v>73</v>
      </c>
      <c r="D775">
        <v>1</v>
      </c>
      <c r="E775">
        <v>2030</v>
      </c>
      <c r="F775" t="s">
        <v>43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</row>
    <row r="776" spans="1:26" x14ac:dyDescent="0.25">
      <c r="A776" t="s">
        <v>130</v>
      </c>
      <c r="B776" t="s">
        <v>50</v>
      </c>
      <c r="C776" t="s">
        <v>74</v>
      </c>
      <c r="D776">
        <v>1</v>
      </c>
      <c r="E776">
        <v>2030</v>
      </c>
      <c r="F776" t="s">
        <v>43</v>
      </c>
      <c r="G776">
        <v>358055.10959218151</v>
      </c>
      <c r="H776">
        <v>0</v>
      </c>
      <c r="I776">
        <v>0</v>
      </c>
      <c r="J776">
        <v>0</v>
      </c>
      <c r="K776">
        <v>179027.55479609076</v>
      </c>
      <c r="L776">
        <v>67774.717172805787</v>
      </c>
      <c r="M776">
        <v>0</v>
      </c>
      <c r="N776">
        <v>0</v>
      </c>
      <c r="O776">
        <v>111252.83762328496</v>
      </c>
      <c r="P776">
        <v>111252.83762328496</v>
      </c>
      <c r="Q776">
        <v>179027.55479609076</v>
      </c>
      <c r="R776">
        <v>0.2396386122405558</v>
      </c>
      <c r="S776">
        <v>0.62526396527133532</v>
      </c>
      <c r="T776">
        <v>0.38562535303077949</v>
      </c>
      <c r="U776">
        <v>0.23963861224055583</v>
      </c>
      <c r="V776">
        <v>33375.851286985482</v>
      </c>
      <c r="W776">
        <v>87084.117725812714</v>
      </c>
      <c r="X776">
        <v>53708.266438827224</v>
      </c>
      <c r="Y776">
        <v>33375.851286985489</v>
      </c>
      <c r="Z776">
        <v>0</v>
      </c>
    </row>
    <row r="777" spans="1:26" x14ac:dyDescent="0.25">
      <c r="A777" t="s">
        <v>130</v>
      </c>
      <c r="B777" t="s">
        <v>60</v>
      </c>
      <c r="C777" t="s">
        <v>86</v>
      </c>
      <c r="D777">
        <v>0</v>
      </c>
      <c r="E777">
        <v>2030</v>
      </c>
      <c r="F777" t="s">
        <v>43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</row>
    <row r="778" spans="1:26" x14ac:dyDescent="0.25">
      <c r="A778" t="s">
        <v>130</v>
      </c>
      <c r="B778" t="s">
        <v>46</v>
      </c>
      <c r="C778" t="s">
        <v>74</v>
      </c>
      <c r="D778">
        <v>1</v>
      </c>
      <c r="E778">
        <v>2030</v>
      </c>
      <c r="F778" t="s">
        <v>43</v>
      </c>
      <c r="G778">
        <v>700.20192515285464</v>
      </c>
      <c r="H778">
        <v>0</v>
      </c>
      <c r="I778">
        <v>0</v>
      </c>
      <c r="J778">
        <v>0</v>
      </c>
      <c r="K778">
        <v>350.10096257642732</v>
      </c>
      <c r="L778">
        <v>265.07644309358068</v>
      </c>
      <c r="M778">
        <v>0</v>
      </c>
      <c r="N778">
        <v>0</v>
      </c>
      <c r="O778">
        <v>85.024519482846586</v>
      </c>
      <c r="P778">
        <v>85.024519482846586</v>
      </c>
      <c r="Q778">
        <v>350.10096257642732</v>
      </c>
      <c r="R778">
        <v>3.9986181267587921E-5</v>
      </c>
      <c r="S778">
        <v>2.0463516295765594E-4</v>
      </c>
      <c r="T778">
        <v>1.6464898169006801E-4</v>
      </c>
      <c r="U778">
        <v>3.9986181267587928E-5</v>
      </c>
      <c r="V778">
        <v>5.356544727419335</v>
      </c>
      <c r="W778">
        <v>27.412905369734258</v>
      </c>
      <c r="X778">
        <v>22.056360642314921</v>
      </c>
      <c r="Y778">
        <v>5.3565447274193367</v>
      </c>
      <c r="Z778">
        <v>0</v>
      </c>
    </row>
    <row r="779" spans="1:26" x14ac:dyDescent="0.25">
      <c r="A779" t="s">
        <v>130</v>
      </c>
      <c r="B779" t="s">
        <v>39</v>
      </c>
      <c r="C779" t="s">
        <v>86</v>
      </c>
      <c r="D779">
        <v>0</v>
      </c>
      <c r="E779">
        <v>2030</v>
      </c>
      <c r="F779" t="s">
        <v>43</v>
      </c>
      <c r="G779">
        <v>15244.045659594452</v>
      </c>
      <c r="H779">
        <v>0</v>
      </c>
      <c r="I779">
        <v>0</v>
      </c>
      <c r="J779">
        <v>30560.118468347584</v>
      </c>
      <c r="K779">
        <v>0</v>
      </c>
      <c r="L779">
        <v>0</v>
      </c>
      <c r="M779">
        <v>0</v>
      </c>
      <c r="N779">
        <v>0</v>
      </c>
      <c r="O779">
        <v>-15316.072808753132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</row>
    <row r="780" spans="1:26" x14ac:dyDescent="0.25">
      <c r="A780" t="s">
        <v>130</v>
      </c>
      <c r="B780" t="s">
        <v>75</v>
      </c>
      <c r="C780" t="s">
        <v>86</v>
      </c>
      <c r="D780">
        <v>0</v>
      </c>
      <c r="E780">
        <v>2030</v>
      </c>
      <c r="F780" t="s">
        <v>43</v>
      </c>
      <c r="G780">
        <v>645001.32802557282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645001.32802557282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</row>
    <row r="781" spans="1:26" x14ac:dyDescent="0.25">
      <c r="A781" t="s">
        <v>130</v>
      </c>
      <c r="B781" t="s">
        <v>41</v>
      </c>
      <c r="C781" t="s">
        <v>86</v>
      </c>
      <c r="D781">
        <v>0</v>
      </c>
      <c r="E781">
        <v>2030</v>
      </c>
      <c r="F781" t="s">
        <v>43</v>
      </c>
      <c r="G781">
        <v>16686.121067916127</v>
      </c>
      <c r="H781">
        <v>0</v>
      </c>
      <c r="I781">
        <v>0</v>
      </c>
      <c r="J781">
        <v>223323.94265330929</v>
      </c>
      <c r="K781">
        <v>0</v>
      </c>
      <c r="L781">
        <v>0</v>
      </c>
      <c r="M781">
        <v>0</v>
      </c>
      <c r="N781">
        <v>0</v>
      </c>
      <c r="O781">
        <v>-206637.82158539316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1</v>
      </c>
    </row>
    <row r="782" spans="1:26" x14ac:dyDescent="0.25">
      <c r="A782" t="s">
        <v>130</v>
      </c>
      <c r="B782" t="s">
        <v>57</v>
      </c>
      <c r="C782" t="s">
        <v>57</v>
      </c>
      <c r="D782">
        <v>1</v>
      </c>
      <c r="E782">
        <v>2030</v>
      </c>
      <c r="F782" t="s">
        <v>43</v>
      </c>
      <c r="G782">
        <v>0</v>
      </c>
      <c r="H782">
        <v>0</v>
      </c>
      <c r="I782">
        <v>0</v>
      </c>
      <c r="J782">
        <v>0</v>
      </c>
      <c r="K782">
        <v>28548.400000000001</v>
      </c>
      <c r="L782">
        <v>0</v>
      </c>
      <c r="M782">
        <v>0</v>
      </c>
      <c r="N782">
        <v>0</v>
      </c>
      <c r="O782">
        <v>-28548.400000000001</v>
      </c>
      <c r="P782">
        <v>0</v>
      </c>
      <c r="Q782">
        <v>28548.400000000001</v>
      </c>
      <c r="R782">
        <v>0</v>
      </c>
      <c r="S782">
        <v>0.43389639740160008</v>
      </c>
      <c r="T782">
        <v>0.43389639740160008</v>
      </c>
      <c r="U782">
        <v>0</v>
      </c>
      <c r="V782">
        <v>0</v>
      </c>
      <c r="W782">
        <v>25693.56</v>
      </c>
      <c r="X782">
        <v>25693.56</v>
      </c>
      <c r="Y782">
        <v>0</v>
      </c>
      <c r="Z782">
        <v>1</v>
      </c>
    </row>
    <row r="783" spans="1:26" x14ac:dyDescent="0.25">
      <c r="A783" t="s">
        <v>130</v>
      </c>
      <c r="B783" t="s">
        <v>53</v>
      </c>
      <c r="C783" t="s">
        <v>76</v>
      </c>
      <c r="D783">
        <v>1</v>
      </c>
      <c r="E783">
        <v>2030</v>
      </c>
      <c r="F783" t="s">
        <v>43</v>
      </c>
      <c r="G783">
        <v>2190992.6315255472</v>
      </c>
      <c r="H783">
        <v>1502068.0760117145</v>
      </c>
      <c r="I783">
        <v>0</v>
      </c>
      <c r="J783">
        <v>0</v>
      </c>
      <c r="K783">
        <v>10062.940438050116</v>
      </c>
      <c r="L783">
        <v>0</v>
      </c>
      <c r="M783">
        <v>0</v>
      </c>
      <c r="N783">
        <v>0</v>
      </c>
      <c r="O783">
        <v>678861.61507578264</v>
      </c>
      <c r="P783">
        <v>678861.61507578264</v>
      </c>
      <c r="Q783">
        <v>10062.940438050116</v>
      </c>
      <c r="R783">
        <v>1.2490205140375557</v>
      </c>
      <c r="S783">
        <v>1.267535066576013</v>
      </c>
      <c r="T783">
        <v>1.8514552538457459E-2</v>
      </c>
      <c r="U783">
        <v>1.2490205140375557</v>
      </c>
      <c r="V783">
        <v>190081.25222121915</v>
      </c>
      <c r="W783">
        <v>192898.87554387318</v>
      </c>
      <c r="X783">
        <v>2817.623322654033</v>
      </c>
      <c r="Y783">
        <v>190081.25222121915</v>
      </c>
      <c r="Z783">
        <v>0</v>
      </c>
    </row>
    <row r="784" spans="1:26" x14ac:dyDescent="0.25">
      <c r="A784" t="s">
        <v>130</v>
      </c>
      <c r="B784" t="s">
        <v>61</v>
      </c>
      <c r="C784" t="s">
        <v>86</v>
      </c>
      <c r="D784">
        <v>0</v>
      </c>
      <c r="E784">
        <v>2030</v>
      </c>
      <c r="F784" t="s">
        <v>43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</row>
    <row r="785" spans="1:26" x14ac:dyDescent="0.25">
      <c r="A785" t="s">
        <v>130</v>
      </c>
      <c r="B785" t="s">
        <v>30</v>
      </c>
      <c r="C785" t="s">
        <v>86</v>
      </c>
      <c r="D785">
        <v>0</v>
      </c>
      <c r="E785">
        <v>2030</v>
      </c>
      <c r="F785" t="s">
        <v>43</v>
      </c>
      <c r="G785">
        <v>100834.72491971773</v>
      </c>
      <c r="H785">
        <v>0</v>
      </c>
      <c r="I785">
        <v>0</v>
      </c>
      <c r="J785">
        <v>233902.44520004498</v>
      </c>
      <c r="K785">
        <v>0</v>
      </c>
      <c r="L785">
        <v>0</v>
      </c>
      <c r="M785">
        <v>0</v>
      </c>
      <c r="N785">
        <v>0</v>
      </c>
      <c r="O785">
        <v>-133067.72028032725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1</v>
      </c>
    </row>
    <row r="786" spans="1:26" x14ac:dyDescent="0.25">
      <c r="A786" t="s">
        <v>130</v>
      </c>
      <c r="B786" t="s">
        <v>52</v>
      </c>
      <c r="C786" t="s">
        <v>77</v>
      </c>
      <c r="D786">
        <v>1</v>
      </c>
      <c r="E786">
        <v>2030</v>
      </c>
      <c r="F786" t="s">
        <v>43</v>
      </c>
      <c r="G786">
        <v>937754.98883303662</v>
      </c>
      <c r="H786">
        <v>94889.448034412562</v>
      </c>
      <c r="I786">
        <v>103520.85960187271</v>
      </c>
      <c r="J786">
        <v>0</v>
      </c>
      <c r="K786">
        <v>23065.005787969905</v>
      </c>
      <c r="L786">
        <v>0</v>
      </c>
      <c r="M786">
        <v>716279.67540878139</v>
      </c>
      <c r="N786">
        <v>0</v>
      </c>
      <c r="O786">
        <v>0</v>
      </c>
      <c r="P786">
        <v>0</v>
      </c>
      <c r="Q786">
        <v>739344.68119675131</v>
      </c>
      <c r="R786">
        <v>0</v>
      </c>
      <c r="S786">
        <v>7.5363102231539605</v>
      </c>
      <c r="T786">
        <v>0.13298221347077202</v>
      </c>
      <c r="U786">
        <v>7.4033280096831886</v>
      </c>
      <c r="V786">
        <v>0</v>
      </c>
      <c r="W786">
        <v>628442.9790172386</v>
      </c>
      <c r="X786">
        <v>19605.254919774419</v>
      </c>
      <c r="Y786">
        <v>608837.72409746423</v>
      </c>
      <c r="Z786">
        <v>0</v>
      </c>
    </row>
    <row r="787" spans="1:26" x14ac:dyDescent="0.25">
      <c r="A787" t="s">
        <v>130</v>
      </c>
      <c r="B787" t="s">
        <v>56</v>
      </c>
      <c r="C787" t="s">
        <v>73</v>
      </c>
      <c r="D787">
        <v>1</v>
      </c>
      <c r="E787">
        <v>2030</v>
      </c>
      <c r="F787" t="s">
        <v>43</v>
      </c>
      <c r="G787">
        <v>456074.89013160887</v>
      </c>
      <c r="H787">
        <v>0</v>
      </c>
      <c r="I787">
        <v>0</v>
      </c>
      <c r="J787">
        <v>0</v>
      </c>
      <c r="K787">
        <v>36.19608838570413</v>
      </c>
      <c r="L787">
        <v>0</v>
      </c>
      <c r="M787">
        <v>456038.69404322316</v>
      </c>
      <c r="N787">
        <v>0</v>
      </c>
      <c r="O787">
        <v>0</v>
      </c>
      <c r="P787">
        <v>0</v>
      </c>
      <c r="Q787">
        <v>456074.89013160887</v>
      </c>
      <c r="R787">
        <v>0</v>
      </c>
      <c r="S787">
        <v>8.1413647955115209</v>
      </c>
      <c r="T787">
        <v>6.1463491805112617E-5</v>
      </c>
      <c r="U787">
        <v>8.1413033320197155</v>
      </c>
      <c r="V787">
        <v>0</v>
      </c>
      <c r="W787">
        <v>136822.46703948267</v>
      </c>
      <c r="X787">
        <v>10.858826515711238</v>
      </c>
      <c r="Y787">
        <v>136811.60821296697</v>
      </c>
      <c r="Z787">
        <v>0</v>
      </c>
    </row>
    <row r="788" spans="1:26" x14ac:dyDescent="0.25">
      <c r="A788" t="s">
        <v>130</v>
      </c>
      <c r="B788" t="s">
        <v>63</v>
      </c>
      <c r="C788" t="s">
        <v>86</v>
      </c>
      <c r="D788">
        <v>0</v>
      </c>
      <c r="E788">
        <v>2030</v>
      </c>
      <c r="F788" t="s">
        <v>43</v>
      </c>
      <c r="G788">
        <v>0</v>
      </c>
      <c r="H788">
        <v>592646.72642582119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-592646.72642582119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1</v>
      </c>
    </row>
    <row r="789" spans="1:26" x14ac:dyDescent="0.25">
      <c r="A789" t="s">
        <v>130</v>
      </c>
      <c r="B789" t="s">
        <v>49</v>
      </c>
      <c r="C789" t="s">
        <v>73</v>
      </c>
      <c r="D789">
        <v>1</v>
      </c>
      <c r="E789">
        <v>2030</v>
      </c>
      <c r="F789" t="s">
        <v>43</v>
      </c>
      <c r="G789">
        <v>202910.9816220197</v>
      </c>
      <c r="H789">
        <v>0</v>
      </c>
      <c r="I789">
        <v>0</v>
      </c>
      <c r="J789">
        <v>0</v>
      </c>
      <c r="K789">
        <v>202910.8690139266</v>
      </c>
      <c r="L789">
        <v>0</v>
      </c>
      <c r="M789">
        <v>0</v>
      </c>
      <c r="N789">
        <v>0</v>
      </c>
      <c r="O789">
        <v>0.11260809309897013</v>
      </c>
      <c r="P789">
        <v>0.11260809309897013</v>
      </c>
      <c r="Q789">
        <v>202910.8690139266</v>
      </c>
      <c r="R789">
        <v>4.8794550644994054E-7</v>
      </c>
      <c r="S789">
        <v>0.74735378571827482</v>
      </c>
      <c r="T789">
        <v>0.74735329777276838</v>
      </c>
      <c r="U789">
        <v>4.8794550644437606E-7</v>
      </c>
      <c r="V789">
        <v>4.7295399101567451E-2</v>
      </c>
      <c r="W789">
        <v>85222.612281248264</v>
      </c>
      <c r="X789">
        <v>85222.564985849167</v>
      </c>
      <c r="Y789">
        <v>4.7295399097492918E-2</v>
      </c>
      <c r="Z789">
        <v>0</v>
      </c>
    </row>
    <row r="790" spans="1:26" x14ac:dyDescent="0.25">
      <c r="A790" t="s">
        <v>130</v>
      </c>
      <c r="B790" t="s">
        <v>78</v>
      </c>
      <c r="C790" t="s">
        <v>86</v>
      </c>
      <c r="D790">
        <v>0</v>
      </c>
      <c r="E790">
        <v>2030</v>
      </c>
      <c r="F790" t="s">
        <v>43</v>
      </c>
      <c r="G790">
        <v>153987.37784910508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153987.37784910508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</row>
    <row r="791" spans="1:26" x14ac:dyDescent="0.25">
      <c r="A791" t="s">
        <v>130</v>
      </c>
      <c r="B791" t="s">
        <v>31</v>
      </c>
      <c r="C791" t="s">
        <v>86</v>
      </c>
      <c r="D791">
        <v>0</v>
      </c>
      <c r="E791">
        <v>2030</v>
      </c>
      <c r="F791" t="s">
        <v>43</v>
      </c>
      <c r="G791">
        <v>122853.28204903381</v>
      </c>
      <c r="H791">
        <v>0</v>
      </c>
      <c r="I791">
        <v>0</v>
      </c>
      <c r="J791">
        <v>106960.41463921656</v>
      </c>
      <c r="K791">
        <v>0</v>
      </c>
      <c r="L791">
        <v>0</v>
      </c>
      <c r="M791">
        <v>0</v>
      </c>
      <c r="N791">
        <v>0</v>
      </c>
      <c r="O791">
        <v>15892.867409817249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</row>
    <row r="792" spans="1:26" x14ac:dyDescent="0.25">
      <c r="A792" t="s">
        <v>130</v>
      </c>
      <c r="B792" t="s">
        <v>29</v>
      </c>
      <c r="C792" t="s">
        <v>77</v>
      </c>
      <c r="D792">
        <v>1</v>
      </c>
      <c r="E792">
        <v>2030</v>
      </c>
      <c r="F792" t="s">
        <v>43</v>
      </c>
      <c r="G792">
        <v>2409167.1046716827</v>
      </c>
      <c r="H792">
        <v>721621.60770550347</v>
      </c>
      <c r="I792">
        <v>0</v>
      </c>
      <c r="J792">
        <v>256234.83946537593</v>
      </c>
      <c r="K792">
        <v>952.06663022948101</v>
      </c>
      <c r="L792">
        <v>0</v>
      </c>
      <c r="M792">
        <v>0</v>
      </c>
      <c r="N792">
        <v>0</v>
      </c>
      <c r="O792">
        <v>1430358.5908705737</v>
      </c>
      <c r="P792">
        <v>1430358.5908705737</v>
      </c>
      <c r="Q792">
        <v>952.06663022948101</v>
      </c>
      <c r="R792">
        <v>4.8987779235289937</v>
      </c>
      <c r="S792">
        <v>4.9020386184482012</v>
      </c>
      <c r="T792">
        <v>3.2606949192077409E-3</v>
      </c>
      <c r="U792">
        <v>4.8987779235289937</v>
      </c>
      <c r="V792">
        <v>443411.16316987784</v>
      </c>
      <c r="W792">
        <v>443706.30382524902</v>
      </c>
      <c r="X792">
        <v>295.14065537113913</v>
      </c>
      <c r="Y792">
        <v>443411.16316987789</v>
      </c>
      <c r="Z792">
        <v>0</v>
      </c>
    </row>
    <row r="793" spans="1:26" x14ac:dyDescent="0.25">
      <c r="A793" t="s">
        <v>130</v>
      </c>
      <c r="B793" t="s">
        <v>69</v>
      </c>
      <c r="C793" t="s">
        <v>86</v>
      </c>
      <c r="D793">
        <v>0</v>
      </c>
      <c r="E793">
        <v>2030</v>
      </c>
      <c r="F793" t="s">
        <v>43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371889.1498666883</v>
      </c>
      <c r="M793">
        <v>0</v>
      </c>
      <c r="N793">
        <v>0</v>
      </c>
      <c r="O793">
        <v>-371889.1498666883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1</v>
      </c>
    </row>
    <row r="794" spans="1:26" x14ac:dyDescent="0.25">
      <c r="A794" t="s">
        <v>130</v>
      </c>
      <c r="B794" t="s">
        <v>45</v>
      </c>
      <c r="C794" t="s">
        <v>74</v>
      </c>
      <c r="D794">
        <v>1</v>
      </c>
      <c r="E794">
        <v>2030</v>
      </c>
      <c r="F794" t="s">
        <v>43</v>
      </c>
      <c r="G794">
        <v>922789.17266620893</v>
      </c>
      <c r="H794">
        <v>0</v>
      </c>
      <c r="I794">
        <v>0</v>
      </c>
      <c r="J794">
        <v>0</v>
      </c>
      <c r="K794">
        <v>701319.77122631879</v>
      </c>
      <c r="L794">
        <v>146723.47845392721</v>
      </c>
      <c r="M794">
        <v>0</v>
      </c>
      <c r="N794">
        <v>0</v>
      </c>
      <c r="O794">
        <v>74745.922985962941</v>
      </c>
      <c r="P794">
        <v>74745.922985962941</v>
      </c>
      <c r="Q794">
        <v>701319.77122631879</v>
      </c>
      <c r="R794">
        <v>3.7835638756264584E-2</v>
      </c>
      <c r="S794">
        <v>0.39283669375331498</v>
      </c>
      <c r="T794">
        <v>0.35500105499705037</v>
      </c>
      <c r="U794">
        <v>3.7835638756264611E-2</v>
      </c>
      <c r="V794">
        <v>5680.6901469331833</v>
      </c>
      <c r="W794">
        <v>58980.992760133413</v>
      </c>
      <c r="X794">
        <v>53300.302613200227</v>
      </c>
      <c r="Y794">
        <v>5680.690146933186</v>
      </c>
      <c r="Z794">
        <v>0</v>
      </c>
    </row>
    <row r="795" spans="1:26" x14ac:dyDescent="0.25">
      <c r="A795" t="s">
        <v>130</v>
      </c>
      <c r="B795" t="s">
        <v>59</v>
      </c>
      <c r="C795" t="s">
        <v>86</v>
      </c>
      <c r="D795">
        <v>0</v>
      </c>
      <c r="E795">
        <v>2030</v>
      </c>
      <c r="F795" t="s">
        <v>43</v>
      </c>
      <c r="G795">
        <v>115210.53389359287</v>
      </c>
      <c r="H795">
        <v>186040.49371289229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-70829.959819299416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</row>
    <row r="796" spans="1:26" x14ac:dyDescent="0.25">
      <c r="A796" t="s">
        <v>130</v>
      </c>
      <c r="B796" t="s">
        <v>54</v>
      </c>
      <c r="C796" t="s">
        <v>76</v>
      </c>
      <c r="D796">
        <v>1</v>
      </c>
      <c r="E796">
        <v>2030</v>
      </c>
      <c r="F796" t="s">
        <v>43</v>
      </c>
      <c r="G796">
        <v>388994.37014569982</v>
      </c>
      <c r="H796">
        <v>694353.26110928762</v>
      </c>
      <c r="I796">
        <v>0</v>
      </c>
      <c r="J796">
        <v>0</v>
      </c>
      <c r="K796">
        <v>15333.686496408332</v>
      </c>
      <c r="L796">
        <v>0</v>
      </c>
      <c r="M796">
        <v>0</v>
      </c>
      <c r="N796">
        <v>0</v>
      </c>
      <c r="O796">
        <v>-320692.5774599961</v>
      </c>
      <c r="P796">
        <v>0</v>
      </c>
      <c r="Q796">
        <v>15333.686496408332</v>
      </c>
      <c r="R796">
        <v>0</v>
      </c>
      <c r="S796">
        <v>5.5047934522105921E-2</v>
      </c>
      <c r="T796">
        <v>5.5047934522105921E-2</v>
      </c>
      <c r="U796">
        <v>0</v>
      </c>
      <c r="V796">
        <v>0</v>
      </c>
      <c r="W796">
        <v>4600.1059489224999</v>
      </c>
      <c r="X796">
        <v>4600.1059489224999</v>
      </c>
      <c r="Y796">
        <v>0</v>
      </c>
      <c r="Z796">
        <v>0</v>
      </c>
    </row>
    <row r="797" spans="1:26" x14ac:dyDescent="0.25">
      <c r="A797" t="s">
        <v>130</v>
      </c>
      <c r="B797" t="s">
        <v>38</v>
      </c>
      <c r="C797" t="s">
        <v>86</v>
      </c>
      <c r="D797">
        <v>0</v>
      </c>
      <c r="E797">
        <v>2030</v>
      </c>
      <c r="F797" t="s">
        <v>43</v>
      </c>
      <c r="G797">
        <v>222296.53737538058</v>
      </c>
      <c r="H797">
        <v>0</v>
      </c>
      <c r="I797">
        <v>0</v>
      </c>
      <c r="J797">
        <v>409035.43180711387</v>
      </c>
      <c r="K797">
        <v>0</v>
      </c>
      <c r="L797">
        <v>0</v>
      </c>
      <c r="M797">
        <v>0</v>
      </c>
      <c r="N797">
        <v>0</v>
      </c>
      <c r="O797">
        <v>-186738.89443173329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</row>
    <row r="798" spans="1:26" x14ac:dyDescent="0.25">
      <c r="A798" t="s">
        <v>130</v>
      </c>
      <c r="B798" t="s">
        <v>35</v>
      </c>
      <c r="C798" t="s">
        <v>79</v>
      </c>
      <c r="D798">
        <v>1</v>
      </c>
      <c r="E798">
        <v>2030</v>
      </c>
      <c r="F798" t="s">
        <v>43</v>
      </c>
      <c r="G798">
        <v>3243.3351780449079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3243.3351780449079</v>
      </c>
      <c r="P798">
        <v>3243.3351780449079</v>
      </c>
      <c r="Q798">
        <v>0</v>
      </c>
      <c r="R798">
        <v>2.9108933222953054E-3</v>
      </c>
      <c r="S798">
        <v>2.9108933222953054E-3</v>
      </c>
      <c r="T798">
        <v>0</v>
      </c>
      <c r="U798">
        <v>2.9108933222953054E-3</v>
      </c>
      <c r="V798">
        <v>486.50027670673614</v>
      </c>
      <c r="W798">
        <v>486.50027670673614</v>
      </c>
      <c r="X798">
        <v>0</v>
      </c>
      <c r="Y798">
        <v>486.50027670673614</v>
      </c>
      <c r="Z798">
        <v>0</v>
      </c>
    </row>
    <row r="799" spans="1:26" x14ac:dyDescent="0.25">
      <c r="A799" t="s">
        <v>130</v>
      </c>
      <c r="B799" t="s">
        <v>33</v>
      </c>
      <c r="C799" t="s">
        <v>86</v>
      </c>
      <c r="D799">
        <v>0</v>
      </c>
      <c r="E799">
        <v>2030</v>
      </c>
      <c r="F799" t="s">
        <v>43</v>
      </c>
      <c r="G799">
        <v>7545.7953205064359</v>
      </c>
      <c r="H799">
        <v>0</v>
      </c>
      <c r="I799">
        <v>0</v>
      </c>
      <c r="J799">
        <v>51975.70917962808</v>
      </c>
      <c r="K799">
        <v>0</v>
      </c>
      <c r="L799">
        <v>0</v>
      </c>
      <c r="M799">
        <v>0</v>
      </c>
      <c r="N799">
        <v>0</v>
      </c>
      <c r="O799">
        <v>-44429.913859121647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</row>
    <row r="800" spans="1:26" x14ac:dyDescent="0.25">
      <c r="A800" t="s">
        <v>130</v>
      </c>
      <c r="B800" t="s">
        <v>80</v>
      </c>
      <c r="C800" t="s">
        <v>86</v>
      </c>
      <c r="D800">
        <v>0</v>
      </c>
      <c r="E800">
        <v>2030</v>
      </c>
      <c r="F800" t="s">
        <v>43</v>
      </c>
      <c r="G800">
        <v>418150.43620360433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418150.43620360433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</row>
    <row r="801" spans="1:26" x14ac:dyDescent="0.25">
      <c r="A801" t="s">
        <v>130</v>
      </c>
      <c r="B801" t="s">
        <v>65</v>
      </c>
      <c r="C801" t="s">
        <v>81</v>
      </c>
      <c r="D801">
        <v>1</v>
      </c>
      <c r="E801">
        <v>2030</v>
      </c>
      <c r="F801" t="s">
        <v>43</v>
      </c>
      <c r="G801">
        <v>39419.677245239443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39419.677245239443</v>
      </c>
      <c r="N801">
        <v>0</v>
      </c>
      <c r="O801">
        <v>0</v>
      </c>
      <c r="P801">
        <v>0</v>
      </c>
      <c r="Q801">
        <v>39419.677245239443</v>
      </c>
      <c r="R801">
        <v>0</v>
      </c>
      <c r="S801">
        <v>0.72532206131240562</v>
      </c>
      <c r="T801">
        <v>0</v>
      </c>
      <c r="U801">
        <v>0.72532206131240562</v>
      </c>
      <c r="V801">
        <v>0</v>
      </c>
      <c r="W801">
        <v>16359.166056774371</v>
      </c>
      <c r="X801">
        <v>0</v>
      </c>
      <c r="Y801">
        <v>16359.166056774371</v>
      </c>
      <c r="Z801">
        <v>0</v>
      </c>
    </row>
    <row r="802" spans="1:26" x14ac:dyDescent="0.25">
      <c r="A802" t="s">
        <v>130</v>
      </c>
      <c r="B802" t="s">
        <v>140</v>
      </c>
      <c r="C802" t="s">
        <v>142</v>
      </c>
      <c r="D802">
        <v>1</v>
      </c>
      <c r="E802">
        <v>2030</v>
      </c>
      <c r="F802" t="s">
        <v>43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</row>
    <row r="803" spans="1:26" x14ac:dyDescent="0.25">
      <c r="A803" t="s">
        <v>130</v>
      </c>
      <c r="B803" t="s">
        <v>141</v>
      </c>
      <c r="C803" t="s">
        <v>142</v>
      </c>
      <c r="D803">
        <v>1</v>
      </c>
      <c r="E803">
        <v>2030</v>
      </c>
      <c r="F803" t="s">
        <v>43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</row>
    <row r="804" spans="1:26" x14ac:dyDescent="0.25">
      <c r="A804" t="s">
        <v>130</v>
      </c>
      <c r="B804" t="s">
        <v>82</v>
      </c>
      <c r="C804" t="s">
        <v>86</v>
      </c>
      <c r="D804">
        <v>0</v>
      </c>
      <c r="E804">
        <v>2030</v>
      </c>
      <c r="F804" t="s">
        <v>43</v>
      </c>
      <c r="G804">
        <v>346161.09873740864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346161.09873740864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</row>
    <row r="805" spans="1:26" x14ac:dyDescent="0.25">
      <c r="A805" t="s">
        <v>130</v>
      </c>
      <c r="B805" t="s">
        <v>72</v>
      </c>
      <c r="C805" t="s">
        <v>86</v>
      </c>
      <c r="D805">
        <v>0</v>
      </c>
      <c r="E805">
        <v>2030</v>
      </c>
      <c r="F805" t="s">
        <v>43</v>
      </c>
      <c r="G805">
        <v>204407.79128636757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204407.79128636757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</row>
    <row r="806" spans="1:26" x14ac:dyDescent="0.25">
      <c r="A806" t="s">
        <v>130</v>
      </c>
      <c r="B806" t="s">
        <v>58</v>
      </c>
      <c r="C806" t="s">
        <v>86</v>
      </c>
      <c r="D806">
        <v>0</v>
      </c>
      <c r="E806">
        <v>2030</v>
      </c>
      <c r="F806" t="s">
        <v>43</v>
      </c>
      <c r="G806">
        <v>102203.89564318379</v>
      </c>
      <c r="H806">
        <v>26278.769501998377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75925.126141185407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</row>
    <row r="807" spans="1:26" x14ac:dyDescent="0.25">
      <c r="A807" t="s">
        <v>130</v>
      </c>
      <c r="B807" t="s">
        <v>64</v>
      </c>
      <c r="C807" t="s">
        <v>64</v>
      </c>
      <c r="D807">
        <v>1</v>
      </c>
      <c r="E807">
        <v>2030</v>
      </c>
      <c r="F807" t="s">
        <v>43</v>
      </c>
      <c r="G807">
        <v>65410.493211637622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65410.493211637622</v>
      </c>
      <c r="N807">
        <v>0</v>
      </c>
      <c r="O807">
        <v>0</v>
      </c>
      <c r="P807">
        <v>0</v>
      </c>
      <c r="Q807">
        <v>65410.493211637622</v>
      </c>
      <c r="R807">
        <v>0</v>
      </c>
      <c r="S807">
        <v>2.2893672624073167</v>
      </c>
      <c r="T807">
        <v>0</v>
      </c>
      <c r="U807">
        <v>2.2893672624073167</v>
      </c>
      <c r="V807">
        <v>0</v>
      </c>
      <c r="W807">
        <v>59523.548822590237</v>
      </c>
      <c r="X807">
        <v>0</v>
      </c>
      <c r="Y807">
        <v>59523.548822590237</v>
      </c>
      <c r="Z807">
        <v>0</v>
      </c>
    </row>
    <row r="808" spans="1:26" x14ac:dyDescent="0.25">
      <c r="A808" t="s">
        <v>130</v>
      </c>
      <c r="B808" t="s">
        <v>55</v>
      </c>
      <c r="C808" t="s">
        <v>76</v>
      </c>
      <c r="D808">
        <v>1</v>
      </c>
      <c r="E808">
        <v>2030</v>
      </c>
      <c r="F808" t="s">
        <v>43</v>
      </c>
      <c r="G808">
        <v>2381738.5992335565</v>
      </c>
      <c r="H808">
        <v>103245.8768300271</v>
      </c>
      <c r="I808">
        <v>0</v>
      </c>
      <c r="J808">
        <v>0</v>
      </c>
      <c r="K808">
        <v>24569.279216726416</v>
      </c>
      <c r="L808">
        <v>0</v>
      </c>
      <c r="M808">
        <v>0</v>
      </c>
      <c r="N808">
        <v>0</v>
      </c>
      <c r="O808">
        <v>2253923.4431868028</v>
      </c>
      <c r="P808">
        <v>1803779.2618535154</v>
      </c>
      <c r="Q808">
        <v>24569.279216726416</v>
      </c>
      <c r="R808">
        <v>4.8955290678409149</v>
      </c>
      <c r="S808">
        <v>4.9622110744062793</v>
      </c>
      <c r="T808">
        <v>6.668200656536416E-2</v>
      </c>
      <c r="U808">
        <v>4.8955290678409149</v>
      </c>
      <c r="V808">
        <v>360755.85237070313</v>
      </c>
      <c r="W808">
        <v>365669.70821404835</v>
      </c>
      <c r="X808">
        <v>4913.8558433452836</v>
      </c>
      <c r="Y808">
        <v>360755.85237070307</v>
      </c>
      <c r="Z808">
        <v>0</v>
      </c>
    </row>
    <row r="809" spans="1:26" x14ac:dyDescent="0.25">
      <c r="A809" t="s">
        <v>130</v>
      </c>
      <c r="B809" t="s">
        <v>83</v>
      </c>
      <c r="C809" t="s">
        <v>86</v>
      </c>
      <c r="D809">
        <v>0</v>
      </c>
      <c r="E809">
        <v>2030</v>
      </c>
      <c r="F809" t="s">
        <v>43</v>
      </c>
      <c r="G809">
        <v>22535.823292320583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22535.823292320583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</row>
    <row r="810" spans="1:26" x14ac:dyDescent="0.25">
      <c r="A810" t="s">
        <v>130</v>
      </c>
      <c r="B810" t="s">
        <v>62</v>
      </c>
      <c r="C810" t="s">
        <v>86</v>
      </c>
      <c r="D810">
        <v>0</v>
      </c>
      <c r="E810">
        <v>2030</v>
      </c>
      <c r="F810" t="s">
        <v>43</v>
      </c>
      <c r="G810">
        <v>18290.426254310609</v>
      </c>
      <c r="H810">
        <v>4837.9324606189484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13452.493793691661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</row>
    <row r="811" spans="1:26" x14ac:dyDescent="0.25">
      <c r="A811" t="s">
        <v>130</v>
      </c>
      <c r="B811" t="s">
        <v>47</v>
      </c>
      <c r="C811" t="s">
        <v>73</v>
      </c>
      <c r="D811">
        <v>1</v>
      </c>
      <c r="E811">
        <v>2030</v>
      </c>
      <c r="F811" t="s">
        <v>43</v>
      </c>
      <c r="G811">
        <v>3344054.0907642334</v>
      </c>
      <c r="H811">
        <v>0</v>
      </c>
      <c r="I811">
        <v>0</v>
      </c>
      <c r="J811">
        <v>0</v>
      </c>
      <c r="K811">
        <v>1268228.6485488336</v>
      </c>
      <c r="L811">
        <v>0</v>
      </c>
      <c r="M811">
        <v>0</v>
      </c>
      <c r="N811">
        <v>0</v>
      </c>
      <c r="O811">
        <v>2075825.4422153998</v>
      </c>
      <c r="P811">
        <v>2075825.4422153998</v>
      </c>
      <c r="Q811">
        <v>1268228.6485488336</v>
      </c>
      <c r="R811">
        <v>1.0358576539199069</v>
      </c>
      <c r="S811">
        <v>1.6687164318322605</v>
      </c>
      <c r="T811">
        <v>0.63285877791235357</v>
      </c>
      <c r="U811">
        <v>1.0358576539199069</v>
      </c>
      <c r="V811">
        <v>124549.52653292398</v>
      </c>
      <c r="W811">
        <v>200643.245445854</v>
      </c>
      <c r="X811">
        <v>76093.71891293001</v>
      </c>
      <c r="Y811">
        <v>124549.52653292399</v>
      </c>
      <c r="Z811">
        <v>0</v>
      </c>
    </row>
    <row r="812" spans="1:26" x14ac:dyDescent="0.25">
      <c r="A812" t="s">
        <v>130</v>
      </c>
      <c r="B812" t="s">
        <v>44</v>
      </c>
      <c r="C812" t="s">
        <v>74</v>
      </c>
      <c r="D812">
        <v>1</v>
      </c>
      <c r="E812">
        <v>2030</v>
      </c>
      <c r="F812" t="s">
        <v>43</v>
      </c>
      <c r="G812">
        <v>2184299.8380428459</v>
      </c>
      <c r="H812">
        <v>0</v>
      </c>
      <c r="I812">
        <v>0</v>
      </c>
      <c r="J812">
        <v>0</v>
      </c>
      <c r="K812">
        <v>1157678.9141627084</v>
      </c>
      <c r="L812">
        <v>1026620.9238801375</v>
      </c>
      <c r="M812">
        <v>0</v>
      </c>
      <c r="N812">
        <v>0</v>
      </c>
      <c r="O812">
        <v>0</v>
      </c>
      <c r="P812">
        <v>0</v>
      </c>
      <c r="Q812">
        <v>1157678.9141627084</v>
      </c>
      <c r="R812">
        <v>0</v>
      </c>
      <c r="S812">
        <v>0.49872807622129489</v>
      </c>
      <c r="T812">
        <v>0.49872807622129489</v>
      </c>
      <c r="U812">
        <v>0</v>
      </c>
      <c r="V812">
        <v>0</v>
      </c>
      <c r="W812">
        <v>57883.945708135427</v>
      </c>
      <c r="X812">
        <v>57883.945708135427</v>
      </c>
      <c r="Y812">
        <v>0</v>
      </c>
      <c r="Z812">
        <v>0</v>
      </c>
    </row>
    <row r="813" spans="1:26" x14ac:dyDescent="0.25">
      <c r="A813" t="s">
        <v>130</v>
      </c>
      <c r="B813" t="s">
        <v>32</v>
      </c>
      <c r="C813" t="s">
        <v>86</v>
      </c>
      <c r="D813">
        <v>0</v>
      </c>
      <c r="E813">
        <v>2030</v>
      </c>
      <c r="F813" t="s">
        <v>43</v>
      </c>
      <c r="G813">
        <v>199670.11202830033</v>
      </c>
      <c r="H813">
        <v>0</v>
      </c>
      <c r="I813">
        <v>0</v>
      </c>
      <c r="J813">
        <v>105526.43984954793</v>
      </c>
      <c r="K813">
        <v>0</v>
      </c>
      <c r="L813">
        <v>0</v>
      </c>
      <c r="M813">
        <v>0</v>
      </c>
      <c r="N813">
        <v>0</v>
      </c>
      <c r="O813">
        <v>94143.6721787524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</row>
    <row r="814" spans="1:26" x14ac:dyDescent="0.25">
      <c r="A814" t="s">
        <v>130</v>
      </c>
      <c r="B814" t="s">
        <v>36</v>
      </c>
      <c r="C814" t="s">
        <v>79</v>
      </c>
      <c r="D814">
        <v>1</v>
      </c>
      <c r="E814">
        <v>2030</v>
      </c>
      <c r="F814" t="s">
        <v>43</v>
      </c>
      <c r="G814">
        <v>3600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3600</v>
      </c>
      <c r="P814">
        <v>3600</v>
      </c>
      <c r="Q814">
        <v>0</v>
      </c>
      <c r="R814">
        <v>3.2310000000000004E-3</v>
      </c>
      <c r="S814">
        <v>3.2310000000000004E-3</v>
      </c>
      <c r="T814">
        <v>0</v>
      </c>
      <c r="U814">
        <v>3.2310000000000004E-3</v>
      </c>
      <c r="V814">
        <v>540</v>
      </c>
      <c r="W814">
        <v>540</v>
      </c>
      <c r="X814">
        <v>0</v>
      </c>
      <c r="Y814">
        <v>540</v>
      </c>
      <c r="Z814">
        <v>0</v>
      </c>
    </row>
    <row r="815" spans="1:26" x14ac:dyDescent="0.25">
      <c r="A815" t="s">
        <v>130</v>
      </c>
      <c r="B815" t="s">
        <v>84</v>
      </c>
      <c r="C815" t="s">
        <v>86</v>
      </c>
      <c r="D815">
        <v>1</v>
      </c>
      <c r="E815">
        <v>2030</v>
      </c>
      <c r="F815" t="s">
        <v>43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</row>
    <row r="816" spans="1:26" x14ac:dyDescent="0.25">
      <c r="A816" t="s">
        <v>130</v>
      </c>
      <c r="B816" t="s">
        <v>66</v>
      </c>
      <c r="C816" t="s">
        <v>81</v>
      </c>
      <c r="D816">
        <v>1</v>
      </c>
      <c r="E816">
        <v>2030</v>
      </c>
      <c r="F816" t="s">
        <v>43</v>
      </c>
      <c r="G816">
        <v>645037.98201828008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645037.98201828008</v>
      </c>
      <c r="N816">
        <v>0</v>
      </c>
      <c r="O816">
        <v>0</v>
      </c>
      <c r="P816">
        <v>0</v>
      </c>
      <c r="Q816">
        <v>645037.98201828008</v>
      </c>
      <c r="R816">
        <v>0</v>
      </c>
      <c r="S816">
        <v>9.3489024359990136</v>
      </c>
      <c r="T816">
        <v>0</v>
      </c>
      <c r="U816">
        <v>9.3489024359990136</v>
      </c>
      <c r="V816">
        <v>0</v>
      </c>
      <c r="W816">
        <v>319025.0352732077</v>
      </c>
      <c r="X816">
        <v>0</v>
      </c>
      <c r="Y816">
        <v>319025.0352732077</v>
      </c>
      <c r="Z816">
        <v>0</v>
      </c>
    </row>
    <row r="817" spans="1:26" x14ac:dyDescent="0.25">
      <c r="A817" t="s">
        <v>130</v>
      </c>
      <c r="B817" t="s">
        <v>85</v>
      </c>
      <c r="C817" t="s">
        <v>86</v>
      </c>
      <c r="D817">
        <v>0</v>
      </c>
      <c r="E817">
        <v>2030</v>
      </c>
      <c r="F817" t="s">
        <v>43</v>
      </c>
      <c r="G817">
        <v>177359.22120275494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177359.22120275494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</row>
    <row r="818" spans="1:26" x14ac:dyDescent="0.25">
      <c r="A818" t="s">
        <v>130</v>
      </c>
      <c r="B818" t="s">
        <v>40</v>
      </c>
      <c r="C818" t="s">
        <v>86</v>
      </c>
      <c r="D818">
        <v>0</v>
      </c>
      <c r="E818">
        <v>2050</v>
      </c>
      <c r="F818" t="s">
        <v>43</v>
      </c>
      <c r="G818">
        <v>20971.319509081128</v>
      </c>
      <c r="H818">
        <v>0</v>
      </c>
      <c r="I818">
        <v>0</v>
      </c>
      <c r="J818">
        <v>29532.002020101954</v>
      </c>
      <c r="K818">
        <v>0</v>
      </c>
      <c r="L818">
        <v>0</v>
      </c>
      <c r="M818">
        <v>0</v>
      </c>
      <c r="N818">
        <v>0</v>
      </c>
      <c r="O818">
        <v>-8560.6825110208265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</row>
    <row r="819" spans="1:26" x14ac:dyDescent="0.25">
      <c r="A819" t="s">
        <v>130</v>
      </c>
      <c r="B819" t="s">
        <v>34</v>
      </c>
      <c r="C819" t="s">
        <v>86</v>
      </c>
      <c r="D819">
        <v>0</v>
      </c>
      <c r="E819">
        <v>2050</v>
      </c>
      <c r="F819" t="s">
        <v>43</v>
      </c>
      <c r="G819">
        <v>27846.800257878294</v>
      </c>
      <c r="H819">
        <v>9499.9401044881179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18346.860153390175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</row>
    <row r="820" spans="1:26" x14ac:dyDescent="0.25">
      <c r="A820" t="s">
        <v>130</v>
      </c>
      <c r="B820" t="s">
        <v>48</v>
      </c>
      <c r="C820" t="s">
        <v>73</v>
      </c>
      <c r="D820">
        <v>1</v>
      </c>
      <c r="E820">
        <v>2050</v>
      </c>
      <c r="F820" t="s">
        <v>43</v>
      </c>
      <c r="G820">
        <v>172292.68030975034</v>
      </c>
      <c r="H820">
        <v>0</v>
      </c>
      <c r="I820">
        <v>0</v>
      </c>
      <c r="J820">
        <v>0</v>
      </c>
      <c r="K820">
        <v>172292.76645701908</v>
      </c>
      <c r="L820">
        <v>0</v>
      </c>
      <c r="M820">
        <v>0</v>
      </c>
      <c r="N820">
        <v>0</v>
      </c>
      <c r="O820">
        <v>-8.6147268739296123E-2</v>
      </c>
      <c r="P820">
        <v>0</v>
      </c>
      <c r="Q820">
        <v>172292.76645701908</v>
      </c>
      <c r="R820">
        <v>0</v>
      </c>
      <c r="S820">
        <v>0.58698594897008305</v>
      </c>
      <c r="T820">
        <v>0.58698594897008305</v>
      </c>
      <c r="U820">
        <v>0</v>
      </c>
      <c r="V820">
        <v>0</v>
      </c>
      <c r="W820">
        <v>48241.974607965349</v>
      </c>
      <c r="X820">
        <v>48241.974607965349</v>
      </c>
      <c r="Y820">
        <v>0</v>
      </c>
      <c r="Z820">
        <v>1</v>
      </c>
    </row>
    <row r="821" spans="1:26" x14ac:dyDescent="0.25">
      <c r="A821" t="s">
        <v>130</v>
      </c>
      <c r="B821" t="s">
        <v>11</v>
      </c>
      <c r="C821" t="s">
        <v>86</v>
      </c>
      <c r="D821">
        <v>1</v>
      </c>
      <c r="E821">
        <v>2050</v>
      </c>
      <c r="F821" t="s">
        <v>43</v>
      </c>
      <c r="G821">
        <v>115646884.39712635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115646884.39712635</v>
      </c>
      <c r="N821">
        <v>0</v>
      </c>
      <c r="O821">
        <v>0</v>
      </c>
      <c r="P821">
        <v>0</v>
      </c>
      <c r="Q821">
        <v>115646884.39712635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</row>
    <row r="822" spans="1:26" x14ac:dyDescent="0.25">
      <c r="A822" t="s">
        <v>130</v>
      </c>
      <c r="B822" t="s">
        <v>68</v>
      </c>
      <c r="C822" t="s">
        <v>86</v>
      </c>
      <c r="D822">
        <v>0</v>
      </c>
      <c r="E822">
        <v>2050</v>
      </c>
      <c r="F822" t="s">
        <v>43</v>
      </c>
      <c r="G822">
        <v>3840968.7851207014</v>
      </c>
      <c r="H822">
        <v>0</v>
      </c>
      <c r="I822">
        <v>0</v>
      </c>
      <c r="J822">
        <v>0</v>
      </c>
      <c r="K822">
        <v>0</v>
      </c>
      <c r="L822">
        <v>3410095.0601985683</v>
      </c>
      <c r="M822">
        <v>0</v>
      </c>
      <c r="N822">
        <v>0</v>
      </c>
      <c r="O822">
        <v>430873.72492213314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</row>
    <row r="823" spans="1:26" x14ac:dyDescent="0.25">
      <c r="A823" t="s">
        <v>130</v>
      </c>
      <c r="B823" t="s">
        <v>51</v>
      </c>
      <c r="C823" t="s">
        <v>73</v>
      </c>
      <c r="D823">
        <v>1</v>
      </c>
      <c r="E823">
        <v>2050</v>
      </c>
      <c r="F823" t="s">
        <v>43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</row>
    <row r="824" spans="1:26" x14ac:dyDescent="0.25">
      <c r="A824" t="s">
        <v>130</v>
      </c>
      <c r="B824" t="s">
        <v>50</v>
      </c>
      <c r="C824" t="s">
        <v>74</v>
      </c>
      <c r="D824">
        <v>1</v>
      </c>
      <c r="E824">
        <v>2050</v>
      </c>
      <c r="F824" t="s">
        <v>43</v>
      </c>
      <c r="G824">
        <v>452469.72841919982</v>
      </c>
      <c r="H824">
        <v>0</v>
      </c>
      <c r="I824">
        <v>0</v>
      </c>
      <c r="J824">
        <v>0</v>
      </c>
      <c r="K824">
        <v>226234.86420959991</v>
      </c>
      <c r="L824">
        <v>85646.055736491384</v>
      </c>
      <c r="M824">
        <v>0</v>
      </c>
      <c r="N824">
        <v>0</v>
      </c>
      <c r="O824">
        <v>140588.80847310851</v>
      </c>
      <c r="P824">
        <v>140588.80847310851</v>
      </c>
      <c r="Q824">
        <v>226234.86420959991</v>
      </c>
      <c r="R824">
        <v>0.30282829345107576</v>
      </c>
      <c r="S824">
        <v>0.79013819095855398</v>
      </c>
      <c r="T824">
        <v>0.48730989750747822</v>
      </c>
      <c r="U824">
        <v>0.30282829345107576</v>
      </c>
      <c r="V824">
        <v>42176.642541932553</v>
      </c>
      <c r="W824">
        <v>110047.10180481253</v>
      </c>
      <c r="X824">
        <v>67870.459262879973</v>
      </c>
      <c r="Y824">
        <v>42176.642541932553</v>
      </c>
      <c r="Z824">
        <v>0</v>
      </c>
    </row>
    <row r="825" spans="1:26" x14ac:dyDescent="0.25">
      <c r="A825" t="s">
        <v>130</v>
      </c>
      <c r="B825" t="s">
        <v>60</v>
      </c>
      <c r="C825" t="s">
        <v>86</v>
      </c>
      <c r="D825">
        <v>0</v>
      </c>
      <c r="E825">
        <v>2050</v>
      </c>
      <c r="F825" t="s">
        <v>43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</row>
    <row r="826" spans="1:26" x14ac:dyDescent="0.25">
      <c r="A826" t="s">
        <v>130</v>
      </c>
      <c r="B826" t="s">
        <v>46</v>
      </c>
      <c r="C826" t="s">
        <v>74</v>
      </c>
      <c r="D826">
        <v>1</v>
      </c>
      <c r="E826">
        <v>2050</v>
      </c>
      <c r="F826" t="s">
        <v>43</v>
      </c>
      <c r="G826">
        <v>867.71807684226371</v>
      </c>
      <c r="H826">
        <v>0</v>
      </c>
      <c r="I826">
        <v>0</v>
      </c>
      <c r="J826">
        <v>0</v>
      </c>
      <c r="K826">
        <v>433.85903842113186</v>
      </c>
      <c r="L826">
        <v>328.49327194742835</v>
      </c>
      <c r="M826">
        <v>0</v>
      </c>
      <c r="N826">
        <v>0</v>
      </c>
      <c r="O826">
        <v>105.3657664737035</v>
      </c>
      <c r="P826">
        <v>105.3657664737035</v>
      </c>
      <c r="Q826">
        <v>433.85903842113186</v>
      </c>
      <c r="R826">
        <v>4.9552466314918024E-5</v>
      </c>
      <c r="S826">
        <v>2.5359203349399211E-4</v>
      </c>
      <c r="T826">
        <v>2.040395671790741E-4</v>
      </c>
      <c r="U826">
        <v>4.9552466314918011E-5</v>
      </c>
      <c r="V826">
        <v>6.6380432878433204</v>
      </c>
      <c r="W826">
        <v>33.971162708374628</v>
      </c>
      <c r="X826">
        <v>27.333119420531307</v>
      </c>
      <c r="Y826">
        <v>6.6380432878433204</v>
      </c>
      <c r="Z826">
        <v>0</v>
      </c>
    </row>
    <row r="827" spans="1:26" x14ac:dyDescent="0.25">
      <c r="A827" t="s">
        <v>130</v>
      </c>
      <c r="B827" t="s">
        <v>39</v>
      </c>
      <c r="C827" t="s">
        <v>86</v>
      </c>
      <c r="D827">
        <v>0</v>
      </c>
      <c r="E827">
        <v>2050</v>
      </c>
      <c r="F827" t="s">
        <v>43</v>
      </c>
      <c r="G827">
        <v>17490.137871374405</v>
      </c>
      <c r="H827">
        <v>0</v>
      </c>
      <c r="I827">
        <v>0</v>
      </c>
      <c r="J827">
        <v>31993.002188443785</v>
      </c>
      <c r="K827">
        <v>0</v>
      </c>
      <c r="L827">
        <v>0</v>
      </c>
      <c r="M827">
        <v>0</v>
      </c>
      <c r="N827">
        <v>0</v>
      </c>
      <c r="O827">
        <v>-14502.864317069379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</row>
    <row r="828" spans="1:26" x14ac:dyDescent="0.25">
      <c r="A828" t="s">
        <v>130</v>
      </c>
      <c r="B828" t="s">
        <v>75</v>
      </c>
      <c r="C828" t="s">
        <v>86</v>
      </c>
      <c r="D828">
        <v>0</v>
      </c>
      <c r="E828">
        <v>2050</v>
      </c>
      <c r="F828" t="s">
        <v>43</v>
      </c>
      <c r="G828">
        <v>629229.83697533351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629229.83697533351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</row>
    <row r="829" spans="1:26" x14ac:dyDescent="0.25">
      <c r="A829" t="s">
        <v>130</v>
      </c>
      <c r="B829" t="s">
        <v>41</v>
      </c>
      <c r="C829" t="s">
        <v>86</v>
      </c>
      <c r="D829">
        <v>0</v>
      </c>
      <c r="E829">
        <v>2050</v>
      </c>
      <c r="F829" t="s">
        <v>43</v>
      </c>
      <c r="G829">
        <v>16274.021455837808</v>
      </c>
      <c r="H829">
        <v>0</v>
      </c>
      <c r="I829">
        <v>0</v>
      </c>
      <c r="J829">
        <v>233795.01599247381</v>
      </c>
      <c r="K829">
        <v>0</v>
      </c>
      <c r="L829">
        <v>0</v>
      </c>
      <c r="M829">
        <v>0</v>
      </c>
      <c r="N829">
        <v>0</v>
      </c>
      <c r="O829">
        <v>-217520.99453663599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1</v>
      </c>
    </row>
    <row r="830" spans="1:26" x14ac:dyDescent="0.25">
      <c r="A830" t="s">
        <v>130</v>
      </c>
      <c r="B830" t="s">
        <v>57</v>
      </c>
      <c r="C830" t="s">
        <v>57</v>
      </c>
      <c r="D830">
        <v>1</v>
      </c>
      <c r="E830">
        <v>2050</v>
      </c>
      <c r="F830" t="s">
        <v>43</v>
      </c>
      <c r="G830">
        <v>0</v>
      </c>
      <c r="H830">
        <v>0</v>
      </c>
      <c r="I830">
        <v>0</v>
      </c>
      <c r="J830">
        <v>0</v>
      </c>
      <c r="K830">
        <v>28548.400000000001</v>
      </c>
      <c r="L830">
        <v>0</v>
      </c>
      <c r="M830">
        <v>0</v>
      </c>
      <c r="N830">
        <v>0</v>
      </c>
      <c r="O830">
        <v>-28548.400000000001</v>
      </c>
      <c r="P830">
        <v>0</v>
      </c>
      <c r="Q830">
        <v>28548.400000000001</v>
      </c>
      <c r="R830">
        <v>0</v>
      </c>
      <c r="S830">
        <v>0.43389639740160008</v>
      </c>
      <c r="T830">
        <v>0.43389639740160008</v>
      </c>
      <c r="U830">
        <v>0</v>
      </c>
      <c r="V830">
        <v>0</v>
      </c>
      <c r="W830">
        <v>25693.56</v>
      </c>
      <c r="X830">
        <v>25693.56</v>
      </c>
      <c r="Y830">
        <v>0</v>
      </c>
      <c r="Z830">
        <v>1</v>
      </c>
    </row>
    <row r="831" spans="1:26" x14ac:dyDescent="0.25">
      <c r="A831" t="s">
        <v>130</v>
      </c>
      <c r="B831" t="s">
        <v>53</v>
      </c>
      <c r="C831" t="s">
        <v>76</v>
      </c>
      <c r="D831">
        <v>1</v>
      </c>
      <c r="E831">
        <v>2050</v>
      </c>
      <c r="F831" t="s">
        <v>43</v>
      </c>
      <c r="G831">
        <v>2163650.2851152783</v>
      </c>
      <c r="H831">
        <v>1802481.6912140576</v>
      </c>
      <c r="I831">
        <v>0</v>
      </c>
      <c r="J831">
        <v>0</v>
      </c>
      <c r="K831">
        <v>10149.946321457959</v>
      </c>
      <c r="L831">
        <v>0</v>
      </c>
      <c r="M831">
        <v>0</v>
      </c>
      <c r="N831">
        <v>0</v>
      </c>
      <c r="O831">
        <v>351018.64757976285</v>
      </c>
      <c r="P831">
        <v>351018.64757976285</v>
      </c>
      <c r="Q831">
        <v>10149.946321457959</v>
      </c>
      <c r="R831">
        <v>0.64583043421581621</v>
      </c>
      <c r="S831">
        <v>0.66450506670400866</v>
      </c>
      <c r="T831">
        <v>1.8674632488192462E-2</v>
      </c>
      <c r="U831">
        <v>0.64583043421581621</v>
      </c>
      <c r="V831">
        <v>98285.221322333615</v>
      </c>
      <c r="W831">
        <v>101127.20629234184</v>
      </c>
      <c r="X831">
        <v>2841.9849700082286</v>
      </c>
      <c r="Y831">
        <v>98285.221322333615</v>
      </c>
      <c r="Z831">
        <v>0</v>
      </c>
    </row>
    <row r="832" spans="1:26" x14ac:dyDescent="0.25">
      <c r="A832" t="s">
        <v>130</v>
      </c>
      <c r="B832" t="s">
        <v>61</v>
      </c>
      <c r="C832" t="s">
        <v>86</v>
      </c>
      <c r="D832">
        <v>0</v>
      </c>
      <c r="E832">
        <v>2050</v>
      </c>
      <c r="F832" t="s">
        <v>43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</row>
    <row r="833" spans="1:26" x14ac:dyDescent="0.25">
      <c r="A833" t="s">
        <v>130</v>
      </c>
      <c r="B833" t="s">
        <v>30</v>
      </c>
      <c r="C833" t="s">
        <v>86</v>
      </c>
      <c r="D833">
        <v>0</v>
      </c>
      <c r="E833">
        <v>2050</v>
      </c>
      <c r="F833" t="s">
        <v>43</v>
      </c>
      <c r="G833">
        <v>98333.203509519633</v>
      </c>
      <c r="H833">
        <v>0</v>
      </c>
      <c r="I833">
        <v>0</v>
      </c>
      <c r="J833">
        <v>244869.51675001203</v>
      </c>
      <c r="K833">
        <v>0</v>
      </c>
      <c r="L833">
        <v>0</v>
      </c>
      <c r="M833">
        <v>0</v>
      </c>
      <c r="N833">
        <v>0</v>
      </c>
      <c r="O833">
        <v>-146536.3132404924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1</v>
      </c>
    </row>
    <row r="834" spans="1:26" x14ac:dyDescent="0.25">
      <c r="A834" t="s">
        <v>130</v>
      </c>
      <c r="B834" t="s">
        <v>52</v>
      </c>
      <c r="C834" t="s">
        <v>77</v>
      </c>
      <c r="D834">
        <v>1</v>
      </c>
      <c r="E834">
        <v>2050</v>
      </c>
      <c r="F834" t="s">
        <v>43</v>
      </c>
      <c r="G834">
        <v>917722.26759868616</v>
      </c>
      <c r="H834">
        <v>113867.33764129507</v>
      </c>
      <c r="I834">
        <v>123674.90928891925</v>
      </c>
      <c r="J834">
        <v>0</v>
      </c>
      <c r="K834">
        <v>24319.338016954094</v>
      </c>
      <c r="L834">
        <v>0</v>
      </c>
      <c r="M834">
        <v>655860.68265151768</v>
      </c>
      <c r="N834">
        <v>0</v>
      </c>
      <c r="O834">
        <v>0</v>
      </c>
      <c r="P834">
        <v>0</v>
      </c>
      <c r="Q834">
        <v>680180.02066847181</v>
      </c>
      <c r="R834">
        <v>0</v>
      </c>
      <c r="S834">
        <v>6.9190631174488182</v>
      </c>
      <c r="T834">
        <v>0.14021411611026952</v>
      </c>
      <c r="U834">
        <v>6.778849001338549</v>
      </c>
      <c r="V834">
        <v>0</v>
      </c>
      <c r="W834">
        <v>578153.01756820106</v>
      </c>
      <c r="X834">
        <v>20671.437314410981</v>
      </c>
      <c r="Y834">
        <v>557481.58025379013</v>
      </c>
      <c r="Z834">
        <v>0</v>
      </c>
    </row>
    <row r="835" spans="1:26" x14ac:dyDescent="0.25">
      <c r="A835" t="s">
        <v>130</v>
      </c>
      <c r="B835" t="s">
        <v>56</v>
      </c>
      <c r="C835" t="s">
        <v>73</v>
      </c>
      <c r="D835">
        <v>1</v>
      </c>
      <c r="E835">
        <v>2050</v>
      </c>
      <c r="F835" t="s">
        <v>43</v>
      </c>
      <c r="G835">
        <v>457927.02496060182</v>
      </c>
      <c r="H835">
        <v>0</v>
      </c>
      <c r="I835">
        <v>0</v>
      </c>
      <c r="J835">
        <v>0</v>
      </c>
      <c r="K835">
        <v>36.343081867307831</v>
      </c>
      <c r="L835">
        <v>0</v>
      </c>
      <c r="M835">
        <v>457890.6818787345</v>
      </c>
      <c r="N835">
        <v>0</v>
      </c>
      <c r="O835">
        <v>0</v>
      </c>
      <c r="P835">
        <v>0</v>
      </c>
      <c r="Q835">
        <v>457927.02496060182</v>
      </c>
      <c r="R835">
        <v>0</v>
      </c>
      <c r="S835">
        <v>8.1744271403578974</v>
      </c>
      <c r="T835">
        <v>6.1713097026419407E-5</v>
      </c>
      <c r="U835">
        <v>8.1743654272608701</v>
      </c>
      <c r="V835">
        <v>0</v>
      </c>
      <c r="W835">
        <v>137378.10748818054</v>
      </c>
      <c r="X835">
        <v>10.902924560192348</v>
      </c>
      <c r="Y835">
        <v>137367.20456362035</v>
      </c>
      <c r="Z835">
        <v>0</v>
      </c>
    </row>
    <row r="836" spans="1:26" x14ac:dyDescent="0.25">
      <c r="A836" t="s">
        <v>130</v>
      </c>
      <c r="B836" t="s">
        <v>63</v>
      </c>
      <c r="C836" t="s">
        <v>86</v>
      </c>
      <c r="D836">
        <v>0</v>
      </c>
      <c r="E836">
        <v>2050</v>
      </c>
      <c r="F836" t="s">
        <v>43</v>
      </c>
      <c r="G836">
        <v>0</v>
      </c>
      <c r="H836">
        <v>711176.0717109855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-711176.0717109855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1</v>
      </c>
    </row>
    <row r="837" spans="1:26" x14ac:dyDescent="0.25">
      <c r="A837" t="s">
        <v>130</v>
      </c>
      <c r="B837" t="s">
        <v>49</v>
      </c>
      <c r="C837" t="s">
        <v>73</v>
      </c>
      <c r="D837">
        <v>1</v>
      </c>
      <c r="E837">
        <v>2050</v>
      </c>
      <c r="F837" t="s">
        <v>43</v>
      </c>
      <c r="G837">
        <v>210918.57690717495</v>
      </c>
      <c r="H837">
        <v>0</v>
      </c>
      <c r="I837">
        <v>0</v>
      </c>
      <c r="J837">
        <v>0</v>
      </c>
      <c r="K837">
        <v>191431.38976525888</v>
      </c>
      <c r="L837">
        <v>0</v>
      </c>
      <c r="M837">
        <v>0</v>
      </c>
      <c r="N837">
        <v>0</v>
      </c>
      <c r="O837">
        <v>19487.187141916074</v>
      </c>
      <c r="P837">
        <v>19487.187141916074</v>
      </c>
      <c r="Q837">
        <v>191431.38976525888</v>
      </c>
      <c r="R837">
        <v>8.4440515220250811E-2</v>
      </c>
      <c r="S837">
        <v>0.78951304846375669</v>
      </c>
      <c r="T837">
        <v>0.70507253324350583</v>
      </c>
      <c r="U837">
        <v>8.4440515220250867E-2</v>
      </c>
      <c r="V837">
        <v>8184.6185996047507</v>
      </c>
      <c r="W837">
        <v>88585.802301013478</v>
      </c>
      <c r="X837">
        <v>80401.183701408721</v>
      </c>
      <c r="Y837">
        <v>8184.618599604757</v>
      </c>
      <c r="Z837">
        <v>0</v>
      </c>
    </row>
    <row r="838" spans="1:26" x14ac:dyDescent="0.25">
      <c r="A838" t="s">
        <v>130</v>
      </c>
      <c r="B838" t="s">
        <v>78</v>
      </c>
      <c r="C838" t="s">
        <v>86</v>
      </c>
      <c r="D838">
        <v>0</v>
      </c>
      <c r="E838">
        <v>2050</v>
      </c>
      <c r="F838" t="s">
        <v>43</v>
      </c>
      <c r="G838">
        <v>150184.32869116802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150184.32869116802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</row>
    <row r="839" spans="1:26" x14ac:dyDescent="0.25">
      <c r="A839" t="s">
        <v>130</v>
      </c>
      <c r="B839" t="s">
        <v>31</v>
      </c>
      <c r="C839" t="s">
        <v>86</v>
      </c>
      <c r="D839">
        <v>0</v>
      </c>
      <c r="E839">
        <v>2050</v>
      </c>
      <c r="F839" t="s">
        <v>43</v>
      </c>
      <c r="G839">
        <v>119824.59197839584</v>
      </c>
      <c r="H839">
        <v>0</v>
      </c>
      <c r="I839">
        <v>0</v>
      </c>
      <c r="J839">
        <v>111975.50765955324</v>
      </c>
      <c r="K839">
        <v>0</v>
      </c>
      <c r="L839">
        <v>0</v>
      </c>
      <c r="M839">
        <v>0</v>
      </c>
      <c r="N839">
        <v>0</v>
      </c>
      <c r="O839">
        <v>7849.0843188425933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</row>
    <row r="840" spans="1:26" x14ac:dyDescent="0.25">
      <c r="A840" t="s">
        <v>130</v>
      </c>
      <c r="B840" t="s">
        <v>29</v>
      </c>
      <c r="C840" t="s">
        <v>77</v>
      </c>
      <c r="D840">
        <v>1</v>
      </c>
      <c r="E840">
        <v>2050</v>
      </c>
      <c r="F840" t="s">
        <v>43</v>
      </c>
      <c r="G840">
        <v>2360239.3885877775</v>
      </c>
      <c r="H840">
        <v>865945.92924660421</v>
      </c>
      <c r="I840">
        <v>0</v>
      </c>
      <c r="J840">
        <v>268249.01834925939</v>
      </c>
      <c r="K840">
        <v>960.24397829585632</v>
      </c>
      <c r="L840">
        <v>0</v>
      </c>
      <c r="M840">
        <v>0</v>
      </c>
      <c r="N840">
        <v>0</v>
      </c>
      <c r="O840">
        <v>1225084.197013618</v>
      </c>
      <c r="P840">
        <v>805319.32686989708</v>
      </c>
      <c r="Q840">
        <v>960.24397829585632</v>
      </c>
      <c r="R840">
        <v>2.7581059498236362</v>
      </c>
      <c r="S840">
        <v>2.7613946510151424</v>
      </c>
      <c r="T840">
        <v>3.288701191506347E-3</v>
      </c>
      <c r="U840">
        <v>2.7581059498236362</v>
      </c>
      <c r="V840">
        <v>249648.99132966809</v>
      </c>
      <c r="W840">
        <v>249946.66696293981</v>
      </c>
      <c r="X840">
        <v>297.67563327171547</v>
      </c>
      <c r="Y840">
        <v>249648.99132966809</v>
      </c>
      <c r="Z840">
        <v>0</v>
      </c>
    </row>
    <row r="841" spans="1:26" x14ac:dyDescent="0.25">
      <c r="A841" t="s">
        <v>130</v>
      </c>
      <c r="B841" t="s">
        <v>69</v>
      </c>
      <c r="C841" t="s">
        <v>86</v>
      </c>
      <c r="D841">
        <v>0</v>
      </c>
      <c r="E841">
        <v>2050</v>
      </c>
      <c r="F841" t="s">
        <v>43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336340.16174547671</v>
      </c>
      <c r="M841">
        <v>0</v>
      </c>
      <c r="N841">
        <v>0</v>
      </c>
      <c r="O841">
        <v>-336340.16174547671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1</v>
      </c>
    </row>
    <row r="842" spans="1:26" x14ac:dyDescent="0.25">
      <c r="A842" t="s">
        <v>130</v>
      </c>
      <c r="B842" t="s">
        <v>45</v>
      </c>
      <c r="C842" t="s">
        <v>74</v>
      </c>
      <c r="D842">
        <v>1</v>
      </c>
      <c r="E842">
        <v>2050</v>
      </c>
      <c r="F842" t="s">
        <v>43</v>
      </c>
      <c r="G842">
        <v>1086187.6880789888</v>
      </c>
      <c r="H842">
        <v>0</v>
      </c>
      <c r="I842">
        <v>0</v>
      </c>
      <c r="J842">
        <v>0</v>
      </c>
      <c r="K842">
        <v>825502.64294003148</v>
      </c>
      <c r="L842">
        <v>172703.8424045592</v>
      </c>
      <c r="M842">
        <v>0</v>
      </c>
      <c r="N842">
        <v>0</v>
      </c>
      <c r="O842">
        <v>87981.20273439819</v>
      </c>
      <c r="P842">
        <v>87981.20273439819</v>
      </c>
      <c r="Q842">
        <v>825502.64294003148</v>
      </c>
      <c r="R842">
        <v>4.4535205012125025E-2</v>
      </c>
      <c r="S842">
        <v>0.46239638784193965</v>
      </c>
      <c r="T842">
        <v>0.4178611828298146</v>
      </c>
      <c r="U842">
        <v>4.4535205012125045E-2</v>
      </c>
      <c r="V842">
        <v>6686.5714078142619</v>
      </c>
      <c r="W842">
        <v>69424.772271256646</v>
      </c>
      <c r="X842">
        <v>62738.200863442391</v>
      </c>
      <c r="Y842">
        <v>6686.5714078142555</v>
      </c>
      <c r="Z842">
        <v>0</v>
      </c>
    </row>
    <row r="843" spans="1:26" x14ac:dyDescent="0.25">
      <c r="A843" t="s">
        <v>130</v>
      </c>
      <c r="B843" t="s">
        <v>59</v>
      </c>
      <c r="C843" t="s">
        <v>86</v>
      </c>
      <c r="D843">
        <v>0</v>
      </c>
      <c r="E843">
        <v>2050</v>
      </c>
      <c r="F843" t="s">
        <v>43</v>
      </c>
      <c r="G843">
        <v>135684.56083605965</v>
      </c>
      <c r="H843">
        <v>223248.59245547073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-87564.031619411078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</row>
    <row r="844" spans="1:26" x14ac:dyDescent="0.25">
      <c r="A844" t="s">
        <v>130</v>
      </c>
      <c r="B844" t="s">
        <v>54</v>
      </c>
      <c r="C844" t="s">
        <v>76</v>
      </c>
      <c r="D844">
        <v>1</v>
      </c>
      <c r="E844">
        <v>2050</v>
      </c>
      <c r="F844" t="s">
        <v>43</v>
      </c>
      <c r="G844">
        <v>383747.87380717852</v>
      </c>
      <c r="H844">
        <v>833223.91333114507</v>
      </c>
      <c r="I844">
        <v>0</v>
      </c>
      <c r="J844">
        <v>0</v>
      </c>
      <c r="K844">
        <v>15500.875420530891</v>
      </c>
      <c r="L844">
        <v>0</v>
      </c>
      <c r="M844">
        <v>0</v>
      </c>
      <c r="N844">
        <v>0</v>
      </c>
      <c r="O844">
        <v>-464976.91494449746</v>
      </c>
      <c r="P844">
        <v>0</v>
      </c>
      <c r="Q844">
        <v>15500.875420530891</v>
      </c>
      <c r="R844">
        <v>0</v>
      </c>
      <c r="S844">
        <v>5.56481427597059E-2</v>
      </c>
      <c r="T844">
        <v>5.56481427597059E-2</v>
      </c>
      <c r="U844">
        <v>0</v>
      </c>
      <c r="V844">
        <v>0</v>
      </c>
      <c r="W844">
        <v>4650.2626261592668</v>
      </c>
      <c r="X844">
        <v>4650.2626261592668</v>
      </c>
      <c r="Y844">
        <v>0</v>
      </c>
      <c r="Z844">
        <v>0</v>
      </c>
    </row>
    <row r="845" spans="1:26" x14ac:dyDescent="0.25">
      <c r="A845" t="s">
        <v>130</v>
      </c>
      <c r="B845" t="s">
        <v>38</v>
      </c>
      <c r="C845" t="s">
        <v>86</v>
      </c>
      <c r="D845">
        <v>0</v>
      </c>
      <c r="E845">
        <v>2050</v>
      </c>
      <c r="F845" t="s">
        <v>43</v>
      </c>
      <c r="G845">
        <v>261800.78357255683</v>
      </c>
      <c r="H845">
        <v>0</v>
      </c>
      <c r="I845">
        <v>0</v>
      </c>
      <c r="J845">
        <v>428214.02929147833</v>
      </c>
      <c r="K845">
        <v>0</v>
      </c>
      <c r="L845">
        <v>0</v>
      </c>
      <c r="M845">
        <v>0</v>
      </c>
      <c r="N845">
        <v>0</v>
      </c>
      <c r="O845">
        <v>-166413.24571892151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</row>
    <row r="846" spans="1:26" x14ac:dyDescent="0.25">
      <c r="A846" t="s">
        <v>130</v>
      </c>
      <c r="B846" t="s">
        <v>35</v>
      </c>
      <c r="C846" t="s">
        <v>79</v>
      </c>
      <c r="D846">
        <v>1</v>
      </c>
      <c r="E846">
        <v>2050</v>
      </c>
      <c r="F846" t="s">
        <v>43</v>
      </c>
      <c r="G846">
        <v>48650.027670673619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48650.027670673619</v>
      </c>
      <c r="P846">
        <v>48650.027670673619</v>
      </c>
      <c r="Q846">
        <v>0</v>
      </c>
      <c r="R846">
        <v>4.366339983442958E-2</v>
      </c>
      <c r="S846">
        <v>4.366339983442958E-2</v>
      </c>
      <c r="T846">
        <v>0</v>
      </c>
      <c r="U846">
        <v>4.366339983442958E-2</v>
      </c>
      <c r="V846">
        <v>7297.504150601043</v>
      </c>
      <c r="W846">
        <v>7297.504150601043</v>
      </c>
      <c r="X846">
        <v>0</v>
      </c>
      <c r="Y846">
        <v>7297.504150601043</v>
      </c>
      <c r="Z846">
        <v>0</v>
      </c>
    </row>
    <row r="847" spans="1:26" x14ac:dyDescent="0.25">
      <c r="A847" t="s">
        <v>130</v>
      </c>
      <c r="B847" t="s">
        <v>33</v>
      </c>
      <c r="C847" t="s">
        <v>86</v>
      </c>
      <c r="D847">
        <v>0</v>
      </c>
      <c r="E847">
        <v>2050</v>
      </c>
      <c r="F847" t="s">
        <v>43</v>
      </c>
      <c r="G847">
        <v>8766.6762558976552</v>
      </c>
      <c r="H847">
        <v>0</v>
      </c>
      <c r="I847">
        <v>0</v>
      </c>
      <c r="J847">
        <v>54412.71372203785</v>
      </c>
      <c r="K847">
        <v>0</v>
      </c>
      <c r="L847">
        <v>0</v>
      </c>
      <c r="M847">
        <v>0</v>
      </c>
      <c r="N847">
        <v>0</v>
      </c>
      <c r="O847">
        <v>-45646.037466140195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</row>
    <row r="848" spans="1:26" x14ac:dyDescent="0.25">
      <c r="A848" t="s">
        <v>130</v>
      </c>
      <c r="B848" t="s">
        <v>80</v>
      </c>
      <c r="C848" t="s">
        <v>86</v>
      </c>
      <c r="D848">
        <v>0</v>
      </c>
      <c r="E848">
        <v>2050</v>
      </c>
      <c r="F848" t="s">
        <v>43</v>
      </c>
      <c r="G848">
        <v>407823.31273083866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407823.31273083866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</row>
    <row r="849" spans="1:26" x14ac:dyDescent="0.25">
      <c r="A849" t="s">
        <v>130</v>
      </c>
      <c r="B849" t="s">
        <v>65</v>
      </c>
      <c r="C849" t="s">
        <v>81</v>
      </c>
      <c r="D849">
        <v>1</v>
      </c>
      <c r="E849">
        <v>2050</v>
      </c>
      <c r="F849" t="s">
        <v>43</v>
      </c>
      <c r="G849">
        <v>38470.033999756291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38470.033999756291</v>
      </c>
      <c r="N849">
        <v>0</v>
      </c>
      <c r="O849">
        <v>0</v>
      </c>
      <c r="P849">
        <v>0</v>
      </c>
      <c r="Q849">
        <v>38470.033999756291</v>
      </c>
      <c r="R849">
        <v>0</v>
      </c>
      <c r="S849">
        <v>0.70784862559551565</v>
      </c>
      <c r="T849">
        <v>0</v>
      </c>
      <c r="U849">
        <v>0.70784862559551565</v>
      </c>
      <c r="V849">
        <v>0</v>
      </c>
      <c r="W849">
        <v>15965.064109898862</v>
      </c>
      <c r="X849">
        <v>0</v>
      </c>
      <c r="Y849">
        <v>15965.064109898862</v>
      </c>
      <c r="Z849">
        <v>0</v>
      </c>
    </row>
    <row r="850" spans="1:26" x14ac:dyDescent="0.25">
      <c r="A850" t="s">
        <v>130</v>
      </c>
      <c r="B850" t="s">
        <v>140</v>
      </c>
      <c r="C850" t="s">
        <v>142</v>
      </c>
      <c r="D850">
        <v>1</v>
      </c>
      <c r="E850">
        <v>2050</v>
      </c>
      <c r="F850" t="s">
        <v>43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</row>
    <row r="851" spans="1:26" x14ac:dyDescent="0.25">
      <c r="A851" t="s">
        <v>130</v>
      </c>
      <c r="B851" t="s">
        <v>141</v>
      </c>
      <c r="C851" t="s">
        <v>142</v>
      </c>
      <c r="D851">
        <v>1</v>
      </c>
      <c r="E851">
        <v>2050</v>
      </c>
      <c r="F851" t="s">
        <v>43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</row>
    <row r="852" spans="1:26" x14ac:dyDescent="0.25">
      <c r="A852" t="s">
        <v>130</v>
      </c>
      <c r="B852" t="s">
        <v>82</v>
      </c>
      <c r="C852" t="s">
        <v>86</v>
      </c>
      <c r="D852">
        <v>0</v>
      </c>
      <c r="E852">
        <v>2050</v>
      </c>
      <c r="F852" t="s">
        <v>43</v>
      </c>
      <c r="G852">
        <v>407677.27631652972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407677.27631652972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</row>
    <row r="853" spans="1:26" x14ac:dyDescent="0.25">
      <c r="A853" t="s">
        <v>130</v>
      </c>
      <c r="B853" t="s">
        <v>72</v>
      </c>
      <c r="C853" t="s">
        <v>86</v>
      </c>
      <c r="D853">
        <v>0</v>
      </c>
      <c r="E853">
        <v>2050</v>
      </c>
      <c r="F853" t="s">
        <v>43</v>
      </c>
      <c r="G853">
        <v>199163.17844104863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199163.17844104863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</row>
    <row r="854" spans="1:26" x14ac:dyDescent="0.25">
      <c r="A854" t="s">
        <v>130</v>
      </c>
      <c r="B854" t="s">
        <v>58</v>
      </c>
      <c r="C854" t="s">
        <v>86</v>
      </c>
      <c r="D854">
        <v>0</v>
      </c>
      <c r="E854">
        <v>2050</v>
      </c>
      <c r="F854" t="s">
        <v>43</v>
      </c>
      <c r="G854">
        <v>99581.589220524314</v>
      </c>
      <c r="H854">
        <v>31534.523402398052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68047.065818126255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</row>
    <row r="855" spans="1:26" x14ac:dyDescent="0.25">
      <c r="A855" t="s">
        <v>130</v>
      </c>
      <c r="B855" t="s">
        <v>64</v>
      </c>
      <c r="C855" t="s">
        <v>64</v>
      </c>
      <c r="D855">
        <v>1</v>
      </c>
      <c r="E855">
        <v>2050</v>
      </c>
      <c r="F855" t="s">
        <v>43</v>
      </c>
      <c r="G855">
        <v>63732.21710113556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63732.21710113556</v>
      </c>
      <c r="N855">
        <v>0</v>
      </c>
      <c r="O855">
        <v>0</v>
      </c>
      <c r="P855">
        <v>0</v>
      </c>
      <c r="Q855">
        <v>63732.21710113556</v>
      </c>
      <c r="R855">
        <v>0</v>
      </c>
      <c r="S855">
        <v>2.2306275985397446</v>
      </c>
      <c r="T855">
        <v>0</v>
      </c>
      <c r="U855">
        <v>2.2306275985397446</v>
      </c>
      <c r="V855">
        <v>0</v>
      </c>
      <c r="W855">
        <v>57996.317562033364</v>
      </c>
      <c r="X855">
        <v>0</v>
      </c>
      <c r="Y855">
        <v>57996.317562033364</v>
      </c>
      <c r="Z855">
        <v>0</v>
      </c>
    </row>
    <row r="856" spans="1:26" x14ac:dyDescent="0.25">
      <c r="A856" t="s">
        <v>130</v>
      </c>
      <c r="B856" t="s">
        <v>55</v>
      </c>
      <c r="C856" t="s">
        <v>76</v>
      </c>
      <c r="D856">
        <v>1</v>
      </c>
      <c r="E856">
        <v>2050</v>
      </c>
      <c r="F856" t="s">
        <v>43</v>
      </c>
      <c r="G856">
        <v>2322627.8500566902</v>
      </c>
      <c r="H856">
        <v>123895.05219603253</v>
      </c>
      <c r="I856">
        <v>0</v>
      </c>
      <c r="J856">
        <v>0</v>
      </c>
      <c r="K856">
        <v>24610.929224370728</v>
      </c>
      <c r="L856">
        <v>0</v>
      </c>
      <c r="M856">
        <v>0</v>
      </c>
      <c r="N856">
        <v>0</v>
      </c>
      <c r="O856">
        <v>2174121.8686362868</v>
      </c>
      <c r="P856">
        <v>1541397.3989281263</v>
      </c>
      <c r="Q856">
        <v>24610.929224370728</v>
      </c>
      <c r="R856">
        <v>4.1834141965868916</v>
      </c>
      <c r="S856">
        <v>4.250209242939003</v>
      </c>
      <c r="T856">
        <v>6.6795046352111129E-2</v>
      </c>
      <c r="U856">
        <v>4.1834141965868916</v>
      </c>
      <c r="V856">
        <v>308279.4797856253</v>
      </c>
      <c r="W856">
        <v>313201.66563049942</v>
      </c>
      <c r="X856">
        <v>4922.1858448741459</v>
      </c>
      <c r="Y856">
        <v>308279.4797856253</v>
      </c>
      <c r="Z856">
        <v>0</v>
      </c>
    </row>
    <row r="857" spans="1:26" x14ac:dyDescent="0.25">
      <c r="A857" t="s">
        <v>130</v>
      </c>
      <c r="B857" t="s">
        <v>83</v>
      </c>
      <c r="C857" t="s">
        <v>86</v>
      </c>
      <c r="D857">
        <v>0</v>
      </c>
      <c r="E857">
        <v>2050</v>
      </c>
      <c r="F857" t="s">
        <v>43</v>
      </c>
      <c r="G857">
        <v>26273.975378565505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26273.975378565505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</row>
    <row r="858" spans="1:26" x14ac:dyDescent="0.25">
      <c r="A858" t="s">
        <v>130</v>
      </c>
      <c r="B858" t="s">
        <v>62</v>
      </c>
      <c r="C858" t="s">
        <v>86</v>
      </c>
      <c r="D858">
        <v>0</v>
      </c>
      <c r="E858">
        <v>2050</v>
      </c>
      <c r="F858" t="s">
        <v>43</v>
      </c>
      <c r="G858">
        <v>21342.928539613244</v>
      </c>
      <c r="H858">
        <v>5805.5189527427383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15537.409586870504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</row>
    <row r="859" spans="1:26" x14ac:dyDescent="0.25">
      <c r="A859" t="s">
        <v>130</v>
      </c>
      <c r="B859" t="s">
        <v>47</v>
      </c>
      <c r="C859" t="s">
        <v>73</v>
      </c>
      <c r="D859">
        <v>1</v>
      </c>
      <c r="E859">
        <v>2050</v>
      </c>
      <c r="F859" t="s">
        <v>43</v>
      </c>
      <c r="G859">
        <v>3501980.1471558851</v>
      </c>
      <c r="H859">
        <v>0</v>
      </c>
      <c r="I859">
        <v>0</v>
      </c>
      <c r="J859">
        <v>0</v>
      </c>
      <c r="K859">
        <v>1328121.9228895183</v>
      </c>
      <c r="L859">
        <v>0</v>
      </c>
      <c r="M859">
        <v>0</v>
      </c>
      <c r="N859">
        <v>0</v>
      </c>
      <c r="O859">
        <v>2173858.224266367</v>
      </c>
      <c r="P859">
        <v>2173858.224266367</v>
      </c>
      <c r="Q859">
        <v>1328121.9228895183</v>
      </c>
      <c r="R859">
        <v>1.0847769924911599</v>
      </c>
      <c r="S859">
        <v>1.7475231132322584</v>
      </c>
      <c r="T859">
        <v>0.66274612074109862</v>
      </c>
      <c r="U859">
        <v>1.0847769924911597</v>
      </c>
      <c r="V859">
        <v>130431.49345598201</v>
      </c>
      <c r="W859">
        <v>210118.80882935313</v>
      </c>
      <c r="X859">
        <v>79687.315373371093</v>
      </c>
      <c r="Y859">
        <v>130431.49345598204</v>
      </c>
      <c r="Z859">
        <v>0</v>
      </c>
    </row>
    <row r="860" spans="1:26" x14ac:dyDescent="0.25">
      <c r="A860" t="s">
        <v>130</v>
      </c>
      <c r="B860" t="s">
        <v>44</v>
      </c>
      <c r="C860" t="s">
        <v>74</v>
      </c>
      <c r="D860">
        <v>1</v>
      </c>
      <c r="E860">
        <v>2050</v>
      </c>
      <c r="F860" t="s">
        <v>43</v>
      </c>
      <c r="G860">
        <v>2509436.929964724</v>
      </c>
      <c r="H860">
        <v>0</v>
      </c>
      <c r="I860">
        <v>0</v>
      </c>
      <c r="J860">
        <v>0</v>
      </c>
      <c r="K860">
        <v>1330001.5728813037</v>
      </c>
      <c r="L860">
        <v>1179435.3570834203</v>
      </c>
      <c r="M860">
        <v>0</v>
      </c>
      <c r="N860">
        <v>0</v>
      </c>
      <c r="O860">
        <v>0</v>
      </c>
      <c r="P860">
        <v>0</v>
      </c>
      <c r="Q860">
        <v>1330001.5728813037</v>
      </c>
      <c r="R860">
        <v>0</v>
      </c>
      <c r="S860">
        <v>0.57296467759726577</v>
      </c>
      <c r="T860">
        <v>0.57296467759726577</v>
      </c>
      <c r="U860">
        <v>0</v>
      </c>
      <c r="V860">
        <v>0</v>
      </c>
      <c r="W860">
        <v>66500.078644065186</v>
      </c>
      <c r="X860">
        <v>66500.078644065186</v>
      </c>
      <c r="Y860">
        <v>0</v>
      </c>
      <c r="Z860">
        <v>0</v>
      </c>
    </row>
    <row r="861" spans="1:26" x14ac:dyDescent="0.25">
      <c r="A861" t="s">
        <v>130</v>
      </c>
      <c r="B861" t="s">
        <v>32</v>
      </c>
      <c r="C861" t="s">
        <v>86</v>
      </c>
      <c r="D861">
        <v>0</v>
      </c>
      <c r="E861">
        <v>2050</v>
      </c>
      <c r="F861" t="s">
        <v>43</v>
      </c>
      <c r="G861">
        <v>233020.79470926209</v>
      </c>
      <c r="H861">
        <v>0</v>
      </c>
      <c r="I861">
        <v>0</v>
      </c>
      <c r="J861">
        <v>110474.29755686472</v>
      </c>
      <c r="K861">
        <v>0</v>
      </c>
      <c r="L861">
        <v>0</v>
      </c>
      <c r="M861">
        <v>0</v>
      </c>
      <c r="N861">
        <v>0</v>
      </c>
      <c r="O861">
        <v>122546.49715239737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</row>
    <row r="862" spans="1:26" x14ac:dyDescent="0.25">
      <c r="A862" t="s">
        <v>130</v>
      </c>
      <c r="B862" t="s">
        <v>36</v>
      </c>
      <c r="C862" t="s">
        <v>79</v>
      </c>
      <c r="D862">
        <v>1</v>
      </c>
      <c r="E862">
        <v>2050</v>
      </c>
      <c r="F862" t="s">
        <v>43</v>
      </c>
      <c r="G862">
        <v>4500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4500</v>
      </c>
      <c r="P862">
        <v>4500</v>
      </c>
      <c r="Q862">
        <v>0</v>
      </c>
      <c r="R862">
        <v>4.0387500000000007E-3</v>
      </c>
      <c r="S862">
        <v>4.0387500000000007E-3</v>
      </c>
      <c r="T862">
        <v>0</v>
      </c>
      <c r="U862">
        <v>4.0387500000000007E-3</v>
      </c>
      <c r="V862">
        <v>675</v>
      </c>
      <c r="W862">
        <v>675</v>
      </c>
      <c r="X862">
        <v>0</v>
      </c>
      <c r="Y862">
        <v>675</v>
      </c>
      <c r="Z862">
        <v>0</v>
      </c>
    </row>
    <row r="863" spans="1:26" x14ac:dyDescent="0.25">
      <c r="A863" t="s">
        <v>130</v>
      </c>
      <c r="B863" t="s">
        <v>84</v>
      </c>
      <c r="C863" t="s">
        <v>86</v>
      </c>
      <c r="D863">
        <v>1</v>
      </c>
      <c r="E863">
        <v>2050</v>
      </c>
      <c r="F863" t="s">
        <v>43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</row>
    <row r="864" spans="1:26" x14ac:dyDescent="0.25">
      <c r="A864" t="s">
        <v>130</v>
      </c>
      <c r="B864" t="s">
        <v>66</v>
      </c>
      <c r="C864" t="s">
        <v>81</v>
      </c>
      <c r="D864">
        <v>1</v>
      </c>
      <c r="E864">
        <v>2050</v>
      </c>
      <c r="F864" t="s">
        <v>43</v>
      </c>
      <c r="G864">
        <v>585110.82295504375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585110.82295504375</v>
      </c>
      <c r="N864">
        <v>0</v>
      </c>
      <c r="O864">
        <v>0</v>
      </c>
      <c r="P864">
        <v>0</v>
      </c>
      <c r="Q864">
        <v>585110.82295504375</v>
      </c>
      <c r="R864">
        <v>0</v>
      </c>
      <c r="S864">
        <v>8.4803440270882753</v>
      </c>
      <c r="T864">
        <v>0</v>
      </c>
      <c r="U864">
        <v>8.4803440270882753</v>
      </c>
      <c r="V864">
        <v>0</v>
      </c>
      <c r="W864">
        <v>289386.06118651538</v>
      </c>
      <c r="X864">
        <v>0</v>
      </c>
      <c r="Y864">
        <v>289386.06118651538</v>
      </c>
      <c r="Z864">
        <v>0</v>
      </c>
    </row>
    <row r="865" spans="1:26" x14ac:dyDescent="0.25">
      <c r="A865" t="s">
        <v>130</v>
      </c>
      <c r="B865" t="s">
        <v>85</v>
      </c>
      <c r="C865" t="s">
        <v>86</v>
      </c>
      <c r="D865">
        <v>0</v>
      </c>
      <c r="E865">
        <v>2050</v>
      </c>
      <c r="F865" t="s">
        <v>43</v>
      </c>
      <c r="G865">
        <v>161179.02528703219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161179.02528703219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</row>
    <row r="866" spans="1:26" x14ac:dyDescent="0.25">
      <c r="A866" t="s">
        <v>143</v>
      </c>
      <c r="B866" t="s">
        <v>40</v>
      </c>
      <c r="D866">
        <v>0</v>
      </c>
      <c r="E866">
        <v>2019</v>
      </c>
      <c r="F866" t="s">
        <v>28</v>
      </c>
      <c r="G866">
        <v>216549.9929685164</v>
      </c>
      <c r="H866">
        <v>0</v>
      </c>
      <c r="I866">
        <v>0</v>
      </c>
      <c r="J866">
        <v>31522.55833067331</v>
      </c>
      <c r="K866">
        <v>0</v>
      </c>
      <c r="L866">
        <v>0</v>
      </c>
      <c r="M866">
        <v>0</v>
      </c>
      <c r="N866">
        <v>0</v>
      </c>
      <c r="O866">
        <v>185027.43463784308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</row>
    <row r="867" spans="1:26" x14ac:dyDescent="0.25">
      <c r="A867" t="s">
        <v>143</v>
      </c>
      <c r="B867" t="s">
        <v>34</v>
      </c>
      <c r="D867">
        <v>0</v>
      </c>
      <c r="E867">
        <v>2019</v>
      </c>
      <c r="F867" t="s">
        <v>28</v>
      </c>
      <c r="G867">
        <v>258086.32953598633</v>
      </c>
      <c r="H867">
        <v>64498.47547519199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193587.85406079434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</row>
    <row r="868" spans="1:26" x14ac:dyDescent="0.25">
      <c r="A868" t="s">
        <v>143</v>
      </c>
      <c r="B868" t="s">
        <v>48</v>
      </c>
      <c r="C868" t="s">
        <v>73</v>
      </c>
      <c r="D868">
        <v>1</v>
      </c>
      <c r="E868">
        <v>2019</v>
      </c>
      <c r="F868" t="s">
        <v>28</v>
      </c>
      <c r="G868">
        <v>193591.30306616417</v>
      </c>
      <c r="H868">
        <v>0</v>
      </c>
      <c r="I868">
        <v>0</v>
      </c>
      <c r="J868">
        <v>0</v>
      </c>
      <c r="K868">
        <v>393543.64426779439</v>
      </c>
      <c r="L868">
        <v>0</v>
      </c>
      <c r="M868">
        <v>0</v>
      </c>
      <c r="N868">
        <v>0</v>
      </c>
      <c r="O868">
        <v>-199952.34120163022</v>
      </c>
      <c r="P868">
        <v>0</v>
      </c>
      <c r="Q868">
        <v>393543.64426779439</v>
      </c>
      <c r="R868">
        <v>0</v>
      </c>
      <c r="S868">
        <v>1.3407677770923916</v>
      </c>
      <c r="T868">
        <v>1.3407677770923916</v>
      </c>
      <c r="U868">
        <v>0</v>
      </c>
      <c r="V868">
        <v>0</v>
      </c>
      <c r="W868">
        <v>110192.22039498243</v>
      </c>
      <c r="X868">
        <v>110192.22039498243</v>
      </c>
      <c r="Y868">
        <v>0</v>
      </c>
      <c r="Z868">
        <v>1</v>
      </c>
    </row>
    <row r="869" spans="1:26" x14ac:dyDescent="0.25">
      <c r="A869" t="s">
        <v>143</v>
      </c>
      <c r="B869" t="s">
        <v>11</v>
      </c>
      <c r="D869">
        <v>1</v>
      </c>
      <c r="E869">
        <v>2019</v>
      </c>
      <c r="F869" t="s">
        <v>28</v>
      </c>
      <c r="G869">
        <v>352020257.59705466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352020257.59705466</v>
      </c>
      <c r="N869">
        <v>0</v>
      </c>
      <c r="O869">
        <v>0</v>
      </c>
      <c r="P869">
        <v>0</v>
      </c>
      <c r="Q869">
        <v>352020257.59705466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</row>
    <row r="870" spans="1:26" x14ac:dyDescent="0.25">
      <c r="A870" t="s">
        <v>143</v>
      </c>
      <c r="B870" t="s">
        <v>68</v>
      </c>
      <c r="D870">
        <v>0</v>
      </c>
      <c r="E870">
        <v>2019</v>
      </c>
      <c r="F870" t="s">
        <v>28</v>
      </c>
      <c r="G870">
        <v>9571125.1585832145</v>
      </c>
      <c r="H870">
        <v>0</v>
      </c>
      <c r="I870">
        <v>0</v>
      </c>
      <c r="J870">
        <v>0</v>
      </c>
      <c r="K870">
        <v>0</v>
      </c>
      <c r="L870">
        <v>7001759.6428652545</v>
      </c>
      <c r="M870">
        <v>0</v>
      </c>
      <c r="N870">
        <v>0</v>
      </c>
      <c r="O870">
        <v>2569365.51571796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</row>
    <row r="871" spans="1:26" x14ac:dyDescent="0.25">
      <c r="A871" t="s">
        <v>143</v>
      </c>
      <c r="B871" t="s">
        <v>51</v>
      </c>
      <c r="C871" t="s">
        <v>73</v>
      </c>
      <c r="D871">
        <v>1</v>
      </c>
      <c r="E871">
        <v>2019</v>
      </c>
      <c r="F871" t="s">
        <v>28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</row>
    <row r="872" spans="1:26" x14ac:dyDescent="0.25">
      <c r="A872" t="s">
        <v>143</v>
      </c>
      <c r="B872" t="s">
        <v>50</v>
      </c>
      <c r="C872" t="s">
        <v>74</v>
      </c>
      <c r="D872">
        <v>1</v>
      </c>
      <c r="E872">
        <v>2019</v>
      </c>
      <c r="F872" t="s">
        <v>28</v>
      </c>
      <c r="G872">
        <v>2600310.0770241949</v>
      </c>
      <c r="H872">
        <v>0</v>
      </c>
      <c r="I872">
        <v>0</v>
      </c>
      <c r="J872">
        <v>0</v>
      </c>
      <c r="K872">
        <v>671194.67155029252</v>
      </c>
      <c r="L872">
        <v>730307.97492940596</v>
      </c>
      <c r="M872">
        <v>0</v>
      </c>
      <c r="N872">
        <v>0</v>
      </c>
      <c r="O872">
        <v>1198807.4305444965</v>
      </c>
      <c r="P872">
        <v>1198807.4305444965</v>
      </c>
      <c r="Q872">
        <v>671194.67155029252</v>
      </c>
      <c r="R872">
        <v>2.5822312053928456</v>
      </c>
      <c r="S872">
        <v>1.4457533225193302</v>
      </c>
      <c r="T872">
        <v>1.4457533225193302</v>
      </c>
      <c r="U872">
        <v>0</v>
      </c>
      <c r="V872">
        <v>359642.22916334897</v>
      </c>
      <c r="W872">
        <v>201358.40146508775</v>
      </c>
      <c r="X872">
        <v>201358.40146508775</v>
      </c>
      <c r="Y872">
        <v>0</v>
      </c>
      <c r="Z872">
        <v>0</v>
      </c>
    </row>
    <row r="873" spans="1:26" x14ac:dyDescent="0.25">
      <c r="A873" t="s">
        <v>143</v>
      </c>
      <c r="B873" t="s">
        <v>60</v>
      </c>
      <c r="D873">
        <v>0</v>
      </c>
      <c r="E873">
        <v>2019</v>
      </c>
      <c r="F873" t="s">
        <v>28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</row>
    <row r="874" spans="1:26" x14ac:dyDescent="0.25">
      <c r="A874" t="s">
        <v>143</v>
      </c>
      <c r="B874" t="s">
        <v>46</v>
      </c>
      <c r="C874" t="s">
        <v>74</v>
      </c>
      <c r="D874">
        <v>1</v>
      </c>
      <c r="E874">
        <v>2019</v>
      </c>
      <c r="F874" t="s">
        <v>28</v>
      </c>
      <c r="G874">
        <v>8207.6123560951182</v>
      </c>
      <c r="H874">
        <v>0</v>
      </c>
      <c r="I874">
        <v>0</v>
      </c>
      <c r="J874">
        <v>0</v>
      </c>
      <c r="K874">
        <v>4103.8061780475591</v>
      </c>
      <c r="L874">
        <v>3107.1675348074377</v>
      </c>
      <c r="M874">
        <v>0</v>
      </c>
      <c r="N874">
        <v>0</v>
      </c>
      <c r="O874">
        <v>996.63864324012138</v>
      </c>
      <c r="P874">
        <v>996.63864324012138</v>
      </c>
      <c r="Q874">
        <v>4103.8061780475591</v>
      </c>
      <c r="R874">
        <v>4.6870918752939668E-4</v>
      </c>
      <c r="S874">
        <v>1.9299790074739866E-3</v>
      </c>
      <c r="T874">
        <v>1.9299790074739866E-3</v>
      </c>
      <c r="U874">
        <v>0</v>
      </c>
      <c r="V874">
        <v>62.788234524127645</v>
      </c>
      <c r="W874">
        <v>258.53978921699621</v>
      </c>
      <c r="X874">
        <v>258.53978921699621</v>
      </c>
      <c r="Y874">
        <v>0</v>
      </c>
      <c r="Z874">
        <v>0</v>
      </c>
    </row>
    <row r="875" spans="1:26" x14ac:dyDescent="0.25">
      <c r="A875" t="s">
        <v>143</v>
      </c>
      <c r="B875" t="s">
        <v>39</v>
      </c>
      <c r="D875">
        <v>0</v>
      </c>
      <c r="E875">
        <v>2019</v>
      </c>
      <c r="F875" t="s">
        <v>28</v>
      </c>
      <c r="G875">
        <v>185576.29959415729</v>
      </c>
      <c r="H875">
        <v>0</v>
      </c>
      <c r="I875">
        <v>0</v>
      </c>
      <c r="J875">
        <v>34149.438191562753</v>
      </c>
      <c r="K875">
        <v>0</v>
      </c>
      <c r="L875">
        <v>0</v>
      </c>
      <c r="M875">
        <v>0</v>
      </c>
      <c r="N875">
        <v>0</v>
      </c>
      <c r="O875">
        <v>151426.86140259454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</row>
    <row r="876" spans="1:26" x14ac:dyDescent="0.25">
      <c r="A876" t="s">
        <v>143</v>
      </c>
      <c r="B876" t="s">
        <v>75</v>
      </c>
      <c r="D876">
        <v>0</v>
      </c>
      <c r="E876">
        <v>2019</v>
      </c>
      <c r="F876" t="s">
        <v>28</v>
      </c>
      <c r="G876">
        <v>890042.58416558511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890042.58416558511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</row>
    <row r="877" spans="1:26" x14ac:dyDescent="0.25">
      <c r="A877" t="s">
        <v>143</v>
      </c>
      <c r="B877" t="s">
        <v>41</v>
      </c>
      <c r="D877">
        <v>0</v>
      </c>
      <c r="E877">
        <v>2019</v>
      </c>
      <c r="F877" t="s">
        <v>28</v>
      </c>
      <c r="G877">
        <v>25923.363510878662</v>
      </c>
      <c r="H877">
        <v>0</v>
      </c>
      <c r="I877">
        <v>0</v>
      </c>
      <c r="J877">
        <v>249553.58678449702</v>
      </c>
      <c r="K877">
        <v>0</v>
      </c>
      <c r="L877">
        <v>0</v>
      </c>
      <c r="M877">
        <v>0</v>
      </c>
      <c r="N877">
        <v>0</v>
      </c>
      <c r="O877">
        <v>-223630.22327361835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1</v>
      </c>
    </row>
    <row r="878" spans="1:26" x14ac:dyDescent="0.25">
      <c r="A878" t="s">
        <v>143</v>
      </c>
      <c r="B878" t="s">
        <v>57</v>
      </c>
      <c r="C878" t="s">
        <v>57</v>
      </c>
      <c r="D878">
        <v>1</v>
      </c>
      <c r="E878">
        <v>2019</v>
      </c>
      <c r="F878" t="s">
        <v>28</v>
      </c>
      <c r="G878">
        <v>0</v>
      </c>
      <c r="H878">
        <v>0</v>
      </c>
      <c r="I878">
        <v>0</v>
      </c>
      <c r="J878">
        <v>0</v>
      </c>
      <c r="K878">
        <v>114193.60000000001</v>
      </c>
      <c r="L878">
        <v>0</v>
      </c>
      <c r="M878">
        <v>0</v>
      </c>
      <c r="N878">
        <v>0</v>
      </c>
      <c r="O878">
        <v>-114193.60000000001</v>
      </c>
      <c r="P878">
        <v>0</v>
      </c>
      <c r="Q878">
        <v>114193.60000000001</v>
      </c>
      <c r="R878">
        <v>0</v>
      </c>
      <c r="S878">
        <v>1.7355855896064003</v>
      </c>
      <c r="T878">
        <v>1.7355855896064003</v>
      </c>
      <c r="U878">
        <v>0</v>
      </c>
      <c r="V878">
        <v>0</v>
      </c>
      <c r="W878">
        <v>102774.24</v>
      </c>
      <c r="X878">
        <v>102774.24</v>
      </c>
      <c r="Y878">
        <v>0</v>
      </c>
      <c r="Z878">
        <v>1</v>
      </c>
    </row>
    <row r="879" spans="1:26" x14ac:dyDescent="0.25">
      <c r="A879" t="s">
        <v>143</v>
      </c>
      <c r="B879" t="s">
        <v>53</v>
      </c>
      <c r="C879" t="s">
        <v>76</v>
      </c>
      <c r="D879">
        <v>1</v>
      </c>
      <c r="E879">
        <v>2019</v>
      </c>
      <c r="F879" t="s">
        <v>28</v>
      </c>
      <c r="G879">
        <v>15863611.568544758</v>
      </c>
      <c r="H879">
        <v>12237689.9092583</v>
      </c>
      <c r="I879">
        <v>0</v>
      </c>
      <c r="J879">
        <v>0</v>
      </c>
      <c r="K879">
        <v>75746.163899662715</v>
      </c>
      <c r="L879">
        <v>0</v>
      </c>
      <c r="M879">
        <v>0</v>
      </c>
      <c r="N879">
        <v>0</v>
      </c>
      <c r="O879">
        <v>3550175.4953867961</v>
      </c>
      <c r="P879">
        <v>3550175.4953867961</v>
      </c>
      <c r="Q879">
        <v>75746.163899662715</v>
      </c>
      <c r="R879">
        <v>6.5318791395747819</v>
      </c>
      <c r="S879">
        <v>0.13936347330489193</v>
      </c>
      <c r="T879">
        <v>0.13936347330489193</v>
      </c>
      <c r="U879">
        <v>0</v>
      </c>
      <c r="V879">
        <v>994049.13870830298</v>
      </c>
      <c r="W879">
        <v>21208.925891905561</v>
      </c>
      <c r="X879">
        <v>21208.925891905561</v>
      </c>
      <c r="Y879">
        <v>0</v>
      </c>
      <c r="Z879">
        <v>0</v>
      </c>
    </row>
    <row r="880" spans="1:26" x14ac:dyDescent="0.25">
      <c r="A880" t="s">
        <v>143</v>
      </c>
      <c r="B880" t="s">
        <v>61</v>
      </c>
      <c r="D880">
        <v>0</v>
      </c>
      <c r="E880">
        <v>2019</v>
      </c>
      <c r="F880" t="s">
        <v>28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</row>
    <row r="881" spans="1:26" x14ac:dyDescent="0.25">
      <c r="A881" t="s">
        <v>143</v>
      </c>
      <c r="B881" t="s">
        <v>30</v>
      </c>
      <c r="D881">
        <v>0</v>
      </c>
      <c r="E881">
        <v>2019</v>
      </c>
      <c r="F881" t="s">
        <v>28</v>
      </c>
      <c r="G881">
        <v>184529.62070571107</v>
      </c>
      <c r="H881">
        <v>0</v>
      </c>
      <c r="I881">
        <v>0</v>
      </c>
      <c r="J881">
        <v>261374.54615849949</v>
      </c>
      <c r="K881">
        <v>0</v>
      </c>
      <c r="L881">
        <v>0</v>
      </c>
      <c r="M881">
        <v>0</v>
      </c>
      <c r="N881">
        <v>0</v>
      </c>
      <c r="O881">
        <v>-76844.925452788419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1</v>
      </c>
    </row>
    <row r="882" spans="1:26" x14ac:dyDescent="0.25">
      <c r="A882" t="s">
        <v>143</v>
      </c>
      <c r="B882" t="s">
        <v>52</v>
      </c>
      <c r="C882" t="s">
        <v>77</v>
      </c>
      <c r="D882">
        <v>1</v>
      </c>
      <c r="E882">
        <v>2019</v>
      </c>
      <c r="F882" t="s">
        <v>28</v>
      </c>
      <c r="G882">
        <v>2714031.9406148358</v>
      </c>
      <c r="H882">
        <v>773085.89354292618</v>
      </c>
      <c r="I882">
        <v>728216.84089200001</v>
      </c>
      <c r="J882">
        <v>0</v>
      </c>
      <c r="K882">
        <v>53138.892747161146</v>
      </c>
      <c r="L882">
        <v>0</v>
      </c>
      <c r="M882">
        <v>1159590.3134327475</v>
      </c>
      <c r="N882">
        <v>0</v>
      </c>
      <c r="O882">
        <v>0</v>
      </c>
      <c r="P882">
        <v>0</v>
      </c>
      <c r="Q882">
        <v>1212729.2061799087</v>
      </c>
      <c r="R882">
        <v>0</v>
      </c>
      <c r="S882">
        <v>12.291675324066466</v>
      </c>
      <c r="T882">
        <v>0.3063744116894675</v>
      </c>
      <c r="U882">
        <v>11.985300912376998</v>
      </c>
      <c r="V882">
        <v>0</v>
      </c>
      <c r="W882">
        <v>1030819.8252529224</v>
      </c>
      <c r="X882">
        <v>45168.058835086973</v>
      </c>
      <c r="Y882">
        <v>985651.76641783537</v>
      </c>
      <c r="Z882">
        <v>0</v>
      </c>
    </row>
    <row r="883" spans="1:26" x14ac:dyDescent="0.25">
      <c r="A883" t="s">
        <v>143</v>
      </c>
      <c r="B883" t="s">
        <v>56</v>
      </c>
      <c r="C883" t="s">
        <v>73</v>
      </c>
      <c r="D883">
        <v>1</v>
      </c>
      <c r="E883">
        <v>2019</v>
      </c>
      <c r="F883" t="s">
        <v>28</v>
      </c>
      <c r="G883">
        <v>530462.48766233202</v>
      </c>
      <c r="H883">
        <v>0</v>
      </c>
      <c r="I883">
        <v>0</v>
      </c>
      <c r="J883">
        <v>0</v>
      </c>
      <c r="K883">
        <v>42.099811904105366</v>
      </c>
      <c r="L883">
        <v>0</v>
      </c>
      <c r="M883">
        <v>530420.38785042788</v>
      </c>
      <c r="N883">
        <v>0</v>
      </c>
      <c r="O883">
        <v>0</v>
      </c>
      <c r="P883">
        <v>0</v>
      </c>
      <c r="Q883">
        <v>530462.48766233202</v>
      </c>
      <c r="R883">
        <v>0</v>
      </c>
      <c r="S883">
        <v>9.4692532209947728</v>
      </c>
      <c r="T883">
        <v>7.148842760000421E-5</v>
      </c>
      <c r="U883">
        <v>9.4691817325671721</v>
      </c>
      <c r="V883">
        <v>0</v>
      </c>
      <c r="W883">
        <v>159138.74629869961</v>
      </c>
      <c r="X883">
        <v>12.629943571231609</v>
      </c>
      <c r="Y883">
        <v>159126.11635512838</v>
      </c>
      <c r="Z883">
        <v>0</v>
      </c>
    </row>
    <row r="884" spans="1:26" x14ac:dyDescent="0.25">
      <c r="A884" t="s">
        <v>143</v>
      </c>
      <c r="B884" t="s">
        <v>63</v>
      </c>
      <c r="D884">
        <v>0</v>
      </c>
      <c r="E884">
        <v>2019</v>
      </c>
      <c r="F884" t="s">
        <v>28</v>
      </c>
      <c r="G884">
        <v>0</v>
      </c>
      <c r="H884">
        <v>4828427.5390456235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-4828427.5390456235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1</v>
      </c>
    </row>
    <row r="885" spans="1:26" x14ac:dyDescent="0.25">
      <c r="A885" t="s">
        <v>143</v>
      </c>
      <c r="B885" t="s">
        <v>49</v>
      </c>
      <c r="C885" t="s">
        <v>73</v>
      </c>
      <c r="D885">
        <v>1</v>
      </c>
      <c r="E885">
        <v>2019</v>
      </c>
      <c r="F885" t="s">
        <v>28</v>
      </c>
      <c r="G885">
        <v>513042.22037196398</v>
      </c>
      <c r="H885">
        <v>0</v>
      </c>
      <c r="I885">
        <v>0</v>
      </c>
      <c r="J885">
        <v>0</v>
      </c>
      <c r="K885">
        <v>716103.75203569303</v>
      </c>
      <c r="L885">
        <v>0</v>
      </c>
      <c r="M885">
        <v>0</v>
      </c>
      <c r="N885">
        <v>0</v>
      </c>
      <c r="O885">
        <v>-203061.53166372905</v>
      </c>
      <c r="P885">
        <v>0</v>
      </c>
      <c r="Q885">
        <v>716103.75203569303</v>
      </c>
      <c r="R885">
        <v>0</v>
      </c>
      <c r="S885">
        <v>2.637525053399659</v>
      </c>
      <c r="T885">
        <v>2.637525053399659</v>
      </c>
      <c r="U885">
        <v>0</v>
      </c>
      <c r="V885">
        <v>0</v>
      </c>
      <c r="W885">
        <v>300763.57585499104</v>
      </c>
      <c r="X885">
        <v>300763.57585499104</v>
      </c>
      <c r="Y885">
        <v>0</v>
      </c>
      <c r="Z885">
        <v>1</v>
      </c>
    </row>
    <row r="886" spans="1:26" x14ac:dyDescent="0.25">
      <c r="A886" t="s">
        <v>143</v>
      </c>
      <c r="B886" t="s">
        <v>78</v>
      </c>
      <c r="D886">
        <v>0</v>
      </c>
      <c r="E886">
        <v>2019</v>
      </c>
      <c r="F886" t="s">
        <v>28</v>
      </c>
      <c r="G886">
        <v>765723.03528474667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765723.03528474667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</row>
    <row r="887" spans="1:26" x14ac:dyDescent="0.25">
      <c r="A887" t="s">
        <v>143</v>
      </c>
      <c r="B887" t="s">
        <v>31</v>
      </c>
      <c r="D887">
        <v>0</v>
      </c>
      <c r="E887">
        <v>2019</v>
      </c>
      <c r="F887" t="s">
        <v>28</v>
      </c>
      <c r="G887">
        <v>2145904.0489790672</v>
      </c>
      <c r="H887">
        <v>0</v>
      </c>
      <c r="I887">
        <v>0</v>
      </c>
      <c r="J887">
        <v>119523.03367046962</v>
      </c>
      <c r="K887">
        <v>0</v>
      </c>
      <c r="L887">
        <v>0</v>
      </c>
      <c r="M887">
        <v>0</v>
      </c>
      <c r="N887">
        <v>0</v>
      </c>
      <c r="O887">
        <v>2026381.0153085976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</row>
    <row r="888" spans="1:26" x14ac:dyDescent="0.25">
      <c r="A888" t="s">
        <v>143</v>
      </c>
      <c r="B888" t="s">
        <v>29</v>
      </c>
      <c r="C888" t="s">
        <v>77</v>
      </c>
      <c r="D888">
        <v>1</v>
      </c>
      <c r="E888">
        <v>2019</v>
      </c>
      <c r="F888" t="s">
        <v>28</v>
      </c>
      <c r="G888">
        <v>6833990.0005322779</v>
      </c>
      <c r="H888">
        <v>5879215.2019956242</v>
      </c>
      <c r="I888">
        <v>0</v>
      </c>
      <c r="J888">
        <v>286329.90483694919</v>
      </c>
      <c r="K888">
        <v>2840.1853290986264</v>
      </c>
      <c r="L888">
        <v>0</v>
      </c>
      <c r="M888">
        <v>0</v>
      </c>
      <c r="N888">
        <v>0</v>
      </c>
      <c r="O888">
        <v>665604.70837060641</v>
      </c>
      <c r="P888">
        <v>665604.70837060641</v>
      </c>
      <c r="Q888">
        <v>2840.1853290986264</v>
      </c>
      <c r="R888">
        <v>2.2796029415101553</v>
      </c>
      <c r="S888">
        <v>9.7272371262167243E-3</v>
      </c>
      <c r="T888">
        <v>9.7272371262167243E-3</v>
      </c>
      <c r="U888">
        <v>0</v>
      </c>
      <c r="V888">
        <v>206337.459594888</v>
      </c>
      <c r="W888">
        <v>880.45745202057424</v>
      </c>
      <c r="X888">
        <v>880.45745202057424</v>
      </c>
      <c r="Y888">
        <v>0</v>
      </c>
      <c r="Z888">
        <v>0</v>
      </c>
    </row>
    <row r="889" spans="1:26" x14ac:dyDescent="0.25">
      <c r="A889" t="s">
        <v>143</v>
      </c>
      <c r="B889" t="s">
        <v>69</v>
      </c>
      <c r="D889">
        <v>0</v>
      </c>
      <c r="E889">
        <v>2019</v>
      </c>
      <c r="F889" t="s">
        <v>28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720643.40546424</v>
      </c>
      <c r="M889">
        <v>0</v>
      </c>
      <c r="N889">
        <v>0</v>
      </c>
      <c r="O889">
        <v>-720643.40546424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1</v>
      </c>
    </row>
    <row r="890" spans="1:26" x14ac:dyDescent="0.25">
      <c r="A890" t="s">
        <v>143</v>
      </c>
      <c r="B890" t="s">
        <v>45</v>
      </c>
      <c r="C890" t="s">
        <v>74</v>
      </c>
      <c r="D890">
        <v>1</v>
      </c>
      <c r="E890">
        <v>2019</v>
      </c>
      <c r="F890" t="s">
        <v>28</v>
      </c>
      <c r="G890">
        <v>13124915.780770566</v>
      </c>
      <c r="H890">
        <v>0</v>
      </c>
      <c r="I890">
        <v>0</v>
      </c>
      <c r="J890">
        <v>0</v>
      </c>
      <c r="K890">
        <v>4066864.6068164087</v>
      </c>
      <c r="L890">
        <v>6000958.9027446285</v>
      </c>
      <c r="M890">
        <v>0</v>
      </c>
      <c r="N890">
        <v>0</v>
      </c>
      <c r="O890">
        <v>3057092.2712095287</v>
      </c>
      <c r="P890">
        <v>3057092.2712095287</v>
      </c>
      <c r="Q890">
        <v>4066864.6068164087</v>
      </c>
      <c r="R890">
        <v>1.5474695367635516</v>
      </c>
      <c r="S890">
        <v>2.0586061953243981</v>
      </c>
      <c r="T890">
        <v>2.0586061953243981</v>
      </c>
      <c r="U890">
        <v>0</v>
      </c>
      <c r="V890">
        <v>232339.01261192418</v>
      </c>
      <c r="W890">
        <v>309081.71011804708</v>
      </c>
      <c r="X890">
        <v>309081.71011804708</v>
      </c>
      <c r="Y890">
        <v>0</v>
      </c>
      <c r="Z890">
        <v>0</v>
      </c>
    </row>
    <row r="891" spans="1:26" x14ac:dyDescent="0.25">
      <c r="A891" t="s">
        <v>143</v>
      </c>
      <c r="B891" t="s">
        <v>59</v>
      </c>
      <c r="D891">
        <v>0</v>
      </c>
      <c r="E891">
        <v>2019</v>
      </c>
      <c r="F891" t="s">
        <v>28</v>
      </c>
      <c r="G891">
        <v>1638157.7192038004</v>
      </c>
      <c r="H891">
        <v>1515714.1736670118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122443.54553678865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</row>
    <row r="892" spans="1:26" x14ac:dyDescent="0.25">
      <c r="A892" t="s">
        <v>143</v>
      </c>
      <c r="B892" t="s">
        <v>54</v>
      </c>
      <c r="C892" t="s">
        <v>76</v>
      </c>
      <c r="D892">
        <v>1</v>
      </c>
      <c r="E892">
        <v>2019</v>
      </c>
      <c r="F892" t="s">
        <v>28</v>
      </c>
      <c r="G892">
        <v>7581538.5357748987</v>
      </c>
      <c r="H892">
        <v>5657053.7864699634</v>
      </c>
      <c r="I892">
        <v>0</v>
      </c>
      <c r="J892">
        <v>0</v>
      </c>
      <c r="K892">
        <v>314821.43493156106</v>
      </c>
      <c r="L892">
        <v>0</v>
      </c>
      <c r="M892">
        <v>0</v>
      </c>
      <c r="N892">
        <v>0</v>
      </c>
      <c r="O892">
        <v>1609663.314373374</v>
      </c>
      <c r="P892">
        <v>1266262.2462674922</v>
      </c>
      <c r="Q892">
        <v>314821.43493156106</v>
      </c>
      <c r="R892">
        <v>4.5458814641002974</v>
      </c>
      <c r="S892">
        <v>1.1302089514043043</v>
      </c>
      <c r="T892">
        <v>1.1302089514043043</v>
      </c>
      <c r="U892">
        <v>0</v>
      </c>
      <c r="V892">
        <v>379878.67388024763</v>
      </c>
      <c r="W892">
        <v>94446.430479468312</v>
      </c>
      <c r="X892">
        <v>94446.430479468312</v>
      </c>
      <c r="Y892">
        <v>0</v>
      </c>
      <c r="Z892">
        <v>0</v>
      </c>
    </row>
    <row r="893" spans="1:26" x14ac:dyDescent="0.25">
      <c r="A893" t="s">
        <v>143</v>
      </c>
      <c r="B893" t="s">
        <v>38</v>
      </c>
      <c r="D893">
        <v>0</v>
      </c>
      <c r="E893">
        <v>2019</v>
      </c>
      <c r="F893" t="s">
        <v>28</v>
      </c>
      <c r="G893">
        <v>3160794.2116654618</v>
      </c>
      <c r="H893">
        <v>0</v>
      </c>
      <c r="I893">
        <v>0</v>
      </c>
      <c r="J893">
        <v>457077.09579476295</v>
      </c>
      <c r="K893">
        <v>0</v>
      </c>
      <c r="L893">
        <v>0</v>
      </c>
      <c r="M893">
        <v>0</v>
      </c>
      <c r="N893">
        <v>0</v>
      </c>
      <c r="O893">
        <v>2703717.1158706988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</row>
    <row r="894" spans="1:26" x14ac:dyDescent="0.25">
      <c r="A894" t="s">
        <v>143</v>
      </c>
      <c r="B894" t="s">
        <v>35</v>
      </c>
      <c r="C894" t="s">
        <v>79</v>
      </c>
      <c r="D894">
        <v>1</v>
      </c>
      <c r="E894">
        <v>2019</v>
      </c>
      <c r="F894" t="s">
        <v>28</v>
      </c>
      <c r="G894">
        <v>878.90231344976178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878.90231344976178</v>
      </c>
      <c r="P894">
        <v>878.90231344976178</v>
      </c>
      <c r="Q894">
        <v>0</v>
      </c>
      <c r="R894">
        <v>7.8881482632116122E-4</v>
      </c>
      <c r="S894">
        <v>0</v>
      </c>
      <c r="T894">
        <v>0</v>
      </c>
      <c r="U894">
        <v>0</v>
      </c>
      <c r="V894">
        <v>131.83534701746427</v>
      </c>
      <c r="W894">
        <v>0</v>
      </c>
      <c r="X894">
        <v>0</v>
      </c>
      <c r="Y894">
        <v>0</v>
      </c>
      <c r="Z894">
        <v>0</v>
      </c>
    </row>
    <row r="895" spans="1:26" x14ac:dyDescent="0.25">
      <c r="A895" t="s">
        <v>143</v>
      </c>
      <c r="B895" t="s">
        <v>33</v>
      </c>
      <c r="D895">
        <v>0</v>
      </c>
      <c r="E895">
        <v>2019</v>
      </c>
      <c r="F895" t="s">
        <v>28</v>
      </c>
      <c r="G895">
        <v>108094.85577035608</v>
      </c>
      <c r="H895">
        <v>0</v>
      </c>
      <c r="I895">
        <v>0</v>
      </c>
      <c r="J895">
        <v>58080.313724265572</v>
      </c>
      <c r="K895">
        <v>0</v>
      </c>
      <c r="L895">
        <v>0</v>
      </c>
      <c r="M895">
        <v>0</v>
      </c>
      <c r="N895">
        <v>0</v>
      </c>
      <c r="O895">
        <v>50014.542046090508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</row>
    <row r="896" spans="1:26" x14ac:dyDescent="0.25">
      <c r="A896" t="s">
        <v>143</v>
      </c>
      <c r="B896" t="s">
        <v>80</v>
      </c>
      <c r="D896">
        <v>0</v>
      </c>
      <c r="E896">
        <v>2019</v>
      </c>
      <c r="F896" t="s">
        <v>28</v>
      </c>
      <c r="G896">
        <v>1609044.2994914718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1609044.2994914718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</row>
    <row r="897" spans="1:26" x14ac:dyDescent="0.25">
      <c r="A897" t="s">
        <v>143</v>
      </c>
      <c r="B897" t="s">
        <v>65</v>
      </c>
      <c r="C897" t="s">
        <v>81</v>
      </c>
      <c r="D897">
        <v>1</v>
      </c>
      <c r="E897">
        <v>2019</v>
      </c>
      <c r="F897" t="s">
        <v>28</v>
      </c>
      <c r="G897">
        <v>172205.06744997756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172205.06744997756</v>
      </c>
      <c r="N897">
        <v>0</v>
      </c>
      <c r="O897">
        <v>0</v>
      </c>
      <c r="P897">
        <v>0</v>
      </c>
      <c r="Q897">
        <v>172205.06744997756</v>
      </c>
      <c r="R897">
        <v>0</v>
      </c>
      <c r="S897">
        <v>3.1685732410795864</v>
      </c>
      <c r="T897">
        <v>0</v>
      </c>
      <c r="U897">
        <v>3.1685732410795864</v>
      </c>
      <c r="V897">
        <v>0</v>
      </c>
      <c r="W897">
        <v>71465.1029917407</v>
      </c>
      <c r="X897">
        <v>0</v>
      </c>
      <c r="Y897">
        <v>71465.1029917407</v>
      </c>
      <c r="Z897">
        <v>0</v>
      </c>
    </row>
    <row r="898" spans="1:26" x14ac:dyDescent="0.25">
      <c r="A898" t="s">
        <v>143</v>
      </c>
      <c r="B898" t="s">
        <v>140</v>
      </c>
      <c r="C898" t="s">
        <v>142</v>
      </c>
      <c r="D898">
        <v>1</v>
      </c>
      <c r="E898">
        <v>2019</v>
      </c>
      <c r="F898" t="s">
        <v>28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</row>
    <row r="899" spans="1:26" x14ac:dyDescent="0.25">
      <c r="A899" t="s">
        <v>143</v>
      </c>
      <c r="B899" t="s">
        <v>141</v>
      </c>
      <c r="C899" t="s">
        <v>142</v>
      </c>
      <c r="D899">
        <v>1</v>
      </c>
      <c r="E899">
        <v>2019</v>
      </c>
      <c r="F899" t="s">
        <v>28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</row>
    <row r="900" spans="1:26" x14ac:dyDescent="0.25">
      <c r="A900" t="s">
        <v>143</v>
      </c>
      <c r="B900" t="s">
        <v>82</v>
      </c>
      <c r="D900">
        <v>0</v>
      </c>
      <c r="E900">
        <v>2019</v>
      </c>
      <c r="F900" t="s">
        <v>28</v>
      </c>
      <c r="G900">
        <v>4922001.9803787302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4922001.9803787302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</row>
    <row r="901" spans="1:26" x14ac:dyDescent="0.25">
      <c r="A901" t="s">
        <v>143</v>
      </c>
      <c r="B901" t="s">
        <v>72</v>
      </c>
      <c r="D901">
        <v>0</v>
      </c>
      <c r="E901">
        <v>2019</v>
      </c>
      <c r="F901" t="s">
        <v>28</v>
      </c>
      <c r="G901">
        <v>484833.6848947219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484833.6848947219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</row>
    <row r="902" spans="1:26" x14ac:dyDescent="0.25">
      <c r="A902" t="s">
        <v>143</v>
      </c>
      <c r="B902" t="s">
        <v>58</v>
      </c>
      <c r="D902">
        <v>0</v>
      </c>
      <c r="E902">
        <v>2019</v>
      </c>
      <c r="F902" t="s">
        <v>28</v>
      </c>
      <c r="G902">
        <v>242416.84244736095</v>
      </c>
      <c r="H902">
        <v>214099.10609126228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28317.736356098671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</row>
    <row r="903" spans="1:26" x14ac:dyDescent="0.25">
      <c r="A903" t="s">
        <v>143</v>
      </c>
      <c r="B903" t="s">
        <v>64</v>
      </c>
      <c r="C903" t="s">
        <v>64</v>
      </c>
      <c r="D903">
        <v>1</v>
      </c>
      <c r="E903">
        <v>2019</v>
      </c>
      <c r="F903" t="s">
        <v>28</v>
      </c>
      <c r="G903">
        <v>155146.779166311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3102.9355833262225</v>
      </c>
      <c r="N903">
        <v>152043.84358298479</v>
      </c>
      <c r="O903">
        <v>0</v>
      </c>
      <c r="P903">
        <v>0</v>
      </c>
      <c r="Q903">
        <v>3102.9355833262225</v>
      </c>
      <c r="R903">
        <v>0</v>
      </c>
      <c r="S903">
        <v>0.10860274541641778</v>
      </c>
      <c r="T903">
        <v>0</v>
      </c>
      <c r="U903">
        <v>0.10860274541641778</v>
      </c>
      <c r="V903">
        <v>0</v>
      </c>
      <c r="W903">
        <v>2823.6713808268628</v>
      </c>
      <c r="X903">
        <v>0</v>
      </c>
      <c r="Y903">
        <v>2823.6713808268628</v>
      </c>
      <c r="Z903">
        <v>0</v>
      </c>
    </row>
    <row r="904" spans="1:26" x14ac:dyDescent="0.25">
      <c r="A904" t="s">
        <v>143</v>
      </c>
      <c r="B904" t="s">
        <v>55</v>
      </c>
      <c r="C904" t="s">
        <v>76</v>
      </c>
      <c r="D904">
        <v>1</v>
      </c>
      <c r="E904">
        <v>2019</v>
      </c>
      <c r="F904" t="s">
        <v>28</v>
      </c>
      <c r="G904">
        <v>376449.39511597221</v>
      </c>
      <c r="H904">
        <v>841167.61765562883</v>
      </c>
      <c r="I904">
        <v>0</v>
      </c>
      <c r="J904">
        <v>0</v>
      </c>
      <c r="K904">
        <v>4101.0489241972273</v>
      </c>
      <c r="L904">
        <v>0</v>
      </c>
      <c r="M904">
        <v>0</v>
      </c>
      <c r="N904">
        <v>0</v>
      </c>
      <c r="O904">
        <v>-468819.27146385383</v>
      </c>
      <c r="P904">
        <v>0</v>
      </c>
      <c r="Q904">
        <v>4101.0489241972273</v>
      </c>
      <c r="R904">
        <v>0</v>
      </c>
      <c r="S904">
        <v>1.1130410822228242E-2</v>
      </c>
      <c r="T904">
        <v>1.1130410822228242E-2</v>
      </c>
      <c r="U904">
        <v>0</v>
      </c>
      <c r="V904">
        <v>0</v>
      </c>
      <c r="W904">
        <v>820.20978483944555</v>
      </c>
      <c r="X904">
        <v>820.20978483944555</v>
      </c>
      <c r="Y904">
        <v>0</v>
      </c>
      <c r="Z904">
        <v>0</v>
      </c>
    </row>
    <row r="905" spans="1:26" x14ac:dyDescent="0.25">
      <c r="A905" t="s">
        <v>143</v>
      </c>
      <c r="B905" t="s">
        <v>83</v>
      </c>
      <c r="D905">
        <v>0</v>
      </c>
      <c r="E905">
        <v>2019</v>
      </c>
      <c r="F905" t="s">
        <v>28</v>
      </c>
      <c r="G905">
        <v>193830.89221723122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193830.89221723122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</row>
    <row r="906" spans="1:26" x14ac:dyDescent="0.25">
      <c r="A906" t="s">
        <v>143</v>
      </c>
      <c r="B906" t="s">
        <v>62</v>
      </c>
      <c r="D906">
        <v>0</v>
      </c>
      <c r="E906">
        <v>2019</v>
      </c>
      <c r="F906" t="s">
        <v>28</v>
      </c>
      <c r="G906">
        <v>131276.07587880219</v>
      </c>
      <c r="H906">
        <v>39415.735012617326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91860.340866184866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</row>
    <row r="907" spans="1:26" x14ac:dyDescent="0.25">
      <c r="A907" t="s">
        <v>143</v>
      </c>
      <c r="B907" t="s">
        <v>47</v>
      </c>
      <c r="C907" t="s">
        <v>73</v>
      </c>
      <c r="D907">
        <v>1</v>
      </c>
      <c r="E907">
        <v>2019</v>
      </c>
      <c r="F907" t="s">
        <v>28</v>
      </c>
      <c r="G907">
        <v>3850196.5402414175</v>
      </c>
      <c r="H907">
        <v>0</v>
      </c>
      <c r="I907">
        <v>0</v>
      </c>
      <c r="J907">
        <v>0</v>
      </c>
      <c r="K907">
        <v>1460182.5874658169</v>
      </c>
      <c r="L907">
        <v>0</v>
      </c>
      <c r="M907">
        <v>0</v>
      </c>
      <c r="N907">
        <v>0</v>
      </c>
      <c r="O907">
        <v>2390013.9527756004</v>
      </c>
      <c r="P907">
        <v>2390013.9527756004</v>
      </c>
      <c r="Q907">
        <v>1460182.5874658169</v>
      </c>
      <c r="R907">
        <v>1.1926408625745526</v>
      </c>
      <c r="S907">
        <v>0.72864571297131742</v>
      </c>
      <c r="T907">
        <v>0.72864571297131742</v>
      </c>
      <c r="U907">
        <v>0</v>
      </c>
      <c r="V907">
        <v>143400.83716653602</v>
      </c>
      <c r="W907">
        <v>87610.955247949008</v>
      </c>
      <c r="X907">
        <v>87610.955247949008</v>
      </c>
      <c r="Y907">
        <v>0</v>
      </c>
      <c r="Z907">
        <v>0</v>
      </c>
    </row>
    <row r="908" spans="1:26" x14ac:dyDescent="0.25">
      <c r="A908" t="s">
        <v>143</v>
      </c>
      <c r="B908" t="s">
        <v>44</v>
      </c>
      <c r="C908" t="s">
        <v>74</v>
      </c>
      <c r="D908">
        <v>1</v>
      </c>
      <c r="E908">
        <v>2019</v>
      </c>
      <c r="F908" t="s">
        <v>28</v>
      </c>
      <c r="G908">
        <v>15352538.506892066</v>
      </c>
      <c r="H908">
        <v>0</v>
      </c>
      <c r="I908">
        <v>0</v>
      </c>
      <c r="J908">
        <v>0</v>
      </c>
      <c r="K908">
        <v>2534442.072977222</v>
      </c>
      <c r="L908">
        <v>12818096.433914844</v>
      </c>
      <c r="M908">
        <v>0</v>
      </c>
      <c r="N908">
        <v>0</v>
      </c>
      <c r="O908">
        <v>0</v>
      </c>
      <c r="P908">
        <v>0</v>
      </c>
      <c r="Q908">
        <v>2534442.072977222</v>
      </c>
      <c r="R908">
        <v>0</v>
      </c>
      <c r="S908">
        <v>1.0918376450385874</v>
      </c>
      <c r="T908">
        <v>1.0918376450385874</v>
      </c>
      <c r="U908">
        <v>0</v>
      </c>
      <c r="V908">
        <v>0</v>
      </c>
      <c r="W908">
        <v>126722.10364886111</v>
      </c>
      <c r="X908">
        <v>126722.10364886111</v>
      </c>
      <c r="Y908">
        <v>0</v>
      </c>
      <c r="Z908">
        <v>0</v>
      </c>
    </row>
    <row r="909" spans="1:26" x14ac:dyDescent="0.25">
      <c r="A909" t="s">
        <v>143</v>
      </c>
      <c r="B909" t="s">
        <v>32</v>
      </c>
      <c r="D909">
        <v>0</v>
      </c>
      <c r="E909">
        <v>2019</v>
      </c>
      <c r="F909" t="s">
        <v>28</v>
      </c>
      <c r="G909">
        <v>1394376.9846055224</v>
      </c>
      <c r="H909">
        <v>0</v>
      </c>
      <c r="I909">
        <v>0</v>
      </c>
      <c r="J909">
        <v>117920.63695532705</v>
      </c>
      <c r="K909">
        <v>0</v>
      </c>
      <c r="L909">
        <v>0</v>
      </c>
      <c r="M909">
        <v>0</v>
      </c>
      <c r="N909">
        <v>0</v>
      </c>
      <c r="O909">
        <v>1276456.3476501952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</row>
    <row r="910" spans="1:26" x14ac:dyDescent="0.25">
      <c r="A910" t="s">
        <v>143</v>
      </c>
      <c r="B910" t="s">
        <v>36</v>
      </c>
      <c r="C910" t="s">
        <v>79</v>
      </c>
      <c r="D910">
        <v>1</v>
      </c>
      <c r="E910">
        <v>2019</v>
      </c>
      <c r="F910" t="s">
        <v>28</v>
      </c>
      <c r="G910">
        <v>76.5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76.5</v>
      </c>
      <c r="P910">
        <v>76.5</v>
      </c>
      <c r="Q910">
        <v>0</v>
      </c>
      <c r="R910">
        <v>6.8658750000000004E-5</v>
      </c>
      <c r="S910">
        <v>0</v>
      </c>
      <c r="T910">
        <v>0</v>
      </c>
      <c r="U910">
        <v>0</v>
      </c>
      <c r="V910">
        <v>11.475</v>
      </c>
      <c r="W910">
        <v>0</v>
      </c>
      <c r="X910">
        <v>0</v>
      </c>
      <c r="Y910">
        <v>0</v>
      </c>
      <c r="Z910">
        <v>0</v>
      </c>
    </row>
    <row r="911" spans="1:26" x14ac:dyDescent="0.25">
      <c r="A911" t="s">
        <v>143</v>
      </c>
      <c r="B911" t="s">
        <v>84</v>
      </c>
      <c r="D911">
        <v>1</v>
      </c>
      <c r="E911">
        <v>2019</v>
      </c>
      <c r="F911" t="s">
        <v>28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</row>
    <row r="912" spans="1:26" x14ac:dyDescent="0.25">
      <c r="A912" t="s">
        <v>143</v>
      </c>
      <c r="B912" t="s">
        <v>66</v>
      </c>
      <c r="C912" t="s">
        <v>81</v>
      </c>
      <c r="D912">
        <v>1</v>
      </c>
      <c r="E912">
        <v>2019</v>
      </c>
      <c r="F912" t="s">
        <v>28</v>
      </c>
      <c r="G912">
        <v>2328635.6388303456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2328635.6388303456</v>
      </c>
      <c r="N912">
        <v>0</v>
      </c>
      <c r="O912">
        <v>0</v>
      </c>
      <c r="P912">
        <v>0</v>
      </c>
      <c r="Q912">
        <v>2328635.6388303456</v>
      </c>
      <c r="R912">
        <v>0</v>
      </c>
      <c r="S912">
        <v>33.750241076188566</v>
      </c>
      <c r="T912">
        <v>0</v>
      </c>
      <c r="U912">
        <v>33.750241076188566</v>
      </c>
      <c r="V912">
        <v>0</v>
      </c>
      <c r="W912">
        <v>1151704.3763715085</v>
      </c>
      <c r="X912">
        <v>0</v>
      </c>
      <c r="Y912">
        <v>1151704.3763715085</v>
      </c>
      <c r="Z912">
        <v>0</v>
      </c>
    </row>
    <row r="913" spans="1:26" x14ac:dyDescent="0.25">
      <c r="A913" t="s">
        <v>143</v>
      </c>
      <c r="B913" t="s">
        <v>85</v>
      </c>
      <c r="D913">
        <v>0</v>
      </c>
      <c r="E913">
        <v>2019</v>
      </c>
      <c r="F913" t="s">
        <v>28</v>
      </c>
      <c r="G913">
        <v>640280.13059892249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640280.13059892249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</row>
    <row r="914" spans="1:26" x14ac:dyDescent="0.25">
      <c r="A914" t="s">
        <v>143</v>
      </c>
      <c r="B914" t="s">
        <v>40</v>
      </c>
      <c r="C914" t="s">
        <v>86</v>
      </c>
      <c r="D914">
        <v>0</v>
      </c>
      <c r="E914">
        <v>2030</v>
      </c>
      <c r="F914" t="s">
        <v>28</v>
      </c>
      <c r="G914">
        <v>213791.94985288731</v>
      </c>
      <c r="H914">
        <v>0</v>
      </c>
      <c r="I914">
        <v>0</v>
      </c>
      <c r="J914">
        <v>32579.784552999867</v>
      </c>
      <c r="K914">
        <v>0</v>
      </c>
      <c r="L914">
        <v>0</v>
      </c>
      <c r="M914">
        <v>0</v>
      </c>
      <c r="N914">
        <v>0</v>
      </c>
      <c r="O914">
        <v>181212.16529988745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</row>
    <row r="915" spans="1:26" x14ac:dyDescent="0.25">
      <c r="A915" t="s">
        <v>143</v>
      </c>
      <c r="B915" t="s">
        <v>34</v>
      </c>
      <c r="C915" t="s">
        <v>86</v>
      </c>
      <c r="D915">
        <v>0</v>
      </c>
      <c r="E915">
        <v>2030</v>
      </c>
      <c r="F915" t="s">
        <v>28</v>
      </c>
      <c r="G915">
        <v>270118.44306124689</v>
      </c>
      <c r="H915">
        <v>64498.475475191975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205619.9675860549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</row>
    <row r="916" spans="1:26" x14ac:dyDescent="0.25">
      <c r="A916" t="s">
        <v>143</v>
      </c>
      <c r="B916" t="s">
        <v>48</v>
      </c>
      <c r="C916" t="s">
        <v>73</v>
      </c>
      <c r="D916">
        <v>1</v>
      </c>
      <c r="E916">
        <v>2030</v>
      </c>
      <c r="F916" t="s">
        <v>28</v>
      </c>
      <c r="G916">
        <v>195082.22598438186</v>
      </c>
      <c r="H916">
        <v>0</v>
      </c>
      <c r="I916">
        <v>0</v>
      </c>
      <c r="J916">
        <v>0</v>
      </c>
      <c r="K916">
        <v>195082.24112879002</v>
      </c>
      <c r="L916">
        <v>0</v>
      </c>
      <c r="M916">
        <v>0</v>
      </c>
      <c r="N916">
        <v>0</v>
      </c>
      <c r="O916">
        <v>-1.5144408156629652E-2</v>
      </c>
      <c r="P916">
        <v>0</v>
      </c>
      <c r="Q916">
        <v>195082.24112879002</v>
      </c>
      <c r="R916">
        <v>0</v>
      </c>
      <c r="S916">
        <v>0.6646276381240861</v>
      </c>
      <c r="T916">
        <v>0.6646276381240861</v>
      </c>
      <c r="U916">
        <v>0</v>
      </c>
      <c r="V916">
        <v>0</v>
      </c>
      <c r="W916">
        <v>54623.027516061207</v>
      </c>
      <c r="X916">
        <v>54623.027516061207</v>
      </c>
      <c r="Y916">
        <v>0</v>
      </c>
      <c r="Z916">
        <v>1</v>
      </c>
    </row>
    <row r="917" spans="1:26" x14ac:dyDescent="0.25">
      <c r="A917" t="s">
        <v>143</v>
      </c>
      <c r="B917" t="s">
        <v>11</v>
      </c>
      <c r="C917" t="s">
        <v>86</v>
      </c>
      <c r="D917">
        <v>1</v>
      </c>
      <c r="E917">
        <v>2030</v>
      </c>
      <c r="F917" t="s">
        <v>28</v>
      </c>
      <c r="G917">
        <v>500535240.15105212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500535240.15105212</v>
      </c>
      <c r="N917">
        <v>0</v>
      </c>
      <c r="O917">
        <v>0</v>
      </c>
      <c r="P917">
        <v>0</v>
      </c>
      <c r="Q917">
        <v>500535240.15105212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</row>
    <row r="918" spans="1:26" x14ac:dyDescent="0.25">
      <c r="A918" t="s">
        <v>143</v>
      </c>
      <c r="B918" t="s">
        <v>68</v>
      </c>
      <c r="C918" t="s">
        <v>86</v>
      </c>
      <c r="D918">
        <v>0</v>
      </c>
      <c r="E918">
        <v>2030</v>
      </c>
      <c r="F918" t="s">
        <v>28</v>
      </c>
      <c r="G918">
        <v>20203745.041476861</v>
      </c>
      <c r="H918">
        <v>0</v>
      </c>
      <c r="I918">
        <v>0</v>
      </c>
      <c r="J918">
        <v>0</v>
      </c>
      <c r="K918">
        <v>0</v>
      </c>
      <c r="L918">
        <v>17711207.128625918</v>
      </c>
      <c r="M918">
        <v>0</v>
      </c>
      <c r="N918">
        <v>0</v>
      </c>
      <c r="O918">
        <v>2492537.9128509425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</row>
    <row r="919" spans="1:26" x14ac:dyDescent="0.25">
      <c r="A919" t="s">
        <v>143</v>
      </c>
      <c r="B919" t="s">
        <v>51</v>
      </c>
      <c r="C919" t="s">
        <v>73</v>
      </c>
      <c r="D919">
        <v>1</v>
      </c>
      <c r="E919">
        <v>2030</v>
      </c>
      <c r="F919" t="s">
        <v>28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</row>
    <row r="920" spans="1:26" x14ac:dyDescent="0.25">
      <c r="A920" t="s">
        <v>143</v>
      </c>
      <c r="B920" t="s">
        <v>50</v>
      </c>
      <c r="C920" t="s">
        <v>74</v>
      </c>
      <c r="D920">
        <v>1</v>
      </c>
      <c r="E920">
        <v>2030</v>
      </c>
      <c r="F920" t="s">
        <v>28</v>
      </c>
      <c r="G920">
        <v>2652925.8184588463</v>
      </c>
      <c r="H920">
        <v>0</v>
      </c>
      <c r="I920">
        <v>0</v>
      </c>
      <c r="J920">
        <v>0</v>
      </c>
      <c r="K920">
        <v>1326462.9092294232</v>
      </c>
      <c r="L920">
        <v>502160.95849399589</v>
      </c>
      <c r="M920">
        <v>0</v>
      </c>
      <c r="N920">
        <v>0</v>
      </c>
      <c r="O920">
        <v>824301.95073542721</v>
      </c>
      <c r="P920">
        <v>824301.95073542721</v>
      </c>
      <c r="Q920">
        <v>1326462.9092294232</v>
      </c>
      <c r="R920">
        <v>1.7755464018841103</v>
      </c>
      <c r="S920">
        <v>4.6327475083642877</v>
      </c>
      <c r="T920">
        <v>2.8572011064801774</v>
      </c>
      <c r="U920">
        <v>1.7755464018841103</v>
      </c>
      <c r="V920">
        <v>247290.58522062816</v>
      </c>
      <c r="W920">
        <v>645229.45798945508</v>
      </c>
      <c r="X920">
        <v>397938.87276882696</v>
      </c>
      <c r="Y920">
        <v>247290.58522062813</v>
      </c>
      <c r="Z920">
        <v>0</v>
      </c>
    </row>
    <row r="921" spans="1:26" x14ac:dyDescent="0.25">
      <c r="A921" t="s">
        <v>143</v>
      </c>
      <c r="B921" t="s">
        <v>60</v>
      </c>
      <c r="C921" t="s">
        <v>86</v>
      </c>
      <c r="D921">
        <v>0</v>
      </c>
      <c r="E921">
        <v>2030</v>
      </c>
      <c r="F921" t="s">
        <v>28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</row>
    <row r="922" spans="1:26" x14ac:dyDescent="0.25">
      <c r="A922" t="s">
        <v>143</v>
      </c>
      <c r="B922" t="s">
        <v>46</v>
      </c>
      <c r="C922" t="s">
        <v>74</v>
      </c>
      <c r="D922">
        <v>1</v>
      </c>
      <c r="E922">
        <v>2030</v>
      </c>
      <c r="F922" t="s">
        <v>28</v>
      </c>
      <c r="G922">
        <v>8342.726135545483</v>
      </c>
      <c r="H922">
        <v>0</v>
      </c>
      <c r="I922">
        <v>0</v>
      </c>
      <c r="J922">
        <v>0</v>
      </c>
      <c r="K922">
        <v>4171.3630677727415</v>
      </c>
      <c r="L922">
        <v>3158.317751313647</v>
      </c>
      <c r="M922">
        <v>0</v>
      </c>
      <c r="N922">
        <v>0</v>
      </c>
      <c r="O922">
        <v>1013.0453164590945</v>
      </c>
      <c r="P922">
        <v>1013.0453164590945</v>
      </c>
      <c r="Q922">
        <v>4171.3630677727415</v>
      </c>
      <c r="R922">
        <v>4.7642508187754754E-4</v>
      </c>
      <c r="S922">
        <v>2.4381754190203903E-3</v>
      </c>
      <c r="T922">
        <v>1.9617503371428427E-3</v>
      </c>
      <c r="U922">
        <v>4.7642508187754765E-4</v>
      </c>
      <c r="V922">
        <v>63.821854936922954</v>
      </c>
      <c r="W922">
        <v>326.61772820660565</v>
      </c>
      <c r="X922">
        <v>262.79587326968272</v>
      </c>
      <c r="Y922">
        <v>63.821854936922932</v>
      </c>
      <c r="Z922">
        <v>0</v>
      </c>
    </row>
    <row r="923" spans="1:26" x14ac:dyDescent="0.25">
      <c r="A923" t="s">
        <v>143</v>
      </c>
      <c r="B923" t="s">
        <v>39</v>
      </c>
      <c r="C923" t="s">
        <v>86</v>
      </c>
      <c r="D923">
        <v>0</v>
      </c>
      <c r="E923">
        <v>2030</v>
      </c>
      <c r="F923" t="s">
        <v>28</v>
      </c>
      <c r="G923">
        <v>181628.8895635134</v>
      </c>
      <c r="H923">
        <v>0</v>
      </c>
      <c r="I923">
        <v>0</v>
      </c>
      <c r="J923">
        <v>35294.766599083188</v>
      </c>
      <c r="K923">
        <v>0</v>
      </c>
      <c r="L923">
        <v>0</v>
      </c>
      <c r="M923">
        <v>0</v>
      </c>
      <c r="N923">
        <v>0</v>
      </c>
      <c r="O923">
        <v>146334.12296443019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</row>
    <row r="924" spans="1:26" x14ac:dyDescent="0.25">
      <c r="A924" t="s">
        <v>143</v>
      </c>
      <c r="B924" t="s">
        <v>75</v>
      </c>
      <c r="C924" t="s">
        <v>86</v>
      </c>
      <c r="D924">
        <v>0</v>
      </c>
      <c r="E924">
        <v>2030</v>
      </c>
      <c r="F924" t="s">
        <v>28</v>
      </c>
      <c r="G924">
        <v>925155.87360935542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925155.87360935542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</row>
    <row r="925" spans="1:26" x14ac:dyDescent="0.25">
      <c r="A925" t="s">
        <v>143</v>
      </c>
      <c r="B925" t="s">
        <v>41</v>
      </c>
      <c r="C925" t="s">
        <v>86</v>
      </c>
      <c r="D925">
        <v>0</v>
      </c>
      <c r="E925">
        <v>2030</v>
      </c>
      <c r="F925" t="s">
        <v>28</v>
      </c>
      <c r="G925">
        <v>27117.337735936886</v>
      </c>
      <c r="H925">
        <v>0</v>
      </c>
      <c r="I925">
        <v>0</v>
      </c>
      <c r="J925">
        <v>257923.29437791562</v>
      </c>
      <c r="K925">
        <v>0</v>
      </c>
      <c r="L925">
        <v>0</v>
      </c>
      <c r="M925">
        <v>0</v>
      </c>
      <c r="N925">
        <v>0</v>
      </c>
      <c r="O925">
        <v>-230805.95664197873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1</v>
      </c>
    </row>
    <row r="926" spans="1:26" x14ac:dyDescent="0.25">
      <c r="A926" t="s">
        <v>143</v>
      </c>
      <c r="B926" t="s">
        <v>57</v>
      </c>
      <c r="C926" t="s">
        <v>57</v>
      </c>
      <c r="D926">
        <v>1</v>
      </c>
      <c r="E926">
        <v>2030</v>
      </c>
      <c r="F926" t="s">
        <v>28</v>
      </c>
      <c r="G926">
        <v>0</v>
      </c>
      <c r="H926">
        <v>0</v>
      </c>
      <c r="I926">
        <v>0</v>
      </c>
      <c r="J926">
        <v>0</v>
      </c>
      <c r="K926">
        <v>114193.60000000001</v>
      </c>
      <c r="L926">
        <v>0</v>
      </c>
      <c r="M926">
        <v>0</v>
      </c>
      <c r="N926">
        <v>0</v>
      </c>
      <c r="O926">
        <v>-114193.60000000001</v>
      </c>
      <c r="P926">
        <v>0</v>
      </c>
      <c r="Q926">
        <v>114193.60000000001</v>
      </c>
      <c r="R926">
        <v>0</v>
      </c>
      <c r="S926">
        <v>1.7355855896064003</v>
      </c>
      <c r="T926">
        <v>1.7355855896064003</v>
      </c>
      <c r="U926">
        <v>0</v>
      </c>
      <c r="V926">
        <v>0</v>
      </c>
      <c r="W926">
        <v>102774.24</v>
      </c>
      <c r="X926">
        <v>102774.24</v>
      </c>
      <c r="Y926">
        <v>0</v>
      </c>
      <c r="Z926">
        <v>1</v>
      </c>
    </row>
    <row r="927" spans="1:26" x14ac:dyDescent="0.25">
      <c r="A927" t="s">
        <v>143</v>
      </c>
      <c r="B927" t="s">
        <v>53</v>
      </c>
      <c r="C927" t="s">
        <v>76</v>
      </c>
      <c r="D927">
        <v>1</v>
      </c>
      <c r="E927">
        <v>2030</v>
      </c>
      <c r="F927" t="s">
        <v>28</v>
      </c>
      <c r="G927">
        <v>16463363.602305863</v>
      </c>
      <c r="H927">
        <v>12237689.909258299</v>
      </c>
      <c r="I927">
        <v>0</v>
      </c>
      <c r="J927">
        <v>0</v>
      </c>
      <c r="K927">
        <v>75614.059561949907</v>
      </c>
      <c r="L927">
        <v>0</v>
      </c>
      <c r="M927">
        <v>0</v>
      </c>
      <c r="N927">
        <v>0</v>
      </c>
      <c r="O927">
        <v>4150059.6334856153</v>
      </c>
      <c r="P927">
        <v>4150059.6334856153</v>
      </c>
      <c r="Q927">
        <v>75614.059561949907</v>
      </c>
      <c r="R927">
        <v>7.635590968159347</v>
      </c>
      <c r="S927">
        <v>7.7747113859958894</v>
      </c>
      <c r="T927">
        <v>0.13912041783654258</v>
      </c>
      <c r="U927">
        <v>7.635590968159347</v>
      </c>
      <c r="V927">
        <v>1162016.6973759723</v>
      </c>
      <c r="W927">
        <v>1183188.6340533185</v>
      </c>
      <c r="X927">
        <v>21171.936677345977</v>
      </c>
      <c r="Y927">
        <v>1162016.6973759725</v>
      </c>
      <c r="Z927">
        <v>0</v>
      </c>
    </row>
    <row r="928" spans="1:26" x14ac:dyDescent="0.25">
      <c r="A928" t="s">
        <v>143</v>
      </c>
      <c r="B928" t="s">
        <v>61</v>
      </c>
      <c r="C928" t="s">
        <v>86</v>
      </c>
      <c r="D928">
        <v>0</v>
      </c>
      <c r="E928">
        <v>2030</v>
      </c>
      <c r="F928" t="s">
        <v>28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</row>
    <row r="929" spans="1:26" x14ac:dyDescent="0.25">
      <c r="A929" t="s">
        <v>143</v>
      </c>
      <c r="B929" t="s">
        <v>30</v>
      </c>
      <c r="C929" t="s">
        <v>86</v>
      </c>
      <c r="D929">
        <v>0</v>
      </c>
      <c r="E929">
        <v>2030</v>
      </c>
      <c r="F929" t="s">
        <v>28</v>
      </c>
      <c r="G929">
        <v>192243.07548074043</v>
      </c>
      <c r="H929">
        <v>0</v>
      </c>
      <c r="I929">
        <v>0</v>
      </c>
      <c r="J929">
        <v>270140.71358529059</v>
      </c>
      <c r="K929">
        <v>0</v>
      </c>
      <c r="L929">
        <v>0</v>
      </c>
      <c r="M929">
        <v>0</v>
      </c>
      <c r="N929">
        <v>0</v>
      </c>
      <c r="O929">
        <v>-77897.638104550162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1</v>
      </c>
    </row>
    <row r="930" spans="1:26" x14ac:dyDescent="0.25">
      <c r="A930" t="s">
        <v>143</v>
      </c>
      <c r="B930" t="s">
        <v>52</v>
      </c>
      <c r="C930" t="s">
        <v>77</v>
      </c>
      <c r="D930">
        <v>1</v>
      </c>
      <c r="E930">
        <v>2030</v>
      </c>
      <c r="F930" t="s">
        <v>28</v>
      </c>
      <c r="G930">
        <v>2639184.2877324577</v>
      </c>
      <c r="H930">
        <v>773085.89354292606</v>
      </c>
      <c r="I930">
        <v>726974.95402379602</v>
      </c>
      <c r="J930">
        <v>0</v>
      </c>
      <c r="K930">
        <v>52868.994212030084</v>
      </c>
      <c r="L930">
        <v>0</v>
      </c>
      <c r="M930">
        <v>1086254.4459537058</v>
      </c>
      <c r="N930">
        <v>0</v>
      </c>
      <c r="O930">
        <v>0</v>
      </c>
      <c r="P930">
        <v>0</v>
      </c>
      <c r="Q930">
        <v>1139123.4401657358</v>
      </c>
      <c r="R930">
        <v>0</v>
      </c>
      <c r="S930">
        <v>11.532133889290428</v>
      </c>
      <c r="T930">
        <v>0.30481830088922796</v>
      </c>
      <c r="U930">
        <v>11.227315588401201</v>
      </c>
      <c r="V930">
        <v>0</v>
      </c>
      <c r="W930">
        <v>968254.92414087534</v>
      </c>
      <c r="X930">
        <v>44938.645080225571</v>
      </c>
      <c r="Y930">
        <v>923316.2790606498</v>
      </c>
      <c r="Z930">
        <v>0</v>
      </c>
    </row>
    <row r="931" spans="1:26" x14ac:dyDescent="0.25">
      <c r="A931" t="s">
        <v>143</v>
      </c>
      <c r="B931" t="s">
        <v>56</v>
      </c>
      <c r="C931" t="s">
        <v>73</v>
      </c>
      <c r="D931">
        <v>1</v>
      </c>
      <c r="E931">
        <v>2030</v>
      </c>
      <c r="F931" t="s">
        <v>28</v>
      </c>
      <c r="G931">
        <v>526734.10986839118</v>
      </c>
      <c r="H931">
        <v>0</v>
      </c>
      <c r="I931">
        <v>0</v>
      </c>
      <c r="J931">
        <v>0</v>
      </c>
      <c r="K931">
        <v>41.80391161429587</v>
      </c>
      <c r="L931">
        <v>0</v>
      </c>
      <c r="M931">
        <v>526692.30595677684</v>
      </c>
      <c r="N931">
        <v>0</v>
      </c>
      <c r="O931">
        <v>0</v>
      </c>
      <c r="P931">
        <v>0</v>
      </c>
      <c r="Q931">
        <v>526734.10986839118</v>
      </c>
      <c r="R931">
        <v>0</v>
      </c>
      <c r="S931">
        <v>9.4026981784507786</v>
      </c>
      <c r="T931">
        <v>7.0985968194887394E-5</v>
      </c>
      <c r="U931">
        <v>9.4026271924825835</v>
      </c>
      <c r="V931">
        <v>0</v>
      </c>
      <c r="W931">
        <v>158020.23296051734</v>
      </c>
      <c r="X931">
        <v>12.541173484288761</v>
      </c>
      <c r="Y931">
        <v>158007.69178703305</v>
      </c>
      <c r="Z931">
        <v>0</v>
      </c>
    </row>
    <row r="932" spans="1:26" x14ac:dyDescent="0.25">
      <c r="A932" t="s">
        <v>143</v>
      </c>
      <c r="B932" t="s">
        <v>63</v>
      </c>
      <c r="C932" t="s">
        <v>86</v>
      </c>
      <c r="D932">
        <v>0</v>
      </c>
      <c r="E932">
        <v>2030</v>
      </c>
      <c r="F932" t="s">
        <v>28</v>
      </c>
      <c r="G932">
        <v>0</v>
      </c>
      <c r="H932">
        <v>4828427.5390456226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-4828427.5390456226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1</v>
      </c>
    </row>
    <row r="933" spans="1:26" x14ac:dyDescent="0.25">
      <c r="A933" t="s">
        <v>143</v>
      </c>
      <c r="B933" t="s">
        <v>49</v>
      </c>
      <c r="C933" t="s">
        <v>73</v>
      </c>
      <c r="D933">
        <v>1</v>
      </c>
      <c r="E933">
        <v>2030</v>
      </c>
      <c r="F933" t="s">
        <v>28</v>
      </c>
      <c r="G933">
        <v>523057.42126360437</v>
      </c>
      <c r="H933">
        <v>0</v>
      </c>
      <c r="I933">
        <v>0</v>
      </c>
      <c r="J933">
        <v>0</v>
      </c>
      <c r="K933">
        <v>523057.13098607323</v>
      </c>
      <c r="L933">
        <v>0</v>
      </c>
      <c r="M933">
        <v>0</v>
      </c>
      <c r="N933">
        <v>0</v>
      </c>
      <c r="O933">
        <v>0.29027753113768995</v>
      </c>
      <c r="P933">
        <v>0.29027753113768995</v>
      </c>
      <c r="Q933">
        <v>523057.13098607323</v>
      </c>
      <c r="R933">
        <v>1.2578102784986585E-6</v>
      </c>
      <c r="S933">
        <v>1.9265046219015098</v>
      </c>
      <c r="T933">
        <v>1.9265033640912312</v>
      </c>
      <c r="U933">
        <v>1.2578102785987255E-6</v>
      </c>
      <c r="V933">
        <v>0.12191656307782978</v>
      </c>
      <c r="W933">
        <v>219684.11693071382</v>
      </c>
      <c r="X933">
        <v>219683.99501415074</v>
      </c>
      <c r="Y933">
        <v>0.12191656307550147</v>
      </c>
      <c r="Z933">
        <v>0</v>
      </c>
    </row>
    <row r="934" spans="1:26" x14ac:dyDescent="0.25">
      <c r="A934" t="s">
        <v>143</v>
      </c>
      <c r="B934" t="s">
        <v>78</v>
      </c>
      <c r="C934" t="s">
        <v>86</v>
      </c>
      <c r="D934">
        <v>0</v>
      </c>
      <c r="E934">
        <v>2030</v>
      </c>
      <c r="F934" t="s">
        <v>28</v>
      </c>
      <c r="G934">
        <v>800990.58717012103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800990.58717012103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</row>
    <row r="935" spans="1:26" x14ac:dyDescent="0.25">
      <c r="A935" t="s">
        <v>143</v>
      </c>
      <c r="B935" t="s">
        <v>31</v>
      </c>
      <c r="C935" t="s">
        <v>86</v>
      </c>
      <c r="D935">
        <v>0</v>
      </c>
      <c r="E935">
        <v>2030</v>
      </c>
      <c r="F935" t="s">
        <v>28</v>
      </c>
      <c r="G935">
        <v>2241845.3275075206</v>
      </c>
      <c r="H935">
        <v>0</v>
      </c>
      <c r="I935">
        <v>0</v>
      </c>
      <c r="J935">
        <v>123531.68309679118</v>
      </c>
      <c r="K935">
        <v>0</v>
      </c>
      <c r="L935">
        <v>0</v>
      </c>
      <c r="M935">
        <v>0</v>
      </c>
      <c r="N935">
        <v>0</v>
      </c>
      <c r="O935">
        <v>2118313.6444107294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</row>
    <row r="936" spans="1:26" x14ac:dyDescent="0.25">
      <c r="A936" t="s">
        <v>143</v>
      </c>
      <c r="B936" t="s">
        <v>29</v>
      </c>
      <c r="C936" t="s">
        <v>77</v>
      </c>
      <c r="D936">
        <v>1</v>
      </c>
      <c r="E936">
        <v>2030</v>
      </c>
      <c r="F936" t="s">
        <v>28</v>
      </c>
      <c r="G936">
        <v>7171156.7599390233</v>
      </c>
      <c r="H936">
        <v>5879215.2019956233</v>
      </c>
      <c r="I936">
        <v>0</v>
      </c>
      <c r="J936">
        <v>295933.04302308214</v>
      </c>
      <c r="K936">
        <v>2833.9333697705197</v>
      </c>
      <c r="L936">
        <v>0</v>
      </c>
      <c r="M936">
        <v>0</v>
      </c>
      <c r="N936">
        <v>0</v>
      </c>
      <c r="O936">
        <v>993174.58155054692</v>
      </c>
      <c r="P936">
        <v>993174.58155054692</v>
      </c>
      <c r="Q936">
        <v>2833.9333697705197</v>
      </c>
      <c r="R936">
        <v>3.4014838973692068</v>
      </c>
      <c r="S936">
        <v>3.4111897224099992</v>
      </c>
      <c r="T936">
        <v>9.7058250407922632E-3</v>
      </c>
      <c r="U936">
        <v>3.4014838973692068</v>
      </c>
      <c r="V936">
        <v>307884.12028066954</v>
      </c>
      <c r="W936">
        <v>308762.63962529838</v>
      </c>
      <c r="X936">
        <v>878.51934462886106</v>
      </c>
      <c r="Y936">
        <v>307884.12028066954</v>
      </c>
      <c r="Z936">
        <v>0</v>
      </c>
    </row>
    <row r="937" spans="1:26" x14ac:dyDescent="0.25">
      <c r="A937" t="s">
        <v>143</v>
      </c>
      <c r="B937" t="s">
        <v>69</v>
      </c>
      <c r="C937" t="s">
        <v>86</v>
      </c>
      <c r="D937">
        <v>0</v>
      </c>
      <c r="E937">
        <v>2030</v>
      </c>
      <c r="F937" t="s">
        <v>28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620537.39357630478</v>
      </c>
      <c r="M937">
        <v>0</v>
      </c>
      <c r="N937">
        <v>0</v>
      </c>
      <c r="O937">
        <v>-620537.39357630478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1</v>
      </c>
    </row>
    <row r="938" spans="1:26" x14ac:dyDescent="0.25">
      <c r="A938" t="s">
        <v>143</v>
      </c>
      <c r="B938" t="s">
        <v>45</v>
      </c>
      <c r="C938" t="s">
        <v>74</v>
      </c>
      <c r="D938">
        <v>1</v>
      </c>
      <c r="E938">
        <v>2030</v>
      </c>
      <c r="F938" t="s">
        <v>28</v>
      </c>
      <c r="G938">
        <v>12983496.711335782</v>
      </c>
      <c r="H938">
        <v>0</v>
      </c>
      <c r="I938">
        <v>0</v>
      </c>
      <c r="J938">
        <v>0</v>
      </c>
      <c r="K938">
        <v>9867457.5006151944</v>
      </c>
      <c r="L938">
        <v>2064375.9771023891</v>
      </c>
      <c r="M938">
        <v>0</v>
      </c>
      <c r="N938">
        <v>0</v>
      </c>
      <c r="O938">
        <v>1051663.233618198</v>
      </c>
      <c r="P938">
        <v>1051663.233618198</v>
      </c>
      <c r="Q938">
        <v>9867457.5006151944</v>
      </c>
      <c r="R938">
        <v>0.53234141222519571</v>
      </c>
      <c r="S938">
        <v>5.5271497244616015</v>
      </c>
      <c r="T938">
        <v>4.9948083122364055</v>
      </c>
      <c r="U938">
        <v>0.53234141222519593</v>
      </c>
      <c r="V938">
        <v>79926.405754983047</v>
      </c>
      <c r="W938">
        <v>829853.17580173782</v>
      </c>
      <c r="X938">
        <v>749926.77004675474</v>
      </c>
      <c r="Y938">
        <v>79926.405754983076</v>
      </c>
      <c r="Z938">
        <v>0</v>
      </c>
    </row>
    <row r="939" spans="1:26" x14ac:dyDescent="0.25">
      <c r="A939" t="s">
        <v>143</v>
      </c>
      <c r="B939" t="s">
        <v>59</v>
      </c>
      <c r="C939" t="s">
        <v>86</v>
      </c>
      <c r="D939">
        <v>0</v>
      </c>
      <c r="E939">
        <v>2030</v>
      </c>
      <c r="F939" t="s">
        <v>28</v>
      </c>
      <c r="G939">
        <v>1620993.8653666629</v>
      </c>
      <c r="H939">
        <v>1515714.1736670113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105279.69169965154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</row>
    <row r="940" spans="1:26" x14ac:dyDescent="0.25">
      <c r="A940" t="s">
        <v>143</v>
      </c>
      <c r="B940" t="s">
        <v>54</v>
      </c>
      <c r="C940" t="s">
        <v>76</v>
      </c>
      <c r="D940">
        <v>1</v>
      </c>
      <c r="E940">
        <v>2030</v>
      </c>
      <c r="F940" t="s">
        <v>28</v>
      </c>
      <c r="G940">
        <v>7983307.7524896674</v>
      </c>
      <c r="H940">
        <v>5657053.7864699624</v>
      </c>
      <c r="I940">
        <v>0</v>
      </c>
      <c r="J940">
        <v>0</v>
      </c>
      <c r="K940">
        <v>314692.31350359169</v>
      </c>
      <c r="L940">
        <v>0</v>
      </c>
      <c r="M940">
        <v>0</v>
      </c>
      <c r="N940">
        <v>0</v>
      </c>
      <c r="O940">
        <v>2011561.6525161136</v>
      </c>
      <c r="P940">
        <v>1690869.0750561175</v>
      </c>
      <c r="Q940">
        <v>314692.31350359169</v>
      </c>
      <c r="R940">
        <v>6.070219979451462</v>
      </c>
      <c r="S940">
        <v>7.1999653849293566</v>
      </c>
      <c r="T940">
        <v>1.1297454054778944</v>
      </c>
      <c r="U940">
        <v>6.070219979451462</v>
      </c>
      <c r="V940">
        <v>507260.7225168352</v>
      </c>
      <c r="W940">
        <v>601668.41656791279</v>
      </c>
      <c r="X940">
        <v>94407.694051077502</v>
      </c>
      <c r="Y940">
        <v>507260.72251683532</v>
      </c>
      <c r="Z940">
        <v>0</v>
      </c>
    </row>
    <row r="941" spans="1:26" x14ac:dyDescent="0.25">
      <c r="A941" t="s">
        <v>143</v>
      </c>
      <c r="B941" t="s">
        <v>38</v>
      </c>
      <c r="C941" t="s">
        <v>86</v>
      </c>
      <c r="D941">
        <v>0</v>
      </c>
      <c r="E941">
        <v>2030</v>
      </c>
      <c r="F941" t="s">
        <v>28</v>
      </c>
      <c r="G941">
        <v>3127676.8816170068</v>
      </c>
      <c r="H941">
        <v>0</v>
      </c>
      <c r="I941">
        <v>0</v>
      </c>
      <c r="J941">
        <v>472406.87601849809</v>
      </c>
      <c r="K941">
        <v>0</v>
      </c>
      <c r="L941">
        <v>0</v>
      </c>
      <c r="M941">
        <v>0</v>
      </c>
      <c r="N941">
        <v>0</v>
      </c>
      <c r="O941">
        <v>2655270.0055985088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</row>
    <row r="942" spans="1:26" x14ac:dyDescent="0.25">
      <c r="A942" t="s">
        <v>143</v>
      </c>
      <c r="B942" t="s">
        <v>35</v>
      </c>
      <c r="C942" t="s">
        <v>79</v>
      </c>
      <c r="D942">
        <v>1</v>
      </c>
      <c r="E942">
        <v>2030</v>
      </c>
      <c r="F942" t="s">
        <v>28</v>
      </c>
      <c r="G942">
        <v>144989.33878430488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144989.33878430488</v>
      </c>
      <c r="P942">
        <v>144989.33878430488</v>
      </c>
      <c r="Q942">
        <v>0</v>
      </c>
      <c r="R942">
        <v>0.13012793155891364</v>
      </c>
      <c r="S942">
        <v>0.13012793155891364</v>
      </c>
      <c r="T942">
        <v>0</v>
      </c>
      <c r="U942">
        <v>0.13012793155891364</v>
      </c>
      <c r="V942">
        <v>21748.400817645732</v>
      </c>
      <c r="W942">
        <v>21748.400817645732</v>
      </c>
      <c r="X942">
        <v>0</v>
      </c>
      <c r="Y942">
        <v>21748.400817645732</v>
      </c>
      <c r="Z942">
        <v>0</v>
      </c>
    </row>
    <row r="943" spans="1:26" x14ac:dyDescent="0.25">
      <c r="A943" t="s">
        <v>143</v>
      </c>
      <c r="B943" t="s">
        <v>33</v>
      </c>
      <c r="C943" t="s">
        <v>86</v>
      </c>
      <c r="D943">
        <v>0</v>
      </c>
      <c r="E943">
        <v>2030</v>
      </c>
      <c r="F943" t="s">
        <v>28</v>
      </c>
      <c r="G943">
        <v>106168.13854148486</v>
      </c>
      <c r="H943">
        <v>0</v>
      </c>
      <c r="I943">
        <v>0</v>
      </c>
      <c r="J943">
        <v>60028.253038902265</v>
      </c>
      <c r="K943">
        <v>0</v>
      </c>
      <c r="L943">
        <v>0</v>
      </c>
      <c r="M943">
        <v>0</v>
      </c>
      <c r="N943">
        <v>0</v>
      </c>
      <c r="O943">
        <v>46139.885502582598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</row>
    <row r="944" spans="1:26" x14ac:dyDescent="0.25">
      <c r="A944" t="s">
        <v>143</v>
      </c>
      <c r="B944" t="s">
        <v>80</v>
      </c>
      <c r="C944" t="s">
        <v>86</v>
      </c>
      <c r="D944">
        <v>0</v>
      </c>
      <c r="E944">
        <v>2030</v>
      </c>
      <c r="F944" t="s">
        <v>28</v>
      </c>
      <c r="G944">
        <v>1683153.4103621913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1683153.4103621913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</row>
    <row r="945" spans="1:26" x14ac:dyDescent="0.25">
      <c r="A945" t="s">
        <v>143</v>
      </c>
      <c r="B945" t="s">
        <v>65</v>
      </c>
      <c r="C945" t="s">
        <v>81</v>
      </c>
      <c r="D945">
        <v>1</v>
      </c>
      <c r="E945">
        <v>2030</v>
      </c>
      <c r="F945" t="s">
        <v>28</v>
      </c>
      <c r="G945">
        <v>177516.46640303911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177516.46640303911</v>
      </c>
      <c r="N945">
        <v>0</v>
      </c>
      <c r="O945">
        <v>0</v>
      </c>
      <c r="P945">
        <v>0</v>
      </c>
      <c r="Q945">
        <v>177516.46640303911</v>
      </c>
      <c r="R945">
        <v>0</v>
      </c>
      <c r="S945">
        <v>3.2663029818159193</v>
      </c>
      <c r="T945">
        <v>0</v>
      </c>
      <c r="U945">
        <v>3.2663029818159193</v>
      </c>
      <c r="V945">
        <v>0</v>
      </c>
      <c r="W945">
        <v>73669.333557261241</v>
      </c>
      <c r="X945">
        <v>0</v>
      </c>
      <c r="Y945">
        <v>73669.333557261241</v>
      </c>
      <c r="Z945">
        <v>0</v>
      </c>
    </row>
    <row r="946" spans="1:26" x14ac:dyDescent="0.25">
      <c r="A946" t="s">
        <v>143</v>
      </c>
      <c r="B946" t="s">
        <v>140</v>
      </c>
      <c r="C946" t="s">
        <v>142</v>
      </c>
      <c r="D946">
        <v>1</v>
      </c>
      <c r="E946">
        <v>2030</v>
      </c>
      <c r="F946" t="s">
        <v>28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</row>
    <row r="947" spans="1:26" x14ac:dyDescent="0.25">
      <c r="A947" t="s">
        <v>143</v>
      </c>
      <c r="B947" t="s">
        <v>141</v>
      </c>
      <c r="C947" t="s">
        <v>142</v>
      </c>
      <c r="D947">
        <v>1</v>
      </c>
      <c r="E947">
        <v>2030</v>
      </c>
      <c r="F947" t="s">
        <v>28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</row>
    <row r="948" spans="1:26" x14ac:dyDescent="0.25">
      <c r="A948" t="s">
        <v>143</v>
      </c>
      <c r="B948" t="s">
        <v>82</v>
      </c>
      <c r="C948" t="s">
        <v>86</v>
      </c>
      <c r="D948">
        <v>0</v>
      </c>
      <c r="E948">
        <v>2030</v>
      </c>
      <c r="F948" t="s">
        <v>28</v>
      </c>
      <c r="G948">
        <v>4870431.535367866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4870431.535367866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</row>
    <row r="949" spans="1:26" x14ac:dyDescent="0.25">
      <c r="A949" t="s">
        <v>143</v>
      </c>
      <c r="B949" t="s">
        <v>72</v>
      </c>
      <c r="C949" t="s">
        <v>86</v>
      </c>
      <c r="D949">
        <v>0</v>
      </c>
      <c r="E949">
        <v>2030</v>
      </c>
      <c r="F949" t="s">
        <v>28</v>
      </c>
      <c r="G949">
        <v>507790.70515370794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507790.70515370794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</row>
    <row r="950" spans="1:26" x14ac:dyDescent="0.25">
      <c r="A950" t="s">
        <v>143</v>
      </c>
      <c r="B950" t="s">
        <v>58</v>
      </c>
      <c r="C950" t="s">
        <v>86</v>
      </c>
      <c r="D950">
        <v>0</v>
      </c>
      <c r="E950">
        <v>2030</v>
      </c>
      <c r="F950" t="s">
        <v>28</v>
      </c>
      <c r="G950">
        <v>253895.35257685397</v>
      </c>
      <c r="H950">
        <v>214099.10609126225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39796.246485591721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</row>
    <row r="951" spans="1:26" x14ac:dyDescent="0.25">
      <c r="A951" t="s">
        <v>143</v>
      </c>
      <c r="B951" t="s">
        <v>64</v>
      </c>
      <c r="C951" t="s">
        <v>64</v>
      </c>
      <c r="D951">
        <v>1</v>
      </c>
      <c r="E951">
        <v>2030</v>
      </c>
      <c r="F951" t="s">
        <v>28</v>
      </c>
      <c r="G951">
        <v>162493.02564918654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162493.02564918654</v>
      </c>
      <c r="N951">
        <v>0</v>
      </c>
      <c r="O951">
        <v>0</v>
      </c>
      <c r="P951">
        <v>0</v>
      </c>
      <c r="Q951">
        <v>162493.02564918654</v>
      </c>
      <c r="R951">
        <v>0</v>
      </c>
      <c r="S951">
        <v>5.6872558977215286</v>
      </c>
      <c r="T951">
        <v>0</v>
      </c>
      <c r="U951">
        <v>5.6872558977215286</v>
      </c>
      <c r="V951">
        <v>0</v>
      </c>
      <c r="W951">
        <v>147868.65334075977</v>
      </c>
      <c r="X951">
        <v>0</v>
      </c>
      <c r="Y951">
        <v>147868.65334075977</v>
      </c>
      <c r="Z951">
        <v>0</v>
      </c>
    </row>
    <row r="952" spans="1:26" x14ac:dyDescent="0.25">
      <c r="A952" t="s">
        <v>143</v>
      </c>
      <c r="B952" t="s">
        <v>55</v>
      </c>
      <c r="C952" t="s">
        <v>76</v>
      </c>
      <c r="D952">
        <v>1</v>
      </c>
      <c r="E952">
        <v>2030</v>
      </c>
      <c r="F952" t="s">
        <v>28</v>
      </c>
      <c r="G952">
        <v>395099.15710561507</v>
      </c>
      <c r="H952">
        <v>841167.61765562883</v>
      </c>
      <c r="I952">
        <v>0</v>
      </c>
      <c r="J952">
        <v>0</v>
      </c>
      <c r="K952">
        <v>4075.7207832735812</v>
      </c>
      <c r="L952">
        <v>0</v>
      </c>
      <c r="M952">
        <v>0</v>
      </c>
      <c r="N952">
        <v>0</v>
      </c>
      <c r="O952">
        <v>-450144.18133328733</v>
      </c>
      <c r="P952">
        <v>0</v>
      </c>
      <c r="Q952">
        <v>4075.7207832735812</v>
      </c>
      <c r="R952">
        <v>0</v>
      </c>
      <c r="S952">
        <v>1.1061669234635831E-2</v>
      </c>
      <c r="T952">
        <v>1.1061669234635831E-2</v>
      </c>
      <c r="U952">
        <v>0</v>
      </c>
      <c r="V952">
        <v>0</v>
      </c>
      <c r="W952">
        <v>815.14415665471631</v>
      </c>
      <c r="X952">
        <v>815.14415665471631</v>
      </c>
      <c r="Y952">
        <v>0</v>
      </c>
      <c r="Z952">
        <v>0</v>
      </c>
    </row>
    <row r="953" spans="1:26" x14ac:dyDescent="0.25">
      <c r="A953" t="s">
        <v>143</v>
      </c>
      <c r="B953" t="s">
        <v>83</v>
      </c>
      <c r="C953" t="s">
        <v>86</v>
      </c>
      <c r="D953">
        <v>0</v>
      </c>
      <c r="E953">
        <v>2030</v>
      </c>
      <c r="F953" t="s">
        <v>28</v>
      </c>
      <c r="G953">
        <v>191123.07715634341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191123.07715634341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</row>
    <row r="954" spans="1:26" x14ac:dyDescent="0.25">
      <c r="A954" t="s">
        <v>143</v>
      </c>
      <c r="B954" t="s">
        <v>62</v>
      </c>
      <c r="C954" t="s">
        <v>86</v>
      </c>
      <c r="D954">
        <v>0</v>
      </c>
      <c r="E954">
        <v>2030</v>
      </c>
      <c r="F954" t="s">
        <v>28</v>
      </c>
      <c r="G954">
        <v>129693.32771377628</v>
      </c>
      <c r="H954">
        <v>39415.735012617326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90277.592701158952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</row>
    <row r="955" spans="1:26" x14ac:dyDescent="0.25">
      <c r="A955" t="s">
        <v>143</v>
      </c>
      <c r="B955" t="s">
        <v>47</v>
      </c>
      <c r="C955" t="s">
        <v>73</v>
      </c>
      <c r="D955">
        <v>1</v>
      </c>
      <c r="E955">
        <v>2030</v>
      </c>
      <c r="F955" t="s">
        <v>28</v>
      </c>
      <c r="G955">
        <v>3973910.9975047</v>
      </c>
      <c r="H955">
        <v>0</v>
      </c>
      <c r="I955">
        <v>0</v>
      </c>
      <c r="J955">
        <v>0</v>
      </c>
      <c r="K955">
        <v>1507101.1523820646</v>
      </c>
      <c r="L955">
        <v>0</v>
      </c>
      <c r="M955">
        <v>0</v>
      </c>
      <c r="N955">
        <v>0</v>
      </c>
      <c r="O955">
        <v>2466809.8451226354</v>
      </c>
      <c r="P955">
        <v>2466809.8451226354</v>
      </c>
      <c r="Q955">
        <v>1507101.1523820646</v>
      </c>
      <c r="R955">
        <v>1.2309627808146464</v>
      </c>
      <c r="S955">
        <v>1.9830213268648205</v>
      </c>
      <c r="T955">
        <v>0.75205854605017419</v>
      </c>
      <c r="U955">
        <v>1.2309627808146462</v>
      </c>
      <c r="V955">
        <v>148008.59070735812</v>
      </c>
      <c r="W955">
        <v>238434.65985028198</v>
      </c>
      <c r="X955">
        <v>90426.06914292388</v>
      </c>
      <c r="Y955">
        <v>148008.59070735809</v>
      </c>
      <c r="Z955">
        <v>0</v>
      </c>
    </row>
    <row r="956" spans="1:26" x14ac:dyDescent="0.25">
      <c r="A956" t="s">
        <v>143</v>
      </c>
      <c r="B956" t="s">
        <v>44</v>
      </c>
      <c r="C956" t="s">
        <v>74</v>
      </c>
      <c r="D956">
        <v>1</v>
      </c>
      <c r="E956">
        <v>2030</v>
      </c>
      <c r="F956" t="s">
        <v>28</v>
      </c>
      <c r="G956">
        <v>15074833.175881069</v>
      </c>
      <c r="H956">
        <v>0</v>
      </c>
      <c r="I956">
        <v>0</v>
      </c>
      <c r="J956">
        <v>0</v>
      </c>
      <c r="K956">
        <v>7989661.5832169671</v>
      </c>
      <c r="L956">
        <v>7085171.5926641021</v>
      </c>
      <c r="M956">
        <v>0</v>
      </c>
      <c r="N956">
        <v>0</v>
      </c>
      <c r="O956">
        <v>0</v>
      </c>
      <c r="P956">
        <v>0</v>
      </c>
      <c r="Q956">
        <v>7989661.5832169671</v>
      </c>
      <c r="R956">
        <v>0</v>
      </c>
      <c r="S956">
        <v>3.4419462100498701</v>
      </c>
      <c r="T956">
        <v>3.4419462100498701</v>
      </c>
      <c r="U956">
        <v>0</v>
      </c>
      <c r="V956">
        <v>0</v>
      </c>
      <c r="W956">
        <v>399483.0791608484</v>
      </c>
      <c r="X956">
        <v>399483.0791608484</v>
      </c>
      <c r="Y956">
        <v>0</v>
      </c>
      <c r="Z956">
        <v>0</v>
      </c>
    </row>
    <row r="957" spans="1:26" x14ac:dyDescent="0.25">
      <c r="A957" t="s">
        <v>143</v>
      </c>
      <c r="B957" t="s">
        <v>32</v>
      </c>
      <c r="C957" t="s">
        <v>86</v>
      </c>
      <c r="D957">
        <v>0</v>
      </c>
      <c r="E957">
        <v>2030</v>
      </c>
      <c r="F957" t="s">
        <v>28</v>
      </c>
      <c r="G957">
        <v>1378013.0257817972</v>
      </c>
      <c r="H957">
        <v>0</v>
      </c>
      <c r="I957">
        <v>0</v>
      </c>
      <c r="J957">
        <v>121875.54404868034</v>
      </c>
      <c r="K957">
        <v>0</v>
      </c>
      <c r="L957">
        <v>0</v>
      </c>
      <c r="M957">
        <v>0</v>
      </c>
      <c r="N957">
        <v>0</v>
      </c>
      <c r="O957">
        <v>1256137.4817331168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</row>
    <row r="958" spans="1:26" x14ac:dyDescent="0.25">
      <c r="A958" t="s">
        <v>143</v>
      </c>
      <c r="B958" t="s">
        <v>36</v>
      </c>
      <c r="C958" t="s">
        <v>79</v>
      </c>
      <c r="D958">
        <v>1</v>
      </c>
      <c r="E958">
        <v>2030</v>
      </c>
      <c r="F958" t="s">
        <v>28</v>
      </c>
      <c r="G958">
        <v>10800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10800</v>
      </c>
      <c r="P958">
        <v>10800</v>
      </c>
      <c r="Q958">
        <v>0</v>
      </c>
      <c r="R958">
        <v>9.6930000000000002E-3</v>
      </c>
      <c r="S958">
        <v>9.6930000000000002E-3</v>
      </c>
      <c r="T958">
        <v>0</v>
      </c>
      <c r="U958">
        <v>9.6930000000000002E-3</v>
      </c>
      <c r="V958">
        <v>1620</v>
      </c>
      <c r="W958">
        <v>1620</v>
      </c>
      <c r="X958">
        <v>0</v>
      </c>
      <c r="Y958">
        <v>1620</v>
      </c>
      <c r="Z958">
        <v>0</v>
      </c>
    </row>
    <row r="959" spans="1:26" x14ac:dyDescent="0.25">
      <c r="A959" t="s">
        <v>143</v>
      </c>
      <c r="B959" t="s">
        <v>84</v>
      </c>
      <c r="C959" t="s">
        <v>86</v>
      </c>
      <c r="D959">
        <v>1</v>
      </c>
      <c r="E959">
        <v>2030</v>
      </c>
      <c r="F959" t="s">
        <v>28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</row>
    <row r="960" spans="1:26" x14ac:dyDescent="0.25">
      <c r="A960" t="s">
        <v>143</v>
      </c>
      <c r="B960" t="s">
        <v>66</v>
      </c>
      <c r="C960" t="s">
        <v>81</v>
      </c>
      <c r="D960">
        <v>1</v>
      </c>
      <c r="E960">
        <v>2030</v>
      </c>
      <c r="F960" t="s">
        <v>28</v>
      </c>
      <c r="G960">
        <v>2203715.0015238998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2203715.0015238998</v>
      </c>
      <c r="N960">
        <v>0</v>
      </c>
      <c r="O960">
        <v>0</v>
      </c>
      <c r="P960">
        <v>0</v>
      </c>
      <c r="Q960">
        <v>2203715.0015238998</v>
      </c>
      <c r="R960">
        <v>0</v>
      </c>
      <c r="S960">
        <v>31.93969521225883</v>
      </c>
      <c r="T960">
        <v>0</v>
      </c>
      <c r="U960">
        <v>31.93969521225883</v>
      </c>
      <c r="V960">
        <v>0</v>
      </c>
      <c r="W960">
        <v>1089920.7111703621</v>
      </c>
      <c r="X960">
        <v>0</v>
      </c>
      <c r="Y960">
        <v>1089920.7111703621</v>
      </c>
      <c r="Z960">
        <v>0</v>
      </c>
    </row>
    <row r="961" spans="1:26" x14ac:dyDescent="0.25">
      <c r="A961" t="s">
        <v>143</v>
      </c>
      <c r="B961" t="s">
        <v>85</v>
      </c>
      <c r="C961" t="s">
        <v>86</v>
      </c>
      <c r="D961">
        <v>0</v>
      </c>
      <c r="E961">
        <v>2030</v>
      </c>
      <c r="F961" t="s">
        <v>28</v>
      </c>
      <c r="G961">
        <v>605932.0339558397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605932.0339558397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</row>
    <row r="962" spans="1:26" x14ac:dyDescent="0.25">
      <c r="A962" t="s">
        <v>143</v>
      </c>
      <c r="B962" t="s">
        <v>40</v>
      </c>
      <c r="C962" t="s">
        <v>86</v>
      </c>
      <c r="D962">
        <v>0</v>
      </c>
      <c r="E962">
        <v>2050</v>
      </c>
      <c r="F962" t="s">
        <v>28</v>
      </c>
      <c r="G962">
        <v>208223.23899291924</v>
      </c>
      <c r="H962">
        <v>0</v>
      </c>
      <c r="I962">
        <v>0</v>
      </c>
      <c r="J962">
        <v>33849.968886444818</v>
      </c>
      <c r="K962">
        <v>0</v>
      </c>
      <c r="L962">
        <v>0</v>
      </c>
      <c r="M962">
        <v>0</v>
      </c>
      <c r="N962">
        <v>0</v>
      </c>
      <c r="O962">
        <v>174373.27010647443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</row>
    <row r="963" spans="1:26" x14ac:dyDescent="0.25">
      <c r="A963" t="s">
        <v>143</v>
      </c>
      <c r="B963" t="s">
        <v>34</v>
      </c>
      <c r="C963" t="s">
        <v>86</v>
      </c>
      <c r="D963">
        <v>0</v>
      </c>
      <c r="E963">
        <v>2050</v>
      </c>
      <c r="F963" t="s">
        <v>28</v>
      </c>
      <c r="G963">
        <v>260463.0327135307</v>
      </c>
      <c r="H963">
        <v>64498.475475191975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195964.55723833872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</row>
    <row r="964" spans="1:26" x14ac:dyDescent="0.25">
      <c r="A964" t="s">
        <v>143</v>
      </c>
      <c r="B964" t="s">
        <v>48</v>
      </c>
      <c r="C964" t="s">
        <v>73</v>
      </c>
      <c r="D964">
        <v>1</v>
      </c>
      <c r="E964">
        <v>2050</v>
      </c>
      <c r="F964" t="s">
        <v>28</v>
      </c>
      <c r="G964">
        <v>197484.13479984918</v>
      </c>
      <c r="H964">
        <v>0</v>
      </c>
      <c r="I964">
        <v>0</v>
      </c>
      <c r="J964">
        <v>0</v>
      </c>
      <c r="K964">
        <v>197484.23354298095</v>
      </c>
      <c r="L964">
        <v>0</v>
      </c>
      <c r="M964">
        <v>0</v>
      </c>
      <c r="N964">
        <v>0</v>
      </c>
      <c r="O964">
        <v>-9.8743131762603298E-2</v>
      </c>
      <c r="P964">
        <v>0</v>
      </c>
      <c r="Q964">
        <v>197484.23354298095</v>
      </c>
      <c r="R964">
        <v>0</v>
      </c>
      <c r="S964">
        <v>0.67281101009991739</v>
      </c>
      <c r="T964">
        <v>0.67281101009991739</v>
      </c>
      <c r="U964">
        <v>0</v>
      </c>
      <c r="V964">
        <v>0</v>
      </c>
      <c r="W964">
        <v>55295.585392034671</v>
      </c>
      <c r="X964">
        <v>55295.585392034671</v>
      </c>
      <c r="Y964">
        <v>0</v>
      </c>
      <c r="Z964">
        <v>1</v>
      </c>
    </row>
    <row r="965" spans="1:26" x14ac:dyDescent="0.25">
      <c r="A965" t="s">
        <v>143</v>
      </c>
      <c r="B965" t="s">
        <v>11</v>
      </c>
      <c r="C965" t="s">
        <v>86</v>
      </c>
      <c r="D965">
        <v>1</v>
      </c>
      <c r="E965">
        <v>2050</v>
      </c>
      <c r="F965" t="s">
        <v>28</v>
      </c>
      <c r="G965">
        <v>498129173.15808135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498129173.15808135</v>
      </c>
      <c r="N965">
        <v>0</v>
      </c>
      <c r="O965">
        <v>0</v>
      </c>
      <c r="P965">
        <v>0</v>
      </c>
      <c r="Q965">
        <v>498129173.15808135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</row>
    <row r="966" spans="1:26" x14ac:dyDescent="0.25">
      <c r="A966" t="s">
        <v>143</v>
      </c>
      <c r="B966" t="s">
        <v>68</v>
      </c>
      <c r="C966" t="s">
        <v>86</v>
      </c>
      <c r="D966">
        <v>0</v>
      </c>
      <c r="E966">
        <v>2050</v>
      </c>
      <c r="F966" t="s">
        <v>28</v>
      </c>
      <c r="G966">
        <v>19825065.796666823</v>
      </c>
      <c r="H966">
        <v>0</v>
      </c>
      <c r="I966">
        <v>0</v>
      </c>
      <c r="J966">
        <v>0</v>
      </c>
      <c r="K966">
        <v>0</v>
      </c>
      <c r="L966">
        <v>17222483.674164686</v>
      </c>
      <c r="M966">
        <v>0</v>
      </c>
      <c r="N966">
        <v>0</v>
      </c>
      <c r="O966">
        <v>2602582.122502137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</row>
    <row r="967" spans="1:26" x14ac:dyDescent="0.25">
      <c r="A967" t="s">
        <v>143</v>
      </c>
      <c r="B967" t="s">
        <v>51</v>
      </c>
      <c r="C967" t="s">
        <v>73</v>
      </c>
      <c r="D967">
        <v>1</v>
      </c>
      <c r="E967">
        <v>2050</v>
      </c>
      <c r="F967" t="s">
        <v>28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</row>
    <row r="968" spans="1:26" x14ac:dyDescent="0.25">
      <c r="A968" t="s">
        <v>143</v>
      </c>
      <c r="B968" t="s">
        <v>50</v>
      </c>
      <c r="C968" t="s">
        <v>74</v>
      </c>
      <c r="D968">
        <v>1</v>
      </c>
      <c r="E968">
        <v>2050</v>
      </c>
      <c r="F968" t="s">
        <v>28</v>
      </c>
      <c r="G968">
        <v>2777977.7276885756</v>
      </c>
      <c r="H968">
        <v>0</v>
      </c>
      <c r="I968">
        <v>0</v>
      </c>
      <c r="J968">
        <v>0</v>
      </c>
      <c r="K968">
        <v>1388988.8638442878</v>
      </c>
      <c r="L968">
        <v>525831.49845533748</v>
      </c>
      <c r="M968">
        <v>0</v>
      </c>
      <c r="N968">
        <v>0</v>
      </c>
      <c r="O968">
        <v>863157.36538895033</v>
      </c>
      <c r="P968">
        <v>863157.36538895033</v>
      </c>
      <c r="Q968">
        <v>1388988.8638442878</v>
      </c>
      <c r="R968">
        <v>1.859240965047799</v>
      </c>
      <c r="S968">
        <v>4.8511229777683953</v>
      </c>
      <c r="T968">
        <v>2.9918820127205961</v>
      </c>
      <c r="U968">
        <v>1.8592409650477992</v>
      </c>
      <c r="V968">
        <v>258947.20961668508</v>
      </c>
      <c r="W968">
        <v>675643.8687699713</v>
      </c>
      <c r="X968">
        <v>416696.65915328631</v>
      </c>
      <c r="Y968">
        <v>258947.209616685</v>
      </c>
      <c r="Z968">
        <v>0</v>
      </c>
    </row>
    <row r="969" spans="1:26" x14ac:dyDescent="0.25">
      <c r="A969" t="s">
        <v>143</v>
      </c>
      <c r="B969" t="s">
        <v>60</v>
      </c>
      <c r="C969" t="s">
        <v>86</v>
      </c>
      <c r="D969">
        <v>0</v>
      </c>
      <c r="E969">
        <v>2050</v>
      </c>
      <c r="F969" t="s">
        <v>28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</row>
    <row r="970" spans="1:26" x14ac:dyDescent="0.25">
      <c r="A970" t="s">
        <v>143</v>
      </c>
      <c r="B970" t="s">
        <v>46</v>
      </c>
      <c r="C970" t="s">
        <v>74</v>
      </c>
      <c r="D970">
        <v>1</v>
      </c>
      <c r="E970">
        <v>2050</v>
      </c>
      <c r="F970" t="s">
        <v>28</v>
      </c>
      <c r="G970">
        <v>8615.5317224824212</v>
      </c>
      <c r="H970">
        <v>0</v>
      </c>
      <c r="I970">
        <v>0</v>
      </c>
      <c r="J970">
        <v>0</v>
      </c>
      <c r="K970">
        <v>4307.7658612412106</v>
      </c>
      <c r="L970">
        <v>3261.5941520826309</v>
      </c>
      <c r="M970">
        <v>0</v>
      </c>
      <c r="N970">
        <v>0</v>
      </c>
      <c r="O970">
        <v>1046.1717091585797</v>
      </c>
      <c r="P970">
        <v>1046.1717091585797</v>
      </c>
      <c r="Q970">
        <v>4307.7658612412106</v>
      </c>
      <c r="R970">
        <v>4.9200409310018846E-4</v>
      </c>
      <c r="S970">
        <v>2.5179032999833174E-3</v>
      </c>
      <c r="T970">
        <v>2.025899206883129E-3</v>
      </c>
      <c r="U970">
        <v>4.9200409310018846E-4</v>
      </c>
      <c r="V970">
        <v>65.908817676990523</v>
      </c>
      <c r="W970">
        <v>337.2980669351868</v>
      </c>
      <c r="X970">
        <v>271.38924925819629</v>
      </c>
      <c r="Y970">
        <v>65.908817676990509</v>
      </c>
      <c r="Z970">
        <v>0</v>
      </c>
    </row>
    <row r="971" spans="1:26" x14ac:dyDescent="0.25">
      <c r="A971" t="s">
        <v>143</v>
      </c>
      <c r="B971" t="s">
        <v>39</v>
      </c>
      <c r="C971" t="s">
        <v>86</v>
      </c>
      <c r="D971">
        <v>0</v>
      </c>
      <c r="E971">
        <v>2050</v>
      </c>
      <c r="F971" t="s">
        <v>28</v>
      </c>
      <c r="G971">
        <v>173658.75124992887</v>
      </c>
      <c r="H971">
        <v>0</v>
      </c>
      <c r="I971">
        <v>0</v>
      </c>
      <c r="J971">
        <v>36670.799626981883</v>
      </c>
      <c r="K971">
        <v>0</v>
      </c>
      <c r="L971">
        <v>0</v>
      </c>
      <c r="M971">
        <v>0</v>
      </c>
      <c r="N971">
        <v>0</v>
      </c>
      <c r="O971">
        <v>136987.951622947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</row>
    <row r="972" spans="1:26" x14ac:dyDescent="0.25">
      <c r="A972" t="s">
        <v>143</v>
      </c>
      <c r="B972" t="s">
        <v>75</v>
      </c>
      <c r="C972" t="s">
        <v>86</v>
      </c>
      <c r="D972">
        <v>0</v>
      </c>
      <c r="E972">
        <v>2050</v>
      </c>
      <c r="F972" t="s">
        <v>28</v>
      </c>
      <c r="G972">
        <v>893493.81900150096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893493.81900150096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</row>
    <row r="973" spans="1:26" x14ac:dyDescent="0.25">
      <c r="A973" t="s">
        <v>143</v>
      </c>
      <c r="B973" t="s">
        <v>41</v>
      </c>
      <c r="C973" t="s">
        <v>86</v>
      </c>
      <c r="D973">
        <v>0</v>
      </c>
      <c r="E973">
        <v>2050</v>
      </c>
      <c r="F973" t="s">
        <v>28</v>
      </c>
      <c r="G973">
        <v>26150.496751056631</v>
      </c>
      <c r="H973">
        <v>0</v>
      </c>
      <c r="I973">
        <v>0</v>
      </c>
      <c r="J973">
        <v>267978.92035102146</v>
      </c>
      <c r="K973">
        <v>0</v>
      </c>
      <c r="L973">
        <v>0</v>
      </c>
      <c r="M973">
        <v>0</v>
      </c>
      <c r="N973">
        <v>0</v>
      </c>
      <c r="O973">
        <v>-241828.42359996482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1</v>
      </c>
    </row>
    <row r="974" spans="1:26" x14ac:dyDescent="0.25">
      <c r="A974" t="s">
        <v>143</v>
      </c>
      <c r="B974" t="s">
        <v>57</v>
      </c>
      <c r="C974" t="s">
        <v>57</v>
      </c>
      <c r="D974">
        <v>1</v>
      </c>
      <c r="E974">
        <v>2050</v>
      </c>
      <c r="F974" t="s">
        <v>28</v>
      </c>
      <c r="G974">
        <v>0</v>
      </c>
      <c r="H974">
        <v>0</v>
      </c>
      <c r="I974">
        <v>0</v>
      </c>
      <c r="J974">
        <v>0</v>
      </c>
      <c r="K974">
        <v>114193.60000000001</v>
      </c>
      <c r="L974">
        <v>0</v>
      </c>
      <c r="M974">
        <v>0</v>
      </c>
      <c r="N974">
        <v>0</v>
      </c>
      <c r="O974">
        <v>-114193.60000000001</v>
      </c>
      <c r="P974">
        <v>0</v>
      </c>
      <c r="Q974">
        <v>114193.60000000001</v>
      </c>
      <c r="R974">
        <v>0</v>
      </c>
      <c r="S974">
        <v>1.7355855896064003</v>
      </c>
      <c r="T974">
        <v>1.7355855896064003</v>
      </c>
      <c r="U974">
        <v>0</v>
      </c>
      <c r="V974">
        <v>0</v>
      </c>
      <c r="W974">
        <v>102774.24</v>
      </c>
      <c r="X974">
        <v>102774.24</v>
      </c>
      <c r="Y974">
        <v>0</v>
      </c>
      <c r="Z974">
        <v>1</v>
      </c>
    </row>
    <row r="975" spans="1:26" x14ac:dyDescent="0.25">
      <c r="A975" t="s">
        <v>143</v>
      </c>
      <c r="B975" t="s">
        <v>53</v>
      </c>
      <c r="C975" t="s">
        <v>76</v>
      </c>
      <c r="D975">
        <v>1</v>
      </c>
      <c r="E975">
        <v>2050</v>
      </c>
      <c r="F975" t="s">
        <v>28</v>
      </c>
      <c r="G975">
        <v>16099999.551723864</v>
      </c>
      <c r="H975">
        <v>12237689.909258299</v>
      </c>
      <c r="I975">
        <v>0</v>
      </c>
      <c r="J975">
        <v>0</v>
      </c>
      <c r="K975">
        <v>75527.053678542041</v>
      </c>
      <c r="L975">
        <v>0</v>
      </c>
      <c r="M975">
        <v>0</v>
      </c>
      <c r="N975">
        <v>0</v>
      </c>
      <c r="O975">
        <v>3786782.588787023</v>
      </c>
      <c r="P975">
        <v>3786782.588787023</v>
      </c>
      <c r="Q975">
        <v>75527.053678542041</v>
      </c>
      <c r="R975">
        <v>6.9672066155445247</v>
      </c>
      <c r="S975">
        <v>7.1061669534313321</v>
      </c>
      <c r="T975">
        <v>0.13896033788680753</v>
      </c>
      <c r="U975">
        <v>6.9672066155445247</v>
      </c>
      <c r="V975">
        <v>1060299.1248603666</v>
      </c>
      <c r="W975">
        <v>1081446.6998903584</v>
      </c>
      <c r="X975">
        <v>21147.575029991774</v>
      </c>
      <c r="Y975">
        <v>1060299.1248603666</v>
      </c>
      <c r="Z975">
        <v>0</v>
      </c>
    </row>
    <row r="976" spans="1:26" x14ac:dyDescent="0.25">
      <c r="A976" t="s">
        <v>143</v>
      </c>
      <c r="B976" t="s">
        <v>61</v>
      </c>
      <c r="C976" t="s">
        <v>86</v>
      </c>
      <c r="D976">
        <v>0</v>
      </c>
      <c r="E976">
        <v>2050</v>
      </c>
      <c r="F976" t="s">
        <v>28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</row>
    <row r="977" spans="1:26" x14ac:dyDescent="0.25">
      <c r="A977" t="s">
        <v>143</v>
      </c>
      <c r="B977" t="s">
        <v>30</v>
      </c>
      <c r="C977" t="s">
        <v>86</v>
      </c>
      <c r="D977">
        <v>0</v>
      </c>
      <c r="E977">
        <v>2050</v>
      </c>
      <c r="F977" t="s">
        <v>28</v>
      </c>
      <c r="G977">
        <v>185255.23058853028</v>
      </c>
      <c r="H977">
        <v>0</v>
      </c>
      <c r="I977">
        <v>0</v>
      </c>
      <c r="J977">
        <v>280672.65868343826</v>
      </c>
      <c r="K977">
        <v>0</v>
      </c>
      <c r="L977">
        <v>0</v>
      </c>
      <c r="M977">
        <v>0</v>
      </c>
      <c r="N977">
        <v>0</v>
      </c>
      <c r="O977">
        <v>-95417.428094907984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1</v>
      </c>
    </row>
    <row r="978" spans="1:26" x14ac:dyDescent="0.25">
      <c r="A978" t="s">
        <v>143</v>
      </c>
      <c r="B978" t="s">
        <v>52</v>
      </c>
      <c r="C978" t="s">
        <v>77</v>
      </c>
      <c r="D978">
        <v>1</v>
      </c>
      <c r="E978">
        <v>2050</v>
      </c>
      <c r="F978" t="s">
        <v>28</v>
      </c>
      <c r="G978">
        <v>2554079.4309541653</v>
      </c>
      <c r="H978">
        <v>773085.89354292606</v>
      </c>
      <c r="I978">
        <v>724013.50560011622</v>
      </c>
      <c r="J978">
        <v>0</v>
      </c>
      <c r="K978">
        <v>52543.907435919093</v>
      </c>
      <c r="L978">
        <v>0</v>
      </c>
      <c r="M978">
        <v>1004436.1243752033</v>
      </c>
      <c r="N978">
        <v>0</v>
      </c>
      <c r="O978">
        <v>0</v>
      </c>
      <c r="P978">
        <v>0</v>
      </c>
      <c r="Q978">
        <v>1056980.0318111223</v>
      </c>
      <c r="R978">
        <v>0</v>
      </c>
      <c r="S978">
        <v>10.684601261650869</v>
      </c>
      <c r="T978">
        <v>0.30294400007808897</v>
      </c>
      <c r="U978">
        <v>10.38165726157278</v>
      </c>
      <c r="V978">
        <v>0</v>
      </c>
      <c r="W978">
        <v>898433.02703945397</v>
      </c>
      <c r="X978">
        <v>44662.321320531228</v>
      </c>
      <c r="Y978">
        <v>853770.70571892278</v>
      </c>
      <c r="Z978">
        <v>0</v>
      </c>
    </row>
    <row r="979" spans="1:26" x14ac:dyDescent="0.25">
      <c r="A979" t="s">
        <v>143</v>
      </c>
      <c r="B979" t="s">
        <v>56</v>
      </c>
      <c r="C979" t="s">
        <v>73</v>
      </c>
      <c r="D979">
        <v>1</v>
      </c>
      <c r="E979">
        <v>2050</v>
      </c>
      <c r="F979" t="s">
        <v>28</v>
      </c>
      <c r="G979">
        <v>524881.97503939818</v>
      </c>
      <c r="H979">
        <v>0</v>
      </c>
      <c r="I979">
        <v>0</v>
      </c>
      <c r="J979">
        <v>0</v>
      </c>
      <c r="K979">
        <v>41.656918132692169</v>
      </c>
      <c r="L979">
        <v>0</v>
      </c>
      <c r="M979">
        <v>524840.3181212655</v>
      </c>
      <c r="N979">
        <v>0</v>
      </c>
      <c r="O979">
        <v>0</v>
      </c>
      <c r="P979">
        <v>0</v>
      </c>
      <c r="Q979">
        <v>524881.97503939818</v>
      </c>
      <c r="R979">
        <v>0</v>
      </c>
      <c r="S979">
        <v>9.3696358336044021</v>
      </c>
      <c r="T979">
        <v>7.0736362973580603E-5</v>
      </c>
      <c r="U979">
        <v>9.3695650972414288</v>
      </c>
      <c r="V979">
        <v>0</v>
      </c>
      <c r="W979">
        <v>157464.59251181944</v>
      </c>
      <c r="X979">
        <v>12.49707543980765</v>
      </c>
      <c r="Y979">
        <v>157452.09543637963</v>
      </c>
      <c r="Z979">
        <v>0</v>
      </c>
    </row>
    <row r="980" spans="1:26" x14ac:dyDescent="0.25">
      <c r="A980" t="s">
        <v>143</v>
      </c>
      <c r="B980" t="s">
        <v>63</v>
      </c>
      <c r="C980" t="s">
        <v>86</v>
      </c>
      <c r="D980">
        <v>0</v>
      </c>
      <c r="E980">
        <v>2050</v>
      </c>
      <c r="F980" t="s">
        <v>28</v>
      </c>
      <c r="G980">
        <v>0</v>
      </c>
      <c r="H980">
        <v>4828427.5390456226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-4828427.5390456226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1</v>
      </c>
    </row>
    <row r="981" spans="1:26" x14ac:dyDescent="0.25">
      <c r="A981" t="s">
        <v>143</v>
      </c>
      <c r="B981" t="s">
        <v>49</v>
      </c>
      <c r="C981" t="s">
        <v>73</v>
      </c>
      <c r="D981">
        <v>1</v>
      </c>
      <c r="E981">
        <v>2050</v>
      </c>
      <c r="F981" t="s">
        <v>28</v>
      </c>
      <c r="G981">
        <v>519697.07047323068</v>
      </c>
      <c r="H981">
        <v>0</v>
      </c>
      <c r="I981">
        <v>0</v>
      </c>
      <c r="J981">
        <v>0</v>
      </c>
      <c r="K981">
        <v>519697.15308066551</v>
      </c>
      <c r="L981">
        <v>0</v>
      </c>
      <c r="M981">
        <v>0</v>
      </c>
      <c r="N981">
        <v>0</v>
      </c>
      <c r="O981">
        <v>-8.2607434829697013E-2</v>
      </c>
      <c r="P981">
        <v>0</v>
      </c>
      <c r="Q981">
        <v>519697.15308066551</v>
      </c>
      <c r="R981">
        <v>0</v>
      </c>
      <c r="S981">
        <v>1.9141280261891607</v>
      </c>
      <c r="T981">
        <v>1.9141280261891607</v>
      </c>
      <c r="U981">
        <v>0</v>
      </c>
      <c r="V981">
        <v>0</v>
      </c>
      <c r="W981">
        <v>218272.80429387951</v>
      </c>
      <c r="X981">
        <v>218272.80429387951</v>
      </c>
      <c r="Y981">
        <v>0</v>
      </c>
      <c r="Z981">
        <v>1</v>
      </c>
    </row>
    <row r="982" spans="1:26" x14ac:dyDescent="0.25">
      <c r="A982" t="s">
        <v>143</v>
      </c>
      <c r="B982" t="s">
        <v>78</v>
      </c>
      <c r="C982" t="s">
        <v>86</v>
      </c>
      <c r="D982">
        <v>0</v>
      </c>
      <c r="E982">
        <v>2050</v>
      </c>
      <c r="F982" t="s">
        <v>28</v>
      </c>
      <c r="G982">
        <v>772432.08575229661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772432.08575229661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</row>
    <row r="983" spans="1:26" x14ac:dyDescent="0.25">
      <c r="A983" t="s">
        <v>143</v>
      </c>
      <c r="B983" t="s">
        <v>31</v>
      </c>
      <c r="C983" t="s">
        <v>86</v>
      </c>
      <c r="D983">
        <v>0</v>
      </c>
      <c r="E983">
        <v>2050</v>
      </c>
      <c r="F983" t="s">
        <v>28</v>
      </c>
      <c r="G983">
        <v>2162497.7416876755</v>
      </c>
      <c r="H983">
        <v>0</v>
      </c>
      <c r="I983">
        <v>0</v>
      </c>
      <c r="J983">
        <v>128347.79869443661</v>
      </c>
      <c r="K983">
        <v>0</v>
      </c>
      <c r="L983">
        <v>0</v>
      </c>
      <c r="M983">
        <v>0</v>
      </c>
      <c r="N983">
        <v>0</v>
      </c>
      <c r="O983">
        <v>2034149.9429932388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</row>
    <row r="984" spans="1:26" x14ac:dyDescent="0.25">
      <c r="A984" t="s">
        <v>143</v>
      </c>
      <c r="B984" t="s">
        <v>29</v>
      </c>
      <c r="C984" t="s">
        <v>77</v>
      </c>
      <c r="D984">
        <v>1</v>
      </c>
      <c r="E984">
        <v>2050</v>
      </c>
      <c r="F984" t="s">
        <v>28</v>
      </c>
      <c r="G984">
        <v>6945589.6789912721</v>
      </c>
      <c r="H984">
        <v>5879215.2019956233</v>
      </c>
      <c r="I984">
        <v>0</v>
      </c>
      <c r="J984">
        <v>307470.55071854044</v>
      </c>
      <c r="K984">
        <v>2825.7560217041437</v>
      </c>
      <c r="L984">
        <v>0</v>
      </c>
      <c r="M984">
        <v>0</v>
      </c>
      <c r="N984">
        <v>0</v>
      </c>
      <c r="O984">
        <v>756078.17025540397</v>
      </c>
      <c r="P984">
        <v>756078.17025540397</v>
      </c>
      <c r="Q984">
        <v>2825.7560217041437</v>
      </c>
      <c r="R984">
        <v>2.5894618821809234</v>
      </c>
      <c r="S984">
        <v>2.5991397009494173</v>
      </c>
      <c r="T984">
        <v>9.6778187684936554E-3</v>
      </c>
      <c r="U984">
        <v>2.5894618821809234</v>
      </c>
      <c r="V984">
        <v>234384.23277917522</v>
      </c>
      <c r="W984">
        <v>235260.21714590353</v>
      </c>
      <c r="X984">
        <v>875.9843667282845</v>
      </c>
      <c r="Y984">
        <v>234384.23277917525</v>
      </c>
      <c r="Z984">
        <v>0</v>
      </c>
    </row>
    <row r="985" spans="1:26" x14ac:dyDescent="0.25">
      <c r="A985" t="s">
        <v>143</v>
      </c>
      <c r="B985" t="s">
        <v>69</v>
      </c>
      <c r="C985" t="s">
        <v>86</v>
      </c>
      <c r="D985">
        <v>0</v>
      </c>
      <c r="E985">
        <v>2050</v>
      </c>
      <c r="F985" t="s">
        <v>28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597110.0145929947</v>
      </c>
      <c r="M985">
        <v>0</v>
      </c>
      <c r="N985">
        <v>0</v>
      </c>
      <c r="O985">
        <v>-597110.0145929947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1</v>
      </c>
    </row>
    <row r="986" spans="1:26" x14ac:dyDescent="0.25">
      <c r="A986" t="s">
        <v>143</v>
      </c>
      <c r="B986" t="s">
        <v>45</v>
      </c>
      <c r="C986" t="s">
        <v>74</v>
      </c>
      <c r="D986">
        <v>1</v>
      </c>
      <c r="E986">
        <v>2050</v>
      </c>
      <c r="F986" t="s">
        <v>28</v>
      </c>
      <c r="G986">
        <v>12735406.502549823</v>
      </c>
      <c r="H986">
        <v>0</v>
      </c>
      <c r="I986">
        <v>0</v>
      </c>
      <c r="J986">
        <v>0</v>
      </c>
      <c r="K986">
        <v>9678908.9419378657</v>
      </c>
      <c r="L986">
        <v>2024929.6339054219</v>
      </c>
      <c r="M986">
        <v>0</v>
      </c>
      <c r="N986">
        <v>0</v>
      </c>
      <c r="O986">
        <v>1031567.9267065357</v>
      </c>
      <c r="P986">
        <v>1031567.9267065357</v>
      </c>
      <c r="Q986">
        <v>9678908.9419378657</v>
      </c>
      <c r="R986">
        <v>0.52216936881958143</v>
      </c>
      <c r="S986">
        <v>5.4215362861391103</v>
      </c>
      <c r="T986">
        <v>4.8993669173195284</v>
      </c>
      <c r="U986">
        <v>0.52216936881958187</v>
      </c>
      <c r="V986">
        <v>78399.16242969672</v>
      </c>
      <c r="W986">
        <v>813996.24201697449</v>
      </c>
      <c r="X986">
        <v>735597.07958727772</v>
      </c>
      <c r="Y986">
        <v>78399.162429696764</v>
      </c>
      <c r="Z986">
        <v>0</v>
      </c>
    </row>
    <row r="987" spans="1:26" x14ac:dyDescent="0.25">
      <c r="A987" t="s">
        <v>143</v>
      </c>
      <c r="B987" t="s">
        <v>59</v>
      </c>
      <c r="C987" t="s">
        <v>86</v>
      </c>
      <c r="D987">
        <v>0</v>
      </c>
      <c r="E987">
        <v>2050</v>
      </c>
      <c r="F987" t="s">
        <v>28</v>
      </c>
      <c r="G987">
        <v>1590883.4700780637</v>
      </c>
      <c r="H987">
        <v>1515714.1736670113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75169.296411052346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</row>
    <row r="988" spans="1:26" x14ac:dyDescent="0.25">
      <c r="A988" t="s">
        <v>143</v>
      </c>
      <c r="B988" t="s">
        <v>54</v>
      </c>
      <c r="C988" t="s">
        <v>76</v>
      </c>
      <c r="D988">
        <v>1</v>
      </c>
      <c r="E988">
        <v>2050</v>
      </c>
      <c r="F988" t="s">
        <v>28</v>
      </c>
      <c r="G988">
        <v>7786550.4071108392</v>
      </c>
      <c r="H988">
        <v>5657053.7864699624</v>
      </c>
      <c r="I988">
        <v>0</v>
      </c>
      <c r="J988">
        <v>0</v>
      </c>
      <c r="K988">
        <v>314525.12457946909</v>
      </c>
      <c r="L988">
        <v>0</v>
      </c>
      <c r="M988">
        <v>0</v>
      </c>
      <c r="N988">
        <v>0</v>
      </c>
      <c r="O988">
        <v>1814971.496061408</v>
      </c>
      <c r="P988">
        <v>1488865.2333387681</v>
      </c>
      <c r="Q988">
        <v>314525.12457946909</v>
      </c>
      <c r="R988">
        <v>5.3450261876861784</v>
      </c>
      <c r="S988">
        <v>6.474171384926473</v>
      </c>
      <c r="T988">
        <v>1.1291451972402942</v>
      </c>
      <c r="U988">
        <v>5.3450261876861784</v>
      </c>
      <c r="V988">
        <v>446659.5700016304</v>
      </c>
      <c r="W988">
        <v>541017.10737547115</v>
      </c>
      <c r="X988">
        <v>94357.537373840722</v>
      </c>
      <c r="Y988">
        <v>446659.57000163046</v>
      </c>
      <c r="Z988">
        <v>0</v>
      </c>
    </row>
    <row r="989" spans="1:26" x14ac:dyDescent="0.25">
      <c r="A989" t="s">
        <v>143</v>
      </c>
      <c r="B989" t="s">
        <v>38</v>
      </c>
      <c r="C989" t="s">
        <v>86</v>
      </c>
      <c r="D989">
        <v>0</v>
      </c>
      <c r="E989">
        <v>2050</v>
      </c>
      <c r="F989" t="s">
        <v>28</v>
      </c>
      <c r="G989">
        <v>3069579.4456842686</v>
      </c>
      <c r="H989">
        <v>0</v>
      </c>
      <c r="I989">
        <v>0</v>
      </c>
      <c r="J989">
        <v>490824.54885344987</v>
      </c>
      <c r="K989">
        <v>0</v>
      </c>
      <c r="L989">
        <v>0</v>
      </c>
      <c r="M989">
        <v>0</v>
      </c>
      <c r="N989">
        <v>0</v>
      </c>
      <c r="O989">
        <v>2578754.8968308186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</row>
    <row r="990" spans="1:26" x14ac:dyDescent="0.25">
      <c r="A990" t="s">
        <v>143</v>
      </c>
      <c r="B990" t="s">
        <v>35</v>
      </c>
      <c r="C990" t="s">
        <v>79</v>
      </c>
      <c r="D990">
        <v>1</v>
      </c>
      <c r="E990">
        <v>2050</v>
      </c>
      <c r="F990" t="s">
        <v>28</v>
      </c>
      <c r="G990">
        <v>194761.7983669767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194761.7983669767</v>
      </c>
      <c r="P990">
        <v>194761.7983669767</v>
      </c>
      <c r="Q990">
        <v>0</v>
      </c>
      <c r="R990">
        <v>0.17479871403436159</v>
      </c>
      <c r="S990">
        <v>0.17479871403436159</v>
      </c>
      <c r="T990">
        <v>0</v>
      </c>
      <c r="U990">
        <v>0.17479871403436159</v>
      </c>
      <c r="V990">
        <v>29214.269755046505</v>
      </c>
      <c r="W990">
        <v>29214.269755046505</v>
      </c>
      <c r="X990">
        <v>0</v>
      </c>
      <c r="Y990">
        <v>29214.269755046505</v>
      </c>
      <c r="Z990">
        <v>0</v>
      </c>
    </row>
    <row r="991" spans="1:26" x14ac:dyDescent="0.25">
      <c r="A991" t="s">
        <v>143</v>
      </c>
      <c r="B991" t="s">
        <v>33</v>
      </c>
      <c r="C991" t="s">
        <v>86</v>
      </c>
      <c r="D991">
        <v>0</v>
      </c>
      <c r="E991">
        <v>2050</v>
      </c>
      <c r="F991" t="s">
        <v>28</v>
      </c>
      <c r="G991">
        <v>102788.11573768182</v>
      </c>
      <c r="H991">
        <v>0</v>
      </c>
      <c r="I991">
        <v>0</v>
      </c>
      <c r="J991">
        <v>62368.567673274578</v>
      </c>
      <c r="K991">
        <v>0</v>
      </c>
      <c r="L991">
        <v>0</v>
      </c>
      <c r="M991">
        <v>0</v>
      </c>
      <c r="N991">
        <v>0</v>
      </c>
      <c r="O991">
        <v>40419.548064407238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1</v>
      </c>
    </row>
    <row r="992" spans="1:26" x14ac:dyDescent="0.25">
      <c r="A992" t="s">
        <v>143</v>
      </c>
      <c r="B992" t="s">
        <v>80</v>
      </c>
      <c r="C992" t="s">
        <v>86</v>
      </c>
      <c r="D992">
        <v>0</v>
      </c>
      <c r="E992">
        <v>2050</v>
      </c>
      <c r="F992" t="s">
        <v>28</v>
      </c>
      <c r="G992">
        <v>1623142.2943438755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1623142.2943438755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</row>
    <row r="993" spans="1:26" x14ac:dyDescent="0.25">
      <c r="A993" t="s">
        <v>143</v>
      </c>
      <c r="B993" t="s">
        <v>65</v>
      </c>
      <c r="C993" t="s">
        <v>81</v>
      </c>
      <c r="D993">
        <v>1</v>
      </c>
      <c r="E993">
        <v>2050</v>
      </c>
      <c r="F993" t="s">
        <v>28</v>
      </c>
      <c r="G993">
        <v>171775.11908496951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171775.11908496951</v>
      </c>
      <c r="N993">
        <v>0</v>
      </c>
      <c r="O993">
        <v>0</v>
      </c>
      <c r="P993">
        <v>0</v>
      </c>
      <c r="Q993">
        <v>171775.11908496951</v>
      </c>
      <c r="R993">
        <v>0</v>
      </c>
      <c r="S993">
        <v>3.1606621911634383</v>
      </c>
      <c r="T993">
        <v>0</v>
      </c>
      <c r="U993">
        <v>3.1606621911634383</v>
      </c>
      <c r="V993">
        <v>0</v>
      </c>
      <c r="W993">
        <v>71286.674420262352</v>
      </c>
      <c r="X993">
        <v>0</v>
      </c>
      <c r="Y993">
        <v>71286.674420262352</v>
      </c>
      <c r="Z993">
        <v>0</v>
      </c>
    </row>
    <row r="994" spans="1:26" x14ac:dyDescent="0.25">
      <c r="A994" t="s">
        <v>143</v>
      </c>
      <c r="B994" t="s">
        <v>140</v>
      </c>
      <c r="C994" t="s">
        <v>142</v>
      </c>
      <c r="D994">
        <v>1</v>
      </c>
      <c r="E994">
        <v>2050</v>
      </c>
      <c r="F994" t="s">
        <v>28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</row>
    <row r="995" spans="1:26" x14ac:dyDescent="0.25">
      <c r="A995" t="s">
        <v>143</v>
      </c>
      <c r="B995" t="s">
        <v>141</v>
      </c>
      <c r="C995" t="s">
        <v>142</v>
      </c>
      <c r="D995">
        <v>1</v>
      </c>
      <c r="E995">
        <v>2050</v>
      </c>
      <c r="F995" t="s">
        <v>28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</row>
    <row r="996" spans="1:26" x14ac:dyDescent="0.25">
      <c r="A996" t="s">
        <v>143</v>
      </c>
      <c r="B996" t="s">
        <v>82</v>
      </c>
      <c r="C996" t="s">
        <v>86</v>
      </c>
      <c r="D996">
        <v>0</v>
      </c>
      <c r="E996">
        <v>2050</v>
      </c>
      <c r="F996" t="s">
        <v>28</v>
      </c>
      <c r="G996">
        <v>4779961.9648844432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4779961.9648844432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</row>
    <row r="997" spans="1:26" x14ac:dyDescent="0.25">
      <c r="A997" t="s">
        <v>143</v>
      </c>
      <c r="B997" t="s">
        <v>72</v>
      </c>
      <c r="C997" t="s">
        <v>86</v>
      </c>
      <c r="D997">
        <v>0</v>
      </c>
      <c r="E997">
        <v>2050</v>
      </c>
      <c r="F997" t="s">
        <v>28</v>
      </c>
      <c r="G997">
        <v>489039.95714195294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489039.95714195294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</row>
    <row r="998" spans="1:26" x14ac:dyDescent="0.25">
      <c r="A998" t="s">
        <v>143</v>
      </c>
      <c r="B998" t="s">
        <v>58</v>
      </c>
      <c r="C998" t="s">
        <v>86</v>
      </c>
      <c r="D998">
        <v>0</v>
      </c>
      <c r="E998">
        <v>2050</v>
      </c>
      <c r="F998" t="s">
        <v>28</v>
      </c>
      <c r="G998">
        <v>244519.97857097647</v>
      </c>
      <c r="H998">
        <v>214099.10609126225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30420.87247971422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</row>
    <row r="999" spans="1:26" x14ac:dyDescent="0.25">
      <c r="A999" t="s">
        <v>143</v>
      </c>
      <c r="B999" t="s">
        <v>64</v>
      </c>
      <c r="C999" t="s">
        <v>64</v>
      </c>
      <c r="D999">
        <v>1</v>
      </c>
      <c r="E999">
        <v>2050</v>
      </c>
      <c r="F999" t="s">
        <v>28</v>
      </c>
      <c r="G999">
        <v>156492.78628542495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156492.78628542495</v>
      </c>
      <c r="N999">
        <v>0</v>
      </c>
      <c r="O999">
        <v>0</v>
      </c>
      <c r="P999">
        <v>0</v>
      </c>
      <c r="Q999">
        <v>156492.78628542495</v>
      </c>
      <c r="R999">
        <v>0</v>
      </c>
      <c r="S999">
        <v>5.4772475199898727</v>
      </c>
      <c r="T999">
        <v>0</v>
      </c>
      <c r="U999">
        <v>5.4772475199898727</v>
      </c>
      <c r="V999">
        <v>0</v>
      </c>
      <c r="W999">
        <v>142408.43551973673</v>
      </c>
      <c r="X999">
        <v>0</v>
      </c>
      <c r="Y999">
        <v>142408.43551973673</v>
      </c>
      <c r="Z999">
        <v>0</v>
      </c>
    </row>
    <row r="1000" spans="1:26" x14ac:dyDescent="0.25">
      <c r="A1000" t="s">
        <v>143</v>
      </c>
      <c r="B1000" t="s">
        <v>55</v>
      </c>
      <c r="C1000" t="s">
        <v>76</v>
      </c>
      <c r="D1000">
        <v>1</v>
      </c>
      <c r="E1000">
        <v>2050</v>
      </c>
      <c r="F1000" t="s">
        <v>28</v>
      </c>
      <c r="G1000">
        <v>380710.74225422333</v>
      </c>
      <c r="H1000">
        <v>841167.61765562883</v>
      </c>
      <c r="I1000">
        <v>0</v>
      </c>
      <c r="J1000">
        <v>0</v>
      </c>
      <c r="K1000">
        <v>4034.07077562927</v>
      </c>
      <c r="L1000">
        <v>0</v>
      </c>
      <c r="M1000">
        <v>0</v>
      </c>
      <c r="N1000">
        <v>0</v>
      </c>
      <c r="O1000">
        <v>-464490.94617703476</v>
      </c>
      <c r="P1000">
        <v>0</v>
      </c>
      <c r="Q1000">
        <v>4034.07077562927</v>
      </c>
      <c r="R1000">
        <v>0</v>
      </c>
      <c r="S1000">
        <v>1.0948629447888865E-2</v>
      </c>
      <c r="T1000">
        <v>1.0948629447888865E-2</v>
      </c>
      <c r="U1000">
        <v>0</v>
      </c>
      <c r="V1000">
        <v>0</v>
      </c>
      <c r="W1000">
        <v>806.81415512585409</v>
      </c>
      <c r="X1000">
        <v>806.81415512585409</v>
      </c>
      <c r="Y1000">
        <v>0</v>
      </c>
      <c r="Z1000">
        <v>0</v>
      </c>
    </row>
    <row r="1001" spans="1:26" x14ac:dyDescent="0.25">
      <c r="A1001" t="s">
        <v>143</v>
      </c>
      <c r="B1001" t="s">
        <v>83</v>
      </c>
      <c r="C1001" t="s">
        <v>86</v>
      </c>
      <c r="D1001">
        <v>0</v>
      </c>
      <c r="E1001">
        <v>2050</v>
      </c>
      <c r="F1001" t="s">
        <v>28</v>
      </c>
      <c r="G1001">
        <v>185567.16171821824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185567.16171821824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</row>
    <row r="1002" spans="1:26" x14ac:dyDescent="0.25">
      <c r="A1002" t="s">
        <v>143</v>
      </c>
      <c r="B1002" t="s">
        <v>62</v>
      </c>
      <c r="C1002" t="s">
        <v>86</v>
      </c>
      <c r="D1002">
        <v>0</v>
      </c>
      <c r="E1002">
        <v>2050</v>
      </c>
      <c r="F1002" t="s">
        <v>28</v>
      </c>
      <c r="G1002">
        <v>126100.24826746272</v>
      </c>
      <c r="H1002">
        <v>39415.735012617326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86684.513254845398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</row>
    <row r="1003" spans="1:26" x14ac:dyDescent="0.25">
      <c r="A1003" t="s">
        <v>143</v>
      </c>
      <c r="B1003" t="s">
        <v>47</v>
      </c>
      <c r="C1003" t="s">
        <v>73</v>
      </c>
      <c r="D1003">
        <v>1</v>
      </c>
      <c r="E1003">
        <v>2050</v>
      </c>
      <c r="F1003" t="s">
        <v>28</v>
      </c>
      <c r="G1003">
        <v>4121832.5977837904</v>
      </c>
      <c r="H1003">
        <v>0</v>
      </c>
      <c r="I1003">
        <v>0</v>
      </c>
      <c r="J1003">
        <v>0</v>
      </c>
      <c r="K1003">
        <v>1563200.2483061554</v>
      </c>
      <c r="L1003">
        <v>0</v>
      </c>
      <c r="M1003">
        <v>0</v>
      </c>
      <c r="N1003">
        <v>0</v>
      </c>
      <c r="O1003">
        <v>2558632.3494776348</v>
      </c>
      <c r="P1003">
        <v>2558632.3494776348</v>
      </c>
      <c r="Q1003">
        <v>1563200.2483061554</v>
      </c>
      <c r="R1003">
        <v>1.2767831287128346</v>
      </c>
      <c r="S1003">
        <v>2.0568356846200895</v>
      </c>
      <c r="T1003">
        <v>0.78005255590725475</v>
      </c>
      <c r="U1003">
        <v>1.2767831287128346</v>
      </c>
      <c r="V1003">
        <v>153517.94096865808</v>
      </c>
      <c r="W1003">
        <v>247309.9558670274</v>
      </c>
      <c r="X1003">
        <v>93792.014898369322</v>
      </c>
      <c r="Y1003">
        <v>153517.94096865808</v>
      </c>
      <c r="Z1003">
        <v>0</v>
      </c>
    </row>
    <row r="1004" spans="1:26" x14ac:dyDescent="0.25">
      <c r="A1004" t="s">
        <v>143</v>
      </c>
      <c r="B1004" t="s">
        <v>44</v>
      </c>
      <c r="C1004" t="s">
        <v>74</v>
      </c>
      <c r="D1004">
        <v>1</v>
      </c>
      <c r="E1004">
        <v>2050</v>
      </c>
      <c r="F1004" t="s">
        <v>28</v>
      </c>
      <c r="G1004">
        <v>14432291.767579561</v>
      </c>
      <c r="H1004">
        <v>0</v>
      </c>
      <c r="I1004">
        <v>0</v>
      </c>
      <c r="J1004">
        <v>0</v>
      </c>
      <c r="K1004">
        <v>7649114.6368171675</v>
      </c>
      <c r="L1004">
        <v>6783177.1307623936</v>
      </c>
      <c r="M1004">
        <v>0</v>
      </c>
      <c r="N1004">
        <v>0</v>
      </c>
      <c r="O1004">
        <v>0</v>
      </c>
      <c r="P1004">
        <v>0</v>
      </c>
      <c r="Q1004">
        <v>7649114.6368171675</v>
      </c>
      <c r="R1004">
        <v>0</v>
      </c>
      <c r="S1004">
        <v>3.2952385855408362</v>
      </c>
      <c r="T1004">
        <v>3.2952385855408362</v>
      </c>
      <c r="U1004">
        <v>0</v>
      </c>
      <c r="V1004">
        <v>0</v>
      </c>
      <c r="W1004">
        <v>382455.73184085841</v>
      </c>
      <c r="X1004">
        <v>382455.73184085841</v>
      </c>
      <c r="Y1004">
        <v>0</v>
      </c>
      <c r="Z1004">
        <v>0</v>
      </c>
    </row>
    <row r="1005" spans="1:26" x14ac:dyDescent="0.25">
      <c r="A1005" t="s">
        <v>143</v>
      </c>
      <c r="B1005" t="s">
        <v>32</v>
      </c>
      <c r="C1005" t="s">
        <v>86</v>
      </c>
      <c r="D1005">
        <v>0</v>
      </c>
      <c r="E1005">
        <v>2050</v>
      </c>
      <c r="F1005" t="s">
        <v>28</v>
      </c>
      <c r="G1005">
        <v>1340150.8748835563</v>
      </c>
      <c r="H1005">
        <v>0</v>
      </c>
      <c r="I1005">
        <v>0</v>
      </c>
      <c r="J1005">
        <v>126627.09194270898</v>
      </c>
      <c r="K1005">
        <v>0</v>
      </c>
      <c r="L1005">
        <v>0</v>
      </c>
      <c r="M1005">
        <v>0</v>
      </c>
      <c r="N1005">
        <v>0</v>
      </c>
      <c r="O1005">
        <v>1213523.7829408473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</row>
    <row r="1006" spans="1:26" x14ac:dyDescent="0.25">
      <c r="A1006" t="s">
        <v>143</v>
      </c>
      <c r="B1006" t="s">
        <v>36</v>
      </c>
      <c r="C1006" t="s">
        <v>79</v>
      </c>
      <c r="D1006">
        <v>1</v>
      </c>
      <c r="E1006">
        <v>2050</v>
      </c>
      <c r="F1006" t="s">
        <v>28</v>
      </c>
      <c r="G1006">
        <v>13500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13500</v>
      </c>
      <c r="P1006">
        <v>13500</v>
      </c>
      <c r="Q1006">
        <v>0</v>
      </c>
      <c r="R1006">
        <v>1.2116250000000002E-2</v>
      </c>
      <c r="S1006">
        <v>1.2116250000000002E-2</v>
      </c>
      <c r="T1006">
        <v>0</v>
      </c>
      <c r="U1006">
        <v>1.2116250000000002E-2</v>
      </c>
      <c r="V1006">
        <v>2025</v>
      </c>
      <c r="W1006">
        <v>2025</v>
      </c>
      <c r="X1006">
        <v>0</v>
      </c>
      <c r="Y1006">
        <v>2025</v>
      </c>
      <c r="Z1006">
        <v>0</v>
      </c>
    </row>
    <row r="1007" spans="1:26" x14ac:dyDescent="0.25">
      <c r="A1007" t="s">
        <v>143</v>
      </c>
      <c r="B1007" t="s">
        <v>84</v>
      </c>
      <c r="C1007" t="s">
        <v>86</v>
      </c>
      <c r="D1007">
        <v>1</v>
      </c>
      <c r="E1007">
        <v>2050</v>
      </c>
      <c r="F1007" t="s">
        <v>28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</row>
    <row r="1008" spans="1:26" x14ac:dyDescent="0.25">
      <c r="A1008" t="s">
        <v>143</v>
      </c>
      <c r="B1008" t="s">
        <v>66</v>
      </c>
      <c r="C1008" t="s">
        <v>81</v>
      </c>
      <c r="D1008">
        <v>1</v>
      </c>
      <c r="E1008">
        <v>2050</v>
      </c>
      <c r="F1008" t="s">
        <v>28</v>
      </c>
      <c r="G1008">
        <v>2001135.6433479721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2001135.6433479721</v>
      </c>
      <c r="N1008">
        <v>0</v>
      </c>
      <c r="O1008">
        <v>0</v>
      </c>
      <c r="P1008">
        <v>0</v>
      </c>
      <c r="Q1008">
        <v>2001135.6433479721</v>
      </c>
      <c r="R1008">
        <v>0</v>
      </c>
      <c r="S1008">
        <v>29.003597326661179</v>
      </c>
      <c r="T1008">
        <v>0</v>
      </c>
      <c r="U1008">
        <v>29.003597326661179</v>
      </c>
      <c r="V1008">
        <v>0</v>
      </c>
      <c r="W1008">
        <v>989728.33693918446</v>
      </c>
      <c r="X1008">
        <v>0</v>
      </c>
      <c r="Y1008">
        <v>989728.33693918446</v>
      </c>
      <c r="Z1008">
        <v>0</v>
      </c>
    </row>
    <row r="1009" spans="1:26" x14ac:dyDescent="0.25">
      <c r="A1009" t="s">
        <v>143</v>
      </c>
      <c r="B1009" t="s">
        <v>85</v>
      </c>
      <c r="C1009" t="s">
        <v>86</v>
      </c>
      <c r="D1009">
        <v>0</v>
      </c>
      <c r="E1009">
        <v>2050</v>
      </c>
      <c r="F1009" t="s">
        <v>28</v>
      </c>
      <c r="G1009">
        <v>551646.84040095157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551646.84040095157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</row>
    <row r="1010" spans="1:26" x14ac:dyDescent="0.25">
      <c r="A1010" t="s">
        <v>143</v>
      </c>
      <c r="B1010" t="s">
        <v>40</v>
      </c>
      <c r="D1010">
        <v>0</v>
      </c>
      <c r="E1010">
        <v>2019</v>
      </c>
      <c r="F1010" t="s">
        <v>43</v>
      </c>
      <c r="G1010">
        <v>18450.007031483605</v>
      </c>
      <c r="H1010">
        <v>0</v>
      </c>
      <c r="I1010">
        <v>0</v>
      </c>
      <c r="J1010">
        <v>26880.542267330831</v>
      </c>
      <c r="K1010">
        <v>0</v>
      </c>
      <c r="L1010">
        <v>0</v>
      </c>
      <c r="M1010">
        <v>0</v>
      </c>
      <c r="N1010">
        <v>0</v>
      </c>
      <c r="O1010">
        <v>-8430.5352358472264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</row>
    <row r="1011" spans="1:26" x14ac:dyDescent="0.25">
      <c r="A1011" t="s">
        <v>143</v>
      </c>
      <c r="B1011" t="s">
        <v>34</v>
      </c>
      <c r="D1011">
        <v>0</v>
      </c>
      <c r="E1011">
        <v>2019</v>
      </c>
      <c r="F1011" t="s">
        <v>43</v>
      </c>
      <c r="G1011">
        <v>27039.772448692573</v>
      </c>
      <c r="H1011">
        <v>7916.616753740097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19123.155694952475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</row>
    <row r="1012" spans="1:26" x14ac:dyDescent="0.25">
      <c r="A1012" t="s">
        <v>143</v>
      </c>
      <c r="B1012" t="s">
        <v>48</v>
      </c>
      <c r="C1012" t="s">
        <v>73</v>
      </c>
      <c r="D1012">
        <v>1</v>
      </c>
      <c r="E1012">
        <v>2019</v>
      </c>
      <c r="F1012" t="s">
        <v>43</v>
      </c>
      <c r="G1012">
        <v>165083.0224523381</v>
      </c>
      <c r="H1012">
        <v>0</v>
      </c>
      <c r="I1012">
        <v>0</v>
      </c>
      <c r="J1012">
        <v>0</v>
      </c>
      <c r="K1012">
        <v>335590.35573220561</v>
      </c>
      <c r="L1012">
        <v>0</v>
      </c>
      <c r="M1012">
        <v>0</v>
      </c>
      <c r="N1012">
        <v>0</v>
      </c>
      <c r="O1012">
        <v>-170507.33327986751</v>
      </c>
      <c r="P1012">
        <v>0</v>
      </c>
      <c r="Q1012">
        <v>335590.35573220561</v>
      </c>
      <c r="R1012">
        <v>0</v>
      </c>
      <c r="S1012">
        <v>1.1433261388476088</v>
      </c>
      <c r="T1012">
        <v>1.1433261388476088</v>
      </c>
      <c r="U1012">
        <v>0</v>
      </c>
      <c r="V1012">
        <v>0</v>
      </c>
      <c r="W1012">
        <v>93965.299605017586</v>
      </c>
      <c r="X1012">
        <v>93965.299605017586</v>
      </c>
      <c r="Y1012">
        <v>0</v>
      </c>
      <c r="Z1012">
        <v>1</v>
      </c>
    </row>
    <row r="1013" spans="1:26" x14ac:dyDescent="0.25">
      <c r="A1013" t="s">
        <v>143</v>
      </c>
      <c r="B1013" t="s">
        <v>11</v>
      </c>
      <c r="D1013">
        <v>1</v>
      </c>
      <c r="E1013">
        <v>2019</v>
      </c>
      <c r="F1013" t="s">
        <v>43</v>
      </c>
      <c r="G1013">
        <v>110817031.25294524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110817031.25294524</v>
      </c>
      <c r="N1013">
        <v>0</v>
      </c>
      <c r="O1013">
        <v>0</v>
      </c>
      <c r="P1013">
        <v>0</v>
      </c>
      <c r="Q1013">
        <v>110817031.25294524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</row>
    <row r="1014" spans="1:26" x14ac:dyDescent="0.25">
      <c r="A1014" t="s">
        <v>143</v>
      </c>
      <c r="B1014" t="s">
        <v>68</v>
      </c>
      <c r="D1014">
        <v>0</v>
      </c>
      <c r="E1014">
        <v>2019</v>
      </c>
      <c r="F1014" t="s">
        <v>43</v>
      </c>
      <c r="G1014">
        <v>2462895.6491667829</v>
      </c>
      <c r="H1014">
        <v>0</v>
      </c>
      <c r="I1014">
        <v>0</v>
      </c>
      <c r="J1014">
        <v>0</v>
      </c>
      <c r="K1014">
        <v>0</v>
      </c>
      <c r="L1014">
        <v>1801732.0926432305</v>
      </c>
      <c r="M1014">
        <v>0</v>
      </c>
      <c r="N1014">
        <v>0</v>
      </c>
      <c r="O1014">
        <v>661163.5565235524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</row>
    <row r="1015" spans="1:26" x14ac:dyDescent="0.25">
      <c r="A1015" t="s">
        <v>143</v>
      </c>
      <c r="B1015" t="s">
        <v>51</v>
      </c>
      <c r="C1015" t="s">
        <v>73</v>
      </c>
      <c r="D1015">
        <v>1</v>
      </c>
      <c r="E1015">
        <v>2019</v>
      </c>
      <c r="F1015" t="s">
        <v>43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</row>
    <row r="1016" spans="1:26" x14ac:dyDescent="0.25">
      <c r="A1016" t="s">
        <v>143</v>
      </c>
      <c r="B1016" t="s">
        <v>50</v>
      </c>
      <c r="C1016" t="s">
        <v>74</v>
      </c>
      <c r="D1016">
        <v>1</v>
      </c>
      <c r="E1016">
        <v>2019</v>
      </c>
      <c r="F1016" t="s">
        <v>43</v>
      </c>
      <c r="G1016">
        <v>332759.92297580565</v>
      </c>
      <c r="H1016">
        <v>0</v>
      </c>
      <c r="I1016">
        <v>0</v>
      </c>
      <c r="J1016">
        <v>0</v>
      </c>
      <c r="K1016">
        <v>85892.328449707566</v>
      </c>
      <c r="L1016">
        <v>93457.017927737121</v>
      </c>
      <c r="M1016">
        <v>0</v>
      </c>
      <c r="N1016">
        <v>0</v>
      </c>
      <c r="O1016">
        <v>153410.57659836096</v>
      </c>
      <c r="P1016">
        <v>153410.57659836096</v>
      </c>
      <c r="Q1016">
        <v>85892.328449707566</v>
      </c>
      <c r="R1016">
        <v>0.33044638199286952</v>
      </c>
      <c r="S1016">
        <v>0.18501207548067011</v>
      </c>
      <c r="T1016">
        <v>0.18501207548067011</v>
      </c>
      <c r="U1016">
        <v>0</v>
      </c>
      <c r="V1016">
        <v>46023.172979508287</v>
      </c>
      <c r="W1016">
        <v>25767.69853491227</v>
      </c>
      <c r="X1016">
        <v>25767.69853491227</v>
      </c>
      <c r="Y1016">
        <v>0</v>
      </c>
      <c r="Z1016">
        <v>0</v>
      </c>
    </row>
    <row r="1017" spans="1:26" x14ac:dyDescent="0.25">
      <c r="A1017" t="s">
        <v>143</v>
      </c>
      <c r="B1017" t="s">
        <v>60</v>
      </c>
      <c r="D1017">
        <v>0</v>
      </c>
      <c r="E1017">
        <v>2019</v>
      </c>
      <c r="F1017" t="s">
        <v>43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</row>
    <row r="1018" spans="1:26" x14ac:dyDescent="0.25">
      <c r="A1018" t="s">
        <v>143</v>
      </c>
      <c r="B1018" t="s">
        <v>46</v>
      </c>
      <c r="C1018" t="s">
        <v>74</v>
      </c>
      <c r="D1018">
        <v>1</v>
      </c>
      <c r="E1018">
        <v>2019</v>
      </c>
      <c r="F1018" t="s">
        <v>43</v>
      </c>
      <c r="G1018">
        <v>675.387643904882</v>
      </c>
      <c r="H1018">
        <v>0</v>
      </c>
      <c r="I1018">
        <v>0</v>
      </c>
      <c r="J1018">
        <v>0</v>
      </c>
      <c r="K1018">
        <v>337.693821952441</v>
      </c>
      <c r="L1018">
        <v>255.68246519256246</v>
      </c>
      <c r="M1018">
        <v>0</v>
      </c>
      <c r="N1018">
        <v>0</v>
      </c>
      <c r="O1018">
        <v>82.011356759878481</v>
      </c>
      <c r="P1018">
        <v>82.011356759878481</v>
      </c>
      <c r="Q1018">
        <v>337.693821952441</v>
      </c>
      <c r="R1018">
        <v>3.8569120970603255E-5</v>
      </c>
      <c r="S1018">
        <v>1.5881402752601349E-4</v>
      </c>
      <c r="T1018">
        <v>1.5881402752601349E-4</v>
      </c>
      <c r="U1018">
        <v>0</v>
      </c>
      <c r="V1018">
        <v>5.1667154758723441</v>
      </c>
      <c r="W1018">
        <v>21.274710783003783</v>
      </c>
      <c r="X1018">
        <v>21.274710783003783</v>
      </c>
      <c r="Y1018">
        <v>0</v>
      </c>
      <c r="Z1018">
        <v>0</v>
      </c>
    </row>
    <row r="1019" spans="1:26" x14ac:dyDescent="0.25">
      <c r="A1019" t="s">
        <v>143</v>
      </c>
      <c r="B1019" t="s">
        <v>39</v>
      </c>
      <c r="D1019">
        <v>0</v>
      </c>
      <c r="E1019">
        <v>2019</v>
      </c>
      <c r="F1019" t="s">
        <v>43</v>
      </c>
      <c r="G1019">
        <v>15969.006082579654</v>
      </c>
      <c r="H1019">
        <v>0</v>
      </c>
      <c r="I1019">
        <v>0</v>
      </c>
      <c r="J1019">
        <v>29120.587456275069</v>
      </c>
      <c r="K1019">
        <v>0</v>
      </c>
      <c r="L1019">
        <v>0</v>
      </c>
      <c r="M1019">
        <v>0</v>
      </c>
      <c r="N1019">
        <v>0</v>
      </c>
      <c r="O1019">
        <v>-13151.581373695415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</row>
    <row r="1020" spans="1:26" x14ac:dyDescent="0.25">
      <c r="A1020" t="s">
        <v>143</v>
      </c>
      <c r="B1020" t="s">
        <v>75</v>
      </c>
      <c r="D1020">
        <v>0</v>
      </c>
      <c r="E1020">
        <v>2019</v>
      </c>
      <c r="F1020" t="s">
        <v>43</v>
      </c>
      <c r="G1020">
        <v>612515.4514426298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612515.4514426298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</row>
    <row r="1021" spans="1:26" x14ac:dyDescent="0.25">
      <c r="A1021" t="s">
        <v>143</v>
      </c>
      <c r="B1021" t="s">
        <v>41</v>
      </c>
      <c r="D1021">
        <v>0</v>
      </c>
      <c r="E1021">
        <v>2019</v>
      </c>
      <c r="F1021" t="s">
        <v>43</v>
      </c>
      <c r="G1021">
        <v>15804.526381892863</v>
      </c>
      <c r="H1021">
        <v>0</v>
      </c>
      <c r="I1021">
        <v>0</v>
      </c>
      <c r="J1021">
        <v>212804.29294970242</v>
      </c>
      <c r="K1021">
        <v>0</v>
      </c>
      <c r="L1021">
        <v>0</v>
      </c>
      <c r="M1021">
        <v>0</v>
      </c>
      <c r="N1021">
        <v>0</v>
      </c>
      <c r="O1021">
        <v>-196999.76656780957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1</v>
      </c>
    </row>
    <row r="1022" spans="1:26" x14ac:dyDescent="0.25">
      <c r="A1022" t="s">
        <v>143</v>
      </c>
      <c r="B1022" t="s">
        <v>57</v>
      </c>
      <c r="C1022" t="s">
        <v>57</v>
      </c>
      <c r="D1022">
        <v>1</v>
      </c>
      <c r="E1022">
        <v>2019</v>
      </c>
      <c r="F1022" t="s">
        <v>43</v>
      </c>
      <c r="G1022">
        <v>0</v>
      </c>
      <c r="H1022">
        <v>0</v>
      </c>
      <c r="I1022">
        <v>0</v>
      </c>
      <c r="J1022">
        <v>0</v>
      </c>
      <c r="K1022">
        <v>28548.400000000001</v>
      </c>
      <c r="L1022">
        <v>0</v>
      </c>
      <c r="M1022">
        <v>0</v>
      </c>
      <c r="N1022">
        <v>0</v>
      </c>
      <c r="O1022">
        <v>-28548.400000000001</v>
      </c>
      <c r="P1022">
        <v>0</v>
      </c>
      <c r="Q1022">
        <v>28548.400000000001</v>
      </c>
      <c r="R1022">
        <v>0</v>
      </c>
      <c r="S1022">
        <v>0.43389639740160008</v>
      </c>
      <c r="T1022">
        <v>0.43389639740160008</v>
      </c>
      <c r="U1022">
        <v>0</v>
      </c>
      <c r="V1022">
        <v>0</v>
      </c>
      <c r="W1022">
        <v>25693.56</v>
      </c>
      <c r="X1022">
        <v>25693.56</v>
      </c>
      <c r="Y1022">
        <v>0</v>
      </c>
      <c r="Z1022">
        <v>1</v>
      </c>
    </row>
    <row r="1023" spans="1:26" x14ac:dyDescent="0.25">
      <c r="A1023" t="s">
        <v>143</v>
      </c>
      <c r="B1023" t="s">
        <v>53</v>
      </c>
      <c r="C1023" t="s">
        <v>76</v>
      </c>
      <c r="D1023">
        <v>1</v>
      </c>
      <c r="E1023">
        <v>2019</v>
      </c>
      <c r="F1023" t="s">
        <v>43</v>
      </c>
      <c r="G1023">
        <v>2079827.1270254222</v>
      </c>
      <c r="H1023">
        <v>1502068.0760117143</v>
      </c>
      <c r="I1023">
        <v>0</v>
      </c>
      <c r="J1023">
        <v>0</v>
      </c>
      <c r="K1023">
        <v>9930.836100337272</v>
      </c>
      <c r="L1023">
        <v>0</v>
      </c>
      <c r="M1023">
        <v>0</v>
      </c>
      <c r="N1023">
        <v>0</v>
      </c>
      <c r="O1023">
        <v>567828.21491337055</v>
      </c>
      <c r="P1023">
        <v>567828.21491337055</v>
      </c>
      <c r="Q1023">
        <v>9930.836100337272</v>
      </c>
      <c r="R1023">
        <v>1.0447329369137377</v>
      </c>
      <c r="S1023">
        <v>1.8271497070108039E-2</v>
      </c>
      <c r="T1023">
        <v>1.8271497070108039E-2</v>
      </c>
      <c r="U1023">
        <v>0</v>
      </c>
      <c r="V1023">
        <v>158991.90017574377</v>
      </c>
      <c r="W1023">
        <v>2780.6341080944362</v>
      </c>
      <c r="X1023">
        <v>2780.6341080944362</v>
      </c>
      <c r="Y1023">
        <v>0</v>
      </c>
      <c r="Z1023">
        <v>0</v>
      </c>
    </row>
    <row r="1024" spans="1:26" x14ac:dyDescent="0.25">
      <c r="A1024" t="s">
        <v>143</v>
      </c>
      <c r="B1024" t="s">
        <v>61</v>
      </c>
      <c r="D1024">
        <v>0</v>
      </c>
      <c r="E1024">
        <v>2019</v>
      </c>
      <c r="F1024" t="s">
        <v>43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</row>
    <row r="1025" spans="1:26" x14ac:dyDescent="0.25">
      <c r="A1025" t="s">
        <v>143</v>
      </c>
      <c r="B1025" t="s">
        <v>30</v>
      </c>
      <c r="D1025">
        <v>0</v>
      </c>
      <c r="E1025">
        <v>2019</v>
      </c>
      <c r="F1025" t="s">
        <v>43</v>
      </c>
      <c r="G1025">
        <v>96079.800747233821</v>
      </c>
      <c r="H1025">
        <v>0</v>
      </c>
      <c r="I1025">
        <v>0</v>
      </c>
      <c r="J1025">
        <v>222884.49629995148</v>
      </c>
      <c r="K1025">
        <v>0</v>
      </c>
      <c r="L1025">
        <v>0</v>
      </c>
      <c r="M1025">
        <v>0</v>
      </c>
      <c r="N1025">
        <v>0</v>
      </c>
      <c r="O1025">
        <v>-126804.69555271766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1</v>
      </c>
    </row>
    <row r="1026" spans="1:26" x14ac:dyDescent="0.25">
      <c r="A1026" t="s">
        <v>143</v>
      </c>
      <c r="B1026" t="s">
        <v>52</v>
      </c>
      <c r="C1026" t="s">
        <v>77</v>
      </c>
      <c r="D1026">
        <v>1</v>
      </c>
      <c r="E1026">
        <v>2019</v>
      </c>
      <c r="F1026" t="s">
        <v>43</v>
      </c>
      <c r="G1026">
        <v>955988.04344506538</v>
      </c>
      <c r="H1026">
        <v>94889.448034412548</v>
      </c>
      <c r="I1026">
        <v>104128.58905499999</v>
      </c>
      <c r="J1026">
        <v>0</v>
      </c>
      <c r="K1026">
        <v>22795.107252838847</v>
      </c>
      <c r="L1026">
        <v>0</v>
      </c>
      <c r="M1026">
        <v>734174.89910281403</v>
      </c>
      <c r="N1026">
        <v>0</v>
      </c>
      <c r="O1026">
        <v>0</v>
      </c>
      <c r="P1026">
        <v>0</v>
      </c>
      <c r="Q1026">
        <v>756970.00635565282</v>
      </c>
      <c r="R1026">
        <v>0</v>
      </c>
      <c r="S1026">
        <v>7.7197156788507311</v>
      </c>
      <c r="T1026">
        <v>0.13142610267053248</v>
      </c>
      <c r="U1026">
        <v>7.5882895761801983</v>
      </c>
      <c r="V1026">
        <v>0</v>
      </c>
      <c r="W1026">
        <v>643424.50540230493</v>
      </c>
      <c r="X1026">
        <v>19375.841164913018</v>
      </c>
      <c r="Y1026">
        <v>624048.6642373919</v>
      </c>
      <c r="Z1026">
        <v>0</v>
      </c>
    </row>
    <row r="1027" spans="1:26" x14ac:dyDescent="0.25">
      <c r="A1027" t="s">
        <v>143</v>
      </c>
      <c r="B1027" t="s">
        <v>56</v>
      </c>
      <c r="C1027" t="s">
        <v>73</v>
      </c>
      <c r="D1027">
        <v>1</v>
      </c>
      <c r="E1027">
        <v>2019</v>
      </c>
      <c r="F1027" t="s">
        <v>43</v>
      </c>
      <c r="G1027">
        <v>452346.51233766804</v>
      </c>
      <c r="H1027">
        <v>0</v>
      </c>
      <c r="I1027">
        <v>0</v>
      </c>
      <c r="J1027">
        <v>0</v>
      </c>
      <c r="K1027">
        <v>35.900188095894634</v>
      </c>
      <c r="L1027">
        <v>0</v>
      </c>
      <c r="M1027">
        <v>452310.61214957217</v>
      </c>
      <c r="N1027">
        <v>0</v>
      </c>
      <c r="O1027">
        <v>0</v>
      </c>
      <c r="P1027">
        <v>0</v>
      </c>
      <c r="Q1027">
        <v>452346.51233766804</v>
      </c>
      <c r="R1027">
        <v>0</v>
      </c>
      <c r="S1027">
        <v>8.0748097529675267</v>
      </c>
      <c r="T1027">
        <v>6.0961032399995807E-5</v>
      </c>
      <c r="U1027">
        <v>8.0747487919351268</v>
      </c>
      <c r="V1027">
        <v>0</v>
      </c>
      <c r="W1027">
        <v>135703.9537013004</v>
      </c>
      <c r="X1027">
        <v>10.77005642876839</v>
      </c>
      <c r="Y1027">
        <v>135693.18364487163</v>
      </c>
      <c r="Z1027">
        <v>0</v>
      </c>
    </row>
    <row r="1028" spans="1:26" x14ac:dyDescent="0.25">
      <c r="A1028" t="s">
        <v>143</v>
      </c>
      <c r="B1028" t="s">
        <v>63</v>
      </c>
      <c r="D1028">
        <v>0</v>
      </c>
      <c r="E1028">
        <v>2019</v>
      </c>
      <c r="F1028" t="s">
        <v>43</v>
      </c>
      <c r="G1028">
        <v>0</v>
      </c>
      <c r="H1028">
        <v>592646.72642582108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-592646.72642582108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1</v>
      </c>
    </row>
    <row r="1029" spans="1:26" x14ac:dyDescent="0.25">
      <c r="A1029" t="s">
        <v>143</v>
      </c>
      <c r="B1029" t="s">
        <v>49</v>
      </c>
      <c r="C1029" t="s">
        <v>73</v>
      </c>
      <c r="D1029">
        <v>1</v>
      </c>
      <c r="E1029">
        <v>2019</v>
      </c>
      <c r="F1029" t="s">
        <v>43</v>
      </c>
      <c r="G1029">
        <v>200279.74928693369</v>
      </c>
      <c r="H1029">
        <v>0</v>
      </c>
      <c r="I1029">
        <v>0</v>
      </c>
      <c r="J1029">
        <v>0</v>
      </c>
      <c r="K1029">
        <v>279550.24796430691</v>
      </c>
      <c r="L1029">
        <v>0</v>
      </c>
      <c r="M1029">
        <v>0</v>
      </c>
      <c r="N1029">
        <v>0</v>
      </c>
      <c r="O1029">
        <v>-79270.498677373223</v>
      </c>
      <c r="P1029">
        <v>0</v>
      </c>
      <c r="Q1029">
        <v>279550.24796430691</v>
      </c>
      <c r="R1029">
        <v>0</v>
      </c>
      <c r="S1029">
        <v>1.0296284310673407</v>
      </c>
      <c r="T1029">
        <v>1.0296284310673407</v>
      </c>
      <c r="U1029">
        <v>0</v>
      </c>
      <c r="V1029">
        <v>0</v>
      </c>
      <c r="W1029">
        <v>117411.1041450089</v>
      </c>
      <c r="X1029">
        <v>117411.1041450089</v>
      </c>
      <c r="Y1029">
        <v>0</v>
      </c>
      <c r="Z1029">
        <v>1</v>
      </c>
    </row>
    <row r="1030" spans="1:26" x14ac:dyDescent="0.25">
      <c r="A1030" t="s">
        <v>143</v>
      </c>
      <c r="B1030" t="s">
        <v>78</v>
      </c>
      <c r="D1030">
        <v>0</v>
      </c>
      <c r="E1030">
        <v>2019</v>
      </c>
      <c r="F1030" t="s">
        <v>43</v>
      </c>
      <c r="G1030">
        <v>145851.60720031991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145851.60720031991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</row>
    <row r="1031" spans="1:26" x14ac:dyDescent="0.25">
      <c r="A1031" t="s">
        <v>143</v>
      </c>
      <c r="B1031" t="s">
        <v>31</v>
      </c>
      <c r="D1031">
        <v>0</v>
      </c>
      <c r="E1031">
        <v>2019</v>
      </c>
      <c r="F1031" t="s">
        <v>43</v>
      </c>
      <c r="G1031">
        <v>116414.7916544996</v>
      </c>
      <c r="H1031">
        <v>0</v>
      </c>
      <c r="I1031">
        <v>0</v>
      </c>
      <c r="J1031">
        <v>101922.05609696274</v>
      </c>
      <c r="K1031">
        <v>0</v>
      </c>
      <c r="L1031">
        <v>0</v>
      </c>
      <c r="M1031">
        <v>0</v>
      </c>
      <c r="N1031">
        <v>0</v>
      </c>
      <c r="O1031">
        <v>14492.735557536857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</row>
    <row r="1032" spans="1:26" x14ac:dyDescent="0.25">
      <c r="A1032" t="s">
        <v>143</v>
      </c>
      <c r="B1032" t="s">
        <v>29</v>
      </c>
      <c r="C1032" t="s">
        <v>77</v>
      </c>
      <c r="D1032">
        <v>1</v>
      </c>
      <c r="E1032">
        <v>2019</v>
      </c>
      <c r="F1032" t="s">
        <v>43</v>
      </c>
      <c r="G1032">
        <v>2275797.9689121391</v>
      </c>
      <c r="H1032">
        <v>721621.60770550335</v>
      </c>
      <c r="I1032">
        <v>0</v>
      </c>
      <c r="J1032">
        <v>244164.92559492172</v>
      </c>
      <c r="K1032">
        <v>945.81467090137289</v>
      </c>
      <c r="L1032">
        <v>0</v>
      </c>
      <c r="M1032">
        <v>0</v>
      </c>
      <c r="N1032">
        <v>0</v>
      </c>
      <c r="O1032">
        <v>1309065.6209408126</v>
      </c>
      <c r="P1032">
        <v>1309065.6209408126</v>
      </c>
      <c r="Q1032">
        <v>945.81467090137289</v>
      </c>
      <c r="R1032">
        <v>4.4833664825353523</v>
      </c>
      <c r="S1032">
        <v>3.2392828337832764E-3</v>
      </c>
      <c r="T1032">
        <v>3.2392828337832764E-3</v>
      </c>
      <c r="U1032">
        <v>0</v>
      </c>
      <c r="V1032">
        <v>405810.34249165189</v>
      </c>
      <c r="W1032">
        <v>293.20254797942562</v>
      </c>
      <c r="X1032">
        <v>293.20254797942562</v>
      </c>
      <c r="Y1032">
        <v>0</v>
      </c>
      <c r="Z1032">
        <v>0</v>
      </c>
    </row>
    <row r="1033" spans="1:26" x14ac:dyDescent="0.25">
      <c r="A1033" t="s">
        <v>143</v>
      </c>
      <c r="B1033" t="s">
        <v>69</v>
      </c>
      <c r="D1033">
        <v>0</v>
      </c>
      <c r="E1033">
        <v>2019</v>
      </c>
      <c r="F1033" t="s">
        <v>43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387847.14852834243</v>
      </c>
      <c r="M1033">
        <v>0</v>
      </c>
      <c r="N1033">
        <v>0</v>
      </c>
      <c r="O1033">
        <v>-387847.14852834243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1</v>
      </c>
    </row>
    <row r="1034" spans="1:26" x14ac:dyDescent="0.25">
      <c r="A1034" t="s">
        <v>143</v>
      </c>
      <c r="B1034" t="s">
        <v>45</v>
      </c>
      <c r="C1034" t="s">
        <v>74</v>
      </c>
      <c r="D1034">
        <v>1</v>
      </c>
      <c r="E1034">
        <v>2019</v>
      </c>
      <c r="F1034" t="s">
        <v>43</v>
      </c>
      <c r="G1034">
        <v>925084.21922943438</v>
      </c>
      <c r="H1034">
        <v>0</v>
      </c>
      <c r="I1034">
        <v>0</v>
      </c>
      <c r="J1034">
        <v>0</v>
      </c>
      <c r="K1034">
        <v>286645.05985025823</v>
      </c>
      <c r="L1034">
        <v>422965.94308870414</v>
      </c>
      <c r="M1034">
        <v>0</v>
      </c>
      <c r="N1034">
        <v>0</v>
      </c>
      <c r="O1034">
        <v>215473.21629047208</v>
      </c>
      <c r="P1034">
        <v>215473.21629047208</v>
      </c>
      <c r="Q1034">
        <v>286645.05985025823</v>
      </c>
      <c r="R1034">
        <v>0.10907038735407407</v>
      </c>
      <c r="S1034">
        <v>0.14509686284560222</v>
      </c>
      <c r="T1034">
        <v>0.14509686284560222</v>
      </c>
      <c r="U1034">
        <v>0</v>
      </c>
      <c r="V1034">
        <v>16375.964438075878</v>
      </c>
      <c r="W1034">
        <v>21785.024548619625</v>
      </c>
      <c r="X1034">
        <v>21785.024548619625</v>
      </c>
      <c r="Y1034">
        <v>0</v>
      </c>
      <c r="Z1034">
        <v>0</v>
      </c>
    </row>
    <row r="1035" spans="1:26" x14ac:dyDescent="0.25">
      <c r="A1035" t="s">
        <v>143</v>
      </c>
      <c r="B1035" t="s">
        <v>59</v>
      </c>
      <c r="D1035">
        <v>0</v>
      </c>
      <c r="E1035">
        <v>2019</v>
      </c>
      <c r="F1035" t="s">
        <v>43</v>
      </c>
      <c r="G1035">
        <v>115489.08079619991</v>
      </c>
      <c r="H1035">
        <v>186040.49371289223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-70551.412916692323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</row>
    <row r="1036" spans="1:26" x14ac:dyDescent="0.25">
      <c r="A1036" t="s">
        <v>143</v>
      </c>
      <c r="B1036" t="s">
        <v>54</v>
      </c>
      <c r="C1036" t="s">
        <v>76</v>
      </c>
      <c r="D1036">
        <v>1</v>
      </c>
      <c r="E1036">
        <v>2019</v>
      </c>
      <c r="F1036" t="s">
        <v>43</v>
      </c>
      <c r="G1036">
        <v>366156.75807184458</v>
      </c>
      <c r="H1036">
        <v>694353.2611092875</v>
      </c>
      <c r="I1036">
        <v>0</v>
      </c>
      <c r="J1036">
        <v>0</v>
      </c>
      <c r="K1036">
        <v>15204.565068438918</v>
      </c>
      <c r="L1036">
        <v>0</v>
      </c>
      <c r="M1036">
        <v>0</v>
      </c>
      <c r="N1036">
        <v>0</v>
      </c>
      <c r="O1036">
        <v>-343401.0681058818</v>
      </c>
      <c r="P1036">
        <v>0</v>
      </c>
      <c r="Q1036">
        <v>15204.565068438918</v>
      </c>
      <c r="R1036">
        <v>0</v>
      </c>
      <c r="S1036">
        <v>5.4584388595695719E-2</v>
      </c>
      <c r="T1036">
        <v>5.4584388595695719E-2</v>
      </c>
      <c r="U1036">
        <v>0</v>
      </c>
      <c r="V1036">
        <v>0</v>
      </c>
      <c r="W1036">
        <v>4561.3695205316753</v>
      </c>
      <c r="X1036">
        <v>4561.3695205316753</v>
      </c>
      <c r="Y1036">
        <v>0</v>
      </c>
      <c r="Z1036">
        <v>0</v>
      </c>
    </row>
    <row r="1037" spans="1:26" x14ac:dyDescent="0.25">
      <c r="A1037" t="s">
        <v>143</v>
      </c>
      <c r="B1037" t="s">
        <v>38</v>
      </c>
      <c r="D1037">
        <v>0</v>
      </c>
      <c r="E1037">
        <v>2019</v>
      </c>
      <c r="F1037" t="s">
        <v>43</v>
      </c>
      <c r="G1037">
        <v>222833.98833453824</v>
      </c>
      <c r="H1037">
        <v>0</v>
      </c>
      <c r="I1037">
        <v>0</v>
      </c>
      <c r="J1037">
        <v>389767.86287629709</v>
      </c>
      <c r="K1037">
        <v>0</v>
      </c>
      <c r="L1037">
        <v>0</v>
      </c>
      <c r="M1037">
        <v>0</v>
      </c>
      <c r="N1037">
        <v>0</v>
      </c>
      <c r="O1037">
        <v>-166933.87454175885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</row>
    <row r="1038" spans="1:26" x14ac:dyDescent="0.25">
      <c r="A1038" t="s">
        <v>143</v>
      </c>
      <c r="B1038" t="s">
        <v>35</v>
      </c>
      <c r="C1038" t="s">
        <v>79</v>
      </c>
      <c r="D1038">
        <v>1</v>
      </c>
      <c r="E1038">
        <v>2019</v>
      </c>
      <c r="F1038" t="s">
        <v>43</v>
      </c>
      <c r="G1038">
        <v>1.1976865502381491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1.1976865502381491</v>
      </c>
      <c r="P1038">
        <v>1.1976865502381491</v>
      </c>
      <c r="Q1038">
        <v>0</v>
      </c>
      <c r="R1038">
        <v>1.0749236788387388E-6</v>
      </c>
      <c r="S1038">
        <v>0</v>
      </c>
      <c r="T1038">
        <v>0</v>
      </c>
      <c r="U1038">
        <v>0</v>
      </c>
      <c r="V1038">
        <v>0.17965298253572234</v>
      </c>
      <c r="W1038">
        <v>0</v>
      </c>
      <c r="X1038">
        <v>0</v>
      </c>
      <c r="Y1038">
        <v>0</v>
      </c>
      <c r="Z1038">
        <v>0</v>
      </c>
    </row>
    <row r="1039" spans="1:26" x14ac:dyDescent="0.25">
      <c r="A1039" t="s">
        <v>143</v>
      </c>
      <c r="B1039" t="s">
        <v>33</v>
      </c>
      <c r="D1039">
        <v>0</v>
      </c>
      <c r="E1039">
        <v>2019</v>
      </c>
      <c r="F1039" t="s">
        <v>43</v>
      </c>
      <c r="G1039">
        <v>7577.0634215631153</v>
      </c>
      <c r="H1039">
        <v>0</v>
      </c>
      <c r="I1039">
        <v>0</v>
      </c>
      <c r="J1039">
        <v>49527.399127557059</v>
      </c>
      <c r="K1039">
        <v>0</v>
      </c>
      <c r="L1039">
        <v>0</v>
      </c>
      <c r="M1039">
        <v>0</v>
      </c>
      <c r="N1039">
        <v>0</v>
      </c>
      <c r="O1039">
        <v>-41950.335705993944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</row>
    <row r="1040" spans="1:26" x14ac:dyDescent="0.25">
      <c r="A1040" t="s">
        <v>143</v>
      </c>
      <c r="B1040" t="s">
        <v>80</v>
      </c>
      <c r="D1040">
        <v>0</v>
      </c>
      <c r="E1040">
        <v>2019</v>
      </c>
      <c r="F1040" t="s">
        <v>43</v>
      </c>
      <c r="G1040">
        <v>396057.87190930446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396057.87190930446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</row>
    <row r="1041" spans="1:26" x14ac:dyDescent="0.25">
      <c r="A1041" t="s">
        <v>143</v>
      </c>
      <c r="B1041" t="s">
        <v>65</v>
      </c>
      <c r="C1041" t="s">
        <v>81</v>
      </c>
      <c r="D1041">
        <v>1</v>
      </c>
      <c r="E1041">
        <v>2019</v>
      </c>
      <c r="F1041" t="s">
        <v>43</v>
      </c>
      <c r="G1041">
        <v>37577.319945022478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37577.319945022478</v>
      </c>
      <c r="N1041">
        <v>0</v>
      </c>
      <c r="O1041">
        <v>0</v>
      </c>
      <c r="P1041">
        <v>0</v>
      </c>
      <c r="Q1041">
        <v>37577.319945022478</v>
      </c>
      <c r="R1041">
        <v>0</v>
      </c>
      <c r="S1041">
        <v>0.69142268698841347</v>
      </c>
      <c r="T1041">
        <v>0</v>
      </c>
      <c r="U1041">
        <v>0.69142268698841347</v>
      </c>
      <c r="V1041">
        <v>0</v>
      </c>
      <c r="W1041">
        <v>15594.58777718433</v>
      </c>
      <c r="X1041">
        <v>0</v>
      </c>
      <c r="Y1041">
        <v>15594.58777718433</v>
      </c>
      <c r="Z1041">
        <v>0</v>
      </c>
    </row>
    <row r="1042" spans="1:26" x14ac:dyDescent="0.25">
      <c r="A1042" t="s">
        <v>143</v>
      </c>
      <c r="B1042" t="s">
        <v>140</v>
      </c>
      <c r="C1042" t="s">
        <v>142</v>
      </c>
      <c r="D1042">
        <v>1</v>
      </c>
      <c r="E1042">
        <v>2019</v>
      </c>
      <c r="F1042" t="s">
        <v>43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</row>
    <row r="1043" spans="1:26" x14ac:dyDescent="0.25">
      <c r="A1043" t="s">
        <v>143</v>
      </c>
      <c r="B1043" t="s">
        <v>141</v>
      </c>
      <c r="C1043" t="s">
        <v>142</v>
      </c>
      <c r="D1043">
        <v>1</v>
      </c>
      <c r="E1043">
        <v>2019</v>
      </c>
      <c r="F1043" t="s">
        <v>43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</row>
    <row r="1044" spans="1:26" x14ac:dyDescent="0.25">
      <c r="A1044" t="s">
        <v>143</v>
      </c>
      <c r="B1044" t="s">
        <v>82</v>
      </c>
      <c r="D1044">
        <v>0</v>
      </c>
      <c r="E1044">
        <v>2019</v>
      </c>
      <c r="F1044" t="s">
        <v>43</v>
      </c>
      <c r="G1044">
        <v>346998.01962126989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346998.01962126989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</row>
    <row r="1045" spans="1:26" x14ac:dyDescent="0.25">
      <c r="A1045" t="s">
        <v>143</v>
      </c>
      <c r="B1045" t="s">
        <v>72</v>
      </c>
      <c r="D1045">
        <v>0</v>
      </c>
      <c r="E1045">
        <v>2019</v>
      </c>
      <c r="F1045" t="s">
        <v>43</v>
      </c>
      <c r="G1045">
        <v>193574.13238370849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193574.13238370849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</row>
    <row r="1046" spans="1:26" x14ac:dyDescent="0.25">
      <c r="A1046" t="s">
        <v>143</v>
      </c>
      <c r="B1046" t="s">
        <v>58</v>
      </c>
      <c r="D1046">
        <v>0</v>
      </c>
      <c r="E1046">
        <v>2019</v>
      </c>
      <c r="F1046" t="s">
        <v>43</v>
      </c>
      <c r="G1046">
        <v>96787.066191854246</v>
      </c>
      <c r="H1046">
        <v>26278.769501998373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70508.296689855866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</row>
    <row r="1047" spans="1:26" x14ac:dyDescent="0.25">
      <c r="A1047" t="s">
        <v>143</v>
      </c>
      <c r="B1047" t="s">
        <v>64</v>
      </c>
      <c r="C1047" t="s">
        <v>64</v>
      </c>
      <c r="D1047">
        <v>1</v>
      </c>
      <c r="E1047">
        <v>2019</v>
      </c>
      <c r="F1047" t="s">
        <v>43</v>
      </c>
      <c r="G1047">
        <v>61943.722362786721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1238.8744472557355</v>
      </c>
      <c r="N1047">
        <v>60704.847915530983</v>
      </c>
      <c r="O1047">
        <v>0</v>
      </c>
      <c r="P1047">
        <v>0</v>
      </c>
      <c r="Q1047">
        <v>1238.8744472557355</v>
      </c>
      <c r="R1047">
        <v>0</v>
      </c>
      <c r="S1047">
        <v>4.3360605653950737E-2</v>
      </c>
      <c r="T1047">
        <v>0</v>
      </c>
      <c r="U1047">
        <v>4.3360605653950737E-2</v>
      </c>
      <c r="V1047">
        <v>0</v>
      </c>
      <c r="W1047">
        <v>1127.3757470027194</v>
      </c>
      <c r="X1047">
        <v>0</v>
      </c>
      <c r="Y1047">
        <v>1127.3757470027194</v>
      </c>
      <c r="Z1047">
        <v>0</v>
      </c>
    </row>
    <row r="1048" spans="1:26" x14ac:dyDescent="0.25">
      <c r="A1048" t="s">
        <v>143</v>
      </c>
      <c r="B1048" t="s">
        <v>55</v>
      </c>
      <c r="C1048" t="s">
        <v>76</v>
      </c>
      <c r="D1048">
        <v>1</v>
      </c>
      <c r="E1048">
        <v>2019</v>
      </c>
      <c r="F1048" t="s">
        <v>43</v>
      </c>
      <c r="G1048">
        <v>2252973.7408705982</v>
      </c>
      <c r="H1048">
        <v>103245.87683002709</v>
      </c>
      <c r="I1048">
        <v>0</v>
      </c>
      <c r="J1048">
        <v>0</v>
      </c>
      <c r="K1048">
        <v>24543.951075802775</v>
      </c>
      <c r="L1048">
        <v>0</v>
      </c>
      <c r="M1048">
        <v>0</v>
      </c>
      <c r="N1048">
        <v>0</v>
      </c>
      <c r="O1048">
        <v>2125183.9129647682</v>
      </c>
      <c r="P1048">
        <v>1656364.6415009145</v>
      </c>
      <c r="Q1048">
        <v>24543.951075802775</v>
      </c>
      <c r="R1048">
        <v>4.4954398916191423</v>
      </c>
      <c r="S1048">
        <v>6.6613264977771772E-2</v>
      </c>
      <c r="T1048">
        <v>6.6613264977771772E-2</v>
      </c>
      <c r="U1048">
        <v>0</v>
      </c>
      <c r="V1048">
        <v>331272.92830018292</v>
      </c>
      <c r="W1048">
        <v>4908.7902151605549</v>
      </c>
      <c r="X1048">
        <v>4908.7902151605549</v>
      </c>
      <c r="Y1048">
        <v>0</v>
      </c>
      <c r="Z1048">
        <v>0</v>
      </c>
    </row>
    <row r="1049" spans="1:26" x14ac:dyDescent="0.25">
      <c r="A1049" t="s">
        <v>143</v>
      </c>
      <c r="B1049" t="s">
        <v>83</v>
      </c>
      <c r="D1049">
        <v>0</v>
      </c>
      <c r="E1049">
        <v>2019</v>
      </c>
      <c r="F1049" t="s">
        <v>43</v>
      </c>
      <c r="G1049">
        <v>23179.475218292017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23179.475218292017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</row>
    <row r="1050" spans="1:26" x14ac:dyDescent="0.25">
      <c r="A1050" t="s">
        <v>143</v>
      </c>
      <c r="B1050" t="s">
        <v>62</v>
      </c>
      <c r="D1050">
        <v>0</v>
      </c>
      <c r="E1050">
        <v>2019</v>
      </c>
      <c r="F1050" t="s">
        <v>43</v>
      </c>
      <c r="G1050">
        <v>18923.903166389329</v>
      </c>
      <c r="H1050">
        <v>4837.9324606189475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14085.970705770382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</row>
    <row r="1051" spans="1:26" x14ac:dyDescent="0.25">
      <c r="A1051" t="s">
        <v>143</v>
      </c>
      <c r="B1051" t="s">
        <v>47</v>
      </c>
      <c r="C1051" t="s">
        <v>73</v>
      </c>
      <c r="D1051">
        <v>1</v>
      </c>
      <c r="E1051">
        <v>2019</v>
      </c>
      <c r="F1051" t="s">
        <v>43</v>
      </c>
      <c r="G1051">
        <v>3186961.3614372411</v>
      </c>
      <c r="H1051">
        <v>0</v>
      </c>
      <c r="I1051">
        <v>0</v>
      </c>
      <c r="J1051">
        <v>0</v>
      </c>
      <c r="K1051">
        <v>1208651.4125341829</v>
      </c>
      <c r="L1051">
        <v>0</v>
      </c>
      <c r="M1051">
        <v>0</v>
      </c>
      <c r="N1051">
        <v>0</v>
      </c>
      <c r="O1051">
        <v>1978309.9489030582</v>
      </c>
      <c r="P1051">
        <v>1978309.9489030582</v>
      </c>
      <c r="Q1051">
        <v>1208651.4125341829</v>
      </c>
      <c r="R1051">
        <v>0.98719644760211522</v>
      </c>
      <c r="S1051">
        <v>0.60312914136868268</v>
      </c>
      <c r="T1051">
        <v>0.60312914136868268</v>
      </c>
      <c r="U1051">
        <v>0</v>
      </c>
      <c r="V1051">
        <v>118698.59693418349</v>
      </c>
      <c r="W1051">
        <v>72519.084752050971</v>
      </c>
      <c r="X1051">
        <v>72519.084752050971</v>
      </c>
      <c r="Y1051">
        <v>0</v>
      </c>
      <c r="Z1051">
        <v>0</v>
      </c>
    </row>
    <row r="1052" spans="1:26" x14ac:dyDescent="0.25">
      <c r="A1052" t="s">
        <v>143</v>
      </c>
      <c r="B1052" t="s">
        <v>44</v>
      </c>
      <c r="C1052" t="s">
        <v>74</v>
      </c>
      <c r="D1052">
        <v>1</v>
      </c>
      <c r="E1052">
        <v>2019</v>
      </c>
      <c r="F1052" t="s">
        <v>43</v>
      </c>
      <c r="G1052">
        <v>2304461.4931079326</v>
      </c>
      <c r="H1052">
        <v>0</v>
      </c>
      <c r="I1052">
        <v>0</v>
      </c>
      <c r="J1052">
        <v>0</v>
      </c>
      <c r="K1052">
        <v>380427.26035611134</v>
      </c>
      <c r="L1052">
        <v>1924034.2327518209</v>
      </c>
      <c r="M1052">
        <v>0</v>
      </c>
      <c r="N1052">
        <v>0</v>
      </c>
      <c r="O1052">
        <v>0</v>
      </c>
      <c r="P1052">
        <v>0</v>
      </c>
      <c r="Q1052">
        <v>380427.26035611134</v>
      </c>
      <c r="R1052">
        <v>0</v>
      </c>
      <c r="S1052">
        <v>0.16388806376141279</v>
      </c>
      <c r="T1052">
        <v>0.16388806376141279</v>
      </c>
      <c r="U1052">
        <v>0</v>
      </c>
      <c r="V1052">
        <v>0</v>
      </c>
      <c r="W1052">
        <v>19021.363017805568</v>
      </c>
      <c r="X1052">
        <v>19021.363017805568</v>
      </c>
      <c r="Y1052">
        <v>0</v>
      </c>
      <c r="Z1052">
        <v>0</v>
      </c>
    </row>
    <row r="1053" spans="1:26" x14ac:dyDescent="0.25">
      <c r="A1053" t="s">
        <v>143</v>
      </c>
      <c r="B1053" t="s">
        <v>32</v>
      </c>
      <c r="D1053">
        <v>0</v>
      </c>
      <c r="E1053">
        <v>2019</v>
      </c>
      <c r="F1053" t="s">
        <v>43</v>
      </c>
      <c r="G1053">
        <v>206750.71206041813</v>
      </c>
      <c r="H1053">
        <v>0</v>
      </c>
      <c r="I1053">
        <v>0</v>
      </c>
      <c r="J1053">
        <v>100555.62853170674</v>
      </c>
      <c r="K1053">
        <v>0</v>
      </c>
      <c r="L1053">
        <v>0</v>
      </c>
      <c r="M1053">
        <v>0</v>
      </c>
      <c r="N1053">
        <v>0</v>
      </c>
      <c r="O1053">
        <v>106195.08352871139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</row>
    <row r="1054" spans="1:26" x14ac:dyDescent="0.25">
      <c r="A1054" t="s">
        <v>143</v>
      </c>
      <c r="B1054" t="s">
        <v>36</v>
      </c>
      <c r="C1054" t="s">
        <v>79</v>
      </c>
      <c r="D1054">
        <v>1</v>
      </c>
      <c r="E1054">
        <v>2019</v>
      </c>
      <c r="F1054" t="s">
        <v>43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</row>
    <row r="1055" spans="1:26" x14ac:dyDescent="0.25">
      <c r="A1055" t="s">
        <v>143</v>
      </c>
      <c r="B1055" t="s">
        <v>84</v>
      </c>
      <c r="D1055">
        <v>1</v>
      </c>
      <c r="E1055">
        <v>2019</v>
      </c>
      <c r="F1055" t="s">
        <v>43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</row>
    <row r="1056" spans="1:26" x14ac:dyDescent="0.25">
      <c r="A1056" t="s">
        <v>143</v>
      </c>
      <c r="B1056" t="s">
        <v>66</v>
      </c>
      <c r="C1056" t="s">
        <v>81</v>
      </c>
      <c r="D1056">
        <v>1</v>
      </c>
      <c r="E1056">
        <v>2019</v>
      </c>
      <c r="F1056" t="s">
        <v>43</v>
      </c>
      <c r="G1056">
        <v>681602.85349434032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681602.85349434032</v>
      </c>
      <c r="N1056">
        <v>0</v>
      </c>
      <c r="O1056">
        <v>0</v>
      </c>
      <c r="P1056">
        <v>0</v>
      </c>
      <c r="Q1056">
        <v>681602.85349434032</v>
      </c>
      <c r="R1056">
        <v>0</v>
      </c>
      <c r="S1056">
        <v>9.878857920085288</v>
      </c>
      <c r="T1056">
        <v>0</v>
      </c>
      <c r="U1056">
        <v>9.878857920085288</v>
      </c>
      <c r="V1056">
        <v>0</v>
      </c>
      <c r="W1056">
        <v>337109.41129074246</v>
      </c>
      <c r="X1056">
        <v>0</v>
      </c>
      <c r="Y1056">
        <v>337109.41129074246</v>
      </c>
      <c r="Z1056">
        <v>0</v>
      </c>
    </row>
    <row r="1057" spans="1:26" x14ac:dyDescent="0.25">
      <c r="A1057" t="s">
        <v>143</v>
      </c>
      <c r="B1057" t="s">
        <v>85</v>
      </c>
      <c r="D1057">
        <v>0</v>
      </c>
      <c r="E1057">
        <v>2019</v>
      </c>
      <c r="F1057" t="s">
        <v>43</v>
      </c>
      <c r="G1057">
        <v>187413.07432328182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187413.07432328182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</row>
    <row r="1058" spans="1:26" x14ac:dyDescent="0.25">
      <c r="A1058" t="s">
        <v>143</v>
      </c>
      <c r="B1058" t="s">
        <v>40</v>
      </c>
      <c r="C1058" t="s">
        <v>86</v>
      </c>
      <c r="D1058">
        <v>0</v>
      </c>
      <c r="E1058">
        <v>2030</v>
      </c>
      <c r="F1058" t="s">
        <v>43</v>
      </c>
      <c r="G1058">
        <v>17943.479437897957</v>
      </c>
      <c r="H1058">
        <v>0</v>
      </c>
      <c r="I1058">
        <v>0</v>
      </c>
      <c r="J1058">
        <v>28209.340124628539</v>
      </c>
      <c r="K1058">
        <v>0</v>
      </c>
      <c r="L1058">
        <v>0</v>
      </c>
      <c r="M1058">
        <v>0</v>
      </c>
      <c r="N1058">
        <v>0</v>
      </c>
      <c r="O1058">
        <v>-10265.860686730583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</row>
    <row r="1059" spans="1:26" x14ac:dyDescent="0.25">
      <c r="A1059" t="s">
        <v>143</v>
      </c>
      <c r="B1059" t="s">
        <v>34</v>
      </c>
      <c r="C1059" t="s">
        <v>86</v>
      </c>
      <c r="D1059">
        <v>0</v>
      </c>
      <c r="E1059">
        <v>2030</v>
      </c>
      <c r="F1059" t="s">
        <v>43</v>
      </c>
      <c r="G1059">
        <v>28552.425442007137</v>
      </c>
      <c r="H1059">
        <v>7916.616753740097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20635.80868826704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</row>
    <row r="1060" spans="1:26" x14ac:dyDescent="0.25">
      <c r="A1060" t="s">
        <v>143</v>
      </c>
      <c r="B1060" t="s">
        <v>48</v>
      </c>
      <c r="C1060" t="s">
        <v>73</v>
      </c>
      <c r="D1060">
        <v>1</v>
      </c>
      <c r="E1060">
        <v>2030</v>
      </c>
      <c r="F1060" t="s">
        <v>43</v>
      </c>
      <c r="G1060">
        <v>168912.745758362</v>
      </c>
      <c r="H1060">
        <v>0</v>
      </c>
      <c r="I1060">
        <v>0</v>
      </c>
      <c r="J1060">
        <v>0</v>
      </c>
      <c r="K1060">
        <v>168912.75887120995</v>
      </c>
      <c r="L1060">
        <v>0</v>
      </c>
      <c r="M1060">
        <v>0</v>
      </c>
      <c r="N1060">
        <v>0</v>
      </c>
      <c r="O1060">
        <v>-1.3112847955198959E-2</v>
      </c>
      <c r="P1060">
        <v>0</v>
      </c>
      <c r="Q1060">
        <v>168912.75887120995</v>
      </c>
      <c r="R1060">
        <v>0</v>
      </c>
      <c r="S1060">
        <v>0.57547056732591406</v>
      </c>
      <c r="T1060">
        <v>0.57547056732591406</v>
      </c>
      <c r="U1060">
        <v>0</v>
      </c>
      <c r="V1060">
        <v>0</v>
      </c>
      <c r="W1060">
        <v>47295.572483938791</v>
      </c>
      <c r="X1060">
        <v>47295.572483938791</v>
      </c>
      <c r="Y1060">
        <v>0</v>
      </c>
      <c r="Z1060">
        <v>1</v>
      </c>
    </row>
    <row r="1061" spans="1:26" x14ac:dyDescent="0.25">
      <c r="A1061" t="s">
        <v>143</v>
      </c>
      <c r="B1061" t="s">
        <v>11</v>
      </c>
      <c r="C1061" t="s">
        <v>86</v>
      </c>
      <c r="D1061">
        <v>1</v>
      </c>
      <c r="E1061">
        <v>2030</v>
      </c>
      <c r="F1061" t="s">
        <v>43</v>
      </c>
      <c r="G1061">
        <v>108792396.63373713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108792396.63373713</v>
      </c>
      <c r="N1061">
        <v>0</v>
      </c>
      <c r="O1061">
        <v>0</v>
      </c>
      <c r="P1061">
        <v>0</v>
      </c>
      <c r="Q1061">
        <v>108792396.63373713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</row>
    <row r="1062" spans="1:26" x14ac:dyDescent="0.25">
      <c r="A1062" t="s">
        <v>143</v>
      </c>
      <c r="B1062" t="s">
        <v>68</v>
      </c>
      <c r="C1062" t="s">
        <v>86</v>
      </c>
      <c r="D1062">
        <v>0</v>
      </c>
      <c r="E1062">
        <v>2030</v>
      </c>
      <c r="F1062" t="s">
        <v>43</v>
      </c>
      <c r="G1062">
        <v>3475869.7995257122</v>
      </c>
      <c r="H1062">
        <v>0</v>
      </c>
      <c r="I1062">
        <v>0</v>
      </c>
      <c r="J1062">
        <v>0</v>
      </c>
      <c r="K1062">
        <v>0</v>
      </c>
      <c r="L1062">
        <v>3047051.4177026679</v>
      </c>
      <c r="M1062">
        <v>0</v>
      </c>
      <c r="N1062">
        <v>0</v>
      </c>
      <c r="O1062">
        <v>428818.38182304427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</row>
    <row r="1063" spans="1:26" x14ac:dyDescent="0.25">
      <c r="A1063" t="s">
        <v>143</v>
      </c>
      <c r="B1063" t="s">
        <v>51</v>
      </c>
      <c r="C1063" t="s">
        <v>73</v>
      </c>
      <c r="D1063">
        <v>1</v>
      </c>
      <c r="E1063">
        <v>2030</v>
      </c>
      <c r="F1063" t="s">
        <v>43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</row>
    <row r="1064" spans="1:26" x14ac:dyDescent="0.25">
      <c r="A1064" t="s">
        <v>143</v>
      </c>
      <c r="B1064" t="s">
        <v>50</v>
      </c>
      <c r="C1064" t="s">
        <v>74</v>
      </c>
      <c r="D1064">
        <v>1</v>
      </c>
      <c r="E1064">
        <v>2030</v>
      </c>
      <c r="F1064" t="s">
        <v>43</v>
      </c>
      <c r="G1064">
        <v>358055.10959218151</v>
      </c>
      <c r="H1064">
        <v>0</v>
      </c>
      <c r="I1064">
        <v>0</v>
      </c>
      <c r="J1064">
        <v>0</v>
      </c>
      <c r="K1064">
        <v>179027.55479609076</v>
      </c>
      <c r="L1064">
        <v>67774.717172805787</v>
      </c>
      <c r="M1064">
        <v>0</v>
      </c>
      <c r="N1064">
        <v>0</v>
      </c>
      <c r="O1064">
        <v>111252.83762328496</v>
      </c>
      <c r="P1064">
        <v>111252.83762328496</v>
      </c>
      <c r="Q1064">
        <v>179027.55479609076</v>
      </c>
      <c r="R1064">
        <v>0.2396386122405558</v>
      </c>
      <c r="S1064">
        <v>0.62526396527133532</v>
      </c>
      <c r="T1064">
        <v>0.38562535303077949</v>
      </c>
      <c r="U1064">
        <v>0.23963861224055583</v>
      </c>
      <c r="V1064">
        <v>33375.851286985482</v>
      </c>
      <c r="W1064">
        <v>87084.117725812714</v>
      </c>
      <c r="X1064">
        <v>53708.266438827224</v>
      </c>
      <c r="Y1064">
        <v>33375.851286985489</v>
      </c>
      <c r="Z1064">
        <v>0</v>
      </c>
    </row>
    <row r="1065" spans="1:26" x14ac:dyDescent="0.25">
      <c r="A1065" t="s">
        <v>143</v>
      </c>
      <c r="B1065" t="s">
        <v>60</v>
      </c>
      <c r="C1065" t="s">
        <v>86</v>
      </c>
      <c r="D1065">
        <v>0</v>
      </c>
      <c r="E1065">
        <v>2030</v>
      </c>
      <c r="F1065" t="s">
        <v>43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</row>
    <row r="1066" spans="1:26" x14ac:dyDescent="0.25">
      <c r="A1066" t="s">
        <v>143</v>
      </c>
      <c r="B1066" t="s">
        <v>46</v>
      </c>
      <c r="C1066" t="s">
        <v>74</v>
      </c>
      <c r="D1066">
        <v>1</v>
      </c>
      <c r="E1066">
        <v>2030</v>
      </c>
      <c r="F1066" t="s">
        <v>43</v>
      </c>
      <c r="G1066">
        <v>700.20192515285464</v>
      </c>
      <c r="H1066">
        <v>0</v>
      </c>
      <c r="I1066">
        <v>0</v>
      </c>
      <c r="J1066">
        <v>0</v>
      </c>
      <c r="K1066">
        <v>350.10096257642732</v>
      </c>
      <c r="L1066">
        <v>265.07644309358068</v>
      </c>
      <c r="M1066">
        <v>0</v>
      </c>
      <c r="N1066">
        <v>0</v>
      </c>
      <c r="O1066">
        <v>85.024519482846586</v>
      </c>
      <c r="P1066">
        <v>85.024519482846586</v>
      </c>
      <c r="Q1066">
        <v>350.10096257642732</v>
      </c>
      <c r="R1066">
        <v>3.9986181267587921E-5</v>
      </c>
      <c r="S1066">
        <v>2.0463516295765594E-4</v>
      </c>
      <c r="T1066">
        <v>1.6464898169006801E-4</v>
      </c>
      <c r="U1066">
        <v>3.9986181267587928E-5</v>
      </c>
      <c r="V1066">
        <v>5.356544727419335</v>
      </c>
      <c r="W1066">
        <v>27.412905369734258</v>
      </c>
      <c r="X1066">
        <v>22.056360642314921</v>
      </c>
      <c r="Y1066">
        <v>5.3565447274193367</v>
      </c>
      <c r="Z1066">
        <v>0</v>
      </c>
    </row>
    <row r="1067" spans="1:26" x14ac:dyDescent="0.25">
      <c r="A1067" t="s">
        <v>143</v>
      </c>
      <c r="B1067" t="s">
        <v>39</v>
      </c>
      <c r="C1067" t="s">
        <v>86</v>
      </c>
      <c r="D1067">
        <v>0</v>
      </c>
      <c r="E1067">
        <v>2030</v>
      </c>
      <c r="F1067" t="s">
        <v>43</v>
      </c>
      <c r="G1067">
        <v>15244.045659594452</v>
      </c>
      <c r="H1067">
        <v>0</v>
      </c>
      <c r="I1067">
        <v>0</v>
      </c>
      <c r="J1067">
        <v>30560.118468347584</v>
      </c>
      <c r="K1067">
        <v>0</v>
      </c>
      <c r="L1067">
        <v>0</v>
      </c>
      <c r="M1067">
        <v>0</v>
      </c>
      <c r="N1067">
        <v>0</v>
      </c>
      <c r="O1067">
        <v>-15316.072808753132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</row>
    <row r="1068" spans="1:26" x14ac:dyDescent="0.25">
      <c r="A1068" t="s">
        <v>143</v>
      </c>
      <c r="B1068" t="s">
        <v>75</v>
      </c>
      <c r="C1068" t="s">
        <v>86</v>
      </c>
      <c r="D1068">
        <v>0</v>
      </c>
      <c r="E1068">
        <v>2030</v>
      </c>
      <c r="F1068" t="s">
        <v>43</v>
      </c>
      <c r="G1068">
        <v>645001.32802557282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645001.32802557282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</row>
    <row r="1069" spans="1:26" x14ac:dyDescent="0.25">
      <c r="A1069" t="s">
        <v>143</v>
      </c>
      <c r="B1069" t="s">
        <v>41</v>
      </c>
      <c r="C1069" t="s">
        <v>86</v>
      </c>
      <c r="D1069">
        <v>0</v>
      </c>
      <c r="E1069">
        <v>2030</v>
      </c>
      <c r="F1069" t="s">
        <v>43</v>
      </c>
      <c r="G1069">
        <v>16686.121067916127</v>
      </c>
      <c r="H1069">
        <v>0</v>
      </c>
      <c r="I1069">
        <v>0</v>
      </c>
      <c r="J1069">
        <v>223323.94265330929</v>
      </c>
      <c r="K1069">
        <v>0</v>
      </c>
      <c r="L1069">
        <v>0</v>
      </c>
      <c r="M1069">
        <v>0</v>
      </c>
      <c r="N1069">
        <v>0</v>
      </c>
      <c r="O1069">
        <v>-206637.82158539316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1</v>
      </c>
    </row>
    <row r="1070" spans="1:26" x14ac:dyDescent="0.25">
      <c r="A1070" t="s">
        <v>143</v>
      </c>
      <c r="B1070" t="s">
        <v>57</v>
      </c>
      <c r="C1070" t="s">
        <v>57</v>
      </c>
      <c r="D1070">
        <v>1</v>
      </c>
      <c r="E1070">
        <v>2030</v>
      </c>
      <c r="F1070" t="s">
        <v>43</v>
      </c>
      <c r="G1070">
        <v>0</v>
      </c>
      <c r="H1070">
        <v>0</v>
      </c>
      <c r="I1070">
        <v>0</v>
      </c>
      <c r="J1070">
        <v>0</v>
      </c>
      <c r="K1070">
        <v>28548.400000000001</v>
      </c>
      <c r="L1070">
        <v>0</v>
      </c>
      <c r="M1070">
        <v>0</v>
      </c>
      <c r="N1070">
        <v>0</v>
      </c>
      <c r="O1070">
        <v>-28548.400000000001</v>
      </c>
      <c r="P1070">
        <v>0</v>
      </c>
      <c r="Q1070">
        <v>28548.400000000001</v>
      </c>
      <c r="R1070">
        <v>0</v>
      </c>
      <c r="S1070">
        <v>0.43389639740160008</v>
      </c>
      <c r="T1070">
        <v>0.43389639740160008</v>
      </c>
      <c r="U1070">
        <v>0</v>
      </c>
      <c r="V1070">
        <v>0</v>
      </c>
      <c r="W1070">
        <v>25693.56</v>
      </c>
      <c r="X1070">
        <v>25693.56</v>
      </c>
      <c r="Y1070">
        <v>0</v>
      </c>
      <c r="Z1070">
        <v>1</v>
      </c>
    </row>
    <row r="1071" spans="1:26" x14ac:dyDescent="0.25">
      <c r="A1071" t="s">
        <v>143</v>
      </c>
      <c r="B1071" t="s">
        <v>53</v>
      </c>
      <c r="C1071" t="s">
        <v>76</v>
      </c>
      <c r="D1071">
        <v>1</v>
      </c>
      <c r="E1071">
        <v>2030</v>
      </c>
      <c r="F1071" t="s">
        <v>43</v>
      </c>
      <c r="G1071">
        <v>2190992.6315255472</v>
      </c>
      <c r="H1071">
        <v>1502068.0760117145</v>
      </c>
      <c r="I1071">
        <v>0</v>
      </c>
      <c r="J1071">
        <v>0</v>
      </c>
      <c r="K1071">
        <v>10062.940438050116</v>
      </c>
      <c r="L1071">
        <v>0</v>
      </c>
      <c r="M1071">
        <v>0</v>
      </c>
      <c r="N1071">
        <v>0</v>
      </c>
      <c r="O1071">
        <v>678861.61507578264</v>
      </c>
      <c r="P1071">
        <v>678861.61507578264</v>
      </c>
      <c r="Q1071">
        <v>10062.940438050116</v>
      </c>
      <c r="R1071">
        <v>1.2490205140375557</v>
      </c>
      <c r="S1071">
        <v>1.267535066576013</v>
      </c>
      <c r="T1071">
        <v>1.8514552538457459E-2</v>
      </c>
      <c r="U1071">
        <v>1.2490205140375557</v>
      </c>
      <c r="V1071">
        <v>190081.25222121915</v>
      </c>
      <c r="W1071">
        <v>192898.87554387318</v>
      </c>
      <c r="X1071">
        <v>2817.623322654033</v>
      </c>
      <c r="Y1071">
        <v>190081.25222121915</v>
      </c>
      <c r="Z1071">
        <v>0</v>
      </c>
    </row>
    <row r="1072" spans="1:26" x14ac:dyDescent="0.25">
      <c r="A1072" t="s">
        <v>143</v>
      </c>
      <c r="B1072" t="s">
        <v>61</v>
      </c>
      <c r="C1072" t="s">
        <v>86</v>
      </c>
      <c r="D1072">
        <v>0</v>
      </c>
      <c r="E1072">
        <v>2030</v>
      </c>
      <c r="F1072" t="s">
        <v>43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</row>
    <row r="1073" spans="1:26" x14ac:dyDescent="0.25">
      <c r="A1073" t="s">
        <v>143</v>
      </c>
      <c r="B1073" t="s">
        <v>30</v>
      </c>
      <c r="C1073" t="s">
        <v>86</v>
      </c>
      <c r="D1073">
        <v>0</v>
      </c>
      <c r="E1073">
        <v>2030</v>
      </c>
      <c r="F1073" t="s">
        <v>43</v>
      </c>
      <c r="G1073">
        <v>100834.72491971773</v>
      </c>
      <c r="H1073">
        <v>0</v>
      </c>
      <c r="I1073">
        <v>0</v>
      </c>
      <c r="J1073">
        <v>233902.44520004498</v>
      </c>
      <c r="K1073">
        <v>0</v>
      </c>
      <c r="L1073">
        <v>0</v>
      </c>
      <c r="M1073">
        <v>0</v>
      </c>
      <c r="N1073">
        <v>0</v>
      </c>
      <c r="O1073">
        <v>-133067.72028032725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1</v>
      </c>
    </row>
    <row r="1074" spans="1:26" x14ac:dyDescent="0.25">
      <c r="A1074" t="s">
        <v>143</v>
      </c>
      <c r="B1074" t="s">
        <v>52</v>
      </c>
      <c r="C1074" t="s">
        <v>77</v>
      </c>
      <c r="D1074">
        <v>1</v>
      </c>
      <c r="E1074">
        <v>2030</v>
      </c>
      <c r="F1074" t="s">
        <v>43</v>
      </c>
      <c r="G1074">
        <v>937754.98883303662</v>
      </c>
      <c r="H1074">
        <v>94889.448034412562</v>
      </c>
      <c r="I1074">
        <v>103520.85960187271</v>
      </c>
      <c r="J1074">
        <v>0</v>
      </c>
      <c r="K1074">
        <v>23065.005787969905</v>
      </c>
      <c r="L1074">
        <v>0</v>
      </c>
      <c r="M1074">
        <v>716279.67540878139</v>
      </c>
      <c r="N1074">
        <v>0</v>
      </c>
      <c r="O1074">
        <v>0</v>
      </c>
      <c r="P1074">
        <v>0</v>
      </c>
      <c r="Q1074">
        <v>739344.68119675131</v>
      </c>
      <c r="R1074">
        <v>0</v>
      </c>
      <c r="S1074">
        <v>7.5363102231539605</v>
      </c>
      <c r="T1074">
        <v>0.13298221347077202</v>
      </c>
      <c r="U1074">
        <v>7.4033280096831886</v>
      </c>
      <c r="V1074">
        <v>0</v>
      </c>
      <c r="W1074">
        <v>628442.9790172386</v>
      </c>
      <c r="X1074">
        <v>19605.254919774419</v>
      </c>
      <c r="Y1074">
        <v>608837.72409746423</v>
      </c>
      <c r="Z1074">
        <v>0</v>
      </c>
    </row>
    <row r="1075" spans="1:26" x14ac:dyDescent="0.25">
      <c r="A1075" t="s">
        <v>143</v>
      </c>
      <c r="B1075" t="s">
        <v>56</v>
      </c>
      <c r="C1075" t="s">
        <v>73</v>
      </c>
      <c r="D1075">
        <v>1</v>
      </c>
      <c r="E1075">
        <v>2030</v>
      </c>
      <c r="F1075" t="s">
        <v>43</v>
      </c>
      <c r="G1075">
        <v>456074.89013160887</v>
      </c>
      <c r="H1075">
        <v>0</v>
      </c>
      <c r="I1075">
        <v>0</v>
      </c>
      <c r="J1075">
        <v>0</v>
      </c>
      <c r="K1075">
        <v>36.19608838570413</v>
      </c>
      <c r="L1075">
        <v>0</v>
      </c>
      <c r="M1075">
        <v>456038.69404322316</v>
      </c>
      <c r="N1075">
        <v>0</v>
      </c>
      <c r="O1075">
        <v>0</v>
      </c>
      <c r="P1075">
        <v>0</v>
      </c>
      <c r="Q1075">
        <v>456074.89013160887</v>
      </c>
      <c r="R1075">
        <v>0</v>
      </c>
      <c r="S1075">
        <v>8.1413647955115209</v>
      </c>
      <c r="T1075">
        <v>6.1463491805112617E-5</v>
      </c>
      <c r="U1075">
        <v>8.1413033320197155</v>
      </c>
      <c r="V1075">
        <v>0</v>
      </c>
      <c r="W1075">
        <v>136822.46703948267</v>
      </c>
      <c r="X1075">
        <v>10.858826515711238</v>
      </c>
      <c r="Y1075">
        <v>136811.60821296697</v>
      </c>
      <c r="Z1075">
        <v>0</v>
      </c>
    </row>
    <row r="1076" spans="1:26" x14ac:dyDescent="0.25">
      <c r="A1076" t="s">
        <v>143</v>
      </c>
      <c r="B1076" t="s">
        <v>63</v>
      </c>
      <c r="C1076" t="s">
        <v>86</v>
      </c>
      <c r="D1076">
        <v>0</v>
      </c>
      <c r="E1076">
        <v>2030</v>
      </c>
      <c r="F1076" t="s">
        <v>43</v>
      </c>
      <c r="G1076">
        <v>0</v>
      </c>
      <c r="H1076">
        <v>592646.72642582119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-592646.72642582119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1</v>
      </c>
    </row>
    <row r="1077" spans="1:26" x14ac:dyDescent="0.25">
      <c r="A1077" t="s">
        <v>143</v>
      </c>
      <c r="B1077" t="s">
        <v>49</v>
      </c>
      <c r="C1077" t="s">
        <v>73</v>
      </c>
      <c r="D1077">
        <v>1</v>
      </c>
      <c r="E1077">
        <v>2030</v>
      </c>
      <c r="F1077" t="s">
        <v>43</v>
      </c>
      <c r="G1077">
        <v>202910.9816220197</v>
      </c>
      <c r="H1077">
        <v>0</v>
      </c>
      <c r="I1077">
        <v>0</v>
      </c>
      <c r="J1077">
        <v>0</v>
      </c>
      <c r="K1077">
        <v>202910.8690139266</v>
      </c>
      <c r="L1077">
        <v>0</v>
      </c>
      <c r="M1077">
        <v>0</v>
      </c>
      <c r="N1077">
        <v>0</v>
      </c>
      <c r="O1077">
        <v>0.11260809309897013</v>
      </c>
      <c r="P1077">
        <v>0.11260809309897013</v>
      </c>
      <c r="Q1077">
        <v>202910.8690139266</v>
      </c>
      <c r="R1077">
        <v>4.8794550644994054E-7</v>
      </c>
      <c r="S1077">
        <v>0.74735378571827482</v>
      </c>
      <c r="T1077">
        <v>0.74735329777276838</v>
      </c>
      <c r="U1077">
        <v>4.8794550644437606E-7</v>
      </c>
      <c r="V1077">
        <v>4.7295399101567451E-2</v>
      </c>
      <c r="W1077">
        <v>85222.612281248264</v>
      </c>
      <c r="X1077">
        <v>85222.564985849167</v>
      </c>
      <c r="Y1077">
        <v>4.7295399097492918E-2</v>
      </c>
      <c r="Z1077">
        <v>0</v>
      </c>
    </row>
    <row r="1078" spans="1:26" x14ac:dyDescent="0.25">
      <c r="A1078" t="s">
        <v>143</v>
      </c>
      <c r="B1078" t="s">
        <v>78</v>
      </c>
      <c r="C1078" t="s">
        <v>86</v>
      </c>
      <c r="D1078">
        <v>0</v>
      </c>
      <c r="E1078">
        <v>2030</v>
      </c>
      <c r="F1078" t="s">
        <v>43</v>
      </c>
      <c r="G1078">
        <v>153987.37784910508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153987.37784910508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</row>
    <row r="1079" spans="1:26" x14ac:dyDescent="0.25">
      <c r="A1079" t="s">
        <v>143</v>
      </c>
      <c r="B1079" t="s">
        <v>31</v>
      </c>
      <c r="C1079" t="s">
        <v>86</v>
      </c>
      <c r="D1079">
        <v>0</v>
      </c>
      <c r="E1079">
        <v>2030</v>
      </c>
      <c r="F1079" t="s">
        <v>43</v>
      </c>
      <c r="G1079">
        <v>122853.28204903381</v>
      </c>
      <c r="H1079">
        <v>0</v>
      </c>
      <c r="I1079">
        <v>0</v>
      </c>
      <c r="J1079">
        <v>106960.41463921656</v>
      </c>
      <c r="K1079">
        <v>0</v>
      </c>
      <c r="L1079">
        <v>0</v>
      </c>
      <c r="M1079">
        <v>0</v>
      </c>
      <c r="N1079">
        <v>0</v>
      </c>
      <c r="O1079">
        <v>15892.867409817249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</row>
    <row r="1080" spans="1:26" x14ac:dyDescent="0.25">
      <c r="A1080" t="s">
        <v>143</v>
      </c>
      <c r="B1080" t="s">
        <v>29</v>
      </c>
      <c r="C1080" t="s">
        <v>77</v>
      </c>
      <c r="D1080">
        <v>1</v>
      </c>
      <c r="E1080">
        <v>2030</v>
      </c>
      <c r="F1080" t="s">
        <v>43</v>
      </c>
      <c r="G1080">
        <v>2409167.1046716827</v>
      </c>
      <c r="H1080">
        <v>721621.60770550347</v>
      </c>
      <c r="I1080">
        <v>0</v>
      </c>
      <c r="J1080">
        <v>256234.83946537593</v>
      </c>
      <c r="K1080">
        <v>952.06663022948101</v>
      </c>
      <c r="L1080">
        <v>0</v>
      </c>
      <c r="M1080">
        <v>0</v>
      </c>
      <c r="N1080">
        <v>0</v>
      </c>
      <c r="O1080">
        <v>1430358.5908705737</v>
      </c>
      <c r="P1080">
        <v>1430358.5908705737</v>
      </c>
      <c r="Q1080">
        <v>952.06663022948101</v>
      </c>
      <c r="R1080">
        <v>4.8987779235289937</v>
      </c>
      <c r="S1080">
        <v>4.9020386184482012</v>
      </c>
      <c r="T1080">
        <v>3.2606949192077409E-3</v>
      </c>
      <c r="U1080">
        <v>4.8987779235289937</v>
      </c>
      <c r="V1080">
        <v>443411.16316987784</v>
      </c>
      <c r="W1080">
        <v>443706.30382524902</v>
      </c>
      <c r="X1080">
        <v>295.14065537113913</v>
      </c>
      <c r="Y1080">
        <v>443411.16316987789</v>
      </c>
      <c r="Z1080">
        <v>0</v>
      </c>
    </row>
    <row r="1081" spans="1:26" x14ac:dyDescent="0.25">
      <c r="A1081" t="s">
        <v>143</v>
      </c>
      <c r="B1081" t="s">
        <v>69</v>
      </c>
      <c r="C1081" t="s">
        <v>86</v>
      </c>
      <c r="D1081">
        <v>0</v>
      </c>
      <c r="E1081">
        <v>2030</v>
      </c>
      <c r="F1081" t="s">
        <v>43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371889.1498666883</v>
      </c>
      <c r="M1081">
        <v>0</v>
      </c>
      <c r="N1081">
        <v>0</v>
      </c>
      <c r="O1081">
        <v>-371889.1498666883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1</v>
      </c>
    </row>
    <row r="1082" spans="1:26" x14ac:dyDescent="0.25">
      <c r="A1082" t="s">
        <v>143</v>
      </c>
      <c r="B1082" t="s">
        <v>45</v>
      </c>
      <c r="C1082" t="s">
        <v>74</v>
      </c>
      <c r="D1082">
        <v>1</v>
      </c>
      <c r="E1082">
        <v>2030</v>
      </c>
      <c r="F1082" t="s">
        <v>43</v>
      </c>
      <c r="G1082">
        <v>922789.17266620893</v>
      </c>
      <c r="H1082">
        <v>0</v>
      </c>
      <c r="I1082">
        <v>0</v>
      </c>
      <c r="J1082">
        <v>0</v>
      </c>
      <c r="K1082">
        <v>701319.77122631879</v>
      </c>
      <c r="L1082">
        <v>146723.47845392721</v>
      </c>
      <c r="M1082">
        <v>0</v>
      </c>
      <c r="N1082">
        <v>0</v>
      </c>
      <c r="O1082">
        <v>74745.922985962941</v>
      </c>
      <c r="P1082">
        <v>74745.922985962941</v>
      </c>
      <c r="Q1082">
        <v>701319.77122631879</v>
      </c>
      <c r="R1082">
        <v>3.7835638756264584E-2</v>
      </c>
      <c r="S1082">
        <v>0.39283669375331498</v>
      </c>
      <c r="T1082">
        <v>0.35500105499705037</v>
      </c>
      <c r="U1082">
        <v>3.7835638756264611E-2</v>
      </c>
      <c r="V1082">
        <v>5680.6901469331833</v>
      </c>
      <c r="W1082">
        <v>58980.992760133413</v>
      </c>
      <c r="X1082">
        <v>53300.302613200227</v>
      </c>
      <c r="Y1082">
        <v>5680.690146933186</v>
      </c>
      <c r="Z1082">
        <v>0</v>
      </c>
    </row>
    <row r="1083" spans="1:26" x14ac:dyDescent="0.25">
      <c r="A1083" t="s">
        <v>143</v>
      </c>
      <c r="B1083" t="s">
        <v>59</v>
      </c>
      <c r="C1083" t="s">
        <v>86</v>
      </c>
      <c r="D1083">
        <v>0</v>
      </c>
      <c r="E1083">
        <v>2030</v>
      </c>
      <c r="F1083" t="s">
        <v>43</v>
      </c>
      <c r="G1083">
        <v>115210.53389359287</v>
      </c>
      <c r="H1083">
        <v>186040.49371289229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-70829.959819299416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</row>
    <row r="1084" spans="1:26" x14ac:dyDescent="0.25">
      <c r="A1084" t="s">
        <v>143</v>
      </c>
      <c r="B1084" t="s">
        <v>54</v>
      </c>
      <c r="C1084" t="s">
        <v>76</v>
      </c>
      <c r="D1084">
        <v>1</v>
      </c>
      <c r="E1084">
        <v>2030</v>
      </c>
      <c r="F1084" t="s">
        <v>43</v>
      </c>
      <c r="G1084">
        <v>388994.37014569982</v>
      </c>
      <c r="H1084">
        <v>694353.26110928762</v>
      </c>
      <c r="I1084">
        <v>0</v>
      </c>
      <c r="J1084">
        <v>0</v>
      </c>
      <c r="K1084">
        <v>15333.686496408332</v>
      </c>
      <c r="L1084">
        <v>0</v>
      </c>
      <c r="M1084">
        <v>0</v>
      </c>
      <c r="N1084">
        <v>0</v>
      </c>
      <c r="O1084">
        <v>-320692.5774599961</v>
      </c>
      <c r="P1084">
        <v>0</v>
      </c>
      <c r="Q1084">
        <v>15333.686496408332</v>
      </c>
      <c r="R1084">
        <v>0</v>
      </c>
      <c r="S1084">
        <v>5.5047934522105921E-2</v>
      </c>
      <c r="T1084">
        <v>5.5047934522105921E-2</v>
      </c>
      <c r="U1084">
        <v>0</v>
      </c>
      <c r="V1084">
        <v>0</v>
      </c>
      <c r="W1084">
        <v>4600.1059489224999</v>
      </c>
      <c r="X1084">
        <v>4600.1059489224999</v>
      </c>
      <c r="Y1084">
        <v>0</v>
      </c>
      <c r="Z1084">
        <v>0</v>
      </c>
    </row>
    <row r="1085" spans="1:26" x14ac:dyDescent="0.25">
      <c r="A1085" t="s">
        <v>143</v>
      </c>
      <c r="B1085" t="s">
        <v>38</v>
      </c>
      <c r="C1085" t="s">
        <v>86</v>
      </c>
      <c r="D1085">
        <v>0</v>
      </c>
      <c r="E1085">
        <v>2030</v>
      </c>
      <c r="F1085" t="s">
        <v>43</v>
      </c>
      <c r="G1085">
        <v>222296.53737538058</v>
      </c>
      <c r="H1085">
        <v>0</v>
      </c>
      <c r="I1085">
        <v>0</v>
      </c>
      <c r="J1085">
        <v>409035.43180711387</v>
      </c>
      <c r="K1085">
        <v>0</v>
      </c>
      <c r="L1085">
        <v>0</v>
      </c>
      <c r="M1085">
        <v>0</v>
      </c>
      <c r="N1085">
        <v>0</v>
      </c>
      <c r="O1085">
        <v>-186738.89443173329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</row>
    <row r="1086" spans="1:26" x14ac:dyDescent="0.25">
      <c r="A1086" t="s">
        <v>143</v>
      </c>
      <c r="B1086" t="s">
        <v>35</v>
      </c>
      <c r="C1086" t="s">
        <v>79</v>
      </c>
      <c r="D1086">
        <v>1</v>
      </c>
      <c r="E1086">
        <v>2030</v>
      </c>
      <c r="F1086" t="s">
        <v>43</v>
      </c>
      <c r="G1086">
        <v>3243.3351780449079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3243.3351780449079</v>
      </c>
      <c r="P1086">
        <v>3243.3351780449079</v>
      </c>
      <c r="Q1086">
        <v>0</v>
      </c>
      <c r="R1086">
        <v>2.9108933222953054E-3</v>
      </c>
      <c r="S1086">
        <v>2.9108933222953054E-3</v>
      </c>
      <c r="T1086">
        <v>0</v>
      </c>
      <c r="U1086">
        <v>2.9108933222953054E-3</v>
      </c>
      <c r="V1086">
        <v>486.50027670673614</v>
      </c>
      <c r="W1086">
        <v>486.50027670673614</v>
      </c>
      <c r="X1086">
        <v>0</v>
      </c>
      <c r="Y1086">
        <v>486.50027670673614</v>
      </c>
      <c r="Z1086">
        <v>0</v>
      </c>
    </row>
    <row r="1087" spans="1:26" x14ac:dyDescent="0.25">
      <c r="A1087" t="s">
        <v>143</v>
      </c>
      <c r="B1087" t="s">
        <v>33</v>
      </c>
      <c r="C1087" t="s">
        <v>86</v>
      </c>
      <c r="D1087">
        <v>0</v>
      </c>
      <c r="E1087">
        <v>2030</v>
      </c>
      <c r="F1087" t="s">
        <v>43</v>
      </c>
      <c r="G1087">
        <v>7545.7953205064359</v>
      </c>
      <c r="H1087">
        <v>0</v>
      </c>
      <c r="I1087">
        <v>0</v>
      </c>
      <c r="J1087">
        <v>51975.70917962808</v>
      </c>
      <c r="K1087">
        <v>0</v>
      </c>
      <c r="L1087">
        <v>0</v>
      </c>
      <c r="M1087">
        <v>0</v>
      </c>
      <c r="N1087">
        <v>0</v>
      </c>
      <c r="O1087">
        <v>-44429.913859121647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</row>
    <row r="1088" spans="1:26" x14ac:dyDescent="0.25">
      <c r="A1088" t="s">
        <v>143</v>
      </c>
      <c r="B1088" t="s">
        <v>80</v>
      </c>
      <c r="C1088" t="s">
        <v>86</v>
      </c>
      <c r="D1088">
        <v>0</v>
      </c>
      <c r="E1088">
        <v>2030</v>
      </c>
      <c r="F1088" t="s">
        <v>43</v>
      </c>
      <c r="G1088">
        <v>418150.43620360433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418150.43620360433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</row>
    <row r="1089" spans="1:26" x14ac:dyDescent="0.25">
      <c r="A1089" t="s">
        <v>143</v>
      </c>
      <c r="B1089" t="s">
        <v>65</v>
      </c>
      <c r="C1089" t="s">
        <v>81</v>
      </c>
      <c r="D1089">
        <v>1</v>
      </c>
      <c r="E1089">
        <v>2030</v>
      </c>
      <c r="F1089" t="s">
        <v>43</v>
      </c>
      <c r="G1089">
        <v>39419.677245239443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39419.677245239443</v>
      </c>
      <c r="N1089">
        <v>0</v>
      </c>
      <c r="O1089">
        <v>0</v>
      </c>
      <c r="P1089">
        <v>0</v>
      </c>
      <c r="Q1089">
        <v>39419.677245239443</v>
      </c>
      <c r="R1089">
        <v>0</v>
      </c>
      <c r="S1089">
        <v>0.72532206131240562</v>
      </c>
      <c r="T1089">
        <v>0</v>
      </c>
      <c r="U1089">
        <v>0.72532206131240562</v>
      </c>
      <c r="V1089">
        <v>0</v>
      </c>
      <c r="W1089">
        <v>16359.166056774371</v>
      </c>
      <c r="X1089">
        <v>0</v>
      </c>
      <c r="Y1089">
        <v>16359.166056774371</v>
      </c>
      <c r="Z1089">
        <v>0</v>
      </c>
    </row>
    <row r="1090" spans="1:26" x14ac:dyDescent="0.25">
      <c r="A1090" t="s">
        <v>143</v>
      </c>
      <c r="B1090" t="s">
        <v>140</v>
      </c>
      <c r="C1090" t="s">
        <v>142</v>
      </c>
      <c r="D1090">
        <v>1</v>
      </c>
      <c r="E1090">
        <v>2030</v>
      </c>
      <c r="F1090" t="s">
        <v>43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</row>
    <row r="1091" spans="1:26" x14ac:dyDescent="0.25">
      <c r="A1091" t="s">
        <v>143</v>
      </c>
      <c r="B1091" t="s">
        <v>141</v>
      </c>
      <c r="C1091" t="s">
        <v>142</v>
      </c>
      <c r="D1091">
        <v>1</v>
      </c>
      <c r="E1091">
        <v>2030</v>
      </c>
      <c r="F1091" t="s">
        <v>43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</row>
    <row r="1092" spans="1:26" x14ac:dyDescent="0.25">
      <c r="A1092" t="s">
        <v>143</v>
      </c>
      <c r="B1092" t="s">
        <v>82</v>
      </c>
      <c r="C1092" t="s">
        <v>86</v>
      </c>
      <c r="D1092">
        <v>0</v>
      </c>
      <c r="E1092">
        <v>2030</v>
      </c>
      <c r="F1092" t="s">
        <v>43</v>
      </c>
      <c r="G1092">
        <v>346161.09873740864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346161.09873740864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</row>
    <row r="1093" spans="1:26" x14ac:dyDescent="0.25">
      <c r="A1093" t="s">
        <v>143</v>
      </c>
      <c r="B1093" t="s">
        <v>72</v>
      </c>
      <c r="C1093" t="s">
        <v>86</v>
      </c>
      <c r="D1093">
        <v>0</v>
      </c>
      <c r="E1093">
        <v>2030</v>
      </c>
      <c r="F1093" t="s">
        <v>43</v>
      </c>
      <c r="G1093">
        <v>204407.79128636757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204407.79128636757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</row>
    <row r="1094" spans="1:26" x14ac:dyDescent="0.25">
      <c r="A1094" t="s">
        <v>143</v>
      </c>
      <c r="B1094" t="s">
        <v>58</v>
      </c>
      <c r="C1094" t="s">
        <v>86</v>
      </c>
      <c r="D1094">
        <v>0</v>
      </c>
      <c r="E1094">
        <v>2030</v>
      </c>
      <c r="F1094" t="s">
        <v>43</v>
      </c>
      <c r="G1094">
        <v>102203.89564318379</v>
      </c>
      <c r="H1094">
        <v>26278.769501998377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75925.126141185407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</row>
    <row r="1095" spans="1:26" x14ac:dyDescent="0.25">
      <c r="A1095" t="s">
        <v>143</v>
      </c>
      <c r="B1095" t="s">
        <v>64</v>
      </c>
      <c r="C1095" t="s">
        <v>64</v>
      </c>
      <c r="D1095">
        <v>1</v>
      </c>
      <c r="E1095">
        <v>2030</v>
      </c>
      <c r="F1095" t="s">
        <v>43</v>
      </c>
      <c r="G1095">
        <v>65410.493211637622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65410.493211637622</v>
      </c>
      <c r="N1095">
        <v>0</v>
      </c>
      <c r="O1095">
        <v>0</v>
      </c>
      <c r="P1095">
        <v>0</v>
      </c>
      <c r="Q1095">
        <v>65410.493211637622</v>
      </c>
      <c r="R1095">
        <v>0</v>
      </c>
      <c r="S1095">
        <v>2.2893672624073167</v>
      </c>
      <c r="T1095">
        <v>0</v>
      </c>
      <c r="U1095">
        <v>2.2893672624073167</v>
      </c>
      <c r="V1095">
        <v>0</v>
      </c>
      <c r="W1095">
        <v>59523.548822590237</v>
      </c>
      <c r="X1095">
        <v>0</v>
      </c>
      <c r="Y1095">
        <v>59523.548822590237</v>
      </c>
      <c r="Z1095">
        <v>0</v>
      </c>
    </row>
    <row r="1096" spans="1:26" x14ac:dyDescent="0.25">
      <c r="A1096" t="s">
        <v>143</v>
      </c>
      <c r="B1096" t="s">
        <v>55</v>
      </c>
      <c r="C1096" t="s">
        <v>76</v>
      </c>
      <c r="D1096">
        <v>1</v>
      </c>
      <c r="E1096">
        <v>2030</v>
      </c>
      <c r="F1096" t="s">
        <v>43</v>
      </c>
      <c r="G1096">
        <v>2381738.5992335565</v>
      </c>
      <c r="H1096">
        <v>103245.8768300271</v>
      </c>
      <c r="I1096">
        <v>0</v>
      </c>
      <c r="J1096">
        <v>0</v>
      </c>
      <c r="K1096">
        <v>24569.279216726416</v>
      </c>
      <c r="L1096">
        <v>0</v>
      </c>
      <c r="M1096">
        <v>0</v>
      </c>
      <c r="N1096">
        <v>0</v>
      </c>
      <c r="O1096">
        <v>2253923.4431868028</v>
      </c>
      <c r="P1096">
        <v>1803779.2618535154</v>
      </c>
      <c r="Q1096">
        <v>24569.279216726416</v>
      </c>
      <c r="R1096">
        <v>4.8955290678409149</v>
      </c>
      <c r="S1096">
        <v>4.9622110744062793</v>
      </c>
      <c r="T1096">
        <v>6.668200656536416E-2</v>
      </c>
      <c r="U1096">
        <v>4.8955290678409149</v>
      </c>
      <c r="V1096">
        <v>360755.85237070313</v>
      </c>
      <c r="W1096">
        <v>365669.70821404835</v>
      </c>
      <c r="X1096">
        <v>4913.8558433452836</v>
      </c>
      <c r="Y1096">
        <v>360755.85237070307</v>
      </c>
      <c r="Z1096">
        <v>0</v>
      </c>
    </row>
    <row r="1097" spans="1:26" x14ac:dyDescent="0.25">
      <c r="A1097" t="s">
        <v>143</v>
      </c>
      <c r="B1097" t="s">
        <v>83</v>
      </c>
      <c r="C1097" t="s">
        <v>86</v>
      </c>
      <c r="D1097">
        <v>0</v>
      </c>
      <c r="E1097">
        <v>2030</v>
      </c>
      <c r="F1097" t="s">
        <v>43</v>
      </c>
      <c r="G1097">
        <v>22535.823292320583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22535.823292320583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</row>
    <row r="1098" spans="1:26" x14ac:dyDescent="0.25">
      <c r="A1098" t="s">
        <v>143</v>
      </c>
      <c r="B1098" t="s">
        <v>62</v>
      </c>
      <c r="C1098" t="s">
        <v>86</v>
      </c>
      <c r="D1098">
        <v>0</v>
      </c>
      <c r="E1098">
        <v>2030</v>
      </c>
      <c r="F1098" t="s">
        <v>43</v>
      </c>
      <c r="G1098">
        <v>18290.426254310609</v>
      </c>
      <c r="H1098">
        <v>4837.9324606189484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13452.493793691661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</row>
    <row r="1099" spans="1:26" x14ac:dyDescent="0.25">
      <c r="A1099" t="s">
        <v>143</v>
      </c>
      <c r="B1099" t="s">
        <v>47</v>
      </c>
      <c r="C1099" t="s">
        <v>73</v>
      </c>
      <c r="D1099">
        <v>1</v>
      </c>
      <c r="E1099">
        <v>2030</v>
      </c>
      <c r="F1099" t="s">
        <v>43</v>
      </c>
      <c r="G1099">
        <v>3344054.0907642334</v>
      </c>
      <c r="H1099">
        <v>0</v>
      </c>
      <c r="I1099">
        <v>0</v>
      </c>
      <c r="J1099">
        <v>0</v>
      </c>
      <c r="K1099">
        <v>1268228.6485488336</v>
      </c>
      <c r="L1099">
        <v>0</v>
      </c>
      <c r="M1099">
        <v>0</v>
      </c>
      <c r="N1099">
        <v>0</v>
      </c>
      <c r="O1099">
        <v>2075825.4422153998</v>
      </c>
      <c r="P1099">
        <v>2075825.4422153998</v>
      </c>
      <c r="Q1099">
        <v>1268228.6485488336</v>
      </c>
      <c r="R1099">
        <v>1.0358576539199069</v>
      </c>
      <c r="S1099">
        <v>1.6687164318322605</v>
      </c>
      <c r="T1099">
        <v>0.63285877791235357</v>
      </c>
      <c r="U1099">
        <v>1.0358576539199069</v>
      </c>
      <c r="V1099">
        <v>124549.52653292398</v>
      </c>
      <c r="W1099">
        <v>200643.245445854</v>
      </c>
      <c r="X1099">
        <v>76093.71891293001</v>
      </c>
      <c r="Y1099">
        <v>124549.52653292399</v>
      </c>
      <c r="Z1099">
        <v>0</v>
      </c>
    </row>
    <row r="1100" spans="1:26" x14ac:dyDescent="0.25">
      <c r="A1100" t="s">
        <v>143</v>
      </c>
      <c r="B1100" t="s">
        <v>44</v>
      </c>
      <c r="C1100" t="s">
        <v>74</v>
      </c>
      <c r="D1100">
        <v>1</v>
      </c>
      <c r="E1100">
        <v>2030</v>
      </c>
      <c r="F1100" t="s">
        <v>43</v>
      </c>
      <c r="G1100">
        <v>2184299.8380428459</v>
      </c>
      <c r="H1100">
        <v>0</v>
      </c>
      <c r="I1100">
        <v>0</v>
      </c>
      <c r="J1100">
        <v>0</v>
      </c>
      <c r="K1100">
        <v>1157678.9141627084</v>
      </c>
      <c r="L1100">
        <v>1026620.9238801375</v>
      </c>
      <c r="M1100">
        <v>0</v>
      </c>
      <c r="N1100">
        <v>0</v>
      </c>
      <c r="O1100">
        <v>0</v>
      </c>
      <c r="P1100">
        <v>0</v>
      </c>
      <c r="Q1100">
        <v>1157678.9141627084</v>
      </c>
      <c r="R1100">
        <v>0</v>
      </c>
      <c r="S1100">
        <v>0.49872807622129489</v>
      </c>
      <c r="T1100">
        <v>0.49872807622129489</v>
      </c>
      <c r="U1100">
        <v>0</v>
      </c>
      <c r="V1100">
        <v>0</v>
      </c>
      <c r="W1100">
        <v>57883.945708135427</v>
      </c>
      <c r="X1100">
        <v>57883.945708135427</v>
      </c>
      <c r="Y1100">
        <v>0</v>
      </c>
      <c r="Z1100">
        <v>0</v>
      </c>
    </row>
    <row r="1101" spans="1:26" x14ac:dyDescent="0.25">
      <c r="A1101" t="s">
        <v>143</v>
      </c>
      <c r="B1101" t="s">
        <v>32</v>
      </c>
      <c r="C1101" t="s">
        <v>86</v>
      </c>
      <c r="D1101">
        <v>0</v>
      </c>
      <c r="E1101">
        <v>2030</v>
      </c>
      <c r="F1101" t="s">
        <v>43</v>
      </c>
      <c r="G1101">
        <v>199670.11202830033</v>
      </c>
      <c r="H1101">
        <v>0</v>
      </c>
      <c r="I1101">
        <v>0</v>
      </c>
      <c r="J1101">
        <v>105526.43984954793</v>
      </c>
      <c r="K1101">
        <v>0</v>
      </c>
      <c r="L1101">
        <v>0</v>
      </c>
      <c r="M1101">
        <v>0</v>
      </c>
      <c r="N1101">
        <v>0</v>
      </c>
      <c r="O1101">
        <v>94143.6721787524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</row>
    <row r="1102" spans="1:26" x14ac:dyDescent="0.25">
      <c r="A1102" t="s">
        <v>143</v>
      </c>
      <c r="B1102" t="s">
        <v>36</v>
      </c>
      <c r="C1102" t="s">
        <v>79</v>
      </c>
      <c r="D1102">
        <v>1</v>
      </c>
      <c r="E1102">
        <v>2030</v>
      </c>
      <c r="F1102" t="s">
        <v>43</v>
      </c>
      <c r="G1102">
        <v>3600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3600</v>
      </c>
      <c r="P1102">
        <v>3600</v>
      </c>
      <c r="Q1102">
        <v>0</v>
      </c>
      <c r="R1102">
        <v>3.2310000000000004E-3</v>
      </c>
      <c r="S1102">
        <v>3.2310000000000004E-3</v>
      </c>
      <c r="T1102">
        <v>0</v>
      </c>
      <c r="U1102">
        <v>3.2310000000000004E-3</v>
      </c>
      <c r="V1102">
        <v>540</v>
      </c>
      <c r="W1102">
        <v>540</v>
      </c>
      <c r="X1102">
        <v>0</v>
      </c>
      <c r="Y1102">
        <v>540</v>
      </c>
      <c r="Z1102">
        <v>0</v>
      </c>
    </row>
    <row r="1103" spans="1:26" x14ac:dyDescent="0.25">
      <c r="A1103" t="s">
        <v>143</v>
      </c>
      <c r="B1103" t="s">
        <v>84</v>
      </c>
      <c r="C1103" t="s">
        <v>86</v>
      </c>
      <c r="D1103">
        <v>1</v>
      </c>
      <c r="E1103">
        <v>2030</v>
      </c>
      <c r="F1103" t="s">
        <v>43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</row>
    <row r="1104" spans="1:26" x14ac:dyDescent="0.25">
      <c r="A1104" t="s">
        <v>143</v>
      </c>
      <c r="B1104" t="s">
        <v>66</v>
      </c>
      <c r="C1104" t="s">
        <v>81</v>
      </c>
      <c r="D1104">
        <v>1</v>
      </c>
      <c r="E1104">
        <v>2030</v>
      </c>
      <c r="F1104" t="s">
        <v>43</v>
      </c>
      <c r="G1104">
        <v>645037.98201828008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645037.98201828008</v>
      </c>
      <c r="N1104">
        <v>0</v>
      </c>
      <c r="O1104">
        <v>0</v>
      </c>
      <c r="P1104">
        <v>0</v>
      </c>
      <c r="Q1104">
        <v>645037.98201828008</v>
      </c>
      <c r="R1104">
        <v>0</v>
      </c>
      <c r="S1104">
        <v>9.3489024359990136</v>
      </c>
      <c r="T1104">
        <v>0</v>
      </c>
      <c r="U1104">
        <v>9.3489024359990136</v>
      </c>
      <c r="V1104">
        <v>0</v>
      </c>
      <c r="W1104">
        <v>319025.0352732077</v>
      </c>
      <c r="X1104">
        <v>0</v>
      </c>
      <c r="Y1104">
        <v>319025.0352732077</v>
      </c>
      <c r="Z1104">
        <v>0</v>
      </c>
    </row>
    <row r="1105" spans="1:26" x14ac:dyDescent="0.25">
      <c r="A1105" t="s">
        <v>143</v>
      </c>
      <c r="B1105" t="s">
        <v>85</v>
      </c>
      <c r="C1105" t="s">
        <v>86</v>
      </c>
      <c r="D1105">
        <v>0</v>
      </c>
      <c r="E1105">
        <v>2030</v>
      </c>
      <c r="F1105" t="s">
        <v>43</v>
      </c>
      <c r="G1105">
        <v>177359.22120275494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177359.22120275494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</row>
    <row r="1106" spans="1:26" x14ac:dyDescent="0.25">
      <c r="A1106" t="s">
        <v>143</v>
      </c>
      <c r="B1106" t="s">
        <v>40</v>
      </c>
      <c r="C1106" t="s">
        <v>86</v>
      </c>
      <c r="D1106">
        <v>0</v>
      </c>
      <c r="E1106">
        <v>2050</v>
      </c>
      <c r="F1106" t="s">
        <v>43</v>
      </c>
      <c r="G1106">
        <v>17476.099590900943</v>
      </c>
      <c r="H1106">
        <v>0</v>
      </c>
      <c r="I1106">
        <v>0</v>
      </c>
      <c r="J1106">
        <v>29532.002020101954</v>
      </c>
      <c r="K1106">
        <v>0</v>
      </c>
      <c r="L1106">
        <v>0</v>
      </c>
      <c r="M1106">
        <v>0</v>
      </c>
      <c r="N1106">
        <v>0</v>
      </c>
      <c r="O1106">
        <v>-12055.902429201011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</row>
    <row r="1107" spans="1:26" x14ac:dyDescent="0.25">
      <c r="A1107" t="s">
        <v>143</v>
      </c>
      <c r="B1107" t="s">
        <v>34</v>
      </c>
      <c r="C1107" t="s">
        <v>86</v>
      </c>
      <c r="D1107">
        <v>0</v>
      </c>
      <c r="E1107">
        <v>2050</v>
      </c>
      <c r="F1107" t="s">
        <v>43</v>
      </c>
      <c r="G1107">
        <v>27846.800257878294</v>
      </c>
      <c r="H1107">
        <v>7916.616753740097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19930.183504138196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</row>
    <row r="1108" spans="1:26" x14ac:dyDescent="0.25">
      <c r="A1108" t="s">
        <v>143</v>
      </c>
      <c r="B1108" t="s">
        <v>48</v>
      </c>
      <c r="C1108" t="s">
        <v>73</v>
      </c>
      <c r="D1108">
        <v>1</v>
      </c>
      <c r="E1108">
        <v>2050</v>
      </c>
      <c r="F1108" t="s">
        <v>43</v>
      </c>
      <c r="G1108">
        <v>172292.68030975034</v>
      </c>
      <c r="H1108">
        <v>0</v>
      </c>
      <c r="I1108">
        <v>0</v>
      </c>
      <c r="J1108">
        <v>0</v>
      </c>
      <c r="K1108">
        <v>172292.76645701908</v>
      </c>
      <c r="L1108">
        <v>0</v>
      </c>
      <c r="M1108">
        <v>0</v>
      </c>
      <c r="N1108">
        <v>0</v>
      </c>
      <c r="O1108">
        <v>-8.6147268739296123E-2</v>
      </c>
      <c r="P1108">
        <v>0</v>
      </c>
      <c r="Q1108">
        <v>172292.76645701908</v>
      </c>
      <c r="R1108">
        <v>0</v>
      </c>
      <c r="S1108">
        <v>0.58698594897008305</v>
      </c>
      <c r="T1108">
        <v>0.58698594897008305</v>
      </c>
      <c r="U1108">
        <v>0</v>
      </c>
      <c r="V1108">
        <v>0</v>
      </c>
      <c r="W1108">
        <v>48241.974607965349</v>
      </c>
      <c r="X1108">
        <v>48241.974607965349</v>
      </c>
      <c r="Y1108">
        <v>0</v>
      </c>
      <c r="Z1108">
        <v>1</v>
      </c>
    </row>
    <row r="1109" spans="1:26" x14ac:dyDescent="0.25">
      <c r="A1109" t="s">
        <v>143</v>
      </c>
      <c r="B1109" t="s">
        <v>11</v>
      </c>
      <c r="C1109" t="s">
        <v>86</v>
      </c>
      <c r="D1109">
        <v>1</v>
      </c>
      <c r="E1109">
        <v>2050</v>
      </c>
      <c r="F1109" t="s">
        <v>43</v>
      </c>
      <c r="G1109">
        <v>109846697.94483337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109846697.94483337</v>
      </c>
      <c r="N1109">
        <v>0</v>
      </c>
      <c r="O1109">
        <v>0</v>
      </c>
      <c r="P1109">
        <v>0</v>
      </c>
      <c r="Q1109">
        <v>109846697.94483337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</row>
    <row r="1110" spans="1:26" x14ac:dyDescent="0.25">
      <c r="A1110" t="s">
        <v>143</v>
      </c>
      <c r="B1110" t="s">
        <v>68</v>
      </c>
      <c r="C1110" t="s">
        <v>86</v>
      </c>
      <c r="D1110">
        <v>0</v>
      </c>
      <c r="E1110">
        <v>2050</v>
      </c>
      <c r="F1110" t="s">
        <v>43</v>
      </c>
      <c r="G1110">
        <v>3485476.5557184103</v>
      </c>
      <c r="H1110">
        <v>0</v>
      </c>
      <c r="I1110">
        <v>0</v>
      </c>
      <c r="J1110">
        <v>0</v>
      </c>
      <c r="K1110">
        <v>0</v>
      </c>
      <c r="L1110">
        <v>3027912.4262798992</v>
      </c>
      <c r="M1110">
        <v>0</v>
      </c>
      <c r="N1110">
        <v>0</v>
      </c>
      <c r="O1110">
        <v>457564.1294385111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</row>
    <row r="1111" spans="1:26" x14ac:dyDescent="0.25">
      <c r="A1111" t="s">
        <v>143</v>
      </c>
      <c r="B1111" t="s">
        <v>51</v>
      </c>
      <c r="C1111" t="s">
        <v>73</v>
      </c>
      <c r="D1111">
        <v>1</v>
      </c>
      <c r="E1111">
        <v>2050</v>
      </c>
      <c r="F1111" t="s">
        <v>43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</row>
    <row r="1112" spans="1:26" x14ac:dyDescent="0.25">
      <c r="A1112" t="s">
        <v>143</v>
      </c>
      <c r="B1112" t="s">
        <v>50</v>
      </c>
      <c r="C1112" t="s">
        <v>74</v>
      </c>
      <c r="D1112">
        <v>1</v>
      </c>
      <c r="E1112">
        <v>2050</v>
      </c>
      <c r="F1112" t="s">
        <v>43</v>
      </c>
      <c r="G1112">
        <v>377058.10701599991</v>
      </c>
      <c r="H1112">
        <v>0</v>
      </c>
      <c r="I1112">
        <v>0</v>
      </c>
      <c r="J1112">
        <v>0</v>
      </c>
      <c r="K1112">
        <v>188529.05350799995</v>
      </c>
      <c r="L1112">
        <v>71371.713113742837</v>
      </c>
      <c r="M1112">
        <v>0</v>
      </c>
      <c r="N1112">
        <v>0</v>
      </c>
      <c r="O1112">
        <v>117157.3403942571</v>
      </c>
      <c r="P1112">
        <v>117157.3403942571</v>
      </c>
      <c r="Q1112">
        <v>188529.05350799995</v>
      </c>
      <c r="R1112">
        <v>0.25235691120922982</v>
      </c>
      <c r="S1112">
        <v>0.65844849246546167</v>
      </c>
      <c r="T1112">
        <v>0.4060915812562319</v>
      </c>
      <c r="U1112">
        <v>0.25235691120922976</v>
      </c>
      <c r="V1112">
        <v>35147.202118277128</v>
      </c>
      <c r="W1112">
        <v>91705.91817067712</v>
      </c>
      <c r="X1112">
        <v>56558.716052399985</v>
      </c>
      <c r="Y1112">
        <v>35147.202118277135</v>
      </c>
      <c r="Z1112">
        <v>0</v>
      </c>
    </row>
    <row r="1113" spans="1:26" x14ac:dyDescent="0.25">
      <c r="A1113" t="s">
        <v>143</v>
      </c>
      <c r="B1113" t="s">
        <v>60</v>
      </c>
      <c r="C1113" t="s">
        <v>86</v>
      </c>
      <c r="D1113">
        <v>0</v>
      </c>
      <c r="E1113">
        <v>2050</v>
      </c>
      <c r="F1113" t="s">
        <v>43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</row>
    <row r="1114" spans="1:26" x14ac:dyDescent="0.25">
      <c r="A1114" t="s">
        <v>143</v>
      </c>
      <c r="B1114" t="s">
        <v>46</v>
      </c>
      <c r="C1114" t="s">
        <v>74</v>
      </c>
      <c r="D1114">
        <v>1</v>
      </c>
      <c r="E1114">
        <v>2050</v>
      </c>
      <c r="F1114" t="s">
        <v>43</v>
      </c>
      <c r="G1114">
        <v>723.09839736855315</v>
      </c>
      <c r="H1114">
        <v>0</v>
      </c>
      <c r="I1114">
        <v>0</v>
      </c>
      <c r="J1114">
        <v>0</v>
      </c>
      <c r="K1114">
        <v>361.54919868427658</v>
      </c>
      <c r="L1114">
        <v>273.74439328952366</v>
      </c>
      <c r="M1114">
        <v>0</v>
      </c>
      <c r="N1114">
        <v>0</v>
      </c>
      <c r="O1114">
        <v>87.804805394752975</v>
      </c>
      <c r="P1114">
        <v>87.804805394752975</v>
      </c>
      <c r="Q1114">
        <v>361.54919868427658</v>
      </c>
      <c r="R1114">
        <v>4.1293721929098376E-5</v>
      </c>
      <c r="S1114">
        <v>2.1132669457832681E-4</v>
      </c>
      <c r="T1114">
        <v>1.7003297264922844E-4</v>
      </c>
      <c r="U1114">
        <v>4.1293721929098369E-5</v>
      </c>
      <c r="V1114">
        <v>5.5317027398694378</v>
      </c>
      <c r="W1114">
        <v>28.30930225697886</v>
      </c>
      <c r="X1114">
        <v>22.777599517109426</v>
      </c>
      <c r="Y1114">
        <v>5.5317027398694343</v>
      </c>
      <c r="Z1114">
        <v>0</v>
      </c>
    </row>
    <row r="1115" spans="1:26" x14ac:dyDescent="0.25">
      <c r="A1115" t="s">
        <v>143</v>
      </c>
      <c r="B1115" t="s">
        <v>39</v>
      </c>
      <c r="C1115" t="s">
        <v>86</v>
      </c>
      <c r="D1115">
        <v>0</v>
      </c>
      <c r="E1115">
        <v>2050</v>
      </c>
      <c r="F1115" t="s">
        <v>43</v>
      </c>
      <c r="G1115">
        <v>14575.114892812006</v>
      </c>
      <c r="H1115">
        <v>0</v>
      </c>
      <c r="I1115">
        <v>0</v>
      </c>
      <c r="J1115">
        <v>31993.002188443785</v>
      </c>
      <c r="K1115">
        <v>0</v>
      </c>
      <c r="L1115">
        <v>0</v>
      </c>
      <c r="M1115">
        <v>0</v>
      </c>
      <c r="N1115">
        <v>0</v>
      </c>
      <c r="O1115">
        <v>-17417.887295631779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</row>
    <row r="1116" spans="1:26" x14ac:dyDescent="0.25">
      <c r="A1116" t="s">
        <v>143</v>
      </c>
      <c r="B1116" t="s">
        <v>75</v>
      </c>
      <c r="C1116" t="s">
        <v>86</v>
      </c>
      <c r="D1116">
        <v>0</v>
      </c>
      <c r="E1116">
        <v>2050</v>
      </c>
      <c r="F1116" t="s">
        <v>43</v>
      </c>
      <c r="G1116">
        <v>629229.83697533351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629229.83697533351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</row>
    <row r="1117" spans="1:26" x14ac:dyDescent="0.25">
      <c r="A1117" t="s">
        <v>143</v>
      </c>
      <c r="B1117" t="s">
        <v>41</v>
      </c>
      <c r="C1117" t="s">
        <v>86</v>
      </c>
      <c r="D1117">
        <v>0</v>
      </c>
      <c r="E1117">
        <v>2050</v>
      </c>
      <c r="F1117" t="s">
        <v>43</v>
      </c>
      <c r="G1117">
        <v>16274.021455837808</v>
      </c>
      <c r="H1117">
        <v>0</v>
      </c>
      <c r="I1117">
        <v>0</v>
      </c>
      <c r="J1117">
        <v>233795.01599247381</v>
      </c>
      <c r="K1117">
        <v>0</v>
      </c>
      <c r="L1117">
        <v>0</v>
      </c>
      <c r="M1117">
        <v>0</v>
      </c>
      <c r="N1117">
        <v>0</v>
      </c>
      <c r="O1117">
        <v>-217520.99453663599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1</v>
      </c>
    </row>
    <row r="1118" spans="1:26" x14ac:dyDescent="0.25">
      <c r="A1118" t="s">
        <v>143</v>
      </c>
      <c r="B1118" t="s">
        <v>57</v>
      </c>
      <c r="C1118" t="s">
        <v>57</v>
      </c>
      <c r="D1118">
        <v>1</v>
      </c>
      <c r="E1118">
        <v>2050</v>
      </c>
      <c r="F1118" t="s">
        <v>43</v>
      </c>
      <c r="G1118">
        <v>0</v>
      </c>
      <c r="H1118">
        <v>0</v>
      </c>
      <c r="I1118">
        <v>0</v>
      </c>
      <c r="J1118">
        <v>0</v>
      </c>
      <c r="K1118">
        <v>28548.400000000001</v>
      </c>
      <c r="L1118">
        <v>0</v>
      </c>
      <c r="M1118">
        <v>0</v>
      </c>
      <c r="N1118">
        <v>0</v>
      </c>
      <c r="O1118">
        <v>-28548.400000000001</v>
      </c>
      <c r="P1118">
        <v>0</v>
      </c>
      <c r="Q1118">
        <v>28548.400000000001</v>
      </c>
      <c r="R1118">
        <v>0</v>
      </c>
      <c r="S1118">
        <v>0.43389639740160008</v>
      </c>
      <c r="T1118">
        <v>0.43389639740160008</v>
      </c>
      <c r="U1118">
        <v>0</v>
      </c>
      <c r="V1118">
        <v>0</v>
      </c>
      <c r="W1118">
        <v>25693.56</v>
      </c>
      <c r="X1118">
        <v>25693.56</v>
      </c>
      <c r="Y1118">
        <v>0</v>
      </c>
      <c r="Z1118">
        <v>1</v>
      </c>
    </row>
    <row r="1119" spans="1:26" x14ac:dyDescent="0.25">
      <c r="A1119" t="s">
        <v>143</v>
      </c>
      <c r="B1119" t="s">
        <v>53</v>
      </c>
      <c r="C1119" t="s">
        <v>76</v>
      </c>
      <c r="D1119">
        <v>1</v>
      </c>
      <c r="E1119">
        <v>2050</v>
      </c>
      <c r="F1119" t="s">
        <v>43</v>
      </c>
      <c r="G1119">
        <v>2163650.2851152783</v>
      </c>
      <c r="H1119">
        <v>1502068.0760117143</v>
      </c>
      <c r="I1119">
        <v>0</v>
      </c>
      <c r="J1119">
        <v>0</v>
      </c>
      <c r="K1119">
        <v>10149.946321457959</v>
      </c>
      <c r="L1119">
        <v>0</v>
      </c>
      <c r="M1119">
        <v>0</v>
      </c>
      <c r="N1119">
        <v>0</v>
      </c>
      <c r="O1119">
        <v>651432.26278210618</v>
      </c>
      <c r="P1119">
        <v>651432.26278210618</v>
      </c>
      <c r="Q1119">
        <v>10149.946321457959</v>
      </c>
      <c r="R1119">
        <v>1.1985539344862277</v>
      </c>
      <c r="S1119">
        <v>1.2172285669744203</v>
      </c>
      <c r="T1119">
        <v>1.8674632488192462E-2</v>
      </c>
      <c r="U1119">
        <v>1.1985539344862277</v>
      </c>
      <c r="V1119">
        <v>182401.03357898974</v>
      </c>
      <c r="W1119">
        <v>185243.01854899799</v>
      </c>
      <c r="X1119">
        <v>2841.9849700082286</v>
      </c>
      <c r="Y1119">
        <v>182401.03357898977</v>
      </c>
      <c r="Z1119">
        <v>0</v>
      </c>
    </row>
    <row r="1120" spans="1:26" x14ac:dyDescent="0.25">
      <c r="A1120" t="s">
        <v>143</v>
      </c>
      <c r="B1120" t="s">
        <v>61</v>
      </c>
      <c r="C1120" t="s">
        <v>86</v>
      </c>
      <c r="D1120">
        <v>0</v>
      </c>
      <c r="E1120">
        <v>2050</v>
      </c>
      <c r="F1120" t="s">
        <v>43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</row>
    <row r="1121" spans="1:26" x14ac:dyDescent="0.25">
      <c r="A1121" t="s">
        <v>143</v>
      </c>
      <c r="B1121" t="s">
        <v>30</v>
      </c>
      <c r="C1121" t="s">
        <v>86</v>
      </c>
      <c r="D1121">
        <v>0</v>
      </c>
      <c r="E1121">
        <v>2050</v>
      </c>
      <c r="F1121" t="s">
        <v>43</v>
      </c>
      <c r="G1121">
        <v>98333.203509519633</v>
      </c>
      <c r="H1121">
        <v>0</v>
      </c>
      <c r="I1121">
        <v>0</v>
      </c>
      <c r="J1121">
        <v>244869.51675001203</v>
      </c>
      <c r="K1121">
        <v>0</v>
      </c>
      <c r="L1121">
        <v>0</v>
      </c>
      <c r="M1121">
        <v>0</v>
      </c>
      <c r="N1121">
        <v>0</v>
      </c>
      <c r="O1121">
        <v>-146536.3132404924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1</v>
      </c>
    </row>
    <row r="1122" spans="1:26" x14ac:dyDescent="0.25">
      <c r="A1122" t="s">
        <v>143</v>
      </c>
      <c r="B1122" t="s">
        <v>52</v>
      </c>
      <c r="C1122" t="s">
        <v>77</v>
      </c>
      <c r="D1122">
        <v>1</v>
      </c>
      <c r="E1122">
        <v>2050</v>
      </c>
      <c r="F1122" t="s">
        <v>43</v>
      </c>
      <c r="G1122">
        <v>917722.26759868616</v>
      </c>
      <c r="H1122">
        <v>94889.448034412548</v>
      </c>
      <c r="I1122">
        <v>103062.42440743271</v>
      </c>
      <c r="J1122">
        <v>0</v>
      </c>
      <c r="K1122">
        <v>23390.092564080911</v>
      </c>
      <c r="L1122">
        <v>0</v>
      </c>
      <c r="M1122">
        <v>696380.30259275995</v>
      </c>
      <c r="N1122">
        <v>0</v>
      </c>
      <c r="O1122">
        <v>0</v>
      </c>
      <c r="P1122">
        <v>0</v>
      </c>
      <c r="Q1122">
        <v>719770.39515684091</v>
      </c>
      <c r="R1122">
        <v>0</v>
      </c>
      <c r="S1122">
        <v>7.3325084602684676</v>
      </c>
      <c r="T1122">
        <v>0.13485651428191106</v>
      </c>
      <c r="U1122">
        <v>7.1976519459865562</v>
      </c>
      <c r="V1122">
        <v>0</v>
      </c>
      <c r="W1122">
        <v>611804.83588331472</v>
      </c>
      <c r="X1122">
        <v>19881.578679468774</v>
      </c>
      <c r="Y1122">
        <v>591923.25720384601</v>
      </c>
      <c r="Z1122">
        <v>0</v>
      </c>
    </row>
    <row r="1123" spans="1:26" x14ac:dyDescent="0.25">
      <c r="A1123" t="s">
        <v>143</v>
      </c>
      <c r="B1123" t="s">
        <v>56</v>
      </c>
      <c r="C1123" t="s">
        <v>73</v>
      </c>
      <c r="D1123">
        <v>1</v>
      </c>
      <c r="E1123">
        <v>2050</v>
      </c>
      <c r="F1123" t="s">
        <v>43</v>
      </c>
      <c r="G1123">
        <v>457927.02496060182</v>
      </c>
      <c r="H1123">
        <v>0</v>
      </c>
      <c r="I1123">
        <v>0</v>
      </c>
      <c r="J1123">
        <v>0</v>
      </c>
      <c r="K1123">
        <v>36.343081867307831</v>
      </c>
      <c r="L1123">
        <v>0</v>
      </c>
      <c r="M1123">
        <v>457890.6818787345</v>
      </c>
      <c r="N1123">
        <v>0</v>
      </c>
      <c r="O1123">
        <v>0</v>
      </c>
      <c r="P1123">
        <v>0</v>
      </c>
      <c r="Q1123">
        <v>457927.02496060182</v>
      </c>
      <c r="R1123">
        <v>0</v>
      </c>
      <c r="S1123">
        <v>8.1744271403578974</v>
      </c>
      <c r="T1123">
        <v>6.1713097026419407E-5</v>
      </c>
      <c r="U1123">
        <v>8.1743654272608701</v>
      </c>
      <c r="V1123">
        <v>0</v>
      </c>
      <c r="W1123">
        <v>137378.10748818054</v>
      </c>
      <c r="X1123">
        <v>10.902924560192348</v>
      </c>
      <c r="Y1123">
        <v>137367.20456362035</v>
      </c>
      <c r="Z1123">
        <v>0</v>
      </c>
    </row>
    <row r="1124" spans="1:26" x14ac:dyDescent="0.25">
      <c r="A1124" t="s">
        <v>143</v>
      </c>
      <c r="B1124" t="s">
        <v>63</v>
      </c>
      <c r="C1124" t="s">
        <v>86</v>
      </c>
      <c r="D1124">
        <v>0</v>
      </c>
      <c r="E1124">
        <v>2050</v>
      </c>
      <c r="F1124" t="s">
        <v>43</v>
      </c>
      <c r="G1124">
        <v>0</v>
      </c>
      <c r="H1124">
        <v>592646.72642582108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-592646.72642582108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1</v>
      </c>
    </row>
    <row r="1125" spans="1:26" x14ac:dyDescent="0.25">
      <c r="A1125" t="s">
        <v>143</v>
      </c>
      <c r="B1125" t="s">
        <v>49</v>
      </c>
      <c r="C1125" t="s">
        <v>73</v>
      </c>
      <c r="D1125">
        <v>1</v>
      </c>
      <c r="E1125">
        <v>2050</v>
      </c>
      <c r="F1125" t="s">
        <v>43</v>
      </c>
      <c r="G1125">
        <v>203334.81459864558</v>
      </c>
      <c r="H1125">
        <v>0</v>
      </c>
      <c r="I1125">
        <v>0</v>
      </c>
      <c r="J1125">
        <v>0</v>
      </c>
      <c r="K1125">
        <v>203334.8469193347</v>
      </c>
      <c r="L1125">
        <v>0</v>
      </c>
      <c r="M1125">
        <v>0</v>
      </c>
      <c r="N1125">
        <v>0</v>
      </c>
      <c r="O1125">
        <v>-3.2320689118932933E-2</v>
      </c>
      <c r="P1125">
        <v>0</v>
      </c>
      <c r="Q1125">
        <v>203334.8469193347</v>
      </c>
      <c r="R1125">
        <v>0</v>
      </c>
      <c r="S1125">
        <v>0.74891487644684029</v>
      </c>
      <c r="T1125">
        <v>0.74891487644684029</v>
      </c>
      <c r="U1125">
        <v>0</v>
      </c>
      <c r="V1125">
        <v>0</v>
      </c>
      <c r="W1125">
        <v>85400.635706120564</v>
      </c>
      <c r="X1125">
        <v>85400.635706120564</v>
      </c>
      <c r="Y1125">
        <v>0</v>
      </c>
      <c r="Z1125">
        <v>1</v>
      </c>
    </row>
    <row r="1126" spans="1:26" x14ac:dyDescent="0.25">
      <c r="A1126" t="s">
        <v>143</v>
      </c>
      <c r="B1126" t="s">
        <v>78</v>
      </c>
      <c r="C1126" t="s">
        <v>86</v>
      </c>
      <c r="D1126">
        <v>0</v>
      </c>
      <c r="E1126">
        <v>2050</v>
      </c>
      <c r="F1126" t="s">
        <v>43</v>
      </c>
      <c r="G1126">
        <v>150184.32869116802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150184.32869116802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</row>
    <row r="1127" spans="1:26" x14ac:dyDescent="0.25">
      <c r="A1127" t="s">
        <v>143</v>
      </c>
      <c r="B1127" t="s">
        <v>31</v>
      </c>
      <c r="C1127" t="s">
        <v>86</v>
      </c>
      <c r="D1127">
        <v>0</v>
      </c>
      <c r="E1127">
        <v>2050</v>
      </c>
      <c r="F1127" t="s">
        <v>43</v>
      </c>
      <c r="G1127">
        <v>119824.59197839584</v>
      </c>
      <c r="H1127">
        <v>0</v>
      </c>
      <c r="I1127">
        <v>0</v>
      </c>
      <c r="J1127">
        <v>111975.50765955324</v>
      </c>
      <c r="K1127">
        <v>0</v>
      </c>
      <c r="L1127">
        <v>0</v>
      </c>
      <c r="M1127">
        <v>0</v>
      </c>
      <c r="N1127">
        <v>0</v>
      </c>
      <c r="O1127">
        <v>7849.0843188425933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</row>
    <row r="1128" spans="1:26" x14ac:dyDescent="0.25">
      <c r="A1128" t="s">
        <v>143</v>
      </c>
      <c r="B1128" t="s">
        <v>29</v>
      </c>
      <c r="C1128" t="s">
        <v>77</v>
      </c>
      <c r="D1128">
        <v>1</v>
      </c>
      <c r="E1128">
        <v>2050</v>
      </c>
      <c r="F1128" t="s">
        <v>43</v>
      </c>
      <c r="G1128">
        <v>2360239.3885877775</v>
      </c>
      <c r="H1128">
        <v>721621.60770550335</v>
      </c>
      <c r="I1128">
        <v>0</v>
      </c>
      <c r="J1128">
        <v>268249.01834925939</v>
      </c>
      <c r="K1128">
        <v>960.24397829585632</v>
      </c>
      <c r="L1128">
        <v>0</v>
      </c>
      <c r="M1128">
        <v>0</v>
      </c>
      <c r="N1128">
        <v>0</v>
      </c>
      <c r="O1128">
        <v>1369408.5185547189</v>
      </c>
      <c r="P1128">
        <v>1369408.5185547189</v>
      </c>
      <c r="Q1128">
        <v>960.24397829585632</v>
      </c>
      <c r="R1128">
        <v>4.6900324588573152</v>
      </c>
      <c r="S1128">
        <v>4.6933211600488214</v>
      </c>
      <c r="T1128">
        <v>3.288701191506347E-3</v>
      </c>
      <c r="U1128">
        <v>4.6900324588573152</v>
      </c>
      <c r="V1128">
        <v>424516.64075196284</v>
      </c>
      <c r="W1128">
        <v>424814.31638523459</v>
      </c>
      <c r="X1128">
        <v>297.67563327171547</v>
      </c>
      <c r="Y1128">
        <v>424516.6407519629</v>
      </c>
      <c r="Z1128">
        <v>0</v>
      </c>
    </row>
    <row r="1129" spans="1:26" x14ac:dyDescent="0.25">
      <c r="A1129" t="s">
        <v>143</v>
      </c>
      <c r="B1129" t="s">
        <v>69</v>
      </c>
      <c r="C1129" t="s">
        <v>86</v>
      </c>
      <c r="D1129">
        <v>0</v>
      </c>
      <c r="E1129">
        <v>2050</v>
      </c>
      <c r="F1129" t="s">
        <v>43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362262.716942953</v>
      </c>
      <c r="M1129">
        <v>0</v>
      </c>
      <c r="N1129">
        <v>0</v>
      </c>
      <c r="O1129">
        <v>-362262.716942953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1</v>
      </c>
    </row>
    <row r="1130" spans="1:26" x14ac:dyDescent="0.25">
      <c r="A1130" t="s">
        <v>143</v>
      </c>
      <c r="B1130" t="s">
        <v>45</v>
      </c>
      <c r="C1130" t="s">
        <v>74</v>
      </c>
      <c r="D1130">
        <v>1</v>
      </c>
      <c r="E1130">
        <v>2050</v>
      </c>
      <c r="F1130" t="s">
        <v>43</v>
      </c>
      <c r="G1130">
        <v>905156.40673249087</v>
      </c>
      <c r="H1130">
        <v>0</v>
      </c>
      <c r="I1130">
        <v>0</v>
      </c>
      <c r="J1130">
        <v>0</v>
      </c>
      <c r="K1130">
        <v>687918.86911669304</v>
      </c>
      <c r="L1130">
        <v>143919.86867046604</v>
      </c>
      <c r="M1130">
        <v>0</v>
      </c>
      <c r="N1130">
        <v>0</v>
      </c>
      <c r="O1130">
        <v>73317.668945331825</v>
      </c>
      <c r="P1130">
        <v>73317.668945331825</v>
      </c>
      <c r="Q1130">
        <v>687918.86911669304</v>
      </c>
      <c r="R1130">
        <v>3.7112670843437522E-2</v>
      </c>
      <c r="S1130">
        <v>0.38533032320161636</v>
      </c>
      <c r="T1130">
        <v>0.34821765235817886</v>
      </c>
      <c r="U1130">
        <v>3.7112670843437501E-2</v>
      </c>
      <c r="V1130">
        <v>5572.142839845219</v>
      </c>
      <c r="W1130">
        <v>57853.976892713887</v>
      </c>
      <c r="X1130">
        <v>52281.834052868668</v>
      </c>
      <c r="Y1130">
        <v>5572.142839845219</v>
      </c>
      <c r="Z1130">
        <v>0</v>
      </c>
    </row>
    <row r="1131" spans="1:26" x14ac:dyDescent="0.25">
      <c r="A1131" t="s">
        <v>143</v>
      </c>
      <c r="B1131" t="s">
        <v>59</v>
      </c>
      <c r="C1131" t="s">
        <v>86</v>
      </c>
      <c r="D1131">
        <v>0</v>
      </c>
      <c r="E1131">
        <v>2050</v>
      </c>
      <c r="F1131" t="s">
        <v>43</v>
      </c>
      <c r="G1131">
        <v>113070.46736338305</v>
      </c>
      <c r="H1131">
        <v>186040.49371289223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-72970.026349509179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</row>
    <row r="1132" spans="1:26" x14ac:dyDescent="0.25">
      <c r="A1132" t="s">
        <v>143</v>
      </c>
      <c r="B1132" t="s">
        <v>54</v>
      </c>
      <c r="C1132" t="s">
        <v>76</v>
      </c>
      <c r="D1132">
        <v>1</v>
      </c>
      <c r="E1132">
        <v>2050</v>
      </c>
      <c r="F1132" t="s">
        <v>43</v>
      </c>
      <c r="G1132">
        <v>383747.87380717852</v>
      </c>
      <c r="H1132">
        <v>694353.2611092875</v>
      </c>
      <c r="I1132">
        <v>0</v>
      </c>
      <c r="J1132">
        <v>0</v>
      </c>
      <c r="K1132">
        <v>15500.875420530891</v>
      </c>
      <c r="L1132">
        <v>0</v>
      </c>
      <c r="M1132">
        <v>0</v>
      </c>
      <c r="N1132">
        <v>0</v>
      </c>
      <c r="O1132">
        <v>-326106.26272263989</v>
      </c>
      <c r="P1132">
        <v>0</v>
      </c>
      <c r="Q1132">
        <v>15500.875420530891</v>
      </c>
      <c r="R1132">
        <v>0</v>
      </c>
      <c r="S1132">
        <v>5.56481427597059E-2</v>
      </c>
      <c r="T1132">
        <v>5.56481427597059E-2</v>
      </c>
      <c r="U1132">
        <v>0</v>
      </c>
      <c r="V1132">
        <v>0</v>
      </c>
      <c r="W1132">
        <v>4650.2626261592668</v>
      </c>
      <c r="X1132">
        <v>4650.2626261592668</v>
      </c>
      <c r="Y1132">
        <v>0</v>
      </c>
      <c r="Z1132">
        <v>0</v>
      </c>
    </row>
    <row r="1133" spans="1:26" x14ac:dyDescent="0.25">
      <c r="A1133" t="s">
        <v>143</v>
      </c>
      <c r="B1133" t="s">
        <v>38</v>
      </c>
      <c r="C1133" t="s">
        <v>86</v>
      </c>
      <c r="D1133">
        <v>0</v>
      </c>
      <c r="E1133">
        <v>2050</v>
      </c>
      <c r="F1133" t="s">
        <v>43</v>
      </c>
      <c r="G1133">
        <v>218167.31964379738</v>
      </c>
      <c r="H1133">
        <v>0</v>
      </c>
      <c r="I1133">
        <v>0</v>
      </c>
      <c r="J1133">
        <v>428214.02929147833</v>
      </c>
      <c r="K1133">
        <v>0</v>
      </c>
      <c r="L1133">
        <v>0</v>
      </c>
      <c r="M1133">
        <v>0</v>
      </c>
      <c r="N1133">
        <v>0</v>
      </c>
      <c r="O1133">
        <v>-210046.70964768095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</row>
    <row r="1134" spans="1:26" x14ac:dyDescent="0.25">
      <c r="A1134" t="s">
        <v>143</v>
      </c>
      <c r="B1134" t="s">
        <v>35</v>
      </c>
      <c r="C1134" t="s">
        <v>79</v>
      </c>
      <c r="D1134">
        <v>1</v>
      </c>
      <c r="E1134">
        <v>2050</v>
      </c>
      <c r="F1134" t="s">
        <v>43</v>
      </c>
      <c r="G1134">
        <v>48650.027670673619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48650.027670673619</v>
      </c>
      <c r="P1134">
        <v>48650.027670673619</v>
      </c>
      <c r="Q1134">
        <v>0</v>
      </c>
      <c r="R1134">
        <v>4.366339983442958E-2</v>
      </c>
      <c r="S1134">
        <v>4.366339983442958E-2</v>
      </c>
      <c r="T1134">
        <v>0</v>
      </c>
      <c r="U1134">
        <v>4.366339983442958E-2</v>
      </c>
      <c r="V1134">
        <v>7297.504150601043</v>
      </c>
      <c r="W1134">
        <v>7297.504150601043</v>
      </c>
      <c r="X1134">
        <v>0</v>
      </c>
      <c r="Y1134">
        <v>7297.504150601043</v>
      </c>
      <c r="Z1134">
        <v>0</v>
      </c>
    </row>
    <row r="1135" spans="1:26" x14ac:dyDescent="0.25">
      <c r="A1135" t="s">
        <v>143</v>
      </c>
      <c r="B1135" t="s">
        <v>33</v>
      </c>
      <c r="C1135" t="s">
        <v>86</v>
      </c>
      <c r="D1135">
        <v>0</v>
      </c>
      <c r="E1135">
        <v>2050</v>
      </c>
      <c r="F1135" t="s">
        <v>43</v>
      </c>
      <c r="G1135">
        <v>7305.5635465813803</v>
      </c>
      <c r="H1135">
        <v>0</v>
      </c>
      <c r="I1135">
        <v>0</v>
      </c>
      <c r="J1135">
        <v>54412.71372203785</v>
      </c>
      <c r="K1135">
        <v>0</v>
      </c>
      <c r="L1135">
        <v>0</v>
      </c>
      <c r="M1135">
        <v>0</v>
      </c>
      <c r="N1135">
        <v>0</v>
      </c>
      <c r="O1135">
        <v>-47107.150175456467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1</v>
      </c>
    </row>
    <row r="1136" spans="1:26" x14ac:dyDescent="0.25">
      <c r="A1136" t="s">
        <v>143</v>
      </c>
      <c r="B1136" t="s">
        <v>80</v>
      </c>
      <c r="C1136" t="s">
        <v>86</v>
      </c>
      <c r="D1136">
        <v>0</v>
      </c>
      <c r="E1136">
        <v>2050</v>
      </c>
      <c r="F1136" t="s">
        <v>43</v>
      </c>
      <c r="G1136">
        <v>407823.31273083866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407823.31273083866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</row>
    <row r="1137" spans="1:26" x14ac:dyDescent="0.25">
      <c r="A1137" t="s">
        <v>143</v>
      </c>
      <c r="B1137" t="s">
        <v>65</v>
      </c>
      <c r="C1137" t="s">
        <v>81</v>
      </c>
      <c r="D1137">
        <v>1</v>
      </c>
      <c r="E1137">
        <v>2050</v>
      </c>
      <c r="F1137" t="s">
        <v>43</v>
      </c>
      <c r="G1137">
        <v>38470.033999756291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38470.033999756291</v>
      </c>
      <c r="N1137">
        <v>0</v>
      </c>
      <c r="O1137">
        <v>0</v>
      </c>
      <c r="P1137">
        <v>0</v>
      </c>
      <c r="Q1137">
        <v>38470.033999756291</v>
      </c>
      <c r="R1137">
        <v>0</v>
      </c>
      <c r="S1137">
        <v>0.70784862559551565</v>
      </c>
      <c r="T1137">
        <v>0</v>
      </c>
      <c r="U1137">
        <v>0.70784862559551565</v>
      </c>
      <c r="V1137">
        <v>0</v>
      </c>
      <c r="W1137">
        <v>15965.064109898862</v>
      </c>
      <c r="X1137">
        <v>0</v>
      </c>
      <c r="Y1137">
        <v>15965.064109898862</v>
      </c>
      <c r="Z1137">
        <v>0</v>
      </c>
    </row>
    <row r="1138" spans="1:26" x14ac:dyDescent="0.25">
      <c r="A1138" t="s">
        <v>143</v>
      </c>
      <c r="B1138" t="s">
        <v>140</v>
      </c>
      <c r="C1138" t="s">
        <v>142</v>
      </c>
      <c r="D1138">
        <v>1</v>
      </c>
      <c r="E1138">
        <v>2050</v>
      </c>
      <c r="F1138" t="s">
        <v>43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</row>
    <row r="1139" spans="1:26" x14ac:dyDescent="0.25">
      <c r="A1139" t="s">
        <v>143</v>
      </c>
      <c r="B1139" t="s">
        <v>141</v>
      </c>
      <c r="C1139" t="s">
        <v>142</v>
      </c>
      <c r="D1139">
        <v>1</v>
      </c>
      <c r="E1139">
        <v>2050</v>
      </c>
      <c r="F1139" t="s">
        <v>43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</row>
    <row r="1140" spans="1:26" x14ac:dyDescent="0.25">
      <c r="A1140" t="s">
        <v>143</v>
      </c>
      <c r="B1140" t="s">
        <v>82</v>
      </c>
      <c r="C1140" t="s">
        <v>86</v>
      </c>
      <c r="D1140">
        <v>0</v>
      </c>
      <c r="E1140">
        <v>2050</v>
      </c>
      <c r="F1140" t="s">
        <v>43</v>
      </c>
      <c r="G1140">
        <v>339731.06359710812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339731.06359710812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</row>
    <row r="1141" spans="1:26" x14ac:dyDescent="0.25">
      <c r="A1141" t="s">
        <v>143</v>
      </c>
      <c r="B1141" t="s">
        <v>72</v>
      </c>
      <c r="C1141" t="s">
        <v>86</v>
      </c>
      <c r="D1141">
        <v>0</v>
      </c>
      <c r="E1141">
        <v>2050</v>
      </c>
      <c r="F1141" t="s">
        <v>43</v>
      </c>
      <c r="G1141">
        <v>199163.17844104863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199163.17844104863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</row>
    <row r="1142" spans="1:26" x14ac:dyDescent="0.25">
      <c r="A1142" t="s">
        <v>143</v>
      </c>
      <c r="B1142" t="s">
        <v>58</v>
      </c>
      <c r="C1142" t="s">
        <v>86</v>
      </c>
      <c r="D1142">
        <v>0</v>
      </c>
      <c r="E1142">
        <v>2050</v>
      </c>
      <c r="F1142" t="s">
        <v>43</v>
      </c>
      <c r="G1142">
        <v>99581.589220524314</v>
      </c>
      <c r="H1142">
        <v>26278.769501998373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73302.819718525949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</row>
    <row r="1143" spans="1:26" x14ac:dyDescent="0.25">
      <c r="A1143" t="s">
        <v>143</v>
      </c>
      <c r="B1143" t="s">
        <v>64</v>
      </c>
      <c r="C1143" t="s">
        <v>64</v>
      </c>
      <c r="D1143">
        <v>1</v>
      </c>
      <c r="E1143">
        <v>2050</v>
      </c>
      <c r="F1143" t="s">
        <v>43</v>
      </c>
      <c r="G1143">
        <v>63732.21710113556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63732.21710113556</v>
      </c>
      <c r="N1143">
        <v>0</v>
      </c>
      <c r="O1143">
        <v>0</v>
      </c>
      <c r="P1143">
        <v>0</v>
      </c>
      <c r="Q1143">
        <v>63732.21710113556</v>
      </c>
      <c r="R1143">
        <v>0</v>
      </c>
      <c r="S1143">
        <v>2.2306275985397446</v>
      </c>
      <c r="T1143">
        <v>0</v>
      </c>
      <c r="U1143">
        <v>2.2306275985397446</v>
      </c>
      <c r="V1143">
        <v>0</v>
      </c>
      <c r="W1143">
        <v>57996.317562033364</v>
      </c>
      <c r="X1143">
        <v>0</v>
      </c>
      <c r="Y1143">
        <v>57996.317562033364</v>
      </c>
      <c r="Z1143">
        <v>0</v>
      </c>
    </row>
    <row r="1144" spans="1:26" x14ac:dyDescent="0.25">
      <c r="A1144" t="s">
        <v>143</v>
      </c>
      <c r="B1144" t="s">
        <v>55</v>
      </c>
      <c r="C1144" t="s">
        <v>76</v>
      </c>
      <c r="D1144">
        <v>1</v>
      </c>
      <c r="E1144">
        <v>2050</v>
      </c>
      <c r="F1144" t="s">
        <v>43</v>
      </c>
      <c r="G1144">
        <v>2322627.8500566902</v>
      </c>
      <c r="H1144">
        <v>103245.87683002709</v>
      </c>
      <c r="I1144">
        <v>0</v>
      </c>
      <c r="J1144">
        <v>0</v>
      </c>
      <c r="K1144">
        <v>24610.929224370728</v>
      </c>
      <c r="L1144">
        <v>0</v>
      </c>
      <c r="M1144">
        <v>0</v>
      </c>
      <c r="N1144">
        <v>0</v>
      </c>
      <c r="O1144">
        <v>2194771.0440022922</v>
      </c>
      <c r="P1144">
        <v>1730280.0978252576</v>
      </c>
      <c r="Q1144">
        <v>24610.929224370728</v>
      </c>
      <c r="R1144">
        <v>4.6960493967016621</v>
      </c>
      <c r="S1144">
        <v>4.7628444430537735</v>
      </c>
      <c r="T1144">
        <v>6.6795046352111129E-2</v>
      </c>
      <c r="U1144">
        <v>4.6960493967016621</v>
      </c>
      <c r="V1144">
        <v>346056.01956505154</v>
      </c>
      <c r="W1144">
        <v>350978.20540992566</v>
      </c>
      <c r="X1144">
        <v>4922.1858448741459</v>
      </c>
      <c r="Y1144">
        <v>346056.01956505154</v>
      </c>
      <c r="Z1144">
        <v>0</v>
      </c>
    </row>
    <row r="1145" spans="1:26" x14ac:dyDescent="0.25">
      <c r="A1145" t="s">
        <v>143</v>
      </c>
      <c r="B1145" t="s">
        <v>83</v>
      </c>
      <c r="C1145" t="s">
        <v>86</v>
      </c>
      <c r="D1145">
        <v>0</v>
      </c>
      <c r="E1145">
        <v>2050</v>
      </c>
      <c r="F1145" t="s">
        <v>43</v>
      </c>
      <c r="G1145">
        <v>21894.979482137918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21894.979482137918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</row>
    <row r="1146" spans="1:26" x14ac:dyDescent="0.25">
      <c r="A1146" t="s">
        <v>143</v>
      </c>
      <c r="B1146" t="s">
        <v>62</v>
      </c>
      <c r="C1146" t="s">
        <v>86</v>
      </c>
      <c r="D1146">
        <v>0</v>
      </c>
      <c r="E1146">
        <v>2050</v>
      </c>
      <c r="F1146" t="s">
        <v>43</v>
      </c>
      <c r="G1146">
        <v>17785.773783011035</v>
      </c>
      <c r="H1146">
        <v>4837.9324606189475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12947.841322392087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</row>
    <row r="1147" spans="1:26" x14ac:dyDescent="0.25">
      <c r="A1147" t="s">
        <v>143</v>
      </c>
      <c r="B1147" t="s">
        <v>47</v>
      </c>
      <c r="C1147" t="s">
        <v>73</v>
      </c>
      <c r="D1147">
        <v>1</v>
      </c>
      <c r="E1147">
        <v>2050</v>
      </c>
      <c r="F1147" t="s">
        <v>43</v>
      </c>
      <c r="G1147">
        <v>3500281.4918378997</v>
      </c>
      <c r="H1147">
        <v>0</v>
      </c>
      <c r="I1147">
        <v>0</v>
      </c>
      <c r="J1147">
        <v>0</v>
      </c>
      <c r="K1147">
        <v>1327477.7098236387</v>
      </c>
      <c r="L1147">
        <v>0</v>
      </c>
      <c r="M1147">
        <v>0</v>
      </c>
      <c r="N1147">
        <v>0</v>
      </c>
      <c r="O1147">
        <v>2172803.782014261</v>
      </c>
      <c r="P1147">
        <v>2172803.782014261</v>
      </c>
      <c r="Q1147">
        <v>1327477.7098236387</v>
      </c>
      <c r="R1147">
        <v>1.0842508152629364</v>
      </c>
      <c r="S1147">
        <v>1.7466754672420306</v>
      </c>
      <c r="T1147">
        <v>0.66242465197909406</v>
      </c>
      <c r="U1147">
        <v>1.0842508152629367</v>
      </c>
      <c r="V1147">
        <v>130368.22692085565</v>
      </c>
      <c r="W1147">
        <v>210016.88951027396</v>
      </c>
      <c r="X1147">
        <v>79648.662589418323</v>
      </c>
      <c r="Y1147">
        <v>130368.22692085564</v>
      </c>
      <c r="Z1147">
        <v>0</v>
      </c>
    </row>
    <row r="1148" spans="1:26" x14ac:dyDescent="0.25">
      <c r="A1148" t="s">
        <v>143</v>
      </c>
      <c r="B1148" t="s">
        <v>44</v>
      </c>
      <c r="C1148" t="s">
        <v>74</v>
      </c>
      <c r="D1148">
        <v>1</v>
      </c>
      <c r="E1148">
        <v>2050</v>
      </c>
      <c r="F1148" t="s">
        <v>43</v>
      </c>
      <c r="G1148">
        <v>2091197.4416372697</v>
      </c>
      <c r="H1148">
        <v>0</v>
      </c>
      <c r="I1148">
        <v>0</v>
      </c>
      <c r="J1148">
        <v>0</v>
      </c>
      <c r="K1148">
        <v>1108334.6440677529</v>
      </c>
      <c r="L1148">
        <v>982862.79756951681</v>
      </c>
      <c r="M1148">
        <v>0</v>
      </c>
      <c r="N1148">
        <v>0</v>
      </c>
      <c r="O1148">
        <v>0</v>
      </c>
      <c r="P1148">
        <v>0</v>
      </c>
      <c r="Q1148">
        <v>1108334.6440677529</v>
      </c>
      <c r="R1148">
        <v>0</v>
      </c>
      <c r="S1148">
        <v>0.47747056466438803</v>
      </c>
      <c r="T1148">
        <v>0.47747056466438803</v>
      </c>
      <c r="U1148">
        <v>0</v>
      </c>
      <c r="V1148">
        <v>0</v>
      </c>
      <c r="W1148">
        <v>55416.732203387648</v>
      </c>
      <c r="X1148">
        <v>55416.732203387648</v>
      </c>
      <c r="Y1148">
        <v>0</v>
      </c>
      <c r="Z1148">
        <v>0</v>
      </c>
    </row>
    <row r="1149" spans="1:26" x14ac:dyDescent="0.25">
      <c r="A1149" t="s">
        <v>143</v>
      </c>
      <c r="B1149" t="s">
        <v>32</v>
      </c>
      <c r="C1149" t="s">
        <v>86</v>
      </c>
      <c r="D1149">
        <v>0</v>
      </c>
      <c r="E1149">
        <v>2050</v>
      </c>
      <c r="F1149" t="s">
        <v>43</v>
      </c>
      <c r="G1149">
        <v>194183.99559105173</v>
      </c>
      <c r="H1149">
        <v>0</v>
      </c>
      <c r="I1149">
        <v>0</v>
      </c>
      <c r="J1149">
        <v>110474.29755686472</v>
      </c>
      <c r="K1149">
        <v>0</v>
      </c>
      <c r="L1149">
        <v>0</v>
      </c>
      <c r="M1149">
        <v>0</v>
      </c>
      <c r="N1149">
        <v>0</v>
      </c>
      <c r="O1149">
        <v>83709.698034187008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</row>
    <row r="1150" spans="1:26" x14ac:dyDescent="0.25">
      <c r="A1150" t="s">
        <v>143</v>
      </c>
      <c r="B1150" t="s">
        <v>36</v>
      </c>
      <c r="C1150" t="s">
        <v>79</v>
      </c>
      <c r="D1150">
        <v>1</v>
      </c>
      <c r="E1150">
        <v>2050</v>
      </c>
      <c r="F1150" t="s">
        <v>43</v>
      </c>
      <c r="G1150">
        <v>4500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4500</v>
      </c>
      <c r="P1150">
        <v>4500</v>
      </c>
      <c r="Q1150">
        <v>0</v>
      </c>
      <c r="R1150">
        <v>4.0387500000000007E-3</v>
      </c>
      <c r="S1150">
        <v>4.0387500000000007E-3</v>
      </c>
      <c r="T1150">
        <v>0</v>
      </c>
      <c r="U1150">
        <v>4.0387500000000007E-3</v>
      </c>
      <c r="V1150">
        <v>675</v>
      </c>
      <c r="W1150">
        <v>675</v>
      </c>
      <c r="X1150">
        <v>0</v>
      </c>
      <c r="Y1150">
        <v>675</v>
      </c>
      <c r="Z1150">
        <v>0</v>
      </c>
    </row>
    <row r="1151" spans="1:26" x14ac:dyDescent="0.25">
      <c r="A1151" t="s">
        <v>143</v>
      </c>
      <c r="B1151" t="s">
        <v>84</v>
      </c>
      <c r="C1151" t="s">
        <v>86</v>
      </c>
      <c r="D1151">
        <v>1</v>
      </c>
      <c r="E1151">
        <v>2050</v>
      </c>
      <c r="F1151" t="s">
        <v>43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</row>
    <row r="1152" spans="1:26" x14ac:dyDescent="0.25">
      <c r="A1152" t="s">
        <v>143</v>
      </c>
      <c r="B1152" t="s">
        <v>66</v>
      </c>
      <c r="C1152" t="s">
        <v>81</v>
      </c>
      <c r="D1152">
        <v>1</v>
      </c>
      <c r="E1152">
        <v>2050</v>
      </c>
      <c r="F1152" t="s">
        <v>43</v>
      </c>
      <c r="G1152">
        <v>585110.82295504375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585110.82295504375</v>
      </c>
      <c r="N1152">
        <v>0</v>
      </c>
      <c r="O1152">
        <v>0</v>
      </c>
      <c r="P1152">
        <v>0</v>
      </c>
      <c r="Q1152">
        <v>585110.82295504375</v>
      </c>
      <c r="R1152">
        <v>0</v>
      </c>
      <c r="S1152">
        <v>8.4803440270882753</v>
      </c>
      <c r="T1152">
        <v>0</v>
      </c>
      <c r="U1152">
        <v>8.4803440270882753</v>
      </c>
      <c r="V1152">
        <v>0</v>
      </c>
      <c r="W1152">
        <v>289386.06118651538</v>
      </c>
      <c r="X1152">
        <v>0</v>
      </c>
      <c r="Y1152">
        <v>289386.06118651538</v>
      </c>
      <c r="Z1152">
        <v>0</v>
      </c>
    </row>
    <row r="1153" spans="1:26" x14ac:dyDescent="0.25">
      <c r="A1153" t="s">
        <v>143</v>
      </c>
      <c r="B1153" t="s">
        <v>85</v>
      </c>
      <c r="C1153" t="s">
        <v>86</v>
      </c>
      <c r="D1153">
        <v>0</v>
      </c>
      <c r="E1153">
        <v>2050</v>
      </c>
      <c r="F1153" t="s">
        <v>43</v>
      </c>
      <c r="G1153">
        <v>161179.02528703219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161179.02528703219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A5AC7-08C5-40A6-A37E-2D415C6A454C}">
  <sheetPr codeName="Sheet6">
    <tabColor rgb="FFFF0000"/>
  </sheetPr>
  <dimension ref="A1:G217"/>
  <sheetViews>
    <sheetView topLeftCell="A146" workbookViewId="0">
      <selection activeCell="B164" sqref="B164:G217"/>
    </sheetView>
  </sheetViews>
  <sheetFormatPr defaultRowHeight="15" x14ac:dyDescent="0.25"/>
  <sheetData>
    <row r="1" spans="1:7" x14ac:dyDescent="0.25">
      <c r="A1" t="s">
        <v>26</v>
      </c>
      <c r="B1" t="s">
        <v>1</v>
      </c>
      <c r="C1" t="s">
        <v>3</v>
      </c>
      <c r="D1" t="s">
        <v>91</v>
      </c>
      <c r="E1" t="s">
        <v>92</v>
      </c>
      <c r="F1" t="s">
        <v>93</v>
      </c>
      <c r="G1" t="s">
        <v>95</v>
      </c>
    </row>
    <row r="2" spans="1:7" x14ac:dyDescent="0.25">
      <c r="A2" t="s">
        <v>27</v>
      </c>
      <c r="B2" t="s">
        <v>28</v>
      </c>
      <c r="C2">
        <v>2019</v>
      </c>
      <c r="D2">
        <v>12546079.333675962</v>
      </c>
      <c r="E2" t="s">
        <v>104</v>
      </c>
      <c r="F2" t="s">
        <v>104</v>
      </c>
    </row>
    <row r="3" spans="1:7" x14ac:dyDescent="0.25">
      <c r="A3" t="s">
        <v>27</v>
      </c>
      <c r="B3" t="s">
        <v>28</v>
      </c>
      <c r="C3">
        <v>2019</v>
      </c>
      <c r="D3">
        <v>5070835.3540045777</v>
      </c>
      <c r="E3" t="s">
        <v>105</v>
      </c>
      <c r="F3" t="s">
        <v>106</v>
      </c>
    </row>
    <row r="4" spans="1:7" x14ac:dyDescent="0.25">
      <c r="A4" t="s">
        <v>27</v>
      </c>
      <c r="B4" t="s">
        <v>28</v>
      </c>
      <c r="C4">
        <v>2019</v>
      </c>
      <c r="D4">
        <v>4155736.1194644454</v>
      </c>
      <c r="E4" t="s">
        <v>105</v>
      </c>
      <c r="F4" t="s">
        <v>107</v>
      </c>
      <c r="G4" t="s">
        <v>108</v>
      </c>
    </row>
    <row r="5" spans="1:7" x14ac:dyDescent="0.25">
      <c r="A5" t="s">
        <v>27</v>
      </c>
      <c r="B5" t="s">
        <v>28</v>
      </c>
      <c r="C5">
        <v>2019</v>
      </c>
      <c r="D5">
        <v>1324670.350202495</v>
      </c>
      <c r="E5" t="s">
        <v>105</v>
      </c>
      <c r="F5" t="s">
        <v>107</v>
      </c>
      <c r="G5" t="s">
        <v>109</v>
      </c>
    </row>
    <row r="6" spans="1:7" x14ac:dyDescent="0.25">
      <c r="A6" t="s">
        <v>27</v>
      </c>
      <c r="B6" t="s">
        <v>28</v>
      </c>
      <c r="C6">
        <v>2019</v>
      </c>
      <c r="D6">
        <v>2581596.1188411801</v>
      </c>
      <c r="E6" t="s">
        <v>105</v>
      </c>
      <c r="F6" t="s">
        <v>107</v>
      </c>
      <c r="G6" t="s">
        <v>110</v>
      </c>
    </row>
    <row r="7" spans="1:7" x14ac:dyDescent="0.25">
      <c r="A7" t="s">
        <v>27</v>
      </c>
      <c r="B7" t="s">
        <v>28</v>
      </c>
      <c r="C7">
        <v>2019</v>
      </c>
      <c r="D7">
        <v>-158.24317477886137</v>
      </c>
      <c r="E7" t="s">
        <v>111</v>
      </c>
      <c r="F7" t="s">
        <v>111</v>
      </c>
    </row>
    <row r="8" spans="1:7" x14ac:dyDescent="0.25">
      <c r="A8" t="s">
        <v>27</v>
      </c>
      <c r="B8" t="s">
        <v>28</v>
      </c>
      <c r="C8">
        <v>2019</v>
      </c>
      <c r="D8">
        <v>-434670</v>
      </c>
      <c r="E8" t="s">
        <v>112</v>
      </c>
      <c r="F8" t="s">
        <v>112</v>
      </c>
    </row>
    <row r="9" spans="1:7" x14ac:dyDescent="0.25">
      <c r="A9" t="s">
        <v>27</v>
      </c>
      <c r="B9" t="s">
        <v>28</v>
      </c>
      <c r="C9">
        <v>2019</v>
      </c>
      <c r="D9">
        <v>-151930.36566196129</v>
      </c>
      <c r="E9" t="s">
        <v>136</v>
      </c>
      <c r="F9" t="s">
        <v>136</v>
      </c>
    </row>
    <row r="10" spans="1:7" x14ac:dyDescent="0.25">
      <c r="A10" t="s">
        <v>27</v>
      </c>
      <c r="B10" t="s">
        <v>28</v>
      </c>
      <c r="C10">
        <v>2019</v>
      </c>
      <c r="D10">
        <v>0</v>
      </c>
      <c r="E10" t="s">
        <v>139</v>
      </c>
      <c r="F10" t="s">
        <v>139</v>
      </c>
    </row>
    <row r="11" spans="1:7" x14ac:dyDescent="0.25">
      <c r="A11" t="s">
        <v>27</v>
      </c>
      <c r="B11" t="s">
        <v>28</v>
      </c>
      <c r="C11">
        <v>2030</v>
      </c>
      <c r="D11">
        <v>11787127.711510129</v>
      </c>
      <c r="E11" t="s">
        <v>104</v>
      </c>
      <c r="F11" t="s">
        <v>104</v>
      </c>
      <c r="G11" t="s">
        <v>86</v>
      </c>
    </row>
    <row r="12" spans="1:7" x14ac:dyDescent="0.25">
      <c r="A12" t="s">
        <v>27</v>
      </c>
      <c r="B12" t="s">
        <v>28</v>
      </c>
      <c r="C12">
        <v>2030</v>
      </c>
      <c r="D12">
        <v>5058223.5325662289</v>
      </c>
      <c r="E12" t="s">
        <v>105</v>
      </c>
      <c r="F12" t="s">
        <v>106</v>
      </c>
      <c r="G12" t="s">
        <v>86</v>
      </c>
    </row>
    <row r="13" spans="1:7" x14ac:dyDescent="0.25">
      <c r="A13" t="s">
        <v>27</v>
      </c>
      <c r="B13" t="s">
        <v>28</v>
      </c>
      <c r="C13">
        <v>2030</v>
      </c>
      <c r="D13">
        <v>4113293.0454159677</v>
      </c>
      <c r="E13" t="s">
        <v>105</v>
      </c>
      <c r="F13" t="s">
        <v>107</v>
      </c>
      <c r="G13" t="s">
        <v>108</v>
      </c>
    </row>
    <row r="14" spans="1:7" x14ac:dyDescent="0.25">
      <c r="A14" t="s">
        <v>27</v>
      </c>
      <c r="B14" t="s">
        <v>28</v>
      </c>
      <c r="C14">
        <v>2030</v>
      </c>
      <c r="D14">
        <v>1225816.3211630862</v>
      </c>
      <c r="E14" t="s">
        <v>105</v>
      </c>
      <c r="F14" t="s">
        <v>107</v>
      </c>
      <c r="G14" t="s">
        <v>109</v>
      </c>
    </row>
    <row r="15" spans="1:7" x14ac:dyDescent="0.25">
      <c r="A15" t="s">
        <v>27</v>
      </c>
      <c r="B15" t="s">
        <v>28</v>
      </c>
      <c r="C15">
        <v>2030</v>
      </c>
      <c r="D15">
        <v>2334101.8595699249</v>
      </c>
      <c r="E15" t="s">
        <v>105</v>
      </c>
      <c r="F15" t="s">
        <v>107</v>
      </c>
      <c r="G15" t="s">
        <v>110</v>
      </c>
    </row>
    <row r="16" spans="1:7" x14ac:dyDescent="0.25">
      <c r="A16" t="s">
        <v>27</v>
      </c>
      <c r="B16" t="s">
        <v>28</v>
      </c>
      <c r="C16">
        <v>2030</v>
      </c>
      <c r="D16">
        <v>-23936.112883057391</v>
      </c>
      <c r="E16" t="s">
        <v>111</v>
      </c>
      <c r="F16" t="s">
        <v>111</v>
      </c>
      <c r="G16" t="s">
        <v>86</v>
      </c>
    </row>
    <row r="17" spans="1:7" x14ac:dyDescent="0.25">
      <c r="A17" t="s">
        <v>27</v>
      </c>
      <c r="B17" t="s">
        <v>28</v>
      </c>
      <c r="C17">
        <v>2030</v>
      </c>
      <c r="D17">
        <v>-528318.41235179966</v>
      </c>
      <c r="E17" t="s">
        <v>112</v>
      </c>
      <c r="F17" t="s">
        <v>112</v>
      </c>
      <c r="G17" t="s">
        <v>86</v>
      </c>
    </row>
    <row r="18" spans="1:7" x14ac:dyDescent="0.25">
      <c r="A18" t="s">
        <v>27</v>
      </c>
      <c r="B18" t="s">
        <v>28</v>
      </c>
      <c r="C18">
        <v>2030</v>
      </c>
      <c r="D18">
        <v>-392052.52197022288</v>
      </c>
      <c r="E18" t="s">
        <v>136</v>
      </c>
      <c r="F18" t="s">
        <v>136</v>
      </c>
      <c r="G18" t="s">
        <v>86</v>
      </c>
    </row>
    <row r="19" spans="1:7" x14ac:dyDescent="0.25">
      <c r="A19" t="s">
        <v>27</v>
      </c>
      <c r="B19" t="s">
        <v>28</v>
      </c>
      <c r="C19">
        <v>2030</v>
      </c>
      <c r="D19">
        <v>0</v>
      </c>
      <c r="E19" t="s">
        <v>139</v>
      </c>
      <c r="F19" t="s">
        <v>139</v>
      </c>
      <c r="G19" t="s">
        <v>86</v>
      </c>
    </row>
    <row r="20" spans="1:7" x14ac:dyDescent="0.25">
      <c r="A20" t="s">
        <v>27</v>
      </c>
      <c r="B20" t="s">
        <v>28</v>
      </c>
      <c r="C20">
        <v>2050</v>
      </c>
      <c r="D20">
        <v>10960258.507189341</v>
      </c>
      <c r="E20" t="s">
        <v>104</v>
      </c>
      <c r="F20" t="s">
        <v>104</v>
      </c>
      <c r="G20" t="s">
        <v>86</v>
      </c>
    </row>
    <row r="21" spans="1:7" x14ac:dyDescent="0.25">
      <c r="A21" t="s">
        <v>27</v>
      </c>
      <c r="B21" t="s">
        <v>28</v>
      </c>
      <c r="C21">
        <v>2050</v>
      </c>
      <c r="D21">
        <v>5037270.6270728866</v>
      </c>
      <c r="E21" t="s">
        <v>105</v>
      </c>
      <c r="F21" t="s">
        <v>106</v>
      </c>
      <c r="G21" t="s">
        <v>86</v>
      </c>
    </row>
    <row r="22" spans="1:7" x14ac:dyDescent="0.25">
      <c r="A22" t="s">
        <v>27</v>
      </c>
      <c r="B22" t="s">
        <v>28</v>
      </c>
      <c r="C22">
        <v>2050</v>
      </c>
      <c r="D22">
        <v>4036132.4350935114</v>
      </c>
      <c r="E22" t="s">
        <v>105</v>
      </c>
      <c r="F22" t="s">
        <v>107</v>
      </c>
      <c r="G22" t="s">
        <v>108</v>
      </c>
    </row>
    <row r="23" spans="1:7" x14ac:dyDescent="0.25">
      <c r="A23" t="s">
        <v>27</v>
      </c>
      <c r="B23" t="s">
        <v>28</v>
      </c>
      <c r="C23">
        <v>2050</v>
      </c>
      <c r="D23">
        <v>1225816.3211630862</v>
      </c>
      <c r="E23" t="s">
        <v>105</v>
      </c>
      <c r="F23" t="s">
        <v>107</v>
      </c>
      <c r="G23" t="s">
        <v>109</v>
      </c>
    </row>
    <row r="24" spans="1:7" x14ac:dyDescent="0.25">
      <c r="A24" t="s">
        <v>27</v>
      </c>
      <c r="B24" t="s">
        <v>28</v>
      </c>
      <c r="C24">
        <v>2050</v>
      </c>
      <c r="D24">
        <v>2334101.8595699244</v>
      </c>
      <c r="E24" t="s">
        <v>105</v>
      </c>
      <c r="F24" t="s">
        <v>107</v>
      </c>
      <c r="G24" t="s">
        <v>110</v>
      </c>
    </row>
    <row r="25" spans="1:7" x14ac:dyDescent="0.25">
      <c r="A25" t="s">
        <v>27</v>
      </c>
      <c r="B25" t="s">
        <v>28</v>
      </c>
      <c r="C25">
        <v>2050</v>
      </c>
      <c r="D25">
        <v>-32111.211335450222</v>
      </c>
      <c r="E25" t="s">
        <v>111</v>
      </c>
      <c r="F25" t="s">
        <v>111</v>
      </c>
      <c r="G25" t="s">
        <v>86</v>
      </c>
    </row>
    <row r="26" spans="1:7" x14ac:dyDescent="0.25">
      <c r="A26" t="s">
        <v>27</v>
      </c>
      <c r="B26" t="s">
        <v>28</v>
      </c>
      <c r="C26">
        <v>2050</v>
      </c>
      <c r="D26">
        <v>-1258781.6445090303</v>
      </c>
      <c r="E26" t="s">
        <v>112</v>
      </c>
      <c r="F26" t="s">
        <v>112</v>
      </c>
      <c r="G26" t="s">
        <v>86</v>
      </c>
    </row>
    <row r="27" spans="1:7" x14ac:dyDescent="0.25">
      <c r="A27" t="s">
        <v>27</v>
      </c>
      <c r="B27" t="s">
        <v>28</v>
      </c>
      <c r="C27">
        <v>2050</v>
      </c>
      <c r="D27">
        <v>-382169.87986558012</v>
      </c>
      <c r="E27" t="s">
        <v>136</v>
      </c>
      <c r="F27" t="s">
        <v>136</v>
      </c>
      <c r="G27" t="s">
        <v>86</v>
      </c>
    </row>
    <row r="28" spans="1:7" x14ac:dyDescent="0.25">
      <c r="A28" t="s">
        <v>27</v>
      </c>
      <c r="B28" t="s">
        <v>28</v>
      </c>
      <c r="C28">
        <v>2050</v>
      </c>
      <c r="D28">
        <v>0</v>
      </c>
      <c r="E28" t="s">
        <v>139</v>
      </c>
      <c r="F28" t="s">
        <v>139</v>
      </c>
      <c r="G28" t="s">
        <v>86</v>
      </c>
    </row>
    <row r="29" spans="1:7" x14ac:dyDescent="0.25">
      <c r="A29" t="s">
        <v>27</v>
      </c>
      <c r="B29" t="s">
        <v>43</v>
      </c>
      <c r="C29">
        <v>2019</v>
      </c>
      <c r="D29">
        <v>1971383.1086998824</v>
      </c>
      <c r="E29" t="s">
        <v>104</v>
      </c>
      <c r="F29" t="s">
        <v>104</v>
      </c>
      <c r="G29" t="s">
        <v>86</v>
      </c>
    </row>
    <row r="30" spans="1:7" x14ac:dyDescent="0.25">
      <c r="A30" t="s">
        <v>27</v>
      </c>
      <c r="B30" t="s">
        <v>43</v>
      </c>
      <c r="C30">
        <v>2019</v>
      </c>
      <c r="D30">
        <v>448426.54673213884</v>
      </c>
      <c r="E30" t="s">
        <v>105</v>
      </c>
      <c r="F30" t="s">
        <v>106</v>
      </c>
      <c r="G30" t="s">
        <v>86</v>
      </c>
    </row>
    <row r="31" spans="1:7" x14ac:dyDescent="0.25">
      <c r="A31" t="s">
        <v>27</v>
      </c>
      <c r="B31" t="s">
        <v>43</v>
      </c>
      <c r="C31">
        <v>2019</v>
      </c>
      <c r="D31">
        <v>1244619.4009225217</v>
      </c>
      <c r="E31" t="s">
        <v>105</v>
      </c>
      <c r="F31" t="s">
        <v>107</v>
      </c>
      <c r="G31" t="s">
        <v>108</v>
      </c>
    </row>
    <row r="32" spans="1:7" x14ac:dyDescent="0.25">
      <c r="A32" t="s">
        <v>27</v>
      </c>
      <c r="B32" t="s">
        <v>43</v>
      </c>
      <c r="C32">
        <v>2019</v>
      </c>
      <c r="D32">
        <v>142699.41800214813</v>
      </c>
      <c r="E32" t="s">
        <v>105</v>
      </c>
      <c r="F32" t="s">
        <v>107</v>
      </c>
      <c r="G32" t="s">
        <v>109</v>
      </c>
    </row>
    <row r="33" spans="1:7" x14ac:dyDescent="0.25">
      <c r="A33" t="s">
        <v>27</v>
      </c>
      <c r="B33" t="s">
        <v>43</v>
      </c>
      <c r="C33">
        <v>2019</v>
      </c>
      <c r="D33">
        <v>276144.78230139322</v>
      </c>
      <c r="E33" t="s">
        <v>105</v>
      </c>
      <c r="F33" t="s">
        <v>107</v>
      </c>
      <c r="G33" t="s">
        <v>110</v>
      </c>
    </row>
    <row r="34" spans="1:7" x14ac:dyDescent="0.25">
      <c r="A34" t="s">
        <v>27</v>
      </c>
      <c r="B34" t="s">
        <v>43</v>
      </c>
      <c r="C34">
        <v>2019</v>
      </c>
      <c r="D34">
        <v>-0.19402522113858015</v>
      </c>
      <c r="E34" t="s">
        <v>111</v>
      </c>
      <c r="F34" t="s">
        <v>111</v>
      </c>
      <c r="G34" t="s">
        <v>86</v>
      </c>
    </row>
    <row r="35" spans="1:7" x14ac:dyDescent="0.25">
      <c r="A35" t="s">
        <v>27</v>
      </c>
      <c r="B35" t="s">
        <v>43</v>
      </c>
      <c r="C35">
        <v>2019</v>
      </c>
      <c r="D35">
        <v>-127230</v>
      </c>
      <c r="E35" t="s">
        <v>112</v>
      </c>
      <c r="F35" t="s">
        <v>112</v>
      </c>
      <c r="G35" t="s">
        <v>86</v>
      </c>
    </row>
    <row r="36" spans="1:7" x14ac:dyDescent="0.25">
      <c r="A36" t="s">
        <v>27</v>
      </c>
      <c r="B36" t="s">
        <v>43</v>
      </c>
      <c r="C36">
        <v>2019</v>
      </c>
      <c r="D36">
        <v>-13276.84523309844</v>
      </c>
      <c r="E36" t="s">
        <v>136</v>
      </c>
      <c r="F36" t="s">
        <v>136</v>
      </c>
      <c r="G36" t="s">
        <v>86</v>
      </c>
    </row>
    <row r="37" spans="1:7" x14ac:dyDescent="0.25">
      <c r="A37" t="s">
        <v>27</v>
      </c>
      <c r="B37" t="s">
        <v>43</v>
      </c>
      <c r="C37">
        <v>2019</v>
      </c>
      <c r="D37">
        <v>0</v>
      </c>
      <c r="E37" t="s">
        <v>139</v>
      </c>
      <c r="F37" t="s">
        <v>139</v>
      </c>
      <c r="G37" t="s">
        <v>86</v>
      </c>
    </row>
    <row r="38" spans="1:7" x14ac:dyDescent="0.25">
      <c r="A38" t="s">
        <v>27</v>
      </c>
      <c r="B38" t="s">
        <v>43</v>
      </c>
      <c r="C38">
        <v>2030</v>
      </c>
      <c r="D38">
        <v>1891701.6150406413</v>
      </c>
      <c r="E38" t="s">
        <v>104</v>
      </c>
      <c r="F38" t="s">
        <v>104</v>
      </c>
      <c r="G38" t="s">
        <v>86</v>
      </c>
    </row>
    <row r="39" spans="1:7" x14ac:dyDescent="0.25">
      <c r="A39" t="s">
        <v>27</v>
      </c>
      <c r="B39" t="s">
        <v>43</v>
      </c>
      <c r="C39">
        <v>2030</v>
      </c>
      <c r="D39">
        <v>449093.3493058047</v>
      </c>
      <c r="E39" t="s">
        <v>105</v>
      </c>
      <c r="F39" t="s">
        <v>106</v>
      </c>
      <c r="G39" t="s">
        <v>86</v>
      </c>
    </row>
    <row r="40" spans="1:7" x14ac:dyDescent="0.25">
      <c r="A40" t="s">
        <v>27</v>
      </c>
      <c r="B40" t="s">
        <v>43</v>
      </c>
      <c r="C40">
        <v>2030</v>
      </c>
      <c r="D40">
        <v>1240035.0657402945</v>
      </c>
      <c r="E40" t="s">
        <v>105</v>
      </c>
      <c r="F40" t="s">
        <v>107</v>
      </c>
      <c r="G40" t="s">
        <v>108</v>
      </c>
    </row>
    <row r="41" spans="1:7" x14ac:dyDescent="0.25">
      <c r="A41" t="s">
        <v>27</v>
      </c>
      <c r="B41" t="s">
        <v>43</v>
      </c>
      <c r="C41">
        <v>2030</v>
      </c>
      <c r="D41">
        <v>132118.63988943215</v>
      </c>
      <c r="E41" t="s">
        <v>105</v>
      </c>
      <c r="F41" t="s">
        <v>107</v>
      </c>
      <c r="G41" t="s">
        <v>109</v>
      </c>
    </row>
    <row r="42" spans="1:7" x14ac:dyDescent="0.25">
      <c r="A42" t="s">
        <v>27</v>
      </c>
      <c r="B42" t="s">
        <v>43</v>
      </c>
      <c r="C42">
        <v>2030</v>
      </c>
      <c r="D42">
        <v>251468.565835013</v>
      </c>
      <c r="E42" t="s">
        <v>105</v>
      </c>
      <c r="F42" t="s">
        <v>107</v>
      </c>
      <c r="G42" t="s">
        <v>110</v>
      </c>
    </row>
    <row r="43" spans="1:7" x14ac:dyDescent="0.25">
      <c r="A43" t="s">
        <v>27</v>
      </c>
      <c r="B43" t="s">
        <v>43</v>
      </c>
      <c r="C43">
        <v>2030</v>
      </c>
      <c r="D43">
        <v>-674.70029884327505</v>
      </c>
      <c r="E43" t="s">
        <v>111</v>
      </c>
      <c r="F43" t="s">
        <v>111</v>
      </c>
      <c r="G43" t="s">
        <v>86</v>
      </c>
    </row>
    <row r="44" spans="1:7" x14ac:dyDescent="0.25">
      <c r="A44" t="s">
        <v>27</v>
      </c>
      <c r="B44" t="s">
        <v>43</v>
      </c>
      <c r="C44">
        <v>2030</v>
      </c>
      <c r="D44">
        <v>-144967.5468532106</v>
      </c>
      <c r="E44" t="s">
        <v>112</v>
      </c>
      <c r="F44" t="s">
        <v>112</v>
      </c>
      <c r="G44" t="s">
        <v>86</v>
      </c>
    </row>
    <row r="45" spans="1:7" x14ac:dyDescent="0.25">
      <c r="A45" t="s">
        <v>27</v>
      </c>
      <c r="B45" t="s">
        <v>43</v>
      </c>
      <c r="C45">
        <v>2030</v>
      </c>
      <c r="D45">
        <v>-35371.758577849541</v>
      </c>
      <c r="E45" t="s">
        <v>136</v>
      </c>
      <c r="F45" t="s">
        <v>136</v>
      </c>
      <c r="G45" t="s">
        <v>86</v>
      </c>
    </row>
    <row r="46" spans="1:7" x14ac:dyDescent="0.25">
      <c r="A46" t="s">
        <v>27</v>
      </c>
      <c r="B46" t="s">
        <v>43</v>
      </c>
      <c r="C46">
        <v>2030</v>
      </c>
      <c r="D46">
        <v>0</v>
      </c>
      <c r="E46" t="s">
        <v>139</v>
      </c>
      <c r="F46" t="s">
        <v>139</v>
      </c>
      <c r="G46" t="s">
        <v>86</v>
      </c>
    </row>
    <row r="47" spans="1:7" x14ac:dyDescent="0.25">
      <c r="A47" t="s">
        <v>27</v>
      </c>
      <c r="B47" t="s">
        <v>43</v>
      </c>
      <c r="C47">
        <v>2050</v>
      </c>
      <c r="D47">
        <v>1726757.5752586154</v>
      </c>
      <c r="E47" t="s">
        <v>104</v>
      </c>
      <c r="F47" t="s">
        <v>104</v>
      </c>
      <c r="G47" t="s">
        <v>86</v>
      </c>
    </row>
    <row r="48" spans="1:7" x14ac:dyDescent="0.25">
      <c r="A48" t="s">
        <v>27</v>
      </c>
      <c r="B48" t="s">
        <v>43</v>
      </c>
      <c r="C48">
        <v>2050</v>
      </c>
      <c r="D48">
        <v>447960.28277222451</v>
      </c>
      <c r="E48" t="s">
        <v>105</v>
      </c>
      <c r="F48" t="s">
        <v>106</v>
      </c>
      <c r="G48" t="s">
        <v>86</v>
      </c>
    </row>
    <row r="49" spans="1:7" x14ac:dyDescent="0.25">
      <c r="A49" t="s">
        <v>27</v>
      </c>
      <c r="B49" t="s">
        <v>43</v>
      </c>
      <c r="C49">
        <v>2050</v>
      </c>
      <c r="D49">
        <v>1231701.6161590884</v>
      </c>
      <c r="E49" t="s">
        <v>105</v>
      </c>
      <c r="F49" t="s">
        <v>107</v>
      </c>
      <c r="G49" t="s">
        <v>108</v>
      </c>
    </row>
    <row r="50" spans="1:7" x14ac:dyDescent="0.25">
      <c r="A50" t="s">
        <v>27</v>
      </c>
      <c r="B50" t="s">
        <v>43</v>
      </c>
      <c r="C50">
        <v>2050</v>
      </c>
      <c r="D50">
        <v>132118.63988943212</v>
      </c>
      <c r="E50" t="s">
        <v>105</v>
      </c>
      <c r="F50" t="s">
        <v>107</v>
      </c>
      <c r="G50" t="s">
        <v>109</v>
      </c>
    </row>
    <row r="51" spans="1:7" x14ac:dyDescent="0.25">
      <c r="A51" t="s">
        <v>27</v>
      </c>
      <c r="B51" t="s">
        <v>43</v>
      </c>
      <c r="C51">
        <v>2050</v>
      </c>
      <c r="D51">
        <v>251468.56583501303</v>
      </c>
      <c r="E51" t="s">
        <v>105</v>
      </c>
      <c r="F51" t="s">
        <v>107</v>
      </c>
      <c r="G51" t="s">
        <v>110</v>
      </c>
    </row>
    <row r="52" spans="1:7" x14ac:dyDescent="0.25">
      <c r="A52" t="s">
        <v>27</v>
      </c>
      <c r="B52" t="s">
        <v>43</v>
      </c>
      <c r="C52">
        <v>2050</v>
      </c>
      <c r="D52">
        <v>-8067.9044826491263</v>
      </c>
      <c r="E52" t="s">
        <v>111</v>
      </c>
      <c r="F52" t="s">
        <v>111</v>
      </c>
      <c r="G52" t="s">
        <v>86</v>
      </c>
    </row>
    <row r="53" spans="1:7" x14ac:dyDescent="0.25">
      <c r="A53" t="s">
        <v>27</v>
      </c>
      <c r="B53" t="s">
        <v>43</v>
      </c>
      <c r="C53">
        <v>2050</v>
      </c>
      <c r="D53">
        <v>-294074.24017031107</v>
      </c>
      <c r="E53" t="s">
        <v>112</v>
      </c>
      <c r="F53" t="s">
        <v>112</v>
      </c>
      <c r="G53" t="s">
        <v>86</v>
      </c>
    </row>
    <row r="54" spans="1:7" x14ac:dyDescent="0.25">
      <c r="A54" t="s">
        <v>27</v>
      </c>
      <c r="B54" t="s">
        <v>43</v>
      </c>
      <c r="C54">
        <v>2050</v>
      </c>
      <c r="D54">
        <v>-34349.384744182549</v>
      </c>
      <c r="E54" t="s">
        <v>136</v>
      </c>
      <c r="F54" t="s">
        <v>136</v>
      </c>
      <c r="G54" t="s">
        <v>86</v>
      </c>
    </row>
    <row r="55" spans="1:7" x14ac:dyDescent="0.25">
      <c r="A55" t="s">
        <v>27</v>
      </c>
      <c r="B55" t="s">
        <v>43</v>
      </c>
      <c r="C55">
        <v>2050</v>
      </c>
      <c r="D55">
        <v>0</v>
      </c>
      <c r="E55" t="s">
        <v>139</v>
      </c>
      <c r="F55" t="s">
        <v>139</v>
      </c>
      <c r="G55" t="s">
        <v>86</v>
      </c>
    </row>
    <row r="56" spans="1:7" x14ac:dyDescent="0.25">
      <c r="A56" t="s">
        <v>129</v>
      </c>
      <c r="B56" t="s">
        <v>28</v>
      </c>
      <c r="C56">
        <v>2019</v>
      </c>
      <c r="D56">
        <v>12546079.333675962</v>
      </c>
      <c r="E56" t="s">
        <v>104</v>
      </c>
      <c r="F56" t="s">
        <v>104</v>
      </c>
    </row>
    <row r="57" spans="1:7" x14ac:dyDescent="0.25">
      <c r="A57" t="s">
        <v>129</v>
      </c>
      <c r="B57" t="s">
        <v>28</v>
      </c>
      <c r="C57">
        <v>2019</v>
      </c>
      <c r="D57">
        <v>5070835.3540045777</v>
      </c>
      <c r="E57" t="s">
        <v>105</v>
      </c>
      <c r="F57" t="s">
        <v>106</v>
      </c>
    </row>
    <row r="58" spans="1:7" x14ac:dyDescent="0.25">
      <c r="A58" t="s">
        <v>129</v>
      </c>
      <c r="B58" t="s">
        <v>28</v>
      </c>
      <c r="C58">
        <v>2019</v>
      </c>
      <c r="D58">
        <v>4155736.1194644454</v>
      </c>
      <c r="E58" t="s">
        <v>105</v>
      </c>
      <c r="F58" t="s">
        <v>107</v>
      </c>
      <c r="G58" t="s">
        <v>108</v>
      </c>
    </row>
    <row r="59" spans="1:7" x14ac:dyDescent="0.25">
      <c r="A59" t="s">
        <v>129</v>
      </c>
      <c r="B59" t="s">
        <v>28</v>
      </c>
      <c r="C59">
        <v>2019</v>
      </c>
      <c r="D59">
        <v>1324670.350202495</v>
      </c>
      <c r="E59" t="s">
        <v>105</v>
      </c>
      <c r="F59" t="s">
        <v>107</v>
      </c>
      <c r="G59" t="s">
        <v>109</v>
      </c>
    </row>
    <row r="60" spans="1:7" x14ac:dyDescent="0.25">
      <c r="A60" t="s">
        <v>129</v>
      </c>
      <c r="B60" t="s">
        <v>28</v>
      </c>
      <c r="C60">
        <v>2019</v>
      </c>
      <c r="D60">
        <v>2581596.1188411801</v>
      </c>
      <c r="E60" t="s">
        <v>105</v>
      </c>
      <c r="F60" t="s">
        <v>107</v>
      </c>
      <c r="G60" t="s">
        <v>110</v>
      </c>
    </row>
    <row r="61" spans="1:7" x14ac:dyDescent="0.25">
      <c r="A61" t="s">
        <v>129</v>
      </c>
      <c r="B61" t="s">
        <v>28</v>
      </c>
      <c r="C61">
        <v>2019</v>
      </c>
      <c r="D61">
        <v>-158.24317477886137</v>
      </c>
      <c r="E61" t="s">
        <v>111</v>
      </c>
      <c r="F61" t="s">
        <v>111</v>
      </c>
    </row>
    <row r="62" spans="1:7" x14ac:dyDescent="0.25">
      <c r="A62" t="s">
        <v>129</v>
      </c>
      <c r="B62" t="s">
        <v>28</v>
      </c>
      <c r="C62">
        <v>2019</v>
      </c>
      <c r="D62">
        <v>-434670</v>
      </c>
      <c r="E62" t="s">
        <v>112</v>
      </c>
      <c r="F62" t="s">
        <v>112</v>
      </c>
    </row>
    <row r="63" spans="1:7" x14ac:dyDescent="0.25">
      <c r="A63" t="s">
        <v>129</v>
      </c>
      <c r="B63" t="s">
        <v>28</v>
      </c>
      <c r="C63">
        <v>2019</v>
      </c>
      <c r="D63">
        <v>-151930.36566196129</v>
      </c>
      <c r="E63" t="s">
        <v>136</v>
      </c>
      <c r="F63" t="s">
        <v>136</v>
      </c>
    </row>
    <row r="64" spans="1:7" x14ac:dyDescent="0.25">
      <c r="A64" t="s">
        <v>129</v>
      </c>
      <c r="B64" t="s">
        <v>28</v>
      </c>
      <c r="C64">
        <v>2019</v>
      </c>
      <c r="D64">
        <v>0</v>
      </c>
      <c r="E64" t="s">
        <v>139</v>
      </c>
      <c r="F64" t="s">
        <v>139</v>
      </c>
    </row>
    <row r="65" spans="1:7" x14ac:dyDescent="0.25">
      <c r="A65" t="s">
        <v>129</v>
      </c>
      <c r="B65" t="s">
        <v>28</v>
      </c>
      <c r="C65">
        <v>2030</v>
      </c>
      <c r="D65">
        <v>11787127.711510129</v>
      </c>
      <c r="E65" t="s">
        <v>104</v>
      </c>
      <c r="F65" t="s">
        <v>104</v>
      </c>
      <c r="G65" t="s">
        <v>86</v>
      </c>
    </row>
    <row r="66" spans="1:7" x14ac:dyDescent="0.25">
      <c r="A66" t="s">
        <v>129</v>
      </c>
      <c r="B66" t="s">
        <v>28</v>
      </c>
      <c r="C66">
        <v>2030</v>
      </c>
      <c r="D66">
        <v>5058223.5325662289</v>
      </c>
      <c r="E66" t="s">
        <v>105</v>
      </c>
      <c r="F66" t="s">
        <v>106</v>
      </c>
      <c r="G66" t="s">
        <v>86</v>
      </c>
    </row>
    <row r="67" spans="1:7" x14ac:dyDescent="0.25">
      <c r="A67" t="s">
        <v>129</v>
      </c>
      <c r="B67" t="s">
        <v>28</v>
      </c>
      <c r="C67">
        <v>2030</v>
      </c>
      <c r="D67">
        <v>4113293.0454159677</v>
      </c>
      <c r="E67" t="s">
        <v>105</v>
      </c>
      <c r="F67" t="s">
        <v>107</v>
      </c>
      <c r="G67" t="s">
        <v>108</v>
      </c>
    </row>
    <row r="68" spans="1:7" x14ac:dyDescent="0.25">
      <c r="A68" t="s">
        <v>129</v>
      </c>
      <c r="B68" t="s">
        <v>28</v>
      </c>
      <c r="C68">
        <v>2030</v>
      </c>
      <c r="D68">
        <v>1225816.3211630862</v>
      </c>
      <c r="E68" t="s">
        <v>105</v>
      </c>
      <c r="F68" t="s">
        <v>107</v>
      </c>
      <c r="G68" t="s">
        <v>109</v>
      </c>
    </row>
    <row r="69" spans="1:7" x14ac:dyDescent="0.25">
      <c r="A69" t="s">
        <v>129</v>
      </c>
      <c r="B69" t="s">
        <v>28</v>
      </c>
      <c r="C69">
        <v>2030</v>
      </c>
      <c r="D69">
        <v>2334101.8595699249</v>
      </c>
      <c r="E69" t="s">
        <v>105</v>
      </c>
      <c r="F69" t="s">
        <v>107</v>
      </c>
      <c r="G69" t="s">
        <v>110</v>
      </c>
    </row>
    <row r="70" spans="1:7" x14ac:dyDescent="0.25">
      <c r="A70" t="s">
        <v>129</v>
      </c>
      <c r="B70" t="s">
        <v>28</v>
      </c>
      <c r="C70">
        <v>2030</v>
      </c>
      <c r="D70">
        <v>-23936.112883057391</v>
      </c>
      <c r="E70" t="s">
        <v>111</v>
      </c>
      <c r="F70" t="s">
        <v>111</v>
      </c>
      <c r="G70" t="s">
        <v>86</v>
      </c>
    </row>
    <row r="71" spans="1:7" x14ac:dyDescent="0.25">
      <c r="A71" t="s">
        <v>129</v>
      </c>
      <c r="B71" t="s">
        <v>28</v>
      </c>
      <c r="C71">
        <v>2030</v>
      </c>
      <c r="D71">
        <v>-528318.41235179966</v>
      </c>
      <c r="E71" t="s">
        <v>112</v>
      </c>
      <c r="F71" t="s">
        <v>112</v>
      </c>
      <c r="G71" t="s">
        <v>86</v>
      </c>
    </row>
    <row r="72" spans="1:7" x14ac:dyDescent="0.25">
      <c r="A72" t="s">
        <v>129</v>
      </c>
      <c r="B72" t="s">
        <v>28</v>
      </c>
      <c r="C72">
        <v>2030</v>
      </c>
      <c r="D72">
        <v>-392052.52197022288</v>
      </c>
      <c r="E72" t="s">
        <v>136</v>
      </c>
      <c r="F72" t="s">
        <v>136</v>
      </c>
      <c r="G72" t="s">
        <v>86</v>
      </c>
    </row>
    <row r="73" spans="1:7" x14ac:dyDescent="0.25">
      <c r="A73" t="s">
        <v>129</v>
      </c>
      <c r="B73" t="s">
        <v>28</v>
      </c>
      <c r="C73">
        <v>2030</v>
      </c>
      <c r="D73">
        <v>0</v>
      </c>
      <c r="E73" t="s">
        <v>139</v>
      </c>
      <c r="F73" t="s">
        <v>139</v>
      </c>
      <c r="G73" t="s">
        <v>86</v>
      </c>
    </row>
    <row r="74" spans="1:7" x14ac:dyDescent="0.25">
      <c r="A74" t="s">
        <v>129</v>
      </c>
      <c r="B74" t="s">
        <v>28</v>
      </c>
      <c r="C74">
        <v>2050</v>
      </c>
      <c r="D74">
        <v>10029238.357747888</v>
      </c>
      <c r="E74" t="s">
        <v>104</v>
      </c>
      <c r="F74" t="s">
        <v>104</v>
      </c>
      <c r="G74" t="s">
        <v>86</v>
      </c>
    </row>
    <row r="75" spans="1:7" x14ac:dyDescent="0.25">
      <c r="A75" t="s">
        <v>129</v>
      </c>
      <c r="B75" t="s">
        <v>28</v>
      </c>
      <c r="C75">
        <v>2050</v>
      </c>
      <c r="D75">
        <v>4029816.5016583097</v>
      </c>
      <c r="E75" t="s">
        <v>105</v>
      </c>
      <c r="F75" t="s">
        <v>106</v>
      </c>
      <c r="G75" t="s">
        <v>86</v>
      </c>
    </row>
    <row r="76" spans="1:7" x14ac:dyDescent="0.25">
      <c r="A76" t="s">
        <v>129</v>
      </c>
      <c r="B76" t="s">
        <v>28</v>
      </c>
      <c r="C76">
        <v>2050</v>
      </c>
      <c r="D76">
        <v>4036132.4350935114</v>
      </c>
      <c r="E76" t="s">
        <v>105</v>
      </c>
      <c r="F76" t="s">
        <v>107</v>
      </c>
      <c r="G76" t="s">
        <v>108</v>
      </c>
    </row>
    <row r="77" spans="1:7" x14ac:dyDescent="0.25">
      <c r="A77" t="s">
        <v>129</v>
      </c>
      <c r="B77" t="s">
        <v>28</v>
      </c>
      <c r="C77">
        <v>2050</v>
      </c>
      <c r="D77">
        <v>1225816.3211630862</v>
      </c>
      <c r="E77" t="s">
        <v>105</v>
      </c>
      <c r="F77" t="s">
        <v>107</v>
      </c>
      <c r="G77" t="s">
        <v>109</v>
      </c>
    </row>
    <row r="78" spans="1:7" x14ac:dyDescent="0.25">
      <c r="A78" t="s">
        <v>129</v>
      </c>
      <c r="B78" t="s">
        <v>28</v>
      </c>
      <c r="C78">
        <v>2050</v>
      </c>
      <c r="D78">
        <v>2334101.8595699244</v>
      </c>
      <c r="E78" t="s">
        <v>105</v>
      </c>
      <c r="F78" t="s">
        <v>107</v>
      </c>
      <c r="G78" t="s">
        <v>110</v>
      </c>
    </row>
    <row r="79" spans="1:7" x14ac:dyDescent="0.25">
      <c r="A79" t="s">
        <v>129</v>
      </c>
      <c r="B79" t="s">
        <v>28</v>
      </c>
      <c r="C79">
        <v>2050</v>
      </c>
      <c r="D79">
        <v>-32111.211335450222</v>
      </c>
      <c r="E79" t="s">
        <v>111</v>
      </c>
      <c r="F79" t="s">
        <v>111</v>
      </c>
      <c r="G79" t="s">
        <v>86</v>
      </c>
    </row>
    <row r="80" spans="1:7" x14ac:dyDescent="0.25">
      <c r="A80" t="s">
        <v>129</v>
      </c>
      <c r="B80" t="s">
        <v>28</v>
      </c>
      <c r="C80">
        <v>2050</v>
      </c>
      <c r="D80">
        <v>-1258781.6445090303</v>
      </c>
      <c r="E80" t="s">
        <v>112</v>
      </c>
      <c r="F80" t="s">
        <v>112</v>
      </c>
      <c r="G80" t="s">
        <v>86</v>
      </c>
    </row>
    <row r="81" spans="1:7" x14ac:dyDescent="0.25">
      <c r="A81" t="s">
        <v>129</v>
      </c>
      <c r="B81" t="s">
        <v>28</v>
      </c>
      <c r="C81">
        <v>2050</v>
      </c>
      <c r="D81">
        <v>-305735.90389246412</v>
      </c>
      <c r="E81" t="s">
        <v>136</v>
      </c>
      <c r="F81" t="s">
        <v>136</v>
      </c>
      <c r="G81" t="s">
        <v>86</v>
      </c>
    </row>
    <row r="82" spans="1:7" x14ac:dyDescent="0.25">
      <c r="A82" t="s">
        <v>129</v>
      </c>
      <c r="B82" t="s">
        <v>28</v>
      </c>
      <c r="C82">
        <v>2050</v>
      </c>
      <c r="D82">
        <v>0</v>
      </c>
      <c r="E82" t="s">
        <v>139</v>
      </c>
      <c r="F82" t="s">
        <v>139</v>
      </c>
      <c r="G82" t="s">
        <v>86</v>
      </c>
    </row>
    <row r="83" spans="1:7" x14ac:dyDescent="0.25">
      <c r="A83" t="s">
        <v>129</v>
      </c>
      <c r="B83" t="s">
        <v>43</v>
      </c>
      <c r="C83">
        <v>2019</v>
      </c>
      <c r="D83">
        <v>1971383.1086998824</v>
      </c>
      <c r="E83" t="s">
        <v>104</v>
      </c>
      <c r="F83" t="s">
        <v>104</v>
      </c>
      <c r="G83" t="s">
        <v>86</v>
      </c>
    </row>
    <row r="84" spans="1:7" x14ac:dyDescent="0.25">
      <c r="A84" t="s">
        <v>129</v>
      </c>
      <c r="B84" t="s">
        <v>43</v>
      </c>
      <c r="C84">
        <v>2019</v>
      </c>
      <c r="D84">
        <v>448426.54673213884</v>
      </c>
      <c r="E84" t="s">
        <v>105</v>
      </c>
      <c r="F84" t="s">
        <v>106</v>
      </c>
      <c r="G84" t="s">
        <v>86</v>
      </c>
    </row>
    <row r="85" spans="1:7" x14ac:dyDescent="0.25">
      <c r="A85" t="s">
        <v>129</v>
      </c>
      <c r="B85" t="s">
        <v>43</v>
      </c>
      <c r="C85">
        <v>2019</v>
      </c>
      <c r="D85">
        <v>1244619.4009225217</v>
      </c>
      <c r="E85" t="s">
        <v>105</v>
      </c>
      <c r="F85" t="s">
        <v>107</v>
      </c>
      <c r="G85" t="s">
        <v>108</v>
      </c>
    </row>
    <row r="86" spans="1:7" x14ac:dyDescent="0.25">
      <c r="A86" t="s">
        <v>129</v>
      </c>
      <c r="B86" t="s">
        <v>43</v>
      </c>
      <c r="C86">
        <v>2019</v>
      </c>
      <c r="D86">
        <v>142699.41800214813</v>
      </c>
      <c r="E86" t="s">
        <v>105</v>
      </c>
      <c r="F86" t="s">
        <v>107</v>
      </c>
      <c r="G86" t="s">
        <v>109</v>
      </c>
    </row>
    <row r="87" spans="1:7" x14ac:dyDescent="0.25">
      <c r="A87" t="s">
        <v>129</v>
      </c>
      <c r="B87" t="s">
        <v>43</v>
      </c>
      <c r="C87">
        <v>2019</v>
      </c>
      <c r="D87">
        <v>276144.78230139322</v>
      </c>
      <c r="E87" t="s">
        <v>105</v>
      </c>
      <c r="F87" t="s">
        <v>107</v>
      </c>
      <c r="G87" t="s">
        <v>110</v>
      </c>
    </row>
    <row r="88" spans="1:7" x14ac:dyDescent="0.25">
      <c r="A88" t="s">
        <v>129</v>
      </c>
      <c r="B88" t="s">
        <v>43</v>
      </c>
      <c r="C88">
        <v>2019</v>
      </c>
      <c r="D88">
        <v>-0.19402522113858015</v>
      </c>
      <c r="E88" t="s">
        <v>111</v>
      </c>
      <c r="F88" t="s">
        <v>111</v>
      </c>
      <c r="G88" t="s">
        <v>86</v>
      </c>
    </row>
    <row r="89" spans="1:7" x14ac:dyDescent="0.25">
      <c r="A89" t="s">
        <v>129</v>
      </c>
      <c r="B89" t="s">
        <v>43</v>
      </c>
      <c r="C89">
        <v>2019</v>
      </c>
      <c r="D89">
        <v>-127230</v>
      </c>
      <c r="E89" t="s">
        <v>112</v>
      </c>
      <c r="F89" t="s">
        <v>112</v>
      </c>
      <c r="G89" t="s">
        <v>86</v>
      </c>
    </row>
    <row r="90" spans="1:7" x14ac:dyDescent="0.25">
      <c r="A90" t="s">
        <v>129</v>
      </c>
      <c r="B90" t="s">
        <v>43</v>
      </c>
      <c r="C90">
        <v>2019</v>
      </c>
      <c r="D90">
        <v>-13276.84523309844</v>
      </c>
      <c r="E90" t="s">
        <v>136</v>
      </c>
      <c r="F90" t="s">
        <v>136</v>
      </c>
      <c r="G90" t="s">
        <v>86</v>
      </c>
    </row>
    <row r="91" spans="1:7" x14ac:dyDescent="0.25">
      <c r="A91" t="s">
        <v>129</v>
      </c>
      <c r="B91" t="s">
        <v>43</v>
      </c>
      <c r="C91">
        <v>2019</v>
      </c>
      <c r="D91">
        <v>0</v>
      </c>
      <c r="E91" t="s">
        <v>139</v>
      </c>
      <c r="F91" t="s">
        <v>139</v>
      </c>
      <c r="G91" t="s">
        <v>86</v>
      </c>
    </row>
    <row r="92" spans="1:7" x14ac:dyDescent="0.25">
      <c r="A92" t="s">
        <v>129</v>
      </c>
      <c r="B92" t="s">
        <v>43</v>
      </c>
      <c r="C92">
        <v>2030</v>
      </c>
      <c r="D92">
        <v>1891701.6150406413</v>
      </c>
      <c r="E92" t="s">
        <v>104</v>
      </c>
      <c r="F92" t="s">
        <v>104</v>
      </c>
      <c r="G92" t="s">
        <v>86</v>
      </c>
    </row>
    <row r="93" spans="1:7" x14ac:dyDescent="0.25">
      <c r="A93" t="s">
        <v>129</v>
      </c>
      <c r="B93" t="s">
        <v>43</v>
      </c>
      <c r="C93">
        <v>2030</v>
      </c>
      <c r="D93">
        <v>449093.3493058047</v>
      </c>
      <c r="E93" t="s">
        <v>105</v>
      </c>
      <c r="F93" t="s">
        <v>106</v>
      </c>
      <c r="G93" t="s">
        <v>86</v>
      </c>
    </row>
    <row r="94" spans="1:7" x14ac:dyDescent="0.25">
      <c r="A94" t="s">
        <v>129</v>
      </c>
      <c r="B94" t="s">
        <v>43</v>
      </c>
      <c r="C94">
        <v>2030</v>
      </c>
      <c r="D94">
        <v>1240035.0657402945</v>
      </c>
      <c r="E94" t="s">
        <v>105</v>
      </c>
      <c r="F94" t="s">
        <v>107</v>
      </c>
      <c r="G94" t="s">
        <v>108</v>
      </c>
    </row>
    <row r="95" spans="1:7" x14ac:dyDescent="0.25">
      <c r="A95" t="s">
        <v>129</v>
      </c>
      <c r="B95" t="s">
        <v>43</v>
      </c>
      <c r="C95">
        <v>2030</v>
      </c>
      <c r="D95">
        <v>132118.63988943215</v>
      </c>
      <c r="E95" t="s">
        <v>105</v>
      </c>
      <c r="F95" t="s">
        <v>107</v>
      </c>
      <c r="G95" t="s">
        <v>109</v>
      </c>
    </row>
    <row r="96" spans="1:7" x14ac:dyDescent="0.25">
      <c r="A96" t="s">
        <v>129</v>
      </c>
      <c r="B96" t="s">
        <v>43</v>
      </c>
      <c r="C96">
        <v>2030</v>
      </c>
      <c r="D96">
        <v>251468.565835013</v>
      </c>
      <c r="E96" t="s">
        <v>105</v>
      </c>
      <c r="F96" t="s">
        <v>107</v>
      </c>
      <c r="G96" t="s">
        <v>110</v>
      </c>
    </row>
    <row r="97" spans="1:7" x14ac:dyDescent="0.25">
      <c r="A97" t="s">
        <v>129</v>
      </c>
      <c r="B97" t="s">
        <v>43</v>
      </c>
      <c r="C97">
        <v>2030</v>
      </c>
      <c r="D97">
        <v>-674.70029884327505</v>
      </c>
      <c r="E97" t="s">
        <v>111</v>
      </c>
      <c r="F97" t="s">
        <v>111</v>
      </c>
      <c r="G97" t="s">
        <v>86</v>
      </c>
    </row>
    <row r="98" spans="1:7" x14ac:dyDescent="0.25">
      <c r="A98" t="s">
        <v>129</v>
      </c>
      <c r="B98" t="s">
        <v>43</v>
      </c>
      <c r="C98">
        <v>2030</v>
      </c>
      <c r="D98">
        <v>-144967.5468532106</v>
      </c>
      <c r="E98" t="s">
        <v>112</v>
      </c>
      <c r="F98" t="s">
        <v>112</v>
      </c>
      <c r="G98" t="s">
        <v>86</v>
      </c>
    </row>
    <row r="99" spans="1:7" x14ac:dyDescent="0.25">
      <c r="A99" t="s">
        <v>129</v>
      </c>
      <c r="B99" t="s">
        <v>43</v>
      </c>
      <c r="C99">
        <v>2030</v>
      </c>
      <c r="D99">
        <v>-35371.758577849541</v>
      </c>
      <c r="E99" t="s">
        <v>136</v>
      </c>
      <c r="F99" t="s">
        <v>136</v>
      </c>
      <c r="G99" t="s">
        <v>86</v>
      </c>
    </row>
    <row r="100" spans="1:7" x14ac:dyDescent="0.25">
      <c r="A100" t="s">
        <v>129</v>
      </c>
      <c r="B100" t="s">
        <v>43</v>
      </c>
      <c r="C100">
        <v>2030</v>
      </c>
      <c r="D100">
        <v>0</v>
      </c>
      <c r="E100" t="s">
        <v>139</v>
      </c>
      <c r="F100" t="s">
        <v>139</v>
      </c>
      <c r="G100" t="s">
        <v>86</v>
      </c>
    </row>
    <row r="101" spans="1:7" x14ac:dyDescent="0.25">
      <c r="A101" t="s">
        <v>129</v>
      </c>
      <c r="B101" t="s">
        <v>43</v>
      </c>
      <c r="C101">
        <v>2050</v>
      </c>
      <c r="D101">
        <v>1644035.3956530073</v>
      </c>
      <c r="E101" t="s">
        <v>104</v>
      </c>
      <c r="F101" t="s">
        <v>104</v>
      </c>
      <c r="G101" t="s">
        <v>86</v>
      </c>
    </row>
    <row r="102" spans="1:7" x14ac:dyDescent="0.25">
      <c r="A102" t="s">
        <v>129</v>
      </c>
      <c r="B102" t="s">
        <v>43</v>
      </c>
      <c r="C102">
        <v>2050</v>
      </c>
      <c r="D102">
        <v>358368.22621777962</v>
      </c>
      <c r="E102" t="s">
        <v>105</v>
      </c>
      <c r="F102" t="s">
        <v>106</v>
      </c>
      <c r="G102" t="s">
        <v>86</v>
      </c>
    </row>
    <row r="103" spans="1:7" x14ac:dyDescent="0.25">
      <c r="A103" t="s">
        <v>129</v>
      </c>
      <c r="B103" t="s">
        <v>43</v>
      </c>
      <c r="C103">
        <v>2050</v>
      </c>
      <c r="D103">
        <v>1231701.6161590884</v>
      </c>
      <c r="E103" t="s">
        <v>105</v>
      </c>
      <c r="F103" t="s">
        <v>107</v>
      </c>
      <c r="G103" t="s">
        <v>108</v>
      </c>
    </row>
    <row r="104" spans="1:7" x14ac:dyDescent="0.25">
      <c r="A104" t="s">
        <v>129</v>
      </c>
      <c r="B104" t="s">
        <v>43</v>
      </c>
      <c r="C104">
        <v>2050</v>
      </c>
      <c r="D104">
        <v>132118.63988943212</v>
      </c>
      <c r="E104" t="s">
        <v>105</v>
      </c>
      <c r="F104" t="s">
        <v>107</v>
      </c>
      <c r="G104" t="s">
        <v>109</v>
      </c>
    </row>
    <row r="105" spans="1:7" x14ac:dyDescent="0.25">
      <c r="A105" t="s">
        <v>129</v>
      </c>
      <c r="B105" t="s">
        <v>43</v>
      </c>
      <c r="C105">
        <v>2050</v>
      </c>
      <c r="D105">
        <v>251468.56583501303</v>
      </c>
      <c r="E105" t="s">
        <v>105</v>
      </c>
      <c r="F105" t="s">
        <v>107</v>
      </c>
      <c r="G105" t="s">
        <v>110</v>
      </c>
    </row>
    <row r="106" spans="1:7" x14ac:dyDescent="0.25">
      <c r="A106" t="s">
        <v>129</v>
      </c>
      <c r="B106" t="s">
        <v>43</v>
      </c>
      <c r="C106">
        <v>2050</v>
      </c>
      <c r="D106">
        <v>-8067.9044826491263</v>
      </c>
      <c r="E106" t="s">
        <v>111</v>
      </c>
      <c r="F106" t="s">
        <v>111</v>
      </c>
      <c r="G106" t="s">
        <v>86</v>
      </c>
    </row>
    <row r="107" spans="1:7" x14ac:dyDescent="0.25">
      <c r="A107" t="s">
        <v>129</v>
      </c>
      <c r="B107" t="s">
        <v>43</v>
      </c>
      <c r="C107">
        <v>2050</v>
      </c>
      <c r="D107">
        <v>-294074.24017031107</v>
      </c>
      <c r="E107" t="s">
        <v>112</v>
      </c>
      <c r="F107" t="s">
        <v>112</v>
      </c>
      <c r="G107" t="s">
        <v>86</v>
      </c>
    </row>
    <row r="108" spans="1:7" x14ac:dyDescent="0.25">
      <c r="A108" t="s">
        <v>129</v>
      </c>
      <c r="B108" t="s">
        <v>43</v>
      </c>
      <c r="C108">
        <v>2050</v>
      </c>
      <c r="D108">
        <v>-27479.507795346046</v>
      </c>
      <c r="E108" t="s">
        <v>136</v>
      </c>
      <c r="F108" t="s">
        <v>136</v>
      </c>
      <c r="G108" t="s">
        <v>86</v>
      </c>
    </row>
    <row r="109" spans="1:7" x14ac:dyDescent="0.25">
      <c r="A109" t="s">
        <v>129</v>
      </c>
      <c r="B109" t="s">
        <v>43</v>
      </c>
      <c r="C109">
        <v>2050</v>
      </c>
      <c r="D109">
        <v>0</v>
      </c>
      <c r="E109" t="s">
        <v>139</v>
      </c>
      <c r="F109" t="s">
        <v>139</v>
      </c>
      <c r="G109" t="s">
        <v>86</v>
      </c>
    </row>
    <row r="110" spans="1:7" x14ac:dyDescent="0.25">
      <c r="A110" t="s">
        <v>130</v>
      </c>
      <c r="B110" t="s">
        <v>28</v>
      </c>
      <c r="C110">
        <v>2019</v>
      </c>
      <c r="D110">
        <v>12546079.333675962</v>
      </c>
      <c r="E110" t="s">
        <v>104</v>
      </c>
      <c r="F110" t="s">
        <v>104</v>
      </c>
    </row>
    <row r="111" spans="1:7" x14ac:dyDescent="0.25">
      <c r="A111" t="s">
        <v>130</v>
      </c>
      <c r="B111" t="s">
        <v>28</v>
      </c>
      <c r="C111">
        <v>2019</v>
      </c>
      <c r="D111">
        <v>5070835.3540045777</v>
      </c>
      <c r="E111" t="s">
        <v>105</v>
      </c>
      <c r="F111" t="s">
        <v>106</v>
      </c>
    </row>
    <row r="112" spans="1:7" x14ac:dyDescent="0.25">
      <c r="A112" t="s">
        <v>130</v>
      </c>
      <c r="B112" t="s">
        <v>28</v>
      </c>
      <c r="C112">
        <v>2019</v>
      </c>
      <c r="D112">
        <v>4155736.1194644454</v>
      </c>
      <c r="E112" t="s">
        <v>105</v>
      </c>
      <c r="F112" t="s">
        <v>107</v>
      </c>
      <c r="G112" t="s">
        <v>108</v>
      </c>
    </row>
    <row r="113" spans="1:7" x14ac:dyDescent="0.25">
      <c r="A113" t="s">
        <v>130</v>
      </c>
      <c r="B113" t="s">
        <v>28</v>
      </c>
      <c r="C113">
        <v>2019</v>
      </c>
      <c r="D113">
        <v>1324670.350202495</v>
      </c>
      <c r="E113" t="s">
        <v>105</v>
      </c>
      <c r="F113" t="s">
        <v>107</v>
      </c>
      <c r="G113" t="s">
        <v>109</v>
      </c>
    </row>
    <row r="114" spans="1:7" x14ac:dyDescent="0.25">
      <c r="A114" t="s">
        <v>130</v>
      </c>
      <c r="B114" t="s">
        <v>28</v>
      </c>
      <c r="C114">
        <v>2019</v>
      </c>
      <c r="D114">
        <v>2581596.1188411801</v>
      </c>
      <c r="E114" t="s">
        <v>105</v>
      </c>
      <c r="F114" t="s">
        <v>107</v>
      </c>
      <c r="G114" t="s">
        <v>110</v>
      </c>
    </row>
    <row r="115" spans="1:7" x14ac:dyDescent="0.25">
      <c r="A115" t="s">
        <v>130</v>
      </c>
      <c r="B115" t="s">
        <v>28</v>
      </c>
      <c r="C115">
        <v>2019</v>
      </c>
      <c r="D115">
        <v>-158.24317477886137</v>
      </c>
      <c r="E115" t="s">
        <v>111</v>
      </c>
      <c r="F115" t="s">
        <v>111</v>
      </c>
    </row>
    <row r="116" spans="1:7" x14ac:dyDescent="0.25">
      <c r="A116" t="s">
        <v>130</v>
      </c>
      <c r="B116" t="s">
        <v>28</v>
      </c>
      <c r="C116">
        <v>2019</v>
      </c>
      <c r="D116">
        <v>-434670</v>
      </c>
      <c r="E116" t="s">
        <v>112</v>
      </c>
      <c r="F116" t="s">
        <v>112</v>
      </c>
    </row>
    <row r="117" spans="1:7" x14ac:dyDescent="0.25">
      <c r="A117" t="s">
        <v>130</v>
      </c>
      <c r="B117" t="s">
        <v>28</v>
      </c>
      <c r="C117">
        <v>2019</v>
      </c>
      <c r="D117">
        <v>-151930.36566196129</v>
      </c>
      <c r="E117" t="s">
        <v>136</v>
      </c>
      <c r="F117" t="s">
        <v>136</v>
      </c>
    </row>
    <row r="118" spans="1:7" x14ac:dyDescent="0.25">
      <c r="A118" t="s">
        <v>130</v>
      </c>
      <c r="B118" t="s">
        <v>28</v>
      </c>
      <c r="C118">
        <v>2019</v>
      </c>
      <c r="D118">
        <v>0</v>
      </c>
      <c r="E118" t="s">
        <v>139</v>
      </c>
      <c r="F118" t="s">
        <v>139</v>
      </c>
    </row>
    <row r="119" spans="1:7" x14ac:dyDescent="0.25">
      <c r="A119" t="s">
        <v>130</v>
      </c>
      <c r="B119" t="s">
        <v>28</v>
      </c>
      <c r="C119">
        <v>2030</v>
      </c>
      <c r="D119">
        <v>11787127.711510129</v>
      </c>
      <c r="E119" t="s">
        <v>104</v>
      </c>
      <c r="F119" t="s">
        <v>104</v>
      </c>
      <c r="G119" t="s">
        <v>86</v>
      </c>
    </row>
    <row r="120" spans="1:7" x14ac:dyDescent="0.25">
      <c r="A120" t="s">
        <v>130</v>
      </c>
      <c r="B120" t="s">
        <v>28</v>
      </c>
      <c r="C120">
        <v>2030</v>
      </c>
      <c r="D120">
        <v>5058223.5325662289</v>
      </c>
      <c r="E120" t="s">
        <v>105</v>
      </c>
      <c r="F120" t="s">
        <v>106</v>
      </c>
      <c r="G120" t="s">
        <v>86</v>
      </c>
    </row>
    <row r="121" spans="1:7" x14ac:dyDescent="0.25">
      <c r="A121" t="s">
        <v>130</v>
      </c>
      <c r="B121" t="s">
        <v>28</v>
      </c>
      <c r="C121">
        <v>2030</v>
      </c>
      <c r="D121">
        <v>4113293.0454159677</v>
      </c>
      <c r="E121" t="s">
        <v>105</v>
      </c>
      <c r="F121" t="s">
        <v>107</v>
      </c>
      <c r="G121" t="s">
        <v>108</v>
      </c>
    </row>
    <row r="122" spans="1:7" x14ac:dyDescent="0.25">
      <c r="A122" t="s">
        <v>130</v>
      </c>
      <c r="B122" t="s">
        <v>28</v>
      </c>
      <c r="C122">
        <v>2030</v>
      </c>
      <c r="D122">
        <v>1225816.3211630862</v>
      </c>
      <c r="E122" t="s">
        <v>105</v>
      </c>
      <c r="F122" t="s">
        <v>107</v>
      </c>
      <c r="G122" t="s">
        <v>109</v>
      </c>
    </row>
    <row r="123" spans="1:7" x14ac:dyDescent="0.25">
      <c r="A123" t="s">
        <v>130</v>
      </c>
      <c r="B123" t="s">
        <v>28</v>
      </c>
      <c r="C123">
        <v>2030</v>
      </c>
      <c r="D123">
        <v>2334101.8595699249</v>
      </c>
      <c r="E123" t="s">
        <v>105</v>
      </c>
      <c r="F123" t="s">
        <v>107</v>
      </c>
      <c r="G123" t="s">
        <v>110</v>
      </c>
    </row>
    <row r="124" spans="1:7" x14ac:dyDescent="0.25">
      <c r="A124" t="s">
        <v>130</v>
      </c>
      <c r="B124" t="s">
        <v>28</v>
      </c>
      <c r="C124">
        <v>2030</v>
      </c>
      <c r="D124">
        <v>-23936.112883057391</v>
      </c>
      <c r="E124" t="s">
        <v>111</v>
      </c>
      <c r="F124" t="s">
        <v>111</v>
      </c>
      <c r="G124" t="s">
        <v>86</v>
      </c>
    </row>
    <row r="125" spans="1:7" x14ac:dyDescent="0.25">
      <c r="A125" t="s">
        <v>130</v>
      </c>
      <c r="B125" t="s">
        <v>28</v>
      </c>
      <c r="C125">
        <v>2030</v>
      </c>
      <c r="D125">
        <v>-528318.41235179966</v>
      </c>
      <c r="E125" t="s">
        <v>112</v>
      </c>
      <c r="F125" t="s">
        <v>112</v>
      </c>
      <c r="G125" t="s">
        <v>86</v>
      </c>
    </row>
    <row r="126" spans="1:7" x14ac:dyDescent="0.25">
      <c r="A126" t="s">
        <v>130</v>
      </c>
      <c r="B126" t="s">
        <v>28</v>
      </c>
      <c r="C126">
        <v>2030</v>
      </c>
      <c r="D126">
        <v>-392052.52197022288</v>
      </c>
      <c r="E126" t="s">
        <v>136</v>
      </c>
      <c r="F126" t="s">
        <v>136</v>
      </c>
      <c r="G126" t="s">
        <v>86</v>
      </c>
    </row>
    <row r="127" spans="1:7" x14ac:dyDescent="0.25">
      <c r="A127" t="s">
        <v>130</v>
      </c>
      <c r="B127" t="s">
        <v>28</v>
      </c>
      <c r="C127">
        <v>2030</v>
      </c>
      <c r="D127">
        <v>0</v>
      </c>
      <c r="E127" t="s">
        <v>139</v>
      </c>
      <c r="F127" t="s">
        <v>139</v>
      </c>
      <c r="G127" t="s">
        <v>86</v>
      </c>
    </row>
    <row r="128" spans="1:7" x14ac:dyDescent="0.25">
      <c r="A128" t="s">
        <v>130</v>
      </c>
      <c r="B128" t="s">
        <v>28</v>
      </c>
      <c r="C128">
        <v>2050</v>
      </c>
      <c r="D128">
        <v>11891278.656630801</v>
      </c>
      <c r="E128" t="s">
        <v>104</v>
      </c>
      <c r="F128" t="s">
        <v>104</v>
      </c>
      <c r="G128" t="s">
        <v>86</v>
      </c>
    </row>
    <row r="129" spans="1:7" x14ac:dyDescent="0.25">
      <c r="A129" t="s">
        <v>130</v>
      </c>
      <c r="B129" t="s">
        <v>28</v>
      </c>
      <c r="C129">
        <v>2050</v>
      </c>
      <c r="D129">
        <v>6044724.7524874648</v>
      </c>
      <c r="E129" t="s">
        <v>105</v>
      </c>
      <c r="F129" t="s">
        <v>106</v>
      </c>
      <c r="G129" t="s">
        <v>86</v>
      </c>
    </row>
    <row r="130" spans="1:7" x14ac:dyDescent="0.25">
      <c r="A130" t="s">
        <v>130</v>
      </c>
      <c r="B130" t="s">
        <v>28</v>
      </c>
      <c r="C130">
        <v>2050</v>
      </c>
      <c r="D130">
        <v>4036132.4350935114</v>
      </c>
      <c r="E130" t="s">
        <v>105</v>
      </c>
      <c r="F130" t="s">
        <v>107</v>
      </c>
      <c r="G130" t="s">
        <v>108</v>
      </c>
    </row>
    <row r="131" spans="1:7" x14ac:dyDescent="0.25">
      <c r="A131" t="s">
        <v>130</v>
      </c>
      <c r="B131" t="s">
        <v>28</v>
      </c>
      <c r="C131">
        <v>2050</v>
      </c>
      <c r="D131">
        <v>1225816.3211630862</v>
      </c>
      <c r="E131" t="s">
        <v>105</v>
      </c>
      <c r="F131" t="s">
        <v>107</v>
      </c>
      <c r="G131" t="s">
        <v>109</v>
      </c>
    </row>
    <row r="132" spans="1:7" x14ac:dyDescent="0.25">
      <c r="A132" t="s">
        <v>130</v>
      </c>
      <c r="B132" t="s">
        <v>28</v>
      </c>
      <c r="C132">
        <v>2050</v>
      </c>
      <c r="D132">
        <v>2334101.8595699244</v>
      </c>
      <c r="E132" t="s">
        <v>105</v>
      </c>
      <c r="F132" t="s">
        <v>107</v>
      </c>
      <c r="G132" t="s">
        <v>110</v>
      </c>
    </row>
    <row r="133" spans="1:7" x14ac:dyDescent="0.25">
      <c r="A133" t="s">
        <v>130</v>
      </c>
      <c r="B133" t="s">
        <v>28</v>
      </c>
      <c r="C133">
        <v>2050</v>
      </c>
      <c r="D133">
        <v>-32111.211335450222</v>
      </c>
      <c r="E133" t="s">
        <v>111</v>
      </c>
      <c r="F133" t="s">
        <v>111</v>
      </c>
      <c r="G133" t="s">
        <v>86</v>
      </c>
    </row>
    <row r="134" spans="1:7" x14ac:dyDescent="0.25">
      <c r="A134" t="s">
        <v>130</v>
      </c>
      <c r="B134" t="s">
        <v>28</v>
      </c>
      <c r="C134">
        <v>2050</v>
      </c>
      <c r="D134">
        <v>-1258781.6445090303</v>
      </c>
      <c r="E134" t="s">
        <v>112</v>
      </c>
      <c r="F134" t="s">
        <v>112</v>
      </c>
      <c r="G134" t="s">
        <v>86</v>
      </c>
    </row>
    <row r="135" spans="1:7" x14ac:dyDescent="0.25">
      <c r="A135" t="s">
        <v>130</v>
      </c>
      <c r="B135" t="s">
        <v>28</v>
      </c>
      <c r="C135">
        <v>2050</v>
      </c>
      <c r="D135">
        <v>-458603.85583869618</v>
      </c>
      <c r="E135" t="s">
        <v>136</v>
      </c>
      <c r="F135" t="s">
        <v>136</v>
      </c>
      <c r="G135" t="s">
        <v>86</v>
      </c>
    </row>
    <row r="136" spans="1:7" x14ac:dyDescent="0.25">
      <c r="A136" t="s">
        <v>130</v>
      </c>
      <c r="B136" t="s">
        <v>28</v>
      </c>
      <c r="C136">
        <v>2050</v>
      </c>
      <c r="D136">
        <v>0</v>
      </c>
      <c r="E136" t="s">
        <v>139</v>
      </c>
      <c r="F136" t="s">
        <v>139</v>
      </c>
      <c r="G136" t="s">
        <v>86</v>
      </c>
    </row>
    <row r="137" spans="1:7" x14ac:dyDescent="0.25">
      <c r="A137" t="s">
        <v>130</v>
      </c>
      <c r="B137" t="s">
        <v>43</v>
      </c>
      <c r="C137">
        <v>2019</v>
      </c>
      <c r="D137">
        <v>1971383.1086998824</v>
      </c>
      <c r="E137" t="s">
        <v>104</v>
      </c>
      <c r="F137" t="s">
        <v>104</v>
      </c>
      <c r="G137" t="s">
        <v>86</v>
      </c>
    </row>
    <row r="138" spans="1:7" x14ac:dyDescent="0.25">
      <c r="A138" t="s">
        <v>130</v>
      </c>
      <c r="B138" t="s">
        <v>43</v>
      </c>
      <c r="C138">
        <v>2019</v>
      </c>
      <c r="D138">
        <v>448426.54673213884</v>
      </c>
      <c r="E138" t="s">
        <v>105</v>
      </c>
      <c r="F138" t="s">
        <v>106</v>
      </c>
      <c r="G138" t="s">
        <v>86</v>
      </c>
    </row>
    <row r="139" spans="1:7" x14ac:dyDescent="0.25">
      <c r="A139" t="s">
        <v>130</v>
      </c>
      <c r="B139" t="s">
        <v>43</v>
      </c>
      <c r="C139">
        <v>2019</v>
      </c>
      <c r="D139">
        <v>1244619.4009225217</v>
      </c>
      <c r="E139" t="s">
        <v>105</v>
      </c>
      <c r="F139" t="s">
        <v>107</v>
      </c>
      <c r="G139" t="s">
        <v>108</v>
      </c>
    </row>
    <row r="140" spans="1:7" x14ac:dyDescent="0.25">
      <c r="A140" t="s">
        <v>130</v>
      </c>
      <c r="B140" t="s">
        <v>43</v>
      </c>
      <c r="C140">
        <v>2019</v>
      </c>
      <c r="D140">
        <v>142699.41800214813</v>
      </c>
      <c r="E140" t="s">
        <v>105</v>
      </c>
      <c r="F140" t="s">
        <v>107</v>
      </c>
      <c r="G140" t="s">
        <v>109</v>
      </c>
    </row>
    <row r="141" spans="1:7" x14ac:dyDescent="0.25">
      <c r="A141" t="s">
        <v>130</v>
      </c>
      <c r="B141" t="s">
        <v>43</v>
      </c>
      <c r="C141">
        <v>2019</v>
      </c>
      <c r="D141">
        <v>276144.78230139322</v>
      </c>
      <c r="E141" t="s">
        <v>105</v>
      </c>
      <c r="F141" t="s">
        <v>107</v>
      </c>
      <c r="G141" t="s">
        <v>110</v>
      </c>
    </row>
    <row r="142" spans="1:7" x14ac:dyDescent="0.25">
      <c r="A142" t="s">
        <v>130</v>
      </c>
      <c r="B142" t="s">
        <v>43</v>
      </c>
      <c r="C142">
        <v>2019</v>
      </c>
      <c r="D142">
        <v>-0.19402522113858015</v>
      </c>
      <c r="E142" t="s">
        <v>111</v>
      </c>
      <c r="F142" t="s">
        <v>111</v>
      </c>
      <c r="G142" t="s">
        <v>86</v>
      </c>
    </row>
    <row r="143" spans="1:7" x14ac:dyDescent="0.25">
      <c r="A143" t="s">
        <v>130</v>
      </c>
      <c r="B143" t="s">
        <v>43</v>
      </c>
      <c r="C143">
        <v>2019</v>
      </c>
      <c r="D143">
        <v>-127230</v>
      </c>
      <c r="E143" t="s">
        <v>112</v>
      </c>
      <c r="F143" t="s">
        <v>112</v>
      </c>
      <c r="G143" t="s">
        <v>86</v>
      </c>
    </row>
    <row r="144" spans="1:7" x14ac:dyDescent="0.25">
      <c r="A144" t="s">
        <v>130</v>
      </c>
      <c r="B144" t="s">
        <v>43</v>
      </c>
      <c r="C144">
        <v>2019</v>
      </c>
      <c r="D144">
        <v>-13276.84523309844</v>
      </c>
      <c r="E144" t="s">
        <v>136</v>
      </c>
      <c r="F144" t="s">
        <v>136</v>
      </c>
      <c r="G144" t="s">
        <v>86</v>
      </c>
    </row>
    <row r="145" spans="1:7" x14ac:dyDescent="0.25">
      <c r="A145" t="s">
        <v>130</v>
      </c>
      <c r="B145" t="s">
        <v>43</v>
      </c>
      <c r="C145">
        <v>2019</v>
      </c>
      <c r="D145">
        <v>0</v>
      </c>
      <c r="E145" t="s">
        <v>139</v>
      </c>
      <c r="F145" t="s">
        <v>139</v>
      </c>
      <c r="G145" t="s">
        <v>86</v>
      </c>
    </row>
    <row r="146" spans="1:7" x14ac:dyDescent="0.25">
      <c r="A146" t="s">
        <v>130</v>
      </c>
      <c r="B146" t="s">
        <v>43</v>
      </c>
      <c r="C146">
        <v>2030</v>
      </c>
      <c r="D146">
        <v>1891701.6150406413</v>
      </c>
      <c r="E146" t="s">
        <v>104</v>
      </c>
      <c r="F146" t="s">
        <v>104</v>
      </c>
      <c r="G146" t="s">
        <v>86</v>
      </c>
    </row>
    <row r="147" spans="1:7" x14ac:dyDescent="0.25">
      <c r="A147" t="s">
        <v>130</v>
      </c>
      <c r="B147" t="s">
        <v>43</v>
      </c>
      <c r="C147">
        <v>2030</v>
      </c>
      <c r="D147">
        <v>449093.3493058047</v>
      </c>
      <c r="E147" t="s">
        <v>105</v>
      </c>
      <c r="F147" t="s">
        <v>106</v>
      </c>
      <c r="G147" t="s">
        <v>86</v>
      </c>
    </row>
    <row r="148" spans="1:7" x14ac:dyDescent="0.25">
      <c r="A148" t="s">
        <v>130</v>
      </c>
      <c r="B148" t="s">
        <v>43</v>
      </c>
      <c r="C148">
        <v>2030</v>
      </c>
      <c r="D148">
        <v>1240035.0657402945</v>
      </c>
      <c r="E148" t="s">
        <v>105</v>
      </c>
      <c r="F148" t="s">
        <v>107</v>
      </c>
      <c r="G148" t="s">
        <v>108</v>
      </c>
    </row>
    <row r="149" spans="1:7" x14ac:dyDescent="0.25">
      <c r="A149" t="s">
        <v>130</v>
      </c>
      <c r="B149" t="s">
        <v>43</v>
      </c>
      <c r="C149">
        <v>2030</v>
      </c>
      <c r="D149">
        <v>132118.63988943215</v>
      </c>
      <c r="E149" t="s">
        <v>105</v>
      </c>
      <c r="F149" t="s">
        <v>107</v>
      </c>
      <c r="G149" t="s">
        <v>109</v>
      </c>
    </row>
    <row r="150" spans="1:7" x14ac:dyDescent="0.25">
      <c r="A150" t="s">
        <v>130</v>
      </c>
      <c r="B150" t="s">
        <v>43</v>
      </c>
      <c r="C150">
        <v>2030</v>
      </c>
      <c r="D150">
        <v>251468.565835013</v>
      </c>
      <c r="E150" t="s">
        <v>105</v>
      </c>
      <c r="F150" t="s">
        <v>107</v>
      </c>
      <c r="G150" t="s">
        <v>110</v>
      </c>
    </row>
    <row r="151" spans="1:7" x14ac:dyDescent="0.25">
      <c r="A151" t="s">
        <v>130</v>
      </c>
      <c r="B151" t="s">
        <v>43</v>
      </c>
      <c r="C151">
        <v>2030</v>
      </c>
      <c r="D151">
        <v>-674.70029884327505</v>
      </c>
      <c r="E151" t="s">
        <v>111</v>
      </c>
      <c r="F151" t="s">
        <v>111</v>
      </c>
      <c r="G151" t="s">
        <v>86</v>
      </c>
    </row>
    <row r="152" spans="1:7" x14ac:dyDescent="0.25">
      <c r="A152" t="s">
        <v>130</v>
      </c>
      <c r="B152" t="s">
        <v>43</v>
      </c>
      <c r="C152">
        <v>2030</v>
      </c>
      <c r="D152">
        <v>-144967.5468532106</v>
      </c>
      <c r="E152" t="s">
        <v>112</v>
      </c>
      <c r="F152" t="s">
        <v>112</v>
      </c>
      <c r="G152" t="s">
        <v>86</v>
      </c>
    </row>
    <row r="153" spans="1:7" x14ac:dyDescent="0.25">
      <c r="A153" t="s">
        <v>130</v>
      </c>
      <c r="B153" t="s">
        <v>43</v>
      </c>
      <c r="C153">
        <v>2030</v>
      </c>
      <c r="D153">
        <v>-35371.758577849541</v>
      </c>
      <c r="E153" t="s">
        <v>136</v>
      </c>
      <c r="F153" t="s">
        <v>136</v>
      </c>
      <c r="G153" t="s">
        <v>86</v>
      </c>
    </row>
    <row r="154" spans="1:7" x14ac:dyDescent="0.25">
      <c r="A154" t="s">
        <v>130</v>
      </c>
      <c r="B154" t="s">
        <v>43</v>
      </c>
      <c r="C154">
        <v>2030</v>
      </c>
      <c r="D154">
        <v>0</v>
      </c>
      <c r="E154" t="s">
        <v>139</v>
      </c>
      <c r="F154" t="s">
        <v>139</v>
      </c>
      <c r="G154" t="s">
        <v>86</v>
      </c>
    </row>
    <row r="155" spans="1:7" x14ac:dyDescent="0.25">
      <c r="A155" t="s">
        <v>130</v>
      </c>
      <c r="B155" t="s">
        <v>43</v>
      </c>
      <c r="C155">
        <v>2050</v>
      </c>
      <c r="D155">
        <v>1809479.7548642238</v>
      </c>
      <c r="E155" t="s">
        <v>104</v>
      </c>
      <c r="F155" t="s">
        <v>104</v>
      </c>
      <c r="G155" t="s">
        <v>86</v>
      </c>
    </row>
    <row r="156" spans="1:7" x14ac:dyDescent="0.25">
      <c r="A156" t="s">
        <v>130</v>
      </c>
      <c r="B156" t="s">
        <v>43</v>
      </c>
      <c r="C156">
        <v>2050</v>
      </c>
      <c r="D156">
        <v>537552.33932666946</v>
      </c>
      <c r="E156" t="s">
        <v>105</v>
      </c>
      <c r="F156" t="s">
        <v>106</v>
      </c>
      <c r="G156" t="s">
        <v>86</v>
      </c>
    </row>
    <row r="157" spans="1:7" x14ac:dyDescent="0.25">
      <c r="A157" t="s">
        <v>130</v>
      </c>
      <c r="B157" t="s">
        <v>43</v>
      </c>
      <c r="C157">
        <v>2050</v>
      </c>
      <c r="D157">
        <v>1231701.6161590884</v>
      </c>
      <c r="E157" t="s">
        <v>105</v>
      </c>
      <c r="F157" t="s">
        <v>107</v>
      </c>
      <c r="G157" t="s">
        <v>108</v>
      </c>
    </row>
    <row r="158" spans="1:7" x14ac:dyDescent="0.25">
      <c r="A158" t="s">
        <v>130</v>
      </c>
      <c r="B158" t="s">
        <v>43</v>
      </c>
      <c r="C158">
        <v>2050</v>
      </c>
      <c r="D158">
        <v>132118.63988943212</v>
      </c>
      <c r="E158" t="s">
        <v>105</v>
      </c>
      <c r="F158" t="s">
        <v>107</v>
      </c>
      <c r="G158" t="s">
        <v>109</v>
      </c>
    </row>
    <row r="159" spans="1:7" x14ac:dyDescent="0.25">
      <c r="A159" t="s">
        <v>130</v>
      </c>
      <c r="B159" t="s">
        <v>43</v>
      </c>
      <c r="C159">
        <v>2050</v>
      </c>
      <c r="D159">
        <v>251468.56583501303</v>
      </c>
      <c r="E159" t="s">
        <v>105</v>
      </c>
      <c r="F159" t="s">
        <v>107</v>
      </c>
      <c r="G159" t="s">
        <v>110</v>
      </c>
    </row>
    <row r="160" spans="1:7" x14ac:dyDescent="0.25">
      <c r="A160" t="s">
        <v>130</v>
      </c>
      <c r="B160" t="s">
        <v>43</v>
      </c>
      <c r="C160">
        <v>2050</v>
      </c>
      <c r="D160">
        <v>-8067.9044826491263</v>
      </c>
      <c r="E160" t="s">
        <v>111</v>
      </c>
      <c r="F160" t="s">
        <v>111</v>
      </c>
      <c r="G160" t="s">
        <v>86</v>
      </c>
    </row>
    <row r="161" spans="1:7" x14ac:dyDescent="0.25">
      <c r="A161" t="s">
        <v>130</v>
      </c>
      <c r="B161" t="s">
        <v>43</v>
      </c>
      <c r="C161">
        <v>2050</v>
      </c>
      <c r="D161">
        <v>-294074.24017031107</v>
      </c>
      <c r="E161" t="s">
        <v>112</v>
      </c>
      <c r="F161" t="s">
        <v>112</v>
      </c>
      <c r="G161" t="s">
        <v>86</v>
      </c>
    </row>
    <row r="162" spans="1:7" x14ac:dyDescent="0.25">
      <c r="A162" t="s">
        <v>130</v>
      </c>
      <c r="B162" t="s">
        <v>43</v>
      </c>
      <c r="C162">
        <v>2050</v>
      </c>
      <c r="D162">
        <v>-41219.261693019056</v>
      </c>
      <c r="E162" t="s">
        <v>136</v>
      </c>
      <c r="F162" t="s">
        <v>136</v>
      </c>
      <c r="G162" t="s">
        <v>86</v>
      </c>
    </row>
    <row r="163" spans="1:7" x14ac:dyDescent="0.25">
      <c r="A163" t="s">
        <v>130</v>
      </c>
      <c r="B163" t="s">
        <v>43</v>
      </c>
      <c r="C163">
        <v>2050</v>
      </c>
      <c r="D163">
        <v>0</v>
      </c>
      <c r="E163" t="s">
        <v>139</v>
      </c>
      <c r="F163" t="s">
        <v>139</v>
      </c>
      <c r="G163" t="s">
        <v>86</v>
      </c>
    </row>
    <row r="164" spans="1:7" x14ac:dyDescent="0.25">
      <c r="A164" t="s">
        <v>143</v>
      </c>
      <c r="B164" t="s">
        <v>28</v>
      </c>
      <c r="C164">
        <v>2019</v>
      </c>
      <c r="D164">
        <v>12546079.333675962</v>
      </c>
      <c r="E164" t="s">
        <v>104</v>
      </c>
      <c r="F164" t="s">
        <v>104</v>
      </c>
    </row>
    <row r="165" spans="1:7" x14ac:dyDescent="0.25">
      <c r="A165" t="s">
        <v>143</v>
      </c>
      <c r="B165" t="s">
        <v>28</v>
      </c>
      <c r="C165">
        <v>2019</v>
      </c>
      <c r="D165">
        <v>5070835.3540045777</v>
      </c>
      <c r="E165" t="s">
        <v>105</v>
      </c>
      <c r="F165" t="s">
        <v>106</v>
      </c>
    </row>
    <row r="166" spans="1:7" x14ac:dyDescent="0.25">
      <c r="A166" t="s">
        <v>143</v>
      </c>
      <c r="B166" t="s">
        <v>28</v>
      </c>
      <c r="C166">
        <v>2019</v>
      </c>
      <c r="D166">
        <v>4155736.1194644454</v>
      </c>
      <c r="E166" t="s">
        <v>105</v>
      </c>
      <c r="F166" t="s">
        <v>107</v>
      </c>
      <c r="G166" t="s">
        <v>108</v>
      </c>
    </row>
    <row r="167" spans="1:7" x14ac:dyDescent="0.25">
      <c r="A167" t="s">
        <v>143</v>
      </c>
      <c r="B167" t="s">
        <v>28</v>
      </c>
      <c r="C167">
        <v>2019</v>
      </c>
      <c r="D167">
        <v>1324670.350202495</v>
      </c>
      <c r="E167" t="s">
        <v>105</v>
      </c>
      <c r="F167" t="s">
        <v>107</v>
      </c>
      <c r="G167" t="s">
        <v>109</v>
      </c>
    </row>
    <row r="168" spans="1:7" x14ac:dyDescent="0.25">
      <c r="A168" t="s">
        <v>143</v>
      </c>
      <c r="B168" t="s">
        <v>28</v>
      </c>
      <c r="C168">
        <v>2019</v>
      </c>
      <c r="D168">
        <v>2581596.1188411801</v>
      </c>
      <c r="E168" t="s">
        <v>105</v>
      </c>
      <c r="F168" t="s">
        <v>107</v>
      </c>
      <c r="G168" t="s">
        <v>110</v>
      </c>
    </row>
    <row r="169" spans="1:7" x14ac:dyDescent="0.25">
      <c r="A169" t="s">
        <v>143</v>
      </c>
      <c r="B169" t="s">
        <v>28</v>
      </c>
      <c r="C169">
        <v>2019</v>
      </c>
      <c r="D169">
        <v>-158.24317477886137</v>
      </c>
      <c r="E169" t="s">
        <v>111</v>
      </c>
      <c r="F169" t="s">
        <v>111</v>
      </c>
    </row>
    <row r="170" spans="1:7" x14ac:dyDescent="0.25">
      <c r="A170" t="s">
        <v>143</v>
      </c>
      <c r="B170" t="s">
        <v>28</v>
      </c>
      <c r="C170">
        <v>2019</v>
      </c>
      <c r="D170">
        <v>-434670</v>
      </c>
      <c r="E170" t="s">
        <v>112</v>
      </c>
      <c r="F170" t="s">
        <v>112</v>
      </c>
    </row>
    <row r="171" spans="1:7" x14ac:dyDescent="0.25">
      <c r="A171" t="s">
        <v>143</v>
      </c>
      <c r="B171" t="s">
        <v>28</v>
      </c>
      <c r="C171">
        <v>2019</v>
      </c>
      <c r="D171">
        <v>-151930.36566196129</v>
      </c>
      <c r="E171" t="s">
        <v>136</v>
      </c>
      <c r="F171" t="s">
        <v>136</v>
      </c>
    </row>
    <row r="172" spans="1:7" x14ac:dyDescent="0.25">
      <c r="A172" t="s">
        <v>143</v>
      </c>
      <c r="B172" t="s">
        <v>28</v>
      </c>
      <c r="C172">
        <v>2019</v>
      </c>
      <c r="D172">
        <v>0</v>
      </c>
      <c r="E172" t="s">
        <v>139</v>
      </c>
      <c r="F172" t="s">
        <v>139</v>
      </c>
    </row>
    <row r="173" spans="1:7" x14ac:dyDescent="0.25">
      <c r="A173" t="s">
        <v>143</v>
      </c>
      <c r="B173" t="s">
        <v>28</v>
      </c>
      <c r="C173">
        <v>2030</v>
      </c>
      <c r="D173">
        <v>11787127.711510129</v>
      </c>
      <c r="E173" t="s">
        <v>104</v>
      </c>
      <c r="F173" t="s">
        <v>104</v>
      </c>
      <c r="G173" t="s">
        <v>86</v>
      </c>
    </row>
    <row r="174" spans="1:7" x14ac:dyDescent="0.25">
      <c r="A174" t="s">
        <v>143</v>
      </c>
      <c r="B174" t="s">
        <v>28</v>
      </c>
      <c r="C174">
        <v>2030</v>
      </c>
      <c r="D174">
        <v>5058223.5325662289</v>
      </c>
      <c r="E174" t="s">
        <v>105</v>
      </c>
      <c r="F174" t="s">
        <v>106</v>
      </c>
      <c r="G174" t="s">
        <v>86</v>
      </c>
    </row>
    <row r="175" spans="1:7" x14ac:dyDescent="0.25">
      <c r="A175" t="s">
        <v>143</v>
      </c>
      <c r="B175" t="s">
        <v>28</v>
      </c>
      <c r="C175">
        <v>2030</v>
      </c>
      <c r="D175">
        <v>4113293.0454159677</v>
      </c>
      <c r="E175" t="s">
        <v>105</v>
      </c>
      <c r="F175" t="s">
        <v>107</v>
      </c>
      <c r="G175" t="s">
        <v>108</v>
      </c>
    </row>
    <row r="176" spans="1:7" x14ac:dyDescent="0.25">
      <c r="A176" t="s">
        <v>143</v>
      </c>
      <c r="B176" t="s">
        <v>28</v>
      </c>
      <c r="C176">
        <v>2030</v>
      </c>
      <c r="D176">
        <v>1225816.3211630862</v>
      </c>
      <c r="E176" t="s">
        <v>105</v>
      </c>
      <c r="F176" t="s">
        <v>107</v>
      </c>
      <c r="G176" t="s">
        <v>109</v>
      </c>
    </row>
    <row r="177" spans="1:7" x14ac:dyDescent="0.25">
      <c r="A177" t="s">
        <v>143</v>
      </c>
      <c r="B177" t="s">
        <v>28</v>
      </c>
      <c r="C177">
        <v>2030</v>
      </c>
      <c r="D177">
        <v>2334101.8595699249</v>
      </c>
      <c r="E177" t="s">
        <v>105</v>
      </c>
      <c r="F177" t="s">
        <v>107</v>
      </c>
      <c r="G177" t="s">
        <v>110</v>
      </c>
    </row>
    <row r="178" spans="1:7" x14ac:dyDescent="0.25">
      <c r="A178" t="s">
        <v>143</v>
      </c>
      <c r="B178" t="s">
        <v>28</v>
      </c>
      <c r="C178">
        <v>2030</v>
      </c>
      <c r="D178">
        <v>-23936.112883057391</v>
      </c>
      <c r="E178" t="s">
        <v>111</v>
      </c>
      <c r="F178" t="s">
        <v>111</v>
      </c>
      <c r="G178" t="s">
        <v>86</v>
      </c>
    </row>
    <row r="179" spans="1:7" x14ac:dyDescent="0.25">
      <c r="A179" t="s">
        <v>143</v>
      </c>
      <c r="B179" t="s">
        <v>28</v>
      </c>
      <c r="C179">
        <v>2030</v>
      </c>
      <c r="D179">
        <v>-528318.41235179966</v>
      </c>
      <c r="E179" t="s">
        <v>112</v>
      </c>
      <c r="F179" t="s">
        <v>112</v>
      </c>
      <c r="G179" t="s">
        <v>86</v>
      </c>
    </row>
    <row r="180" spans="1:7" x14ac:dyDescent="0.25">
      <c r="A180" t="s">
        <v>143</v>
      </c>
      <c r="B180" t="s">
        <v>28</v>
      </c>
      <c r="C180">
        <v>2030</v>
      </c>
      <c r="D180">
        <v>-392052.52197022288</v>
      </c>
      <c r="E180" t="s">
        <v>136</v>
      </c>
      <c r="F180" t="s">
        <v>136</v>
      </c>
      <c r="G180" t="s">
        <v>86</v>
      </c>
    </row>
    <row r="181" spans="1:7" x14ac:dyDescent="0.25">
      <c r="A181" t="s">
        <v>143</v>
      </c>
      <c r="B181" t="s">
        <v>28</v>
      </c>
      <c r="C181">
        <v>2030</v>
      </c>
      <c r="D181">
        <v>0</v>
      </c>
      <c r="E181" t="s">
        <v>139</v>
      </c>
      <c r="F181" t="s">
        <v>139</v>
      </c>
      <c r="G181" t="s">
        <v>86</v>
      </c>
    </row>
    <row r="182" spans="1:7" x14ac:dyDescent="0.25">
      <c r="A182" t="s">
        <v>143</v>
      </c>
      <c r="B182" t="s">
        <v>28</v>
      </c>
      <c r="C182">
        <v>2050</v>
      </c>
      <c r="D182">
        <v>10960258.507189341</v>
      </c>
      <c r="E182" t="s">
        <v>104</v>
      </c>
      <c r="F182" t="s">
        <v>104</v>
      </c>
      <c r="G182" t="s">
        <v>86</v>
      </c>
    </row>
    <row r="183" spans="1:7" x14ac:dyDescent="0.25">
      <c r="A183" t="s">
        <v>143</v>
      </c>
      <c r="B183" t="s">
        <v>28</v>
      </c>
      <c r="C183">
        <v>2050</v>
      </c>
      <c r="D183">
        <v>5037270.6270728866</v>
      </c>
      <c r="E183" t="s">
        <v>105</v>
      </c>
      <c r="F183" t="s">
        <v>106</v>
      </c>
      <c r="G183" t="s">
        <v>86</v>
      </c>
    </row>
    <row r="184" spans="1:7" x14ac:dyDescent="0.25">
      <c r="A184" t="s">
        <v>143</v>
      </c>
      <c r="B184" t="s">
        <v>28</v>
      </c>
      <c r="C184">
        <v>2050</v>
      </c>
      <c r="D184">
        <v>4036132.4350935114</v>
      </c>
      <c r="E184" t="s">
        <v>105</v>
      </c>
      <c r="F184" t="s">
        <v>107</v>
      </c>
      <c r="G184" t="s">
        <v>108</v>
      </c>
    </row>
    <row r="185" spans="1:7" x14ac:dyDescent="0.25">
      <c r="A185" t="s">
        <v>143</v>
      </c>
      <c r="B185" t="s">
        <v>28</v>
      </c>
      <c r="C185">
        <v>2050</v>
      </c>
      <c r="D185">
        <v>1225816.3211630862</v>
      </c>
      <c r="E185" t="s">
        <v>105</v>
      </c>
      <c r="F185" t="s">
        <v>107</v>
      </c>
      <c r="G185" t="s">
        <v>109</v>
      </c>
    </row>
    <row r="186" spans="1:7" x14ac:dyDescent="0.25">
      <c r="A186" t="s">
        <v>143</v>
      </c>
      <c r="B186" t="s">
        <v>28</v>
      </c>
      <c r="C186">
        <v>2050</v>
      </c>
      <c r="D186">
        <v>2334101.8595699244</v>
      </c>
      <c r="E186" t="s">
        <v>105</v>
      </c>
      <c r="F186" t="s">
        <v>107</v>
      </c>
      <c r="G186" t="s">
        <v>110</v>
      </c>
    </row>
    <row r="187" spans="1:7" x14ac:dyDescent="0.25">
      <c r="A187" t="s">
        <v>143</v>
      </c>
      <c r="B187" t="s">
        <v>28</v>
      </c>
      <c r="C187">
        <v>2050</v>
      </c>
      <c r="D187">
        <v>-32111.211335450222</v>
      </c>
      <c r="E187" t="s">
        <v>111</v>
      </c>
      <c r="F187" t="s">
        <v>111</v>
      </c>
      <c r="G187" t="s">
        <v>86</v>
      </c>
    </row>
    <row r="188" spans="1:7" x14ac:dyDescent="0.25">
      <c r="A188" t="s">
        <v>143</v>
      </c>
      <c r="B188" t="s">
        <v>28</v>
      </c>
      <c r="C188">
        <v>2050</v>
      </c>
      <c r="D188">
        <v>-1258781.6445090303</v>
      </c>
      <c r="E188" t="s">
        <v>112</v>
      </c>
      <c r="F188" t="s">
        <v>112</v>
      </c>
      <c r="G188" t="s">
        <v>86</v>
      </c>
    </row>
    <row r="189" spans="1:7" x14ac:dyDescent="0.25">
      <c r="A189" t="s">
        <v>143</v>
      </c>
      <c r="B189" t="s">
        <v>28</v>
      </c>
      <c r="C189">
        <v>2050</v>
      </c>
      <c r="D189">
        <v>-382169.87986558012</v>
      </c>
      <c r="E189" t="s">
        <v>136</v>
      </c>
      <c r="F189" t="s">
        <v>136</v>
      </c>
      <c r="G189" t="s">
        <v>86</v>
      </c>
    </row>
    <row r="190" spans="1:7" x14ac:dyDescent="0.25">
      <c r="A190" t="s">
        <v>143</v>
      </c>
      <c r="B190" t="s">
        <v>28</v>
      </c>
      <c r="C190">
        <v>2050</v>
      </c>
      <c r="D190">
        <v>0</v>
      </c>
      <c r="E190" t="s">
        <v>139</v>
      </c>
      <c r="F190" t="s">
        <v>139</v>
      </c>
      <c r="G190" t="s">
        <v>86</v>
      </c>
    </row>
    <row r="191" spans="1:7" x14ac:dyDescent="0.25">
      <c r="A191" t="s">
        <v>143</v>
      </c>
      <c r="B191" t="s">
        <v>43</v>
      </c>
      <c r="C191">
        <v>2019</v>
      </c>
      <c r="D191">
        <v>1971383.1086998824</v>
      </c>
      <c r="E191" t="s">
        <v>104</v>
      </c>
      <c r="F191" t="s">
        <v>104</v>
      </c>
      <c r="G191" t="s">
        <v>86</v>
      </c>
    </row>
    <row r="192" spans="1:7" x14ac:dyDescent="0.25">
      <c r="A192" t="s">
        <v>143</v>
      </c>
      <c r="B192" t="s">
        <v>43</v>
      </c>
      <c r="C192">
        <v>2019</v>
      </c>
      <c r="D192">
        <v>448426.54673213884</v>
      </c>
      <c r="E192" t="s">
        <v>105</v>
      </c>
      <c r="F192" t="s">
        <v>106</v>
      </c>
      <c r="G192" t="s">
        <v>86</v>
      </c>
    </row>
    <row r="193" spans="1:7" x14ac:dyDescent="0.25">
      <c r="A193" t="s">
        <v>143</v>
      </c>
      <c r="B193" t="s">
        <v>43</v>
      </c>
      <c r="C193">
        <v>2019</v>
      </c>
      <c r="D193">
        <v>1244619.4009225217</v>
      </c>
      <c r="E193" t="s">
        <v>105</v>
      </c>
      <c r="F193" t="s">
        <v>107</v>
      </c>
      <c r="G193" t="s">
        <v>108</v>
      </c>
    </row>
    <row r="194" spans="1:7" x14ac:dyDescent="0.25">
      <c r="A194" t="s">
        <v>143</v>
      </c>
      <c r="B194" t="s">
        <v>43</v>
      </c>
      <c r="C194">
        <v>2019</v>
      </c>
      <c r="D194">
        <v>142699.41800214813</v>
      </c>
      <c r="E194" t="s">
        <v>105</v>
      </c>
      <c r="F194" t="s">
        <v>107</v>
      </c>
      <c r="G194" t="s">
        <v>109</v>
      </c>
    </row>
    <row r="195" spans="1:7" x14ac:dyDescent="0.25">
      <c r="A195" t="s">
        <v>143</v>
      </c>
      <c r="B195" t="s">
        <v>43</v>
      </c>
      <c r="C195">
        <v>2019</v>
      </c>
      <c r="D195">
        <v>276144.78230139322</v>
      </c>
      <c r="E195" t="s">
        <v>105</v>
      </c>
      <c r="F195" t="s">
        <v>107</v>
      </c>
      <c r="G195" t="s">
        <v>110</v>
      </c>
    </row>
    <row r="196" spans="1:7" x14ac:dyDescent="0.25">
      <c r="A196" t="s">
        <v>143</v>
      </c>
      <c r="B196" t="s">
        <v>43</v>
      </c>
      <c r="C196">
        <v>2019</v>
      </c>
      <c r="D196">
        <v>-0.19402522113858015</v>
      </c>
      <c r="E196" t="s">
        <v>111</v>
      </c>
      <c r="F196" t="s">
        <v>111</v>
      </c>
      <c r="G196" t="s">
        <v>86</v>
      </c>
    </row>
    <row r="197" spans="1:7" x14ac:dyDescent="0.25">
      <c r="A197" t="s">
        <v>143</v>
      </c>
      <c r="B197" t="s">
        <v>43</v>
      </c>
      <c r="C197">
        <v>2019</v>
      </c>
      <c r="D197">
        <v>-127230</v>
      </c>
      <c r="E197" t="s">
        <v>112</v>
      </c>
      <c r="F197" t="s">
        <v>112</v>
      </c>
      <c r="G197" t="s">
        <v>86</v>
      </c>
    </row>
    <row r="198" spans="1:7" x14ac:dyDescent="0.25">
      <c r="A198" t="s">
        <v>143</v>
      </c>
      <c r="B198" t="s">
        <v>43</v>
      </c>
      <c r="C198">
        <v>2019</v>
      </c>
      <c r="D198">
        <v>-13276.84523309844</v>
      </c>
      <c r="E198" t="s">
        <v>136</v>
      </c>
      <c r="F198" t="s">
        <v>136</v>
      </c>
      <c r="G198" t="s">
        <v>86</v>
      </c>
    </row>
    <row r="199" spans="1:7" x14ac:dyDescent="0.25">
      <c r="A199" t="s">
        <v>143</v>
      </c>
      <c r="B199" t="s">
        <v>43</v>
      </c>
      <c r="C199">
        <v>2019</v>
      </c>
      <c r="D199">
        <v>0</v>
      </c>
      <c r="E199" t="s">
        <v>139</v>
      </c>
      <c r="F199" t="s">
        <v>139</v>
      </c>
      <c r="G199" t="s">
        <v>86</v>
      </c>
    </row>
    <row r="200" spans="1:7" x14ac:dyDescent="0.25">
      <c r="A200" t="s">
        <v>143</v>
      </c>
      <c r="B200" t="s">
        <v>43</v>
      </c>
      <c r="C200">
        <v>2030</v>
      </c>
      <c r="D200">
        <v>1891701.6150406413</v>
      </c>
      <c r="E200" t="s">
        <v>104</v>
      </c>
      <c r="F200" t="s">
        <v>104</v>
      </c>
      <c r="G200" t="s">
        <v>86</v>
      </c>
    </row>
    <row r="201" spans="1:7" x14ac:dyDescent="0.25">
      <c r="A201" t="s">
        <v>143</v>
      </c>
      <c r="B201" t="s">
        <v>43</v>
      </c>
      <c r="C201">
        <v>2030</v>
      </c>
      <c r="D201">
        <v>449093.3493058047</v>
      </c>
      <c r="E201" t="s">
        <v>105</v>
      </c>
      <c r="F201" t="s">
        <v>106</v>
      </c>
      <c r="G201" t="s">
        <v>86</v>
      </c>
    </row>
    <row r="202" spans="1:7" x14ac:dyDescent="0.25">
      <c r="A202" t="s">
        <v>143</v>
      </c>
      <c r="B202" t="s">
        <v>43</v>
      </c>
      <c r="C202">
        <v>2030</v>
      </c>
      <c r="D202">
        <v>1240035.0657402945</v>
      </c>
      <c r="E202" t="s">
        <v>105</v>
      </c>
      <c r="F202" t="s">
        <v>107</v>
      </c>
      <c r="G202" t="s">
        <v>108</v>
      </c>
    </row>
    <row r="203" spans="1:7" x14ac:dyDescent="0.25">
      <c r="A203" t="s">
        <v>143</v>
      </c>
      <c r="B203" t="s">
        <v>43</v>
      </c>
      <c r="C203">
        <v>2030</v>
      </c>
      <c r="D203">
        <v>132118.63988943215</v>
      </c>
      <c r="E203" t="s">
        <v>105</v>
      </c>
      <c r="F203" t="s">
        <v>107</v>
      </c>
      <c r="G203" t="s">
        <v>109</v>
      </c>
    </row>
    <row r="204" spans="1:7" x14ac:dyDescent="0.25">
      <c r="A204" t="s">
        <v>143</v>
      </c>
      <c r="B204" t="s">
        <v>43</v>
      </c>
      <c r="C204">
        <v>2030</v>
      </c>
      <c r="D204">
        <v>251468.565835013</v>
      </c>
      <c r="E204" t="s">
        <v>105</v>
      </c>
      <c r="F204" t="s">
        <v>107</v>
      </c>
      <c r="G204" t="s">
        <v>110</v>
      </c>
    </row>
    <row r="205" spans="1:7" x14ac:dyDescent="0.25">
      <c r="A205" t="s">
        <v>143</v>
      </c>
      <c r="B205" t="s">
        <v>43</v>
      </c>
      <c r="C205">
        <v>2030</v>
      </c>
      <c r="D205">
        <v>-674.70029884327505</v>
      </c>
      <c r="E205" t="s">
        <v>111</v>
      </c>
      <c r="F205" t="s">
        <v>111</v>
      </c>
      <c r="G205" t="s">
        <v>86</v>
      </c>
    </row>
    <row r="206" spans="1:7" x14ac:dyDescent="0.25">
      <c r="A206" t="s">
        <v>143</v>
      </c>
      <c r="B206" t="s">
        <v>43</v>
      </c>
      <c r="C206">
        <v>2030</v>
      </c>
      <c r="D206">
        <v>-144967.5468532106</v>
      </c>
      <c r="E206" t="s">
        <v>112</v>
      </c>
      <c r="F206" t="s">
        <v>112</v>
      </c>
      <c r="G206" t="s">
        <v>86</v>
      </c>
    </row>
    <row r="207" spans="1:7" x14ac:dyDescent="0.25">
      <c r="A207" t="s">
        <v>143</v>
      </c>
      <c r="B207" t="s">
        <v>43</v>
      </c>
      <c r="C207">
        <v>2030</v>
      </c>
      <c r="D207">
        <v>-35371.758577849541</v>
      </c>
      <c r="E207" t="s">
        <v>136</v>
      </c>
      <c r="F207" t="s">
        <v>136</v>
      </c>
      <c r="G207" t="s">
        <v>86</v>
      </c>
    </row>
    <row r="208" spans="1:7" x14ac:dyDescent="0.25">
      <c r="A208" t="s">
        <v>143</v>
      </c>
      <c r="B208" t="s">
        <v>43</v>
      </c>
      <c r="C208">
        <v>2030</v>
      </c>
      <c r="D208">
        <v>0</v>
      </c>
      <c r="E208" t="s">
        <v>139</v>
      </c>
      <c r="F208" t="s">
        <v>139</v>
      </c>
      <c r="G208" t="s">
        <v>86</v>
      </c>
    </row>
    <row r="209" spans="1:7" x14ac:dyDescent="0.25">
      <c r="A209" t="s">
        <v>143</v>
      </c>
      <c r="B209" t="s">
        <v>43</v>
      </c>
      <c r="C209">
        <v>2050</v>
      </c>
      <c r="D209">
        <v>1726757.5752586154</v>
      </c>
      <c r="E209" t="s">
        <v>104</v>
      </c>
      <c r="F209" t="s">
        <v>104</v>
      </c>
      <c r="G209" t="s">
        <v>86</v>
      </c>
    </row>
    <row r="210" spans="1:7" x14ac:dyDescent="0.25">
      <c r="A210" t="s">
        <v>143</v>
      </c>
      <c r="B210" t="s">
        <v>43</v>
      </c>
      <c r="C210">
        <v>2050</v>
      </c>
      <c r="D210">
        <v>447960.28277222451</v>
      </c>
      <c r="E210" t="s">
        <v>105</v>
      </c>
      <c r="F210" t="s">
        <v>106</v>
      </c>
      <c r="G210" t="s">
        <v>86</v>
      </c>
    </row>
    <row r="211" spans="1:7" x14ac:dyDescent="0.25">
      <c r="A211" t="s">
        <v>143</v>
      </c>
      <c r="B211" t="s">
        <v>43</v>
      </c>
      <c r="C211">
        <v>2050</v>
      </c>
      <c r="D211">
        <v>1231701.6161590884</v>
      </c>
      <c r="E211" t="s">
        <v>105</v>
      </c>
      <c r="F211" t="s">
        <v>107</v>
      </c>
      <c r="G211" t="s">
        <v>108</v>
      </c>
    </row>
    <row r="212" spans="1:7" x14ac:dyDescent="0.25">
      <c r="A212" t="s">
        <v>143</v>
      </c>
      <c r="B212" t="s">
        <v>43</v>
      </c>
      <c r="C212">
        <v>2050</v>
      </c>
      <c r="D212">
        <v>132118.63988943212</v>
      </c>
      <c r="E212" t="s">
        <v>105</v>
      </c>
      <c r="F212" t="s">
        <v>107</v>
      </c>
      <c r="G212" t="s">
        <v>109</v>
      </c>
    </row>
    <row r="213" spans="1:7" x14ac:dyDescent="0.25">
      <c r="A213" t="s">
        <v>143</v>
      </c>
      <c r="B213" t="s">
        <v>43</v>
      </c>
      <c r="C213">
        <v>2050</v>
      </c>
      <c r="D213">
        <v>251468.56583501303</v>
      </c>
      <c r="E213" t="s">
        <v>105</v>
      </c>
      <c r="F213" t="s">
        <v>107</v>
      </c>
      <c r="G213" t="s">
        <v>110</v>
      </c>
    </row>
    <row r="214" spans="1:7" x14ac:dyDescent="0.25">
      <c r="A214" t="s">
        <v>143</v>
      </c>
      <c r="B214" t="s">
        <v>43</v>
      </c>
      <c r="C214">
        <v>2050</v>
      </c>
      <c r="D214">
        <v>-8067.9044826491263</v>
      </c>
      <c r="E214" t="s">
        <v>111</v>
      </c>
      <c r="F214" t="s">
        <v>111</v>
      </c>
      <c r="G214" t="s">
        <v>86</v>
      </c>
    </row>
    <row r="215" spans="1:7" x14ac:dyDescent="0.25">
      <c r="A215" t="s">
        <v>143</v>
      </c>
      <c r="B215" t="s">
        <v>43</v>
      </c>
      <c r="C215">
        <v>2050</v>
      </c>
      <c r="D215">
        <v>-294074.24017031107</v>
      </c>
      <c r="E215" t="s">
        <v>112</v>
      </c>
      <c r="F215" t="s">
        <v>112</v>
      </c>
      <c r="G215" t="s">
        <v>86</v>
      </c>
    </row>
    <row r="216" spans="1:7" x14ac:dyDescent="0.25">
      <c r="A216" t="s">
        <v>143</v>
      </c>
      <c r="B216" t="s">
        <v>43</v>
      </c>
      <c r="C216">
        <v>2050</v>
      </c>
      <c r="D216">
        <v>-34349.384744182549</v>
      </c>
      <c r="E216" t="s">
        <v>136</v>
      </c>
      <c r="F216" t="s">
        <v>136</v>
      </c>
      <c r="G216" t="s">
        <v>86</v>
      </c>
    </row>
    <row r="217" spans="1:7" x14ac:dyDescent="0.25">
      <c r="A217" t="s">
        <v>143</v>
      </c>
      <c r="B217" t="s">
        <v>43</v>
      </c>
      <c r="C217">
        <v>2050</v>
      </c>
      <c r="D217">
        <v>0</v>
      </c>
      <c r="E217" t="s">
        <v>139</v>
      </c>
      <c r="F217" t="s">
        <v>139</v>
      </c>
      <c r="G217" t="s">
        <v>86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F3F42-862E-4738-AFF8-785AEECBF4DC}">
  <sheetPr codeName="Sheet7">
    <tabColor rgb="FFFF0000"/>
  </sheetPr>
  <dimension ref="A1:F361"/>
  <sheetViews>
    <sheetView topLeftCell="A254" workbookViewId="0">
      <selection activeCell="B272" sqref="B272:F361"/>
    </sheetView>
  </sheetViews>
  <sheetFormatPr defaultRowHeight="15" x14ac:dyDescent="0.25"/>
  <sheetData>
    <row r="1" spans="1:6" x14ac:dyDescent="0.25">
      <c r="A1" t="s">
        <v>26</v>
      </c>
      <c r="B1" t="s">
        <v>1</v>
      </c>
      <c r="C1" t="s">
        <v>94</v>
      </c>
      <c r="D1" t="s">
        <v>3</v>
      </c>
      <c r="E1" t="s">
        <v>95</v>
      </c>
      <c r="F1" t="s">
        <v>96</v>
      </c>
    </row>
    <row r="2" spans="1:6" x14ac:dyDescent="0.25">
      <c r="A2" t="s">
        <v>27</v>
      </c>
      <c r="B2" t="s">
        <v>113</v>
      </c>
      <c r="C2" t="s">
        <v>114</v>
      </c>
      <c r="D2">
        <v>2019</v>
      </c>
      <c r="E2" t="s">
        <v>108</v>
      </c>
      <c r="F2">
        <v>412730</v>
      </c>
    </row>
    <row r="3" spans="1:6" x14ac:dyDescent="0.25">
      <c r="A3" t="s">
        <v>27</v>
      </c>
      <c r="B3" t="s">
        <v>113</v>
      </c>
      <c r="C3" t="s">
        <v>115</v>
      </c>
      <c r="D3">
        <v>2019</v>
      </c>
      <c r="E3" t="s">
        <v>108</v>
      </c>
      <c r="F3">
        <v>1847465.5978301479</v>
      </c>
    </row>
    <row r="4" spans="1:6" x14ac:dyDescent="0.25">
      <c r="A4" t="s">
        <v>27</v>
      </c>
      <c r="B4" t="s">
        <v>113</v>
      </c>
      <c r="C4" t="s">
        <v>112</v>
      </c>
      <c r="D4">
        <v>2019</v>
      </c>
      <c r="E4" t="s">
        <v>108</v>
      </c>
      <c r="F4">
        <v>434670</v>
      </c>
    </row>
    <row r="5" spans="1:6" x14ac:dyDescent="0.25">
      <c r="A5" t="s">
        <v>27</v>
      </c>
      <c r="B5" t="s">
        <v>113</v>
      </c>
      <c r="C5" t="s">
        <v>116</v>
      </c>
      <c r="D5">
        <v>2019</v>
      </c>
      <c r="E5" t="s">
        <v>108</v>
      </c>
      <c r="F5">
        <v>288846.71526402031</v>
      </c>
    </row>
    <row r="6" spans="1:6" x14ac:dyDescent="0.25">
      <c r="A6" t="s">
        <v>27</v>
      </c>
      <c r="B6" t="s">
        <v>113</v>
      </c>
      <c r="C6" t="s">
        <v>117</v>
      </c>
      <c r="D6">
        <v>2019</v>
      </c>
      <c r="E6" t="s">
        <v>108</v>
      </c>
      <c r="F6">
        <v>46640</v>
      </c>
    </row>
    <row r="7" spans="1:6" x14ac:dyDescent="0.25">
      <c r="A7" t="s">
        <v>27</v>
      </c>
      <c r="B7" t="s">
        <v>113</v>
      </c>
      <c r="C7" t="s">
        <v>114</v>
      </c>
      <c r="D7">
        <v>2019</v>
      </c>
      <c r="E7" t="s">
        <v>109</v>
      </c>
      <c r="F7">
        <v>0</v>
      </c>
    </row>
    <row r="8" spans="1:6" x14ac:dyDescent="0.25">
      <c r="A8" t="s">
        <v>27</v>
      </c>
      <c r="B8" t="s">
        <v>113</v>
      </c>
      <c r="C8" t="s">
        <v>115</v>
      </c>
      <c r="D8">
        <v>2019</v>
      </c>
      <c r="E8" t="s">
        <v>109</v>
      </c>
      <c r="F8">
        <v>90723.841613092387</v>
      </c>
    </row>
    <row r="9" spans="1:6" x14ac:dyDescent="0.25">
      <c r="A9" t="s">
        <v>27</v>
      </c>
      <c r="B9" t="s">
        <v>113</v>
      </c>
      <c r="C9" t="s">
        <v>112</v>
      </c>
      <c r="D9">
        <v>2019</v>
      </c>
      <c r="E9" t="s">
        <v>109</v>
      </c>
      <c r="F9">
        <v>0</v>
      </c>
    </row>
    <row r="10" spans="1:6" x14ac:dyDescent="0.25">
      <c r="A10" t="s">
        <v>27</v>
      </c>
      <c r="B10" t="s">
        <v>113</v>
      </c>
      <c r="C10" t="s">
        <v>116</v>
      </c>
      <c r="D10">
        <v>2019</v>
      </c>
      <c r="E10" t="s">
        <v>109</v>
      </c>
      <c r="F10">
        <v>55514.664499432409</v>
      </c>
    </row>
    <row r="11" spans="1:6" x14ac:dyDescent="0.25">
      <c r="A11" t="s">
        <v>27</v>
      </c>
      <c r="B11" t="s">
        <v>113</v>
      </c>
      <c r="C11" t="s">
        <v>117</v>
      </c>
      <c r="D11">
        <v>2019</v>
      </c>
      <c r="E11" t="s">
        <v>109</v>
      </c>
      <c r="F11">
        <v>0</v>
      </c>
    </row>
    <row r="12" spans="1:6" x14ac:dyDescent="0.25">
      <c r="A12" t="s">
        <v>27</v>
      </c>
      <c r="B12" t="s">
        <v>113</v>
      </c>
      <c r="C12" t="s">
        <v>114</v>
      </c>
      <c r="D12">
        <v>2019</v>
      </c>
      <c r="E12" t="s">
        <v>110</v>
      </c>
      <c r="F12">
        <v>0</v>
      </c>
    </row>
    <row r="13" spans="1:6" x14ac:dyDescent="0.25">
      <c r="A13" t="s">
        <v>27</v>
      </c>
      <c r="B13" t="s">
        <v>113</v>
      </c>
      <c r="C13" t="s">
        <v>115</v>
      </c>
      <c r="D13">
        <v>2019</v>
      </c>
      <c r="E13" t="s">
        <v>110</v>
      </c>
      <c r="F13">
        <v>70620.560556759505</v>
      </c>
    </row>
    <row r="14" spans="1:6" x14ac:dyDescent="0.25">
      <c r="A14" t="s">
        <v>27</v>
      </c>
      <c r="B14" t="s">
        <v>113</v>
      </c>
      <c r="C14" t="s">
        <v>112</v>
      </c>
      <c r="D14">
        <v>2019</v>
      </c>
      <c r="E14" t="s">
        <v>110</v>
      </c>
      <c r="F14">
        <v>0</v>
      </c>
    </row>
    <row r="15" spans="1:6" x14ac:dyDescent="0.25">
      <c r="A15" t="s">
        <v>27</v>
      </c>
      <c r="B15" t="s">
        <v>113</v>
      </c>
      <c r="C15" t="s">
        <v>116</v>
      </c>
      <c r="D15">
        <v>2019</v>
      </c>
      <c r="E15" t="s">
        <v>110</v>
      </c>
      <c r="F15">
        <v>45828.620236547278</v>
      </c>
    </row>
    <row r="16" spans="1:6" x14ac:dyDescent="0.25">
      <c r="A16" t="s">
        <v>27</v>
      </c>
      <c r="B16" t="s">
        <v>113</v>
      </c>
      <c r="C16" t="s">
        <v>117</v>
      </c>
      <c r="D16">
        <v>2019</v>
      </c>
      <c r="E16" t="s">
        <v>110</v>
      </c>
      <c r="F16">
        <v>0</v>
      </c>
    </row>
    <row r="17" spans="1:6" x14ac:dyDescent="0.25">
      <c r="A17" t="s">
        <v>27</v>
      </c>
      <c r="B17" t="s">
        <v>113</v>
      </c>
      <c r="C17" t="s">
        <v>114</v>
      </c>
      <c r="D17">
        <v>2030</v>
      </c>
      <c r="E17" t="s">
        <v>108</v>
      </c>
      <c r="F17">
        <v>412730</v>
      </c>
    </row>
    <row r="18" spans="1:6" x14ac:dyDescent="0.25">
      <c r="A18" t="s">
        <v>27</v>
      </c>
      <c r="B18" t="s">
        <v>113</v>
      </c>
      <c r="C18" t="s">
        <v>115</v>
      </c>
      <c r="D18">
        <v>2030</v>
      </c>
      <c r="E18" t="s">
        <v>108</v>
      </c>
      <c r="F18">
        <v>1828599.0251279764</v>
      </c>
    </row>
    <row r="19" spans="1:6" x14ac:dyDescent="0.25">
      <c r="A19" t="s">
        <v>27</v>
      </c>
      <c r="B19" t="s">
        <v>113</v>
      </c>
      <c r="C19" t="s">
        <v>112</v>
      </c>
      <c r="D19">
        <v>2030</v>
      </c>
      <c r="E19" t="s">
        <v>108</v>
      </c>
      <c r="F19">
        <v>453536.5727021714</v>
      </c>
    </row>
    <row r="20" spans="1:6" x14ac:dyDescent="0.25">
      <c r="A20" t="s">
        <v>27</v>
      </c>
      <c r="B20" t="s">
        <v>113</v>
      </c>
      <c r="C20" t="s">
        <v>116</v>
      </c>
      <c r="D20">
        <v>2030</v>
      </c>
      <c r="E20" t="s">
        <v>108</v>
      </c>
      <c r="F20">
        <v>288846.71526402031</v>
      </c>
    </row>
    <row r="21" spans="1:6" x14ac:dyDescent="0.25">
      <c r="A21" t="s">
        <v>27</v>
      </c>
      <c r="B21" t="s">
        <v>113</v>
      </c>
      <c r="C21" t="s">
        <v>117</v>
      </c>
      <c r="D21">
        <v>2030</v>
      </c>
      <c r="E21" t="s">
        <v>108</v>
      </c>
      <c r="F21">
        <v>46640</v>
      </c>
    </row>
    <row r="22" spans="1:6" x14ac:dyDescent="0.25">
      <c r="A22" t="s">
        <v>27</v>
      </c>
      <c r="B22" t="s">
        <v>113</v>
      </c>
      <c r="C22" t="s">
        <v>114</v>
      </c>
      <c r="D22">
        <v>2030</v>
      </c>
      <c r="E22" t="s">
        <v>109</v>
      </c>
      <c r="F22">
        <v>0</v>
      </c>
    </row>
    <row r="23" spans="1:6" x14ac:dyDescent="0.25">
      <c r="A23" t="s">
        <v>27</v>
      </c>
      <c r="B23" t="s">
        <v>113</v>
      </c>
      <c r="C23" t="s">
        <v>115</v>
      </c>
      <c r="D23">
        <v>2030</v>
      </c>
      <c r="E23" t="s">
        <v>109</v>
      </c>
      <c r="F23">
        <v>83953.540404179206</v>
      </c>
    </row>
    <row r="24" spans="1:6" x14ac:dyDescent="0.25">
      <c r="A24" t="s">
        <v>27</v>
      </c>
      <c r="B24" t="s">
        <v>113</v>
      </c>
      <c r="C24" t="s">
        <v>112</v>
      </c>
      <c r="D24">
        <v>2030</v>
      </c>
      <c r="E24" t="s">
        <v>109</v>
      </c>
      <c r="F24">
        <v>0</v>
      </c>
    </row>
    <row r="25" spans="1:6" x14ac:dyDescent="0.25">
      <c r="A25" t="s">
        <v>27</v>
      </c>
      <c r="B25" t="s">
        <v>113</v>
      </c>
      <c r="C25" t="s">
        <v>116</v>
      </c>
      <c r="D25">
        <v>2030</v>
      </c>
      <c r="E25" t="s">
        <v>109</v>
      </c>
      <c r="F25">
        <v>62284.965708345597</v>
      </c>
    </row>
    <row r="26" spans="1:6" x14ac:dyDescent="0.25">
      <c r="A26" t="s">
        <v>27</v>
      </c>
      <c r="B26" t="s">
        <v>113</v>
      </c>
      <c r="C26" t="s">
        <v>117</v>
      </c>
      <c r="D26">
        <v>2030</v>
      </c>
      <c r="E26" t="s">
        <v>109</v>
      </c>
      <c r="F26">
        <v>0</v>
      </c>
    </row>
    <row r="27" spans="1:6" x14ac:dyDescent="0.25">
      <c r="A27" t="s">
        <v>27</v>
      </c>
      <c r="B27" t="s">
        <v>113</v>
      </c>
      <c r="C27" t="s">
        <v>114</v>
      </c>
      <c r="D27">
        <v>2030</v>
      </c>
      <c r="E27" t="s">
        <v>110</v>
      </c>
      <c r="F27">
        <v>0</v>
      </c>
    </row>
    <row r="28" spans="1:6" x14ac:dyDescent="0.25">
      <c r="A28" t="s">
        <v>27</v>
      </c>
      <c r="B28" t="s">
        <v>113</v>
      </c>
      <c r="C28" t="s">
        <v>115</v>
      </c>
      <c r="D28">
        <v>2030</v>
      </c>
      <c r="E28" t="s">
        <v>110</v>
      </c>
      <c r="F28">
        <v>63850.259347846317</v>
      </c>
    </row>
    <row r="29" spans="1:6" x14ac:dyDescent="0.25">
      <c r="A29" t="s">
        <v>27</v>
      </c>
      <c r="B29" t="s">
        <v>113</v>
      </c>
      <c r="C29" t="s">
        <v>112</v>
      </c>
      <c r="D29">
        <v>2030</v>
      </c>
      <c r="E29" t="s">
        <v>110</v>
      </c>
      <c r="F29">
        <v>0</v>
      </c>
    </row>
    <row r="30" spans="1:6" x14ac:dyDescent="0.25">
      <c r="A30" t="s">
        <v>27</v>
      </c>
      <c r="B30" t="s">
        <v>113</v>
      </c>
      <c r="C30" t="s">
        <v>116</v>
      </c>
      <c r="D30">
        <v>2030</v>
      </c>
      <c r="E30" t="s">
        <v>110</v>
      </c>
      <c r="F30">
        <v>52598.921445460466</v>
      </c>
    </row>
    <row r="31" spans="1:6" x14ac:dyDescent="0.25">
      <c r="A31" t="s">
        <v>27</v>
      </c>
      <c r="B31" t="s">
        <v>113</v>
      </c>
      <c r="C31" t="s">
        <v>117</v>
      </c>
      <c r="D31">
        <v>2030</v>
      </c>
      <c r="E31" t="s">
        <v>110</v>
      </c>
      <c r="F31">
        <v>0</v>
      </c>
    </row>
    <row r="32" spans="1:6" x14ac:dyDescent="0.25">
      <c r="A32" t="s">
        <v>27</v>
      </c>
      <c r="B32" t="s">
        <v>113</v>
      </c>
      <c r="C32" t="s">
        <v>114</v>
      </c>
      <c r="D32">
        <v>2050</v>
      </c>
      <c r="E32" t="s">
        <v>108</v>
      </c>
      <c r="F32">
        <v>412730</v>
      </c>
    </row>
    <row r="33" spans="1:6" x14ac:dyDescent="0.25">
      <c r="A33" t="s">
        <v>27</v>
      </c>
      <c r="B33" t="s">
        <v>113</v>
      </c>
      <c r="C33" t="s">
        <v>115</v>
      </c>
      <c r="D33">
        <v>2050</v>
      </c>
      <c r="E33" t="s">
        <v>108</v>
      </c>
      <c r="F33">
        <v>1794296.1656694831</v>
      </c>
    </row>
    <row r="34" spans="1:6" x14ac:dyDescent="0.25">
      <c r="A34" t="s">
        <v>27</v>
      </c>
      <c r="B34" t="s">
        <v>113</v>
      </c>
      <c r="C34" t="s">
        <v>112</v>
      </c>
      <c r="D34">
        <v>2050</v>
      </c>
      <c r="E34" t="s">
        <v>108</v>
      </c>
      <c r="F34">
        <v>487839.43216066487</v>
      </c>
    </row>
    <row r="35" spans="1:6" x14ac:dyDescent="0.25">
      <c r="A35" t="s">
        <v>27</v>
      </c>
      <c r="B35" t="s">
        <v>113</v>
      </c>
      <c r="C35" t="s">
        <v>116</v>
      </c>
      <c r="D35">
        <v>2050</v>
      </c>
      <c r="E35" t="s">
        <v>108</v>
      </c>
      <c r="F35">
        <v>288846.71526402031</v>
      </c>
    </row>
    <row r="36" spans="1:6" x14ac:dyDescent="0.25">
      <c r="A36" t="s">
        <v>27</v>
      </c>
      <c r="B36" t="s">
        <v>113</v>
      </c>
      <c r="C36" t="s">
        <v>117</v>
      </c>
      <c r="D36">
        <v>2050</v>
      </c>
      <c r="E36" t="s">
        <v>108</v>
      </c>
      <c r="F36">
        <v>46640</v>
      </c>
    </row>
    <row r="37" spans="1:6" x14ac:dyDescent="0.25">
      <c r="A37" t="s">
        <v>27</v>
      </c>
      <c r="B37" t="s">
        <v>113</v>
      </c>
      <c r="C37" t="s">
        <v>114</v>
      </c>
      <c r="D37">
        <v>2050</v>
      </c>
      <c r="E37" t="s">
        <v>109</v>
      </c>
      <c r="F37">
        <v>0</v>
      </c>
    </row>
    <row r="38" spans="1:6" x14ac:dyDescent="0.25">
      <c r="A38" t="s">
        <v>27</v>
      </c>
      <c r="B38" t="s">
        <v>113</v>
      </c>
      <c r="C38" t="s">
        <v>115</v>
      </c>
      <c r="D38">
        <v>2050</v>
      </c>
      <c r="E38" t="s">
        <v>109</v>
      </c>
      <c r="F38">
        <v>83953.540404179206</v>
      </c>
    </row>
    <row r="39" spans="1:6" x14ac:dyDescent="0.25">
      <c r="A39" t="s">
        <v>27</v>
      </c>
      <c r="B39" t="s">
        <v>113</v>
      </c>
      <c r="C39" t="s">
        <v>112</v>
      </c>
      <c r="D39">
        <v>2050</v>
      </c>
      <c r="E39" t="s">
        <v>109</v>
      </c>
      <c r="F39">
        <v>0</v>
      </c>
    </row>
    <row r="40" spans="1:6" x14ac:dyDescent="0.25">
      <c r="A40" t="s">
        <v>27</v>
      </c>
      <c r="B40" t="s">
        <v>113</v>
      </c>
      <c r="C40" t="s">
        <v>116</v>
      </c>
      <c r="D40">
        <v>2050</v>
      </c>
      <c r="E40" t="s">
        <v>109</v>
      </c>
      <c r="F40">
        <v>62284.965708345597</v>
      </c>
    </row>
    <row r="41" spans="1:6" x14ac:dyDescent="0.25">
      <c r="A41" t="s">
        <v>27</v>
      </c>
      <c r="B41" t="s">
        <v>113</v>
      </c>
      <c r="C41" t="s">
        <v>117</v>
      </c>
      <c r="D41">
        <v>2050</v>
      </c>
      <c r="E41" t="s">
        <v>109</v>
      </c>
      <c r="F41">
        <v>0</v>
      </c>
    </row>
    <row r="42" spans="1:6" x14ac:dyDescent="0.25">
      <c r="A42" t="s">
        <v>27</v>
      </c>
      <c r="B42" t="s">
        <v>113</v>
      </c>
      <c r="C42" t="s">
        <v>114</v>
      </c>
      <c r="D42">
        <v>2050</v>
      </c>
      <c r="E42" t="s">
        <v>110</v>
      </c>
      <c r="F42">
        <v>0</v>
      </c>
    </row>
    <row r="43" spans="1:6" x14ac:dyDescent="0.25">
      <c r="A43" t="s">
        <v>27</v>
      </c>
      <c r="B43" t="s">
        <v>113</v>
      </c>
      <c r="C43" t="s">
        <v>115</v>
      </c>
      <c r="D43">
        <v>2050</v>
      </c>
      <c r="E43" t="s">
        <v>110</v>
      </c>
      <c r="F43">
        <v>63850.259347846317</v>
      </c>
    </row>
    <row r="44" spans="1:6" x14ac:dyDescent="0.25">
      <c r="A44" t="s">
        <v>27</v>
      </c>
      <c r="B44" t="s">
        <v>113</v>
      </c>
      <c r="C44" t="s">
        <v>112</v>
      </c>
      <c r="D44">
        <v>2050</v>
      </c>
      <c r="E44" t="s">
        <v>110</v>
      </c>
      <c r="F44">
        <v>0</v>
      </c>
    </row>
    <row r="45" spans="1:6" x14ac:dyDescent="0.25">
      <c r="A45" t="s">
        <v>27</v>
      </c>
      <c r="B45" t="s">
        <v>113</v>
      </c>
      <c r="C45" t="s">
        <v>116</v>
      </c>
      <c r="D45">
        <v>2050</v>
      </c>
      <c r="E45" t="s">
        <v>110</v>
      </c>
      <c r="F45">
        <v>52598.921445460466</v>
      </c>
    </row>
    <row r="46" spans="1:6" x14ac:dyDescent="0.25">
      <c r="A46" t="s">
        <v>27</v>
      </c>
      <c r="B46" t="s">
        <v>113</v>
      </c>
      <c r="C46" t="s">
        <v>117</v>
      </c>
      <c r="D46">
        <v>2050</v>
      </c>
      <c r="E46" t="s">
        <v>110</v>
      </c>
      <c r="F46">
        <v>0</v>
      </c>
    </row>
    <row r="47" spans="1:6" x14ac:dyDescent="0.25">
      <c r="A47" t="s">
        <v>27</v>
      </c>
      <c r="B47" t="s">
        <v>118</v>
      </c>
      <c r="C47" t="s">
        <v>114</v>
      </c>
      <c r="D47">
        <v>2019</v>
      </c>
      <c r="E47" t="s">
        <v>108</v>
      </c>
      <c r="F47">
        <v>178500</v>
      </c>
    </row>
    <row r="48" spans="1:6" x14ac:dyDescent="0.25">
      <c r="A48" t="s">
        <v>27</v>
      </c>
      <c r="B48" t="s">
        <v>118</v>
      </c>
      <c r="C48" t="s">
        <v>115</v>
      </c>
      <c r="D48">
        <v>2019</v>
      </c>
      <c r="E48" t="s">
        <v>108</v>
      </c>
      <c r="F48">
        <v>552170.40216985194</v>
      </c>
    </row>
    <row r="49" spans="1:6" x14ac:dyDescent="0.25">
      <c r="A49" t="s">
        <v>27</v>
      </c>
      <c r="B49" t="s">
        <v>118</v>
      </c>
      <c r="C49" t="s">
        <v>112</v>
      </c>
      <c r="D49">
        <v>2019</v>
      </c>
      <c r="E49" t="s">
        <v>108</v>
      </c>
      <c r="F49">
        <v>127230</v>
      </c>
    </row>
    <row r="50" spans="1:6" x14ac:dyDescent="0.25">
      <c r="A50" t="s">
        <v>27</v>
      </c>
      <c r="B50" t="s">
        <v>118</v>
      </c>
      <c r="C50" t="s">
        <v>116</v>
      </c>
      <c r="D50">
        <v>2019</v>
      </c>
      <c r="E50" t="s">
        <v>108</v>
      </c>
      <c r="F50">
        <v>71807.284735979716</v>
      </c>
    </row>
    <row r="51" spans="1:6" x14ac:dyDescent="0.25">
      <c r="A51" t="s">
        <v>27</v>
      </c>
      <c r="B51" t="s">
        <v>118</v>
      </c>
      <c r="C51" t="s">
        <v>117</v>
      </c>
      <c r="D51">
        <v>2019</v>
      </c>
      <c r="E51" t="s">
        <v>108</v>
      </c>
      <c r="F51">
        <v>19220</v>
      </c>
    </row>
    <row r="52" spans="1:6" x14ac:dyDescent="0.25">
      <c r="A52" t="s">
        <v>27</v>
      </c>
      <c r="B52" t="s">
        <v>118</v>
      </c>
      <c r="C52" t="s">
        <v>114</v>
      </c>
      <c r="D52">
        <v>2019</v>
      </c>
      <c r="E52" t="s">
        <v>109</v>
      </c>
      <c r="F52">
        <v>0</v>
      </c>
    </row>
    <row r="53" spans="1:6" x14ac:dyDescent="0.25">
      <c r="A53" t="s">
        <v>27</v>
      </c>
      <c r="B53" t="s">
        <v>118</v>
      </c>
      <c r="C53" t="s">
        <v>115</v>
      </c>
      <c r="D53">
        <v>2019</v>
      </c>
      <c r="E53" t="s">
        <v>109</v>
      </c>
      <c r="F53">
        <v>9778.158386907593</v>
      </c>
    </row>
    <row r="54" spans="1:6" x14ac:dyDescent="0.25">
      <c r="A54" t="s">
        <v>27</v>
      </c>
      <c r="B54" t="s">
        <v>118</v>
      </c>
      <c r="C54" t="s">
        <v>112</v>
      </c>
      <c r="D54">
        <v>2019</v>
      </c>
      <c r="E54" t="s">
        <v>109</v>
      </c>
      <c r="F54">
        <v>0</v>
      </c>
    </row>
    <row r="55" spans="1:6" x14ac:dyDescent="0.25">
      <c r="A55" t="s">
        <v>27</v>
      </c>
      <c r="B55" t="s">
        <v>118</v>
      </c>
      <c r="C55" t="s">
        <v>116</v>
      </c>
      <c r="D55">
        <v>2019</v>
      </c>
      <c r="E55" t="s">
        <v>109</v>
      </c>
      <c r="F55">
        <v>5983.3355005675821</v>
      </c>
    </row>
    <row r="56" spans="1:6" x14ac:dyDescent="0.25">
      <c r="A56" t="s">
        <v>27</v>
      </c>
      <c r="B56" t="s">
        <v>118</v>
      </c>
      <c r="C56" t="s">
        <v>117</v>
      </c>
      <c r="D56">
        <v>2019</v>
      </c>
      <c r="E56" t="s">
        <v>109</v>
      </c>
      <c r="F56">
        <v>0</v>
      </c>
    </row>
    <row r="57" spans="1:6" x14ac:dyDescent="0.25">
      <c r="A57" t="s">
        <v>27</v>
      </c>
      <c r="B57" t="s">
        <v>118</v>
      </c>
      <c r="C57" t="s">
        <v>114</v>
      </c>
      <c r="D57">
        <v>2019</v>
      </c>
      <c r="E57" t="s">
        <v>110</v>
      </c>
      <c r="F57">
        <v>0</v>
      </c>
    </row>
    <row r="58" spans="1:6" x14ac:dyDescent="0.25">
      <c r="A58" t="s">
        <v>27</v>
      </c>
      <c r="B58" t="s">
        <v>118</v>
      </c>
      <c r="C58" t="s">
        <v>115</v>
      </c>
      <c r="D58">
        <v>2019</v>
      </c>
      <c r="E58" t="s">
        <v>110</v>
      </c>
      <c r="F58">
        <v>7611.4394432404806</v>
      </c>
    </row>
    <row r="59" spans="1:6" x14ac:dyDescent="0.25">
      <c r="A59" t="s">
        <v>27</v>
      </c>
      <c r="B59" t="s">
        <v>118</v>
      </c>
      <c r="C59" t="s">
        <v>112</v>
      </c>
      <c r="D59">
        <v>2019</v>
      </c>
      <c r="E59" t="s">
        <v>110</v>
      </c>
      <c r="F59">
        <v>0</v>
      </c>
    </row>
    <row r="60" spans="1:6" x14ac:dyDescent="0.25">
      <c r="A60" t="s">
        <v>27</v>
      </c>
      <c r="B60" t="s">
        <v>118</v>
      </c>
      <c r="C60" t="s">
        <v>116</v>
      </c>
      <c r="D60">
        <v>2019</v>
      </c>
      <c r="E60" t="s">
        <v>110</v>
      </c>
      <c r="F60">
        <v>4939.3797634527136</v>
      </c>
    </row>
    <row r="61" spans="1:6" x14ac:dyDescent="0.25">
      <c r="A61" t="s">
        <v>27</v>
      </c>
      <c r="B61" t="s">
        <v>118</v>
      </c>
      <c r="C61" t="s">
        <v>117</v>
      </c>
      <c r="D61">
        <v>2019</v>
      </c>
      <c r="E61" t="s">
        <v>110</v>
      </c>
      <c r="F61">
        <v>0</v>
      </c>
    </row>
    <row r="62" spans="1:6" x14ac:dyDescent="0.25">
      <c r="A62" t="s">
        <v>27</v>
      </c>
      <c r="B62" t="s">
        <v>118</v>
      </c>
      <c r="C62" t="s">
        <v>114</v>
      </c>
      <c r="D62">
        <v>2030</v>
      </c>
      <c r="E62" t="s">
        <v>108</v>
      </c>
      <c r="F62">
        <v>178500</v>
      </c>
    </row>
    <row r="63" spans="1:6" x14ac:dyDescent="0.25">
      <c r="A63" t="s">
        <v>27</v>
      </c>
      <c r="B63" t="s">
        <v>118</v>
      </c>
      <c r="C63" t="s">
        <v>115</v>
      </c>
      <c r="D63">
        <v>2030</v>
      </c>
      <c r="E63" t="s">
        <v>108</v>
      </c>
      <c r="F63">
        <v>550136.97487202333</v>
      </c>
    </row>
    <row r="64" spans="1:6" x14ac:dyDescent="0.25">
      <c r="A64" t="s">
        <v>27</v>
      </c>
      <c r="B64" t="s">
        <v>118</v>
      </c>
      <c r="C64" t="s">
        <v>112</v>
      </c>
      <c r="D64">
        <v>2030</v>
      </c>
      <c r="E64" t="s">
        <v>108</v>
      </c>
      <c r="F64">
        <v>129263.42729782859</v>
      </c>
    </row>
    <row r="65" spans="1:6" x14ac:dyDescent="0.25">
      <c r="A65" t="s">
        <v>27</v>
      </c>
      <c r="B65" t="s">
        <v>118</v>
      </c>
      <c r="C65" t="s">
        <v>116</v>
      </c>
      <c r="D65">
        <v>2030</v>
      </c>
      <c r="E65" t="s">
        <v>108</v>
      </c>
      <c r="F65">
        <v>71807.284735979716</v>
      </c>
    </row>
    <row r="66" spans="1:6" x14ac:dyDescent="0.25">
      <c r="A66" t="s">
        <v>27</v>
      </c>
      <c r="B66" t="s">
        <v>118</v>
      </c>
      <c r="C66" t="s">
        <v>117</v>
      </c>
      <c r="D66">
        <v>2030</v>
      </c>
      <c r="E66" t="s">
        <v>108</v>
      </c>
      <c r="F66">
        <v>19220</v>
      </c>
    </row>
    <row r="67" spans="1:6" x14ac:dyDescent="0.25">
      <c r="A67" t="s">
        <v>27</v>
      </c>
      <c r="B67" t="s">
        <v>118</v>
      </c>
      <c r="C67" t="s">
        <v>114</v>
      </c>
      <c r="D67">
        <v>2030</v>
      </c>
      <c r="E67" t="s">
        <v>109</v>
      </c>
      <c r="F67">
        <v>0</v>
      </c>
    </row>
    <row r="68" spans="1:6" x14ac:dyDescent="0.25">
      <c r="A68" t="s">
        <v>27</v>
      </c>
      <c r="B68" t="s">
        <v>118</v>
      </c>
      <c r="C68" t="s">
        <v>115</v>
      </c>
      <c r="D68">
        <v>2030</v>
      </c>
      <c r="E68" t="s">
        <v>109</v>
      </c>
      <c r="F68">
        <v>9048.4595958207792</v>
      </c>
    </row>
    <row r="69" spans="1:6" x14ac:dyDescent="0.25">
      <c r="A69" t="s">
        <v>27</v>
      </c>
      <c r="B69" t="s">
        <v>118</v>
      </c>
      <c r="C69" t="s">
        <v>112</v>
      </c>
      <c r="D69">
        <v>2030</v>
      </c>
      <c r="E69" t="s">
        <v>109</v>
      </c>
      <c r="F69">
        <v>0</v>
      </c>
    </row>
    <row r="70" spans="1:6" x14ac:dyDescent="0.25">
      <c r="A70" t="s">
        <v>27</v>
      </c>
      <c r="B70" t="s">
        <v>118</v>
      </c>
      <c r="C70" t="s">
        <v>116</v>
      </c>
      <c r="D70">
        <v>2030</v>
      </c>
      <c r="E70" t="s">
        <v>109</v>
      </c>
      <c r="F70">
        <v>6713.0342916543959</v>
      </c>
    </row>
    <row r="71" spans="1:6" x14ac:dyDescent="0.25">
      <c r="A71" t="s">
        <v>27</v>
      </c>
      <c r="B71" t="s">
        <v>118</v>
      </c>
      <c r="C71" t="s">
        <v>117</v>
      </c>
      <c r="D71">
        <v>2030</v>
      </c>
      <c r="E71" t="s">
        <v>109</v>
      </c>
      <c r="F71">
        <v>0</v>
      </c>
    </row>
    <row r="72" spans="1:6" x14ac:dyDescent="0.25">
      <c r="A72" t="s">
        <v>27</v>
      </c>
      <c r="B72" t="s">
        <v>118</v>
      </c>
      <c r="C72" t="s">
        <v>114</v>
      </c>
      <c r="D72">
        <v>2030</v>
      </c>
      <c r="E72" t="s">
        <v>110</v>
      </c>
      <c r="F72">
        <v>0</v>
      </c>
    </row>
    <row r="73" spans="1:6" x14ac:dyDescent="0.25">
      <c r="A73" t="s">
        <v>27</v>
      </c>
      <c r="B73" t="s">
        <v>118</v>
      </c>
      <c r="C73" t="s">
        <v>115</v>
      </c>
      <c r="D73">
        <v>2030</v>
      </c>
      <c r="E73" t="s">
        <v>110</v>
      </c>
      <c r="F73">
        <v>6881.7406521536668</v>
      </c>
    </row>
    <row r="74" spans="1:6" x14ac:dyDescent="0.25">
      <c r="A74" t="s">
        <v>27</v>
      </c>
      <c r="B74" t="s">
        <v>118</v>
      </c>
      <c r="C74" t="s">
        <v>112</v>
      </c>
      <c r="D74">
        <v>2030</v>
      </c>
      <c r="E74" t="s">
        <v>110</v>
      </c>
      <c r="F74">
        <v>0</v>
      </c>
    </row>
    <row r="75" spans="1:6" x14ac:dyDescent="0.25">
      <c r="A75" t="s">
        <v>27</v>
      </c>
      <c r="B75" t="s">
        <v>118</v>
      </c>
      <c r="C75" t="s">
        <v>116</v>
      </c>
      <c r="D75">
        <v>2030</v>
      </c>
      <c r="E75" t="s">
        <v>110</v>
      </c>
      <c r="F75">
        <v>5669.0785545395274</v>
      </c>
    </row>
    <row r="76" spans="1:6" x14ac:dyDescent="0.25">
      <c r="A76" t="s">
        <v>27</v>
      </c>
      <c r="B76" t="s">
        <v>118</v>
      </c>
      <c r="C76" t="s">
        <v>117</v>
      </c>
      <c r="D76">
        <v>2030</v>
      </c>
      <c r="E76" t="s">
        <v>110</v>
      </c>
      <c r="F76">
        <v>0</v>
      </c>
    </row>
    <row r="77" spans="1:6" x14ac:dyDescent="0.25">
      <c r="A77" t="s">
        <v>27</v>
      </c>
      <c r="B77" t="s">
        <v>118</v>
      </c>
      <c r="C77" t="s">
        <v>114</v>
      </c>
      <c r="D77">
        <v>2050</v>
      </c>
      <c r="E77" t="s">
        <v>108</v>
      </c>
      <c r="F77">
        <v>178500</v>
      </c>
    </row>
    <row r="78" spans="1:6" x14ac:dyDescent="0.25">
      <c r="A78" t="s">
        <v>27</v>
      </c>
      <c r="B78" t="s">
        <v>118</v>
      </c>
      <c r="C78" t="s">
        <v>115</v>
      </c>
      <c r="D78">
        <v>2050</v>
      </c>
      <c r="E78" t="s">
        <v>108</v>
      </c>
      <c r="F78">
        <v>546439.83433051687</v>
      </c>
    </row>
    <row r="79" spans="1:6" x14ac:dyDescent="0.25">
      <c r="A79" t="s">
        <v>27</v>
      </c>
      <c r="B79" t="s">
        <v>118</v>
      </c>
      <c r="C79" t="s">
        <v>112</v>
      </c>
      <c r="D79">
        <v>2050</v>
      </c>
      <c r="E79" t="s">
        <v>108</v>
      </c>
      <c r="F79">
        <v>132960.5678393351</v>
      </c>
    </row>
    <row r="80" spans="1:6" x14ac:dyDescent="0.25">
      <c r="A80" t="s">
        <v>27</v>
      </c>
      <c r="B80" t="s">
        <v>118</v>
      </c>
      <c r="C80" t="s">
        <v>116</v>
      </c>
      <c r="D80">
        <v>2050</v>
      </c>
      <c r="E80" t="s">
        <v>108</v>
      </c>
      <c r="F80">
        <v>71807.284735979716</v>
      </c>
    </row>
    <row r="81" spans="1:6" x14ac:dyDescent="0.25">
      <c r="A81" t="s">
        <v>27</v>
      </c>
      <c r="B81" t="s">
        <v>118</v>
      </c>
      <c r="C81" t="s">
        <v>117</v>
      </c>
      <c r="D81">
        <v>2050</v>
      </c>
      <c r="E81" t="s">
        <v>108</v>
      </c>
      <c r="F81">
        <v>19220</v>
      </c>
    </row>
    <row r="82" spans="1:6" x14ac:dyDescent="0.25">
      <c r="A82" t="s">
        <v>27</v>
      </c>
      <c r="B82" t="s">
        <v>118</v>
      </c>
      <c r="C82" t="s">
        <v>114</v>
      </c>
      <c r="D82">
        <v>2050</v>
      </c>
      <c r="E82" t="s">
        <v>109</v>
      </c>
      <c r="F82">
        <v>0</v>
      </c>
    </row>
    <row r="83" spans="1:6" x14ac:dyDescent="0.25">
      <c r="A83" t="s">
        <v>27</v>
      </c>
      <c r="B83" t="s">
        <v>118</v>
      </c>
      <c r="C83" t="s">
        <v>115</v>
      </c>
      <c r="D83">
        <v>2050</v>
      </c>
      <c r="E83" t="s">
        <v>109</v>
      </c>
      <c r="F83">
        <v>9048.4595958207792</v>
      </c>
    </row>
    <row r="84" spans="1:6" x14ac:dyDescent="0.25">
      <c r="A84" t="s">
        <v>27</v>
      </c>
      <c r="B84" t="s">
        <v>118</v>
      </c>
      <c r="C84" t="s">
        <v>112</v>
      </c>
      <c r="D84">
        <v>2050</v>
      </c>
      <c r="E84" t="s">
        <v>109</v>
      </c>
      <c r="F84">
        <v>0</v>
      </c>
    </row>
    <row r="85" spans="1:6" x14ac:dyDescent="0.25">
      <c r="A85" t="s">
        <v>27</v>
      </c>
      <c r="B85" t="s">
        <v>118</v>
      </c>
      <c r="C85" t="s">
        <v>116</v>
      </c>
      <c r="D85">
        <v>2050</v>
      </c>
      <c r="E85" t="s">
        <v>109</v>
      </c>
      <c r="F85">
        <v>6713.0342916543959</v>
      </c>
    </row>
    <row r="86" spans="1:6" x14ac:dyDescent="0.25">
      <c r="A86" t="s">
        <v>27</v>
      </c>
      <c r="B86" t="s">
        <v>118</v>
      </c>
      <c r="C86" t="s">
        <v>117</v>
      </c>
      <c r="D86">
        <v>2050</v>
      </c>
      <c r="E86" t="s">
        <v>109</v>
      </c>
      <c r="F86">
        <v>0</v>
      </c>
    </row>
    <row r="87" spans="1:6" x14ac:dyDescent="0.25">
      <c r="A87" t="s">
        <v>27</v>
      </c>
      <c r="B87" t="s">
        <v>118</v>
      </c>
      <c r="C87" t="s">
        <v>114</v>
      </c>
      <c r="D87">
        <v>2050</v>
      </c>
      <c r="E87" t="s">
        <v>110</v>
      </c>
      <c r="F87">
        <v>0</v>
      </c>
    </row>
    <row r="88" spans="1:6" x14ac:dyDescent="0.25">
      <c r="A88" t="s">
        <v>27</v>
      </c>
      <c r="B88" t="s">
        <v>118</v>
      </c>
      <c r="C88" t="s">
        <v>115</v>
      </c>
      <c r="D88">
        <v>2050</v>
      </c>
      <c r="E88" t="s">
        <v>110</v>
      </c>
      <c r="F88">
        <v>6881.7406521536668</v>
      </c>
    </row>
    <row r="89" spans="1:6" x14ac:dyDescent="0.25">
      <c r="A89" t="s">
        <v>27</v>
      </c>
      <c r="B89" t="s">
        <v>118</v>
      </c>
      <c r="C89" t="s">
        <v>112</v>
      </c>
      <c r="D89">
        <v>2050</v>
      </c>
      <c r="E89" t="s">
        <v>110</v>
      </c>
      <c r="F89">
        <v>0</v>
      </c>
    </row>
    <row r="90" spans="1:6" x14ac:dyDescent="0.25">
      <c r="A90" t="s">
        <v>27</v>
      </c>
      <c r="B90" t="s">
        <v>118</v>
      </c>
      <c r="C90" t="s">
        <v>116</v>
      </c>
      <c r="D90">
        <v>2050</v>
      </c>
      <c r="E90" t="s">
        <v>110</v>
      </c>
      <c r="F90">
        <v>5669.0785545395274</v>
      </c>
    </row>
    <row r="91" spans="1:6" x14ac:dyDescent="0.25">
      <c r="A91" t="s">
        <v>27</v>
      </c>
      <c r="B91" t="s">
        <v>118</v>
      </c>
      <c r="C91" t="s">
        <v>117</v>
      </c>
      <c r="D91">
        <v>2050</v>
      </c>
      <c r="E91" t="s">
        <v>110</v>
      </c>
      <c r="F91">
        <v>0</v>
      </c>
    </row>
    <row r="92" spans="1:6" x14ac:dyDescent="0.25">
      <c r="A92" t="s">
        <v>129</v>
      </c>
      <c r="B92" t="s">
        <v>113</v>
      </c>
      <c r="C92" t="s">
        <v>114</v>
      </c>
      <c r="D92">
        <v>2019</v>
      </c>
      <c r="E92" t="s">
        <v>108</v>
      </c>
      <c r="F92">
        <v>412730</v>
      </c>
    </row>
    <row r="93" spans="1:6" x14ac:dyDescent="0.25">
      <c r="A93" t="s">
        <v>129</v>
      </c>
      <c r="B93" t="s">
        <v>113</v>
      </c>
      <c r="C93" t="s">
        <v>115</v>
      </c>
      <c r="D93">
        <v>2019</v>
      </c>
      <c r="E93" t="s">
        <v>108</v>
      </c>
      <c r="F93">
        <v>1847465.5978301479</v>
      </c>
    </row>
    <row r="94" spans="1:6" x14ac:dyDescent="0.25">
      <c r="A94" t="s">
        <v>129</v>
      </c>
      <c r="B94" t="s">
        <v>113</v>
      </c>
      <c r="C94" t="s">
        <v>112</v>
      </c>
      <c r="D94">
        <v>2019</v>
      </c>
      <c r="E94" t="s">
        <v>108</v>
      </c>
      <c r="F94">
        <v>434670</v>
      </c>
    </row>
    <row r="95" spans="1:6" x14ac:dyDescent="0.25">
      <c r="A95" t="s">
        <v>129</v>
      </c>
      <c r="B95" t="s">
        <v>113</v>
      </c>
      <c r="C95" t="s">
        <v>116</v>
      </c>
      <c r="D95">
        <v>2019</v>
      </c>
      <c r="E95" t="s">
        <v>108</v>
      </c>
      <c r="F95">
        <v>288846.71526402031</v>
      </c>
    </row>
    <row r="96" spans="1:6" x14ac:dyDescent="0.25">
      <c r="A96" t="s">
        <v>129</v>
      </c>
      <c r="B96" t="s">
        <v>113</v>
      </c>
      <c r="C96" t="s">
        <v>117</v>
      </c>
      <c r="D96">
        <v>2019</v>
      </c>
      <c r="E96" t="s">
        <v>108</v>
      </c>
      <c r="F96">
        <v>46640</v>
      </c>
    </row>
    <row r="97" spans="1:6" x14ac:dyDescent="0.25">
      <c r="A97" t="s">
        <v>129</v>
      </c>
      <c r="B97" t="s">
        <v>113</v>
      </c>
      <c r="C97" t="s">
        <v>114</v>
      </c>
      <c r="D97">
        <v>2019</v>
      </c>
      <c r="E97" t="s">
        <v>109</v>
      </c>
      <c r="F97">
        <v>0</v>
      </c>
    </row>
    <row r="98" spans="1:6" x14ac:dyDescent="0.25">
      <c r="A98" t="s">
        <v>129</v>
      </c>
      <c r="B98" t="s">
        <v>113</v>
      </c>
      <c r="C98" t="s">
        <v>115</v>
      </c>
      <c r="D98">
        <v>2019</v>
      </c>
      <c r="E98" t="s">
        <v>109</v>
      </c>
      <c r="F98">
        <v>90723.841613092387</v>
      </c>
    </row>
    <row r="99" spans="1:6" x14ac:dyDescent="0.25">
      <c r="A99" t="s">
        <v>129</v>
      </c>
      <c r="B99" t="s">
        <v>113</v>
      </c>
      <c r="C99" t="s">
        <v>112</v>
      </c>
      <c r="D99">
        <v>2019</v>
      </c>
      <c r="E99" t="s">
        <v>109</v>
      </c>
      <c r="F99">
        <v>0</v>
      </c>
    </row>
    <row r="100" spans="1:6" x14ac:dyDescent="0.25">
      <c r="A100" t="s">
        <v>129</v>
      </c>
      <c r="B100" t="s">
        <v>113</v>
      </c>
      <c r="C100" t="s">
        <v>116</v>
      </c>
      <c r="D100">
        <v>2019</v>
      </c>
      <c r="E100" t="s">
        <v>109</v>
      </c>
      <c r="F100">
        <v>55514.664499432409</v>
      </c>
    </row>
    <row r="101" spans="1:6" x14ac:dyDescent="0.25">
      <c r="A101" t="s">
        <v>129</v>
      </c>
      <c r="B101" t="s">
        <v>113</v>
      </c>
      <c r="C101" t="s">
        <v>117</v>
      </c>
      <c r="D101">
        <v>2019</v>
      </c>
      <c r="E101" t="s">
        <v>109</v>
      </c>
      <c r="F101">
        <v>0</v>
      </c>
    </row>
    <row r="102" spans="1:6" x14ac:dyDescent="0.25">
      <c r="A102" t="s">
        <v>129</v>
      </c>
      <c r="B102" t="s">
        <v>113</v>
      </c>
      <c r="C102" t="s">
        <v>114</v>
      </c>
      <c r="D102">
        <v>2019</v>
      </c>
      <c r="E102" t="s">
        <v>110</v>
      </c>
      <c r="F102">
        <v>0</v>
      </c>
    </row>
    <row r="103" spans="1:6" x14ac:dyDescent="0.25">
      <c r="A103" t="s">
        <v>129</v>
      </c>
      <c r="B103" t="s">
        <v>113</v>
      </c>
      <c r="C103" t="s">
        <v>115</v>
      </c>
      <c r="D103">
        <v>2019</v>
      </c>
      <c r="E103" t="s">
        <v>110</v>
      </c>
      <c r="F103">
        <v>70620.560556759505</v>
      </c>
    </row>
    <row r="104" spans="1:6" x14ac:dyDescent="0.25">
      <c r="A104" t="s">
        <v>129</v>
      </c>
      <c r="B104" t="s">
        <v>113</v>
      </c>
      <c r="C104" t="s">
        <v>112</v>
      </c>
      <c r="D104">
        <v>2019</v>
      </c>
      <c r="E104" t="s">
        <v>110</v>
      </c>
      <c r="F104">
        <v>0</v>
      </c>
    </row>
    <row r="105" spans="1:6" x14ac:dyDescent="0.25">
      <c r="A105" t="s">
        <v>129</v>
      </c>
      <c r="B105" t="s">
        <v>113</v>
      </c>
      <c r="C105" t="s">
        <v>116</v>
      </c>
      <c r="D105">
        <v>2019</v>
      </c>
      <c r="E105" t="s">
        <v>110</v>
      </c>
      <c r="F105">
        <v>45828.620236547278</v>
      </c>
    </row>
    <row r="106" spans="1:6" x14ac:dyDescent="0.25">
      <c r="A106" t="s">
        <v>129</v>
      </c>
      <c r="B106" t="s">
        <v>113</v>
      </c>
      <c r="C106" t="s">
        <v>117</v>
      </c>
      <c r="D106">
        <v>2019</v>
      </c>
      <c r="E106" t="s">
        <v>110</v>
      </c>
      <c r="F106">
        <v>0</v>
      </c>
    </row>
    <row r="107" spans="1:6" x14ac:dyDescent="0.25">
      <c r="A107" t="s">
        <v>129</v>
      </c>
      <c r="B107" t="s">
        <v>113</v>
      </c>
      <c r="C107" t="s">
        <v>114</v>
      </c>
      <c r="D107">
        <v>2030</v>
      </c>
      <c r="E107" t="s">
        <v>108</v>
      </c>
      <c r="F107">
        <v>412730</v>
      </c>
    </row>
    <row r="108" spans="1:6" x14ac:dyDescent="0.25">
      <c r="A108" t="s">
        <v>129</v>
      </c>
      <c r="B108" t="s">
        <v>113</v>
      </c>
      <c r="C108" t="s">
        <v>115</v>
      </c>
      <c r="D108">
        <v>2030</v>
      </c>
      <c r="E108" t="s">
        <v>108</v>
      </c>
      <c r="F108">
        <v>1828599.0251279764</v>
      </c>
    </row>
    <row r="109" spans="1:6" x14ac:dyDescent="0.25">
      <c r="A109" t="s">
        <v>129</v>
      </c>
      <c r="B109" t="s">
        <v>113</v>
      </c>
      <c r="C109" t="s">
        <v>112</v>
      </c>
      <c r="D109">
        <v>2030</v>
      </c>
      <c r="E109" t="s">
        <v>108</v>
      </c>
      <c r="F109">
        <v>453536.5727021714</v>
      </c>
    </row>
    <row r="110" spans="1:6" x14ac:dyDescent="0.25">
      <c r="A110" t="s">
        <v>129</v>
      </c>
      <c r="B110" t="s">
        <v>113</v>
      </c>
      <c r="C110" t="s">
        <v>116</v>
      </c>
      <c r="D110">
        <v>2030</v>
      </c>
      <c r="E110" t="s">
        <v>108</v>
      </c>
      <c r="F110">
        <v>288846.71526402031</v>
      </c>
    </row>
    <row r="111" spans="1:6" x14ac:dyDescent="0.25">
      <c r="A111" t="s">
        <v>129</v>
      </c>
      <c r="B111" t="s">
        <v>113</v>
      </c>
      <c r="C111" t="s">
        <v>117</v>
      </c>
      <c r="D111">
        <v>2030</v>
      </c>
      <c r="E111" t="s">
        <v>108</v>
      </c>
      <c r="F111">
        <v>46640</v>
      </c>
    </row>
    <row r="112" spans="1:6" x14ac:dyDescent="0.25">
      <c r="A112" t="s">
        <v>129</v>
      </c>
      <c r="B112" t="s">
        <v>113</v>
      </c>
      <c r="C112" t="s">
        <v>114</v>
      </c>
      <c r="D112">
        <v>2030</v>
      </c>
      <c r="E112" t="s">
        <v>109</v>
      </c>
      <c r="F112">
        <v>0</v>
      </c>
    </row>
    <row r="113" spans="1:6" x14ac:dyDescent="0.25">
      <c r="A113" t="s">
        <v>129</v>
      </c>
      <c r="B113" t="s">
        <v>113</v>
      </c>
      <c r="C113" t="s">
        <v>115</v>
      </c>
      <c r="D113">
        <v>2030</v>
      </c>
      <c r="E113" t="s">
        <v>109</v>
      </c>
      <c r="F113">
        <v>83953.540404179206</v>
      </c>
    </row>
    <row r="114" spans="1:6" x14ac:dyDescent="0.25">
      <c r="A114" t="s">
        <v>129</v>
      </c>
      <c r="B114" t="s">
        <v>113</v>
      </c>
      <c r="C114" t="s">
        <v>112</v>
      </c>
      <c r="D114">
        <v>2030</v>
      </c>
      <c r="E114" t="s">
        <v>109</v>
      </c>
      <c r="F114">
        <v>0</v>
      </c>
    </row>
    <row r="115" spans="1:6" x14ac:dyDescent="0.25">
      <c r="A115" t="s">
        <v>129</v>
      </c>
      <c r="B115" t="s">
        <v>113</v>
      </c>
      <c r="C115" t="s">
        <v>116</v>
      </c>
      <c r="D115">
        <v>2030</v>
      </c>
      <c r="E115" t="s">
        <v>109</v>
      </c>
      <c r="F115">
        <v>62284.965708345597</v>
      </c>
    </row>
    <row r="116" spans="1:6" x14ac:dyDescent="0.25">
      <c r="A116" t="s">
        <v>129</v>
      </c>
      <c r="B116" t="s">
        <v>113</v>
      </c>
      <c r="C116" t="s">
        <v>117</v>
      </c>
      <c r="D116">
        <v>2030</v>
      </c>
      <c r="E116" t="s">
        <v>109</v>
      </c>
      <c r="F116">
        <v>0</v>
      </c>
    </row>
    <row r="117" spans="1:6" x14ac:dyDescent="0.25">
      <c r="A117" t="s">
        <v>129</v>
      </c>
      <c r="B117" t="s">
        <v>113</v>
      </c>
      <c r="C117" t="s">
        <v>114</v>
      </c>
      <c r="D117">
        <v>2030</v>
      </c>
      <c r="E117" t="s">
        <v>110</v>
      </c>
      <c r="F117">
        <v>0</v>
      </c>
    </row>
    <row r="118" spans="1:6" x14ac:dyDescent="0.25">
      <c r="A118" t="s">
        <v>129</v>
      </c>
      <c r="B118" t="s">
        <v>113</v>
      </c>
      <c r="C118" t="s">
        <v>115</v>
      </c>
      <c r="D118">
        <v>2030</v>
      </c>
      <c r="E118" t="s">
        <v>110</v>
      </c>
      <c r="F118">
        <v>63850.259347846317</v>
      </c>
    </row>
    <row r="119" spans="1:6" x14ac:dyDescent="0.25">
      <c r="A119" t="s">
        <v>129</v>
      </c>
      <c r="B119" t="s">
        <v>113</v>
      </c>
      <c r="C119" t="s">
        <v>112</v>
      </c>
      <c r="D119">
        <v>2030</v>
      </c>
      <c r="E119" t="s">
        <v>110</v>
      </c>
      <c r="F119">
        <v>0</v>
      </c>
    </row>
    <row r="120" spans="1:6" x14ac:dyDescent="0.25">
      <c r="A120" t="s">
        <v>129</v>
      </c>
      <c r="B120" t="s">
        <v>113</v>
      </c>
      <c r="C120" t="s">
        <v>116</v>
      </c>
      <c r="D120">
        <v>2030</v>
      </c>
      <c r="E120" t="s">
        <v>110</v>
      </c>
      <c r="F120">
        <v>52598.921445460466</v>
      </c>
    </row>
    <row r="121" spans="1:6" x14ac:dyDescent="0.25">
      <c r="A121" t="s">
        <v>129</v>
      </c>
      <c r="B121" t="s">
        <v>113</v>
      </c>
      <c r="C121" t="s">
        <v>117</v>
      </c>
      <c r="D121">
        <v>2030</v>
      </c>
      <c r="E121" t="s">
        <v>110</v>
      </c>
      <c r="F121">
        <v>0</v>
      </c>
    </row>
    <row r="122" spans="1:6" x14ac:dyDescent="0.25">
      <c r="A122" t="s">
        <v>129</v>
      </c>
      <c r="B122" t="s">
        <v>113</v>
      </c>
      <c r="C122" t="s">
        <v>114</v>
      </c>
      <c r="D122">
        <v>2050</v>
      </c>
      <c r="E122" t="s">
        <v>108</v>
      </c>
      <c r="F122">
        <v>412730</v>
      </c>
    </row>
    <row r="123" spans="1:6" x14ac:dyDescent="0.25">
      <c r="A123" t="s">
        <v>129</v>
      </c>
      <c r="B123" t="s">
        <v>113</v>
      </c>
      <c r="C123" t="s">
        <v>115</v>
      </c>
      <c r="D123">
        <v>2050</v>
      </c>
      <c r="E123" t="s">
        <v>108</v>
      </c>
      <c r="F123">
        <v>1794296.1656694831</v>
      </c>
    </row>
    <row r="124" spans="1:6" x14ac:dyDescent="0.25">
      <c r="A124" t="s">
        <v>129</v>
      </c>
      <c r="B124" t="s">
        <v>113</v>
      </c>
      <c r="C124" t="s">
        <v>112</v>
      </c>
      <c r="D124">
        <v>2050</v>
      </c>
      <c r="E124" t="s">
        <v>108</v>
      </c>
      <c r="F124">
        <v>487839.43216066487</v>
      </c>
    </row>
    <row r="125" spans="1:6" x14ac:dyDescent="0.25">
      <c r="A125" t="s">
        <v>129</v>
      </c>
      <c r="B125" t="s">
        <v>113</v>
      </c>
      <c r="C125" t="s">
        <v>116</v>
      </c>
      <c r="D125">
        <v>2050</v>
      </c>
      <c r="E125" t="s">
        <v>108</v>
      </c>
      <c r="F125">
        <v>288846.71526402031</v>
      </c>
    </row>
    <row r="126" spans="1:6" x14ac:dyDescent="0.25">
      <c r="A126" t="s">
        <v>129</v>
      </c>
      <c r="B126" t="s">
        <v>113</v>
      </c>
      <c r="C126" t="s">
        <v>117</v>
      </c>
      <c r="D126">
        <v>2050</v>
      </c>
      <c r="E126" t="s">
        <v>108</v>
      </c>
      <c r="F126">
        <v>46640</v>
      </c>
    </row>
    <row r="127" spans="1:6" x14ac:dyDescent="0.25">
      <c r="A127" t="s">
        <v>129</v>
      </c>
      <c r="B127" t="s">
        <v>113</v>
      </c>
      <c r="C127" t="s">
        <v>114</v>
      </c>
      <c r="D127">
        <v>2050</v>
      </c>
      <c r="E127" t="s">
        <v>109</v>
      </c>
      <c r="F127">
        <v>0</v>
      </c>
    </row>
    <row r="128" spans="1:6" x14ac:dyDescent="0.25">
      <c r="A128" t="s">
        <v>129</v>
      </c>
      <c r="B128" t="s">
        <v>113</v>
      </c>
      <c r="C128" t="s">
        <v>115</v>
      </c>
      <c r="D128">
        <v>2050</v>
      </c>
      <c r="E128" t="s">
        <v>109</v>
      </c>
      <c r="F128">
        <v>83953.540404179206</v>
      </c>
    </row>
    <row r="129" spans="1:6" x14ac:dyDescent="0.25">
      <c r="A129" t="s">
        <v>129</v>
      </c>
      <c r="B129" t="s">
        <v>113</v>
      </c>
      <c r="C129" t="s">
        <v>112</v>
      </c>
      <c r="D129">
        <v>2050</v>
      </c>
      <c r="E129" t="s">
        <v>109</v>
      </c>
      <c r="F129">
        <v>0</v>
      </c>
    </row>
    <row r="130" spans="1:6" x14ac:dyDescent="0.25">
      <c r="A130" t="s">
        <v>129</v>
      </c>
      <c r="B130" t="s">
        <v>113</v>
      </c>
      <c r="C130" t="s">
        <v>116</v>
      </c>
      <c r="D130">
        <v>2050</v>
      </c>
      <c r="E130" t="s">
        <v>109</v>
      </c>
      <c r="F130">
        <v>62284.965708345597</v>
      </c>
    </row>
    <row r="131" spans="1:6" x14ac:dyDescent="0.25">
      <c r="A131" t="s">
        <v>129</v>
      </c>
      <c r="B131" t="s">
        <v>113</v>
      </c>
      <c r="C131" t="s">
        <v>117</v>
      </c>
      <c r="D131">
        <v>2050</v>
      </c>
      <c r="E131" t="s">
        <v>109</v>
      </c>
      <c r="F131">
        <v>0</v>
      </c>
    </row>
    <row r="132" spans="1:6" x14ac:dyDescent="0.25">
      <c r="A132" t="s">
        <v>129</v>
      </c>
      <c r="B132" t="s">
        <v>113</v>
      </c>
      <c r="C132" t="s">
        <v>114</v>
      </c>
      <c r="D132">
        <v>2050</v>
      </c>
      <c r="E132" t="s">
        <v>110</v>
      </c>
      <c r="F132">
        <v>0</v>
      </c>
    </row>
    <row r="133" spans="1:6" x14ac:dyDescent="0.25">
      <c r="A133" t="s">
        <v>129</v>
      </c>
      <c r="B133" t="s">
        <v>113</v>
      </c>
      <c r="C133" t="s">
        <v>115</v>
      </c>
      <c r="D133">
        <v>2050</v>
      </c>
      <c r="E133" t="s">
        <v>110</v>
      </c>
      <c r="F133">
        <v>63850.259347846317</v>
      </c>
    </row>
    <row r="134" spans="1:6" x14ac:dyDescent="0.25">
      <c r="A134" t="s">
        <v>129</v>
      </c>
      <c r="B134" t="s">
        <v>113</v>
      </c>
      <c r="C134" t="s">
        <v>112</v>
      </c>
      <c r="D134">
        <v>2050</v>
      </c>
      <c r="E134" t="s">
        <v>110</v>
      </c>
      <c r="F134">
        <v>0</v>
      </c>
    </row>
    <row r="135" spans="1:6" x14ac:dyDescent="0.25">
      <c r="A135" t="s">
        <v>129</v>
      </c>
      <c r="B135" t="s">
        <v>113</v>
      </c>
      <c r="C135" t="s">
        <v>116</v>
      </c>
      <c r="D135">
        <v>2050</v>
      </c>
      <c r="E135" t="s">
        <v>110</v>
      </c>
      <c r="F135">
        <v>52598.921445460466</v>
      </c>
    </row>
    <row r="136" spans="1:6" x14ac:dyDescent="0.25">
      <c r="A136" t="s">
        <v>129</v>
      </c>
      <c r="B136" t="s">
        <v>113</v>
      </c>
      <c r="C136" t="s">
        <v>117</v>
      </c>
      <c r="D136">
        <v>2050</v>
      </c>
      <c r="E136" t="s">
        <v>110</v>
      </c>
      <c r="F136">
        <v>0</v>
      </c>
    </row>
    <row r="137" spans="1:6" x14ac:dyDescent="0.25">
      <c r="A137" t="s">
        <v>129</v>
      </c>
      <c r="B137" t="s">
        <v>118</v>
      </c>
      <c r="C137" t="s">
        <v>114</v>
      </c>
      <c r="D137">
        <v>2019</v>
      </c>
      <c r="E137" t="s">
        <v>108</v>
      </c>
      <c r="F137">
        <v>178500</v>
      </c>
    </row>
    <row r="138" spans="1:6" x14ac:dyDescent="0.25">
      <c r="A138" t="s">
        <v>129</v>
      </c>
      <c r="B138" t="s">
        <v>118</v>
      </c>
      <c r="C138" t="s">
        <v>115</v>
      </c>
      <c r="D138">
        <v>2019</v>
      </c>
      <c r="E138" t="s">
        <v>108</v>
      </c>
      <c r="F138">
        <v>552170.40216985194</v>
      </c>
    </row>
    <row r="139" spans="1:6" x14ac:dyDescent="0.25">
      <c r="A139" t="s">
        <v>129</v>
      </c>
      <c r="B139" t="s">
        <v>118</v>
      </c>
      <c r="C139" t="s">
        <v>112</v>
      </c>
      <c r="D139">
        <v>2019</v>
      </c>
      <c r="E139" t="s">
        <v>108</v>
      </c>
      <c r="F139">
        <v>127230</v>
      </c>
    </row>
    <row r="140" spans="1:6" x14ac:dyDescent="0.25">
      <c r="A140" t="s">
        <v>129</v>
      </c>
      <c r="B140" t="s">
        <v>118</v>
      </c>
      <c r="C140" t="s">
        <v>116</v>
      </c>
      <c r="D140">
        <v>2019</v>
      </c>
      <c r="E140" t="s">
        <v>108</v>
      </c>
      <c r="F140">
        <v>71807.284735979716</v>
      </c>
    </row>
    <row r="141" spans="1:6" x14ac:dyDescent="0.25">
      <c r="A141" t="s">
        <v>129</v>
      </c>
      <c r="B141" t="s">
        <v>118</v>
      </c>
      <c r="C141" t="s">
        <v>117</v>
      </c>
      <c r="D141">
        <v>2019</v>
      </c>
      <c r="E141" t="s">
        <v>108</v>
      </c>
      <c r="F141">
        <v>19220</v>
      </c>
    </row>
    <row r="142" spans="1:6" x14ac:dyDescent="0.25">
      <c r="A142" t="s">
        <v>129</v>
      </c>
      <c r="B142" t="s">
        <v>118</v>
      </c>
      <c r="C142" t="s">
        <v>114</v>
      </c>
      <c r="D142">
        <v>2019</v>
      </c>
      <c r="E142" t="s">
        <v>109</v>
      </c>
      <c r="F142">
        <v>0</v>
      </c>
    </row>
    <row r="143" spans="1:6" x14ac:dyDescent="0.25">
      <c r="A143" t="s">
        <v>129</v>
      </c>
      <c r="B143" t="s">
        <v>118</v>
      </c>
      <c r="C143" t="s">
        <v>115</v>
      </c>
      <c r="D143">
        <v>2019</v>
      </c>
      <c r="E143" t="s">
        <v>109</v>
      </c>
      <c r="F143">
        <v>9778.158386907593</v>
      </c>
    </row>
    <row r="144" spans="1:6" x14ac:dyDescent="0.25">
      <c r="A144" t="s">
        <v>129</v>
      </c>
      <c r="B144" t="s">
        <v>118</v>
      </c>
      <c r="C144" t="s">
        <v>112</v>
      </c>
      <c r="D144">
        <v>2019</v>
      </c>
      <c r="E144" t="s">
        <v>109</v>
      </c>
      <c r="F144">
        <v>0</v>
      </c>
    </row>
    <row r="145" spans="1:6" x14ac:dyDescent="0.25">
      <c r="A145" t="s">
        <v>129</v>
      </c>
      <c r="B145" t="s">
        <v>118</v>
      </c>
      <c r="C145" t="s">
        <v>116</v>
      </c>
      <c r="D145">
        <v>2019</v>
      </c>
      <c r="E145" t="s">
        <v>109</v>
      </c>
      <c r="F145">
        <v>5983.3355005675821</v>
      </c>
    </row>
    <row r="146" spans="1:6" x14ac:dyDescent="0.25">
      <c r="A146" t="s">
        <v>129</v>
      </c>
      <c r="B146" t="s">
        <v>118</v>
      </c>
      <c r="C146" t="s">
        <v>117</v>
      </c>
      <c r="D146">
        <v>2019</v>
      </c>
      <c r="E146" t="s">
        <v>109</v>
      </c>
      <c r="F146">
        <v>0</v>
      </c>
    </row>
    <row r="147" spans="1:6" x14ac:dyDescent="0.25">
      <c r="A147" t="s">
        <v>129</v>
      </c>
      <c r="B147" t="s">
        <v>118</v>
      </c>
      <c r="C147" t="s">
        <v>114</v>
      </c>
      <c r="D147">
        <v>2019</v>
      </c>
      <c r="E147" t="s">
        <v>110</v>
      </c>
      <c r="F147">
        <v>0</v>
      </c>
    </row>
    <row r="148" spans="1:6" x14ac:dyDescent="0.25">
      <c r="A148" t="s">
        <v>129</v>
      </c>
      <c r="B148" t="s">
        <v>118</v>
      </c>
      <c r="C148" t="s">
        <v>115</v>
      </c>
      <c r="D148">
        <v>2019</v>
      </c>
      <c r="E148" t="s">
        <v>110</v>
      </c>
      <c r="F148">
        <v>7611.4394432404806</v>
      </c>
    </row>
    <row r="149" spans="1:6" x14ac:dyDescent="0.25">
      <c r="A149" t="s">
        <v>129</v>
      </c>
      <c r="B149" t="s">
        <v>118</v>
      </c>
      <c r="C149" t="s">
        <v>112</v>
      </c>
      <c r="D149">
        <v>2019</v>
      </c>
      <c r="E149" t="s">
        <v>110</v>
      </c>
      <c r="F149">
        <v>0</v>
      </c>
    </row>
    <row r="150" spans="1:6" x14ac:dyDescent="0.25">
      <c r="A150" t="s">
        <v>129</v>
      </c>
      <c r="B150" t="s">
        <v>118</v>
      </c>
      <c r="C150" t="s">
        <v>116</v>
      </c>
      <c r="D150">
        <v>2019</v>
      </c>
      <c r="E150" t="s">
        <v>110</v>
      </c>
      <c r="F150">
        <v>4939.3797634527136</v>
      </c>
    </row>
    <row r="151" spans="1:6" x14ac:dyDescent="0.25">
      <c r="A151" t="s">
        <v>129</v>
      </c>
      <c r="B151" t="s">
        <v>118</v>
      </c>
      <c r="C151" t="s">
        <v>117</v>
      </c>
      <c r="D151">
        <v>2019</v>
      </c>
      <c r="E151" t="s">
        <v>110</v>
      </c>
      <c r="F151">
        <v>0</v>
      </c>
    </row>
    <row r="152" spans="1:6" x14ac:dyDescent="0.25">
      <c r="A152" t="s">
        <v>129</v>
      </c>
      <c r="B152" t="s">
        <v>118</v>
      </c>
      <c r="C152" t="s">
        <v>114</v>
      </c>
      <c r="D152">
        <v>2030</v>
      </c>
      <c r="E152" t="s">
        <v>108</v>
      </c>
      <c r="F152">
        <v>178500</v>
      </c>
    </row>
    <row r="153" spans="1:6" x14ac:dyDescent="0.25">
      <c r="A153" t="s">
        <v>129</v>
      </c>
      <c r="B153" t="s">
        <v>118</v>
      </c>
      <c r="C153" t="s">
        <v>115</v>
      </c>
      <c r="D153">
        <v>2030</v>
      </c>
      <c r="E153" t="s">
        <v>108</v>
      </c>
      <c r="F153">
        <v>550136.97487202333</v>
      </c>
    </row>
    <row r="154" spans="1:6" x14ac:dyDescent="0.25">
      <c r="A154" t="s">
        <v>129</v>
      </c>
      <c r="B154" t="s">
        <v>118</v>
      </c>
      <c r="C154" t="s">
        <v>112</v>
      </c>
      <c r="D154">
        <v>2030</v>
      </c>
      <c r="E154" t="s">
        <v>108</v>
      </c>
      <c r="F154">
        <v>129263.42729782859</v>
      </c>
    </row>
    <row r="155" spans="1:6" x14ac:dyDescent="0.25">
      <c r="A155" t="s">
        <v>129</v>
      </c>
      <c r="B155" t="s">
        <v>118</v>
      </c>
      <c r="C155" t="s">
        <v>116</v>
      </c>
      <c r="D155">
        <v>2030</v>
      </c>
      <c r="E155" t="s">
        <v>108</v>
      </c>
      <c r="F155">
        <v>71807.284735979716</v>
      </c>
    </row>
    <row r="156" spans="1:6" x14ac:dyDescent="0.25">
      <c r="A156" t="s">
        <v>129</v>
      </c>
      <c r="B156" t="s">
        <v>118</v>
      </c>
      <c r="C156" t="s">
        <v>117</v>
      </c>
      <c r="D156">
        <v>2030</v>
      </c>
      <c r="E156" t="s">
        <v>108</v>
      </c>
      <c r="F156">
        <v>19220</v>
      </c>
    </row>
    <row r="157" spans="1:6" x14ac:dyDescent="0.25">
      <c r="A157" t="s">
        <v>129</v>
      </c>
      <c r="B157" t="s">
        <v>118</v>
      </c>
      <c r="C157" t="s">
        <v>114</v>
      </c>
      <c r="D157">
        <v>2030</v>
      </c>
      <c r="E157" t="s">
        <v>109</v>
      </c>
      <c r="F157">
        <v>0</v>
      </c>
    </row>
    <row r="158" spans="1:6" x14ac:dyDescent="0.25">
      <c r="A158" t="s">
        <v>129</v>
      </c>
      <c r="B158" t="s">
        <v>118</v>
      </c>
      <c r="C158" t="s">
        <v>115</v>
      </c>
      <c r="D158">
        <v>2030</v>
      </c>
      <c r="E158" t="s">
        <v>109</v>
      </c>
      <c r="F158">
        <v>9048.4595958207792</v>
      </c>
    </row>
    <row r="159" spans="1:6" x14ac:dyDescent="0.25">
      <c r="A159" t="s">
        <v>129</v>
      </c>
      <c r="B159" t="s">
        <v>118</v>
      </c>
      <c r="C159" t="s">
        <v>112</v>
      </c>
      <c r="D159">
        <v>2030</v>
      </c>
      <c r="E159" t="s">
        <v>109</v>
      </c>
      <c r="F159">
        <v>0</v>
      </c>
    </row>
    <row r="160" spans="1:6" x14ac:dyDescent="0.25">
      <c r="A160" t="s">
        <v>129</v>
      </c>
      <c r="B160" t="s">
        <v>118</v>
      </c>
      <c r="C160" t="s">
        <v>116</v>
      </c>
      <c r="D160">
        <v>2030</v>
      </c>
      <c r="E160" t="s">
        <v>109</v>
      </c>
      <c r="F160">
        <v>6713.0342916543959</v>
      </c>
    </row>
    <row r="161" spans="1:6" x14ac:dyDescent="0.25">
      <c r="A161" t="s">
        <v>129</v>
      </c>
      <c r="B161" t="s">
        <v>118</v>
      </c>
      <c r="C161" t="s">
        <v>117</v>
      </c>
      <c r="D161">
        <v>2030</v>
      </c>
      <c r="E161" t="s">
        <v>109</v>
      </c>
      <c r="F161">
        <v>0</v>
      </c>
    </row>
    <row r="162" spans="1:6" x14ac:dyDescent="0.25">
      <c r="A162" t="s">
        <v>129</v>
      </c>
      <c r="B162" t="s">
        <v>118</v>
      </c>
      <c r="C162" t="s">
        <v>114</v>
      </c>
      <c r="D162">
        <v>2030</v>
      </c>
      <c r="E162" t="s">
        <v>110</v>
      </c>
      <c r="F162">
        <v>0</v>
      </c>
    </row>
    <row r="163" spans="1:6" x14ac:dyDescent="0.25">
      <c r="A163" t="s">
        <v>129</v>
      </c>
      <c r="B163" t="s">
        <v>118</v>
      </c>
      <c r="C163" t="s">
        <v>115</v>
      </c>
      <c r="D163">
        <v>2030</v>
      </c>
      <c r="E163" t="s">
        <v>110</v>
      </c>
      <c r="F163">
        <v>6881.7406521536668</v>
      </c>
    </row>
    <row r="164" spans="1:6" x14ac:dyDescent="0.25">
      <c r="A164" t="s">
        <v>129</v>
      </c>
      <c r="B164" t="s">
        <v>118</v>
      </c>
      <c r="C164" t="s">
        <v>112</v>
      </c>
      <c r="D164">
        <v>2030</v>
      </c>
      <c r="E164" t="s">
        <v>110</v>
      </c>
      <c r="F164">
        <v>0</v>
      </c>
    </row>
    <row r="165" spans="1:6" x14ac:dyDescent="0.25">
      <c r="A165" t="s">
        <v>129</v>
      </c>
      <c r="B165" t="s">
        <v>118</v>
      </c>
      <c r="C165" t="s">
        <v>116</v>
      </c>
      <c r="D165">
        <v>2030</v>
      </c>
      <c r="E165" t="s">
        <v>110</v>
      </c>
      <c r="F165">
        <v>5669.0785545395274</v>
      </c>
    </row>
    <row r="166" spans="1:6" x14ac:dyDescent="0.25">
      <c r="A166" t="s">
        <v>129</v>
      </c>
      <c r="B166" t="s">
        <v>118</v>
      </c>
      <c r="C166" t="s">
        <v>117</v>
      </c>
      <c r="D166">
        <v>2030</v>
      </c>
      <c r="E166" t="s">
        <v>110</v>
      </c>
      <c r="F166">
        <v>0</v>
      </c>
    </row>
    <row r="167" spans="1:6" x14ac:dyDescent="0.25">
      <c r="A167" t="s">
        <v>129</v>
      </c>
      <c r="B167" t="s">
        <v>118</v>
      </c>
      <c r="C167" t="s">
        <v>114</v>
      </c>
      <c r="D167">
        <v>2050</v>
      </c>
      <c r="E167" t="s">
        <v>108</v>
      </c>
      <c r="F167">
        <v>178500</v>
      </c>
    </row>
    <row r="168" spans="1:6" x14ac:dyDescent="0.25">
      <c r="A168" t="s">
        <v>129</v>
      </c>
      <c r="B168" t="s">
        <v>118</v>
      </c>
      <c r="C168" t="s">
        <v>115</v>
      </c>
      <c r="D168">
        <v>2050</v>
      </c>
      <c r="E168" t="s">
        <v>108</v>
      </c>
      <c r="F168">
        <v>546439.83433051687</v>
      </c>
    </row>
    <row r="169" spans="1:6" x14ac:dyDescent="0.25">
      <c r="A169" t="s">
        <v>129</v>
      </c>
      <c r="B169" t="s">
        <v>118</v>
      </c>
      <c r="C169" t="s">
        <v>112</v>
      </c>
      <c r="D169">
        <v>2050</v>
      </c>
      <c r="E169" t="s">
        <v>108</v>
      </c>
      <c r="F169">
        <v>132960.5678393351</v>
      </c>
    </row>
    <row r="170" spans="1:6" x14ac:dyDescent="0.25">
      <c r="A170" t="s">
        <v>129</v>
      </c>
      <c r="B170" t="s">
        <v>118</v>
      </c>
      <c r="C170" t="s">
        <v>116</v>
      </c>
      <c r="D170">
        <v>2050</v>
      </c>
      <c r="E170" t="s">
        <v>108</v>
      </c>
      <c r="F170">
        <v>71807.284735979716</v>
      </c>
    </row>
    <row r="171" spans="1:6" x14ac:dyDescent="0.25">
      <c r="A171" t="s">
        <v>129</v>
      </c>
      <c r="B171" t="s">
        <v>118</v>
      </c>
      <c r="C171" t="s">
        <v>117</v>
      </c>
      <c r="D171">
        <v>2050</v>
      </c>
      <c r="E171" t="s">
        <v>108</v>
      </c>
      <c r="F171">
        <v>19220</v>
      </c>
    </row>
    <row r="172" spans="1:6" x14ac:dyDescent="0.25">
      <c r="A172" t="s">
        <v>129</v>
      </c>
      <c r="B172" t="s">
        <v>118</v>
      </c>
      <c r="C172" t="s">
        <v>114</v>
      </c>
      <c r="D172">
        <v>2050</v>
      </c>
      <c r="E172" t="s">
        <v>109</v>
      </c>
      <c r="F172">
        <v>0</v>
      </c>
    </row>
    <row r="173" spans="1:6" x14ac:dyDescent="0.25">
      <c r="A173" t="s">
        <v>129</v>
      </c>
      <c r="B173" t="s">
        <v>118</v>
      </c>
      <c r="C173" t="s">
        <v>115</v>
      </c>
      <c r="D173">
        <v>2050</v>
      </c>
      <c r="E173" t="s">
        <v>109</v>
      </c>
      <c r="F173">
        <v>9048.4595958207792</v>
      </c>
    </row>
    <row r="174" spans="1:6" x14ac:dyDescent="0.25">
      <c r="A174" t="s">
        <v>129</v>
      </c>
      <c r="B174" t="s">
        <v>118</v>
      </c>
      <c r="C174" t="s">
        <v>112</v>
      </c>
      <c r="D174">
        <v>2050</v>
      </c>
      <c r="E174" t="s">
        <v>109</v>
      </c>
      <c r="F174">
        <v>0</v>
      </c>
    </row>
    <row r="175" spans="1:6" x14ac:dyDescent="0.25">
      <c r="A175" t="s">
        <v>129</v>
      </c>
      <c r="B175" t="s">
        <v>118</v>
      </c>
      <c r="C175" t="s">
        <v>116</v>
      </c>
      <c r="D175">
        <v>2050</v>
      </c>
      <c r="E175" t="s">
        <v>109</v>
      </c>
      <c r="F175">
        <v>6713.0342916543959</v>
      </c>
    </row>
    <row r="176" spans="1:6" x14ac:dyDescent="0.25">
      <c r="A176" t="s">
        <v>129</v>
      </c>
      <c r="B176" t="s">
        <v>118</v>
      </c>
      <c r="C176" t="s">
        <v>117</v>
      </c>
      <c r="D176">
        <v>2050</v>
      </c>
      <c r="E176" t="s">
        <v>109</v>
      </c>
      <c r="F176">
        <v>0</v>
      </c>
    </row>
    <row r="177" spans="1:6" x14ac:dyDescent="0.25">
      <c r="A177" t="s">
        <v>129</v>
      </c>
      <c r="B177" t="s">
        <v>118</v>
      </c>
      <c r="C177" t="s">
        <v>114</v>
      </c>
      <c r="D177">
        <v>2050</v>
      </c>
      <c r="E177" t="s">
        <v>110</v>
      </c>
      <c r="F177">
        <v>0</v>
      </c>
    </row>
    <row r="178" spans="1:6" x14ac:dyDescent="0.25">
      <c r="A178" t="s">
        <v>129</v>
      </c>
      <c r="B178" t="s">
        <v>118</v>
      </c>
      <c r="C178" t="s">
        <v>115</v>
      </c>
      <c r="D178">
        <v>2050</v>
      </c>
      <c r="E178" t="s">
        <v>110</v>
      </c>
      <c r="F178">
        <v>6881.7406521536668</v>
      </c>
    </row>
    <row r="179" spans="1:6" x14ac:dyDescent="0.25">
      <c r="A179" t="s">
        <v>129</v>
      </c>
      <c r="B179" t="s">
        <v>118</v>
      </c>
      <c r="C179" t="s">
        <v>112</v>
      </c>
      <c r="D179">
        <v>2050</v>
      </c>
      <c r="E179" t="s">
        <v>110</v>
      </c>
      <c r="F179">
        <v>0</v>
      </c>
    </row>
    <row r="180" spans="1:6" x14ac:dyDescent="0.25">
      <c r="A180" t="s">
        <v>129</v>
      </c>
      <c r="B180" t="s">
        <v>118</v>
      </c>
      <c r="C180" t="s">
        <v>116</v>
      </c>
      <c r="D180">
        <v>2050</v>
      </c>
      <c r="E180" t="s">
        <v>110</v>
      </c>
      <c r="F180">
        <v>5669.0785545395274</v>
      </c>
    </row>
    <row r="181" spans="1:6" x14ac:dyDescent="0.25">
      <c r="A181" t="s">
        <v>129</v>
      </c>
      <c r="B181" t="s">
        <v>118</v>
      </c>
      <c r="C181" t="s">
        <v>117</v>
      </c>
      <c r="D181">
        <v>2050</v>
      </c>
      <c r="E181" t="s">
        <v>110</v>
      </c>
      <c r="F181">
        <v>0</v>
      </c>
    </row>
    <row r="182" spans="1:6" x14ac:dyDescent="0.25">
      <c r="A182" t="s">
        <v>130</v>
      </c>
      <c r="B182" t="s">
        <v>113</v>
      </c>
      <c r="C182" t="s">
        <v>114</v>
      </c>
      <c r="D182">
        <v>2019</v>
      </c>
      <c r="E182" t="s">
        <v>108</v>
      </c>
      <c r="F182">
        <v>412730</v>
      </c>
    </row>
    <row r="183" spans="1:6" x14ac:dyDescent="0.25">
      <c r="A183" t="s">
        <v>130</v>
      </c>
      <c r="B183" t="s">
        <v>113</v>
      </c>
      <c r="C183" t="s">
        <v>115</v>
      </c>
      <c r="D183">
        <v>2019</v>
      </c>
      <c r="E183" t="s">
        <v>108</v>
      </c>
      <c r="F183">
        <v>1847465.5978301479</v>
      </c>
    </row>
    <row r="184" spans="1:6" x14ac:dyDescent="0.25">
      <c r="A184" t="s">
        <v>130</v>
      </c>
      <c r="B184" t="s">
        <v>113</v>
      </c>
      <c r="C184" t="s">
        <v>112</v>
      </c>
      <c r="D184">
        <v>2019</v>
      </c>
      <c r="E184" t="s">
        <v>108</v>
      </c>
      <c r="F184">
        <v>434670</v>
      </c>
    </row>
    <row r="185" spans="1:6" x14ac:dyDescent="0.25">
      <c r="A185" t="s">
        <v>130</v>
      </c>
      <c r="B185" t="s">
        <v>113</v>
      </c>
      <c r="C185" t="s">
        <v>116</v>
      </c>
      <c r="D185">
        <v>2019</v>
      </c>
      <c r="E185" t="s">
        <v>108</v>
      </c>
      <c r="F185">
        <v>288846.71526402031</v>
      </c>
    </row>
    <row r="186" spans="1:6" x14ac:dyDescent="0.25">
      <c r="A186" t="s">
        <v>130</v>
      </c>
      <c r="B186" t="s">
        <v>113</v>
      </c>
      <c r="C186" t="s">
        <v>117</v>
      </c>
      <c r="D186">
        <v>2019</v>
      </c>
      <c r="E186" t="s">
        <v>108</v>
      </c>
      <c r="F186">
        <v>46640</v>
      </c>
    </row>
    <row r="187" spans="1:6" x14ac:dyDescent="0.25">
      <c r="A187" t="s">
        <v>130</v>
      </c>
      <c r="B187" t="s">
        <v>113</v>
      </c>
      <c r="C187" t="s">
        <v>114</v>
      </c>
      <c r="D187">
        <v>2019</v>
      </c>
      <c r="E187" t="s">
        <v>109</v>
      </c>
      <c r="F187">
        <v>0</v>
      </c>
    </row>
    <row r="188" spans="1:6" x14ac:dyDescent="0.25">
      <c r="A188" t="s">
        <v>130</v>
      </c>
      <c r="B188" t="s">
        <v>113</v>
      </c>
      <c r="C188" t="s">
        <v>115</v>
      </c>
      <c r="D188">
        <v>2019</v>
      </c>
      <c r="E188" t="s">
        <v>109</v>
      </c>
      <c r="F188">
        <v>90723.841613092387</v>
      </c>
    </row>
    <row r="189" spans="1:6" x14ac:dyDescent="0.25">
      <c r="A189" t="s">
        <v>130</v>
      </c>
      <c r="B189" t="s">
        <v>113</v>
      </c>
      <c r="C189" t="s">
        <v>112</v>
      </c>
      <c r="D189">
        <v>2019</v>
      </c>
      <c r="E189" t="s">
        <v>109</v>
      </c>
      <c r="F189">
        <v>0</v>
      </c>
    </row>
    <row r="190" spans="1:6" x14ac:dyDescent="0.25">
      <c r="A190" t="s">
        <v>130</v>
      </c>
      <c r="B190" t="s">
        <v>113</v>
      </c>
      <c r="C190" t="s">
        <v>116</v>
      </c>
      <c r="D190">
        <v>2019</v>
      </c>
      <c r="E190" t="s">
        <v>109</v>
      </c>
      <c r="F190">
        <v>55514.664499432409</v>
      </c>
    </row>
    <row r="191" spans="1:6" x14ac:dyDescent="0.25">
      <c r="A191" t="s">
        <v>130</v>
      </c>
      <c r="B191" t="s">
        <v>113</v>
      </c>
      <c r="C191" t="s">
        <v>117</v>
      </c>
      <c r="D191">
        <v>2019</v>
      </c>
      <c r="E191" t="s">
        <v>109</v>
      </c>
      <c r="F191">
        <v>0</v>
      </c>
    </row>
    <row r="192" spans="1:6" x14ac:dyDescent="0.25">
      <c r="A192" t="s">
        <v>130</v>
      </c>
      <c r="B192" t="s">
        <v>113</v>
      </c>
      <c r="C192" t="s">
        <v>114</v>
      </c>
      <c r="D192">
        <v>2019</v>
      </c>
      <c r="E192" t="s">
        <v>110</v>
      </c>
      <c r="F192">
        <v>0</v>
      </c>
    </row>
    <row r="193" spans="1:6" x14ac:dyDescent="0.25">
      <c r="A193" t="s">
        <v>130</v>
      </c>
      <c r="B193" t="s">
        <v>113</v>
      </c>
      <c r="C193" t="s">
        <v>115</v>
      </c>
      <c r="D193">
        <v>2019</v>
      </c>
      <c r="E193" t="s">
        <v>110</v>
      </c>
      <c r="F193">
        <v>70620.560556759505</v>
      </c>
    </row>
    <row r="194" spans="1:6" x14ac:dyDescent="0.25">
      <c r="A194" t="s">
        <v>130</v>
      </c>
      <c r="B194" t="s">
        <v>113</v>
      </c>
      <c r="C194" t="s">
        <v>112</v>
      </c>
      <c r="D194">
        <v>2019</v>
      </c>
      <c r="E194" t="s">
        <v>110</v>
      </c>
      <c r="F194">
        <v>0</v>
      </c>
    </row>
    <row r="195" spans="1:6" x14ac:dyDescent="0.25">
      <c r="A195" t="s">
        <v>130</v>
      </c>
      <c r="B195" t="s">
        <v>113</v>
      </c>
      <c r="C195" t="s">
        <v>116</v>
      </c>
      <c r="D195">
        <v>2019</v>
      </c>
      <c r="E195" t="s">
        <v>110</v>
      </c>
      <c r="F195">
        <v>45828.620236547278</v>
      </c>
    </row>
    <row r="196" spans="1:6" x14ac:dyDescent="0.25">
      <c r="A196" t="s">
        <v>130</v>
      </c>
      <c r="B196" t="s">
        <v>113</v>
      </c>
      <c r="C196" t="s">
        <v>117</v>
      </c>
      <c r="D196">
        <v>2019</v>
      </c>
      <c r="E196" t="s">
        <v>110</v>
      </c>
      <c r="F196">
        <v>0</v>
      </c>
    </row>
    <row r="197" spans="1:6" x14ac:dyDescent="0.25">
      <c r="A197" t="s">
        <v>130</v>
      </c>
      <c r="B197" t="s">
        <v>113</v>
      </c>
      <c r="C197" t="s">
        <v>114</v>
      </c>
      <c r="D197">
        <v>2030</v>
      </c>
      <c r="E197" t="s">
        <v>108</v>
      </c>
      <c r="F197">
        <v>412730</v>
      </c>
    </row>
    <row r="198" spans="1:6" x14ac:dyDescent="0.25">
      <c r="A198" t="s">
        <v>130</v>
      </c>
      <c r="B198" t="s">
        <v>113</v>
      </c>
      <c r="C198" t="s">
        <v>115</v>
      </c>
      <c r="D198">
        <v>2030</v>
      </c>
      <c r="E198" t="s">
        <v>108</v>
      </c>
      <c r="F198">
        <v>1828599.0251279764</v>
      </c>
    </row>
    <row r="199" spans="1:6" x14ac:dyDescent="0.25">
      <c r="A199" t="s">
        <v>130</v>
      </c>
      <c r="B199" t="s">
        <v>113</v>
      </c>
      <c r="C199" t="s">
        <v>112</v>
      </c>
      <c r="D199">
        <v>2030</v>
      </c>
      <c r="E199" t="s">
        <v>108</v>
      </c>
      <c r="F199">
        <v>453536.5727021714</v>
      </c>
    </row>
    <row r="200" spans="1:6" x14ac:dyDescent="0.25">
      <c r="A200" t="s">
        <v>130</v>
      </c>
      <c r="B200" t="s">
        <v>113</v>
      </c>
      <c r="C200" t="s">
        <v>116</v>
      </c>
      <c r="D200">
        <v>2030</v>
      </c>
      <c r="E200" t="s">
        <v>108</v>
      </c>
      <c r="F200">
        <v>288846.71526402031</v>
      </c>
    </row>
    <row r="201" spans="1:6" x14ac:dyDescent="0.25">
      <c r="A201" t="s">
        <v>130</v>
      </c>
      <c r="B201" t="s">
        <v>113</v>
      </c>
      <c r="C201" t="s">
        <v>117</v>
      </c>
      <c r="D201">
        <v>2030</v>
      </c>
      <c r="E201" t="s">
        <v>108</v>
      </c>
      <c r="F201">
        <v>46640</v>
      </c>
    </row>
    <row r="202" spans="1:6" x14ac:dyDescent="0.25">
      <c r="A202" t="s">
        <v>130</v>
      </c>
      <c r="B202" t="s">
        <v>113</v>
      </c>
      <c r="C202" t="s">
        <v>114</v>
      </c>
      <c r="D202">
        <v>2030</v>
      </c>
      <c r="E202" t="s">
        <v>109</v>
      </c>
      <c r="F202">
        <v>0</v>
      </c>
    </row>
    <row r="203" spans="1:6" x14ac:dyDescent="0.25">
      <c r="A203" t="s">
        <v>130</v>
      </c>
      <c r="B203" t="s">
        <v>113</v>
      </c>
      <c r="C203" t="s">
        <v>115</v>
      </c>
      <c r="D203">
        <v>2030</v>
      </c>
      <c r="E203" t="s">
        <v>109</v>
      </c>
      <c r="F203">
        <v>83953.540404179206</v>
      </c>
    </row>
    <row r="204" spans="1:6" x14ac:dyDescent="0.25">
      <c r="A204" t="s">
        <v>130</v>
      </c>
      <c r="B204" t="s">
        <v>113</v>
      </c>
      <c r="C204" t="s">
        <v>112</v>
      </c>
      <c r="D204">
        <v>2030</v>
      </c>
      <c r="E204" t="s">
        <v>109</v>
      </c>
      <c r="F204">
        <v>0</v>
      </c>
    </row>
    <row r="205" spans="1:6" x14ac:dyDescent="0.25">
      <c r="A205" t="s">
        <v>130</v>
      </c>
      <c r="B205" t="s">
        <v>113</v>
      </c>
      <c r="C205" t="s">
        <v>116</v>
      </c>
      <c r="D205">
        <v>2030</v>
      </c>
      <c r="E205" t="s">
        <v>109</v>
      </c>
      <c r="F205">
        <v>62284.965708345597</v>
      </c>
    </row>
    <row r="206" spans="1:6" x14ac:dyDescent="0.25">
      <c r="A206" t="s">
        <v>130</v>
      </c>
      <c r="B206" t="s">
        <v>113</v>
      </c>
      <c r="C206" t="s">
        <v>117</v>
      </c>
      <c r="D206">
        <v>2030</v>
      </c>
      <c r="E206" t="s">
        <v>109</v>
      </c>
      <c r="F206">
        <v>0</v>
      </c>
    </row>
    <row r="207" spans="1:6" x14ac:dyDescent="0.25">
      <c r="A207" t="s">
        <v>130</v>
      </c>
      <c r="B207" t="s">
        <v>113</v>
      </c>
      <c r="C207" t="s">
        <v>114</v>
      </c>
      <c r="D207">
        <v>2030</v>
      </c>
      <c r="E207" t="s">
        <v>110</v>
      </c>
      <c r="F207">
        <v>0</v>
      </c>
    </row>
    <row r="208" spans="1:6" x14ac:dyDescent="0.25">
      <c r="A208" t="s">
        <v>130</v>
      </c>
      <c r="B208" t="s">
        <v>113</v>
      </c>
      <c r="C208" t="s">
        <v>115</v>
      </c>
      <c r="D208">
        <v>2030</v>
      </c>
      <c r="E208" t="s">
        <v>110</v>
      </c>
      <c r="F208">
        <v>63850.259347846317</v>
      </c>
    </row>
    <row r="209" spans="1:6" x14ac:dyDescent="0.25">
      <c r="A209" t="s">
        <v>130</v>
      </c>
      <c r="B209" t="s">
        <v>113</v>
      </c>
      <c r="C209" t="s">
        <v>112</v>
      </c>
      <c r="D209">
        <v>2030</v>
      </c>
      <c r="E209" t="s">
        <v>110</v>
      </c>
      <c r="F209">
        <v>0</v>
      </c>
    </row>
    <row r="210" spans="1:6" x14ac:dyDescent="0.25">
      <c r="A210" t="s">
        <v>130</v>
      </c>
      <c r="B210" t="s">
        <v>113</v>
      </c>
      <c r="C210" t="s">
        <v>116</v>
      </c>
      <c r="D210">
        <v>2030</v>
      </c>
      <c r="E210" t="s">
        <v>110</v>
      </c>
      <c r="F210">
        <v>52598.921445460466</v>
      </c>
    </row>
    <row r="211" spans="1:6" x14ac:dyDescent="0.25">
      <c r="A211" t="s">
        <v>130</v>
      </c>
      <c r="B211" t="s">
        <v>113</v>
      </c>
      <c r="C211" t="s">
        <v>117</v>
      </c>
      <c r="D211">
        <v>2030</v>
      </c>
      <c r="E211" t="s">
        <v>110</v>
      </c>
      <c r="F211">
        <v>0</v>
      </c>
    </row>
    <row r="212" spans="1:6" x14ac:dyDescent="0.25">
      <c r="A212" t="s">
        <v>130</v>
      </c>
      <c r="B212" t="s">
        <v>113</v>
      </c>
      <c r="C212" t="s">
        <v>114</v>
      </c>
      <c r="D212">
        <v>2050</v>
      </c>
      <c r="E212" t="s">
        <v>108</v>
      </c>
      <c r="F212">
        <v>412730</v>
      </c>
    </row>
    <row r="213" spans="1:6" x14ac:dyDescent="0.25">
      <c r="A213" t="s">
        <v>130</v>
      </c>
      <c r="B213" t="s">
        <v>113</v>
      </c>
      <c r="C213" t="s">
        <v>115</v>
      </c>
      <c r="D213">
        <v>2050</v>
      </c>
      <c r="E213" t="s">
        <v>108</v>
      </c>
      <c r="F213">
        <v>1794296.1656694831</v>
      </c>
    </row>
    <row r="214" spans="1:6" x14ac:dyDescent="0.25">
      <c r="A214" t="s">
        <v>130</v>
      </c>
      <c r="B214" t="s">
        <v>113</v>
      </c>
      <c r="C214" t="s">
        <v>112</v>
      </c>
      <c r="D214">
        <v>2050</v>
      </c>
      <c r="E214" t="s">
        <v>108</v>
      </c>
      <c r="F214">
        <v>487839.43216066487</v>
      </c>
    </row>
    <row r="215" spans="1:6" x14ac:dyDescent="0.25">
      <c r="A215" t="s">
        <v>130</v>
      </c>
      <c r="B215" t="s">
        <v>113</v>
      </c>
      <c r="C215" t="s">
        <v>116</v>
      </c>
      <c r="D215">
        <v>2050</v>
      </c>
      <c r="E215" t="s">
        <v>108</v>
      </c>
      <c r="F215">
        <v>288846.71526402031</v>
      </c>
    </row>
    <row r="216" spans="1:6" x14ac:dyDescent="0.25">
      <c r="A216" t="s">
        <v>130</v>
      </c>
      <c r="B216" t="s">
        <v>113</v>
      </c>
      <c r="C216" t="s">
        <v>117</v>
      </c>
      <c r="D216">
        <v>2050</v>
      </c>
      <c r="E216" t="s">
        <v>108</v>
      </c>
      <c r="F216">
        <v>46640</v>
      </c>
    </row>
    <row r="217" spans="1:6" x14ac:dyDescent="0.25">
      <c r="A217" t="s">
        <v>130</v>
      </c>
      <c r="B217" t="s">
        <v>113</v>
      </c>
      <c r="C217" t="s">
        <v>114</v>
      </c>
      <c r="D217">
        <v>2050</v>
      </c>
      <c r="E217" t="s">
        <v>109</v>
      </c>
      <c r="F217">
        <v>0</v>
      </c>
    </row>
    <row r="218" spans="1:6" x14ac:dyDescent="0.25">
      <c r="A218" t="s">
        <v>130</v>
      </c>
      <c r="B218" t="s">
        <v>113</v>
      </c>
      <c r="C218" t="s">
        <v>115</v>
      </c>
      <c r="D218">
        <v>2050</v>
      </c>
      <c r="E218" t="s">
        <v>109</v>
      </c>
      <c r="F218">
        <v>83953.540404179206</v>
      </c>
    </row>
    <row r="219" spans="1:6" x14ac:dyDescent="0.25">
      <c r="A219" t="s">
        <v>130</v>
      </c>
      <c r="B219" t="s">
        <v>113</v>
      </c>
      <c r="C219" t="s">
        <v>112</v>
      </c>
      <c r="D219">
        <v>2050</v>
      </c>
      <c r="E219" t="s">
        <v>109</v>
      </c>
      <c r="F219">
        <v>0</v>
      </c>
    </row>
    <row r="220" spans="1:6" x14ac:dyDescent="0.25">
      <c r="A220" t="s">
        <v>130</v>
      </c>
      <c r="B220" t="s">
        <v>113</v>
      </c>
      <c r="C220" t="s">
        <v>116</v>
      </c>
      <c r="D220">
        <v>2050</v>
      </c>
      <c r="E220" t="s">
        <v>109</v>
      </c>
      <c r="F220">
        <v>62284.965708345597</v>
      </c>
    </row>
    <row r="221" spans="1:6" x14ac:dyDescent="0.25">
      <c r="A221" t="s">
        <v>130</v>
      </c>
      <c r="B221" t="s">
        <v>113</v>
      </c>
      <c r="C221" t="s">
        <v>117</v>
      </c>
      <c r="D221">
        <v>2050</v>
      </c>
      <c r="E221" t="s">
        <v>109</v>
      </c>
      <c r="F221">
        <v>0</v>
      </c>
    </row>
    <row r="222" spans="1:6" x14ac:dyDescent="0.25">
      <c r="A222" t="s">
        <v>130</v>
      </c>
      <c r="B222" t="s">
        <v>113</v>
      </c>
      <c r="C222" t="s">
        <v>114</v>
      </c>
      <c r="D222">
        <v>2050</v>
      </c>
      <c r="E222" t="s">
        <v>110</v>
      </c>
      <c r="F222">
        <v>0</v>
      </c>
    </row>
    <row r="223" spans="1:6" x14ac:dyDescent="0.25">
      <c r="A223" t="s">
        <v>130</v>
      </c>
      <c r="B223" t="s">
        <v>113</v>
      </c>
      <c r="C223" t="s">
        <v>115</v>
      </c>
      <c r="D223">
        <v>2050</v>
      </c>
      <c r="E223" t="s">
        <v>110</v>
      </c>
      <c r="F223">
        <v>63850.259347846317</v>
      </c>
    </row>
    <row r="224" spans="1:6" x14ac:dyDescent="0.25">
      <c r="A224" t="s">
        <v>130</v>
      </c>
      <c r="B224" t="s">
        <v>113</v>
      </c>
      <c r="C224" t="s">
        <v>112</v>
      </c>
      <c r="D224">
        <v>2050</v>
      </c>
      <c r="E224" t="s">
        <v>110</v>
      </c>
      <c r="F224">
        <v>0</v>
      </c>
    </row>
    <row r="225" spans="1:6" x14ac:dyDescent="0.25">
      <c r="A225" t="s">
        <v>130</v>
      </c>
      <c r="B225" t="s">
        <v>113</v>
      </c>
      <c r="C225" t="s">
        <v>116</v>
      </c>
      <c r="D225">
        <v>2050</v>
      </c>
      <c r="E225" t="s">
        <v>110</v>
      </c>
      <c r="F225">
        <v>52598.921445460466</v>
      </c>
    </row>
    <row r="226" spans="1:6" x14ac:dyDescent="0.25">
      <c r="A226" t="s">
        <v>130</v>
      </c>
      <c r="B226" t="s">
        <v>113</v>
      </c>
      <c r="C226" t="s">
        <v>117</v>
      </c>
      <c r="D226">
        <v>2050</v>
      </c>
      <c r="E226" t="s">
        <v>110</v>
      </c>
      <c r="F226">
        <v>0</v>
      </c>
    </row>
    <row r="227" spans="1:6" x14ac:dyDescent="0.25">
      <c r="A227" t="s">
        <v>130</v>
      </c>
      <c r="B227" t="s">
        <v>118</v>
      </c>
      <c r="C227" t="s">
        <v>114</v>
      </c>
      <c r="D227">
        <v>2019</v>
      </c>
      <c r="E227" t="s">
        <v>108</v>
      </c>
      <c r="F227">
        <v>178500</v>
      </c>
    </row>
    <row r="228" spans="1:6" x14ac:dyDescent="0.25">
      <c r="A228" t="s">
        <v>130</v>
      </c>
      <c r="B228" t="s">
        <v>118</v>
      </c>
      <c r="C228" t="s">
        <v>115</v>
      </c>
      <c r="D228">
        <v>2019</v>
      </c>
      <c r="E228" t="s">
        <v>108</v>
      </c>
      <c r="F228">
        <v>552170.40216985194</v>
      </c>
    </row>
    <row r="229" spans="1:6" x14ac:dyDescent="0.25">
      <c r="A229" t="s">
        <v>130</v>
      </c>
      <c r="B229" t="s">
        <v>118</v>
      </c>
      <c r="C229" t="s">
        <v>112</v>
      </c>
      <c r="D229">
        <v>2019</v>
      </c>
      <c r="E229" t="s">
        <v>108</v>
      </c>
      <c r="F229">
        <v>127230</v>
      </c>
    </row>
    <row r="230" spans="1:6" x14ac:dyDescent="0.25">
      <c r="A230" t="s">
        <v>130</v>
      </c>
      <c r="B230" t="s">
        <v>118</v>
      </c>
      <c r="C230" t="s">
        <v>116</v>
      </c>
      <c r="D230">
        <v>2019</v>
      </c>
      <c r="E230" t="s">
        <v>108</v>
      </c>
      <c r="F230">
        <v>71807.284735979716</v>
      </c>
    </row>
    <row r="231" spans="1:6" x14ac:dyDescent="0.25">
      <c r="A231" t="s">
        <v>130</v>
      </c>
      <c r="B231" t="s">
        <v>118</v>
      </c>
      <c r="C231" t="s">
        <v>117</v>
      </c>
      <c r="D231">
        <v>2019</v>
      </c>
      <c r="E231" t="s">
        <v>108</v>
      </c>
      <c r="F231">
        <v>19220</v>
      </c>
    </row>
    <row r="232" spans="1:6" x14ac:dyDescent="0.25">
      <c r="A232" t="s">
        <v>130</v>
      </c>
      <c r="B232" t="s">
        <v>118</v>
      </c>
      <c r="C232" t="s">
        <v>114</v>
      </c>
      <c r="D232">
        <v>2019</v>
      </c>
      <c r="E232" t="s">
        <v>109</v>
      </c>
      <c r="F232">
        <v>0</v>
      </c>
    </row>
    <row r="233" spans="1:6" x14ac:dyDescent="0.25">
      <c r="A233" t="s">
        <v>130</v>
      </c>
      <c r="B233" t="s">
        <v>118</v>
      </c>
      <c r="C233" t="s">
        <v>115</v>
      </c>
      <c r="D233">
        <v>2019</v>
      </c>
      <c r="E233" t="s">
        <v>109</v>
      </c>
      <c r="F233">
        <v>9778.158386907593</v>
      </c>
    </row>
    <row r="234" spans="1:6" x14ac:dyDescent="0.25">
      <c r="A234" t="s">
        <v>130</v>
      </c>
      <c r="B234" t="s">
        <v>118</v>
      </c>
      <c r="C234" t="s">
        <v>112</v>
      </c>
      <c r="D234">
        <v>2019</v>
      </c>
      <c r="E234" t="s">
        <v>109</v>
      </c>
      <c r="F234">
        <v>0</v>
      </c>
    </row>
    <row r="235" spans="1:6" x14ac:dyDescent="0.25">
      <c r="A235" t="s">
        <v>130</v>
      </c>
      <c r="B235" t="s">
        <v>118</v>
      </c>
      <c r="C235" t="s">
        <v>116</v>
      </c>
      <c r="D235">
        <v>2019</v>
      </c>
      <c r="E235" t="s">
        <v>109</v>
      </c>
      <c r="F235">
        <v>5983.3355005675821</v>
      </c>
    </row>
    <row r="236" spans="1:6" x14ac:dyDescent="0.25">
      <c r="A236" t="s">
        <v>130</v>
      </c>
      <c r="B236" t="s">
        <v>118</v>
      </c>
      <c r="C236" t="s">
        <v>117</v>
      </c>
      <c r="D236">
        <v>2019</v>
      </c>
      <c r="E236" t="s">
        <v>109</v>
      </c>
      <c r="F236">
        <v>0</v>
      </c>
    </row>
    <row r="237" spans="1:6" x14ac:dyDescent="0.25">
      <c r="A237" t="s">
        <v>130</v>
      </c>
      <c r="B237" t="s">
        <v>118</v>
      </c>
      <c r="C237" t="s">
        <v>114</v>
      </c>
      <c r="D237">
        <v>2019</v>
      </c>
      <c r="E237" t="s">
        <v>110</v>
      </c>
      <c r="F237">
        <v>0</v>
      </c>
    </row>
    <row r="238" spans="1:6" x14ac:dyDescent="0.25">
      <c r="A238" t="s">
        <v>130</v>
      </c>
      <c r="B238" t="s">
        <v>118</v>
      </c>
      <c r="C238" t="s">
        <v>115</v>
      </c>
      <c r="D238">
        <v>2019</v>
      </c>
      <c r="E238" t="s">
        <v>110</v>
      </c>
      <c r="F238">
        <v>7611.4394432404806</v>
      </c>
    </row>
    <row r="239" spans="1:6" x14ac:dyDescent="0.25">
      <c r="A239" t="s">
        <v>130</v>
      </c>
      <c r="B239" t="s">
        <v>118</v>
      </c>
      <c r="C239" t="s">
        <v>112</v>
      </c>
      <c r="D239">
        <v>2019</v>
      </c>
      <c r="E239" t="s">
        <v>110</v>
      </c>
      <c r="F239">
        <v>0</v>
      </c>
    </row>
    <row r="240" spans="1:6" x14ac:dyDescent="0.25">
      <c r="A240" t="s">
        <v>130</v>
      </c>
      <c r="B240" t="s">
        <v>118</v>
      </c>
      <c r="C240" t="s">
        <v>116</v>
      </c>
      <c r="D240">
        <v>2019</v>
      </c>
      <c r="E240" t="s">
        <v>110</v>
      </c>
      <c r="F240">
        <v>4939.3797634527136</v>
      </c>
    </row>
    <row r="241" spans="1:6" x14ac:dyDescent="0.25">
      <c r="A241" t="s">
        <v>130</v>
      </c>
      <c r="B241" t="s">
        <v>118</v>
      </c>
      <c r="C241" t="s">
        <v>117</v>
      </c>
      <c r="D241">
        <v>2019</v>
      </c>
      <c r="E241" t="s">
        <v>110</v>
      </c>
      <c r="F241">
        <v>0</v>
      </c>
    </row>
    <row r="242" spans="1:6" x14ac:dyDescent="0.25">
      <c r="A242" t="s">
        <v>130</v>
      </c>
      <c r="B242" t="s">
        <v>118</v>
      </c>
      <c r="C242" t="s">
        <v>114</v>
      </c>
      <c r="D242">
        <v>2030</v>
      </c>
      <c r="E242" t="s">
        <v>108</v>
      </c>
      <c r="F242">
        <v>178500</v>
      </c>
    </row>
    <row r="243" spans="1:6" x14ac:dyDescent="0.25">
      <c r="A243" t="s">
        <v>130</v>
      </c>
      <c r="B243" t="s">
        <v>118</v>
      </c>
      <c r="C243" t="s">
        <v>115</v>
      </c>
      <c r="D243">
        <v>2030</v>
      </c>
      <c r="E243" t="s">
        <v>108</v>
      </c>
      <c r="F243">
        <v>550136.97487202333</v>
      </c>
    </row>
    <row r="244" spans="1:6" x14ac:dyDescent="0.25">
      <c r="A244" t="s">
        <v>130</v>
      </c>
      <c r="B244" t="s">
        <v>118</v>
      </c>
      <c r="C244" t="s">
        <v>112</v>
      </c>
      <c r="D244">
        <v>2030</v>
      </c>
      <c r="E244" t="s">
        <v>108</v>
      </c>
      <c r="F244">
        <v>129263.42729782859</v>
      </c>
    </row>
    <row r="245" spans="1:6" x14ac:dyDescent="0.25">
      <c r="A245" t="s">
        <v>130</v>
      </c>
      <c r="B245" t="s">
        <v>118</v>
      </c>
      <c r="C245" t="s">
        <v>116</v>
      </c>
      <c r="D245">
        <v>2030</v>
      </c>
      <c r="E245" t="s">
        <v>108</v>
      </c>
      <c r="F245">
        <v>71807.284735979716</v>
      </c>
    </row>
    <row r="246" spans="1:6" x14ac:dyDescent="0.25">
      <c r="A246" t="s">
        <v>130</v>
      </c>
      <c r="B246" t="s">
        <v>118</v>
      </c>
      <c r="C246" t="s">
        <v>117</v>
      </c>
      <c r="D246">
        <v>2030</v>
      </c>
      <c r="E246" t="s">
        <v>108</v>
      </c>
      <c r="F246">
        <v>19220</v>
      </c>
    </row>
    <row r="247" spans="1:6" x14ac:dyDescent="0.25">
      <c r="A247" t="s">
        <v>130</v>
      </c>
      <c r="B247" t="s">
        <v>118</v>
      </c>
      <c r="C247" t="s">
        <v>114</v>
      </c>
      <c r="D247">
        <v>2030</v>
      </c>
      <c r="E247" t="s">
        <v>109</v>
      </c>
      <c r="F247">
        <v>0</v>
      </c>
    </row>
    <row r="248" spans="1:6" x14ac:dyDescent="0.25">
      <c r="A248" t="s">
        <v>130</v>
      </c>
      <c r="B248" t="s">
        <v>118</v>
      </c>
      <c r="C248" t="s">
        <v>115</v>
      </c>
      <c r="D248">
        <v>2030</v>
      </c>
      <c r="E248" t="s">
        <v>109</v>
      </c>
      <c r="F248">
        <v>9048.4595958207792</v>
      </c>
    </row>
    <row r="249" spans="1:6" x14ac:dyDescent="0.25">
      <c r="A249" t="s">
        <v>130</v>
      </c>
      <c r="B249" t="s">
        <v>118</v>
      </c>
      <c r="C249" t="s">
        <v>112</v>
      </c>
      <c r="D249">
        <v>2030</v>
      </c>
      <c r="E249" t="s">
        <v>109</v>
      </c>
      <c r="F249">
        <v>0</v>
      </c>
    </row>
    <row r="250" spans="1:6" x14ac:dyDescent="0.25">
      <c r="A250" t="s">
        <v>130</v>
      </c>
      <c r="B250" t="s">
        <v>118</v>
      </c>
      <c r="C250" t="s">
        <v>116</v>
      </c>
      <c r="D250">
        <v>2030</v>
      </c>
      <c r="E250" t="s">
        <v>109</v>
      </c>
      <c r="F250">
        <v>6713.0342916543959</v>
      </c>
    </row>
    <row r="251" spans="1:6" x14ac:dyDescent="0.25">
      <c r="A251" t="s">
        <v>130</v>
      </c>
      <c r="B251" t="s">
        <v>118</v>
      </c>
      <c r="C251" t="s">
        <v>117</v>
      </c>
      <c r="D251">
        <v>2030</v>
      </c>
      <c r="E251" t="s">
        <v>109</v>
      </c>
      <c r="F251">
        <v>0</v>
      </c>
    </row>
    <row r="252" spans="1:6" x14ac:dyDescent="0.25">
      <c r="A252" t="s">
        <v>130</v>
      </c>
      <c r="B252" t="s">
        <v>118</v>
      </c>
      <c r="C252" t="s">
        <v>114</v>
      </c>
      <c r="D252">
        <v>2030</v>
      </c>
      <c r="E252" t="s">
        <v>110</v>
      </c>
      <c r="F252">
        <v>0</v>
      </c>
    </row>
    <row r="253" spans="1:6" x14ac:dyDescent="0.25">
      <c r="A253" t="s">
        <v>130</v>
      </c>
      <c r="B253" t="s">
        <v>118</v>
      </c>
      <c r="C253" t="s">
        <v>115</v>
      </c>
      <c r="D253">
        <v>2030</v>
      </c>
      <c r="E253" t="s">
        <v>110</v>
      </c>
      <c r="F253">
        <v>6881.7406521536668</v>
      </c>
    </row>
    <row r="254" spans="1:6" x14ac:dyDescent="0.25">
      <c r="A254" t="s">
        <v>130</v>
      </c>
      <c r="B254" t="s">
        <v>118</v>
      </c>
      <c r="C254" t="s">
        <v>112</v>
      </c>
      <c r="D254">
        <v>2030</v>
      </c>
      <c r="E254" t="s">
        <v>110</v>
      </c>
      <c r="F254">
        <v>0</v>
      </c>
    </row>
    <row r="255" spans="1:6" x14ac:dyDescent="0.25">
      <c r="A255" t="s">
        <v>130</v>
      </c>
      <c r="B255" t="s">
        <v>118</v>
      </c>
      <c r="C255" t="s">
        <v>116</v>
      </c>
      <c r="D255">
        <v>2030</v>
      </c>
      <c r="E255" t="s">
        <v>110</v>
      </c>
      <c r="F255">
        <v>5669.0785545395274</v>
      </c>
    </row>
    <row r="256" spans="1:6" x14ac:dyDescent="0.25">
      <c r="A256" t="s">
        <v>130</v>
      </c>
      <c r="B256" t="s">
        <v>118</v>
      </c>
      <c r="C256" t="s">
        <v>117</v>
      </c>
      <c r="D256">
        <v>2030</v>
      </c>
      <c r="E256" t="s">
        <v>110</v>
      </c>
      <c r="F256">
        <v>0</v>
      </c>
    </row>
    <row r="257" spans="1:6" x14ac:dyDescent="0.25">
      <c r="A257" t="s">
        <v>130</v>
      </c>
      <c r="B257" t="s">
        <v>118</v>
      </c>
      <c r="C257" t="s">
        <v>114</v>
      </c>
      <c r="D257">
        <v>2050</v>
      </c>
      <c r="E257" t="s">
        <v>108</v>
      </c>
      <c r="F257">
        <v>178500</v>
      </c>
    </row>
    <row r="258" spans="1:6" x14ac:dyDescent="0.25">
      <c r="A258" t="s">
        <v>130</v>
      </c>
      <c r="B258" t="s">
        <v>118</v>
      </c>
      <c r="C258" t="s">
        <v>115</v>
      </c>
      <c r="D258">
        <v>2050</v>
      </c>
      <c r="E258" t="s">
        <v>108</v>
      </c>
      <c r="F258">
        <v>546439.83433051687</v>
      </c>
    </row>
    <row r="259" spans="1:6" x14ac:dyDescent="0.25">
      <c r="A259" t="s">
        <v>130</v>
      </c>
      <c r="B259" t="s">
        <v>118</v>
      </c>
      <c r="C259" t="s">
        <v>112</v>
      </c>
      <c r="D259">
        <v>2050</v>
      </c>
      <c r="E259" t="s">
        <v>108</v>
      </c>
      <c r="F259">
        <v>132960.5678393351</v>
      </c>
    </row>
    <row r="260" spans="1:6" x14ac:dyDescent="0.25">
      <c r="A260" t="s">
        <v>130</v>
      </c>
      <c r="B260" t="s">
        <v>118</v>
      </c>
      <c r="C260" t="s">
        <v>116</v>
      </c>
      <c r="D260">
        <v>2050</v>
      </c>
      <c r="E260" t="s">
        <v>108</v>
      </c>
      <c r="F260">
        <v>71807.284735979716</v>
      </c>
    </row>
    <row r="261" spans="1:6" x14ac:dyDescent="0.25">
      <c r="A261" t="s">
        <v>130</v>
      </c>
      <c r="B261" t="s">
        <v>118</v>
      </c>
      <c r="C261" t="s">
        <v>117</v>
      </c>
      <c r="D261">
        <v>2050</v>
      </c>
      <c r="E261" t="s">
        <v>108</v>
      </c>
      <c r="F261">
        <v>19220</v>
      </c>
    </row>
    <row r="262" spans="1:6" x14ac:dyDescent="0.25">
      <c r="A262" t="s">
        <v>130</v>
      </c>
      <c r="B262" t="s">
        <v>118</v>
      </c>
      <c r="C262" t="s">
        <v>114</v>
      </c>
      <c r="D262">
        <v>2050</v>
      </c>
      <c r="E262" t="s">
        <v>109</v>
      </c>
      <c r="F262">
        <v>0</v>
      </c>
    </row>
    <row r="263" spans="1:6" x14ac:dyDescent="0.25">
      <c r="A263" t="s">
        <v>130</v>
      </c>
      <c r="B263" t="s">
        <v>118</v>
      </c>
      <c r="C263" t="s">
        <v>115</v>
      </c>
      <c r="D263">
        <v>2050</v>
      </c>
      <c r="E263" t="s">
        <v>109</v>
      </c>
      <c r="F263">
        <v>9048.4595958207792</v>
      </c>
    </row>
    <row r="264" spans="1:6" x14ac:dyDescent="0.25">
      <c r="A264" t="s">
        <v>130</v>
      </c>
      <c r="B264" t="s">
        <v>118</v>
      </c>
      <c r="C264" t="s">
        <v>112</v>
      </c>
      <c r="D264">
        <v>2050</v>
      </c>
      <c r="E264" t="s">
        <v>109</v>
      </c>
      <c r="F264">
        <v>0</v>
      </c>
    </row>
    <row r="265" spans="1:6" x14ac:dyDescent="0.25">
      <c r="A265" t="s">
        <v>130</v>
      </c>
      <c r="B265" t="s">
        <v>118</v>
      </c>
      <c r="C265" t="s">
        <v>116</v>
      </c>
      <c r="D265">
        <v>2050</v>
      </c>
      <c r="E265" t="s">
        <v>109</v>
      </c>
      <c r="F265">
        <v>6713.0342916543959</v>
      </c>
    </row>
    <row r="266" spans="1:6" x14ac:dyDescent="0.25">
      <c r="A266" t="s">
        <v>130</v>
      </c>
      <c r="B266" t="s">
        <v>118</v>
      </c>
      <c r="C266" t="s">
        <v>117</v>
      </c>
      <c r="D266">
        <v>2050</v>
      </c>
      <c r="E266" t="s">
        <v>109</v>
      </c>
      <c r="F266">
        <v>0</v>
      </c>
    </row>
    <row r="267" spans="1:6" x14ac:dyDescent="0.25">
      <c r="A267" t="s">
        <v>130</v>
      </c>
      <c r="B267" t="s">
        <v>118</v>
      </c>
      <c r="C267" t="s">
        <v>114</v>
      </c>
      <c r="D267">
        <v>2050</v>
      </c>
      <c r="E267" t="s">
        <v>110</v>
      </c>
      <c r="F267">
        <v>0</v>
      </c>
    </row>
    <row r="268" spans="1:6" x14ac:dyDescent="0.25">
      <c r="A268" t="s">
        <v>130</v>
      </c>
      <c r="B268" t="s">
        <v>118</v>
      </c>
      <c r="C268" t="s">
        <v>115</v>
      </c>
      <c r="D268">
        <v>2050</v>
      </c>
      <c r="E268" t="s">
        <v>110</v>
      </c>
      <c r="F268">
        <v>6881.7406521536668</v>
      </c>
    </row>
    <row r="269" spans="1:6" x14ac:dyDescent="0.25">
      <c r="A269" t="s">
        <v>130</v>
      </c>
      <c r="B269" t="s">
        <v>118</v>
      </c>
      <c r="C269" t="s">
        <v>112</v>
      </c>
      <c r="D269">
        <v>2050</v>
      </c>
      <c r="E269" t="s">
        <v>110</v>
      </c>
      <c r="F269">
        <v>0</v>
      </c>
    </row>
    <row r="270" spans="1:6" x14ac:dyDescent="0.25">
      <c r="A270" t="s">
        <v>130</v>
      </c>
      <c r="B270" t="s">
        <v>118</v>
      </c>
      <c r="C270" t="s">
        <v>116</v>
      </c>
      <c r="D270">
        <v>2050</v>
      </c>
      <c r="E270" t="s">
        <v>110</v>
      </c>
      <c r="F270">
        <v>5669.0785545395274</v>
      </c>
    </row>
    <row r="271" spans="1:6" x14ac:dyDescent="0.25">
      <c r="A271" t="s">
        <v>130</v>
      </c>
      <c r="B271" t="s">
        <v>118</v>
      </c>
      <c r="C271" t="s">
        <v>117</v>
      </c>
      <c r="D271">
        <v>2050</v>
      </c>
      <c r="E271" t="s">
        <v>110</v>
      </c>
      <c r="F271">
        <v>0</v>
      </c>
    </row>
    <row r="272" spans="1:6" x14ac:dyDescent="0.25">
      <c r="A272" t="s">
        <v>143</v>
      </c>
      <c r="B272" t="s">
        <v>113</v>
      </c>
      <c r="C272" t="s">
        <v>114</v>
      </c>
      <c r="D272">
        <v>2019</v>
      </c>
      <c r="E272" t="s">
        <v>108</v>
      </c>
      <c r="F272">
        <v>412730</v>
      </c>
    </row>
    <row r="273" spans="1:6" x14ac:dyDescent="0.25">
      <c r="A273" t="s">
        <v>143</v>
      </c>
      <c r="B273" t="s">
        <v>113</v>
      </c>
      <c r="C273" t="s">
        <v>115</v>
      </c>
      <c r="D273">
        <v>2019</v>
      </c>
      <c r="E273" t="s">
        <v>108</v>
      </c>
      <c r="F273">
        <v>1847465.5978301479</v>
      </c>
    </row>
    <row r="274" spans="1:6" x14ac:dyDescent="0.25">
      <c r="A274" t="s">
        <v>143</v>
      </c>
      <c r="B274" t="s">
        <v>113</v>
      </c>
      <c r="C274" t="s">
        <v>112</v>
      </c>
      <c r="D274">
        <v>2019</v>
      </c>
      <c r="E274" t="s">
        <v>108</v>
      </c>
      <c r="F274">
        <v>434670</v>
      </c>
    </row>
    <row r="275" spans="1:6" x14ac:dyDescent="0.25">
      <c r="A275" t="s">
        <v>143</v>
      </c>
      <c r="B275" t="s">
        <v>113</v>
      </c>
      <c r="C275" t="s">
        <v>116</v>
      </c>
      <c r="D275">
        <v>2019</v>
      </c>
      <c r="E275" t="s">
        <v>108</v>
      </c>
      <c r="F275">
        <v>288846.71526402031</v>
      </c>
    </row>
    <row r="276" spans="1:6" x14ac:dyDescent="0.25">
      <c r="A276" t="s">
        <v>143</v>
      </c>
      <c r="B276" t="s">
        <v>113</v>
      </c>
      <c r="C276" t="s">
        <v>117</v>
      </c>
      <c r="D276">
        <v>2019</v>
      </c>
      <c r="E276" t="s">
        <v>108</v>
      </c>
      <c r="F276">
        <v>46640</v>
      </c>
    </row>
    <row r="277" spans="1:6" x14ac:dyDescent="0.25">
      <c r="A277" t="s">
        <v>143</v>
      </c>
      <c r="B277" t="s">
        <v>113</v>
      </c>
      <c r="C277" t="s">
        <v>114</v>
      </c>
      <c r="D277">
        <v>2019</v>
      </c>
      <c r="E277" t="s">
        <v>109</v>
      </c>
      <c r="F277">
        <v>0</v>
      </c>
    </row>
    <row r="278" spans="1:6" x14ac:dyDescent="0.25">
      <c r="A278" t="s">
        <v>143</v>
      </c>
      <c r="B278" t="s">
        <v>113</v>
      </c>
      <c r="C278" t="s">
        <v>115</v>
      </c>
      <c r="D278">
        <v>2019</v>
      </c>
      <c r="E278" t="s">
        <v>109</v>
      </c>
      <c r="F278">
        <v>90723.841613092387</v>
      </c>
    </row>
    <row r="279" spans="1:6" x14ac:dyDescent="0.25">
      <c r="A279" t="s">
        <v>143</v>
      </c>
      <c r="B279" t="s">
        <v>113</v>
      </c>
      <c r="C279" t="s">
        <v>112</v>
      </c>
      <c r="D279">
        <v>2019</v>
      </c>
      <c r="E279" t="s">
        <v>109</v>
      </c>
      <c r="F279">
        <v>0</v>
      </c>
    </row>
    <row r="280" spans="1:6" x14ac:dyDescent="0.25">
      <c r="A280" t="s">
        <v>143</v>
      </c>
      <c r="B280" t="s">
        <v>113</v>
      </c>
      <c r="C280" t="s">
        <v>116</v>
      </c>
      <c r="D280">
        <v>2019</v>
      </c>
      <c r="E280" t="s">
        <v>109</v>
      </c>
      <c r="F280">
        <v>55514.664499432409</v>
      </c>
    </row>
    <row r="281" spans="1:6" x14ac:dyDescent="0.25">
      <c r="A281" t="s">
        <v>143</v>
      </c>
      <c r="B281" t="s">
        <v>113</v>
      </c>
      <c r="C281" t="s">
        <v>117</v>
      </c>
      <c r="D281">
        <v>2019</v>
      </c>
      <c r="E281" t="s">
        <v>109</v>
      </c>
      <c r="F281">
        <v>0</v>
      </c>
    </row>
    <row r="282" spans="1:6" x14ac:dyDescent="0.25">
      <c r="A282" t="s">
        <v>143</v>
      </c>
      <c r="B282" t="s">
        <v>113</v>
      </c>
      <c r="C282" t="s">
        <v>114</v>
      </c>
      <c r="D282">
        <v>2019</v>
      </c>
      <c r="E282" t="s">
        <v>110</v>
      </c>
      <c r="F282">
        <v>0</v>
      </c>
    </row>
    <row r="283" spans="1:6" x14ac:dyDescent="0.25">
      <c r="A283" t="s">
        <v>143</v>
      </c>
      <c r="B283" t="s">
        <v>113</v>
      </c>
      <c r="C283" t="s">
        <v>115</v>
      </c>
      <c r="D283">
        <v>2019</v>
      </c>
      <c r="E283" t="s">
        <v>110</v>
      </c>
      <c r="F283">
        <v>70620.560556759505</v>
      </c>
    </row>
    <row r="284" spans="1:6" x14ac:dyDescent="0.25">
      <c r="A284" t="s">
        <v>143</v>
      </c>
      <c r="B284" t="s">
        <v>113</v>
      </c>
      <c r="C284" t="s">
        <v>112</v>
      </c>
      <c r="D284">
        <v>2019</v>
      </c>
      <c r="E284" t="s">
        <v>110</v>
      </c>
      <c r="F284">
        <v>0</v>
      </c>
    </row>
    <row r="285" spans="1:6" x14ac:dyDescent="0.25">
      <c r="A285" t="s">
        <v>143</v>
      </c>
      <c r="B285" t="s">
        <v>113</v>
      </c>
      <c r="C285" t="s">
        <v>116</v>
      </c>
      <c r="D285">
        <v>2019</v>
      </c>
      <c r="E285" t="s">
        <v>110</v>
      </c>
      <c r="F285">
        <v>45828.620236547278</v>
      </c>
    </row>
    <row r="286" spans="1:6" x14ac:dyDescent="0.25">
      <c r="A286" t="s">
        <v>143</v>
      </c>
      <c r="B286" t="s">
        <v>113</v>
      </c>
      <c r="C286" t="s">
        <v>117</v>
      </c>
      <c r="D286">
        <v>2019</v>
      </c>
      <c r="E286" t="s">
        <v>110</v>
      </c>
      <c r="F286">
        <v>0</v>
      </c>
    </row>
    <row r="287" spans="1:6" x14ac:dyDescent="0.25">
      <c r="A287" t="s">
        <v>143</v>
      </c>
      <c r="B287" t="s">
        <v>113</v>
      </c>
      <c r="C287" t="s">
        <v>114</v>
      </c>
      <c r="D287">
        <v>2030</v>
      </c>
      <c r="E287" t="s">
        <v>108</v>
      </c>
      <c r="F287">
        <v>412730</v>
      </c>
    </row>
    <row r="288" spans="1:6" x14ac:dyDescent="0.25">
      <c r="A288" t="s">
        <v>143</v>
      </c>
      <c r="B288" t="s">
        <v>113</v>
      </c>
      <c r="C288" t="s">
        <v>115</v>
      </c>
      <c r="D288">
        <v>2030</v>
      </c>
      <c r="E288" t="s">
        <v>108</v>
      </c>
      <c r="F288">
        <v>1828599.0251279764</v>
      </c>
    </row>
    <row r="289" spans="1:6" x14ac:dyDescent="0.25">
      <c r="A289" t="s">
        <v>143</v>
      </c>
      <c r="B289" t="s">
        <v>113</v>
      </c>
      <c r="C289" t="s">
        <v>112</v>
      </c>
      <c r="D289">
        <v>2030</v>
      </c>
      <c r="E289" t="s">
        <v>108</v>
      </c>
      <c r="F289">
        <v>453536.5727021714</v>
      </c>
    </row>
    <row r="290" spans="1:6" x14ac:dyDescent="0.25">
      <c r="A290" t="s">
        <v>143</v>
      </c>
      <c r="B290" t="s">
        <v>113</v>
      </c>
      <c r="C290" t="s">
        <v>116</v>
      </c>
      <c r="D290">
        <v>2030</v>
      </c>
      <c r="E290" t="s">
        <v>108</v>
      </c>
      <c r="F290">
        <v>288846.71526402031</v>
      </c>
    </row>
    <row r="291" spans="1:6" x14ac:dyDescent="0.25">
      <c r="A291" t="s">
        <v>143</v>
      </c>
      <c r="B291" t="s">
        <v>113</v>
      </c>
      <c r="C291" t="s">
        <v>117</v>
      </c>
      <c r="D291">
        <v>2030</v>
      </c>
      <c r="E291" t="s">
        <v>108</v>
      </c>
      <c r="F291">
        <v>46640</v>
      </c>
    </row>
    <row r="292" spans="1:6" x14ac:dyDescent="0.25">
      <c r="A292" t="s">
        <v>143</v>
      </c>
      <c r="B292" t="s">
        <v>113</v>
      </c>
      <c r="C292" t="s">
        <v>114</v>
      </c>
      <c r="D292">
        <v>2030</v>
      </c>
      <c r="E292" t="s">
        <v>109</v>
      </c>
      <c r="F292">
        <v>0</v>
      </c>
    </row>
    <row r="293" spans="1:6" x14ac:dyDescent="0.25">
      <c r="A293" t="s">
        <v>143</v>
      </c>
      <c r="B293" t="s">
        <v>113</v>
      </c>
      <c r="C293" t="s">
        <v>115</v>
      </c>
      <c r="D293">
        <v>2030</v>
      </c>
      <c r="E293" t="s">
        <v>109</v>
      </c>
      <c r="F293">
        <v>83953.540404179206</v>
      </c>
    </row>
    <row r="294" spans="1:6" x14ac:dyDescent="0.25">
      <c r="A294" t="s">
        <v>143</v>
      </c>
      <c r="B294" t="s">
        <v>113</v>
      </c>
      <c r="C294" t="s">
        <v>112</v>
      </c>
      <c r="D294">
        <v>2030</v>
      </c>
      <c r="E294" t="s">
        <v>109</v>
      </c>
      <c r="F294">
        <v>0</v>
      </c>
    </row>
    <row r="295" spans="1:6" x14ac:dyDescent="0.25">
      <c r="A295" t="s">
        <v>143</v>
      </c>
      <c r="B295" t="s">
        <v>113</v>
      </c>
      <c r="C295" t="s">
        <v>116</v>
      </c>
      <c r="D295">
        <v>2030</v>
      </c>
      <c r="E295" t="s">
        <v>109</v>
      </c>
      <c r="F295">
        <v>62284.965708345597</v>
      </c>
    </row>
    <row r="296" spans="1:6" x14ac:dyDescent="0.25">
      <c r="A296" t="s">
        <v>143</v>
      </c>
      <c r="B296" t="s">
        <v>113</v>
      </c>
      <c r="C296" t="s">
        <v>117</v>
      </c>
      <c r="D296">
        <v>2030</v>
      </c>
      <c r="E296" t="s">
        <v>109</v>
      </c>
      <c r="F296">
        <v>0</v>
      </c>
    </row>
    <row r="297" spans="1:6" x14ac:dyDescent="0.25">
      <c r="A297" t="s">
        <v>143</v>
      </c>
      <c r="B297" t="s">
        <v>113</v>
      </c>
      <c r="C297" t="s">
        <v>114</v>
      </c>
      <c r="D297">
        <v>2030</v>
      </c>
      <c r="E297" t="s">
        <v>110</v>
      </c>
      <c r="F297">
        <v>0</v>
      </c>
    </row>
    <row r="298" spans="1:6" x14ac:dyDescent="0.25">
      <c r="A298" t="s">
        <v>143</v>
      </c>
      <c r="B298" t="s">
        <v>113</v>
      </c>
      <c r="C298" t="s">
        <v>115</v>
      </c>
      <c r="D298">
        <v>2030</v>
      </c>
      <c r="E298" t="s">
        <v>110</v>
      </c>
      <c r="F298">
        <v>63850.259347846317</v>
      </c>
    </row>
    <row r="299" spans="1:6" x14ac:dyDescent="0.25">
      <c r="A299" t="s">
        <v>143</v>
      </c>
      <c r="B299" t="s">
        <v>113</v>
      </c>
      <c r="C299" t="s">
        <v>112</v>
      </c>
      <c r="D299">
        <v>2030</v>
      </c>
      <c r="E299" t="s">
        <v>110</v>
      </c>
      <c r="F299">
        <v>0</v>
      </c>
    </row>
    <row r="300" spans="1:6" x14ac:dyDescent="0.25">
      <c r="A300" t="s">
        <v>143</v>
      </c>
      <c r="B300" t="s">
        <v>113</v>
      </c>
      <c r="C300" t="s">
        <v>116</v>
      </c>
      <c r="D300">
        <v>2030</v>
      </c>
      <c r="E300" t="s">
        <v>110</v>
      </c>
      <c r="F300">
        <v>52598.921445460466</v>
      </c>
    </row>
    <row r="301" spans="1:6" x14ac:dyDescent="0.25">
      <c r="A301" t="s">
        <v>143</v>
      </c>
      <c r="B301" t="s">
        <v>113</v>
      </c>
      <c r="C301" t="s">
        <v>117</v>
      </c>
      <c r="D301">
        <v>2030</v>
      </c>
      <c r="E301" t="s">
        <v>110</v>
      </c>
      <c r="F301">
        <v>0</v>
      </c>
    </row>
    <row r="302" spans="1:6" x14ac:dyDescent="0.25">
      <c r="A302" t="s">
        <v>143</v>
      </c>
      <c r="B302" t="s">
        <v>113</v>
      </c>
      <c r="C302" t="s">
        <v>114</v>
      </c>
      <c r="D302">
        <v>2050</v>
      </c>
      <c r="E302" t="s">
        <v>108</v>
      </c>
      <c r="F302">
        <v>412730</v>
      </c>
    </row>
    <row r="303" spans="1:6" x14ac:dyDescent="0.25">
      <c r="A303" t="s">
        <v>143</v>
      </c>
      <c r="B303" t="s">
        <v>113</v>
      </c>
      <c r="C303" t="s">
        <v>115</v>
      </c>
      <c r="D303">
        <v>2050</v>
      </c>
      <c r="E303" t="s">
        <v>108</v>
      </c>
      <c r="F303">
        <v>1794296.1656694831</v>
      </c>
    </row>
    <row r="304" spans="1:6" x14ac:dyDescent="0.25">
      <c r="A304" t="s">
        <v>143</v>
      </c>
      <c r="B304" t="s">
        <v>113</v>
      </c>
      <c r="C304" t="s">
        <v>112</v>
      </c>
      <c r="D304">
        <v>2050</v>
      </c>
      <c r="E304" t="s">
        <v>108</v>
      </c>
      <c r="F304">
        <v>487839.43216066487</v>
      </c>
    </row>
    <row r="305" spans="1:6" x14ac:dyDescent="0.25">
      <c r="A305" t="s">
        <v>143</v>
      </c>
      <c r="B305" t="s">
        <v>113</v>
      </c>
      <c r="C305" t="s">
        <v>116</v>
      </c>
      <c r="D305">
        <v>2050</v>
      </c>
      <c r="E305" t="s">
        <v>108</v>
      </c>
      <c r="F305">
        <v>288846.71526402031</v>
      </c>
    </row>
    <row r="306" spans="1:6" x14ac:dyDescent="0.25">
      <c r="A306" t="s">
        <v>143</v>
      </c>
      <c r="B306" t="s">
        <v>113</v>
      </c>
      <c r="C306" t="s">
        <v>117</v>
      </c>
      <c r="D306">
        <v>2050</v>
      </c>
      <c r="E306" t="s">
        <v>108</v>
      </c>
      <c r="F306">
        <v>46640</v>
      </c>
    </row>
    <row r="307" spans="1:6" x14ac:dyDescent="0.25">
      <c r="A307" t="s">
        <v>143</v>
      </c>
      <c r="B307" t="s">
        <v>113</v>
      </c>
      <c r="C307" t="s">
        <v>114</v>
      </c>
      <c r="D307">
        <v>2050</v>
      </c>
      <c r="E307" t="s">
        <v>109</v>
      </c>
      <c r="F307">
        <v>0</v>
      </c>
    </row>
    <row r="308" spans="1:6" x14ac:dyDescent="0.25">
      <c r="A308" t="s">
        <v>143</v>
      </c>
      <c r="B308" t="s">
        <v>113</v>
      </c>
      <c r="C308" t="s">
        <v>115</v>
      </c>
      <c r="D308">
        <v>2050</v>
      </c>
      <c r="E308" t="s">
        <v>109</v>
      </c>
      <c r="F308">
        <v>83953.540404179206</v>
      </c>
    </row>
    <row r="309" spans="1:6" x14ac:dyDescent="0.25">
      <c r="A309" t="s">
        <v>143</v>
      </c>
      <c r="B309" t="s">
        <v>113</v>
      </c>
      <c r="C309" t="s">
        <v>112</v>
      </c>
      <c r="D309">
        <v>2050</v>
      </c>
      <c r="E309" t="s">
        <v>109</v>
      </c>
      <c r="F309">
        <v>0</v>
      </c>
    </row>
    <row r="310" spans="1:6" x14ac:dyDescent="0.25">
      <c r="A310" t="s">
        <v>143</v>
      </c>
      <c r="B310" t="s">
        <v>113</v>
      </c>
      <c r="C310" t="s">
        <v>116</v>
      </c>
      <c r="D310">
        <v>2050</v>
      </c>
      <c r="E310" t="s">
        <v>109</v>
      </c>
      <c r="F310">
        <v>62284.965708345597</v>
      </c>
    </row>
    <row r="311" spans="1:6" x14ac:dyDescent="0.25">
      <c r="A311" t="s">
        <v>143</v>
      </c>
      <c r="B311" t="s">
        <v>113</v>
      </c>
      <c r="C311" t="s">
        <v>117</v>
      </c>
      <c r="D311">
        <v>2050</v>
      </c>
      <c r="E311" t="s">
        <v>109</v>
      </c>
      <c r="F311">
        <v>0</v>
      </c>
    </row>
    <row r="312" spans="1:6" x14ac:dyDescent="0.25">
      <c r="A312" t="s">
        <v>143</v>
      </c>
      <c r="B312" t="s">
        <v>113</v>
      </c>
      <c r="C312" t="s">
        <v>114</v>
      </c>
      <c r="D312">
        <v>2050</v>
      </c>
      <c r="E312" t="s">
        <v>110</v>
      </c>
      <c r="F312">
        <v>0</v>
      </c>
    </row>
    <row r="313" spans="1:6" x14ac:dyDescent="0.25">
      <c r="A313" t="s">
        <v>143</v>
      </c>
      <c r="B313" t="s">
        <v>113</v>
      </c>
      <c r="C313" t="s">
        <v>115</v>
      </c>
      <c r="D313">
        <v>2050</v>
      </c>
      <c r="E313" t="s">
        <v>110</v>
      </c>
      <c r="F313">
        <v>63850.259347846317</v>
      </c>
    </row>
    <row r="314" spans="1:6" x14ac:dyDescent="0.25">
      <c r="A314" t="s">
        <v>143</v>
      </c>
      <c r="B314" t="s">
        <v>113</v>
      </c>
      <c r="C314" t="s">
        <v>112</v>
      </c>
      <c r="D314">
        <v>2050</v>
      </c>
      <c r="E314" t="s">
        <v>110</v>
      </c>
      <c r="F314">
        <v>0</v>
      </c>
    </row>
    <row r="315" spans="1:6" x14ac:dyDescent="0.25">
      <c r="A315" t="s">
        <v>143</v>
      </c>
      <c r="B315" t="s">
        <v>113</v>
      </c>
      <c r="C315" t="s">
        <v>116</v>
      </c>
      <c r="D315">
        <v>2050</v>
      </c>
      <c r="E315" t="s">
        <v>110</v>
      </c>
      <c r="F315">
        <v>52598.921445460466</v>
      </c>
    </row>
    <row r="316" spans="1:6" x14ac:dyDescent="0.25">
      <c r="A316" t="s">
        <v>143</v>
      </c>
      <c r="B316" t="s">
        <v>113</v>
      </c>
      <c r="C316" t="s">
        <v>117</v>
      </c>
      <c r="D316">
        <v>2050</v>
      </c>
      <c r="E316" t="s">
        <v>110</v>
      </c>
      <c r="F316">
        <v>0</v>
      </c>
    </row>
    <row r="317" spans="1:6" x14ac:dyDescent="0.25">
      <c r="A317" t="s">
        <v>143</v>
      </c>
      <c r="B317" t="s">
        <v>118</v>
      </c>
      <c r="C317" t="s">
        <v>114</v>
      </c>
      <c r="D317">
        <v>2019</v>
      </c>
      <c r="E317" t="s">
        <v>108</v>
      </c>
      <c r="F317">
        <v>178500</v>
      </c>
    </row>
    <row r="318" spans="1:6" x14ac:dyDescent="0.25">
      <c r="A318" t="s">
        <v>143</v>
      </c>
      <c r="B318" t="s">
        <v>118</v>
      </c>
      <c r="C318" t="s">
        <v>115</v>
      </c>
      <c r="D318">
        <v>2019</v>
      </c>
      <c r="E318" t="s">
        <v>108</v>
      </c>
      <c r="F318">
        <v>552170.40216985194</v>
      </c>
    </row>
    <row r="319" spans="1:6" x14ac:dyDescent="0.25">
      <c r="A319" t="s">
        <v>143</v>
      </c>
      <c r="B319" t="s">
        <v>118</v>
      </c>
      <c r="C319" t="s">
        <v>112</v>
      </c>
      <c r="D319">
        <v>2019</v>
      </c>
      <c r="E319" t="s">
        <v>108</v>
      </c>
      <c r="F319">
        <v>127230</v>
      </c>
    </row>
    <row r="320" spans="1:6" x14ac:dyDescent="0.25">
      <c r="A320" t="s">
        <v>143</v>
      </c>
      <c r="B320" t="s">
        <v>118</v>
      </c>
      <c r="C320" t="s">
        <v>116</v>
      </c>
      <c r="D320">
        <v>2019</v>
      </c>
      <c r="E320" t="s">
        <v>108</v>
      </c>
      <c r="F320">
        <v>71807.284735979716</v>
      </c>
    </row>
    <row r="321" spans="1:6" x14ac:dyDescent="0.25">
      <c r="A321" t="s">
        <v>143</v>
      </c>
      <c r="B321" t="s">
        <v>118</v>
      </c>
      <c r="C321" t="s">
        <v>117</v>
      </c>
      <c r="D321">
        <v>2019</v>
      </c>
      <c r="E321" t="s">
        <v>108</v>
      </c>
      <c r="F321">
        <v>19220</v>
      </c>
    </row>
    <row r="322" spans="1:6" x14ac:dyDescent="0.25">
      <c r="A322" t="s">
        <v>143</v>
      </c>
      <c r="B322" t="s">
        <v>118</v>
      </c>
      <c r="C322" t="s">
        <v>114</v>
      </c>
      <c r="D322">
        <v>2019</v>
      </c>
      <c r="E322" t="s">
        <v>109</v>
      </c>
      <c r="F322">
        <v>0</v>
      </c>
    </row>
    <row r="323" spans="1:6" x14ac:dyDescent="0.25">
      <c r="A323" t="s">
        <v>143</v>
      </c>
      <c r="B323" t="s">
        <v>118</v>
      </c>
      <c r="C323" t="s">
        <v>115</v>
      </c>
      <c r="D323">
        <v>2019</v>
      </c>
      <c r="E323" t="s">
        <v>109</v>
      </c>
      <c r="F323">
        <v>9778.158386907593</v>
      </c>
    </row>
    <row r="324" spans="1:6" x14ac:dyDescent="0.25">
      <c r="A324" t="s">
        <v>143</v>
      </c>
      <c r="B324" t="s">
        <v>118</v>
      </c>
      <c r="C324" t="s">
        <v>112</v>
      </c>
      <c r="D324">
        <v>2019</v>
      </c>
      <c r="E324" t="s">
        <v>109</v>
      </c>
      <c r="F324">
        <v>0</v>
      </c>
    </row>
    <row r="325" spans="1:6" x14ac:dyDescent="0.25">
      <c r="A325" t="s">
        <v>143</v>
      </c>
      <c r="B325" t="s">
        <v>118</v>
      </c>
      <c r="C325" t="s">
        <v>116</v>
      </c>
      <c r="D325">
        <v>2019</v>
      </c>
      <c r="E325" t="s">
        <v>109</v>
      </c>
      <c r="F325">
        <v>5983.3355005675821</v>
      </c>
    </row>
    <row r="326" spans="1:6" x14ac:dyDescent="0.25">
      <c r="A326" t="s">
        <v>143</v>
      </c>
      <c r="B326" t="s">
        <v>118</v>
      </c>
      <c r="C326" t="s">
        <v>117</v>
      </c>
      <c r="D326">
        <v>2019</v>
      </c>
      <c r="E326" t="s">
        <v>109</v>
      </c>
      <c r="F326">
        <v>0</v>
      </c>
    </row>
    <row r="327" spans="1:6" x14ac:dyDescent="0.25">
      <c r="A327" t="s">
        <v>143</v>
      </c>
      <c r="B327" t="s">
        <v>118</v>
      </c>
      <c r="C327" t="s">
        <v>114</v>
      </c>
      <c r="D327">
        <v>2019</v>
      </c>
      <c r="E327" t="s">
        <v>110</v>
      </c>
      <c r="F327">
        <v>0</v>
      </c>
    </row>
    <row r="328" spans="1:6" x14ac:dyDescent="0.25">
      <c r="A328" t="s">
        <v>143</v>
      </c>
      <c r="B328" t="s">
        <v>118</v>
      </c>
      <c r="C328" t="s">
        <v>115</v>
      </c>
      <c r="D328">
        <v>2019</v>
      </c>
      <c r="E328" t="s">
        <v>110</v>
      </c>
      <c r="F328">
        <v>7611.4394432404806</v>
      </c>
    </row>
    <row r="329" spans="1:6" x14ac:dyDescent="0.25">
      <c r="A329" t="s">
        <v>143</v>
      </c>
      <c r="B329" t="s">
        <v>118</v>
      </c>
      <c r="C329" t="s">
        <v>112</v>
      </c>
      <c r="D329">
        <v>2019</v>
      </c>
      <c r="E329" t="s">
        <v>110</v>
      </c>
      <c r="F329">
        <v>0</v>
      </c>
    </row>
    <row r="330" spans="1:6" x14ac:dyDescent="0.25">
      <c r="A330" t="s">
        <v>143</v>
      </c>
      <c r="B330" t="s">
        <v>118</v>
      </c>
      <c r="C330" t="s">
        <v>116</v>
      </c>
      <c r="D330">
        <v>2019</v>
      </c>
      <c r="E330" t="s">
        <v>110</v>
      </c>
      <c r="F330">
        <v>4939.3797634527136</v>
      </c>
    </row>
    <row r="331" spans="1:6" x14ac:dyDescent="0.25">
      <c r="A331" t="s">
        <v>143</v>
      </c>
      <c r="B331" t="s">
        <v>118</v>
      </c>
      <c r="C331" t="s">
        <v>117</v>
      </c>
      <c r="D331">
        <v>2019</v>
      </c>
      <c r="E331" t="s">
        <v>110</v>
      </c>
      <c r="F331">
        <v>0</v>
      </c>
    </row>
    <row r="332" spans="1:6" x14ac:dyDescent="0.25">
      <c r="A332" t="s">
        <v>143</v>
      </c>
      <c r="B332" t="s">
        <v>118</v>
      </c>
      <c r="C332" t="s">
        <v>114</v>
      </c>
      <c r="D332">
        <v>2030</v>
      </c>
      <c r="E332" t="s">
        <v>108</v>
      </c>
      <c r="F332">
        <v>178500</v>
      </c>
    </row>
    <row r="333" spans="1:6" x14ac:dyDescent="0.25">
      <c r="A333" t="s">
        <v>143</v>
      </c>
      <c r="B333" t="s">
        <v>118</v>
      </c>
      <c r="C333" t="s">
        <v>115</v>
      </c>
      <c r="D333">
        <v>2030</v>
      </c>
      <c r="E333" t="s">
        <v>108</v>
      </c>
      <c r="F333">
        <v>550136.97487202333</v>
      </c>
    </row>
    <row r="334" spans="1:6" x14ac:dyDescent="0.25">
      <c r="A334" t="s">
        <v>143</v>
      </c>
      <c r="B334" t="s">
        <v>118</v>
      </c>
      <c r="C334" t="s">
        <v>112</v>
      </c>
      <c r="D334">
        <v>2030</v>
      </c>
      <c r="E334" t="s">
        <v>108</v>
      </c>
      <c r="F334">
        <v>129263.42729782859</v>
      </c>
    </row>
    <row r="335" spans="1:6" x14ac:dyDescent="0.25">
      <c r="A335" t="s">
        <v>143</v>
      </c>
      <c r="B335" t="s">
        <v>118</v>
      </c>
      <c r="C335" t="s">
        <v>116</v>
      </c>
      <c r="D335">
        <v>2030</v>
      </c>
      <c r="E335" t="s">
        <v>108</v>
      </c>
      <c r="F335">
        <v>71807.284735979716</v>
      </c>
    </row>
    <row r="336" spans="1:6" x14ac:dyDescent="0.25">
      <c r="A336" t="s">
        <v>143</v>
      </c>
      <c r="B336" t="s">
        <v>118</v>
      </c>
      <c r="C336" t="s">
        <v>117</v>
      </c>
      <c r="D336">
        <v>2030</v>
      </c>
      <c r="E336" t="s">
        <v>108</v>
      </c>
      <c r="F336">
        <v>19220</v>
      </c>
    </row>
    <row r="337" spans="1:6" x14ac:dyDescent="0.25">
      <c r="A337" t="s">
        <v>143</v>
      </c>
      <c r="B337" t="s">
        <v>118</v>
      </c>
      <c r="C337" t="s">
        <v>114</v>
      </c>
      <c r="D337">
        <v>2030</v>
      </c>
      <c r="E337" t="s">
        <v>109</v>
      </c>
      <c r="F337">
        <v>0</v>
      </c>
    </row>
    <row r="338" spans="1:6" x14ac:dyDescent="0.25">
      <c r="A338" t="s">
        <v>143</v>
      </c>
      <c r="B338" t="s">
        <v>118</v>
      </c>
      <c r="C338" t="s">
        <v>115</v>
      </c>
      <c r="D338">
        <v>2030</v>
      </c>
      <c r="E338" t="s">
        <v>109</v>
      </c>
      <c r="F338">
        <v>9048.4595958207792</v>
      </c>
    </row>
    <row r="339" spans="1:6" x14ac:dyDescent="0.25">
      <c r="A339" t="s">
        <v>143</v>
      </c>
      <c r="B339" t="s">
        <v>118</v>
      </c>
      <c r="C339" t="s">
        <v>112</v>
      </c>
      <c r="D339">
        <v>2030</v>
      </c>
      <c r="E339" t="s">
        <v>109</v>
      </c>
      <c r="F339">
        <v>0</v>
      </c>
    </row>
    <row r="340" spans="1:6" x14ac:dyDescent="0.25">
      <c r="A340" t="s">
        <v>143</v>
      </c>
      <c r="B340" t="s">
        <v>118</v>
      </c>
      <c r="C340" t="s">
        <v>116</v>
      </c>
      <c r="D340">
        <v>2030</v>
      </c>
      <c r="E340" t="s">
        <v>109</v>
      </c>
      <c r="F340">
        <v>6713.0342916543959</v>
      </c>
    </row>
    <row r="341" spans="1:6" x14ac:dyDescent="0.25">
      <c r="A341" t="s">
        <v>143</v>
      </c>
      <c r="B341" t="s">
        <v>118</v>
      </c>
      <c r="C341" t="s">
        <v>117</v>
      </c>
      <c r="D341">
        <v>2030</v>
      </c>
      <c r="E341" t="s">
        <v>109</v>
      </c>
      <c r="F341">
        <v>0</v>
      </c>
    </row>
    <row r="342" spans="1:6" x14ac:dyDescent="0.25">
      <c r="A342" t="s">
        <v>143</v>
      </c>
      <c r="B342" t="s">
        <v>118</v>
      </c>
      <c r="C342" t="s">
        <v>114</v>
      </c>
      <c r="D342">
        <v>2030</v>
      </c>
      <c r="E342" t="s">
        <v>110</v>
      </c>
      <c r="F342">
        <v>0</v>
      </c>
    </row>
    <row r="343" spans="1:6" x14ac:dyDescent="0.25">
      <c r="A343" t="s">
        <v>143</v>
      </c>
      <c r="B343" t="s">
        <v>118</v>
      </c>
      <c r="C343" t="s">
        <v>115</v>
      </c>
      <c r="D343">
        <v>2030</v>
      </c>
      <c r="E343" t="s">
        <v>110</v>
      </c>
      <c r="F343">
        <v>6881.7406521536668</v>
      </c>
    </row>
    <row r="344" spans="1:6" x14ac:dyDescent="0.25">
      <c r="A344" t="s">
        <v>143</v>
      </c>
      <c r="B344" t="s">
        <v>118</v>
      </c>
      <c r="C344" t="s">
        <v>112</v>
      </c>
      <c r="D344">
        <v>2030</v>
      </c>
      <c r="E344" t="s">
        <v>110</v>
      </c>
      <c r="F344">
        <v>0</v>
      </c>
    </row>
    <row r="345" spans="1:6" x14ac:dyDescent="0.25">
      <c r="A345" t="s">
        <v>143</v>
      </c>
      <c r="B345" t="s">
        <v>118</v>
      </c>
      <c r="C345" t="s">
        <v>116</v>
      </c>
      <c r="D345">
        <v>2030</v>
      </c>
      <c r="E345" t="s">
        <v>110</v>
      </c>
      <c r="F345">
        <v>5669.0785545395274</v>
      </c>
    </row>
    <row r="346" spans="1:6" x14ac:dyDescent="0.25">
      <c r="A346" t="s">
        <v>143</v>
      </c>
      <c r="B346" t="s">
        <v>118</v>
      </c>
      <c r="C346" t="s">
        <v>117</v>
      </c>
      <c r="D346">
        <v>2030</v>
      </c>
      <c r="E346" t="s">
        <v>110</v>
      </c>
      <c r="F346">
        <v>0</v>
      </c>
    </row>
    <row r="347" spans="1:6" x14ac:dyDescent="0.25">
      <c r="A347" t="s">
        <v>143</v>
      </c>
      <c r="B347" t="s">
        <v>118</v>
      </c>
      <c r="C347" t="s">
        <v>114</v>
      </c>
      <c r="D347">
        <v>2050</v>
      </c>
      <c r="E347" t="s">
        <v>108</v>
      </c>
      <c r="F347">
        <v>178500</v>
      </c>
    </row>
    <row r="348" spans="1:6" x14ac:dyDescent="0.25">
      <c r="A348" t="s">
        <v>143</v>
      </c>
      <c r="B348" t="s">
        <v>118</v>
      </c>
      <c r="C348" t="s">
        <v>115</v>
      </c>
      <c r="D348">
        <v>2050</v>
      </c>
      <c r="E348" t="s">
        <v>108</v>
      </c>
      <c r="F348">
        <v>546439.83433051687</v>
      </c>
    </row>
    <row r="349" spans="1:6" x14ac:dyDescent="0.25">
      <c r="A349" t="s">
        <v>143</v>
      </c>
      <c r="B349" t="s">
        <v>118</v>
      </c>
      <c r="C349" t="s">
        <v>112</v>
      </c>
      <c r="D349">
        <v>2050</v>
      </c>
      <c r="E349" t="s">
        <v>108</v>
      </c>
      <c r="F349">
        <v>132960.5678393351</v>
      </c>
    </row>
    <row r="350" spans="1:6" x14ac:dyDescent="0.25">
      <c r="A350" t="s">
        <v>143</v>
      </c>
      <c r="B350" t="s">
        <v>118</v>
      </c>
      <c r="C350" t="s">
        <v>116</v>
      </c>
      <c r="D350">
        <v>2050</v>
      </c>
      <c r="E350" t="s">
        <v>108</v>
      </c>
      <c r="F350">
        <v>71807.284735979716</v>
      </c>
    </row>
    <row r="351" spans="1:6" x14ac:dyDescent="0.25">
      <c r="A351" t="s">
        <v>143</v>
      </c>
      <c r="B351" t="s">
        <v>118</v>
      </c>
      <c r="C351" t="s">
        <v>117</v>
      </c>
      <c r="D351">
        <v>2050</v>
      </c>
      <c r="E351" t="s">
        <v>108</v>
      </c>
      <c r="F351">
        <v>19220</v>
      </c>
    </row>
    <row r="352" spans="1:6" x14ac:dyDescent="0.25">
      <c r="A352" t="s">
        <v>143</v>
      </c>
      <c r="B352" t="s">
        <v>118</v>
      </c>
      <c r="C352" t="s">
        <v>114</v>
      </c>
      <c r="D352">
        <v>2050</v>
      </c>
      <c r="E352" t="s">
        <v>109</v>
      </c>
      <c r="F352">
        <v>0</v>
      </c>
    </row>
    <row r="353" spans="1:6" x14ac:dyDescent="0.25">
      <c r="A353" t="s">
        <v>143</v>
      </c>
      <c r="B353" t="s">
        <v>118</v>
      </c>
      <c r="C353" t="s">
        <v>115</v>
      </c>
      <c r="D353">
        <v>2050</v>
      </c>
      <c r="E353" t="s">
        <v>109</v>
      </c>
      <c r="F353">
        <v>9048.4595958207792</v>
      </c>
    </row>
    <row r="354" spans="1:6" x14ac:dyDescent="0.25">
      <c r="A354" t="s">
        <v>143</v>
      </c>
      <c r="B354" t="s">
        <v>118</v>
      </c>
      <c r="C354" t="s">
        <v>112</v>
      </c>
      <c r="D354">
        <v>2050</v>
      </c>
      <c r="E354" t="s">
        <v>109</v>
      </c>
      <c r="F354">
        <v>0</v>
      </c>
    </row>
    <row r="355" spans="1:6" x14ac:dyDescent="0.25">
      <c r="A355" t="s">
        <v>143</v>
      </c>
      <c r="B355" t="s">
        <v>118</v>
      </c>
      <c r="C355" t="s">
        <v>116</v>
      </c>
      <c r="D355">
        <v>2050</v>
      </c>
      <c r="E355" t="s">
        <v>109</v>
      </c>
      <c r="F355">
        <v>6713.0342916543959</v>
      </c>
    </row>
    <row r="356" spans="1:6" x14ac:dyDescent="0.25">
      <c r="A356" t="s">
        <v>143</v>
      </c>
      <c r="B356" t="s">
        <v>118</v>
      </c>
      <c r="C356" t="s">
        <v>117</v>
      </c>
      <c r="D356">
        <v>2050</v>
      </c>
      <c r="E356" t="s">
        <v>109</v>
      </c>
      <c r="F356">
        <v>0</v>
      </c>
    </row>
    <row r="357" spans="1:6" x14ac:dyDescent="0.25">
      <c r="A357" t="s">
        <v>143</v>
      </c>
      <c r="B357" t="s">
        <v>118</v>
      </c>
      <c r="C357" t="s">
        <v>114</v>
      </c>
      <c r="D357">
        <v>2050</v>
      </c>
      <c r="E357" t="s">
        <v>110</v>
      </c>
      <c r="F357">
        <v>0</v>
      </c>
    </row>
    <row r="358" spans="1:6" x14ac:dyDescent="0.25">
      <c r="A358" t="s">
        <v>143</v>
      </c>
      <c r="B358" t="s">
        <v>118</v>
      </c>
      <c r="C358" t="s">
        <v>115</v>
      </c>
      <c r="D358">
        <v>2050</v>
      </c>
      <c r="E358" t="s">
        <v>110</v>
      </c>
      <c r="F358">
        <v>6881.7406521536668</v>
      </c>
    </row>
    <row r="359" spans="1:6" x14ac:dyDescent="0.25">
      <c r="A359" t="s">
        <v>143</v>
      </c>
      <c r="B359" t="s">
        <v>118</v>
      </c>
      <c r="C359" t="s">
        <v>112</v>
      </c>
      <c r="D359">
        <v>2050</v>
      </c>
      <c r="E359" t="s">
        <v>110</v>
      </c>
      <c r="F359">
        <v>0</v>
      </c>
    </row>
    <row r="360" spans="1:6" x14ac:dyDescent="0.25">
      <c r="A360" t="s">
        <v>143</v>
      </c>
      <c r="B360" t="s">
        <v>118</v>
      </c>
      <c r="C360" t="s">
        <v>116</v>
      </c>
      <c r="D360">
        <v>2050</v>
      </c>
      <c r="E360" t="s">
        <v>110</v>
      </c>
      <c r="F360">
        <v>5669.0785545395274</v>
      </c>
    </row>
    <row r="361" spans="1:6" x14ac:dyDescent="0.25">
      <c r="A361" t="s">
        <v>143</v>
      </c>
      <c r="B361" t="s">
        <v>118</v>
      </c>
      <c r="C361" t="s">
        <v>117</v>
      </c>
      <c r="D361">
        <v>2050</v>
      </c>
      <c r="E361" t="s">
        <v>110</v>
      </c>
      <c r="F361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65261-C137-4844-BB1D-92C4F25B7415}">
  <sheetPr codeName="Sheet8">
    <tabColor rgb="FFFF0000"/>
  </sheetPr>
  <dimension ref="A1:K2017"/>
  <sheetViews>
    <sheetView topLeftCell="A1532" workbookViewId="0">
      <selection activeCell="B1514" sqref="B1514:K2017"/>
    </sheetView>
  </sheetViews>
  <sheetFormatPr defaultRowHeight="15" x14ac:dyDescent="0.25"/>
  <sheetData>
    <row r="1" spans="1:11" x14ac:dyDescent="0.25">
      <c r="A1" t="s">
        <v>26</v>
      </c>
      <c r="B1" t="s">
        <v>1</v>
      </c>
      <c r="C1" t="s">
        <v>97</v>
      </c>
      <c r="D1" t="s">
        <v>3</v>
      </c>
      <c r="E1" t="s">
        <v>98</v>
      </c>
      <c r="F1" t="s">
        <v>95</v>
      </c>
      <c r="G1" t="s">
        <v>99</v>
      </c>
      <c r="H1" t="s">
        <v>100</v>
      </c>
      <c r="I1" t="s">
        <v>101</v>
      </c>
      <c r="J1" t="s">
        <v>102</v>
      </c>
      <c r="K1" t="s">
        <v>103</v>
      </c>
    </row>
    <row r="2" spans="1:11" x14ac:dyDescent="0.25">
      <c r="A2" t="s">
        <v>27</v>
      </c>
      <c r="B2" t="s">
        <v>28</v>
      </c>
      <c r="C2" t="s">
        <v>29</v>
      </c>
      <c r="D2">
        <v>2019</v>
      </c>
      <c r="E2" t="s">
        <v>119</v>
      </c>
      <c r="F2" t="s">
        <v>108</v>
      </c>
      <c r="G2" t="s">
        <v>52</v>
      </c>
      <c r="H2">
        <v>853064.00210361299</v>
      </c>
      <c r="I2">
        <v>5979978.6547463275</v>
      </c>
      <c r="J2">
        <v>1951850.0829625644</v>
      </c>
      <c r="K2">
        <v>1951850.0829625644</v>
      </c>
    </row>
    <row r="3" spans="1:11" x14ac:dyDescent="0.25">
      <c r="A3" t="s">
        <v>27</v>
      </c>
      <c r="B3" t="s">
        <v>28</v>
      </c>
      <c r="C3" t="s">
        <v>34</v>
      </c>
      <c r="D3">
        <v>2019</v>
      </c>
      <c r="E3" t="s">
        <v>119</v>
      </c>
      <c r="F3" t="s">
        <v>108</v>
      </c>
      <c r="G3" t="s">
        <v>52</v>
      </c>
      <c r="H3">
        <v>58939.484550716581</v>
      </c>
      <c r="I3">
        <v>227506.41036576603</v>
      </c>
      <c r="J3">
        <v>67541.817252888548</v>
      </c>
      <c r="K3">
        <v>67541.817252888548</v>
      </c>
    </row>
    <row r="4" spans="1:11" x14ac:dyDescent="0.25">
      <c r="A4" t="s">
        <v>27</v>
      </c>
      <c r="B4" t="s">
        <v>28</v>
      </c>
      <c r="C4" t="s">
        <v>72</v>
      </c>
      <c r="D4">
        <v>2019</v>
      </c>
      <c r="E4" t="s">
        <v>119</v>
      </c>
      <c r="F4" t="s">
        <v>108</v>
      </c>
      <c r="G4" t="s">
        <v>52</v>
      </c>
      <c r="H4">
        <v>99115.06241944003</v>
      </c>
      <c r="I4">
        <v>436106.27464553615</v>
      </c>
      <c r="J4">
        <v>232926.54181955411</v>
      </c>
      <c r="K4">
        <v>232926.54181955411</v>
      </c>
    </row>
    <row r="5" spans="1:11" x14ac:dyDescent="0.25">
      <c r="A5" t="s">
        <v>27</v>
      </c>
      <c r="B5" t="s">
        <v>28</v>
      </c>
      <c r="C5" t="s">
        <v>53</v>
      </c>
      <c r="D5">
        <v>2019</v>
      </c>
      <c r="E5" t="s">
        <v>119</v>
      </c>
      <c r="F5" t="s">
        <v>108</v>
      </c>
      <c r="G5" t="s">
        <v>53</v>
      </c>
      <c r="H5">
        <v>188981.25083524975</v>
      </c>
      <c r="I5">
        <v>9377249.6664450932</v>
      </c>
      <c r="J5">
        <v>0</v>
      </c>
      <c r="K5">
        <v>9377249.6664450932</v>
      </c>
    </row>
    <row r="6" spans="1:11" x14ac:dyDescent="0.25">
      <c r="A6" t="s">
        <v>27</v>
      </c>
      <c r="B6" t="s">
        <v>28</v>
      </c>
      <c r="C6" t="s">
        <v>30</v>
      </c>
      <c r="D6">
        <v>2019</v>
      </c>
      <c r="E6" t="s">
        <v>119</v>
      </c>
      <c r="F6" t="s">
        <v>108</v>
      </c>
      <c r="G6" t="s">
        <v>30</v>
      </c>
      <c r="H6">
        <v>7313.1446192208541</v>
      </c>
      <c r="I6">
        <v>151747.75084883274</v>
      </c>
      <c r="J6">
        <v>0</v>
      </c>
      <c r="K6">
        <v>151747.75084883274</v>
      </c>
    </row>
    <row r="7" spans="1:11" x14ac:dyDescent="0.25">
      <c r="A7" t="s">
        <v>27</v>
      </c>
      <c r="B7" t="s">
        <v>28</v>
      </c>
      <c r="C7" t="s">
        <v>31</v>
      </c>
      <c r="D7">
        <v>2019</v>
      </c>
      <c r="E7" t="s">
        <v>119</v>
      </c>
      <c r="F7" t="s">
        <v>108</v>
      </c>
      <c r="G7" t="s">
        <v>31</v>
      </c>
      <c r="H7">
        <v>43565.33101601588</v>
      </c>
      <c r="I7">
        <v>1850258.7939976689</v>
      </c>
      <c r="J7">
        <v>0</v>
      </c>
      <c r="K7">
        <v>1850258.7939976689</v>
      </c>
    </row>
    <row r="8" spans="1:11" x14ac:dyDescent="0.25">
      <c r="A8" t="s">
        <v>27</v>
      </c>
      <c r="B8" t="s">
        <v>28</v>
      </c>
      <c r="C8" t="s">
        <v>55</v>
      </c>
      <c r="D8">
        <v>2019</v>
      </c>
      <c r="E8" t="s">
        <v>119</v>
      </c>
      <c r="F8" t="s">
        <v>108</v>
      </c>
      <c r="G8" t="s">
        <v>55</v>
      </c>
      <c r="H8">
        <v>4252.8843446697592</v>
      </c>
      <c r="I8">
        <v>345562.72197585326</v>
      </c>
      <c r="J8">
        <v>0</v>
      </c>
      <c r="K8">
        <v>345562.72197585326</v>
      </c>
    </row>
    <row r="9" spans="1:11" x14ac:dyDescent="0.25">
      <c r="A9" t="s">
        <v>27</v>
      </c>
      <c r="B9" t="s">
        <v>28</v>
      </c>
      <c r="C9" t="s">
        <v>54</v>
      </c>
      <c r="D9">
        <v>2019</v>
      </c>
      <c r="E9" t="s">
        <v>119</v>
      </c>
      <c r="F9" t="s">
        <v>108</v>
      </c>
      <c r="G9" t="s">
        <v>54</v>
      </c>
      <c r="H9">
        <v>145638.34626271055</v>
      </c>
      <c r="I9">
        <v>6482362.7921532467</v>
      </c>
      <c r="J9">
        <v>0</v>
      </c>
      <c r="K9">
        <v>6482362.7921532467</v>
      </c>
    </row>
    <row r="10" spans="1:11" x14ac:dyDescent="0.25">
      <c r="A10" t="s">
        <v>27</v>
      </c>
      <c r="B10" t="s">
        <v>28</v>
      </c>
      <c r="C10" t="s">
        <v>41</v>
      </c>
      <c r="D10">
        <v>2019</v>
      </c>
      <c r="E10" t="s">
        <v>119</v>
      </c>
      <c r="F10" t="s">
        <v>108</v>
      </c>
      <c r="G10" t="s">
        <v>41</v>
      </c>
      <c r="H10">
        <v>2676.1448409922077</v>
      </c>
      <c r="I10">
        <v>22720.469700023848</v>
      </c>
      <c r="J10">
        <v>0</v>
      </c>
      <c r="K10">
        <v>22720.469700023848</v>
      </c>
    </row>
    <row r="11" spans="1:11" x14ac:dyDescent="0.25">
      <c r="A11" t="s">
        <v>27</v>
      </c>
      <c r="B11" t="s">
        <v>28</v>
      </c>
      <c r="C11" t="s">
        <v>80</v>
      </c>
      <c r="D11">
        <v>2019</v>
      </c>
      <c r="E11" t="s">
        <v>119</v>
      </c>
      <c r="F11" t="s">
        <v>108</v>
      </c>
      <c r="G11" t="s">
        <v>80</v>
      </c>
      <c r="H11">
        <v>47330.033772765404</v>
      </c>
      <c r="I11">
        <v>1410243.012533868</v>
      </c>
      <c r="J11">
        <v>0</v>
      </c>
      <c r="K11">
        <v>1410243.012533868</v>
      </c>
    </row>
    <row r="12" spans="1:11" x14ac:dyDescent="0.25">
      <c r="A12" t="s">
        <v>27</v>
      </c>
      <c r="B12" t="s">
        <v>28</v>
      </c>
      <c r="C12" t="s">
        <v>75</v>
      </c>
      <c r="D12">
        <v>2019</v>
      </c>
      <c r="E12" t="s">
        <v>119</v>
      </c>
      <c r="F12" t="s">
        <v>108</v>
      </c>
      <c r="G12" t="s">
        <v>52</v>
      </c>
      <c r="H12">
        <v>49787.032963432102</v>
      </c>
      <c r="I12">
        <v>711399.98164280283</v>
      </c>
      <c r="J12">
        <v>118184.45884859514</v>
      </c>
      <c r="K12">
        <v>118184.45884859514</v>
      </c>
    </row>
    <row r="13" spans="1:11" x14ac:dyDescent="0.25">
      <c r="A13" t="s">
        <v>27</v>
      </c>
      <c r="B13" t="s">
        <v>28</v>
      </c>
      <c r="C13" t="s">
        <v>78</v>
      </c>
      <c r="D13">
        <v>2019</v>
      </c>
      <c r="E13" t="s">
        <v>119</v>
      </c>
      <c r="F13" t="s">
        <v>108</v>
      </c>
      <c r="G13" t="s">
        <v>78</v>
      </c>
      <c r="H13">
        <v>13422.322311297707</v>
      </c>
      <c r="I13">
        <v>671116.11556488543</v>
      </c>
      <c r="J13">
        <v>0</v>
      </c>
      <c r="K13">
        <v>671116.11556488543</v>
      </c>
    </row>
    <row r="14" spans="1:11" x14ac:dyDescent="0.25">
      <c r="A14" t="s">
        <v>27</v>
      </c>
      <c r="B14" t="s">
        <v>28</v>
      </c>
      <c r="C14" t="s">
        <v>65</v>
      </c>
      <c r="D14">
        <v>2019</v>
      </c>
      <c r="E14" t="s">
        <v>119</v>
      </c>
      <c r="F14" t="s">
        <v>108</v>
      </c>
      <c r="G14" t="s">
        <v>65</v>
      </c>
      <c r="H14">
        <v>4937.1607996010098</v>
      </c>
      <c r="I14">
        <v>120418.55608782951</v>
      </c>
      <c r="J14">
        <v>0</v>
      </c>
      <c r="K14">
        <v>120418.55608782951</v>
      </c>
    </row>
    <row r="15" spans="1:11" x14ac:dyDescent="0.25">
      <c r="A15" t="s">
        <v>27</v>
      </c>
      <c r="B15" t="s">
        <v>28</v>
      </c>
      <c r="C15" t="s">
        <v>120</v>
      </c>
      <c r="D15">
        <v>2019</v>
      </c>
      <c r="E15" t="s">
        <v>119</v>
      </c>
      <c r="F15" t="s">
        <v>108</v>
      </c>
      <c r="G15" t="s">
        <v>53</v>
      </c>
      <c r="H15">
        <v>119003.01274629038</v>
      </c>
      <c r="I15">
        <v>1641051.5457713446</v>
      </c>
      <c r="J15">
        <v>0</v>
      </c>
      <c r="K15">
        <v>1641051.5457713446</v>
      </c>
    </row>
    <row r="16" spans="1:11" x14ac:dyDescent="0.25">
      <c r="A16" t="s">
        <v>27</v>
      </c>
      <c r="B16" t="s">
        <v>28</v>
      </c>
      <c r="C16" t="s">
        <v>29</v>
      </c>
      <c r="D16">
        <v>2030</v>
      </c>
      <c r="E16" t="s">
        <v>119</v>
      </c>
      <c r="F16" t="s">
        <v>108</v>
      </c>
      <c r="G16" t="s">
        <v>52</v>
      </c>
      <c r="H16">
        <v>823750.37397071952</v>
      </c>
      <c r="I16">
        <v>5774490.1215347433</v>
      </c>
      <c r="J16">
        <v>1873822.0444380243</v>
      </c>
      <c r="K16">
        <v>1873822.0444380243</v>
      </c>
    </row>
    <row r="17" spans="1:11" x14ac:dyDescent="0.25">
      <c r="A17" t="s">
        <v>27</v>
      </c>
      <c r="B17" t="s">
        <v>28</v>
      </c>
      <c r="C17" t="s">
        <v>34</v>
      </c>
      <c r="D17">
        <v>2030</v>
      </c>
      <c r="E17" t="s">
        <v>119</v>
      </c>
      <c r="F17" t="s">
        <v>108</v>
      </c>
      <c r="G17" t="s">
        <v>52</v>
      </c>
      <c r="H17">
        <v>56914.161564160306</v>
      </c>
      <c r="I17">
        <v>219688.66363765878</v>
      </c>
      <c r="J17">
        <v>64841.735128432192</v>
      </c>
      <c r="K17">
        <v>64841.735128432192</v>
      </c>
    </row>
    <row r="18" spans="1:11" x14ac:dyDescent="0.25">
      <c r="A18" t="s">
        <v>27</v>
      </c>
      <c r="B18" t="s">
        <v>28</v>
      </c>
      <c r="C18" t="s">
        <v>72</v>
      </c>
      <c r="D18">
        <v>2030</v>
      </c>
      <c r="E18" t="s">
        <v>119</v>
      </c>
      <c r="F18" t="s">
        <v>108</v>
      </c>
      <c r="G18" t="s">
        <v>52</v>
      </c>
      <c r="H18">
        <v>95709.195948732828</v>
      </c>
      <c r="I18">
        <v>421120.46217442444</v>
      </c>
      <c r="J18">
        <v>223614.96541461936</v>
      </c>
      <c r="K18">
        <v>223614.96541461936</v>
      </c>
    </row>
    <row r="19" spans="1:11" x14ac:dyDescent="0.25">
      <c r="A19" t="s">
        <v>27</v>
      </c>
      <c r="B19" t="s">
        <v>28</v>
      </c>
      <c r="C19" t="s">
        <v>53</v>
      </c>
      <c r="D19">
        <v>2030</v>
      </c>
      <c r="E19" t="s">
        <v>119</v>
      </c>
      <c r="F19" t="s">
        <v>108</v>
      </c>
      <c r="G19" t="s">
        <v>53</v>
      </c>
      <c r="H19">
        <v>182487.33467255518</v>
      </c>
      <c r="I19">
        <v>9055021.5464521889</v>
      </c>
      <c r="J19">
        <v>0</v>
      </c>
      <c r="K19">
        <v>9055021.5464521889</v>
      </c>
    </row>
    <row r="20" spans="1:11" x14ac:dyDescent="0.25">
      <c r="A20" t="s">
        <v>27</v>
      </c>
      <c r="B20" t="s">
        <v>28</v>
      </c>
      <c r="C20" t="s">
        <v>30</v>
      </c>
      <c r="D20">
        <v>2030</v>
      </c>
      <c r="E20" t="s">
        <v>119</v>
      </c>
      <c r="F20" t="s">
        <v>108</v>
      </c>
      <c r="G20" t="s">
        <v>30</v>
      </c>
      <c r="H20">
        <v>7061.8448324272804</v>
      </c>
      <c r="I20">
        <v>146533.28027286608</v>
      </c>
      <c r="J20">
        <v>0</v>
      </c>
      <c r="K20">
        <v>146533.28027286608</v>
      </c>
    </row>
    <row r="21" spans="1:11" x14ac:dyDescent="0.25">
      <c r="A21" t="s">
        <v>27</v>
      </c>
      <c r="B21" t="s">
        <v>28</v>
      </c>
      <c r="C21" t="s">
        <v>31</v>
      </c>
      <c r="D21">
        <v>2030</v>
      </c>
      <c r="E21" t="s">
        <v>119</v>
      </c>
      <c r="F21" t="s">
        <v>108</v>
      </c>
      <c r="G21" t="s">
        <v>31</v>
      </c>
      <c r="H21">
        <v>42068.306279606026</v>
      </c>
      <c r="I21">
        <v>1786678.8069121563</v>
      </c>
      <c r="J21">
        <v>0</v>
      </c>
      <c r="K21">
        <v>1786678.8069121563</v>
      </c>
    </row>
    <row r="22" spans="1:11" x14ac:dyDescent="0.25">
      <c r="A22" t="s">
        <v>27</v>
      </c>
      <c r="B22" t="s">
        <v>28</v>
      </c>
      <c r="C22" t="s">
        <v>55</v>
      </c>
      <c r="D22">
        <v>2030</v>
      </c>
      <c r="E22" t="s">
        <v>119</v>
      </c>
      <c r="F22" t="s">
        <v>108</v>
      </c>
      <c r="G22" t="s">
        <v>55</v>
      </c>
      <c r="H22">
        <v>4106.7435277270333</v>
      </c>
      <c r="I22">
        <v>333688.23529770103</v>
      </c>
      <c r="J22">
        <v>0</v>
      </c>
      <c r="K22">
        <v>333688.23529770103</v>
      </c>
    </row>
    <row r="23" spans="1:11" x14ac:dyDescent="0.25">
      <c r="A23" t="s">
        <v>27</v>
      </c>
      <c r="B23" t="s">
        <v>28</v>
      </c>
      <c r="C23" t="s">
        <v>54</v>
      </c>
      <c r="D23">
        <v>2030</v>
      </c>
      <c r="E23" t="s">
        <v>119</v>
      </c>
      <c r="F23" t="s">
        <v>108</v>
      </c>
      <c r="G23" t="s">
        <v>54</v>
      </c>
      <c r="H23">
        <v>140633.81165134837</v>
      </c>
      <c r="I23">
        <v>6259610.9566015163</v>
      </c>
      <c r="J23">
        <v>0</v>
      </c>
      <c r="K23">
        <v>6259610.9566015163</v>
      </c>
    </row>
    <row r="24" spans="1:11" x14ac:dyDescent="0.25">
      <c r="A24" t="s">
        <v>27</v>
      </c>
      <c r="B24" t="s">
        <v>28</v>
      </c>
      <c r="C24" t="s">
        <v>41</v>
      </c>
      <c r="D24">
        <v>2030</v>
      </c>
      <c r="E24" t="s">
        <v>119</v>
      </c>
      <c r="F24" t="s">
        <v>108</v>
      </c>
      <c r="G24" t="s">
        <v>41</v>
      </c>
      <c r="H24">
        <v>2584.1851351493174</v>
      </c>
      <c r="I24">
        <v>21939.731797417709</v>
      </c>
      <c r="J24">
        <v>0</v>
      </c>
      <c r="K24">
        <v>21939.731797417709</v>
      </c>
    </row>
    <row r="25" spans="1:11" x14ac:dyDescent="0.25">
      <c r="A25" t="s">
        <v>27</v>
      </c>
      <c r="B25" t="s">
        <v>28</v>
      </c>
      <c r="C25" t="s">
        <v>80</v>
      </c>
      <c r="D25">
        <v>2030</v>
      </c>
      <c r="E25" t="s">
        <v>119</v>
      </c>
      <c r="F25" t="s">
        <v>108</v>
      </c>
      <c r="G25" t="s">
        <v>80</v>
      </c>
      <c r="H25">
        <v>45703.64348304407</v>
      </c>
      <c r="I25">
        <v>1361783.1793390682</v>
      </c>
      <c r="J25">
        <v>0</v>
      </c>
      <c r="K25">
        <v>1361783.1793390682</v>
      </c>
    </row>
    <row r="26" spans="1:11" x14ac:dyDescent="0.25">
      <c r="A26" t="s">
        <v>27</v>
      </c>
      <c r="B26" t="s">
        <v>28</v>
      </c>
      <c r="C26" t="s">
        <v>75</v>
      </c>
      <c r="D26">
        <v>2030</v>
      </c>
      <c r="E26" t="s">
        <v>119</v>
      </c>
      <c r="F26" t="s">
        <v>108</v>
      </c>
      <c r="G26" t="s">
        <v>52</v>
      </c>
      <c r="H26">
        <v>48076.213415858583</v>
      </c>
      <c r="I26">
        <v>686954.31934290484</v>
      </c>
      <c r="J26">
        <v>113459.86366142624</v>
      </c>
      <c r="K26">
        <v>113459.86366142624</v>
      </c>
    </row>
    <row r="27" spans="1:11" x14ac:dyDescent="0.25">
      <c r="A27" t="s">
        <v>27</v>
      </c>
      <c r="B27" t="s">
        <v>28</v>
      </c>
      <c r="C27" t="s">
        <v>78</v>
      </c>
      <c r="D27">
        <v>2030</v>
      </c>
      <c r="E27" t="s">
        <v>119</v>
      </c>
      <c r="F27" t="s">
        <v>108</v>
      </c>
      <c r="G27" t="s">
        <v>78</v>
      </c>
      <c r="H27">
        <v>12961.094356603833</v>
      </c>
      <c r="I27">
        <v>648054.71783019172</v>
      </c>
      <c r="J27">
        <v>0</v>
      </c>
      <c r="K27">
        <v>648054.71783019172</v>
      </c>
    </row>
    <row r="28" spans="1:11" x14ac:dyDescent="0.25">
      <c r="A28" t="s">
        <v>27</v>
      </c>
      <c r="B28" t="s">
        <v>28</v>
      </c>
      <c r="C28" t="s">
        <v>65</v>
      </c>
      <c r="D28">
        <v>2030</v>
      </c>
      <c r="E28" t="s">
        <v>119</v>
      </c>
      <c r="F28" t="s">
        <v>108</v>
      </c>
      <c r="G28" t="s">
        <v>65</v>
      </c>
      <c r="H28">
        <v>4767.5063594242874</v>
      </c>
      <c r="I28">
        <v>116280.6429127875</v>
      </c>
      <c r="J28">
        <v>0</v>
      </c>
      <c r="K28">
        <v>116280.6429127875</v>
      </c>
    </row>
    <row r="29" spans="1:11" x14ac:dyDescent="0.25">
      <c r="A29" t="s">
        <v>27</v>
      </c>
      <c r="B29" t="s">
        <v>28</v>
      </c>
      <c r="C29" t="s">
        <v>120</v>
      </c>
      <c r="D29">
        <v>2030</v>
      </c>
      <c r="E29" t="s">
        <v>119</v>
      </c>
      <c r="F29" t="s">
        <v>108</v>
      </c>
      <c r="G29" t="s">
        <v>53</v>
      </c>
      <c r="H29">
        <v>114913.74153834289</v>
      </c>
      <c r="I29">
        <v>1584660.4958137486</v>
      </c>
      <c r="J29">
        <v>0</v>
      </c>
      <c r="K29">
        <v>1584660.4958137486</v>
      </c>
    </row>
    <row r="30" spans="1:11" x14ac:dyDescent="0.25">
      <c r="A30" t="s">
        <v>27</v>
      </c>
      <c r="B30" t="s">
        <v>28</v>
      </c>
      <c r="C30" t="s">
        <v>29</v>
      </c>
      <c r="D30">
        <v>2050</v>
      </c>
      <c r="E30" t="s">
        <v>119</v>
      </c>
      <c r="F30" t="s">
        <v>108</v>
      </c>
      <c r="G30" t="s">
        <v>52</v>
      </c>
      <c r="H30">
        <v>770919.64193441265</v>
      </c>
      <c r="I30">
        <v>5404146.6899602329</v>
      </c>
      <c r="J30">
        <v>1753645.6008920954</v>
      </c>
      <c r="K30">
        <v>1753645.6008920954</v>
      </c>
    </row>
    <row r="31" spans="1:11" x14ac:dyDescent="0.25">
      <c r="A31" t="s">
        <v>27</v>
      </c>
      <c r="B31" t="s">
        <v>28</v>
      </c>
      <c r="C31" t="s">
        <v>34</v>
      </c>
      <c r="D31">
        <v>2050</v>
      </c>
      <c r="E31" t="s">
        <v>119</v>
      </c>
      <c r="F31" t="s">
        <v>108</v>
      </c>
      <c r="G31" t="s">
        <v>52</v>
      </c>
      <c r="H31">
        <v>53264.00623351871</v>
      </c>
      <c r="I31">
        <v>205599.06406138223</v>
      </c>
      <c r="J31">
        <v>60683.14966178553</v>
      </c>
      <c r="K31">
        <v>60683.14966178553</v>
      </c>
    </row>
    <row r="32" spans="1:11" x14ac:dyDescent="0.25">
      <c r="A32" t="s">
        <v>27</v>
      </c>
      <c r="B32" t="s">
        <v>28</v>
      </c>
      <c r="C32" t="s">
        <v>72</v>
      </c>
      <c r="D32">
        <v>2050</v>
      </c>
      <c r="E32" t="s">
        <v>119</v>
      </c>
      <c r="F32" t="s">
        <v>108</v>
      </c>
      <c r="G32" t="s">
        <v>52</v>
      </c>
      <c r="H32">
        <v>89570.944550794622</v>
      </c>
      <c r="I32">
        <v>394112.15602349635</v>
      </c>
      <c r="J32">
        <v>209273.55484847655</v>
      </c>
      <c r="K32">
        <v>209273.55484847655</v>
      </c>
    </row>
    <row r="33" spans="1:11" x14ac:dyDescent="0.25">
      <c r="A33" t="s">
        <v>27</v>
      </c>
      <c r="B33" t="s">
        <v>28</v>
      </c>
      <c r="C33" t="s">
        <v>53</v>
      </c>
      <c r="D33">
        <v>2050</v>
      </c>
      <c r="E33" t="s">
        <v>119</v>
      </c>
      <c r="F33" t="s">
        <v>108</v>
      </c>
      <c r="G33" t="s">
        <v>53</v>
      </c>
      <c r="H33">
        <v>170783.61983035918</v>
      </c>
      <c r="I33">
        <v>8474283.2159824222</v>
      </c>
      <c r="J33">
        <v>0</v>
      </c>
      <c r="K33">
        <v>8474283.2159824222</v>
      </c>
    </row>
    <row r="34" spans="1:11" x14ac:dyDescent="0.25">
      <c r="A34" t="s">
        <v>27</v>
      </c>
      <c r="B34" t="s">
        <v>28</v>
      </c>
      <c r="C34" t="s">
        <v>30</v>
      </c>
      <c r="D34">
        <v>2050</v>
      </c>
      <c r="E34" t="s">
        <v>119</v>
      </c>
      <c r="F34" t="s">
        <v>108</v>
      </c>
      <c r="G34" t="s">
        <v>30</v>
      </c>
      <c r="H34">
        <v>6608.9376850525514</v>
      </c>
      <c r="I34">
        <v>137135.45696484044</v>
      </c>
      <c r="J34">
        <v>0</v>
      </c>
      <c r="K34">
        <v>137135.45696484044</v>
      </c>
    </row>
    <row r="35" spans="1:11" x14ac:dyDescent="0.25">
      <c r="A35" t="s">
        <v>27</v>
      </c>
      <c r="B35" t="s">
        <v>28</v>
      </c>
      <c r="C35" t="s">
        <v>31</v>
      </c>
      <c r="D35">
        <v>2050</v>
      </c>
      <c r="E35" t="s">
        <v>119</v>
      </c>
      <c r="F35" t="s">
        <v>108</v>
      </c>
      <c r="G35" t="s">
        <v>31</v>
      </c>
      <c r="H35">
        <v>39370.280898972756</v>
      </c>
      <c r="I35">
        <v>1672091.2422013455</v>
      </c>
      <c r="J35">
        <v>0</v>
      </c>
      <c r="K35">
        <v>1672091.2422013455</v>
      </c>
    </row>
    <row r="36" spans="1:11" x14ac:dyDescent="0.25">
      <c r="A36" t="s">
        <v>27</v>
      </c>
      <c r="B36" t="s">
        <v>28</v>
      </c>
      <c r="C36" t="s">
        <v>55</v>
      </c>
      <c r="D36">
        <v>2050</v>
      </c>
      <c r="E36" t="s">
        <v>119</v>
      </c>
      <c r="F36" t="s">
        <v>108</v>
      </c>
      <c r="G36" t="s">
        <v>55</v>
      </c>
      <c r="H36">
        <v>3843.3600153052266</v>
      </c>
      <c r="I36">
        <v>312287.34213912912</v>
      </c>
      <c r="J36">
        <v>0</v>
      </c>
      <c r="K36">
        <v>312287.34213912912</v>
      </c>
    </row>
    <row r="37" spans="1:11" x14ac:dyDescent="0.25">
      <c r="A37" t="s">
        <v>27</v>
      </c>
      <c r="B37" t="s">
        <v>28</v>
      </c>
      <c r="C37" t="s">
        <v>54</v>
      </c>
      <c r="D37">
        <v>2050</v>
      </c>
      <c r="E37" t="s">
        <v>119</v>
      </c>
      <c r="F37" t="s">
        <v>108</v>
      </c>
      <c r="G37" t="s">
        <v>54</v>
      </c>
      <c r="H37">
        <v>131614.34719540758</v>
      </c>
      <c r="I37">
        <v>5858154.5936675919</v>
      </c>
      <c r="J37">
        <v>0</v>
      </c>
      <c r="K37">
        <v>5858154.5936675919</v>
      </c>
    </row>
    <row r="38" spans="1:11" x14ac:dyDescent="0.25">
      <c r="A38" t="s">
        <v>27</v>
      </c>
      <c r="B38" t="s">
        <v>28</v>
      </c>
      <c r="C38" t="s">
        <v>41</v>
      </c>
      <c r="D38">
        <v>2050</v>
      </c>
      <c r="E38" t="s">
        <v>119</v>
      </c>
      <c r="F38" t="s">
        <v>108</v>
      </c>
      <c r="G38" t="s">
        <v>41</v>
      </c>
      <c r="H38">
        <v>2418.4499844031116</v>
      </c>
      <c r="I38">
        <v>20532.640367582419</v>
      </c>
      <c r="J38">
        <v>0</v>
      </c>
      <c r="K38">
        <v>20532.640367582419</v>
      </c>
    </row>
    <row r="39" spans="1:11" x14ac:dyDescent="0.25">
      <c r="A39" t="s">
        <v>27</v>
      </c>
      <c r="B39" t="s">
        <v>28</v>
      </c>
      <c r="C39" t="s">
        <v>80</v>
      </c>
      <c r="D39">
        <v>2050</v>
      </c>
      <c r="E39" t="s">
        <v>119</v>
      </c>
      <c r="F39" t="s">
        <v>108</v>
      </c>
      <c r="G39" t="s">
        <v>80</v>
      </c>
      <c r="H39">
        <v>42772.467949494108</v>
      </c>
      <c r="I39">
        <v>1274446.0387288358</v>
      </c>
      <c r="J39">
        <v>0</v>
      </c>
      <c r="K39">
        <v>1274446.0387288358</v>
      </c>
    </row>
    <row r="40" spans="1:11" x14ac:dyDescent="0.25">
      <c r="A40" t="s">
        <v>27</v>
      </c>
      <c r="B40" t="s">
        <v>28</v>
      </c>
      <c r="C40" t="s">
        <v>75</v>
      </c>
      <c r="D40">
        <v>2050</v>
      </c>
      <c r="E40" t="s">
        <v>119</v>
      </c>
      <c r="F40" t="s">
        <v>108</v>
      </c>
      <c r="G40" t="s">
        <v>52</v>
      </c>
      <c r="H40">
        <v>44992.874544580809</v>
      </c>
      <c r="I40">
        <v>642896.91953688243</v>
      </c>
      <c r="J40">
        <v>106183.18392521072</v>
      </c>
      <c r="K40">
        <v>106183.18392521072</v>
      </c>
    </row>
    <row r="41" spans="1:11" x14ac:dyDescent="0.25">
      <c r="A41" t="s">
        <v>27</v>
      </c>
      <c r="B41" t="s">
        <v>28</v>
      </c>
      <c r="C41" t="s">
        <v>78</v>
      </c>
      <c r="D41">
        <v>2050</v>
      </c>
      <c r="E41" t="s">
        <v>119</v>
      </c>
      <c r="F41" t="s">
        <v>108</v>
      </c>
      <c r="G41" t="s">
        <v>78</v>
      </c>
      <c r="H41">
        <v>12129.842408819752</v>
      </c>
      <c r="I41">
        <v>606492.12044098764</v>
      </c>
      <c r="J41">
        <v>0</v>
      </c>
      <c r="K41">
        <v>606492.12044098764</v>
      </c>
    </row>
    <row r="42" spans="1:11" x14ac:dyDescent="0.25">
      <c r="A42" t="s">
        <v>27</v>
      </c>
      <c r="B42" t="s">
        <v>28</v>
      </c>
      <c r="C42" t="s">
        <v>65</v>
      </c>
      <c r="D42">
        <v>2050</v>
      </c>
      <c r="E42" t="s">
        <v>119</v>
      </c>
      <c r="F42" t="s">
        <v>108</v>
      </c>
      <c r="G42" t="s">
        <v>65</v>
      </c>
      <c r="H42">
        <v>4461.7452224161889</v>
      </c>
      <c r="I42">
        <v>108823.05420527291</v>
      </c>
      <c r="J42">
        <v>0</v>
      </c>
      <c r="K42">
        <v>108823.05420527291</v>
      </c>
    </row>
    <row r="43" spans="1:11" x14ac:dyDescent="0.25">
      <c r="A43" t="s">
        <v>27</v>
      </c>
      <c r="B43" t="s">
        <v>28</v>
      </c>
      <c r="C43" t="s">
        <v>120</v>
      </c>
      <c r="D43">
        <v>2050</v>
      </c>
      <c r="E43" t="s">
        <v>119</v>
      </c>
      <c r="F43" t="s">
        <v>108</v>
      </c>
      <c r="G43" t="s">
        <v>53</v>
      </c>
      <c r="H43">
        <v>107543.81822378619</v>
      </c>
      <c r="I43">
        <v>1483029.2533060117</v>
      </c>
      <c r="J43">
        <v>0</v>
      </c>
      <c r="K43">
        <v>1483029.2533060117</v>
      </c>
    </row>
    <row r="44" spans="1:11" x14ac:dyDescent="0.25">
      <c r="A44" t="s">
        <v>27</v>
      </c>
      <c r="B44" t="s">
        <v>28</v>
      </c>
      <c r="C44" t="s">
        <v>29</v>
      </c>
      <c r="D44">
        <v>2019</v>
      </c>
      <c r="E44" t="s">
        <v>121</v>
      </c>
      <c r="F44" t="s">
        <v>108</v>
      </c>
      <c r="G44" t="s">
        <v>52</v>
      </c>
      <c r="H44">
        <v>109074.05508995618</v>
      </c>
      <c r="I44">
        <v>512288.11454099719</v>
      </c>
      <c r="J44">
        <v>167209.55986589516</v>
      </c>
      <c r="K44">
        <v>167209.55986589516</v>
      </c>
    </row>
    <row r="45" spans="1:11" x14ac:dyDescent="0.25">
      <c r="A45" t="s">
        <v>27</v>
      </c>
      <c r="B45" t="s">
        <v>28</v>
      </c>
      <c r="C45" t="s">
        <v>34</v>
      </c>
      <c r="D45">
        <v>2019</v>
      </c>
      <c r="E45" t="s">
        <v>121</v>
      </c>
      <c r="F45" t="s">
        <v>108</v>
      </c>
      <c r="G45" t="s">
        <v>52</v>
      </c>
      <c r="H45">
        <v>7536.0917457605292</v>
      </c>
      <c r="I45">
        <v>16580.909059022317</v>
      </c>
      <c r="J45">
        <v>4922.5194479169131</v>
      </c>
      <c r="K45">
        <v>4922.5194479169131</v>
      </c>
    </row>
    <row r="46" spans="1:11" x14ac:dyDescent="0.25">
      <c r="A46" t="s">
        <v>27</v>
      </c>
      <c r="B46" t="s">
        <v>28</v>
      </c>
      <c r="C46" t="s">
        <v>72</v>
      </c>
      <c r="D46">
        <v>2019</v>
      </c>
      <c r="E46" t="s">
        <v>121</v>
      </c>
      <c r="F46" t="s">
        <v>108</v>
      </c>
      <c r="G46" t="s">
        <v>52</v>
      </c>
      <c r="H46">
        <v>12673.001969281737</v>
      </c>
      <c r="I46">
        <v>30668.664765661812</v>
      </c>
      <c r="J46">
        <v>16380.287194663799</v>
      </c>
      <c r="K46">
        <v>16380.287194663799</v>
      </c>
    </row>
    <row r="47" spans="1:11" x14ac:dyDescent="0.25">
      <c r="A47" t="s">
        <v>27</v>
      </c>
      <c r="B47" t="s">
        <v>28</v>
      </c>
      <c r="C47" t="s">
        <v>53</v>
      </c>
      <c r="D47">
        <v>2019</v>
      </c>
      <c r="E47" t="s">
        <v>121</v>
      </c>
      <c r="F47" t="s">
        <v>108</v>
      </c>
      <c r="G47" t="s">
        <v>53</v>
      </c>
      <c r="H47">
        <v>24163.428903039348</v>
      </c>
      <c r="I47">
        <v>935211.68689167371</v>
      </c>
      <c r="J47">
        <v>0</v>
      </c>
      <c r="K47">
        <v>935211.68689167371</v>
      </c>
    </row>
    <row r="48" spans="1:11" x14ac:dyDescent="0.25">
      <c r="A48" t="s">
        <v>27</v>
      </c>
      <c r="B48" t="s">
        <v>28</v>
      </c>
      <c r="C48" t="s">
        <v>30</v>
      </c>
      <c r="D48">
        <v>2019</v>
      </c>
      <c r="E48" t="s">
        <v>121</v>
      </c>
      <c r="F48" t="s">
        <v>108</v>
      </c>
      <c r="G48" t="s">
        <v>30</v>
      </c>
      <c r="H48">
        <v>935.06974518991217</v>
      </c>
      <c r="I48">
        <v>11059.537411233687</v>
      </c>
      <c r="J48">
        <v>0</v>
      </c>
      <c r="K48">
        <v>11059.537411233687</v>
      </c>
    </row>
    <row r="49" spans="1:11" x14ac:dyDescent="0.25">
      <c r="A49" t="s">
        <v>27</v>
      </c>
      <c r="B49" t="s">
        <v>28</v>
      </c>
      <c r="C49" t="s">
        <v>31</v>
      </c>
      <c r="D49">
        <v>2019</v>
      </c>
      <c r="E49" t="s">
        <v>121</v>
      </c>
      <c r="F49" t="s">
        <v>108</v>
      </c>
      <c r="G49" t="s">
        <v>31</v>
      </c>
      <c r="H49">
        <v>5570.3291939822529</v>
      </c>
      <c r="I49">
        <v>134848.82799393893</v>
      </c>
      <c r="J49">
        <v>0</v>
      </c>
      <c r="K49">
        <v>134848.82799393893</v>
      </c>
    </row>
    <row r="50" spans="1:11" x14ac:dyDescent="0.25">
      <c r="A50" t="s">
        <v>27</v>
      </c>
      <c r="B50" t="s">
        <v>28</v>
      </c>
      <c r="C50" t="s">
        <v>55</v>
      </c>
      <c r="D50">
        <v>2019</v>
      </c>
      <c r="E50" t="s">
        <v>121</v>
      </c>
      <c r="F50" t="s">
        <v>108</v>
      </c>
      <c r="G50" t="s">
        <v>55</v>
      </c>
      <c r="H50">
        <v>543.78023238328944</v>
      </c>
      <c r="I50">
        <v>25184.978559760264</v>
      </c>
      <c r="J50">
        <v>0</v>
      </c>
      <c r="K50">
        <v>25184.978559760264</v>
      </c>
    </row>
    <row r="51" spans="1:11" x14ac:dyDescent="0.25">
      <c r="A51" t="s">
        <v>27</v>
      </c>
      <c r="B51" t="s">
        <v>28</v>
      </c>
      <c r="C51" t="s">
        <v>54</v>
      </c>
      <c r="D51">
        <v>2019</v>
      </c>
      <c r="E51" t="s">
        <v>121</v>
      </c>
      <c r="F51" t="s">
        <v>108</v>
      </c>
      <c r="G51" t="s">
        <v>54</v>
      </c>
      <c r="H51">
        <v>18621.539490936779</v>
      </c>
      <c r="I51">
        <v>687941.11987552466</v>
      </c>
      <c r="J51">
        <v>0</v>
      </c>
      <c r="K51">
        <v>687941.11987552466</v>
      </c>
    </row>
    <row r="52" spans="1:11" x14ac:dyDescent="0.25">
      <c r="A52" t="s">
        <v>27</v>
      </c>
      <c r="B52" t="s">
        <v>28</v>
      </c>
      <c r="C52" t="s">
        <v>41</v>
      </c>
      <c r="D52">
        <v>2019</v>
      </c>
      <c r="E52" t="s">
        <v>121</v>
      </c>
      <c r="F52" t="s">
        <v>108</v>
      </c>
      <c r="G52" t="s">
        <v>41</v>
      </c>
      <c r="H52">
        <v>342.17593181200988</v>
      </c>
      <c r="I52">
        <v>1655.8919868178593</v>
      </c>
      <c r="J52">
        <v>0</v>
      </c>
      <c r="K52">
        <v>1655.8919868178593</v>
      </c>
    </row>
    <row r="53" spans="1:11" x14ac:dyDescent="0.25">
      <c r="A53" t="s">
        <v>27</v>
      </c>
      <c r="B53" t="s">
        <v>28</v>
      </c>
      <c r="C53" t="s">
        <v>80</v>
      </c>
      <c r="D53">
        <v>2019</v>
      </c>
      <c r="E53" t="s">
        <v>121</v>
      </c>
      <c r="F53" t="s">
        <v>108</v>
      </c>
      <c r="G53" t="s">
        <v>80</v>
      </c>
      <c r="H53">
        <v>6051.6897892885954</v>
      </c>
      <c r="I53">
        <v>102780.0100417052</v>
      </c>
      <c r="J53">
        <v>0</v>
      </c>
      <c r="K53">
        <v>102780.0100417052</v>
      </c>
    </row>
    <row r="54" spans="1:11" x14ac:dyDescent="0.25">
      <c r="A54" t="s">
        <v>27</v>
      </c>
      <c r="B54" t="s">
        <v>28</v>
      </c>
      <c r="C54" t="s">
        <v>75</v>
      </c>
      <c r="D54">
        <v>2019</v>
      </c>
      <c r="E54" t="s">
        <v>121</v>
      </c>
      <c r="F54" t="s">
        <v>108</v>
      </c>
      <c r="G54" t="s">
        <v>52</v>
      </c>
      <c r="H54">
        <v>6365.8454264012817</v>
      </c>
      <c r="I54">
        <v>51847.586981155291</v>
      </c>
      <c r="J54">
        <v>8613.4090077190758</v>
      </c>
      <c r="K54">
        <v>8613.4090077190758</v>
      </c>
    </row>
    <row r="55" spans="1:11" x14ac:dyDescent="0.25">
      <c r="A55" t="s">
        <v>27</v>
      </c>
      <c r="B55" t="s">
        <v>28</v>
      </c>
      <c r="C55" t="s">
        <v>78</v>
      </c>
      <c r="D55">
        <v>2019</v>
      </c>
      <c r="E55" t="s">
        <v>121</v>
      </c>
      <c r="F55" t="s">
        <v>108</v>
      </c>
      <c r="G55" t="s">
        <v>78</v>
      </c>
      <c r="H55">
        <v>1716.1984559275936</v>
      </c>
      <c r="I55">
        <v>48911.655993936416</v>
      </c>
      <c r="J55">
        <v>0</v>
      </c>
      <c r="K55">
        <v>48911.655993936416</v>
      </c>
    </row>
    <row r="56" spans="1:11" x14ac:dyDescent="0.25">
      <c r="A56" t="s">
        <v>27</v>
      </c>
      <c r="B56" t="s">
        <v>28</v>
      </c>
      <c r="C56" t="s">
        <v>65</v>
      </c>
      <c r="D56">
        <v>2019</v>
      </c>
      <c r="E56" t="s">
        <v>121</v>
      </c>
      <c r="F56" t="s">
        <v>108</v>
      </c>
      <c r="G56" t="s">
        <v>65</v>
      </c>
      <c r="H56">
        <v>631.27285609954106</v>
      </c>
      <c r="I56">
        <v>8776.2323896765465</v>
      </c>
      <c r="J56">
        <v>0</v>
      </c>
      <c r="K56">
        <v>8776.2323896765465</v>
      </c>
    </row>
    <row r="57" spans="1:11" x14ac:dyDescent="0.25">
      <c r="A57" t="s">
        <v>27</v>
      </c>
      <c r="B57" t="s">
        <v>28</v>
      </c>
      <c r="C57" t="s">
        <v>120</v>
      </c>
      <c r="D57">
        <v>2019</v>
      </c>
      <c r="E57" t="s">
        <v>121</v>
      </c>
      <c r="F57" t="s">
        <v>108</v>
      </c>
      <c r="G57" t="s">
        <v>53</v>
      </c>
      <c r="H57">
        <v>15215.905414073572</v>
      </c>
      <c r="I57">
        <v>209827.33566007458</v>
      </c>
      <c r="J57">
        <v>0</v>
      </c>
      <c r="K57">
        <v>209827.33566007458</v>
      </c>
    </row>
    <row r="58" spans="1:11" x14ac:dyDescent="0.25">
      <c r="A58" t="s">
        <v>27</v>
      </c>
      <c r="B58" t="s">
        <v>28</v>
      </c>
      <c r="C58" t="s">
        <v>29</v>
      </c>
      <c r="D58">
        <v>2030</v>
      </c>
      <c r="E58" t="s">
        <v>121</v>
      </c>
      <c r="F58" t="s">
        <v>108</v>
      </c>
      <c r="G58" t="s">
        <v>52</v>
      </c>
      <c r="H58">
        <v>128562.19709369613</v>
      </c>
      <c r="I58">
        <v>603818.07108996273</v>
      </c>
      <c r="J58">
        <v>195938.96406869288</v>
      </c>
      <c r="K58">
        <v>195938.96406869288</v>
      </c>
    </row>
    <row r="59" spans="1:11" x14ac:dyDescent="0.25">
      <c r="A59" t="s">
        <v>27</v>
      </c>
      <c r="B59" t="s">
        <v>28</v>
      </c>
      <c r="C59" t="s">
        <v>34</v>
      </c>
      <c r="D59">
        <v>2030</v>
      </c>
      <c r="E59" t="s">
        <v>121</v>
      </c>
      <c r="F59" t="s">
        <v>108</v>
      </c>
      <c r="G59" t="s">
        <v>52</v>
      </c>
      <c r="H59">
        <v>8882.5570071232869</v>
      </c>
      <c r="I59">
        <v>19543.401927072653</v>
      </c>
      <c r="J59">
        <v>5768.2907724079287</v>
      </c>
      <c r="K59">
        <v>5768.2907724079287</v>
      </c>
    </row>
    <row r="60" spans="1:11" x14ac:dyDescent="0.25">
      <c r="A60" t="s">
        <v>27</v>
      </c>
      <c r="B60" t="s">
        <v>28</v>
      </c>
      <c r="C60" t="s">
        <v>72</v>
      </c>
      <c r="D60">
        <v>2030</v>
      </c>
      <c r="E60" t="s">
        <v>121</v>
      </c>
      <c r="F60" t="s">
        <v>108</v>
      </c>
      <c r="G60" t="s">
        <v>52</v>
      </c>
      <c r="H60">
        <v>14937.273356160618</v>
      </c>
      <c r="I60">
        <v>36148.201521908697</v>
      </c>
      <c r="J60">
        <v>19194.69500813352</v>
      </c>
      <c r="K60">
        <v>19194.69500813352</v>
      </c>
    </row>
    <row r="61" spans="1:11" x14ac:dyDescent="0.25">
      <c r="A61" t="s">
        <v>27</v>
      </c>
      <c r="B61" t="s">
        <v>28</v>
      </c>
      <c r="C61" t="s">
        <v>53</v>
      </c>
      <c r="D61">
        <v>2030</v>
      </c>
      <c r="E61" t="s">
        <v>121</v>
      </c>
      <c r="F61" t="s">
        <v>108</v>
      </c>
      <c r="G61" t="s">
        <v>53</v>
      </c>
      <c r="H61">
        <v>28480.682289936361</v>
      </c>
      <c r="I61">
        <v>1102304.9350767811</v>
      </c>
      <c r="J61">
        <v>0</v>
      </c>
      <c r="K61">
        <v>1102304.9350767811</v>
      </c>
    </row>
    <row r="62" spans="1:11" x14ac:dyDescent="0.25">
      <c r="A62" t="s">
        <v>27</v>
      </c>
      <c r="B62" t="s">
        <v>28</v>
      </c>
      <c r="C62" t="s">
        <v>30</v>
      </c>
      <c r="D62">
        <v>2030</v>
      </c>
      <c r="E62" t="s">
        <v>121</v>
      </c>
      <c r="F62" t="s">
        <v>108</v>
      </c>
      <c r="G62" t="s">
        <v>30</v>
      </c>
      <c r="H62">
        <v>1102.1376328065699</v>
      </c>
      <c r="I62">
        <v>13035.532852019704</v>
      </c>
      <c r="J62">
        <v>0</v>
      </c>
      <c r="K62">
        <v>13035.532852019704</v>
      </c>
    </row>
    <row r="63" spans="1:11" x14ac:dyDescent="0.25">
      <c r="A63" t="s">
        <v>27</v>
      </c>
      <c r="B63" t="s">
        <v>28</v>
      </c>
      <c r="C63" t="s">
        <v>31</v>
      </c>
      <c r="D63">
        <v>2030</v>
      </c>
      <c r="E63" t="s">
        <v>121</v>
      </c>
      <c r="F63" t="s">
        <v>108</v>
      </c>
      <c r="G63" t="s">
        <v>31</v>
      </c>
      <c r="H63">
        <v>6565.5738124240625</v>
      </c>
      <c r="I63">
        <v>158942.12045305254</v>
      </c>
      <c r="J63">
        <v>0</v>
      </c>
      <c r="K63">
        <v>158942.12045305254</v>
      </c>
    </row>
    <row r="64" spans="1:11" x14ac:dyDescent="0.25">
      <c r="A64" t="s">
        <v>27</v>
      </c>
      <c r="B64" t="s">
        <v>28</v>
      </c>
      <c r="C64" t="s">
        <v>55</v>
      </c>
      <c r="D64">
        <v>2030</v>
      </c>
      <c r="E64" t="s">
        <v>121</v>
      </c>
      <c r="F64" t="s">
        <v>108</v>
      </c>
      <c r="G64" t="s">
        <v>55</v>
      </c>
      <c r="H64">
        <v>640.93685114814969</v>
      </c>
      <c r="I64">
        <v>29684.751105385072</v>
      </c>
      <c r="J64">
        <v>0</v>
      </c>
      <c r="K64">
        <v>29684.751105385072</v>
      </c>
    </row>
    <row r="65" spans="1:11" x14ac:dyDescent="0.25">
      <c r="A65" t="s">
        <v>27</v>
      </c>
      <c r="B65" t="s">
        <v>28</v>
      </c>
      <c r="C65" t="s">
        <v>54</v>
      </c>
      <c r="D65">
        <v>2030</v>
      </c>
      <c r="E65" t="s">
        <v>121</v>
      </c>
      <c r="F65" t="s">
        <v>108</v>
      </c>
      <c r="G65" t="s">
        <v>54</v>
      </c>
      <c r="H65">
        <v>21948.629564083272</v>
      </c>
      <c r="I65">
        <v>810854.80657479749</v>
      </c>
      <c r="J65">
        <v>0</v>
      </c>
      <c r="K65">
        <v>810854.80657479749</v>
      </c>
    </row>
    <row r="66" spans="1:11" x14ac:dyDescent="0.25">
      <c r="A66" t="s">
        <v>27</v>
      </c>
      <c r="B66" t="s">
        <v>28</v>
      </c>
      <c r="C66" t="s">
        <v>41</v>
      </c>
      <c r="D66">
        <v>2030</v>
      </c>
      <c r="E66" t="s">
        <v>121</v>
      </c>
      <c r="F66" t="s">
        <v>108</v>
      </c>
      <c r="G66" t="s">
        <v>41</v>
      </c>
      <c r="H66">
        <v>403.3121309192577</v>
      </c>
      <c r="I66">
        <v>1951.7483951575637</v>
      </c>
      <c r="J66">
        <v>0</v>
      </c>
      <c r="K66">
        <v>1951.7483951575637</v>
      </c>
    </row>
    <row r="67" spans="1:11" x14ac:dyDescent="0.25">
      <c r="A67" t="s">
        <v>27</v>
      </c>
      <c r="B67" t="s">
        <v>28</v>
      </c>
      <c r="C67" t="s">
        <v>80</v>
      </c>
      <c r="D67">
        <v>2030</v>
      </c>
      <c r="E67" t="s">
        <v>121</v>
      </c>
      <c r="F67" t="s">
        <v>108</v>
      </c>
      <c r="G67" t="s">
        <v>80</v>
      </c>
      <c r="H67">
        <v>7132.9385782785548</v>
      </c>
      <c r="I67">
        <v>121143.60190767782</v>
      </c>
      <c r="J67">
        <v>0</v>
      </c>
      <c r="K67">
        <v>121143.60190767782</v>
      </c>
    </row>
    <row r="68" spans="1:11" x14ac:dyDescent="0.25">
      <c r="A68" t="s">
        <v>27</v>
      </c>
      <c r="B68" t="s">
        <v>28</v>
      </c>
      <c r="C68" t="s">
        <v>75</v>
      </c>
      <c r="D68">
        <v>2030</v>
      </c>
      <c r="E68" t="s">
        <v>121</v>
      </c>
      <c r="F68" t="s">
        <v>108</v>
      </c>
      <c r="G68" t="s">
        <v>52</v>
      </c>
      <c r="H68">
        <v>7503.2240591224381</v>
      </c>
      <c r="I68">
        <v>61111.138582007545</v>
      </c>
      <c r="J68">
        <v>10093.337004331503</v>
      </c>
      <c r="K68">
        <v>10093.337004331503</v>
      </c>
    </row>
    <row r="69" spans="1:11" x14ac:dyDescent="0.25">
      <c r="A69" t="s">
        <v>27</v>
      </c>
      <c r="B69" t="s">
        <v>28</v>
      </c>
      <c r="C69" t="s">
        <v>78</v>
      </c>
      <c r="D69">
        <v>2030</v>
      </c>
      <c r="E69" t="s">
        <v>121</v>
      </c>
      <c r="F69" t="s">
        <v>108</v>
      </c>
      <c r="G69" t="s">
        <v>78</v>
      </c>
      <c r="H69">
        <v>2022.8297550768989</v>
      </c>
      <c r="I69">
        <v>57650.648019691616</v>
      </c>
      <c r="J69">
        <v>0</v>
      </c>
      <c r="K69">
        <v>57650.648019691616</v>
      </c>
    </row>
    <row r="70" spans="1:11" x14ac:dyDescent="0.25">
      <c r="A70" t="s">
        <v>27</v>
      </c>
      <c r="B70" t="s">
        <v>28</v>
      </c>
      <c r="C70" t="s">
        <v>65</v>
      </c>
      <c r="D70">
        <v>2030</v>
      </c>
      <c r="E70" t="s">
        <v>121</v>
      </c>
      <c r="F70" t="s">
        <v>108</v>
      </c>
      <c r="G70" t="s">
        <v>65</v>
      </c>
      <c r="H70">
        <v>744.06168615292358</v>
      </c>
      <c r="I70">
        <v>10344.272222126012</v>
      </c>
      <c r="J70">
        <v>0</v>
      </c>
      <c r="K70">
        <v>10344.272222126012</v>
      </c>
    </row>
    <row r="71" spans="1:11" x14ac:dyDescent="0.25">
      <c r="A71" t="s">
        <v>27</v>
      </c>
      <c r="B71" t="s">
        <v>28</v>
      </c>
      <c r="C71" t="s">
        <v>120</v>
      </c>
      <c r="D71">
        <v>2030</v>
      </c>
      <c r="E71" t="s">
        <v>121</v>
      </c>
      <c r="F71" t="s">
        <v>108</v>
      </c>
      <c r="G71" t="s">
        <v>53</v>
      </c>
      <c r="H71">
        <v>17934.514575348316</v>
      </c>
      <c r="I71">
        <v>247316.95599405328</v>
      </c>
      <c r="J71">
        <v>0</v>
      </c>
      <c r="K71">
        <v>247316.95599405328</v>
      </c>
    </row>
    <row r="72" spans="1:11" x14ac:dyDescent="0.25">
      <c r="A72" t="s">
        <v>27</v>
      </c>
      <c r="B72" t="s">
        <v>28</v>
      </c>
      <c r="C72" t="s">
        <v>29</v>
      </c>
      <c r="D72">
        <v>2050</v>
      </c>
      <c r="E72" t="s">
        <v>121</v>
      </c>
      <c r="F72" t="s">
        <v>108</v>
      </c>
      <c r="G72" t="s">
        <v>52</v>
      </c>
      <c r="H72">
        <v>163528.40889517844</v>
      </c>
      <c r="I72">
        <v>768043.87805798464</v>
      </c>
      <c r="J72">
        <v>249230.23842981603</v>
      </c>
      <c r="K72">
        <v>249230.23842981603</v>
      </c>
    </row>
    <row r="73" spans="1:11" x14ac:dyDescent="0.25">
      <c r="A73" t="s">
        <v>27</v>
      </c>
      <c r="B73" t="s">
        <v>28</v>
      </c>
      <c r="C73" t="s">
        <v>34</v>
      </c>
      <c r="D73">
        <v>2050</v>
      </c>
      <c r="E73" t="s">
        <v>121</v>
      </c>
      <c r="F73" t="s">
        <v>108</v>
      </c>
      <c r="G73" t="s">
        <v>52</v>
      </c>
      <c r="H73">
        <v>11298.425564685787</v>
      </c>
      <c r="I73">
        <v>24858.79592742167</v>
      </c>
      <c r="J73">
        <v>7337.1444591067957</v>
      </c>
      <c r="K73">
        <v>7337.1444591067957</v>
      </c>
    </row>
    <row r="74" spans="1:11" x14ac:dyDescent="0.25">
      <c r="A74" t="s">
        <v>27</v>
      </c>
      <c r="B74" t="s">
        <v>28</v>
      </c>
      <c r="C74" t="s">
        <v>72</v>
      </c>
      <c r="D74">
        <v>2050</v>
      </c>
      <c r="E74" t="s">
        <v>121</v>
      </c>
      <c r="F74" t="s">
        <v>108</v>
      </c>
      <c r="G74" t="s">
        <v>52</v>
      </c>
      <c r="H74">
        <v>18999.897328956435</v>
      </c>
      <c r="I74">
        <v>45979.751536074575</v>
      </c>
      <c r="J74">
        <v>24415.2480656556</v>
      </c>
      <c r="K74">
        <v>24415.2480656556</v>
      </c>
    </row>
    <row r="75" spans="1:11" x14ac:dyDescent="0.25">
      <c r="A75" t="s">
        <v>27</v>
      </c>
      <c r="B75" t="s">
        <v>28</v>
      </c>
      <c r="C75" t="s">
        <v>53</v>
      </c>
      <c r="D75">
        <v>2050</v>
      </c>
      <c r="E75" t="s">
        <v>121</v>
      </c>
      <c r="F75" t="s">
        <v>108</v>
      </c>
      <c r="G75" t="s">
        <v>53</v>
      </c>
      <c r="H75">
        <v>36226.828448864071</v>
      </c>
      <c r="I75">
        <v>1402108.6775534553</v>
      </c>
      <c r="J75">
        <v>0</v>
      </c>
      <c r="K75">
        <v>1402108.6775534553</v>
      </c>
    </row>
    <row r="76" spans="1:11" x14ac:dyDescent="0.25">
      <c r="A76" t="s">
        <v>27</v>
      </c>
      <c r="B76" t="s">
        <v>28</v>
      </c>
      <c r="C76" t="s">
        <v>30</v>
      </c>
      <c r="D76">
        <v>2050</v>
      </c>
      <c r="E76" t="s">
        <v>121</v>
      </c>
      <c r="F76" t="s">
        <v>108</v>
      </c>
      <c r="G76" t="s">
        <v>30</v>
      </c>
      <c r="H76">
        <v>1401.8958725869049</v>
      </c>
      <c r="I76">
        <v>16580.923433021617</v>
      </c>
      <c r="J76">
        <v>0</v>
      </c>
      <c r="K76">
        <v>16580.923433021617</v>
      </c>
    </row>
    <row r="77" spans="1:11" x14ac:dyDescent="0.25">
      <c r="A77" t="s">
        <v>27</v>
      </c>
      <c r="B77" t="s">
        <v>28</v>
      </c>
      <c r="C77" t="s">
        <v>31</v>
      </c>
      <c r="D77">
        <v>2050</v>
      </c>
      <c r="E77" t="s">
        <v>121</v>
      </c>
      <c r="F77" t="s">
        <v>108</v>
      </c>
      <c r="G77" t="s">
        <v>31</v>
      </c>
      <c r="H77">
        <v>8351.2717058427061</v>
      </c>
      <c r="I77">
        <v>202171.03201161724</v>
      </c>
      <c r="J77">
        <v>0</v>
      </c>
      <c r="K77">
        <v>202171.03201161724</v>
      </c>
    </row>
    <row r="78" spans="1:11" x14ac:dyDescent="0.25">
      <c r="A78" t="s">
        <v>27</v>
      </c>
      <c r="B78" t="s">
        <v>28</v>
      </c>
      <c r="C78" t="s">
        <v>55</v>
      </c>
      <c r="D78">
        <v>2050</v>
      </c>
      <c r="E78" t="s">
        <v>121</v>
      </c>
      <c r="F78" t="s">
        <v>108</v>
      </c>
      <c r="G78" t="s">
        <v>55</v>
      </c>
      <c r="H78">
        <v>815.25818506474513</v>
      </c>
      <c r="I78">
        <v>37758.378640458337</v>
      </c>
      <c r="J78">
        <v>0</v>
      </c>
      <c r="K78">
        <v>37758.378640458337</v>
      </c>
    </row>
    <row r="79" spans="1:11" x14ac:dyDescent="0.25">
      <c r="A79" t="s">
        <v>27</v>
      </c>
      <c r="B79" t="s">
        <v>28</v>
      </c>
      <c r="C79" t="s">
        <v>54</v>
      </c>
      <c r="D79">
        <v>2050</v>
      </c>
      <c r="E79" t="s">
        <v>121</v>
      </c>
      <c r="F79" t="s">
        <v>108</v>
      </c>
      <c r="G79" t="s">
        <v>54</v>
      </c>
      <c r="H79">
        <v>27918.194859631913</v>
      </c>
      <c r="I79">
        <v>1031390.2481578398</v>
      </c>
      <c r="J79">
        <v>0</v>
      </c>
      <c r="K79">
        <v>1031390.2481578398</v>
      </c>
    </row>
    <row r="80" spans="1:11" x14ac:dyDescent="0.25">
      <c r="A80" t="s">
        <v>27</v>
      </c>
      <c r="B80" t="s">
        <v>28</v>
      </c>
      <c r="C80" t="s">
        <v>41</v>
      </c>
      <c r="D80">
        <v>2050</v>
      </c>
      <c r="E80" t="s">
        <v>121</v>
      </c>
      <c r="F80" t="s">
        <v>108</v>
      </c>
      <c r="G80" t="s">
        <v>41</v>
      </c>
      <c r="H80">
        <v>513.00454214611455</v>
      </c>
      <c r="I80">
        <v>2482.5828808076922</v>
      </c>
      <c r="J80">
        <v>0</v>
      </c>
      <c r="K80">
        <v>2482.5828808076922</v>
      </c>
    </row>
    <row r="81" spans="1:11" x14ac:dyDescent="0.25">
      <c r="A81" t="s">
        <v>27</v>
      </c>
      <c r="B81" t="s">
        <v>28</v>
      </c>
      <c r="C81" t="s">
        <v>80</v>
      </c>
      <c r="D81">
        <v>2050</v>
      </c>
      <c r="E81" t="s">
        <v>121</v>
      </c>
      <c r="F81" t="s">
        <v>108</v>
      </c>
      <c r="G81" t="s">
        <v>80</v>
      </c>
      <c r="H81">
        <v>9072.9477468623863</v>
      </c>
      <c r="I81">
        <v>154092.11195539558</v>
      </c>
      <c r="J81">
        <v>0</v>
      </c>
      <c r="K81">
        <v>154092.11195539558</v>
      </c>
    </row>
    <row r="82" spans="1:11" x14ac:dyDescent="0.25">
      <c r="A82" t="s">
        <v>27</v>
      </c>
      <c r="B82" t="s">
        <v>28</v>
      </c>
      <c r="C82" t="s">
        <v>75</v>
      </c>
      <c r="D82">
        <v>2050</v>
      </c>
      <c r="E82" t="s">
        <v>121</v>
      </c>
      <c r="F82" t="s">
        <v>108</v>
      </c>
      <c r="G82" t="s">
        <v>52</v>
      </c>
      <c r="H82">
        <v>9543.9430852141104</v>
      </c>
      <c r="I82">
        <v>77732.082089459407</v>
      </c>
      <c r="J82">
        <v>12838.51223823002</v>
      </c>
      <c r="K82">
        <v>12838.51223823002</v>
      </c>
    </row>
    <row r="83" spans="1:11" x14ac:dyDescent="0.25">
      <c r="A83" t="s">
        <v>27</v>
      </c>
      <c r="B83" t="s">
        <v>28</v>
      </c>
      <c r="C83" t="s">
        <v>78</v>
      </c>
      <c r="D83">
        <v>2050</v>
      </c>
      <c r="E83" t="s">
        <v>121</v>
      </c>
      <c r="F83" t="s">
        <v>108</v>
      </c>
      <c r="G83" t="s">
        <v>78</v>
      </c>
      <c r="H83">
        <v>2572.9968745981287</v>
      </c>
      <c r="I83">
        <v>73330.410926046665</v>
      </c>
      <c r="J83">
        <v>0</v>
      </c>
      <c r="K83">
        <v>73330.410926046665</v>
      </c>
    </row>
    <row r="84" spans="1:11" x14ac:dyDescent="0.25">
      <c r="A84" t="s">
        <v>27</v>
      </c>
      <c r="B84" t="s">
        <v>28</v>
      </c>
      <c r="C84" t="s">
        <v>65</v>
      </c>
      <c r="D84">
        <v>2050</v>
      </c>
      <c r="E84" t="s">
        <v>121</v>
      </c>
      <c r="F84" t="s">
        <v>108</v>
      </c>
      <c r="G84" t="s">
        <v>65</v>
      </c>
      <c r="H84">
        <v>946.43080475494912</v>
      </c>
      <c r="I84">
        <v>13157.696553910268</v>
      </c>
      <c r="J84">
        <v>0</v>
      </c>
      <c r="K84">
        <v>13157.696553910268</v>
      </c>
    </row>
    <row r="85" spans="1:11" x14ac:dyDescent="0.25">
      <c r="A85" t="s">
        <v>27</v>
      </c>
      <c r="B85" t="s">
        <v>28</v>
      </c>
      <c r="C85" t="s">
        <v>120</v>
      </c>
      <c r="D85">
        <v>2050</v>
      </c>
      <c r="E85" t="s">
        <v>121</v>
      </c>
      <c r="F85" t="s">
        <v>108</v>
      </c>
      <c r="G85" t="s">
        <v>53</v>
      </c>
      <c r="H85">
        <v>22812.325077772828</v>
      </c>
      <c r="I85">
        <v>314581.96282248734</v>
      </c>
      <c r="J85">
        <v>0</v>
      </c>
      <c r="K85">
        <v>314581.96282248734</v>
      </c>
    </row>
    <row r="86" spans="1:11" x14ac:dyDescent="0.25">
      <c r="A86" t="s">
        <v>27</v>
      </c>
      <c r="B86" t="s">
        <v>28</v>
      </c>
      <c r="C86" t="s">
        <v>29</v>
      </c>
      <c r="D86">
        <v>2019</v>
      </c>
      <c r="E86" t="s">
        <v>119</v>
      </c>
      <c r="F86" t="s">
        <v>109</v>
      </c>
      <c r="G86" t="s">
        <v>52</v>
      </c>
      <c r="H86">
        <v>23536.994348302134</v>
      </c>
      <c r="I86">
        <v>197993.19645791754</v>
      </c>
      <c r="J86">
        <v>64624.484340873154</v>
      </c>
      <c r="K86">
        <v>64624.484340873154</v>
      </c>
    </row>
    <row r="87" spans="1:11" x14ac:dyDescent="0.25">
      <c r="A87" t="s">
        <v>27</v>
      </c>
      <c r="B87" t="s">
        <v>28</v>
      </c>
      <c r="C87" t="s">
        <v>34</v>
      </c>
      <c r="D87">
        <v>2019</v>
      </c>
      <c r="E87" t="s">
        <v>119</v>
      </c>
      <c r="F87" t="s">
        <v>109</v>
      </c>
      <c r="G87" t="s">
        <v>52</v>
      </c>
      <c r="H87">
        <v>2017.6900814622547</v>
      </c>
      <c r="I87">
        <v>9345.9404573331649</v>
      </c>
      <c r="J87">
        <v>2774.6110600167958</v>
      </c>
      <c r="K87">
        <v>2774.6110600167958</v>
      </c>
    </row>
    <row r="88" spans="1:11" x14ac:dyDescent="0.25">
      <c r="A88" t="s">
        <v>27</v>
      </c>
      <c r="B88" t="s">
        <v>28</v>
      </c>
      <c r="C88" t="s">
        <v>72</v>
      </c>
      <c r="D88">
        <v>2019</v>
      </c>
      <c r="E88" t="s">
        <v>119</v>
      </c>
      <c r="F88" t="s">
        <v>109</v>
      </c>
      <c r="G88" t="s">
        <v>52</v>
      </c>
      <c r="H88">
        <v>2160.5082355894242</v>
      </c>
      <c r="I88">
        <v>11407.483483912161</v>
      </c>
      <c r="J88">
        <v>6092.7939661749042</v>
      </c>
      <c r="K88">
        <v>6092.7939661749042</v>
      </c>
    </row>
    <row r="89" spans="1:11" x14ac:dyDescent="0.25">
      <c r="A89" t="s">
        <v>27</v>
      </c>
      <c r="B89" t="s">
        <v>28</v>
      </c>
      <c r="C89" t="s">
        <v>53</v>
      </c>
      <c r="D89">
        <v>2019</v>
      </c>
      <c r="E89" t="s">
        <v>119</v>
      </c>
      <c r="F89" t="s">
        <v>109</v>
      </c>
      <c r="G89" t="s">
        <v>53</v>
      </c>
      <c r="H89">
        <v>19937.932611161701</v>
      </c>
      <c r="I89">
        <v>1187184.2593990124</v>
      </c>
      <c r="J89">
        <v>0</v>
      </c>
      <c r="K89">
        <v>1187184.2593990124</v>
      </c>
    </row>
    <row r="90" spans="1:11" x14ac:dyDescent="0.25">
      <c r="A90" t="s">
        <v>27</v>
      </c>
      <c r="B90" t="s">
        <v>28</v>
      </c>
      <c r="C90" t="s">
        <v>30</v>
      </c>
      <c r="D90">
        <v>2019</v>
      </c>
      <c r="E90" t="s">
        <v>119</v>
      </c>
      <c r="F90" t="s">
        <v>109</v>
      </c>
      <c r="G90" t="s">
        <v>30</v>
      </c>
      <c r="H90">
        <v>93.250460767730289</v>
      </c>
      <c r="I90">
        <v>2321.9364731164837</v>
      </c>
      <c r="J90">
        <v>0</v>
      </c>
      <c r="K90">
        <v>2321.9364731164837</v>
      </c>
    </row>
    <row r="91" spans="1:11" x14ac:dyDescent="0.25">
      <c r="A91" t="s">
        <v>27</v>
      </c>
      <c r="B91" t="s">
        <v>28</v>
      </c>
      <c r="C91" t="s">
        <v>31</v>
      </c>
      <c r="D91">
        <v>2019</v>
      </c>
      <c r="E91" t="s">
        <v>119</v>
      </c>
      <c r="F91" t="s">
        <v>109</v>
      </c>
      <c r="G91" t="s">
        <v>31</v>
      </c>
      <c r="H91">
        <v>1472.183079133998</v>
      </c>
      <c r="I91">
        <v>75029.927467991118</v>
      </c>
      <c r="J91">
        <v>0</v>
      </c>
      <c r="K91">
        <v>75029.927467991118</v>
      </c>
    </row>
    <row r="92" spans="1:11" x14ac:dyDescent="0.25">
      <c r="A92" t="s">
        <v>27</v>
      </c>
      <c r="B92" t="s">
        <v>28</v>
      </c>
      <c r="C92" t="s">
        <v>55</v>
      </c>
      <c r="D92">
        <v>2019</v>
      </c>
      <c r="E92" t="s">
        <v>119</v>
      </c>
      <c r="F92" t="s">
        <v>109</v>
      </c>
      <c r="G92" t="s">
        <v>55</v>
      </c>
      <c r="H92">
        <v>38.623193326213141</v>
      </c>
      <c r="I92">
        <v>3765.9342889773907</v>
      </c>
      <c r="J92">
        <v>0</v>
      </c>
      <c r="K92">
        <v>3765.9342889773907</v>
      </c>
    </row>
    <row r="93" spans="1:11" x14ac:dyDescent="0.25">
      <c r="A93" t="s">
        <v>27</v>
      </c>
      <c r="B93" t="s">
        <v>28</v>
      </c>
      <c r="C93" t="s">
        <v>54</v>
      </c>
      <c r="D93">
        <v>2019</v>
      </c>
      <c r="E93" t="s">
        <v>119</v>
      </c>
      <c r="F93" t="s">
        <v>109</v>
      </c>
      <c r="G93" t="s">
        <v>54</v>
      </c>
      <c r="H93">
        <v>4985.6738479275327</v>
      </c>
      <c r="I93">
        <v>266294.8115655054</v>
      </c>
      <c r="J93">
        <v>0</v>
      </c>
      <c r="K93">
        <v>266294.8115655054</v>
      </c>
    </row>
    <row r="94" spans="1:11" x14ac:dyDescent="0.25">
      <c r="A94" t="s">
        <v>27</v>
      </c>
      <c r="B94" t="s">
        <v>28</v>
      </c>
      <c r="C94" t="s">
        <v>41</v>
      </c>
      <c r="D94">
        <v>2019</v>
      </c>
      <c r="E94" t="s">
        <v>119</v>
      </c>
      <c r="F94" t="s">
        <v>109</v>
      </c>
      <c r="G94" t="s">
        <v>41</v>
      </c>
      <c r="H94">
        <v>84.935239958799571</v>
      </c>
      <c r="I94">
        <v>865.32022470025004</v>
      </c>
      <c r="J94">
        <v>0</v>
      </c>
      <c r="K94">
        <v>865.32022470025004</v>
      </c>
    </row>
    <row r="95" spans="1:11" x14ac:dyDescent="0.25">
      <c r="A95" t="s">
        <v>27</v>
      </c>
      <c r="B95" t="s">
        <v>28</v>
      </c>
      <c r="C95" t="s">
        <v>80</v>
      </c>
      <c r="D95">
        <v>2019</v>
      </c>
      <c r="E95" t="s">
        <v>119</v>
      </c>
      <c r="F95" t="s">
        <v>109</v>
      </c>
      <c r="G95" t="s">
        <v>80</v>
      </c>
      <c r="H95">
        <v>1502.156278752635</v>
      </c>
      <c r="I95">
        <v>53709.79634661704</v>
      </c>
      <c r="J95">
        <v>0</v>
      </c>
      <c r="K95">
        <v>53709.79634661704</v>
      </c>
    </row>
    <row r="96" spans="1:11" x14ac:dyDescent="0.25">
      <c r="A96" t="s">
        <v>27</v>
      </c>
      <c r="B96" t="s">
        <v>28</v>
      </c>
      <c r="C96" t="s">
        <v>75</v>
      </c>
      <c r="D96">
        <v>2019</v>
      </c>
      <c r="E96" t="s">
        <v>119</v>
      </c>
      <c r="F96" t="s">
        <v>109</v>
      </c>
      <c r="G96" t="s">
        <v>52</v>
      </c>
      <c r="H96">
        <v>3707.7646805966074</v>
      </c>
      <c r="I96">
        <v>63575.679900016141</v>
      </c>
      <c r="J96">
        <v>10561.790158560274</v>
      </c>
      <c r="K96">
        <v>10561.790158560274</v>
      </c>
    </row>
    <row r="97" spans="1:11" x14ac:dyDescent="0.25">
      <c r="A97" t="s">
        <v>27</v>
      </c>
      <c r="B97" t="s">
        <v>28</v>
      </c>
      <c r="C97" t="s">
        <v>78</v>
      </c>
      <c r="D97">
        <v>2019</v>
      </c>
      <c r="E97" t="s">
        <v>119</v>
      </c>
      <c r="F97" t="s">
        <v>109</v>
      </c>
      <c r="G97" t="s">
        <v>78</v>
      </c>
      <c r="H97">
        <v>425.99643668454917</v>
      </c>
      <c r="I97">
        <v>25559.786201072948</v>
      </c>
      <c r="J97">
        <v>0</v>
      </c>
      <c r="K97">
        <v>25559.786201072948</v>
      </c>
    </row>
    <row r="98" spans="1:11" x14ac:dyDescent="0.25">
      <c r="A98" t="s">
        <v>27</v>
      </c>
      <c r="B98" t="s">
        <v>28</v>
      </c>
      <c r="C98" t="s">
        <v>65</v>
      </c>
      <c r="D98">
        <v>2019</v>
      </c>
      <c r="E98" t="s">
        <v>119</v>
      </c>
      <c r="F98" t="s">
        <v>109</v>
      </c>
      <c r="G98" t="s">
        <v>65</v>
      </c>
      <c r="H98">
        <v>699.64323170301793</v>
      </c>
      <c r="I98">
        <v>20477.362879112719</v>
      </c>
      <c r="J98">
        <v>0</v>
      </c>
      <c r="K98">
        <v>20477.362879112719</v>
      </c>
    </row>
    <row r="99" spans="1:11" x14ac:dyDescent="0.25">
      <c r="A99" t="s">
        <v>27</v>
      </c>
      <c r="B99" t="s">
        <v>28</v>
      </c>
      <c r="C99" t="s">
        <v>120</v>
      </c>
      <c r="D99">
        <v>2019</v>
      </c>
      <c r="E99" t="s">
        <v>119</v>
      </c>
      <c r="F99" t="s">
        <v>109</v>
      </c>
      <c r="G99" t="s">
        <v>53</v>
      </c>
      <c r="H99">
        <v>19775.461430434403</v>
      </c>
      <c r="I99">
        <v>327244.33575082856</v>
      </c>
      <c r="J99">
        <v>0</v>
      </c>
      <c r="K99">
        <v>327244.33575082856</v>
      </c>
    </row>
    <row r="100" spans="1:11" x14ac:dyDescent="0.25">
      <c r="A100" t="s">
        <v>27</v>
      </c>
      <c r="B100" t="s">
        <v>28</v>
      </c>
      <c r="C100" t="s">
        <v>29</v>
      </c>
      <c r="D100">
        <v>2030</v>
      </c>
      <c r="E100" t="s">
        <v>119</v>
      </c>
      <c r="F100" t="s">
        <v>109</v>
      </c>
      <c r="G100" t="s">
        <v>52</v>
      </c>
      <c r="H100">
        <v>21249.096650527637</v>
      </c>
      <c r="I100">
        <v>178747.40102423847</v>
      </c>
      <c r="J100">
        <v>58003.531632365382</v>
      </c>
      <c r="K100">
        <v>58003.531632365382</v>
      </c>
    </row>
    <row r="101" spans="1:11" x14ac:dyDescent="0.25">
      <c r="A101" t="s">
        <v>27</v>
      </c>
      <c r="B101" t="s">
        <v>28</v>
      </c>
      <c r="C101" t="s">
        <v>34</v>
      </c>
      <c r="D101">
        <v>2030</v>
      </c>
      <c r="E101" t="s">
        <v>119</v>
      </c>
      <c r="F101" t="s">
        <v>109</v>
      </c>
      <c r="G101" t="s">
        <v>52</v>
      </c>
      <c r="H101">
        <v>1821.561874780974</v>
      </c>
      <c r="I101">
        <v>8437.4746039854726</v>
      </c>
      <c r="J101">
        <v>2490.3446739830588</v>
      </c>
      <c r="K101">
        <v>2490.3446739830588</v>
      </c>
    </row>
    <row r="102" spans="1:11" x14ac:dyDescent="0.25">
      <c r="A102" t="s">
        <v>27</v>
      </c>
      <c r="B102" t="s">
        <v>28</v>
      </c>
      <c r="C102" t="s">
        <v>72</v>
      </c>
      <c r="D102">
        <v>2030</v>
      </c>
      <c r="E102" t="s">
        <v>119</v>
      </c>
      <c r="F102" t="s">
        <v>109</v>
      </c>
      <c r="G102" t="s">
        <v>52</v>
      </c>
      <c r="H102">
        <v>1950.4974863373875</v>
      </c>
      <c r="I102">
        <v>10298.626727861405</v>
      </c>
      <c r="J102">
        <v>5468.5707924944063</v>
      </c>
      <c r="K102">
        <v>5468.5707924944063</v>
      </c>
    </row>
    <row r="103" spans="1:11" x14ac:dyDescent="0.25">
      <c r="A103" t="s">
        <v>27</v>
      </c>
      <c r="B103" t="s">
        <v>28</v>
      </c>
      <c r="C103" t="s">
        <v>53</v>
      </c>
      <c r="D103">
        <v>2030</v>
      </c>
      <c r="E103" t="s">
        <v>119</v>
      </c>
      <c r="F103" t="s">
        <v>109</v>
      </c>
      <c r="G103" t="s">
        <v>53</v>
      </c>
      <c r="H103">
        <v>17999.879287766547</v>
      </c>
      <c r="I103">
        <v>1071784.8123107711</v>
      </c>
      <c r="J103">
        <v>0</v>
      </c>
      <c r="K103">
        <v>1071784.8123107711</v>
      </c>
    </row>
    <row r="104" spans="1:11" x14ac:dyDescent="0.25">
      <c r="A104" t="s">
        <v>27</v>
      </c>
      <c r="B104" t="s">
        <v>28</v>
      </c>
      <c r="C104" t="s">
        <v>30</v>
      </c>
      <c r="D104">
        <v>2030</v>
      </c>
      <c r="E104" t="s">
        <v>119</v>
      </c>
      <c r="F104" t="s">
        <v>109</v>
      </c>
      <c r="G104" t="s">
        <v>30</v>
      </c>
      <c r="H104">
        <v>84.186112476280258</v>
      </c>
      <c r="I104">
        <v>2096.2342006593785</v>
      </c>
      <c r="J104">
        <v>0</v>
      </c>
      <c r="K104">
        <v>2096.2342006593785</v>
      </c>
    </row>
    <row r="105" spans="1:11" x14ac:dyDescent="0.25">
      <c r="A105" t="s">
        <v>27</v>
      </c>
      <c r="B105" t="s">
        <v>28</v>
      </c>
      <c r="C105" t="s">
        <v>31</v>
      </c>
      <c r="D105">
        <v>2030</v>
      </c>
      <c r="E105" t="s">
        <v>119</v>
      </c>
      <c r="F105" t="s">
        <v>109</v>
      </c>
      <c r="G105" t="s">
        <v>31</v>
      </c>
      <c r="H105">
        <v>1329.0805135468072</v>
      </c>
      <c r="I105">
        <v>67736.693855493475</v>
      </c>
      <c r="J105">
        <v>0</v>
      </c>
      <c r="K105">
        <v>67736.693855493475</v>
      </c>
    </row>
    <row r="106" spans="1:11" x14ac:dyDescent="0.25">
      <c r="A106" t="s">
        <v>27</v>
      </c>
      <c r="B106" t="s">
        <v>28</v>
      </c>
      <c r="C106" t="s">
        <v>55</v>
      </c>
      <c r="D106">
        <v>2030</v>
      </c>
      <c r="E106" t="s">
        <v>119</v>
      </c>
      <c r="F106" t="s">
        <v>109</v>
      </c>
      <c r="G106" t="s">
        <v>55</v>
      </c>
      <c r="H106">
        <v>34.868851808171492</v>
      </c>
      <c r="I106">
        <v>3399.8691804839214</v>
      </c>
      <c r="J106">
        <v>0</v>
      </c>
      <c r="K106">
        <v>3399.8691804839214</v>
      </c>
    </row>
    <row r="107" spans="1:11" x14ac:dyDescent="0.25">
      <c r="A107" t="s">
        <v>27</v>
      </c>
      <c r="B107" t="s">
        <v>28</v>
      </c>
      <c r="C107" t="s">
        <v>54</v>
      </c>
      <c r="D107">
        <v>2030</v>
      </c>
      <c r="E107" t="s">
        <v>119</v>
      </c>
      <c r="F107" t="s">
        <v>109</v>
      </c>
      <c r="G107" t="s">
        <v>54</v>
      </c>
      <c r="H107">
        <v>4501.0447763591501</v>
      </c>
      <c r="I107">
        <v>240409.80359489494</v>
      </c>
      <c r="J107">
        <v>0</v>
      </c>
      <c r="K107">
        <v>240409.80359489494</v>
      </c>
    </row>
    <row r="108" spans="1:11" x14ac:dyDescent="0.25">
      <c r="A108" t="s">
        <v>27</v>
      </c>
      <c r="B108" t="s">
        <v>28</v>
      </c>
      <c r="C108" t="s">
        <v>41</v>
      </c>
      <c r="D108">
        <v>2030</v>
      </c>
      <c r="E108" t="s">
        <v>119</v>
      </c>
      <c r="F108" t="s">
        <v>109</v>
      </c>
      <c r="G108" t="s">
        <v>41</v>
      </c>
      <c r="H108">
        <v>76.679167110837156</v>
      </c>
      <c r="I108">
        <v>781.20735452520898</v>
      </c>
      <c r="J108">
        <v>0</v>
      </c>
      <c r="K108">
        <v>781.20735452520898</v>
      </c>
    </row>
    <row r="109" spans="1:11" x14ac:dyDescent="0.25">
      <c r="A109" t="s">
        <v>27</v>
      </c>
      <c r="B109" t="s">
        <v>28</v>
      </c>
      <c r="C109" t="s">
        <v>80</v>
      </c>
      <c r="D109">
        <v>2030</v>
      </c>
      <c r="E109" t="s">
        <v>119</v>
      </c>
      <c r="F109" t="s">
        <v>109</v>
      </c>
      <c r="G109" t="s">
        <v>80</v>
      </c>
      <c r="H109">
        <v>1356.1401884652369</v>
      </c>
      <c r="I109">
        <v>48488.971733629587</v>
      </c>
      <c r="J109">
        <v>0</v>
      </c>
      <c r="K109">
        <v>48488.971733629587</v>
      </c>
    </row>
    <row r="110" spans="1:11" x14ac:dyDescent="0.25">
      <c r="A110" t="s">
        <v>27</v>
      </c>
      <c r="B110" t="s">
        <v>28</v>
      </c>
      <c r="C110" t="s">
        <v>75</v>
      </c>
      <c r="D110">
        <v>2030</v>
      </c>
      <c r="E110" t="s">
        <v>119</v>
      </c>
      <c r="F110" t="s">
        <v>109</v>
      </c>
      <c r="G110" t="s">
        <v>52</v>
      </c>
      <c r="H110">
        <v>3347.3539097439348</v>
      </c>
      <c r="I110">
        <v>57395.848714893385</v>
      </c>
      <c r="J110">
        <v>9479.7062723948238</v>
      </c>
      <c r="K110">
        <v>9479.7062723948238</v>
      </c>
    </row>
    <row r="111" spans="1:11" x14ac:dyDescent="0.25">
      <c r="A111" t="s">
        <v>27</v>
      </c>
      <c r="B111" t="s">
        <v>28</v>
      </c>
      <c r="C111" t="s">
        <v>78</v>
      </c>
      <c r="D111">
        <v>2030</v>
      </c>
      <c r="E111" t="s">
        <v>119</v>
      </c>
      <c r="F111" t="s">
        <v>109</v>
      </c>
      <c r="G111" t="s">
        <v>78</v>
      </c>
      <c r="H111">
        <v>384.58773970616767</v>
      </c>
      <c r="I111">
        <v>23075.26438237006</v>
      </c>
      <c r="J111">
        <v>0</v>
      </c>
      <c r="K111">
        <v>23075.26438237006</v>
      </c>
    </row>
    <row r="112" spans="1:11" x14ac:dyDescent="0.25">
      <c r="A112" t="s">
        <v>27</v>
      </c>
      <c r="B112" t="s">
        <v>28</v>
      </c>
      <c r="C112" t="s">
        <v>65</v>
      </c>
      <c r="D112">
        <v>2030</v>
      </c>
      <c r="E112" t="s">
        <v>119</v>
      </c>
      <c r="F112" t="s">
        <v>109</v>
      </c>
      <c r="G112" t="s">
        <v>65</v>
      </c>
      <c r="H112">
        <v>631.63488214957056</v>
      </c>
      <c r="I112">
        <v>18486.874599499628</v>
      </c>
      <c r="J112">
        <v>0</v>
      </c>
      <c r="K112">
        <v>18486.874599499628</v>
      </c>
    </row>
    <row r="113" spans="1:11" x14ac:dyDescent="0.25">
      <c r="A113" t="s">
        <v>27</v>
      </c>
      <c r="B113" t="s">
        <v>28</v>
      </c>
      <c r="C113" t="s">
        <v>120</v>
      </c>
      <c r="D113">
        <v>2030</v>
      </c>
      <c r="E113" t="s">
        <v>119</v>
      </c>
      <c r="F113" t="s">
        <v>109</v>
      </c>
      <c r="G113" t="s">
        <v>53</v>
      </c>
      <c r="H113">
        <v>17853.201008836309</v>
      </c>
      <c r="I113">
        <v>295434.77029422327</v>
      </c>
      <c r="J113">
        <v>0</v>
      </c>
      <c r="K113">
        <v>295434.77029422327</v>
      </c>
    </row>
    <row r="114" spans="1:11" x14ac:dyDescent="0.25">
      <c r="A114" t="s">
        <v>27</v>
      </c>
      <c r="B114" t="s">
        <v>28</v>
      </c>
      <c r="C114" t="s">
        <v>29</v>
      </c>
      <c r="D114">
        <v>2050</v>
      </c>
      <c r="E114" t="s">
        <v>119</v>
      </c>
      <c r="F114" t="s">
        <v>109</v>
      </c>
      <c r="G114" t="s">
        <v>52</v>
      </c>
      <c r="H114">
        <v>20266.479464376069</v>
      </c>
      <c r="I114">
        <v>170481.62525433148</v>
      </c>
      <c r="J114">
        <v>55321.287395030566</v>
      </c>
      <c r="K114">
        <v>55321.287395030566</v>
      </c>
    </row>
    <row r="115" spans="1:11" x14ac:dyDescent="0.25">
      <c r="A115" t="s">
        <v>27</v>
      </c>
      <c r="B115" t="s">
        <v>28</v>
      </c>
      <c r="C115" t="s">
        <v>34</v>
      </c>
      <c r="D115">
        <v>2050</v>
      </c>
      <c r="E115" t="s">
        <v>119</v>
      </c>
      <c r="F115" t="s">
        <v>109</v>
      </c>
      <c r="G115" t="s">
        <v>52</v>
      </c>
      <c r="H115">
        <v>1737.3277996465938</v>
      </c>
      <c r="I115">
        <v>8047.3023679630242</v>
      </c>
      <c r="J115">
        <v>2375.184226631241</v>
      </c>
      <c r="K115">
        <v>2375.184226631241</v>
      </c>
    </row>
    <row r="116" spans="1:11" x14ac:dyDescent="0.25">
      <c r="A116" t="s">
        <v>27</v>
      </c>
      <c r="B116" t="s">
        <v>28</v>
      </c>
      <c r="C116" t="s">
        <v>72</v>
      </c>
      <c r="D116">
        <v>2050</v>
      </c>
      <c r="E116" t="s">
        <v>119</v>
      </c>
      <c r="F116" t="s">
        <v>109</v>
      </c>
      <c r="G116" t="s">
        <v>52</v>
      </c>
      <c r="H116">
        <v>1860.3010707842134</v>
      </c>
      <c r="I116">
        <v>9822.3896537406454</v>
      </c>
      <c r="J116">
        <v>5215.6889061362835</v>
      </c>
      <c r="K116">
        <v>5215.6889061362835</v>
      </c>
    </row>
    <row r="117" spans="1:11" x14ac:dyDescent="0.25">
      <c r="A117" t="s">
        <v>27</v>
      </c>
      <c r="B117" t="s">
        <v>28</v>
      </c>
      <c r="C117" t="s">
        <v>53</v>
      </c>
      <c r="D117">
        <v>2050</v>
      </c>
      <c r="E117" t="s">
        <v>119</v>
      </c>
      <c r="F117" t="s">
        <v>109</v>
      </c>
      <c r="G117" t="s">
        <v>53</v>
      </c>
      <c r="H117">
        <v>17167.514927638611</v>
      </c>
      <c r="I117">
        <v>1022222.5088513135</v>
      </c>
      <c r="J117">
        <v>0</v>
      </c>
      <c r="K117">
        <v>1022222.5088513135</v>
      </c>
    </row>
    <row r="118" spans="1:11" x14ac:dyDescent="0.25">
      <c r="A118" t="s">
        <v>27</v>
      </c>
      <c r="B118" t="s">
        <v>28</v>
      </c>
      <c r="C118" t="s">
        <v>30</v>
      </c>
      <c r="D118">
        <v>2050</v>
      </c>
      <c r="E118" t="s">
        <v>119</v>
      </c>
      <c r="F118" t="s">
        <v>109</v>
      </c>
      <c r="G118" t="s">
        <v>30</v>
      </c>
      <c r="H118">
        <v>80.293113055411794</v>
      </c>
      <c r="I118">
        <v>1999.2985150797538</v>
      </c>
      <c r="J118">
        <v>0</v>
      </c>
      <c r="K118">
        <v>1999.2985150797538</v>
      </c>
    </row>
    <row r="119" spans="1:11" x14ac:dyDescent="0.25">
      <c r="A119" t="s">
        <v>27</v>
      </c>
      <c r="B119" t="s">
        <v>28</v>
      </c>
      <c r="C119" t="s">
        <v>31</v>
      </c>
      <c r="D119">
        <v>2050</v>
      </c>
      <c r="E119" t="s">
        <v>119</v>
      </c>
      <c r="F119" t="s">
        <v>109</v>
      </c>
      <c r="G119" t="s">
        <v>31</v>
      </c>
      <c r="H119">
        <v>1267.6201429781686</v>
      </c>
      <c r="I119">
        <v>64604.361191655618</v>
      </c>
      <c r="J119">
        <v>0</v>
      </c>
      <c r="K119">
        <v>64604.361191655618</v>
      </c>
    </row>
    <row r="120" spans="1:11" x14ac:dyDescent="0.25">
      <c r="A120" t="s">
        <v>27</v>
      </c>
      <c r="B120" t="s">
        <v>28</v>
      </c>
      <c r="C120" t="s">
        <v>55</v>
      </c>
      <c r="D120">
        <v>2050</v>
      </c>
      <c r="E120" t="s">
        <v>119</v>
      </c>
      <c r="F120" t="s">
        <v>109</v>
      </c>
      <c r="G120" t="s">
        <v>55</v>
      </c>
      <c r="H120">
        <v>33.25641935461443</v>
      </c>
      <c r="I120">
        <v>3242.6497964153004</v>
      </c>
      <c r="J120">
        <v>0</v>
      </c>
      <c r="K120">
        <v>3242.6497964153004</v>
      </c>
    </row>
    <row r="121" spans="1:11" x14ac:dyDescent="0.25">
      <c r="A121" t="s">
        <v>27</v>
      </c>
      <c r="B121" t="s">
        <v>28</v>
      </c>
      <c r="C121" t="s">
        <v>54</v>
      </c>
      <c r="D121">
        <v>2050</v>
      </c>
      <c r="E121" t="s">
        <v>119</v>
      </c>
      <c r="F121" t="s">
        <v>109</v>
      </c>
      <c r="G121" t="s">
        <v>54</v>
      </c>
      <c r="H121">
        <v>4292.903977452369</v>
      </c>
      <c r="I121">
        <v>229292.58724368596</v>
      </c>
      <c r="J121">
        <v>0</v>
      </c>
      <c r="K121">
        <v>229292.58724368596</v>
      </c>
    </row>
    <row r="122" spans="1:11" x14ac:dyDescent="0.25">
      <c r="A122" t="s">
        <v>27</v>
      </c>
      <c r="B122" t="s">
        <v>28</v>
      </c>
      <c r="C122" t="s">
        <v>41</v>
      </c>
      <c r="D122">
        <v>2050</v>
      </c>
      <c r="E122" t="s">
        <v>119</v>
      </c>
      <c r="F122" t="s">
        <v>109</v>
      </c>
      <c r="G122" t="s">
        <v>41</v>
      </c>
      <c r="H122">
        <v>73.133309672185732</v>
      </c>
      <c r="I122">
        <v>745.08215894022828</v>
      </c>
      <c r="J122">
        <v>0</v>
      </c>
      <c r="K122">
        <v>745.08215894022828</v>
      </c>
    </row>
    <row r="123" spans="1:11" x14ac:dyDescent="0.25">
      <c r="A123" t="s">
        <v>27</v>
      </c>
      <c r="B123" t="s">
        <v>28</v>
      </c>
      <c r="C123" t="s">
        <v>80</v>
      </c>
      <c r="D123">
        <v>2050</v>
      </c>
      <c r="E123" t="s">
        <v>119</v>
      </c>
      <c r="F123" t="s">
        <v>109</v>
      </c>
      <c r="G123" t="s">
        <v>80</v>
      </c>
      <c r="H123">
        <v>1293.4285034495033</v>
      </c>
      <c r="I123">
        <v>46246.707144791224</v>
      </c>
      <c r="J123">
        <v>0</v>
      </c>
      <c r="K123">
        <v>46246.707144791224</v>
      </c>
    </row>
    <row r="124" spans="1:11" x14ac:dyDescent="0.25">
      <c r="A124" t="s">
        <v>27</v>
      </c>
      <c r="B124" t="s">
        <v>28</v>
      </c>
      <c r="C124" t="s">
        <v>75</v>
      </c>
      <c r="D124">
        <v>2050</v>
      </c>
      <c r="E124" t="s">
        <v>119</v>
      </c>
      <c r="F124" t="s">
        <v>109</v>
      </c>
      <c r="G124" t="s">
        <v>52</v>
      </c>
      <c r="H124">
        <v>3192.5629775014409</v>
      </c>
      <c r="I124">
        <v>54741.705421719133</v>
      </c>
      <c r="J124">
        <v>9041.3383522840795</v>
      </c>
      <c r="K124">
        <v>9041.3383522840795</v>
      </c>
    </row>
    <row r="125" spans="1:11" x14ac:dyDescent="0.25">
      <c r="A125" t="s">
        <v>27</v>
      </c>
      <c r="B125" t="s">
        <v>28</v>
      </c>
      <c r="C125" t="s">
        <v>78</v>
      </c>
      <c r="D125">
        <v>2050</v>
      </c>
      <c r="E125" t="s">
        <v>119</v>
      </c>
      <c r="F125" t="s">
        <v>109</v>
      </c>
      <c r="G125" t="s">
        <v>78</v>
      </c>
      <c r="H125">
        <v>366.8033355579056</v>
      </c>
      <c r="I125">
        <v>22008.20013347434</v>
      </c>
      <c r="J125">
        <v>0</v>
      </c>
      <c r="K125">
        <v>22008.20013347434</v>
      </c>
    </row>
    <row r="126" spans="1:11" x14ac:dyDescent="0.25">
      <c r="A126" t="s">
        <v>27</v>
      </c>
      <c r="B126" t="s">
        <v>28</v>
      </c>
      <c r="C126" t="s">
        <v>65</v>
      </c>
      <c r="D126">
        <v>2050</v>
      </c>
      <c r="E126" t="s">
        <v>119</v>
      </c>
      <c r="F126" t="s">
        <v>109</v>
      </c>
      <c r="G126" t="s">
        <v>65</v>
      </c>
      <c r="H126">
        <v>602.42633268600662</v>
      </c>
      <c r="I126">
        <v>17631.990224956291</v>
      </c>
      <c r="J126">
        <v>0</v>
      </c>
      <c r="K126">
        <v>17631.990224956291</v>
      </c>
    </row>
    <row r="127" spans="1:11" x14ac:dyDescent="0.25">
      <c r="A127" t="s">
        <v>27</v>
      </c>
      <c r="B127" t="s">
        <v>28</v>
      </c>
      <c r="C127" t="s">
        <v>120</v>
      </c>
      <c r="D127">
        <v>2050</v>
      </c>
      <c r="E127" t="s">
        <v>119</v>
      </c>
      <c r="F127" t="s">
        <v>109</v>
      </c>
      <c r="G127" t="s">
        <v>53</v>
      </c>
      <c r="H127">
        <v>17027.619459294743</v>
      </c>
      <c r="I127">
        <v>281773.04681240948</v>
      </c>
      <c r="J127">
        <v>0</v>
      </c>
      <c r="K127">
        <v>281773.04681240948</v>
      </c>
    </row>
    <row r="128" spans="1:11" x14ac:dyDescent="0.25">
      <c r="A128" t="s">
        <v>27</v>
      </c>
      <c r="B128" t="s">
        <v>28</v>
      </c>
      <c r="C128" t="s">
        <v>29</v>
      </c>
      <c r="D128">
        <v>2019</v>
      </c>
      <c r="E128" t="s">
        <v>121</v>
      </c>
      <c r="F128" t="s">
        <v>109</v>
      </c>
      <c r="G128" t="s">
        <v>52</v>
      </c>
      <c r="H128">
        <v>3009.4757390628633</v>
      </c>
      <c r="I128">
        <v>16961.525644387857</v>
      </c>
      <c r="J128">
        <v>5536.1995665140876</v>
      </c>
      <c r="K128">
        <v>5536.1995665140876</v>
      </c>
    </row>
    <row r="129" spans="1:11" x14ac:dyDescent="0.25">
      <c r="A129" t="s">
        <v>27</v>
      </c>
      <c r="B129" t="s">
        <v>28</v>
      </c>
      <c r="C129" t="s">
        <v>34</v>
      </c>
      <c r="D129">
        <v>2019</v>
      </c>
      <c r="E129" t="s">
        <v>121</v>
      </c>
      <c r="F129" t="s">
        <v>109</v>
      </c>
      <c r="G129" t="s">
        <v>52</v>
      </c>
      <c r="H129">
        <v>257.98490917114276</v>
      </c>
      <c r="I129">
        <v>681.14207659001795</v>
      </c>
      <c r="J129">
        <v>202.21660385890681</v>
      </c>
      <c r="K129">
        <v>202.21660385890681</v>
      </c>
    </row>
    <row r="130" spans="1:11" x14ac:dyDescent="0.25">
      <c r="A130" t="s">
        <v>27</v>
      </c>
      <c r="B130" t="s">
        <v>28</v>
      </c>
      <c r="C130" t="s">
        <v>72</v>
      </c>
      <c r="D130">
        <v>2019</v>
      </c>
      <c r="E130" t="s">
        <v>121</v>
      </c>
      <c r="F130" t="s">
        <v>109</v>
      </c>
      <c r="G130" t="s">
        <v>52</v>
      </c>
      <c r="H130">
        <v>276.24585462505803</v>
      </c>
      <c r="I130">
        <v>802.21796183116862</v>
      </c>
      <c r="J130">
        <v>428.46862450383645</v>
      </c>
      <c r="K130">
        <v>428.46862450383645</v>
      </c>
    </row>
    <row r="131" spans="1:11" x14ac:dyDescent="0.25">
      <c r="A131" t="s">
        <v>27</v>
      </c>
      <c r="B131" t="s">
        <v>28</v>
      </c>
      <c r="C131" t="s">
        <v>53</v>
      </c>
      <c r="D131">
        <v>2019</v>
      </c>
      <c r="E131" t="s">
        <v>121</v>
      </c>
      <c r="F131" t="s">
        <v>109</v>
      </c>
      <c r="G131" t="s">
        <v>53</v>
      </c>
      <c r="H131">
        <v>2549.2942553512476</v>
      </c>
      <c r="I131">
        <v>118400.23816969505</v>
      </c>
      <c r="J131">
        <v>0</v>
      </c>
      <c r="K131">
        <v>118400.23816969505</v>
      </c>
    </row>
    <row r="132" spans="1:11" x14ac:dyDescent="0.25">
      <c r="A132" t="s">
        <v>27</v>
      </c>
      <c r="B132" t="s">
        <v>28</v>
      </c>
      <c r="C132" t="s">
        <v>30</v>
      </c>
      <c r="D132">
        <v>2019</v>
      </c>
      <c r="E132" t="s">
        <v>121</v>
      </c>
      <c r="F132" t="s">
        <v>109</v>
      </c>
      <c r="G132" t="s">
        <v>30</v>
      </c>
      <c r="H132">
        <v>11.923145121422927</v>
      </c>
      <c r="I132">
        <v>169.22519870835558</v>
      </c>
      <c r="J132">
        <v>0</v>
      </c>
      <c r="K132">
        <v>169.22519870835558</v>
      </c>
    </row>
    <row r="133" spans="1:11" x14ac:dyDescent="0.25">
      <c r="A133" t="s">
        <v>27</v>
      </c>
      <c r="B133" t="s">
        <v>28</v>
      </c>
      <c r="C133" t="s">
        <v>31</v>
      </c>
      <c r="D133">
        <v>2019</v>
      </c>
      <c r="E133" t="s">
        <v>121</v>
      </c>
      <c r="F133" t="s">
        <v>109</v>
      </c>
      <c r="G133" t="s">
        <v>31</v>
      </c>
      <c r="H133">
        <v>188.23555780104221</v>
      </c>
      <c r="I133">
        <v>5468.260881316256</v>
      </c>
      <c r="J133">
        <v>0</v>
      </c>
      <c r="K133">
        <v>5468.260881316256</v>
      </c>
    </row>
    <row r="134" spans="1:11" x14ac:dyDescent="0.25">
      <c r="A134" t="s">
        <v>27</v>
      </c>
      <c r="B134" t="s">
        <v>28</v>
      </c>
      <c r="C134" t="s">
        <v>55</v>
      </c>
      <c r="D134">
        <v>2019</v>
      </c>
      <c r="E134" t="s">
        <v>121</v>
      </c>
      <c r="F134" t="s">
        <v>109</v>
      </c>
      <c r="G134" t="s">
        <v>55</v>
      </c>
      <c r="H134">
        <v>4.9384199851650941</v>
      </c>
      <c r="I134">
        <v>274.46529470267632</v>
      </c>
      <c r="J134">
        <v>0</v>
      </c>
      <c r="K134">
        <v>274.46529470267632</v>
      </c>
    </row>
    <row r="135" spans="1:11" x14ac:dyDescent="0.25">
      <c r="A135" t="s">
        <v>27</v>
      </c>
      <c r="B135" t="s">
        <v>28</v>
      </c>
      <c r="C135" t="s">
        <v>54</v>
      </c>
      <c r="D135">
        <v>2019</v>
      </c>
      <c r="E135" t="s">
        <v>121</v>
      </c>
      <c r="F135" t="s">
        <v>109</v>
      </c>
      <c r="G135" t="s">
        <v>54</v>
      </c>
      <c r="H135">
        <v>637.47580792109272</v>
      </c>
      <c r="I135">
        <v>28260.552017725568</v>
      </c>
      <c r="J135">
        <v>0</v>
      </c>
      <c r="K135">
        <v>28260.552017725568</v>
      </c>
    </row>
    <row r="136" spans="1:11" x14ac:dyDescent="0.25">
      <c r="A136" t="s">
        <v>27</v>
      </c>
      <c r="B136" t="s">
        <v>28</v>
      </c>
      <c r="C136" t="s">
        <v>41</v>
      </c>
      <c r="D136">
        <v>2019</v>
      </c>
      <c r="E136" t="s">
        <v>121</v>
      </c>
      <c r="F136" t="s">
        <v>109</v>
      </c>
      <c r="G136" t="s">
        <v>41</v>
      </c>
      <c r="H136">
        <v>10.859948397188985</v>
      </c>
      <c r="I136">
        <v>63.065457934219978</v>
      </c>
      <c r="J136">
        <v>0</v>
      </c>
      <c r="K136">
        <v>63.065457934219978</v>
      </c>
    </row>
    <row r="137" spans="1:11" x14ac:dyDescent="0.25">
      <c r="A137" t="s">
        <v>27</v>
      </c>
      <c r="B137" t="s">
        <v>28</v>
      </c>
      <c r="C137" t="s">
        <v>80</v>
      </c>
      <c r="D137">
        <v>2019</v>
      </c>
      <c r="E137" t="s">
        <v>121</v>
      </c>
      <c r="F137" t="s">
        <v>109</v>
      </c>
      <c r="G137" t="s">
        <v>80</v>
      </c>
      <c r="H137">
        <v>192.06797649221136</v>
      </c>
      <c r="I137">
        <v>3914.4270588688119</v>
      </c>
      <c r="J137">
        <v>0</v>
      </c>
      <c r="K137">
        <v>3914.4270588688119</v>
      </c>
    </row>
    <row r="138" spans="1:11" x14ac:dyDescent="0.25">
      <c r="A138" t="s">
        <v>27</v>
      </c>
      <c r="B138" t="s">
        <v>28</v>
      </c>
      <c r="C138" t="s">
        <v>75</v>
      </c>
      <c r="D138">
        <v>2019</v>
      </c>
      <c r="E138" t="s">
        <v>121</v>
      </c>
      <c r="F138" t="s">
        <v>109</v>
      </c>
      <c r="G138" t="s">
        <v>52</v>
      </c>
      <c r="H138">
        <v>474.0804066690265</v>
      </c>
      <c r="I138">
        <v>4633.4631410733318</v>
      </c>
      <c r="J138">
        <v>769.75449543603963</v>
      </c>
      <c r="K138">
        <v>769.75449543603963</v>
      </c>
    </row>
    <row r="139" spans="1:11" x14ac:dyDescent="0.25">
      <c r="A139" t="s">
        <v>27</v>
      </c>
      <c r="B139" t="s">
        <v>28</v>
      </c>
      <c r="C139" t="s">
        <v>78</v>
      </c>
      <c r="D139">
        <v>2019</v>
      </c>
      <c r="E139" t="s">
        <v>121</v>
      </c>
      <c r="F139" t="s">
        <v>109</v>
      </c>
      <c r="G139" t="s">
        <v>78</v>
      </c>
      <c r="H139">
        <v>54.468549473984133</v>
      </c>
      <c r="I139">
        <v>1862.824392010257</v>
      </c>
      <c r="J139">
        <v>0</v>
      </c>
      <c r="K139">
        <v>1862.824392010257</v>
      </c>
    </row>
    <row r="140" spans="1:11" x14ac:dyDescent="0.25">
      <c r="A140" t="s">
        <v>27</v>
      </c>
      <c r="B140" t="s">
        <v>28</v>
      </c>
      <c r="C140" t="s">
        <v>65</v>
      </c>
      <c r="D140">
        <v>2019</v>
      </c>
      <c r="E140" t="s">
        <v>121</v>
      </c>
      <c r="F140" t="s">
        <v>109</v>
      </c>
      <c r="G140" t="s">
        <v>65</v>
      </c>
      <c r="H140">
        <v>89.457443063950791</v>
      </c>
      <c r="I140">
        <v>1492.4119769693252</v>
      </c>
      <c r="J140">
        <v>0</v>
      </c>
      <c r="K140">
        <v>1492.4119769693252</v>
      </c>
    </row>
    <row r="141" spans="1:11" x14ac:dyDescent="0.25">
      <c r="A141" t="s">
        <v>27</v>
      </c>
      <c r="B141" t="s">
        <v>28</v>
      </c>
      <c r="C141" t="s">
        <v>120</v>
      </c>
      <c r="D141">
        <v>2019</v>
      </c>
      <c r="E141" t="s">
        <v>121</v>
      </c>
      <c r="F141" t="s">
        <v>109</v>
      </c>
      <c r="G141" t="s">
        <v>53</v>
      </c>
      <c r="H141">
        <v>2528.5204441559808</v>
      </c>
      <c r="I141">
        <v>41841.956309893176</v>
      </c>
      <c r="J141">
        <v>0</v>
      </c>
      <c r="K141">
        <v>41841.956309893176</v>
      </c>
    </row>
    <row r="142" spans="1:11" x14ac:dyDescent="0.25">
      <c r="A142" t="s">
        <v>27</v>
      </c>
      <c r="B142" t="s">
        <v>28</v>
      </c>
      <c r="C142" t="s">
        <v>29</v>
      </c>
      <c r="D142">
        <v>2030</v>
      </c>
      <c r="E142" t="s">
        <v>121</v>
      </c>
      <c r="F142" t="s">
        <v>109</v>
      </c>
      <c r="G142" t="s">
        <v>52</v>
      </c>
      <c r="H142">
        <v>3316.333003261539</v>
      </c>
      <c r="I142">
        <v>18690.985459702162</v>
      </c>
      <c r="J142">
        <v>6065.2247816733534</v>
      </c>
      <c r="K142">
        <v>6065.2247816733534</v>
      </c>
    </row>
    <row r="143" spans="1:11" x14ac:dyDescent="0.25">
      <c r="A143" t="s">
        <v>27</v>
      </c>
      <c r="B143" t="s">
        <v>28</v>
      </c>
      <c r="C143" t="s">
        <v>34</v>
      </c>
      <c r="D143">
        <v>2030</v>
      </c>
      <c r="E143" t="s">
        <v>121</v>
      </c>
      <c r="F143" t="s">
        <v>109</v>
      </c>
      <c r="G143" t="s">
        <v>52</v>
      </c>
      <c r="H143">
        <v>284.29000357853357</v>
      </c>
      <c r="I143">
        <v>750.59383904818742</v>
      </c>
      <c r="J143">
        <v>221.5399105930594</v>
      </c>
      <c r="K143">
        <v>221.5399105930594</v>
      </c>
    </row>
    <row r="144" spans="1:11" x14ac:dyDescent="0.25">
      <c r="A144" t="s">
        <v>27</v>
      </c>
      <c r="B144" t="s">
        <v>28</v>
      </c>
      <c r="C144" t="s">
        <v>72</v>
      </c>
      <c r="D144">
        <v>2030</v>
      </c>
      <c r="E144" t="s">
        <v>121</v>
      </c>
      <c r="F144" t="s">
        <v>109</v>
      </c>
      <c r="G144" t="s">
        <v>52</v>
      </c>
      <c r="H144">
        <v>304.4129024919622</v>
      </c>
      <c r="I144">
        <v>884.01506883665832</v>
      </c>
      <c r="J144">
        <v>469.41200155226556</v>
      </c>
      <c r="K144">
        <v>469.41200155226556</v>
      </c>
    </row>
    <row r="145" spans="1:11" x14ac:dyDescent="0.25">
      <c r="A145" t="s">
        <v>27</v>
      </c>
      <c r="B145" t="s">
        <v>28</v>
      </c>
      <c r="C145" t="s">
        <v>53</v>
      </c>
      <c r="D145">
        <v>2030</v>
      </c>
      <c r="E145" t="s">
        <v>121</v>
      </c>
      <c r="F145" t="s">
        <v>109</v>
      </c>
      <c r="G145" t="s">
        <v>53</v>
      </c>
      <c r="H145">
        <v>2809.229715431773</v>
      </c>
      <c r="I145">
        <v>130472.76385702222</v>
      </c>
      <c r="J145">
        <v>0</v>
      </c>
      <c r="K145">
        <v>130472.76385702222</v>
      </c>
    </row>
    <row r="146" spans="1:11" x14ac:dyDescent="0.25">
      <c r="A146" t="s">
        <v>27</v>
      </c>
      <c r="B146" t="s">
        <v>28</v>
      </c>
      <c r="C146" t="s">
        <v>30</v>
      </c>
      <c r="D146">
        <v>2030</v>
      </c>
      <c r="E146" t="s">
        <v>121</v>
      </c>
      <c r="F146" t="s">
        <v>109</v>
      </c>
      <c r="G146" t="s">
        <v>30</v>
      </c>
      <c r="H146">
        <v>13.138873045431023</v>
      </c>
      <c r="I146">
        <v>186.48002513380249</v>
      </c>
      <c r="J146">
        <v>0</v>
      </c>
      <c r="K146">
        <v>186.48002513380249</v>
      </c>
    </row>
    <row r="147" spans="1:11" x14ac:dyDescent="0.25">
      <c r="A147" t="s">
        <v>27</v>
      </c>
      <c r="B147" t="s">
        <v>28</v>
      </c>
      <c r="C147" t="s">
        <v>31</v>
      </c>
      <c r="D147">
        <v>2030</v>
      </c>
      <c r="E147" t="s">
        <v>121</v>
      </c>
      <c r="F147" t="s">
        <v>109</v>
      </c>
      <c r="G147" t="s">
        <v>31</v>
      </c>
      <c r="H147">
        <v>207.42875066915491</v>
      </c>
      <c r="I147">
        <v>6025.82496205806</v>
      </c>
      <c r="J147">
        <v>0</v>
      </c>
      <c r="K147">
        <v>6025.82496205806</v>
      </c>
    </row>
    <row r="148" spans="1:11" x14ac:dyDescent="0.25">
      <c r="A148" t="s">
        <v>27</v>
      </c>
      <c r="B148" t="s">
        <v>28</v>
      </c>
      <c r="C148" t="s">
        <v>55</v>
      </c>
      <c r="D148">
        <v>2030</v>
      </c>
      <c r="E148" t="s">
        <v>121</v>
      </c>
      <c r="F148" t="s">
        <v>109</v>
      </c>
      <c r="G148" t="s">
        <v>55</v>
      </c>
      <c r="H148">
        <v>5.4419595307550885</v>
      </c>
      <c r="I148">
        <v>302.45079010200891</v>
      </c>
      <c r="J148">
        <v>0</v>
      </c>
      <c r="K148">
        <v>302.45079010200891</v>
      </c>
    </row>
    <row r="149" spans="1:11" x14ac:dyDescent="0.25">
      <c r="A149" t="s">
        <v>27</v>
      </c>
      <c r="B149" t="s">
        <v>28</v>
      </c>
      <c r="C149" t="s">
        <v>54</v>
      </c>
      <c r="D149">
        <v>2030</v>
      </c>
      <c r="E149" t="s">
        <v>121</v>
      </c>
      <c r="F149" t="s">
        <v>109</v>
      </c>
      <c r="G149" t="s">
        <v>54</v>
      </c>
      <c r="H149">
        <v>702.47519631038767</v>
      </c>
      <c r="I149">
        <v>31142.102303824257</v>
      </c>
      <c r="J149">
        <v>0</v>
      </c>
      <c r="K149">
        <v>31142.102303824257</v>
      </c>
    </row>
    <row r="150" spans="1:11" x14ac:dyDescent="0.25">
      <c r="A150" t="s">
        <v>27</v>
      </c>
      <c r="B150" t="s">
        <v>28</v>
      </c>
      <c r="C150" t="s">
        <v>41</v>
      </c>
      <c r="D150">
        <v>2030</v>
      </c>
      <c r="E150" t="s">
        <v>121</v>
      </c>
      <c r="F150" t="s">
        <v>109</v>
      </c>
      <c r="G150" t="s">
        <v>41</v>
      </c>
      <c r="H150">
        <v>11.967268855448575</v>
      </c>
      <c r="I150">
        <v>69.495845006606757</v>
      </c>
      <c r="J150">
        <v>0</v>
      </c>
      <c r="K150">
        <v>69.495845006606757</v>
      </c>
    </row>
    <row r="151" spans="1:11" x14ac:dyDescent="0.25">
      <c r="A151" t="s">
        <v>27</v>
      </c>
      <c r="B151" t="s">
        <v>28</v>
      </c>
      <c r="C151" t="s">
        <v>80</v>
      </c>
      <c r="D151">
        <v>2030</v>
      </c>
      <c r="E151" t="s">
        <v>121</v>
      </c>
      <c r="F151" t="s">
        <v>109</v>
      </c>
      <c r="G151" t="s">
        <v>80</v>
      </c>
      <c r="H151">
        <v>211.65193692810058</v>
      </c>
      <c r="I151">
        <v>4313.5565027778002</v>
      </c>
      <c r="J151">
        <v>0</v>
      </c>
      <c r="K151">
        <v>4313.5565027778002</v>
      </c>
    </row>
    <row r="152" spans="1:11" x14ac:dyDescent="0.25">
      <c r="A152" t="s">
        <v>27</v>
      </c>
      <c r="B152" t="s">
        <v>28</v>
      </c>
      <c r="C152" t="s">
        <v>75</v>
      </c>
      <c r="D152">
        <v>2030</v>
      </c>
      <c r="E152" t="s">
        <v>121</v>
      </c>
      <c r="F152" t="s">
        <v>109</v>
      </c>
      <c r="G152" t="s">
        <v>52</v>
      </c>
      <c r="H152">
        <v>522.41939631841763</v>
      </c>
      <c r="I152">
        <v>5105.9081602439846</v>
      </c>
      <c r="J152">
        <v>843.31028631304218</v>
      </c>
      <c r="K152">
        <v>843.31028631304218</v>
      </c>
    </row>
    <row r="153" spans="1:11" x14ac:dyDescent="0.25">
      <c r="A153" t="s">
        <v>27</v>
      </c>
      <c r="B153" t="s">
        <v>28</v>
      </c>
      <c r="C153" t="s">
        <v>78</v>
      </c>
      <c r="D153">
        <v>2030</v>
      </c>
      <c r="E153" t="s">
        <v>121</v>
      </c>
      <c r="F153" t="s">
        <v>109</v>
      </c>
      <c r="G153" t="s">
        <v>78</v>
      </c>
      <c r="H153">
        <v>60.022364000384563</v>
      </c>
      <c r="I153">
        <v>2052.7648488131522</v>
      </c>
      <c r="J153">
        <v>0</v>
      </c>
      <c r="K153">
        <v>2052.7648488131522</v>
      </c>
    </row>
    <row r="154" spans="1:11" x14ac:dyDescent="0.25">
      <c r="A154" t="s">
        <v>27</v>
      </c>
      <c r="B154" t="s">
        <v>28</v>
      </c>
      <c r="C154" t="s">
        <v>65</v>
      </c>
      <c r="D154">
        <v>2030</v>
      </c>
      <c r="E154" t="s">
        <v>121</v>
      </c>
      <c r="F154" t="s">
        <v>109</v>
      </c>
      <c r="G154" t="s">
        <v>65</v>
      </c>
      <c r="H154">
        <v>98.578854439528371</v>
      </c>
      <c r="I154">
        <v>1644.5838155277415</v>
      </c>
      <c r="J154">
        <v>0</v>
      </c>
      <c r="K154">
        <v>1644.5838155277415</v>
      </c>
    </row>
    <row r="155" spans="1:11" x14ac:dyDescent="0.25">
      <c r="A155" t="s">
        <v>27</v>
      </c>
      <c r="B155" t="s">
        <v>28</v>
      </c>
      <c r="C155" t="s">
        <v>120</v>
      </c>
      <c r="D155">
        <v>2030</v>
      </c>
      <c r="E155" t="s">
        <v>121</v>
      </c>
      <c r="F155" t="s">
        <v>109</v>
      </c>
      <c r="G155" t="s">
        <v>53</v>
      </c>
      <c r="H155">
        <v>2786.3377297027769</v>
      </c>
      <c r="I155">
        <v>46108.316751121551</v>
      </c>
      <c r="J155">
        <v>0</v>
      </c>
      <c r="K155">
        <v>46108.316751121551</v>
      </c>
    </row>
    <row r="156" spans="1:11" x14ac:dyDescent="0.25">
      <c r="A156" t="s">
        <v>27</v>
      </c>
      <c r="B156" t="s">
        <v>28</v>
      </c>
      <c r="C156" t="s">
        <v>29</v>
      </c>
      <c r="D156">
        <v>2050</v>
      </c>
      <c r="E156" t="s">
        <v>121</v>
      </c>
      <c r="F156" t="s">
        <v>109</v>
      </c>
      <c r="G156" t="s">
        <v>52</v>
      </c>
      <c r="H156">
        <v>4298.9501894131054</v>
      </c>
      <c r="I156">
        <v>24229.05522553984</v>
      </c>
      <c r="J156">
        <v>7862.3284206876779</v>
      </c>
      <c r="K156">
        <v>7862.3284206876779</v>
      </c>
    </row>
    <row r="157" spans="1:11" x14ac:dyDescent="0.25">
      <c r="A157" t="s">
        <v>27</v>
      </c>
      <c r="B157" t="s">
        <v>28</v>
      </c>
      <c r="C157" t="s">
        <v>34</v>
      </c>
      <c r="D157">
        <v>2050</v>
      </c>
      <c r="E157" t="s">
        <v>121</v>
      </c>
      <c r="F157" t="s">
        <v>109</v>
      </c>
      <c r="G157" t="s">
        <v>52</v>
      </c>
      <c r="H157">
        <v>368.52407871291382</v>
      </c>
      <c r="I157">
        <v>972.99201358098344</v>
      </c>
      <c r="J157">
        <v>287.18136558359549</v>
      </c>
      <c r="K157">
        <v>287.18136558359549</v>
      </c>
    </row>
    <row r="158" spans="1:11" x14ac:dyDescent="0.25">
      <c r="A158" t="s">
        <v>27</v>
      </c>
      <c r="B158" t="s">
        <v>28</v>
      </c>
      <c r="C158" t="s">
        <v>72</v>
      </c>
      <c r="D158">
        <v>2050</v>
      </c>
      <c r="E158" t="s">
        <v>121</v>
      </c>
      <c r="F158" t="s">
        <v>109</v>
      </c>
      <c r="G158" t="s">
        <v>52</v>
      </c>
      <c r="H158">
        <v>394.60931804513621</v>
      </c>
      <c r="I158">
        <v>1145.9454596030757</v>
      </c>
      <c r="J158">
        <v>608.49703904923308</v>
      </c>
      <c r="K158">
        <v>608.49703904923308</v>
      </c>
    </row>
    <row r="159" spans="1:11" x14ac:dyDescent="0.25">
      <c r="A159" t="s">
        <v>27</v>
      </c>
      <c r="B159" t="s">
        <v>28</v>
      </c>
      <c r="C159" t="s">
        <v>53</v>
      </c>
      <c r="D159">
        <v>2050</v>
      </c>
      <c r="E159" t="s">
        <v>121</v>
      </c>
      <c r="F159" t="s">
        <v>109</v>
      </c>
      <c r="G159" t="s">
        <v>53</v>
      </c>
      <c r="H159">
        <v>3641.5940755597057</v>
      </c>
      <c r="I159">
        <v>169131.36055539915</v>
      </c>
      <c r="J159">
        <v>0</v>
      </c>
      <c r="K159">
        <v>169131.36055539915</v>
      </c>
    </row>
    <row r="160" spans="1:11" x14ac:dyDescent="0.25">
      <c r="A160" t="s">
        <v>27</v>
      </c>
      <c r="B160" t="s">
        <v>28</v>
      </c>
      <c r="C160" t="s">
        <v>30</v>
      </c>
      <c r="D160">
        <v>2050</v>
      </c>
      <c r="E160" t="s">
        <v>121</v>
      </c>
      <c r="F160" t="s">
        <v>109</v>
      </c>
      <c r="G160" t="s">
        <v>30</v>
      </c>
      <c r="H160">
        <v>17.031872466299472</v>
      </c>
      <c r="I160">
        <v>241.7333659141884</v>
      </c>
      <c r="J160">
        <v>0</v>
      </c>
      <c r="K160">
        <v>241.7333659141884</v>
      </c>
    </row>
    <row r="161" spans="1:11" x14ac:dyDescent="0.25">
      <c r="A161" t="s">
        <v>27</v>
      </c>
      <c r="B161" t="s">
        <v>28</v>
      </c>
      <c r="C161" t="s">
        <v>31</v>
      </c>
      <c r="D161">
        <v>2050</v>
      </c>
      <c r="E161" t="s">
        <v>121</v>
      </c>
      <c r="F161" t="s">
        <v>109</v>
      </c>
      <c r="G161" t="s">
        <v>31</v>
      </c>
      <c r="H161">
        <v>268.88912123779335</v>
      </c>
      <c r="I161">
        <v>7811.2545804456331</v>
      </c>
      <c r="J161">
        <v>0</v>
      </c>
      <c r="K161">
        <v>7811.2545804456331</v>
      </c>
    </row>
    <row r="162" spans="1:11" x14ac:dyDescent="0.25">
      <c r="A162" t="s">
        <v>27</v>
      </c>
      <c r="B162" t="s">
        <v>28</v>
      </c>
      <c r="C162" t="s">
        <v>55</v>
      </c>
      <c r="D162">
        <v>2050</v>
      </c>
      <c r="E162" t="s">
        <v>121</v>
      </c>
      <c r="F162" t="s">
        <v>109</v>
      </c>
      <c r="G162" t="s">
        <v>55</v>
      </c>
      <c r="H162">
        <v>7.0543919843121516</v>
      </c>
      <c r="I162">
        <v>392.06583902112266</v>
      </c>
      <c r="J162">
        <v>0</v>
      </c>
      <c r="K162">
        <v>392.06583902112266</v>
      </c>
    </row>
    <row r="163" spans="1:11" x14ac:dyDescent="0.25">
      <c r="A163" t="s">
        <v>27</v>
      </c>
      <c r="B163" t="s">
        <v>28</v>
      </c>
      <c r="C163" t="s">
        <v>54</v>
      </c>
      <c r="D163">
        <v>2050</v>
      </c>
      <c r="E163" t="s">
        <v>121</v>
      </c>
      <c r="F163" t="s">
        <v>109</v>
      </c>
      <c r="G163" t="s">
        <v>54</v>
      </c>
      <c r="H163">
        <v>910.61599521716903</v>
      </c>
      <c r="I163">
        <v>40369.391875327732</v>
      </c>
      <c r="J163">
        <v>0</v>
      </c>
      <c r="K163">
        <v>40369.391875327732</v>
      </c>
    </row>
    <row r="164" spans="1:11" x14ac:dyDescent="0.25">
      <c r="A164" t="s">
        <v>27</v>
      </c>
      <c r="B164" t="s">
        <v>28</v>
      </c>
      <c r="C164" t="s">
        <v>41</v>
      </c>
      <c r="D164">
        <v>2050</v>
      </c>
      <c r="E164" t="s">
        <v>121</v>
      </c>
      <c r="F164" t="s">
        <v>109</v>
      </c>
      <c r="G164" t="s">
        <v>41</v>
      </c>
      <c r="H164">
        <v>15.513126294100001</v>
      </c>
      <c r="I164">
        <v>90.087206490045759</v>
      </c>
      <c r="J164">
        <v>0</v>
      </c>
      <c r="K164">
        <v>90.087206490045759</v>
      </c>
    </row>
    <row r="165" spans="1:11" x14ac:dyDescent="0.25">
      <c r="A165" t="s">
        <v>27</v>
      </c>
      <c r="B165" t="s">
        <v>28</v>
      </c>
      <c r="C165" t="s">
        <v>80</v>
      </c>
      <c r="D165">
        <v>2050</v>
      </c>
      <c r="E165" t="s">
        <v>121</v>
      </c>
      <c r="F165" t="s">
        <v>109</v>
      </c>
      <c r="G165" t="s">
        <v>80</v>
      </c>
      <c r="H165">
        <v>274.36362194383406</v>
      </c>
      <c r="I165">
        <v>5591.6473184156675</v>
      </c>
      <c r="J165">
        <v>0</v>
      </c>
      <c r="K165">
        <v>5591.6473184156675</v>
      </c>
    </row>
    <row r="166" spans="1:11" x14ac:dyDescent="0.25">
      <c r="A166" t="s">
        <v>27</v>
      </c>
      <c r="B166" t="s">
        <v>28</v>
      </c>
      <c r="C166" t="s">
        <v>75</v>
      </c>
      <c r="D166">
        <v>2050</v>
      </c>
      <c r="E166" t="s">
        <v>121</v>
      </c>
      <c r="F166" t="s">
        <v>109</v>
      </c>
      <c r="G166" t="s">
        <v>52</v>
      </c>
      <c r="H166">
        <v>677.21032856091165</v>
      </c>
      <c r="I166">
        <v>6618.7698373533121</v>
      </c>
      <c r="J166">
        <v>1093.1800007761658</v>
      </c>
      <c r="K166">
        <v>1093.1800007761658</v>
      </c>
    </row>
    <row r="167" spans="1:11" x14ac:dyDescent="0.25">
      <c r="A167" t="s">
        <v>27</v>
      </c>
      <c r="B167" t="s">
        <v>28</v>
      </c>
      <c r="C167" t="s">
        <v>78</v>
      </c>
      <c r="D167">
        <v>2050</v>
      </c>
      <c r="E167" t="s">
        <v>121</v>
      </c>
      <c r="F167" t="s">
        <v>109</v>
      </c>
      <c r="G167" t="s">
        <v>78</v>
      </c>
      <c r="H167">
        <v>77.80676814864664</v>
      </c>
      <c r="I167">
        <v>2660.9914706837153</v>
      </c>
      <c r="J167">
        <v>0</v>
      </c>
      <c r="K167">
        <v>2660.9914706837153</v>
      </c>
    </row>
    <row r="168" spans="1:11" x14ac:dyDescent="0.25">
      <c r="A168" t="s">
        <v>27</v>
      </c>
      <c r="B168" t="s">
        <v>28</v>
      </c>
      <c r="C168" t="s">
        <v>65</v>
      </c>
      <c r="D168">
        <v>2050</v>
      </c>
      <c r="E168" t="s">
        <v>121</v>
      </c>
      <c r="F168" t="s">
        <v>109</v>
      </c>
      <c r="G168" t="s">
        <v>65</v>
      </c>
      <c r="H168">
        <v>127.78740390309231</v>
      </c>
      <c r="I168">
        <v>2131.8679090174423</v>
      </c>
      <c r="J168">
        <v>0</v>
      </c>
      <c r="K168">
        <v>2131.8679090174423</v>
      </c>
    </row>
    <row r="169" spans="1:11" x14ac:dyDescent="0.25">
      <c r="A169" t="s">
        <v>27</v>
      </c>
      <c r="B169" t="s">
        <v>28</v>
      </c>
      <c r="C169" t="s">
        <v>120</v>
      </c>
      <c r="D169">
        <v>2050</v>
      </c>
      <c r="E169" t="s">
        <v>121</v>
      </c>
      <c r="F169" t="s">
        <v>109</v>
      </c>
      <c r="G169" t="s">
        <v>53</v>
      </c>
      <c r="H169">
        <v>3611.9192792443396</v>
      </c>
      <c r="I169">
        <v>59770.040232935331</v>
      </c>
      <c r="J169">
        <v>0</v>
      </c>
      <c r="K169">
        <v>59770.040232935331</v>
      </c>
    </row>
    <row r="170" spans="1:11" x14ac:dyDescent="0.25">
      <c r="A170" t="s">
        <v>27</v>
      </c>
      <c r="B170" t="s">
        <v>28</v>
      </c>
      <c r="C170" t="s">
        <v>29</v>
      </c>
      <c r="D170">
        <v>2019</v>
      </c>
      <c r="E170" t="s">
        <v>119</v>
      </c>
      <c r="F170" t="s">
        <v>110</v>
      </c>
      <c r="G170" t="s">
        <v>52</v>
      </c>
      <c r="H170">
        <v>11897.853201235472</v>
      </c>
      <c r="I170">
        <v>116765.53131692491</v>
      </c>
      <c r="J170">
        <v>38111.977508016003</v>
      </c>
      <c r="K170">
        <v>38111.977508016003</v>
      </c>
    </row>
    <row r="171" spans="1:11" x14ac:dyDescent="0.25">
      <c r="A171" t="s">
        <v>27</v>
      </c>
      <c r="B171" t="s">
        <v>28</v>
      </c>
      <c r="C171" t="s">
        <v>34</v>
      </c>
      <c r="D171">
        <v>2019</v>
      </c>
      <c r="E171" t="s">
        <v>119</v>
      </c>
      <c r="F171" t="s">
        <v>110</v>
      </c>
      <c r="G171" t="s">
        <v>52</v>
      </c>
      <c r="H171">
        <v>685.06913436036109</v>
      </c>
      <c r="I171">
        <v>3702.113602083391</v>
      </c>
      <c r="J171">
        <v>1099.0788345670951</v>
      </c>
      <c r="K171">
        <v>1099.0788345670951</v>
      </c>
    </row>
    <row r="172" spans="1:11" x14ac:dyDescent="0.25">
      <c r="A172" t="s">
        <v>27</v>
      </c>
      <c r="B172" t="s">
        <v>28</v>
      </c>
      <c r="C172" t="s">
        <v>72</v>
      </c>
      <c r="D172">
        <v>2019</v>
      </c>
      <c r="E172" t="s">
        <v>119</v>
      </c>
      <c r="F172" t="s">
        <v>110</v>
      </c>
      <c r="G172" t="s">
        <v>52</v>
      </c>
      <c r="H172">
        <v>887.13350750082327</v>
      </c>
      <c r="I172">
        <v>5464.7424062050713</v>
      </c>
      <c r="J172">
        <v>2918.7462428661602</v>
      </c>
      <c r="K172">
        <v>2918.7462428661602</v>
      </c>
    </row>
    <row r="173" spans="1:11" x14ac:dyDescent="0.25">
      <c r="A173" t="s">
        <v>27</v>
      </c>
      <c r="B173" t="s">
        <v>28</v>
      </c>
      <c r="C173" t="s">
        <v>53</v>
      </c>
      <c r="D173">
        <v>2019</v>
      </c>
      <c r="E173" t="s">
        <v>119</v>
      </c>
      <c r="F173" t="s">
        <v>110</v>
      </c>
      <c r="G173" t="s">
        <v>53</v>
      </c>
      <c r="H173">
        <v>20460.09912171523</v>
      </c>
      <c r="I173">
        <v>1421322.1657873136</v>
      </c>
      <c r="J173">
        <v>0</v>
      </c>
      <c r="K173">
        <v>1421322.1657873136</v>
      </c>
    </row>
    <row r="174" spans="1:11" x14ac:dyDescent="0.25">
      <c r="A174" t="s">
        <v>27</v>
      </c>
      <c r="B174" t="s">
        <v>28</v>
      </c>
      <c r="C174" t="s">
        <v>30</v>
      </c>
      <c r="D174">
        <v>2019</v>
      </c>
      <c r="E174" t="s">
        <v>119</v>
      </c>
      <c r="F174" t="s">
        <v>110</v>
      </c>
      <c r="G174" t="s">
        <v>30</v>
      </c>
      <c r="H174">
        <v>23.781029114723999</v>
      </c>
      <c r="I174">
        <v>690.83889578273215</v>
      </c>
      <c r="J174">
        <v>0</v>
      </c>
      <c r="K174">
        <v>690.83889578273215</v>
      </c>
    </row>
    <row r="175" spans="1:11" x14ac:dyDescent="0.25">
      <c r="A175" t="s">
        <v>27</v>
      </c>
      <c r="B175" t="s">
        <v>28</v>
      </c>
      <c r="C175" t="s">
        <v>31</v>
      </c>
      <c r="D175">
        <v>2019</v>
      </c>
      <c r="E175" t="s">
        <v>119</v>
      </c>
      <c r="F175" t="s">
        <v>110</v>
      </c>
      <c r="G175" t="s">
        <v>31</v>
      </c>
      <c r="H175">
        <v>1258.7368446928817</v>
      </c>
      <c r="I175">
        <v>74843.560387776015</v>
      </c>
      <c r="J175">
        <v>0</v>
      </c>
      <c r="K175">
        <v>74843.560387776015</v>
      </c>
    </row>
    <row r="176" spans="1:11" x14ac:dyDescent="0.25">
      <c r="A176" t="s">
        <v>27</v>
      </c>
      <c r="B176" t="s">
        <v>28</v>
      </c>
      <c r="C176" t="s">
        <v>55</v>
      </c>
      <c r="D176">
        <v>2019</v>
      </c>
      <c r="E176" t="s">
        <v>119</v>
      </c>
      <c r="F176" t="s">
        <v>110</v>
      </c>
      <c r="G176" t="s">
        <v>55</v>
      </c>
      <c r="H176">
        <v>13.612059153984784</v>
      </c>
      <c r="I176">
        <v>1548.442836537469</v>
      </c>
      <c r="J176">
        <v>0</v>
      </c>
      <c r="K176">
        <v>1548.442836537469</v>
      </c>
    </row>
    <row r="177" spans="1:11" x14ac:dyDescent="0.25">
      <c r="A177" t="s">
        <v>27</v>
      </c>
      <c r="B177" t="s">
        <v>28</v>
      </c>
      <c r="C177" t="s">
        <v>54</v>
      </c>
      <c r="D177">
        <v>2019</v>
      </c>
      <c r="E177" t="s">
        <v>119</v>
      </c>
      <c r="F177" t="s">
        <v>110</v>
      </c>
      <c r="G177" t="s">
        <v>54</v>
      </c>
      <c r="H177">
        <v>1692.7928122278877</v>
      </c>
      <c r="I177">
        <v>105484.6913011686</v>
      </c>
      <c r="J177">
        <v>0</v>
      </c>
      <c r="K177">
        <v>105484.6913011686</v>
      </c>
    </row>
    <row r="178" spans="1:11" x14ac:dyDescent="0.25">
      <c r="A178" t="s">
        <v>27</v>
      </c>
      <c r="B178" t="s">
        <v>28</v>
      </c>
      <c r="C178" t="s">
        <v>41</v>
      </c>
      <c r="D178">
        <v>2019</v>
      </c>
      <c r="E178" t="s">
        <v>119</v>
      </c>
      <c r="F178" t="s">
        <v>110</v>
      </c>
      <c r="G178" t="s">
        <v>41</v>
      </c>
      <c r="H178">
        <v>48.510297939945318</v>
      </c>
      <c r="I178">
        <v>576.59340131419003</v>
      </c>
      <c r="J178">
        <v>0</v>
      </c>
      <c r="K178">
        <v>576.59340131419003</v>
      </c>
    </row>
    <row r="179" spans="1:11" x14ac:dyDescent="0.25">
      <c r="A179" t="s">
        <v>27</v>
      </c>
      <c r="B179" t="s">
        <v>28</v>
      </c>
      <c r="C179" t="s">
        <v>80</v>
      </c>
      <c r="D179">
        <v>2019</v>
      </c>
      <c r="E179" t="s">
        <v>119</v>
      </c>
      <c r="F179" t="s">
        <v>110</v>
      </c>
      <c r="G179" t="s">
        <v>80</v>
      </c>
      <c r="H179">
        <v>857.94834593977373</v>
      </c>
      <c r="I179">
        <v>35788.732627988727</v>
      </c>
      <c r="J179">
        <v>0</v>
      </c>
      <c r="K179">
        <v>35788.732627988727</v>
      </c>
    </row>
    <row r="180" spans="1:11" x14ac:dyDescent="0.25">
      <c r="A180" t="s">
        <v>27</v>
      </c>
      <c r="B180" t="s">
        <v>28</v>
      </c>
      <c r="C180" t="s">
        <v>75</v>
      </c>
      <c r="D180">
        <v>2019</v>
      </c>
      <c r="E180" t="s">
        <v>119</v>
      </c>
      <c r="F180" t="s">
        <v>110</v>
      </c>
      <c r="G180" t="s">
        <v>52</v>
      </c>
      <c r="H180">
        <v>2729.7047934959128</v>
      </c>
      <c r="I180">
        <v>54606.120392299723</v>
      </c>
      <c r="J180">
        <v>9071.6825343208366</v>
      </c>
      <c r="K180">
        <v>9071.6825343208366</v>
      </c>
    </row>
    <row r="181" spans="1:11" x14ac:dyDescent="0.25">
      <c r="A181" t="s">
        <v>27</v>
      </c>
      <c r="B181" t="s">
        <v>28</v>
      </c>
      <c r="C181" t="s">
        <v>78</v>
      </c>
      <c r="D181">
        <v>2019</v>
      </c>
      <c r="E181" t="s">
        <v>119</v>
      </c>
      <c r="F181" t="s">
        <v>110</v>
      </c>
      <c r="G181" t="s">
        <v>78</v>
      </c>
      <c r="H181">
        <v>243.3055357816946</v>
      </c>
      <c r="I181">
        <v>17031.387504718623</v>
      </c>
      <c r="J181">
        <v>0</v>
      </c>
      <c r="K181">
        <v>17031.387504718623</v>
      </c>
    </row>
    <row r="182" spans="1:11" x14ac:dyDescent="0.25">
      <c r="A182" t="s">
        <v>27</v>
      </c>
      <c r="B182" t="s">
        <v>28</v>
      </c>
      <c r="C182" t="s">
        <v>65</v>
      </c>
      <c r="D182">
        <v>2019</v>
      </c>
      <c r="E182" t="s">
        <v>119</v>
      </c>
      <c r="F182" t="s">
        <v>110</v>
      </c>
      <c r="G182" t="s">
        <v>65</v>
      </c>
      <c r="H182">
        <v>574.32851892788028</v>
      </c>
      <c r="I182">
        <v>19611.217719488595</v>
      </c>
      <c r="J182">
        <v>0</v>
      </c>
      <c r="K182">
        <v>19611.217719488595</v>
      </c>
    </row>
    <row r="183" spans="1:11" x14ac:dyDescent="0.25">
      <c r="A183" t="s">
        <v>27</v>
      </c>
      <c r="B183" t="s">
        <v>28</v>
      </c>
      <c r="C183" t="s">
        <v>120</v>
      </c>
      <c r="D183">
        <v>2019</v>
      </c>
      <c r="E183" t="s">
        <v>119</v>
      </c>
      <c r="F183" t="s">
        <v>110</v>
      </c>
      <c r="G183" t="s">
        <v>53</v>
      </c>
      <c r="H183">
        <v>21241.691978712064</v>
      </c>
      <c r="I183">
        <v>410092.10534101515</v>
      </c>
      <c r="J183">
        <v>0</v>
      </c>
      <c r="K183">
        <v>410092.10534101515</v>
      </c>
    </row>
    <row r="184" spans="1:11" x14ac:dyDescent="0.25">
      <c r="A184" t="s">
        <v>27</v>
      </c>
      <c r="B184" t="s">
        <v>28</v>
      </c>
      <c r="C184" t="s">
        <v>29</v>
      </c>
      <c r="D184">
        <v>2030</v>
      </c>
      <c r="E184" t="s">
        <v>119</v>
      </c>
      <c r="F184" t="s">
        <v>110</v>
      </c>
      <c r="G184" t="s">
        <v>52</v>
      </c>
      <c r="H184">
        <v>10494.747555877077</v>
      </c>
      <c r="I184">
        <v>102995.45251337762</v>
      </c>
      <c r="J184">
        <v>33422.024340591037</v>
      </c>
      <c r="K184">
        <v>33422.024340591037</v>
      </c>
    </row>
    <row r="185" spans="1:11" x14ac:dyDescent="0.25">
      <c r="A185" t="s">
        <v>27</v>
      </c>
      <c r="B185" t="s">
        <v>28</v>
      </c>
      <c r="C185" t="s">
        <v>34</v>
      </c>
      <c r="D185">
        <v>2030</v>
      </c>
      <c r="E185" t="s">
        <v>119</v>
      </c>
      <c r="F185" t="s">
        <v>110</v>
      </c>
      <c r="G185" t="s">
        <v>52</v>
      </c>
      <c r="H185">
        <v>604.279402496633</v>
      </c>
      <c r="I185">
        <v>3265.5258910918051</v>
      </c>
      <c r="J185">
        <v>963.82927265854437</v>
      </c>
      <c r="K185">
        <v>963.82927265854437</v>
      </c>
    </row>
    <row r="186" spans="1:11" x14ac:dyDescent="0.25">
      <c r="A186" t="s">
        <v>27</v>
      </c>
      <c r="B186" t="s">
        <v>28</v>
      </c>
      <c r="C186" t="s">
        <v>72</v>
      </c>
      <c r="D186">
        <v>2030</v>
      </c>
      <c r="E186" t="s">
        <v>119</v>
      </c>
      <c r="F186" t="s">
        <v>110</v>
      </c>
      <c r="G186" t="s">
        <v>52</v>
      </c>
      <c r="H186">
        <v>782.5144630809657</v>
      </c>
      <c r="I186">
        <v>4820.2890925787488</v>
      </c>
      <c r="J186">
        <v>2559.5735081593152</v>
      </c>
      <c r="K186">
        <v>2559.5735081593152</v>
      </c>
    </row>
    <row r="187" spans="1:11" x14ac:dyDescent="0.25">
      <c r="A187" t="s">
        <v>27</v>
      </c>
      <c r="B187" t="s">
        <v>28</v>
      </c>
      <c r="C187" t="s">
        <v>53</v>
      </c>
      <c r="D187">
        <v>2030</v>
      </c>
      <c r="E187" t="s">
        <v>119</v>
      </c>
      <c r="F187" t="s">
        <v>110</v>
      </c>
      <c r="G187" t="s">
        <v>53</v>
      </c>
      <c r="H187">
        <v>18047.25370357795</v>
      </c>
      <c r="I187">
        <v>1253706.6202801529</v>
      </c>
      <c r="J187">
        <v>0</v>
      </c>
      <c r="K187">
        <v>1253706.6202801529</v>
      </c>
    </row>
    <row r="188" spans="1:11" x14ac:dyDescent="0.25">
      <c r="A188" t="s">
        <v>27</v>
      </c>
      <c r="B188" t="s">
        <v>28</v>
      </c>
      <c r="C188" t="s">
        <v>30</v>
      </c>
      <c r="D188">
        <v>2030</v>
      </c>
      <c r="E188" t="s">
        <v>119</v>
      </c>
      <c r="F188" t="s">
        <v>110</v>
      </c>
      <c r="G188" t="s">
        <v>30</v>
      </c>
      <c r="H188">
        <v>20.976548706457006</v>
      </c>
      <c r="I188">
        <v>609.36873992257597</v>
      </c>
      <c r="J188">
        <v>0</v>
      </c>
      <c r="K188">
        <v>609.36873992257597</v>
      </c>
    </row>
    <row r="189" spans="1:11" x14ac:dyDescent="0.25">
      <c r="A189" t="s">
        <v>27</v>
      </c>
      <c r="B189" t="s">
        <v>28</v>
      </c>
      <c r="C189" t="s">
        <v>31</v>
      </c>
      <c r="D189">
        <v>2030</v>
      </c>
      <c r="E189" t="s">
        <v>119</v>
      </c>
      <c r="F189" t="s">
        <v>110</v>
      </c>
      <c r="G189" t="s">
        <v>31</v>
      </c>
      <c r="H189">
        <v>1110.2948742854976</v>
      </c>
      <c r="I189">
        <v>66017.310784368063</v>
      </c>
      <c r="J189">
        <v>0</v>
      </c>
      <c r="K189">
        <v>66017.310784368063</v>
      </c>
    </row>
    <row r="190" spans="1:11" x14ac:dyDescent="0.25">
      <c r="A190" t="s">
        <v>27</v>
      </c>
      <c r="B190" t="s">
        <v>28</v>
      </c>
      <c r="C190" t="s">
        <v>55</v>
      </c>
      <c r="D190">
        <v>2030</v>
      </c>
      <c r="E190" t="s">
        <v>119</v>
      </c>
      <c r="F190" t="s">
        <v>110</v>
      </c>
      <c r="G190" t="s">
        <v>55</v>
      </c>
      <c r="H190">
        <v>12.006798379551526</v>
      </c>
      <c r="I190">
        <v>1365.8360377550734</v>
      </c>
      <c r="J190">
        <v>0</v>
      </c>
      <c r="K190">
        <v>1365.8360377550734</v>
      </c>
    </row>
    <row r="191" spans="1:11" x14ac:dyDescent="0.25">
      <c r="A191" t="s">
        <v>27</v>
      </c>
      <c r="B191" t="s">
        <v>28</v>
      </c>
      <c r="C191" t="s">
        <v>54</v>
      </c>
      <c r="D191">
        <v>2030</v>
      </c>
      <c r="E191" t="s">
        <v>119</v>
      </c>
      <c r="F191" t="s">
        <v>110</v>
      </c>
      <c r="G191" t="s">
        <v>54</v>
      </c>
      <c r="H191">
        <v>1493.1629200879825</v>
      </c>
      <c r="I191">
        <v>93044.95420236254</v>
      </c>
      <c r="J191">
        <v>0</v>
      </c>
      <c r="K191">
        <v>93044.95420236254</v>
      </c>
    </row>
    <row r="192" spans="1:11" x14ac:dyDescent="0.25">
      <c r="A192" t="s">
        <v>27</v>
      </c>
      <c r="B192" t="s">
        <v>28</v>
      </c>
      <c r="C192" t="s">
        <v>41</v>
      </c>
      <c r="D192">
        <v>2030</v>
      </c>
      <c r="E192" t="s">
        <v>119</v>
      </c>
      <c r="F192" t="s">
        <v>110</v>
      </c>
      <c r="G192" t="s">
        <v>41</v>
      </c>
      <c r="H192">
        <v>42.789511866497449</v>
      </c>
      <c r="I192">
        <v>508.5961380451887</v>
      </c>
      <c r="J192">
        <v>0</v>
      </c>
      <c r="K192">
        <v>508.5961380451887</v>
      </c>
    </row>
    <row r="193" spans="1:11" x14ac:dyDescent="0.25">
      <c r="A193" t="s">
        <v>27</v>
      </c>
      <c r="B193" t="s">
        <v>28</v>
      </c>
      <c r="C193" t="s">
        <v>80</v>
      </c>
      <c r="D193">
        <v>2030</v>
      </c>
      <c r="E193" t="s">
        <v>119</v>
      </c>
      <c r="F193" t="s">
        <v>110</v>
      </c>
      <c r="G193" t="s">
        <v>80</v>
      </c>
      <c r="H193">
        <v>756.77108755092502</v>
      </c>
      <c r="I193">
        <v>31568.192002614502</v>
      </c>
      <c r="J193">
        <v>0</v>
      </c>
      <c r="K193">
        <v>31568.192002614502</v>
      </c>
    </row>
    <row r="194" spans="1:11" x14ac:dyDescent="0.25">
      <c r="A194" t="s">
        <v>27</v>
      </c>
      <c r="B194" t="s">
        <v>28</v>
      </c>
      <c r="C194" t="s">
        <v>75</v>
      </c>
      <c r="D194">
        <v>2030</v>
      </c>
      <c r="E194" t="s">
        <v>119</v>
      </c>
      <c r="F194" t="s">
        <v>110</v>
      </c>
      <c r="G194" t="s">
        <v>52</v>
      </c>
      <c r="H194">
        <v>2407.7925845338555</v>
      </c>
      <c r="I194">
        <v>48166.458169403915</v>
      </c>
      <c r="J194">
        <v>7955.3466992998583</v>
      </c>
      <c r="K194">
        <v>7955.3466992998583</v>
      </c>
    </row>
    <row r="195" spans="1:11" x14ac:dyDescent="0.25">
      <c r="A195" t="s">
        <v>27</v>
      </c>
      <c r="B195" t="s">
        <v>28</v>
      </c>
      <c r="C195" t="s">
        <v>78</v>
      </c>
      <c r="D195">
        <v>2030</v>
      </c>
      <c r="E195" t="s">
        <v>119</v>
      </c>
      <c r="F195" t="s">
        <v>110</v>
      </c>
      <c r="G195" t="s">
        <v>78</v>
      </c>
      <c r="H195">
        <v>214.61268127859856</v>
      </c>
      <c r="I195">
        <v>15022.887689501898</v>
      </c>
      <c r="J195">
        <v>0</v>
      </c>
      <c r="K195">
        <v>15022.887689501898</v>
      </c>
    </row>
    <row r="196" spans="1:11" x14ac:dyDescent="0.25">
      <c r="A196" t="s">
        <v>27</v>
      </c>
      <c r="B196" t="s">
        <v>28</v>
      </c>
      <c r="C196" t="s">
        <v>65</v>
      </c>
      <c r="D196">
        <v>2030</v>
      </c>
      <c r="E196" t="s">
        <v>119</v>
      </c>
      <c r="F196" t="s">
        <v>110</v>
      </c>
      <c r="G196" t="s">
        <v>65</v>
      </c>
      <c r="H196">
        <v>506.59835168103979</v>
      </c>
      <c r="I196">
        <v>17298.4803013038</v>
      </c>
      <c r="J196">
        <v>0</v>
      </c>
      <c r="K196">
        <v>17298.4803013038</v>
      </c>
    </row>
    <row r="197" spans="1:11" x14ac:dyDescent="0.25">
      <c r="A197" t="s">
        <v>27</v>
      </c>
      <c r="B197" t="s">
        <v>28</v>
      </c>
      <c r="C197" t="s">
        <v>120</v>
      </c>
      <c r="D197">
        <v>2030</v>
      </c>
      <c r="E197" t="s">
        <v>119</v>
      </c>
      <c r="F197" t="s">
        <v>110</v>
      </c>
      <c r="G197" t="s">
        <v>53</v>
      </c>
      <c r="H197">
        <v>18736.673852484033</v>
      </c>
      <c r="I197">
        <v>361730.22539605678</v>
      </c>
      <c r="J197">
        <v>0</v>
      </c>
      <c r="K197">
        <v>361730.22539605678</v>
      </c>
    </row>
    <row r="198" spans="1:11" x14ac:dyDescent="0.25">
      <c r="A198" t="s">
        <v>27</v>
      </c>
      <c r="B198" t="s">
        <v>28</v>
      </c>
      <c r="C198" t="s">
        <v>29</v>
      </c>
      <c r="D198">
        <v>2050</v>
      </c>
      <c r="E198" t="s">
        <v>119</v>
      </c>
      <c r="F198" t="s">
        <v>110</v>
      </c>
      <c r="G198" t="s">
        <v>52</v>
      </c>
      <c r="H198">
        <v>10009.441310518599</v>
      </c>
      <c r="I198">
        <v>98232.657021429521</v>
      </c>
      <c r="J198">
        <v>31876.497203453881</v>
      </c>
      <c r="K198">
        <v>31876.497203453881</v>
      </c>
    </row>
    <row r="199" spans="1:11" x14ac:dyDescent="0.25">
      <c r="A199" t="s">
        <v>27</v>
      </c>
      <c r="B199" t="s">
        <v>28</v>
      </c>
      <c r="C199" t="s">
        <v>34</v>
      </c>
      <c r="D199">
        <v>2050</v>
      </c>
      <c r="E199" t="s">
        <v>119</v>
      </c>
      <c r="F199" t="s">
        <v>110</v>
      </c>
      <c r="G199" t="s">
        <v>52</v>
      </c>
      <c r="H199">
        <v>576.33584631181759</v>
      </c>
      <c r="I199">
        <v>3114.5189134690627</v>
      </c>
      <c r="J199">
        <v>919.25913288242691</v>
      </c>
      <c r="K199">
        <v>919.25913288242691</v>
      </c>
    </row>
    <row r="200" spans="1:11" x14ac:dyDescent="0.25">
      <c r="A200" t="s">
        <v>27</v>
      </c>
      <c r="B200" t="s">
        <v>28</v>
      </c>
      <c r="C200" t="s">
        <v>72</v>
      </c>
      <c r="D200">
        <v>2050</v>
      </c>
      <c r="E200" t="s">
        <v>119</v>
      </c>
      <c r="F200" t="s">
        <v>110</v>
      </c>
      <c r="G200" t="s">
        <v>52</v>
      </c>
      <c r="H200">
        <v>746.32882316970711</v>
      </c>
      <c r="I200">
        <v>4597.3855507253957</v>
      </c>
      <c r="J200">
        <v>2441.2117274351849</v>
      </c>
      <c r="K200">
        <v>2441.2117274351849</v>
      </c>
    </row>
    <row r="201" spans="1:11" x14ac:dyDescent="0.25">
      <c r="A201" t="s">
        <v>27</v>
      </c>
      <c r="B201" t="s">
        <v>28</v>
      </c>
      <c r="C201" t="s">
        <v>53</v>
      </c>
      <c r="D201">
        <v>2050</v>
      </c>
      <c r="E201" t="s">
        <v>119</v>
      </c>
      <c r="F201" t="s">
        <v>110</v>
      </c>
      <c r="G201" t="s">
        <v>53</v>
      </c>
      <c r="H201">
        <v>17212.698619019429</v>
      </c>
      <c r="I201">
        <v>1195731.7476660416</v>
      </c>
      <c r="J201">
        <v>0</v>
      </c>
      <c r="K201">
        <v>1195731.7476660416</v>
      </c>
    </row>
    <row r="202" spans="1:11" x14ac:dyDescent="0.25">
      <c r="A202" t="s">
        <v>27</v>
      </c>
      <c r="B202" t="s">
        <v>28</v>
      </c>
      <c r="C202" t="s">
        <v>30</v>
      </c>
      <c r="D202">
        <v>2050</v>
      </c>
      <c r="E202" t="s">
        <v>119</v>
      </c>
      <c r="F202" t="s">
        <v>110</v>
      </c>
      <c r="G202" t="s">
        <v>30</v>
      </c>
      <c r="H202">
        <v>20.00653489344165</v>
      </c>
      <c r="I202">
        <v>581.18983865448001</v>
      </c>
      <c r="J202">
        <v>0</v>
      </c>
      <c r="K202">
        <v>581.18983865448001</v>
      </c>
    </row>
    <row r="203" spans="1:11" x14ac:dyDescent="0.25">
      <c r="A203" t="s">
        <v>27</v>
      </c>
      <c r="B203" t="s">
        <v>28</v>
      </c>
      <c r="C203" t="s">
        <v>31</v>
      </c>
      <c r="D203">
        <v>2050</v>
      </c>
      <c r="E203" t="s">
        <v>119</v>
      </c>
      <c r="F203" t="s">
        <v>110</v>
      </c>
      <c r="G203" t="s">
        <v>31</v>
      </c>
      <c r="H203">
        <v>1058.9517587116018</v>
      </c>
      <c r="I203">
        <v>62964.487164281672</v>
      </c>
      <c r="J203">
        <v>0</v>
      </c>
      <c r="K203">
        <v>62964.487164281672</v>
      </c>
    </row>
    <row r="204" spans="1:11" x14ac:dyDescent="0.25">
      <c r="A204" t="s">
        <v>27</v>
      </c>
      <c r="B204" t="s">
        <v>28</v>
      </c>
      <c r="C204" t="s">
        <v>55</v>
      </c>
      <c r="D204">
        <v>2050</v>
      </c>
      <c r="E204" t="s">
        <v>119</v>
      </c>
      <c r="F204" t="s">
        <v>110</v>
      </c>
      <c r="G204" t="s">
        <v>55</v>
      </c>
      <c r="H204">
        <v>11.451570708820819</v>
      </c>
      <c r="I204">
        <v>1302.6759897663992</v>
      </c>
      <c r="J204">
        <v>0</v>
      </c>
      <c r="K204">
        <v>1302.6759897663992</v>
      </c>
    </row>
    <row r="205" spans="1:11" x14ac:dyDescent="0.25">
      <c r="A205" t="s">
        <v>27</v>
      </c>
      <c r="B205" t="s">
        <v>28</v>
      </c>
      <c r="C205" t="s">
        <v>54</v>
      </c>
      <c r="D205">
        <v>2050</v>
      </c>
      <c r="E205" t="s">
        <v>119</v>
      </c>
      <c r="F205" t="s">
        <v>110</v>
      </c>
      <c r="G205" t="s">
        <v>54</v>
      </c>
      <c r="H205">
        <v>1424.1149237833358</v>
      </c>
      <c r="I205">
        <v>88742.297360634795</v>
      </c>
      <c r="J205">
        <v>0</v>
      </c>
      <c r="K205">
        <v>88742.297360634795</v>
      </c>
    </row>
    <row r="206" spans="1:11" x14ac:dyDescent="0.25">
      <c r="A206" t="s">
        <v>27</v>
      </c>
      <c r="B206" t="s">
        <v>28</v>
      </c>
      <c r="C206" t="s">
        <v>41</v>
      </c>
      <c r="D206">
        <v>2050</v>
      </c>
      <c r="E206" t="s">
        <v>119</v>
      </c>
      <c r="F206" t="s">
        <v>110</v>
      </c>
      <c r="G206" t="s">
        <v>41</v>
      </c>
      <c r="H206">
        <v>40.810806115445544</v>
      </c>
      <c r="I206">
        <v>485.07724148818579</v>
      </c>
      <c r="J206">
        <v>0</v>
      </c>
      <c r="K206">
        <v>485.07724148818579</v>
      </c>
    </row>
    <row r="207" spans="1:11" x14ac:dyDescent="0.25">
      <c r="A207" t="s">
        <v>27</v>
      </c>
      <c r="B207" t="s">
        <v>28</v>
      </c>
      <c r="C207" t="s">
        <v>80</v>
      </c>
      <c r="D207">
        <v>2050</v>
      </c>
      <c r="E207" t="s">
        <v>119</v>
      </c>
      <c r="F207" t="s">
        <v>110</v>
      </c>
      <c r="G207" t="s">
        <v>80</v>
      </c>
      <c r="H207">
        <v>721.77589275088224</v>
      </c>
      <c r="I207">
        <v>30108.391216366432</v>
      </c>
      <c r="J207">
        <v>0</v>
      </c>
      <c r="K207">
        <v>30108.391216366432</v>
      </c>
    </row>
    <row r="208" spans="1:11" x14ac:dyDescent="0.25">
      <c r="A208" t="s">
        <v>27</v>
      </c>
      <c r="B208" t="s">
        <v>28</v>
      </c>
      <c r="C208" t="s">
        <v>75</v>
      </c>
      <c r="D208">
        <v>2050</v>
      </c>
      <c r="E208" t="s">
        <v>119</v>
      </c>
      <c r="F208" t="s">
        <v>110</v>
      </c>
      <c r="G208" t="s">
        <v>52</v>
      </c>
      <c r="H208">
        <v>2296.4495748444288</v>
      </c>
      <c r="I208">
        <v>45939.10750261067</v>
      </c>
      <c r="J208">
        <v>7587.4693952859907</v>
      </c>
      <c r="K208">
        <v>7587.4693952859907</v>
      </c>
    </row>
    <row r="209" spans="1:11" x14ac:dyDescent="0.25">
      <c r="A209" t="s">
        <v>27</v>
      </c>
      <c r="B209" t="s">
        <v>28</v>
      </c>
      <c r="C209" t="s">
        <v>78</v>
      </c>
      <c r="D209">
        <v>2050</v>
      </c>
      <c r="E209" t="s">
        <v>119</v>
      </c>
      <c r="F209" t="s">
        <v>110</v>
      </c>
      <c r="G209" t="s">
        <v>78</v>
      </c>
      <c r="H209">
        <v>204.6883954391258</v>
      </c>
      <c r="I209">
        <v>14328.187680738807</v>
      </c>
      <c r="J209">
        <v>0</v>
      </c>
      <c r="K209">
        <v>14328.187680738807</v>
      </c>
    </row>
    <row r="210" spans="1:11" x14ac:dyDescent="0.25">
      <c r="A210" t="s">
        <v>27</v>
      </c>
      <c r="B210" t="s">
        <v>28</v>
      </c>
      <c r="C210" t="s">
        <v>65</v>
      </c>
      <c r="D210">
        <v>2050</v>
      </c>
      <c r="E210" t="s">
        <v>119</v>
      </c>
      <c r="F210" t="s">
        <v>110</v>
      </c>
      <c r="G210" t="s">
        <v>65</v>
      </c>
      <c r="H210">
        <v>483.1718383085061</v>
      </c>
      <c r="I210">
        <v>16498.550576388014</v>
      </c>
      <c r="J210">
        <v>0</v>
      </c>
      <c r="K210">
        <v>16498.550576388014</v>
      </c>
    </row>
    <row r="211" spans="1:11" x14ac:dyDescent="0.25">
      <c r="A211" t="s">
        <v>27</v>
      </c>
      <c r="B211" t="s">
        <v>28</v>
      </c>
      <c r="C211" t="s">
        <v>120</v>
      </c>
      <c r="D211">
        <v>2050</v>
      </c>
      <c r="E211" t="s">
        <v>119</v>
      </c>
      <c r="F211" t="s">
        <v>110</v>
      </c>
      <c r="G211" t="s">
        <v>53</v>
      </c>
      <c r="H211">
        <v>17870.23806739807</v>
      </c>
      <c r="I211">
        <v>345002.81612918718</v>
      </c>
      <c r="J211">
        <v>0</v>
      </c>
      <c r="K211">
        <v>345002.81612918718</v>
      </c>
    </row>
    <row r="212" spans="1:11" x14ac:dyDescent="0.25">
      <c r="A212" t="s">
        <v>27</v>
      </c>
      <c r="B212" t="s">
        <v>28</v>
      </c>
      <c r="C212" t="s">
        <v>29</v>
      </c>
      <c r="D212">
        <v>2019</v>
      </c>
      <c r="E212" t="s">
        <v>121</v>
      </c>
      <c r="F212" t="s">
        <v>110</v>
      </c>
      <c r="G212" t="s">
        <v>52</v>
      </c>
      <c r="H212">
        <v>1521.2775270361781</v>
      </c>
      <c r="I212">
        <v>10002.977825723145</v>
      </c>
      <c r="J212">
        <v>3264.9469548714701</v>
      </c>
      <c r="K212">
        <v>3264.9469548714701</v>
      </c>
    </row>
    <row r="213" spans="1:11" x14ac:dyDescent="0.25">
      <c r="A213" t="s">
        <v>27</v>
      </c>
      <c r="B213" t="s">
        <v>28</v>
      </c>
      <c r="C213" t="s">
        <v>34</v>
      </c>
      <c r="D213">
        <v>2019</v>
      </c>
      <c r="E213" t="s">
        <v>121</v>
      </c>
      <c r="F213" t="s">
        <v>110</v>
      </c>
      <c r="G213" t="s">
        <v>52</v>
      </c>
      <c r="H213">
        <v>87.593976908399355</v>
      </c>
      <c r="I213">
        <v>269.81397519140432</v>
      </c>
      <c r="J213">
        <v>80.102033939855289</v>
      </c>
      <c r="K213">
        <v>80.102033939855289</v>
      </c>
    </row>
    <row r="214" spans="1:11" x14ac:dyDescent="0.25">
      <c r="A214" t="s">
        <v>27</v>
      </c>
      <c r="B214" t="s">
        <v>28</v>
      </c>
      <c r="C214" t="s">
        <v>72</v>
      </c>
      <c r="D214">
        <v>2019</v>
      </c>
      <c r="E214" t="s">
        <v>121</v>
      </c>
      <c r="F214" t="s">
        <v>110</v>
      </c>
      <c r="G214" t="s">
        <v>52</v>
      </c>
      <c r="H214">
        <v>113.43023364094317</v>
      </c>
      <c r="I214">
        <v>384.3016315755155</v>
      </c>
      <c r="J214">
        <v>205.25742293264076</v>
      </c>
      <c r="K214">
        <v>205.25742293264076</v>
      </c>
    </row>
    <row r="215" spans="1:11" x14ac:dyDescent="0.25">
      <c r="A215" t="s">
        <v>27</v>
      </c>
      <c r="B215" t="s">
        <v>28</v>
      </c>
      <c r="C215" t="s">
        <v>53</v>
      </c>
      <c r="D215">
        <v>2019</v>
      </c>
      <c r="E215" t="s">
        <v>121</v>
      </c>
      <c r="F215" t="s">
        <v>110</v>
      </c>
      <c r="G215" t="s">
        <v>53</v>
      </c>
      <c r="H215">
        <v>2616.0592560989035</v>
      </c>
      <c r="I215">
        <v>141751.27543408933</v>
      </c>
      <c r="J215">
        <v>0</v>
      </c>
      <c r="K215">
        <v>141751.27543408933</v>
      </c>
    </row>
    <row r="216" spans="1:11" x14ac:dyDescent="0.25">
      <c r="A216" t="s">
        <v>27</v>
      </c>
      <c r="B216" t="s">
        <v>28</v>
      </c>
      <c r="C216" t="s">
        <v>30</v>
      </c>
      <c r="D216">
        <v>2019</v>
      </c>
      <c r="E216" t="s">
        <v>121</v>
      </c>
      <c r="F216" t="s">
        <v>110</v>
      </c>
      <c r="G216" t="s">
        <v>30</v>
      </c>
      <c r="H216">
        <v>3.0406783938354529</v>
      </c>
      <c r="I216">
        <v>50.34907318432434</v>
      </c>
      <c r="J216">
        <v>0</v>
      </c>
      <c r="K216">
        <v>50.34907318432434</v>
      </c>
    </row>
    <row r="217" spans="1:11" x14ac:dyDescent="0.25">
      <c r="A217" t="s">
        <v>27</v>
      </c>
      <c r="B217" t="s">
        <v>28</v>
      </c>
      <c r="C217" t="s">
        <v>31</v>
      </c>
      <c r="D217">
        <v>2019</v>
      </c>
      <c r="E217" t="s">
        <v>121</v>
      </c>
      <c r="F217" t="s">
        <v>110</v>
      </c>
      <c r="G217" t="s">
        <v>31</v>
      </c>
      <c r="H217">
        <v>160.94399904722869</v>
      </c>
      <c r="I217">
        <v>5454.6782503755512</v>
      </c>
      <c r="J217">
        <v>0</v>
      </c>
      <c r="K217">
        <v>5454.6782503755512</v>
      </c>
    </row>
    <row r="218" spans="1:11" x14ac:dyDescent="0.25">
      <c r="A218" t="s">
        <v>27</v>
      </c>
      <c r="B218" t="s">
        <v>28</v>
      </c>
      <c r="C218" t="s">
        <v>55</v>
      </c>
      <c r="D218">
        <v>2019</v>
      </c>
      <c r="E218" t="s">
        <v>121</v>
      </c>
      <c r="F218" t="s">
        <v>110</v>
      </c>
      <c r="G218" t="s">
        <v>55</v>
      </c>
      <c r="H218">
        <v>1.7404584959489884</v>
      </c>
      <c r="I218">
        <v>112.85216014109164</v>
      </c>
      <c r="J218">
        <v>0</v>
      </c>
      <c r="K218">
        <v>112.85216014109164</v>
      </c>
    </row>
    <row r="219" spans="1:11" x14ac:dyDescent="0.25">
      <c r="A219" t="s">
        <v>27</v>
      </c>
      <c r="B219" t="s">
        <v>28</v>
      </c>
      <c r="C219" t="s">
        <v>54</v>
      </c>
      <c r="D219">
        <v>2019</v>
      </c>
      <c r="E219" t="s">
        <v>121</v>
      </c>
      <c r="F219" t="s">
        <v>110</v>
      </c>
      <c r="G219" t="s">
        <v>54</v>
      </c>
      <c r="H219">
        <v>216.44305234016915</v>
      </c>
      <c r="I219">
        <v>11194.568861726002</v>
      </c>
      <c r="J219">
        <v>0</v>
      </c>
      <c r="K219">
        <v>11194.568861726002</v>
      </c>
    </row>
    <row r="220" spans="1:11" x14ac:dyDescent="0.25">
      <c r="A220" t="s">
        <v>27</v>
      </c>
      <c r="B220" t="s">
        <v>28</v>
      </c>
      <c r="C220" t="s">
        <v>41</v>
      </c>
      <c r="D220">
        <v>2019</v>
      </c>
      <c r="E220" t="s">
        <v>121</v>
      </c>
      <c r="F220" t="s">
        <v>110</v>
      </c>
      <c r="G220" t="s">
        <v>41</v>
      </c>
      <c r="H220">
        <v>6.2026001529591133</v>
      </c>
      <c r="I220">
        <v>42.022740088301049</v>
      </c>
      <c r="J220">
        <v>0</v>
      </c>
      <c r="K220">
        <v>42.022740088301049</v>
      </c>
    </row>
    <row r="221" spans="1:11" x14ac:dyDescent="0.25">
      <c r="A221" t="s">
        <v>27</v>
      </c>
      <c r="B221" t="s">
        <v>28</v>
      </c>
      <c r="C221" t="s">
        <v>80</v>
      </c>
      <c r="D221">
        <v>2019</v>
      </c>
      <c r="E221" t="s">
        <v>121</v>
      </c>
      <c r="F221" t="s">
        <v>110</v>
      </c>
      <c r="G221" t="s">
        <v>80</v>
      </c>
      <c r="H221">
        <v>109.69857468913038</v>
      </c>
      <c r="I221">
        <v>2608.3208824239755</v>
      </c>
      <c r="J221">
        <v>0</v>
      </c>
      <c r="K221">
        <v>2608.3208824239755</v>
      </c>
    </row>
    <row r="222" spans="1:11" x14ac:dyDescent="0.25">
      <c r="A222" t="s">
        <v>27</v>
      </c>
      <c r="B222" t="s">
        <v>28</v>
      </c>
      <c r="C222" t="s">
        <v>75</v>
      </c>
      <c r="D222">
        <v>2019</v>
      </c>
      <c r="E222" t="s">
        <v>121</v>
      </c>
      <c r="F222" t="s">
        <v>110</v>
      </c>
      <c r="G222" t="s">
        <v>52</v>
      </c>
      <c r="H222">
        <v>349.0241884441013</v>
      </c>
      <c r="I222">
        <v>3979.7521082376879</v>
      </c>
      <c r="J222">
        <v>661.15386758582895</v>
      </c>
      <c r="K222">
        <v>661.15386758582895</v>
      </c>
    </row>
    <row r="223" spans="1:11" x14ac:dyDescent="0.25">
      <c r="A223" t="s">
        <v>27</v>
      </c>
      <c r="B223" t="s">
        <v>28</v>
      </c>
      <c r="C223" t="s">
        <v>78</v>
      </c>
      <c r="D223">
        <v>2019</v>
      </c>
      <c r="E223" t="s">
        <v>121</v>
      </c>
      <c r="F223" t="s">
        <v>110</v>
      </c>
      <c r="G223" t="s">
        <v>78</v>
      </c>
      <c r="H223">
        <v>31.109414238675758</v>
      </c>
      <c r="I223">
        <v>1241.2656281231625</v>
      </c>
      <c r="J223">
        <v>0</v>
      </c>
      <c r="K223">
        <v>1241.2656281231625</v>
      </c>
    </row>
    <row r="224" spans="1:11" x14ac:dyDescent="0.25">
      <c r="A224" t="s">
        <v>27</v>
      </c>
      <c r="B224" t="s">
        <v>28</v>
      </c>
      <c r="C224" t="s">
        <v>65</v>
      </c>
      <c r="D224">
        <v>2019</v>
      </c>
      <c r="E224" t="s">
        <v>121</v>
      </c>
      <c r="F224" t="s">
        <v>110</v>
      </c>
      <c r="G224" t="s">
        <v>65</v>
      </c>
      <c r="H224">
        <v>73.434514126483776</v>
      </c>
      <c r="I224">
        <v>1429.2863969008304</v>
      </c>
      <c r="J224">
        <v>0</v>
      </c>
      <c r="K224">
        <v>1429.2863969008304</v>
      </c>
    </row>
    <row r="225" spans="1:11" x14ac:dyDescent="0.25">
      <c r="A225" t="s">
        <v>27</v>
      </c>
      <c r="B225" t="s">
        <v>28</v>
      </c>
      <c r="C225" t="s">
        <v>120</v>
      </c>
      <c r="D225">
        <v>2019</v>
      </c>
      <c r="E225" t="s">
        <v>121</v>
      </c>
      <c r="F225" t="s">
        <v>110</v>
      </c>
      <c r="G225" t="s">
        <v>53</v>
      </c>
      <c r="H225">
        <v>2715.9949023479103</v>
      </c>
      <c r="I225">
        <v>52434.997584728757</v>
      </c>
      <c r="J225">
        <v>0</v>
      </c>
      <c r="K225">
        <v>52434.997584728757</v>
      </c>
    </row>
    <row r="226" spans="1:11" x14ac:dyDescent="0.25">
      <c r="A226" t="s">
        <v>27</v>
      </c>
      <c r="B226" t="s">
        <v>28</v>
      </c>
      <c r="C226" t="s">
        <v>29</v>
      </c>
      <c r="D226">
        <v>2030</v>
      </c>
      <c r="E226" t="s">
        <v>121</v>
      </c>
      <c r="F226" t="s">
        <v>110</v>
      </c>
      <c r="G226" t="s">
        <v>52</v>
      </c>
      <c r="H226">
        <v>1637.9085780848618</v>
      </c>
      <c r="I226">
        <v>10769.871306167639</v>
      </c>
      <c r="J226">
        <v>3494.8232388513989</v>
      </c>
      <c r="K226">
        <v>3494.8232388513989</v>
      </c>
    </row>
    <row r="227" spans="1:11" x14ac:dyDescent="0.25">
      <c r="A227" t="s">
        <v>27</v>
      </c>
      <c r="B227" t="s">
        <v>28</v>
      </c>
      <c r="C227" t="s">
        <v>34</v>
      </c>
      <c r="D227">
        <v>2030</v>
      </c>
      <c r="E227" t="s">
        <v>121</v>
      </c>
      <c r="F227" t="s">
        <v>110</v>
      </c>
      <c r="G227" t="s">
        <v>52</v>
      </c>
      <c r="H227">
        <v>94.309502123751969</v>
      </c>
      <c r="I227">
        <v>290.49967320175068</v>
      </c>
      <c r="J227">
        <v>85.741806394306337</v>
      </c>
      <c r="K227">
        <v>85.741806394306337</v>
      </c>
    </row>
    <row r="228" spans="1:11" x14ac:dyDescent="0.25">
      <c r="A228" t="s">
        <v>27</v>
      </c>
      <c r="B228" t="s">
        <v>28</v>
      </c>
      <c r="C228" t="s">
        <v>72</v>
      </c>
      <c r="D228">
        <v>2030</v>
      </c>
      <c r="E228" t="s">
        <v>121</v>
      </c>
      <c r="F228" t="s">
        <v>110</v>
      </c>
      <c r="G228" t="s">
        <v>52</v>
      </c>
      <c r="H228">
        <v>122.12653470049754</v>
      </c>
      <c r="I228">
        <v>413.76469956528575</v>
      </c>
      <c r="J228">
        <v>219.70905546916671</v>
      </c>
      <c r="K228">
        <v>219.70905546916671</v>
      </c>
    </row>
    <row r="229" spans="1:11" x14ac:dyDescent="0.25">
      <c r="A229" t="s">
        <v>27</v>
      </c>
      <c r="B229" t="s">
        <v>28</v>
      </c>
      <c r="C229" t="s">
        <v>53</v>
      </c>
      <c r="D229">
        <v>2030</v>
      </c>
      <c r="E229" t="s">
        <v>121</v>
      </c>
      <c r="F229" t="s">
        <v>110</v>
      </c>
      <c r="G229" t="s">
        <v>53</v>
      </c>
      <c r="H229">
        <v>2816.6234103849979</v>
      </c>
      <c r="I229">
        <v>152618.85215664754</v>
      </c>
      <c r="J229">
        <v>0</v>
      </c>
      <c r="K229">
        <v>152618.85215664754</v>
      </c>
    </row>
    <row r="230" spans="1:11" x14ac:dyDescent="0.25">
      <c r="A230" t="s">
        <v>27</v>
      </c>
      <c r="B230" t="s">
        <v>28</v>
      </c>
      <c r="C230" t="s">
        <v>30</v>
      </c>
      <c r="D230">
        <v>2030</v>
      </c>
      <c r="E230" t="s">
        <v>121</v>
      </c>
      <c r="F230" t="s">
        <v>110</v>
      </c>
      <c r="G230" t="s">
        <v>30</v>
      </c>
      <c r="H230">
        <v>3.2737966189268159</v>
      </c>
      <c r="I230">
        <v>54.209161314499674</v>
      </c>
      <c r="J230">
        <v>0</v>
      </c>
      <c r="K230">
        <v>54.209161314499674</v>
      </c>
    </row>
    <row r="231" spans="1:11" x14ac:dyDescent="0.25">
      <c r="A231" t="s">
        <v>27</v>
      </c>
      <c r="B231" t="s">
        <v>28</v>
      </c>
      <c r="C231" t="s">
        <v>31</v>
      </c>
      <c r="D231">
        <v>2030</v>
      </c>
      <c r="E231" t="s">
        <v>121</v>
      </c>
      <c r="F231" t="s">
        <v>110</v>
      </c>
      <c r="G231" t="s">
        <v>31</v>
      </c>
      <c r="H231">
        <v>173.28301506189848</v>
      </c>
      <c r="I231">
        <v>5872.8694391411809</v>
      </c>
      <c r="J231">
        <v>0</v>
      </c>
      <c r="K231">
        <v>5872.8694391411809</v>
      </c>
    </row>
    <row r="232" spans="1:11" x14ac:dyDescent="0.25">
      <c r="A232" t="s">
        <v>27</v>
      </c>
      <c r="B232" t="s">
        <v>28</v>
      </c>
      <c r="C232" t="s">
        <v>55</v>
      </c>
      <c r="D232">
        <v>2030</v>
      </c>
      <c r="E232" t="s">
        <v>121</v>
      </c>
      <c r="F232" t="s">
        <v>110</v>
      </c>
      <c r="G232" t="s">
        <v>55</v>
      </c>
      <c r="H232">
        <v>1.8738933887161342</v>
      </c>
      <c r="I232">
        <v>121.50414231821139</v>
      </c>
      <c r="J232">
        <v>0</v>
      </c>
      <c r="K232">
        <v>121.50414231821139</v>
      </c>
    </row>
    <row r="233" spans="1:11" x14ac:dyDescent="0.25">
      <c r="A233" t="s">
        <v>27</v>
      </c>
      <c r="B233" t="s">
        <v>28</v>
      </c>
      <c r="C233" t="s">
        <v>54</v>
      </c>
      <c r="D233">
        <v>2030</v>
      </c>
      <c r="E233" t="s">
        <v>121</v>
      </c>
      <c r="F233" t="s">
        <v>110</v>
      </c>
      <c r="G233" t="s">
        <v>54</v>
      </c>
      <c r="H233">
        <v>233.03698752818224</v>
      </c>
      <c r="I233">
        <v>12052.817477889854</v>
      </c>
      <c r="J233">
        <v>0</v>
      </c>
      <c r="K233">
        <v>12052.817477889854</v>
      </c>
    </row>
    <row r="234" spans="1:11" x14ac:dyDescent="0.25">
      <c r="A234" t="s">
        <v>27</v>
      </c>
      <c r="B234" t="s">
        <v>28</v>
      </c>
      <c r="C234" t="s">
        <v>41</v>
      </c>
      <c r="D234">
        <v>2030</v>
      </c>
      <c r="E234" t="s">
        <v>121</v>
      </c>
      <c r="F234" t="s">
        <v>110</v>
      </c>
      <c r="G234" t="s">
        <v>41</v>
      </c>
      <c r="H234">
        <v>6.6781319098001797</v>
      </c>
      <c r="I234">
        <v>45.24447725153442</v>
      </c>
      <c r="J234">
        <v>0</v>
      </c>
      <c r="K234">
        <v>45.24447725153442</v>
      </c>
    </row>
    <row r="235" spans="1:11" x14ac:dyDescent="0.25">
      <c r="A235" t="s">
        <v>27</v>
      </c>
      <c r="B235" t="s">
        <v>28</v>
      </c>
      <c r="C235" t="s">
        <v>80</v>
      </c>
      <c r="D235">
        <v>2030</v>
      </c>
      <c r="E235" t="s">
        <v>121</v>
      </c>
      <c r="F235" t="s">
        <v>110</v>
      </c>
      <c r="G235" t="s">
        <v>80</v>
      </c>
      <c r="H235">
        <v>118.10878245014437</v>
      </c>
      <c r="I235">
        <v>2808.291762544723</v>
      </c>
      <c r="J235">
        <v>0</v>
      </c>
      <c r="K235">
        <v>2808.291762544723</v>
      </c>
    </row>
    <row r="236" spans="1:11" x14ac:dyDescent="0.25">
      <c r="A236" t="s">
        <v>27</v>
      </c>
      <c r="B236" t="s">
        <v>28</v>
      </c>
      <c r="C236" t="s">
        <v>75</v>
      </c>
      <c r="D236">
        <v>2030</v>
      </c>
      <c r="E236" t="s">
        <v>121</v>
      </c>
      <c r="F236" t="s">
        <v>110</v>
      </c>
      <c r="G236" t="s">
        <v>52</v>
      </c>
      <c r="H236">
        <v>375.78265770181565</v>
      </c>
      <c r="I236">
        <v>4284.8658452435047</v>
      </c>
      <c r="J236">
        <v>707.70396359667529</v>
      </c>
      <c r="K236">
        <v>707.70396359667529</v>
      </c>
    </row>
    <row r="237" spans="1:11" x14ac:dyDescent="0.25">
      <c r="A237" t="s">
        <v>27</v>
      </c>
      <c r="B237" t="s">
        <v>28</v>
      </c>
      <c r="C237" t="s">
        <v>78</v>
      </c>
      <c r="D237">
        <v>2030</v>
      </c>
      <c r="E237" t="s">
        <v>121</v>
      </c>
      <c r="F237" t="s">
        <v>110</v>
      </c>
      <c r="G237" t="s">
        <v>78</v>
      </c>
      <c r="H237">
        <v>33.494464708220583</v>
      </c>
      <c r="I237">
        <v>1336.4291418580012</v>
      </c>
      <c r="J237">
        <v>0</v>
      </c>
      <c r="K237">
        <v>1336.4291418580012</v>
      </c>
    </row>
    <row r="238" spans="1:11" x14ac:dyDescent="0.25">
      <c r="A238" t="s">
        <v>27</v>
      </c>
      <c r="B238" t="s">
        <v>28</v>
      </c>
      <c r="C238" t="s">
        <v>65</v>
      </c>
      <c r="D238">
        <v>2030</v>
      </c>
      <c r="E238" t="s">
        <v>121</v>
      </c>
      <c r="F238" t="s">
        <v>110</v>
      </c>
      <c r="G238" t="s">
        <v>65</v>
      </c>
      <c r="H238">
        <v>79.064482632301008</v>
      </c>
      <c r="I238">
        <v>1538.8648083067364</v>
      </c>
      <c r="J238">
        <v>0</v>
      </c>
      <c r="K238">
        <v>1538.8648083067364</v>
      </c>
    </row>
    <row r="239" spans="1:11" x14ac:dyDescent="0.25">
      <c r="A239" t="s">
        <v>27</v>
      </c>
      <c r="B239" t="s">
        <v>28</v>
      </c>
      <c r="C239" t="s">
        <v>120</v>
      </c>
      <c r="D239">
        <v>2030</v>
      </c>
      <c r="E239" t="s">
        <v>121</v>
      </c>
      <c r="F239" t="s">
        <v>110</v>
      </c>
      <c r="G239" t="s">
        <v>53</v>
      </c>
      <c r="H239">
        <v>2924.2207746651384</v>
      </c>
      <c r="I239">
        <v>56455.006275685155</v>
      </c>
      <c r="J239">
        <v>0</v>
      </c>
      <c r="K239">
        <v>56455.006275685155</v>
      </c>
    </row>
    <row r="240" spans="1:11" x14ac:dyDescent="0.25">
      <c r="A240" t="s">
        <v>27</v>
      </c>
      <c r="B240" t="s">
        <v>28</v>
      </c>
      <c r="C240" t="s">
        <v>29</v>
      </c>
      <c r="D240">
        <v>2050</v>
      </c>
      <c r="E240" t="s">
        <v>121</v>
      </c>
      <c r="F240" t="s">
        <v>110</v>
      </c>
      <c r="G240" t="s">
        <v>52</v>
      </c>
      <c r="H240">
        <v>2123.2148234433389</v>
      </c>
      <c r="I240">
        <v>13960.944285772861</v>
      </c>
      <c r="J240">
        <v>4530.3264207332932</v>
      </c>
      <c r="K240">
        <v>4530.3264207332932</v>
      </c>
    </row>
    <row r="241" spans="1:11" x14ac:dyDescent="0.25">
      <c r="A241" t="s">
        <v>27</v>
      </c>
      <c r="B241" t="s">
        <v>28</v>
      </c>
      <c r="C241" t="s">
        <v>34</v>
      </c>
      <c r="D241">
        <v>2050</v>
      </c>
      <c r="E241" t="s">
        <v>121</v>
      </c>
      <c r="F241" t="s">
        <v>110</v>
      </c>
      <c r="G241" t="s">
        <v>52</v>
      </c>
      <c r="H241">
        <v>122.25305830856736</v>
      </c>
      <c r="I241">
        <v>376.57365044671383</v>
      </c>
      <c r="J241">
        <v>111.14678606669341</v>
      </c>
      <c r="K241">
        <v>111.14678606669341</v>
      </c>
    </row>
    <row r="242" spans="1:11" x14ac:dyDescent="0.25">
      <c r="A242" t="s">
        <v>27</v>
      </c>
      <c r="B242" t="s">
        <v>28</v>
      </c>
      <c r="C242" t="s">
        <v>72</v>
      </c>
      <c r="D242">
        <v>2050</v>
      </c>
      <c r="E242" t="s">
        <v>121</v>
      </c>
      <c r="F242" t="s">
        <v>110</v>
      </c>
      <c r="G242" t="s">
        <v>52</v>
      </c>
      <c r="H242">
        <v>158.31217461175603</v>
      </c>
      <c r="I242">
        <v>536.36164758462951</v>
      </c>
      <c r="J242">
        <v>284.80803486743827</v>
      </c>
      <c r="K242">
        <v>284.80803486743827</v>
      </c>
    </row>
    <row r="243" spans="1:11" x14ac:dyDescent="0.25">
      <c r="A243" t="s">
        <v>27</v>
      </c>
      <c r="B243" t="s">
        <v>28</v>
      </c>
      <c r="C243" t="s">
        <v>53</v>
      </c>
      <c r="D243">
        <v>2050</v>
      </c>
      <c r="E243" t="s">
        <v>121</v>
      </c>
      <c r="F243" t="s">
        <v>110</v>
      </c>
      <c r="G243" t="s">
        <v>53</v>
      </c>
      <c r="H243">
        <v>3651.178494943515</v>
      </c>
      <c r="I243">
        <v>197839.25279565417</v>
      </c>
      <c r="J243">
        <v>0</v>
      </c>
      <c r="K243">
        <v>197839.25279565417</v>
      </c>
    </row>
    <row r="244" spans="1:11" x14ac:dyDescent="0.25">
      <c r="A244" t="s">
        <v>27</v>
      </c>
      <c r="B244" t="s">
        <v>28</v>
      </c>
      <c r="C244" t="s">
        <v>30</v>
      </c>
      <c r="D244">
        <v>2050</v>
      </c>
      <c r="E244" t="s">
        <v>121</v>
      </c>
      <c r="F244" t="s">
        <v>110</v>
      </c>
      <c r="G244" t="s">
        <v>30</v>
      </c>
      <c r="H244">
        <v>4.2438104319421681</v>
      </c>
      <c r="I244">
        <v>70.27113503731438</v>
      </c>
      <c r="J244">
        <v>0</v>
      </c>
      <c r="K244">
        <v>70.27113503731438</v>
      </c>
    </row>
    <row r="245" spans="1:11" x14ac:dyDescent="0.25">
      <c r="A245" t="s">
        <v>27</v>
      </c>
      <c r="B245" t="s">
        <v>28</v>
      </c>
      <c r="C245" t="s">
        <v>31</v>
      </c>
      <c r="D245">
        <v>2050</v>
      </c>
      <c r="E245" t="s">
        <v>121</v>
      </c>
      <c r="F245" t="s">
        <v>110</v>
      </c>
      <c r="G245" t="s">
        <v>31</v>
      </c>
      <c r="H245">
        <v>224.62613063579431</v>
      </c>
      <c r="I245">
        <v>7612.9789025904211</v>
      </c>
      <c r="J245">
        <v>0</v>
      </c>
      <c r="K245">
        <v>7612.9789025904211</v>
      </c>
    </row>
    <row r="246" spans="1:11" x14ac:dyDescent="0.25">
      <c r="A246" t="s">
        <v>27</v>
      </c>
      <c r="B246" t="s">
        <v>28</v>
      </c>
      <c r="C246" t="s">
        <v>55</v>
      </c>
      <c r="D246">
        <v>2050</v>
      </c>
      <c r="E246" t="s">
        <v>121</v>
      </c>
      <c r="F246" t="s">
        <v>110</v>
      </c>
      <c r="G246" t="s">
        <v>55</v>
      </c>
      <c r="H246">
        <v>2.4291210594468406</v>
      </c>
      <c r="I246">
        <v>157.50536967175552</v>
      </c>
      <c r="J246">
        <v>0</v>
      </c>
      <c r="K246">
        <v>157.50536967175552</v>
      </c>
    </row>
    <row r="247" spans="1:11" x14ac:dyDescent="0.25">
      <c r="A247" t="s">
        <v>27</v>
      </c>
      <c r="B247" t="s">
        <v>28</v>
      </c>
      <c r="C247" t="s">
        <v>54</v>
      </c>
      <c r="D247">
        <v>2050</v>
      </c>
      <c r="E247" t="s">
        <v>121</v>
      </c>
      <c r="F247" t="s">
        <v>110</v>
      </c>
      <c r="G247" t="s">
        <v>54</v>
      </c>
      <c r="H247">
        <v>302.08498383282881</v>
      </c>
      <c r="I247">
        <v>15624.022656523883</v>
      </c>
      <c r="J247">
        <v>0</v>
      </c>
      <c r="K247">
        <v>15624.022656523883</v>
      </c>
    </row>
    <row r="248" spans="1:11" x14ac:dyDescent="0.25">
      <c r="A248" t="s">
        <v>27</v>
      </c>
      <c r="B248" t="s">
        <v>28</v>
      </c>
      <c r="C248" t="s">
        <v>41</v>
      </c>
      <c r="D248">
        <v>2050</v>
      </c>
      <c r="E248" t="s">
        <v>121</v>
      </c>
      <c r="F248" t="s">
        <v>110</v>
      </c>
      <c r="G248" t="s">
        <v>41</v>
      </c>
      <c r="H248">
        <v>8.6568376608520836</v>
      </c>
      <c r="I248">
        <v>58.650248289026081</v>
      </c>
      <c r="J248">
        <v>0</v>
      </c>
      <c r="K248">
        <v>58.650248289026081</v>
      </c>
    </row>
    <row r="249" spans="1:11" x14ac:dyDescent="0.25">
      <c r="A249" t="s">
        <v>27</v>
      </c>
      <c r="B249" t="s">
        <v>28</v>
      </c>
      <c r="C249" t="s">
        <v>80</v>
      </c>
      <c r="D249">
        <v>2050</v>
      </c>
      <c r="E249" t="s">
        <v>121</v>
      </c>
      <c r="F249" t="s">
        <v>110</v>
      </c>
      <c r="G249" t="s">
        <v>80</v>
      </c>
      <c r="H249">
        <v>153.10397725018711</v>
      </c>
      <c r="I249">
        <v>3640.3782107061229</v>
      </c>
      <c r="J249">
        <v>0</v>
      </c>
      <c r="K249">
        <v>3640.3782107061229</v>
      </c>
    </row>
    <row r="250" spans="1:11" x14ac:dyDescent="0.25">
      <c r="A250" t="s">
        <v>27</v>
      </c>
      <c r="B250" t="s">
        <v>28</v>
      </c>
      <c r="C250" t="s">
        <v>75</v>
      </c>
      <c r="D250">
        <v>2050</v>
      </c>
      <c r="E250" t="s">
        <v>121</v>
      </c>
      <c r="F250" t="s">
        <v>110</v>
      </c>
      <c r="G250" t="s">
        <v>52</v>
      </c>
      <c r="H250">
        <v>487.12566739124247</v>
      </c>
      <c r="I250">
        <v>5554.4557253156536</v>
      </c>
      <c r="J250">
        <v>917.39402688457892</v>
      </c>
      <c r="K250">
        <v>917.39402688457892</v>
      </c>
    </row>
    <row r="251" spans="1:11" x14ac:dyDescent="0.25">
      <c r="A251" t="s">
        <v>27</v>
      </c>
      <c r="B251" t="s">
        <v>28</v>
      </c>
      <c r="C251" t="s">
        <v>78</v>
      </c>
      <c r="D251">
        <v>2050</v>
      </c>
      <c r="E251" t="s">
        <v>121</v>
      </c>
      <c r="F251" t="s">
        <v>110</v>
      </c>
      <c r="G251" t="s">
        <v>78</v>
      </c>
      <c r="H251">
        <v>43.41875054769335</v>
      </c>
      <c r="I251">
        <v>1732.4081468529648</v>
      </c>
      <c r="J251">
        <v>0</v>
      </c>
      <c r="K251">
        <v>1732.4081468529648</v>
      </c>
    </row>
    <row r="252" spans="1:11" x14ac:dyDescent="0.25">
      <c r="A252" t="s">
        <v>27</v>
      </c>
      <c r="B252" t="s">
        <v>28</v>
      </c>
      <c r="C252" t="s">
        <v>65</v>
      </c>
      <c r="D252">
        <v>2050</v>
      </c>
      <c r="E252" t="s">
        <v>121</v>
      </c>
      <c r="F252" t="s">
        <v>110</v>
      </c>
      <c r="G252" t="s">
        <v>65</v>
      </c>
      <c r="H252">
        <v>102.49099600483463</v>
      </c>
      <c r="I252">
        <v>1994.8247515087323</v>
      </c>
      <c r="J252">
        <v>0</v>
      </c>
      <c r="K252">
        <v>1994.8247515087323</v>
      </c>
    </row>
    <row r="253" spans="1:11" x14ac:dyDescent="0.25">
      <c r="A253" t="s">
        <v>27</v>
      </c>
      <c r="B253" t="s">
        <v>28</v>
      </c>
      <c r="C253" t="s">
        <v>120</v>
      </c>
      <c r="D253">
        <v>2050</v>
      </c>
      <c r="E253" t="s">
        <v>121</v>
      </c>
      <c r="F253" t="s">
        <v>110</v>
      </c>
      <c r="G253" t="s">
        <v>53</v>
      </c>
      <c r="H253">
        <v>3790.6565597511053</v>
      </c>
      <c r="I253">
        <v>73182.415542554852</v>
      </c>
      <c r="J253">
        <v>0</v>
      </c>
      <c r="K253">
        <v>73182.415542554852</v>
      </c>
    </row>
    <row r="254" spans="1:11" x14ac:dyDescent="0.25">
      <c r="A254" t="s">
        <v>27</v>
      </c>
      <c r="B254" t="s">
        <v>43</v>
      </c>
      <c r="C254" t="s">
        <v>29</v>
      </c>
      <c r="D254">
        <v>2019</v>
      </c>
      <c r="E254" t="s">
        <v>119</v>
      </c>
      <c r="F254" t="s">
        <v>108</v>
      </c>
      <c r="G254" t="s">
        <v>52</v>
      </c>
      <c r="H254">
        <v>292562.01681062597</v>
      </c>
      <c r="I254">
        <v>2050859.7378424881</v>
      </c>
      <c r="J254">
        <v>669395.49128244352</v>
      </c>
      <c r="K254">
        <v>669395.49128244352</v>
      </c>
    </row>
    <row r="255" spans="1:11" x14ac:dyDescent="0.25">
      <c r="A255" t="s">
        <v>27</v>
      </c>
      <c r="B255" t="s">
        <v>43</v>
      </c>
      <c r="C255" t="s">
        <v>34</v>
      </c>
      <c r="D255">
        <v>2019</v>
      </c>
      <c r="E255" t="s">
        <v>119</v>
      </c>
      <c r="F255" t="s">
        <v>108</v>
      </c>
      <c r="G255" t="s">
        <v>52</v>
      </c>
      <c r="H255">
        <v>6376.3414137528825</v>
      </c>
      <c r="I255">
        <v>24612.677857086128</v>
      </c>
      <c r="J255">
        <v>7306.9808769558722</v>
      </c>
      <c r="K255">
        <v>7306.9808769558722</v>
      </c>
    </row>
    <row r="256" spans="1:11" x14ac:dyDescent="0.25">
      <c r="A256" t="s">
        <v>27</v>
      </c>
      <c r="B256" t="s">
        <v>43</v>
      </c>
      <c r="C256" t="s">
        <v>72</v>
      </c>
      <c r="D256">
        <v>2019</v>
      </c>
      <c r="E256" t="s">
        <v>119</v>
      </c>
      <c r="F256" t="s">
        <v>108</v>
      </c>
      <c r="G256" t="s">
        <v>52</v>
      </c>
      <c r="H256">
        <v>40447.722327584328</v>
      </c>
      <c r="I256">
        <v>177969.97824137105</v>
      </c>
      <c r="J256">
        <v>95054.655228607488</v>
      </c>
      <c r="K256">
        <v>95054.655228607488</v>
      </c>
    </row>
    <row r="257" spans="1:11" x14ac:dyDescent="0.25">
      <c r="A257" t="s">
        <v>27</v>
      </c>
      <c r="B257" t="s">
        <v>43</v>
      </c>
      <c r="C257" t="s">
        <v>53</v>
      </c>
      <c r="D257">
        <v>2019</v>
      </c>
      <c r="E257" t="s">
        <v>119</v>
      </c>
      <c r="F257" t="s">
        <v>108</v>
      </c>
      <c r="G257" t="s">
        <v>53</v>
      </c>
      <c r="H257">
        <v>24572.998517620537</v>
      </c>
      <c r="I257">
        <v>1219312.186444331</v>
      </c>
      <c r="J257">
        <v>0</v>
      </c>
      <c r="K257">
        <v>1219312.186444331</v>
      </c>
    </row>
    <row r="258" spans="1:11" x14ac:dyDescent="0.25">
      <c r="A258" t="s">
        <v>27</v>
      </c>
      <c r="B258" t="s">
        <v>43</v>
      </c>
      <c r="C258" t="s">
        <v>30</v>
      </c>
      <c r="D258">
        <v>2019</v>
      </c>
      <c r="E258" t="s">
        <v>119</v>
      </c>
      <c r="F258" t="s">
        <v>108</v>
      </c>
      <c r="G258" t="s">
        <v>30</v>
      </c>
      <c r="H258">
        <v>3850.5952952805674</v>
      </c>
      <c r="I258">
        <v>79899.852377071773</v>
      </c>
      <c r="J258">
        <v>0</v>
      </c>
      <c r="K258">
        <v>79899.852377071773</v>
      </c>
    </row>
    <row r="259" spans="1:11" x14ac:dyDescent="0.25">
      <c r="A259" t="s">
        <v>27</v>
      </c>
      <c r="B259" t="s">
        <v>43</v>
      </c>
      <c r="C259" t="s">
        <v>31</v>
      </c>
      <c r="D259">
        <v>2019</v>
      </c>
      <c r="E259" t="s">
        <v>119</v>
      </c>
      <c r="F259" t="s">
        <v>108</v>
      </c>
      <c r="G259" t="s">
        <v>31</v>
      </c>
      <c r="H259">
        <v>2470.1663355738019</v>
      </c>
      <c r="I259">
        <v>104910.18611455506</v>
      </c>
      <c r="J259">
        <v>0</v>
      </c>
      <c r="K259">
        <v>104910.18611455506</v>
      </c>
    </row>
    <row r="260" spans="1:11" x14ac:dyDescent="0.25">
      <c r="A260" t="s">
        <v>27</v>
      </c>
      <c r="B260" t="s">
        <v>43</v>
      </c>
      <c r="C260" t="s">
        <v>55</v>
      </c>
      <c r="D260">
        <v>2019</v>
      </c>
      <c r="E260" t="s">
        <v>119</v>
      </c>
      <c r="F260" t="s">
        <v>108</v>
      </c>
      <c r="G260" t="s">
        <v>55</v>
      </c>
      <c r="H260">
        <v>25678.880997566026</v>
      </c>
      <c r="I260">
        <v>2086504.8977723797</v>
      </c>
      <c r="J260">
        <v>0</v>
      </c>
      <c r="K260">
        <v>2086504.8977723797</v>
      </c>
    </row>
    <row r="261" spans="1:11" x14ac:dyDescent="0.25">
      <c r="A261" t="s">
        <v>27</v>
      </c>
      <c r="B261" t="s">
        <v>43</v>
      </c>
      <c r="C261" t="s">
        <v>54</v>
      </c>
      <c r="D261">
        <v>2019</v>
      </c>
      <c r="E261" t="s">
        <v>119</v>
      </c>
      <c r="F261" t="s">
        <v>108</v>
      </c>
      <c r="G261" t="s">
        <v>54</v>
      </c>
      <c r="H261">
        <v>7262.9431424427694</v>
      </c>
      <c r="I261">
        <v>323273.59927012771</v>
      </c>
      <c r="J261">
        <v>0</v>
      </c>
      <c r="K261">
        <v>323273.59927012771</v>
      </c>
    </row>
    <row r="262" spans="1:11" x14ac:dyDescent="0.25">
      <c r="A262" t="s">
        <v>27</v>
      </c>
      <c r="B262" t="s">
        <v>43</v>
      </c>
      <c r="C262" t="s">
        <v>41</v>
      </c>
      <c r="D262">
        <v>2019</v>
      </c>
      <c r="E262" t="s">
        <v>119</v>
      </c>
      <c r="F262" t="s">
        <v>108</v>
      </c>
      <c r="G262" t="s">
        <v>41</v>
      </c>
      <c r="H262">
        <v>1689.9505584470551</v>
      </c>
      <c r="I262">
        <v>14347.680241215501</v>
      </c>
      <c r="J262">
        <v>0</v>
      </c>
      <c r="K262">
        <v>14347.680241215501</v>
      </c>
    </row>
    <row r="263" spans="1:11" x14ac:dyDescent="0.25">
      <c r="A263" t="s">
        <v>27</v>
      </c>
      <c r="B263" t="s">
        <v>43</v>
      </c>
      <c r="C263" t="s">
        <v>80</v>
      </c>
      <c r="D263">
        <v>2019</v>
      </c>
      <c r="E263" t="s">
        <v>119</v>
      </c>
      <c r="F263" t="s">
        <v>108</v>
      </c>
      <c r="G263" t="s">
        <v>80</v>
      </c>
      <c r="H263">
        <v>12067.066633104925</v>
      </c>
      <c r="I263">
        <v>359549.63570951426</v>
      </c>
      <c r="J263">
        <v>0</v>
      </c>
      <c r="K263">
        <v>359549.63570951426</v>
      </c>
    </row>
    <row r="264" spans="1:11" x14ac:dyDescent="0.25">
      <c r="A264" t="s">
        <v>27</v>
      </c>
      <c r="B264" t="s">
        <v>43</v>
      </c>
      <c r="C264" t="s">
        <v>75</v>
      </c>
      <c r="D264">
        <v>2019</v>
      </c>
      <c r="E264" t="s">
        <v>119</v>
      </c>
      <c r="F264" t="s">
        <v>108</v>
      </c>
      <c r="G264" t="s">
        <v>52</v>
      </c>
      <c r="H264">
        <v>37335.148248827281</v>
      </c>
      <c r="I264">
        <v>533476.73476254696</v>
      </c>
      <c r="J264">
        <v>88626.174913066206</v>
      </c>
      <c r="K264">
        <v>88626.174913066206</v>
      </c>
    </row>
    <row r="265" spans="1:11" x14ac:dyDescent="0.25">
      <c r="A265" t="s">
        <v>27</v>
      </c>
      <c r="B265" t="s">
        <v>43</v>
      </c>
      <c r="C265" t="s">
        <v>78</v>
      </c>
      <c r="D265">
        <v>2019</v>
      </c>
      <c r="E265" t="s">
        <v>119</v>
      </c>
      <c r="F265" t="s">
        <v>108</v>
      </c>
      <c r="G265" t="s">
        <v>78</v>
      </c>
      <c r="H265">
        <v>2648.1429081925139</v>
      </c>
      <c r="I265">
        <v>132407.14540962569</v>
      </c>
      <c r="J265">
        <v>0</v>
      </c>
      <c r="K265">
        <v>132407.14540962569</v>
      </c>
    </row>
    <row r="266" spans="1:11" x14ac:dyDescent="0.25">
      <c r="A266" t="s">
        <v>27</v>
      </c>
      <c r="B266" t="s">
        <v>43</v>
      </c>
      <c r="C266" t="s">
        <v>65</v>
      </c>
      <c r="D266">
        <v>2019</v>
      </c>
      <c r="E266" t="s">
        <v>119</v>
      </c>
      <c r="F266" t="s">
        <v>108</v>
      </c>
      <c r="G266" t="s">
        <v>65</v>
      </c>
      <c r="H266">
        <v>1258.7577822820135</v>
      </c>
      <c r="I266">
        <v>30701.40932395155</v>
      </c>
      <c r="J266">
        <v>0</v>
      </c>
      <c r="K266">
        <v>30701.40932395155</v>
      </c>
    </row>
    <row r="267" spans="1:11" x14ac:dyDescent="0.25">
      <c r="A267" t="s">
        <v>27</v>
      </c>
      <c r="B267" t="s">
        <v>43</v>
      </c>
      <c r="C267" t="s">
        <v>120</v>
      </c>
      <c r="D267">
        <v>2019</v>
      </c>
      <c r="E267" t="s">
        <v>119</v>
      </c>
      <c r="F267" t="s">
        <v>108</v>
      </c>
      <c r="G267" t="s">
        <v>53</v>
      </c>
      <c r="H267">
        <v>31352.142273239417</v>
      </c>
      <c r="I267">
        <v>432346.04194797156</v>
      </c>
      <c r="J267">
        <v>0</v>
      </c>
      <c r="K267">
        <v>432346.04194797156</v>
      </c>
    </row>
    <row r="268" spans="1:11" x14ac:dyDescent="0.25">
      <c r="A268" t="s">
        <v>27</v>
      </c>
      <c r="B268" t="s">
        <v>43</v>
      </c>
      <c r="C268" t="s">
        <v>29</v>
      </c>
      <c r="D268">
        <v>2030</v>
      </c>
      <c r="E268" t="s">
        <v>119</v>
      </c>
      <c r="F268" t="s">
        <v>108</v>
      </c>
      <c r="G268" t="s">
        <v>52</v>
      </c>
      <c r="H268">
        <v>284372.46181096468</v>
      </c>
      <c r="I268">
        <v>1993450.9572948625</v>
      </c>
      <c r="J268">
        <v>646874.83564218285</v>
      </c>
      <c r="K268">
        <v>646874.83564218285</v>
      </c>
    </row>
    <row r="269" spans="1:11" x14ac:dyDescent="0.25">
      <c r="A269" t="s">
        <v>27</v>
      </c>
      <c r="B269" t="s">
        <v>43</v>
      </c>
      <c r="C269" t="s">
        <v>34</v>
      </c>
      <c r="D269">
        <v>2030</v>
      </c>
      <c r="E269" t="s">
        <v>119</v>
      </c>
      <c r="F269" t="s">
        <v>108</v>
      </c>
      <c r="G269" t="s">
        <v>52</v>
      </c>
      <c r="H269">
        <v>6197.8513989730473</v>
      </c>
      <c r="I269">
        <v>23923.706400035964</v>
      </c>
      <c r="J269">
        <v>7061.1501203360021</v>
      </c>
      <c r="K269">
        <v>7061.1501203360021</v>
      </c>
    </row>
    <row r="270" spans="1:11" x14ac:dyDescent="0.25">
      <c r="A270" t="s">
        <v>27</v>
      </c>
      <c r="B270" t="s">
        <v>43</v>
      </c>
      <c r="C270" t="s">
        <v>72</v>
      </c>
      <c r="D270">
        <v>2030</v>
      </c>
      <c r="E270" t="s">
        <v>119</v>
      </c>
      <c r="F270" t="s">
        <v>108</v>
      </c>
      <c r="G270" t="s">
        <v>52</v>
      </c>
      <c r="H270">
        <v>39315.487698414414</v>
      </c>
      <c r="I270">
        <v>172988.14587302343</v>
      </c>
      <c r="J270">
        <v>91856.705458575452</v>
      </c>
      <c r="K270">
        <v>91856.705458575452</v>
      </c>
    </row>
    <row r="271" spans="1:11" x14ac:dyDescent="0.25">
      <c r="A271" t="s">
        <v>27</v>
      </c>
      <c r="B271" t="s">
        <v>43</v>
      </c>
      <c r="C271" t="s">
        <v>53</v>
      </c>
      <c r="D271">
        <v>2030</v>
      </c>
      <c r="E271" t="s">
        <v>119</v>
      </c>
      <c r="F271" t="s">
        <v>108</v>
      </c>
      <c r="G271" t="s">
        <v>53</v>
      </c>
      <c r="H271">
        <v>23885.137786208805</v>
      </c>
      <c r="I271">
        <v>1185180.5369516809</v>
      </c>
      <c r="J271">
        <v>0</v>
      </c>
      <c r="K271">
        <v>1185180.5369516809</v>
      </c>
    </row>
    <row r="272" spans="1:11" x14ac:dyDescent="0.25">
      <c r="A272" t="s">
        <v>27</v>
      </c>
      <c r="B272" t="s">
        <v>43</v>
      </c>
      <c r="C272" t="s">
        <v>30</v>
      </c>
      <c r="D272">
        <v>2030</v>
      </c>
      <c r="E272" t="s">
        <v>119</v>
      </c>
      <c r="F272" t="s">
        <v>108</v>
      </c>
      <c r="G272" t="s">
        <v>30</v>
      </c>
      <c r="H272">
        <v>3742.8073387443319</v>
      </c>
      <c r="I272">
        <v>77663.252278944885</v>
      </c>
      <c r="J272">
        <v>0</v>
      </c>
      <c r="K272">
        <v>77663.252278944885</v>
      </c>
    </row>
    <row r="273" spans="1:11" x14ac:dyDescent="0.25">
      <c r="A273" t="s">
        <v>27</v>
      </c>
      <c r="B273" t="s">
        <v>43</v>
      </c>
      <c r="C273" t="s">
        <v>31</v>
      </c>
      <c r="D273">
        <v>2030</v>
      </c>
      <c r="E273" t="s">
        <v>119</v>
      </c>
      <c r="F273" t="s">
        <v>108</v>
      </c>
      <c r="G273" t="s">
        <v>31</v>
      </c>
      <c r="H273">
        <v>2401.0200968240606</v>
      </c>
      <c r="I273">
        <v>101973.48315982398</v>
      </c>
      <c r="J273">
        <v>0</v>
      </c>
      <c r="K273">
        <v>101973.48315982398</v>
      </c>
    </row>
    <row r="274" spans="1:11" x14ac:dyDescent="0.25">
      <c r="A274" t="s">
        <v>27</v>
      </c>
      <c r="B274" t="s">
        <v>43</v>
      </c>
      <c r="C274" t="s">
        <v>55</v>
      </c>
      <c r="D274">
        <v>2030</v>
      </c>
      <c r="E274" t="s">
        <v>119</v>
      </c>
      <c r="F274" t="s">
        <v>108</v>
      </c>
      <c r="G274" t="s">
        <v>55</v>
      </c>
      <c r="H274">
        <v>24960.063802661847</v>
      </c>
      <c r="I274">
        <v>2028098.3185327027</v>
      </c>
      <c r="J274">
        <v>0</v>
      </c>
      <c r="K274">
        <v>2028098.3185327027</v>
      </c>
    </row>
    <row r="275" spans="1:11" x14ac:dyDescent="0.25">
      <c r="A275" t="s">
        <v>27</v>
      </c>
      <c r="B275" t="s">
        <v>43</v>
      </c>
      <c r="C275" t="s">
        <v>54</v>
      </c>
      <c r="D275">
        <v>2030</v>
      </c>
      <c r="E275" t="s">
        <v>119</v>
      </c>
      <c r="F275" t="s">
        <v>108</v>
      </c>
      <c r="G275" t="s">
        <v>54</v>
      </c>
      <c r="H275">
        <v>7059.6348901519423</v>
      </c>
      <c r="I275">
        <v>314224.34896066296</v>
      </c>
      <c r="J275">
        <v>0</v>
      </c>
      <c r="K275">
        <v>314224.34896066296</v>
      </c>
    </row>
    <row r="276" spans="1:11" x14ac:dyDescent="0.25">
      <c r="A276" t="s">
        <v>27</v>
      </c>
      <c r="B276" t="s">
        <v>43</v>
      </c>
      <c r="C276" t="s">
        <v>41</v>
      </c>
      <c r="D276">
        <v>2030</v>
      </c>
      <c r="E276" t="s">
        <v>119</v>
      </c>
      <c r="F276" t="s">
        <v>108</v>
      </c>
      <c r="G276" t="s">
        <v>41</v>
      </c>
      <c r="H276">
        <v>1642.6445438249691</v>
      </c>
      <c r="I276">
        <v>13946.052177073991</v>
      </c>
      <c r="J276">
        <v>0</v>
      </c>
      <c r="K276">
        <v>13946.052177073991</v>
      </c>
    </row>
    <row r="277" spans="1:11" x14ac:dyDescent="0.25">
      <c r="A277" t="s">
        <v>27</v>
      </c>
      <c r="B277" t="s">
        <v>43</v>
      </c>
      <c r="C277" t="s">
        <v>80</v>
      </c>
      <c r="D277">
        <v>2030</v>
      </c>
      <c r="E277" t="s">
        <v>119</v>
      </c>
      <c r="F277" t="s">
        <v>108</v>
      </c>
      <c r="G277" t="s">
        <v>80</v>
      </c>
      <c r="H277">
        <v>11729.278744732668</v>
      </c>
      <c r="I277">
        <v>349484.92686982499</v>
      </c>
      <c r="J277">
        <v>0</v>
      </c>
      <c r="K277">
        <v>349484.92686982499</v>
      </c>
    </row>
    <row r="278" spans="1:11" x14ac:dyDescent="0.25">
      <c r="A278" t="s">
        <v>27</v>
      </c>
      <c r="B278" t="s">
        <v>43</v>
      </c>
      <c r="C278" t="s">
        <v>75</v>
      </c>
      <c r="D278">
        <v>2030</v>
      </c>
      <c r="E278" t="s">
        <v>119</v>
      </c>
      <c r="F278" t="s">
        <v>108</v>
      </c>
      <c r="G278" t="s">
        <v>52</v>
      </c>
      <c r="H278">
        <v>36290.042485141646</v>
      </c>
      <c r="I278">
        <v>518543.36402629869</v>
      </c>
      <c r="J278">
        <v>85644.500264934293</v>
      </c>
      <c r="K278">
        <v>85644.500264934293</v>
      </c>
    </row>
    <row r="279" spans="1:11" x14ac:dyDescent="0.25">
      <c r="A279" t="s">
        <v>27</v>
      </c>
      <c r="B279" t="s">
        <v>43</v>
      </c>
      <c r="C279" t="s">
        <v>78</v>
      </c>
      <c r="D279">
        <v>2030</v>
      </c>
      <c r="E279" t="s">
        <v>119</v>
      </c>
      <c r="F279" t="s">
        <v>108</v>
      </c>
      <c r="G279" t="s">
        <v>78</v>
      </c>
      <c r="H279">
        <v>2574.0146524810302</v>
      </c>
      <c r="I279">
        <v>128700.73262405151</v>
      </c>
      <c r="J279">
        <v>0</v>
      </c>
      <c r="K279">
        <v>128700.73262405151</v>
      </c>
    </row>
    <row r="280" spans="1:11" x14ac:dyDescent="0.25">
      <c r="A280" t="s">
        <v>27</v>
      </c>
      <c r="B280" t="s">
        <v>43</v>
      </c>
      <c r="C280" t="s">
        <v>65</v>
      </c>
      <c r="D280">
        <v>2030</v>
      </c>
      <c r="E280" t="s">
        <v>119</v>
      </c>
      <c r="F280" t="s">
        <v>108</v>
      </c>
      <c r="G280" t="s">
        <v>65</v>
      </c>
      <c r="H280">
        <v>1223.5219502296152</v>
      </c>
      <c r="I280">
        <v>29841.998786088181</v>
      </c>
      <c r="J280">
        <v>0</v>
      </c>
      <c r="K280">
        <v>29841.998786088181</v>
      </c>
    </row>
    <row r="281" spans="1:11" x14ac:dyDescent="0.25">
      <c r="A281" t="s">
        <v>27</v>
      </c>
      <c r="B281" t="s">
        <v>43</v>
      </c>
      <c r="C281" t="s">
        <v>120</v>
      </c>
      <c r="D281">
        <v>2030</v>
      </c>
      <c r="E281" t="s">
        <v>119</v>
      </c>
      <c r="F281" t="s">
        <v>108</v>
      </c>
      <c r="G281" t="s">
        <v>53</v>
      </c>
      <c r="H281">
        <v>30474.516064946976</v>
      </c>
      <c r="I281">
        <v>420243.57653561886</v>
      </c>
      <c r="J281">
        <v>0</v>
      </c>
      <c r="K281">
        <v>420243.57653561886</v>
      </c>
    </row>
    <row r="282" spans="1:11" x14ac:dyDescent="0.25">
      <c r="A282" t="s">
        <v>27</v>
      </c>
      <c r="B282" t="s">
        <v>43</v>
      </c>
      <c r="C282" t="s">
        <v>29</v>
      </c>
      <c r="D282">
        <v>2050</v>
      </c>
      <c r="E282" t="s">
        <v>119</v>
      </c>
      <c r="F282" t="s">
        <v>108</v>
      </c>
      <c r="G282" t="s">
        <v>52</v>
      </c>
      <c r="H282">
        <v>269399.56788001256</v>
      </c>
      <c r="I282">
        <v>1888490.9708388881</v>
      </c>
      <c r="J282">
        <v>612815.32003721921</v>
      </c>
      <c r="K282">
        <v>612815.32003721921</v>
      </c>
    </row>
    <row r="283" spans="1:11" x14ac:dyDescent="0.25">
      <c r="A283" t="s">
        <v>27</v>
      </c>
      <c r="B283" t="s">
        <v>43</v>
      </c>
      <c r="C283" t="s">
        <v>34</v>
      </c>
      <c r="D283">
        <v>2050</v>
      </c>
      <c r="E283" t="s">
        <v>119</v>
      </c>
      <c r="F283" t="s">
        <v>108</v>
      </c>
      <c r="G283" t="s">
        <v>52</v>
      </c>
      <c r="H283">
        <v>5871.5196191458026</v>
      </c>
      <c r="I283">
        <v>22664.065729902799</v>
      </c>
      <c r="J283">
        <v>6689.3635868966203</v>
      </c>
      <c r="K283">
        <v>6689.3635868966203</v>
      </c>
    </row>
    <row r="284" spans="1:11" x14ac:dyDescent="0.25">
      <c r="A284" t="s">
        <v>27</v>
      </c>
      <c r="B284" t="s">
        <v>43</v>
      </c>
      <c r="C284" t="s">
        <v>72</v>
      </c>
      <c r="D284">
        <v>2050</v>
      </c>
      <c r="E284" t="s">
        <v>119</v>
      </c>
      <c r="F284" t="s">
        <v>108</v>
      </c>
      <c r="G284" t="s">
        <v>52</v>
      </c>
      <c r="H284">
        <v>37245.432731055007</v>
      </c>
      <c r="I284">
        <v>163879.90401664205</v>
      </c>
      <c r="J284">
        <v>87020.229032836913</v>
      </c>
      <c r="K284">
        <v>87020.229032836913</v>
      </c>
    </row>
    <row r="285" spans="1:11" x14ac:dyDescent="0.25">
      <c r="A285" t="s">
        <v>27</v>
      </c>
      <c r="B285" t="s">
        <v>43</v>
      </c>
      <c r="C285" t="s">
        <v>53</v>
      </c>
      <c r="D285">
        <v>2050</v>
      </c>
      <c r="E285" t="s">
        <v>119</v>
      </c>
      <c r="F285" t="s">
        <v>108</v>
      </c>
      <c r="G285" t="s">
        <v>53</v>
      </c>
      <c r="H285">
        <v>22627.527846337711</v>
      </c>
      <c r="I285">
        <v>1122777.9317352772</v>
      </c>
      <c r="J285">
        <v>0</v>
      </c>
      <c r="K285">
        <v>1122777.9317352772</v>
      </c>
    </row>
    <row r="286" spans="1:11" x14ac:dyDescent="0.25">
      <c r="A286" t="s">
        <v>27</v>
      </c>
      <c r="B286" t="s">
        <v>43</v>
      </c>
      <c r="C286" t="s">
        <v>30</v>
      </c>
      <c r="D286">
        <v>2050</v>
      </c>
      <c r="E286" t="s">
        <v>119</v>
      </c>
      <c r="F286" t="s">
        <v>108</v>
      </c>
      <c r="G286" t="s">
        <v>30</v>
      </c>
      <c r="H286">
        <v>3545.7395322129769</v>
      </c>
      <c r="I286">
        <v>73574.095293419276</v>
      </c>
      <c r="J286">
        <v>0</v>
      </c>
      <c r="K286">
        <v>73574.095293419276</v>
      </c>
    </row>
    <row r="287" spans="1:11" x14ac:dyDescent="0.25">
      <c r="A287" t="s">
        <v>27</v>
      </c>
      <c r="B287" t="s">
        <v>43</v>
      </c>
      <c r="C287" t="s">
        <v>31</v>
      </c>
      <c r="D287">
        <v>2050</v>
      </c>
      <c r="E287" t="s">
        <v>119</v>
      </c>
      <c r="F287" t="s">
        <v>108</v>
      </c>
      <c r="G287" t="s">
        <v>31</v>
      </c>
      <c r="H287">
        <v>2274.6006151102201</v>
      </c>
      <c r="I287">
        <v>96604.334060792258</v>
      </c>
      <c r="J287">
        <v>0</v>
      </c>
      <c r="K287">
        <v>96604.334060792258</v>
      </c>
    </row>
    <row r="288" spans="1:11" x14ac:dyDescent="0.25">
      <c r="A288" t="s">
        <v>27</v>
      </c>
      <c r="B288" t="s">
        <v>43</v>
      </c>
      <c r="C288" t="s">
        <v>55</v>
      </c>
      <c r="D288">
        <v>2050</v>
      </c>
      <c r="E288" t="s">
        <v>119</v>
      </c>
      <c r="F288" t="s">
        <v>108</v>
      </c>
      <c r="G288" t="s">
        <v>55</v>
      </c>
      <c r="H288">
        <v>23645.856423202276</v>
      </c>
      <c r="I288">
        <v>1921314.0651927341</v>
      </c>
      <c r="J288">
        <v>0</v>
      </c>
      <c r="K288">
        <v>1921314.0651927341</v>
      </c>
    </row>
    <row r="289" spans="1:11" x14ac:dyDescent="0.25">
      <c r="A289" t="s">
        <v>27</v>
      </c>
      <c r="B289" t="s">
        <v>43</v>
      </c>
      <c r="C289" t="s">
        <v>54</v>
      </c>
      <c r="D289">
        <v>2050</v>
      </c>
      <c r="E289" t="s">
        <v>119</v>
      </c>
      <c r="F289" t="s">
        <v>108</v>
      </c>
      <c r="G289" t="s">
        <v>54</v>
      </c>
      <c r="H289">
        <v>6687.9281372253527</v>
      </c>
      <c r="I289">
        <v>297679.68138790049</v>
      </c>
      <c r="J289">
        <v>0</v>
      </c>
      <c r="K289">
        <v>297679.68138790049</v>
      </c>
    </row>
    <row r="290" spans="1:11" x14ac:dyDescent="0.25">
      <c r="A290" t="s">
        <v>27</v>
      </c>
      <c r="B290" t="s">
        <v>43</v>
      </c>
      <c r="C290" t="s">
        <v>41</v>
      </c>
      <c r="D290">
        <v>2050</v>
      </c>
      <c r="E290" t="s">
        <v>119</v>
      </c>
      <c r="F290" t="s">
        <v>108</v>
      </c>
      <c r="G290" t="s">
        <v>41</v>
      </c>
      <c r="H290">
        <v>1556.1553586052762</v>
      </c>
      <c r="I290">
        <v>13211.758994558797</v>
      </c>
      <c r="J290">
        <v>0</v>
      </c>
      <c r="K290">
        <v>13211.758994558797</v>
      </c>
    </row>
    <row r="291" spans="1:11" x14ac:dyDescent="0.25">
      <c r="A291" t="s">
        <v>27</v>
      </c>
      <c r="B291" t="s">
        <v>43</v>
      </c>
      <c r="C291" t="s">
        <v>80</v>
      </c>
      <c r="D291">
        <v>2050</v>
      </c>
      <c r="E291" t="s">
        <v>119</v>
      </c>
      <c r="F291" t="s">
        <v>108</v>
      </c>
      <c r="G291" t="s">
        <v>80</v>
      </c>
      <c r="H291">
        <v>11111.704013997321</v>
      </c>
      <c r="I291">
        <v>331083.70508075121</v>
      </c>
      <c r="J291">
        <v>0</v>
      </c>
      <c r="K291">
        <v>331083.70508075121</v>
      </c>
    </row>
    <row r="292" spans="1:11" x14ac:dyDescent="0.25">
      <c r="A292" t="s">
        <v>27</v>
      </c>
      <c r="B292" t="s">
        <v>43</v>
      </c>
      <c r="C292" t="s">
        <v>75</v>
      </c>
      <c r="D292">
        <v>2050</v>
      </c>
      <c r="E292" t="s">
        <v>119</v>
      </c>
      <c r="F292" t="s">
        <v>108</v>
      </c>
      <c r="G292" t="s">
        <v>52</v>
      </c>
      <c r="H292">
        <v>34379.284483401752</v>
      </c>
      <c r="I292">
        <v>491240.80899434892</v>
      </c>
      <c r="J292">
        <v>81135.111380828137</v>
      </c>
      <c r="K292">
        <v>81135.111380828137</v>
      </c>
    </row>
    <row r="293" spans="1:11" x14ac:dyDescent="0.25">
      <c r="A293" t="s">
        <v>27</v>
      </c>
      <c r="B293" t="s">
        <v>43</v>
      </c>
      <c r="C293" t="s">
        <v>78</v>
      </c>
      <c r="D293">
        <v>2050</v>
      </c>
      <c r="E293" t="s">
        <v>119</v>
      </c>
      <c r="F293" t="s">
        <v>108</v>
      </c>
      <c r="G293" t="s">
        <v>78</v>
      </c>
      <c r="H293">
        <v>2438.4865914202696</v>
      </c>
      <c r="I293">
        <v>121924.32957101348</v>
      </c>
      <c r="J293">
        <v>0</v>
      </c>
      <c r="K293">
        <v>121924.32957101348</v>
      </c>
    </row>
    <row r="294" spans="1:11" x14ac:dyDescent="0.25">
      <c r="A294" t="s">
        <v>27</v>
      </c>
      <c r="B294" t="s">
        <v>43</v>
      </c>
      <c r="C294" t="s">
        <v>65</v>
      </c>
      <c r="D294">
        <v>2050</v>
      </c>
      <c r="E294" t="s">
        <v>119</v>
      </c>
      <c r="F294" t="s">
        <v>108</v>
      </c>
      <c r="G294" t="s">
        <v>65</v>
      </c>
      <c r="H294">
        <v>1159.1005774063997</v>
      </c>
      <c r="I294">
        <v>28270.745790399997</v>
      </c>
      <c r="J294">
        <v>0</v>
      </c>
      <c r="K294">
        <v>28270.745790399997</v>
      </c>
    </row>
    <row r="295" spans="1:11" x14ac:dyDescent="0.25">
      <c r="A295" t="s">
        <v>27</v>
      </c>
      <c r="B295" t="s">
        <v>43</v>
      </c>
      <c r="C295" t="s">
        <v>120</v>
      </c>
      <c r="D295">
        <v>2050</v>
      </c>
      <c r="E295" t="s">
        <v>119</v>
      </c>
      <c r="F295" t="s">
        <v>108</v>
      </c>
      <c r="G295" t="s">
        <v>53</v>
      </c>
      <c r="H295">
        <v>28869.959513543392</v>
      </c>
      <c r="I295">
        <v>398116.7416917634</v>
      </c>
      <c r="J295">
        <v>0</v>
      </c>
      <c r="K295">
        <v>398116.7416917634</v>
      </c>
    </row>
    <row r="296" spans="1:11" x14ac:dyDescent="0.25">
      <c r="A296" t="s">
        <v>27</v>
      </c>
      <c r="B296" t="s">
        <v>43</v>
      </c>
      <c r="C296" t="s">
        <v>29</v>
      </c>
      <c r="D296">
        <v>2019</v>
      </c>
      <c r="E296" t="s">
        <v>121</v>
      </c>
      <c r="F296" t="s">
        <v>108</v>
      </c>
      <c r="G296" t="s">
        <v>52</v>
      </c>
      <c r="H296">
        <v>37407.422491325582</v>
      </c>
      <c r="I296">
        <v>175691.44121500885</v>
      </c>
      <c r="J296">
        <v>57345.247183975873</v>
      </c>
      <c r="K296">
        <v>57345.247183975873</v>
      </c>
    </row>
    <row r="297" spans="1:11" x14ac:dyDescent="0.25">
      <c r="A297" t="s">
        <v>27</v>
      </c>
      <c r="B297" t="s">
        <v>43</v>
      </c>
      <c r="C297" t="s">
        <v>34</v>
      </c>
      <c r="D297">
        <v>2019</v>
      </c>
      <c r="E297" t="s">
        <v>121</v>
      </c>
      <c r="F297" t="s">
        <v>108</v>
      </c>
      <c r="G297" t="s">
        <v>52</v>
      </c>
      <c r="H297">
        <v>815.28866875287099</v>
      </c>
      <c r="I297">
        <v>1793.798128990067</v>
      </c>
      <c r="J297">
        <v>532.54053466904622</v>
      </c>
      <c r="K297">
        <v>532.54053466904622</v>
      </c>
    </row>
    <row r="298" spans="1:11" x14ac:dyDescent="0.25">
      <c r="A298" t="s">
        <v>27</v>
      </c>
      <c r="B298" t="s">
        <v>43</v>
      </c>
      <c r="C298" t="s">
        <v>72</v>
      </c>
      <c r="D298">
        <v>2019</v>
      </c>
      <c r="E298" t="s">
        <v>121</v>
      </c>
      <c r="F298" t="s">
        <v>108</v>
      </c>
      <c r="G298" t="s">
        <v>52</v>
      </c>
      <c r="H298">
        <v>5171.7070261351</v>
      </c>
      <c r="I298">
        <v>12515.531003246942</v>
      </c>
      <c r="J298">
        <v>6684.6076864892093</v>
      </c>
      <c r="K298">
        <v>6684.6076864892093</v>
      </c>
    </row>
    <row r="299" spans="1:11" x14ac:dyDescent="0.25">
      <c r="A299" t="s">
        <v>27</v>
      </c>
      <c r="B299" t="s">
        <v>43</v>
      </c>
      <c r="C299" t="s">
        <v>53</v>
      </c>
      <c r="D299">
        <v>2019</v>
      </c>
      <c r="E299" t="s">
        <v>121</v>
      </c>
      <c r="F299" t="s">
        <v>108</v>
      </c>
      <c r="G299" t="s">
        <v>53</v>
      </c>
      <c r="H299">
        <v>3141.9408009562312</v>
      </c>
      <c r="I299">
        <v>121604.41998388959</v>
      </c>
      <c r="J299">
        <v>0</v>
      </c>
      <c r="K299">
        <v>121604.41998388959</v>
      </c>
    </row>
    <row r="300" spans="1:11" x14ac:dyDescent="0.25">
      <c r="A300" t="s">
        <v>27</v>
      </c>
      <c r="B300" t="s">
        <v>43</v>
      </c>
      <c r="C300" t="s">
        <v>30</v>
      </c>
      <c r="D300">
        <v>2019</v>
      </c>
      <c r="E300" t="s">
        <v>121</v>
      </c>
      <c r="F300" t="s">
        <v>108</v>
      </c>
      <c r="G300" t="s">
        <v>30</v>
      </c>
      <c r="H300">
        <v>492.34294534860186</v>
      </c>
      <c r="I300">
        <v>5823.1861861105881</v>
      </c>
      <c r="J300">
        <v>0</v>
      </c>
      <c r="K300">
        <v>5823.1861861105881</v>
      </c>
    </row>
    <row r="301" spans="1:11" x14ac:dyDescent="0.25">
      <c r="A301" t="s">
        <v>27</v>
      </c>
      <c r="B301" t="s">
        <v>43</v>
      </c>
      <c r="C301" t="s">
        <v>31</v>
      </c>
      <c r="D301">
        <v>2019</v>
      </c>
      <c r="E301" t="s">
        <v>121</v>
      </c>
      <c r="F301" t="s">
        <v>108</v>
      </c>
      <c r="G301" t="s">
        <v>31</v>
      </c>
      <c r="H301">
        <v>315.83920819930114</v>
      </c>
      <c r="I301">
        <v>7645.9658984285725</v>
      </c>
      <c r="J301">
        <v>0</v>
      </c>
      <c r="K301">
        <v>7645.9658984285725</v>
      </c>
    </row>
    <row r="302" spans="1:11" x14ac:dyDescent="0.25">
      <c r="A302" t="s">
        <v>27</v>
      </c>
      <c r="B302" t="s">
        <v>43</v>
      </c>
      <c r="C302" t="s">
        <v>55</v>
      </c>
      <c r="D302">
        <v>2019</v>
      </c>
      <c r="E302" t="s">
        <v>121</v>
      </c>
      <c r="F302" t="s">
        <v>108</v>
      </c>
      <c r="G302" t="s">
        <v>55</v>
      </c>
      <c r="H302">
        <v>3283.3406094619722</v>
      </c>
      <c r="I302">
        <v>152066.69520013814</v>
      </c>
      <c r="J302">
        <v>0</v>
      </c>
      <c r="K302">
        <v>152066.69520013814</v>
      </c>
    </row>
    <row r="303" spans="1:11" x14ac:dyDescent="0.25">
      <c r="A303" t="s">
        <v>27</v>
      </c>
      <c r="B303" t="s">
        <v>43</v>
      </c>
      <c r="C303" t="s">
        <v>54</v>
      </c>
      <c r="D303">
        <v>2019</v>
      </c>
      <c r="E303" t="s">
        <v>121</v>
      </c>
      <c r="F303" t="s">
        <v>108</v>
      </c>
      <c r="G303" t="s">
        <v>54</v>
      </c>
      <c r="H303">
        <v>928.65090834978378</v>
      </c>
      <c r="I303">
        <v>34307.429102438567</v>
      </c>
      <c r="J303">
        <v>0</v>
      </c>
      <c r="K303">
        <v>34307.429102438567</v>
      </c>
    </row>
    <row r="304" spans="1:11" x14ac:dyDescent="0.25">
      <c r="A304" t="s">
        <v>27</v>
      </c>
      <c r="B304" t="s">
        <v>43</v>
      </c>
      <c r="C304" t="s">
        <v>41</v>
      </c>
      <c r="D304">
        <v>2019</v>
      </c>
      <c r="E304" t="s">
        <v>121</v>
      </c>
      <c r="F304" t="s">
        <v>108</v>
      </c>
      <c r="G304" t="s">
        <v>41</v>
      </c>
      <c r="H304">
        <v>216.07963746777307</v>
      </c>
      <c r="I304">
        <v>1045.6741895977943</v>
      </c>
      <c r="J304">
        <v>0</v>
      </c>
      <c r="K304">
        <v>1045.6741895977943</v>
      </c>
    </row>
    <row r="305" spans="1:11" x14ac:dyDescent="0.25">
      <c r="A305" t="s">
        <v>27</v>
      </c>
      <c r="B305" t="s">
        <v>43</v>
      </c>
      <c r="C305" t="s">
        <v>80</v>
      </c>
      <c r="D305">
        <v>2019</v>
      </c>
      <c r="E305" t="s">
        <v>121</v>
      </c>
      <c r="F305" t="s">
        <v>108</v>
      </c>
      <c r="G305" t="s">
        <v>80</v>
      </c>
      <c r="H305">
        <v>1542.9134126721628</v>
      </c>
      <c r="I305">
        <v>26204.359702741538</v>
      </c>
      <c r="J305">
        <v>0</v>
      </c>
      <c r="K305">
        <v>26204.359702741538</v>
      </c>
    </row>
    <row r="306" spans="1:11" x14ac:dyDescent="0.25">
      <c r="A306" t="s">
        <v>27</v>
      </c>
      <c r="B306" t="s">
        <v>43</v>
      </c>
      <c r="C306" t="s">
        <v>75</v>
      </c>
      <c r="D306">
        <v>2019</v>
      </c>
      <c r="E306" t="s">
        <v>121</v>
      </c>
      <c r="F306" t="s">
        <v>108</v>
      </c>
      <c r="G306" t="s">
        <v>52</v>
      </c>
      <c r="H306">
        <v>4773.7285911047593</v>
      </c>
      <c r="I306">
        <v>38880.351590888582</v>
      </c>
      <c r="J306">
        <v>6459.1698498517526</v>
      </c>
      <c r="K306">
        <v>6459.1698498517526</v>
      </c>
    </row>
    <row r="307" spans="1:11" x14ac:dyDescent="0.25">
      <c r="A307" t="s">
        <v>27</v>
      </c>
      <c r="B307" t="s">
        <v>43</v>
      </c>
      <c r="C307" t="s">
        <v>78</v>
      </c>
      <c r="D307">
        <v>2019</v>
      </c>
      <c r="E307" t="s">
        <v>121</v>
      </c>
      <c r="F307" t="s">
        <v>108</v>
      </c>
      <c r="G307" t="s">
        <v>78</v>
      </c>
      <c r="H307">
        <v>338.59556228136813</v>
      </c>
      <c r="I307">
        <v>9649.9735250189897</v>
      </c>
      <c r="J307">
        <v>0</v>
      </c>
      <c r="K307">
        <v>9649.9735250189897</v>
      </c>
    </row>
    <row r="308" spans="1:11" x14ac:dyDescent="0.25">
      <c r="A308" t="s">
        <v>27</v>
      </c>
      <c r="B308" t="s">
        <v>43</v>
      </c>
      <c r="C308" t="s">
        <v>65</v>
      </c>
      <c r="D308">
        <v>2019</v>
      </c>
      <c r="E308" t="s">
        <v>121</v>
      </c>
      <c r="F308" t="s">
        <v>108</v>
      </c>
      <c r="G308" t="s">
        <v>65</v>
      </c>
      <c r="H308">
        <v>160.94667615908057</v>
      </c>
      <c r="I308">
        <v>2237.5513514799004</v>
      </c>
      <c r="J308">
        <v>0</v>
      </c>
      <c r="K308">
        <v>2237.5513514799004</v>
      </c>
    </row>
    <row r="309" spans="1:11" x14ac:dyDescent="0.25">
      <c r="A309" t="s">
        <v>27</v>
      </c>
      <c r="B309" t="s">
        <v>43</v>
      </c>
      <c r="C309" t="s">
        <v>120</v>
      </c>
      <c r="D309">
        <v>2019</v>
      </c>
      <c r="E309" t="s">
        <v>121</v>
      </c>
      <c r="F309" t="s">
        <v>108</v>
      </c>
      <c r="G309" t="s">
        <v>53</v>
      </c>
      <c r="H309">
        <v>4008.7323870971445</v>
      </c>
      <c r="I309">
        <v>55280.419618069631</v>
      </c>
      <c r="J309">
        <v>0</v>
      </c>
      <c r="K309">
        <v>55280.419618069631</v>
      </c>
    </row>
    <row r="310" spans="1:11" x14ac:dyDescent="0.25">
      <c r="A310" t="s">
        <v>27</v>
      </c>
      <c r="B310" t="s">
        <v>43</v>
      </c>
      <c r="C310" t="s">
        <v>29</v>
      </c>
      <c r="D310">
        <v>2030</v>
      </c>
      <c r="E310" t="s">
        <v>121</v>
      </c>
      <c r="F310" t="s">
        <v>108</v>
      </c>
      <c r="G310" t="s">
        <v>52</v>
      </c>
      <c r="H310">
        <v>44381.829299977158</v>
      </c>
      <c r="I310">
        <v>208448.13767320273</v>
      </c>
      <c r="J310">
        <v>67641.420674954294</v>
      </c>
      <c r="K310">
        <v>67641.420674954294</v>
      </c>
    </row>
    <row r="311" spans="1:11" x14ac:dyDescent="0.25">
      <c r="A311" t="s">
        <v>27</v>
      </c>
      <c r="B311" t="s">
        <v>43</v>
      </c>
      <c r="C311" t="s">
        <v>34</v>
      </c>
      <c r="D311">
        <v>2030</v>
      </c>
      <c r="E311" t="s">
        <v>121</v>
      </c>
      <c r="F311" t="s">
        <v>108</v>
      </c>
      <c r="G311" t="s">
        <v>52</v>
      </c>
      <c r="H311">
        <v>967.29472700735414</v>
      </c>
      <c r="I311">
        <v>2128.2418583615804</v>
      </c>
      <c r="J311">
        <v>628.15664943335878</v>
      </c>
      <c r="K311">
        <v>628.15664943335878</v>
      </c>
    </row>
    <row r="312" spans="1:11" x14ac:dyDescent="0.25">
      <c r="A312" t="s">
        <v>27</v>
      </c>
      <c r="B312" t="s">
        <v>43</v>
      </c>
      <c r="C312" t="s">
        <v>72</v>
      </c>
      <c r="D312">
        <v>2030</v>
      </c>
      <c r="E312" t="s">
        <v>121</v>
      </c>
      <c r="F312" t="s">
        <v>108</v>
      </c>
      <c r="G312" t="s">
        <v>52</v>
      </c>
      <c r="H312">
        <v>6135.9431668045636</v>
      </c>
      <c r="I312">
        <v>14848.982463667046</v>
      </c>
      <c r="J312">
        <v>7884.8096882072023</v>
      </c>
      <c r="K312">
        <v>7884.8096882072023</v>
      </c>
    </row>
    <row r="313" spans="1:11" x14ac:dyDescent="0.25">
      <c r="A313" t="s">
        <v>27</v>
      </c>
      <c r="B313" t="s">
        <v>43</v>
      </c>
      <c r="C313" t="s">
        <v>53</v>
      </c>
      <c r="D313">
        <v>2030</v>
      </c>
      <c r="E313" t="s">
        <v>121</v>
      </c>
      <c r="F313" t="s">
        <v>108</v>
      </c>
      <c r="G313" t="s">
        <v>53</v>
      </c>
      <c r="H313">
        <v>3727.7382672117792</v>
      </c>
      <c r="I313">
        <v>144276.89079885781</v>
      </c>
      <c r="J313">
        <v>0</v>
      </c>
      <c r="K313">
        <v>144276.89079885781</v>
      </c>
    </row>
    <row r="314" spans="1:11" x14ac:dyDescent="0.25">
      <c r="A314" t="s">
        <v>27</v>
      </c>
      <c r="B314" t="s">
        <v>43</v>
      </c>
      <c r="C314" t="s">
        <v>30</v>
      </c>
      <c r="D314">
        <v>2030</v>
      </c>
      <c r="E314" t="s">
        <v>121</v>
      </c>
      <c r="F314" t="s">
        <v>108</v>
      </c>
      <c r="G314" t="s">
        <v>30</v>
      </c>
      <c r="H314">
        <v>584.13756153813279</v>
      </c>
      <c r="I314">
        <v>6908.8870090922646</v>
      </c>
      <c r="J314">
        <v>0</v>
      </c>
      <c r="K314">
        <v>6908.8870090922646</v>
      </c>
    </row>
    <row r="315" spans="1:11" x14ac:dyDescent="0.25">
      <c r="A315" t="s">
        <v>27</v>
      </c>
      <c r="B315" t="s">
        <v>43</v>
      </c>
      <c r="C315" t="s">
        <v>31</v>
      </c>
      <c r="D315">
        <v>2030</v>
      </c>
      <c r="E315" t="s">
        <v>121</v>
      </c>
      <c r="F315" t="s">
        <v>108</v>
      </c>
      <c r="G315" t="s">
        <v>31</v>
      </c>
      <c r="H315">
        <v>374.72567985115398</v>
      </c>
      <c r="I315">
        <v>9071.5139065300064</v>
      </c>
      <c r="J315">
        <v>0</v>
      </c>
      <c r="K315">
        <v>9071.5139065300064</v>
      </c>
    </row>
    <row r="316" spans="1:11" x14ac:dyDescent="0.25">
      <c r="A316" t="s">
        <v>27</v>
      </c>
      <c r="B316" t="s">
        <v>43</v>
      </c>
      <c r="C316" t="s">
        <v>55</v>
      </c>
      <c r="D316">
        <v>2030</v>
      </c>
      <c r="E316" t="s">
        <v>121</v>
      </c>
      <c r="F316" t="s">
        <v>108</v>
      </c>
      <c r="G316" t="s">
        <v>55</v>
      </c>
      <c r="H316">
        <v>3895.5012871206354</v>
      </c>
      <c r="I316">
        <v>180418.68856773584</v>
      </c>
      <c r="J316">
        <v>0</v>
      </c>
      <c r="K316">
        <v>180418.68856773584</v>
      </c>
    </row>
    <row r="317" spans="1:11" x14ac:dyDescent="0.25">
      <c r="A317" t="s">
        <v>27</v>
      </c>
      <c r="B317" t="s">
        <v>43</v>
      </c>
      <c r="C317" t="s">
        <v>54</v>
      </c>
      <c r="D317">
        <v>2030</v>
      </c>
      <c r="E317" t="s">
        <v>121</v>
      </c>
      <c r="F317" t="s">
        <v>108</v>
      </c>
      <c r="G317" t="s">
        <v>54</v>
      </c>
      <c r="H317">
        <v>1101.7927285208236</v>
      </c>
      <c r="I317">
        <v>40703.859307563347</v>
      </c>
      <c r="J317">
        <v>0</v>
      </c>
      <c r="K317">
        <v>40703.859307563347</v>
      </c>
    </row>
    <row r="318" spans="1:11" x14ac:dyDescent="0.25">
      <c r="A318" t="s">
        <v>27</v>
      </c>
      <c r="B318" t="s">
        <v>43</v>
      </c>
      <c r="C318" t="s">
        <v>41</v>
      </c>
      <c r="D318">
        <v>2030</v>
      </c>
      <c r="E318" t="s">
        <v>121</v>
      </c>
      <c r="F318" t="s">
        <v>108</v>
      </c>
      <c r="G318" t="s">
        <v>41</v>
      </c>
      <c r="H318">
        <v>256.36648949869465</v>
      </c>
      <c r="I318">
        <v>1240.6343526310329</v>
      </c>
      <c r="J318">
        <v>0</v>
      </c>
      <c r="K318">
        <v>1240.6343526310329</v>
      </c>
    </row>
    <row r="319" spans="1:11" x14ac:dyDescent="0.25">
      <c r="A319" t="s">
        <v>27</v>
      </c>
      <c r="B319" t="s">
        <v>43</v>
      </c>
      <c r="C319" t="s">
        <v>80</v>
      </c>
      <c r="D319">
        <v>2030</v>
      </c>
      <c r="E319" t="s">
        <v>121</v>
      </c>
      <c r="F319" t="s">
        <v>108</v>
      </c>
      <c r="G319" t="s">
        <v>80</v>
      </c>
      <c r="H319">
        <v>1830.5810757675265</v>
      </c>
      <c r="I319">
        <v>31090.017482812756</v>
      </c>
      <c r="J319">
        <v>0</v>
      </c>
      <c r="K319">
        <v>31090.017482812756</v>
      </c>
    </row>
    <row r="320" spans="1:11" x14ac:dyDescent="0.25">
      <c r="A320" t="s">
        <v>27</v>
      </c>
      <c r="B320" t="s">
        <v>43</v>
      </c>
      <c r="C320" t="s">
        <v>75</v>
      </c>
      <c r="D320">
        <v>2030</v>
      </c>
      <c r="E320" t="s">
        <v>121</v>
      </c>
      <c r="F320" t="s">
        <v>108</v>
      </c>
      <c r="G320" t="s">
        <v>52</v>
      </c>
      <c r="H320">
        <v>5663.7638560625701</v>
      </c>
      <c r="I320">
        <v>46129.377874940677</v>
      </c>
      <c r="J320">
        <v>7618.895139175369</v>
      </c>
      <c r="K320">
        <v>7618.895139175369</v>
      </c>
    </row>
    <row r="321" spans="1:11" x14ac:dyDescent="0.25">
      <c r="A321" t="s">
        <v>27</v>
      </c>
      <c r="B321" t="s">
        <v>43</v>
      </c>
      <c r="C321" t="s">
        <v>78</v>
      </c>
      <c r="D321">
        <v>2030</v>
      </c>
      <c r="E321" t="s">
        <v>121</v>
      </c>
      <c r="F321" t="s">
        <v>108</v>
      </c>
      <c r="G321" t="s">
        <v>78</v>
      </c>
      <c r="H321">
        <v>401.72483015599897</v>
      </c>
      <c r="I321">
        <v>11449.157659445971</v>
      </c>
      <c r="J321">
        <v>0</v>
      </c>
      <c r="K321">
        <v>11449.157659445971</v>
      </c>
    </row>
    <row r="322" spans="1:11" x14ac:dyDescent="0.25">
      <c r="A322" t="s">
        <v>27</v>
      </c>
      <c r="B322" t="s">
        <v>43</v>
      </c>
      <c r="C322" t="s">
        <v>65</v>
      </c>
      <c r="D322">
        <v>2030</v>
      </c>
      <c r="E322" t="s">
        <v>121</v>
      </c>
      <c r="F322" t="s">
        <v>108</v>
      </c>
      <c r="G322" t="s">
        <v>65</v>
      </c>
      <c r="H322">
        <v>190.95429281040239</v>
      </c>
      <c r="I322">
        <v>2654.7304122421797</v>
      </c>
      <c r="J322">
        <v>0</v>
      </c>
      <c r="K322">
        <v>2654.7304122421797</v>
      </c>
    </row>
    <row r="323" spans="1:11" x14ac:dyDescent="0.25">
      <c r="A323" t="s">
        <v>27</v>
      </c>
      <c r="B323" t="s">
        <v>43</v>
      </c>
      <c r="C323" t="s">
        <v>120</v>
      </c>
      <c r="D323">
        <v>2030</v>
      </c>
      <c r="E323" t="s">
        <v>121</v>
      </c>
      <c r="F323" t="s">
        <v>108</v>
      </c>
      <c r="G323" t="s">
        <v>53</v>
      </c>
      <c r="H323">
        <v>4756.138345396349</v>
      </c>
      <c r="I323">
        <v>65587.147783015665</v>
      </c>
      <c r="J323">
        <v>0</v>
      </c>
      <c r="K323">
        <v>65587.147783015665</v>
      </c>
    </row>
    <row r="324" spans="1:11" x14ac:dyDescent="0.25">
      <c r="A324" t="s">
        <v>27</v>
      </c>
      <c r="B324" t="s">
        <v>43</v>
      </c>
      <c r="C324" t="s">
        <v>29</v>
      </c>
      <c r="D324">
        <v>2050</v>
      </c>
      <c r="E324" t="s">
        <v>121</v>
      </c>
      <c r="F324" t="s">
        <v>108</v>
      </c>
      <c r="G324" t="s">
        <v>52</v>
      </c>
      <c r="H324">
        <v>57145.362883639027</v>
      </c>
      <c r="I324">
        <v>268394.62585558742</v>
      </c>
      <c r="J324">
        <v>87094.056090138125</v>
      </c>
      <c r="K324">
        <v>87094.056090138125</v>
      </c>
    </row>
    <row r="325" spans="1:11" x14ac:dyDescent="0.25">
      <c r="A325" t="s">
        <v>27</v>
      </c>
      <c r="B325" t="s">
        <v>43</v>
      </c>
      <c r="C325" t="s">
        <v>34</v>
      </c>
      <c r="D325">
        <v>2050</v>
      </c>
      <c r="E325" t="s">
        <v>121</v>
      </c>
      <c r="F325" t="s">
        <v>108</v>
      </c>
      <c r="G325" t="s">
        <v>52</v>
      </c>
      <c r="H325">
        <v>1245.4738586066856</v>
      </c>
      <c r="I325">
        <v>2740.2915837064297</v>
      </c>
      <c r="J325">
        <v>808.80487005204611</v>
      </c>
      <c r="K325">
        <v>808.80487005204611</v>
      </c>
    </row>
    <row r="326" spans="1:11" x14ac:dyDescent="0.25">
      <c r="A326" t="s">
        <v>27</v>
      </c>
      <c r="B326" t="s">
        <v>43</v>
      </c>
      <c r="C326" t="s">
        <v>72</v>
      </c>
      <c r="D326">
        <v>2050</v>
      </c>
      <c r="E326" t="s">
        <v>121</v>
      </c>
      <c r="F326" t="s">
        <v>108</v>
      </c>
      <c r="G326" t="s">
        <v>52</v>
      </c>
      <c r="H326">
        <v>7900.5463368904539</v>
      </c>
      <c r="I326">
        <v>19119.322135274899</v>
      </c>
      <c r="J326">
        <v>10152.360053830971</v>
      </c>
      <c r="K326">
        <v>10152.360053830971</v>
      </c>
    </row>
    <row r="327" spans="1:11" x14ac:dyDescent="0.25">
      <c r="A327" t="s">
        <v>27</v>
      </c>
      <c r="B327" t="s">
        <v>43</v>
      </c>
      <c r="C327" t="s">
        <v>53</v>
      </c>
      <c r="D327">
        <v>2050</v>
      </c>
      <c r="E327" t="s">
        <v>121</v>
      </c>
      <c r="F327" t="s">
        <v>108</v>
      </c>
      <c r="G327" t="s">
        <v>53</v>
      </c>
      <c r="H327">
        <v>4799.7786340716357</v>
      </c>
      <c r="I327">
        <v>185768.71234165499</v>
      </c>
      <c r="J327">
        <v>0</v>
      </c>
      <c r="K327">
        <v>185768.71234165499</v>
      </c>
    </row>
    <row r="328" spans="1:11" x14ac:dyDescent="0.25">
      <c r="A328" t="s">
        <v>27</v>
      </c>
      <c r="B328" t="s">
        <v>43</v>
      </c>
      <c r="C328" t="s">
        <v>30</v>
      </c>
      <c r="D328">
        <v>2050</v>
      </c>
      <c r="E328" t="s">
        <v>121</v>
      </c>
      <c r="F328" t="s">
        <v>108</v>
      </c>
      <c r="G328" t="s">
        <v>30</v>
      </c>
      <c r="H328">
        <v>752.12656743911634</v>
      </c>
      <c r="I328">
        <v>8895.7769763861488</v>
      </c>
      <c r="J328">
        <v>0</v>
      </c>
      <c r="K328">
        <v>8895.7769763861488</v>
      </c>
    </row>
    <row r="329" spans="1:11" x14ac:dyDescent="0.25">
      <c r="A329" t="s">
        <v>27</v>
      </c>
      <c r="B329" t="s">
        <v>43</v>
      </c>
      <c r="C329" t="s">
        <v>31</v>
      </c>
      <c r="D329">
        <v>2050</v>
      </c>
      <c r="E329" t="s">
        <v>121</v>
      </c>
      <c r="F329" t="s">
        <v>108</v>
      </c>
      <c r="G329" t="s">
        <v>31</v>
      </c>
      <c r="H329">
        <v>482.49103956883454</v>
      </c>
      <c r="I329">
        <v>11680.342209168517</v>
      </c>
      <c r="J329">
        <v>0</v>
      </c>
      <c r="K329">
        <v>11680.342209168517</v>
      </c>
    </row>
    <row r="330" spans="1:11" x14ac:dyDescent="0.25">
      <c r="A330" t="s">
        <v>27</v>
      </c>
      <c r="B330" t="s">
        <v>43</v>
      </c>
      <c r="C330" t="s">
        <v>55</v>
      </c>
      <c r="D330">
        <v>2050</v>
      </c>
      <c r="E330" t="s">
        <v>121</v>
      </c>
      <c r="F330" t="s">
        <v>108</v>
      </c>
      <c r="G330" t="s">
        <v>55</v>
      </c>
      <c r="H330">
        <v>5015.7877261338162</v>
      </c>
      <c r="I330">
        <v>232304.33697330329</v>
      </c>
      <c r="J330">
        <v>0</v>
      </c>
      <c r="K330">
        <v>232304.33697330329</v>
      </c>
    </row>
    <row r="331" spans="1:11" x14ac:dyDescent="0.25">
      <c r="A331" t="s">
        <v>27</v>
      </c>
      <c r="B331" t="s">
        <v>43</v>
      </c>
      <c r="C331" t="s">
        <v>54</v>
      </c>
      <c r="D331">
        <v>2050</v>
      </c>
      <c r="E331" t="s">
        <v>121</v>
      </c>
      <c r="F331" t="s">
        <v>108</v>
      </c>
      <c r="G331" t="s">
        <v>54</v>
      </c>
      <c r="H331">
        <v>1418.6514230478022</v>
      </c>
      <c r="I331">
        <v>52409.665117081866</v>
      </c>
      <c r="J331">
        <v>0</v>
      </c>
      <c r="K331">
        <v>52409.665117081866</v>
      </c>
    </row>
    <row r="332" spans="1:11" x14ac:dyDescent="0.25">
      <c r="A332" t="s">
        <v>27</v>
      </c>
      <c r="B332" t="s">
        <v>43</v>
      </c>
      <c r="C332" t="s">
        <v>41</v>
      </c>
      <c r="D332">
        <v>2050</v>
      </c>
      <c r="E332" t="s">
        <v>121</v>
      </c>
      <c r="F332" t="s">
        <v>108</v>
      </c>
      <c r="G332" t="s">
        <v>41</v>
      </c>
      <c r="H332">
        <v>330.09356091627075</v>
      </c>
      <c r="I332">
        <v>1597.421769342109</v>
      </c>
      <c r="J332">
        <v>0</v>
      </c>
      <c r="K332">
        <v>1597.421769342109</v>
      </c>
    </row>
    <row r="333" spans="1:11" x14ac:dyDescent="0.25">
      <c r="A333" t="s">
        <v>27</v>
      </c>
      <c r="B333" t="s">
        <v>43</v>
      </c>
      <c r="C333" t="s">
        <v>80</v>
      </c>
      <c r="D333">
        <v>2050</v>
      </c>
      <c r="E333" t="s">
        <v>121</v>
      </c>
      <c r="F333" t="s">
        <v>108</v>
      </c>
      <c r="G333" t="s">
        <v>80</v>
      </c>
      <c r="H333">
        <v>2357.0281241812504</v>
      </c>
      <c r="I333">
        <v>40031.029796127194</v>
      </c>
      <c r="J333">
        <v>0</v>
      </c>
      <c r="K333">
        <v>40031.029796127194</v>
      </c>
    </row>
    <row r="334" spans="1:11" x14ac:dyDescent="0.25">
      <c r="A334" t="s">
        <v>27</v>
      </c>
      <c r="B334" t="s">
        <v>43</v>
      </c>
      <c r="C334" t="s">
        <v>75</v>
      </c>
      <c r="D334">
        <v>2050</v>
      </c>
      <c r="E334" t="s">
        <v>121</v>
      </c>
      <c r="F334" t="s">
        <v>108</v>
      </c>
      <c r="G334" t="s">
        <v>52</v>
      </c>
      <c r="H334">
        <v>7292.5754964791595</v>
      </c>
      <c r="I334">
        <v>59395.479632953095</v>
      </c>
      <c r="J334">
        <v>9809.9725578637645</v>
      </c>
      <c r="K334">
        <v>9809.9725578637645</v>
      </c>
    </row>
    <row r="335" spans="1:11" x14ac:dyDescent="0.25">
      <c r="A335" t="s">
        <v>27</v>
      </c>
      <c r="B335" t="s">
        <v>43</v>
      </c>
      <c r="C335" t="s">
        <v>78</v>
      </c>
      <c r="D335">
        <v>2050</v>
      </c>
      <c r="E335" t="s">
        <v>121</v>
      </c>
      <c r="F335" t="s">
        <v>108</v>
      </c>
      <c r="G335" t="s">
        <v>78</v>
      </c>
      <c r="H335">
        <v>517.25473151339054</v>
      </c>
      <c r="I335">
        <v>14741.759848131631</v>
      </c>
      <c r="J335">
        <v>0</v>
      </c>
      <c r="K335">
        <v>14741.759848131631</v>
      </c>
    </row>
    <row r="336" spans="1:11" x14ac:dyDescent="0.25">
      <c r="A336" t="s">
        <v>27</v>
      </c>
      <c r="B336" t="s">
        <v>43</v>
      </c>
      <c r="C336" t="s">
        <v>65</v>
      </c>
      <c r="D336">
        <v>2050</v>
      </c>
      <c r="E336" t="s">
        <v>121</v>
      </c>
      <c r="F336" t="s">
        <v>108</v>
      </c>
      <c r="G336" t="s">
        <v>65</v>
      </c>
      <c r="H336">
        <v>245.86981944984234</v>
      </c>
      <c r="I336">
        <v>3418.1901728392713</v>
      </c>
      <c r="J336">
        <v>0</v>
      </c>
      <c r="K336">
        <v>3418.1901728392713</v>
      </c>
    </row>
    <row r="337" spans="1:11" x14ac:dyDescent="0.25">
      <c r="A337" t="s">
        <v>27</v>
      </c>
      <c r="B337" t="s">
        <v>43</v>
      </c>
      <c r="C337" t="s">
        <v>120</v>
      </c>
      <c r="D337">
        <v>2050</v>
      </c>
      <c r="E337" t="s">
        <v>121</v>
      </c>
      <c r="F337" t="s">
        <v>108</v>
      </c>
      <c r="G337" t="s">
        <v>53</v>
      </c>
      <c r="H337">
        <v>6123.9308059031428</v>
      </c>
      <c r="I337">
        <v>84449.00581340435</v>
      </c>
      <c r="J337">
        <v>0</v>
      </c>
      <c r="K337">
        <v>84449.00581340435</v>
      </c>
    </row>
    <row r="338" spans="1:11" x14ac:dyDescent="0.25">
      <c r="A338" t="s">
        <v>27</v>
      </c>
      <c r="B338" t="s">
        <v>43</v>
      </c>
      <c r="C338" t="s">
        <v>29</v>
      </c>
      <c r="D338">
        <v>2019</v>
      </c>
      <c r="E338" t="s">
        <v>119</v>
      </c>
      <c r="F338" t="s">
        <v>109</v>
      </c>
      <c r="G338" t="s">
        <v>52</v>
      </c>
      <c r="H338">
        <v>3321.6653666372972</v>
      </c>
      <c r="I338">
        <v>27941.849064152946</v>
      </c>
      <c r="J338">
        <v>9120.1496799168599</v>
      </c>
      <c r="K338">
        <v>9120.1496799168599</v>
      </c>
    </row>
    <row r="339" spans="1:11" x14ac:dyDescent="0.25">
      <c r="A339" t="s">
        <v>27</v>
      </c>
      <c r="B339" t="s">
        <v>43</v>
      </c>
      <c r="C339" t="s">
        <v>34</v>
      </c>
      <c r="D339">
        <v>2019</v>
      </c>
      <c r="E339" t="s">
        <v>119</v>
      </c>
      <c r="F339" t="s">
        <v>109</v>
      </c>
      <c r="G339" t="s">
        <v>52</v>
      </c>
      <c r="H339">
        <v>89.823141135380936</v>
      </c>
      <c r="I339">
        <v>416.06078973908456</v>
      </c>
      <c r="J339">
        <v>123.51960448705798</v>
      </c>
      <c r="K339">
        <v>123.51960448705798</v>
      </c>
    </row>
    <row r="340" spans="1:11" x14ac:dyDescent="0.25">
      <c r="A340" t="s">
        <v>27</v>
      </c>
      <c r="B340" t="s">
        <v>43</v>
      </c>
      <c r="C340" t="s">
        <v>72</v>
      </c>
      <c r="D340">
        <v>2019</v>
      </c>
      <c r="E340" t="s">
        <v>119</v>
      </c>
      <c r="F340" t="s">
        <v>109</v>
      </c>
      <c r="G340" t="s">
        <v>52</v>
      </c>
      <c r="H340">
        <v>362.80969861856295</v>
      </c>
      <c r="I340">
        <v>1915.6352087060125</v>
      </c>
      <c r="J340">
        <v>1023.1503431459249</v>
      </c>
      <c r="K340">
        <v>1023.1503431459249</v>
      </c>
    </row>
    <row r="341" spans="1:11" x14ac:dyDescent="0.25">
      <c r="A341" t="s">
        <v>27</v>
      </c>
      <c r="B341" t="s">
        <v>43</v>
      </c>
      <c r="C341" t="s">
        <v>53</v>
      </c>
      <c r="D341">
        <v>2019</v>
      </c>
      <c r="E341" t="s">
        <v>119</v>
      </c>
      <c r="F341" t="s">
        <v>109</v>
      </c>
      <c r="G341" t="s">
        <v>53</v>
      </c>
      <c r="H341">
        <v>1066.8125324809869</v>
      </c>
      <c r="I341">
        <v>63522.285434047895</v>
      </c>
      <c r="J341">
        <v>0</v>
      </c>
      <c r="K341">
        <v>63522.285434047895</v>
      </c>
    </row>
    <row r="342" spans="1:11" x14ac:dyDescent="0.25">
      <c r="A342" t="s">
        <v>27</v>
      </c>
      <c r="B342" t="s">
        <v>43</v>
      </c>
      <c r="C342" t="s">
        <v>30</v>
      </c>
      <c r="D342">
        <v>2019</v>
      </c>
      <c r="E342" t="s">
        <v>119</v>
      </c>
      <c r="F342" t="s">
        <v>109</v>
      </c>
      <c r="G342" t="s">
        <v>30</v>
      </c>
      <c r="H342">
        <v>20.204274039436456</v>
      </c>
      <c r="I342">
        <v>503.08642358196778</v>
      </c>
      <c r="J342">
        <v>0</v>
      </c>
      <c r="K342">
        <v>503.08642358196778</v>
      </c>
    </row>
    <row r="343" spans="1:11" x14ac:dyDescent="0.25">
      <c r="A343" t="s">
        <v>27</v>
      </c>
      <c r="B343" t="s">
        <v>43</v>
      </c>
      <c r="C343" t="s">
        <v>31</v>
      </c>
      <c r="D343">
        <v>2019</v>
      </c>
      <c r="E343" t="s">
        <v>119</v>
      </c>
      <c r="F343" t="s">
        <v>109</v>
      </c>
      <c r="G343" t="s">
        <v>31</v>
      </c>
      <c r="H343">
        <v>34.349115010819808</v>
      </c>
      <c r="I343">
        <v>1750.6053726466705</v>
      </c>
      <c r="J343">
        <v>0</v>
      </c>
      <c r="K343">
        <v>1750.6053726466705</v>
      </c>
    </row>
    <row r="344" spans="1:11" x14ac:dyDescent="0.25">
      <c r="A344" t="s">
        <v>27</v>
      </c>
      <c r="B344" t="s">
        <v>43</v>
      </c>
      <c r="C344" t="s">
        <v>55</v>
      </c>
      <c r="D344">
        <v>2019</v>
      </c>
      <c r="E344" t="s">
        <v>119</v>
      </c>
      <c r="F344" t="s">
        <v>109</v>
      </c>
      <c r="G344" t="s">
        <v>55</v>
      </c>
      <c r="H344">
        <v>95.964200645574223</v>
      </c>
      <c r="I344">
        <v>9356.9392533941373</v>
      </c>
      <c r="J344">
        <v>0</v>
      </c>
      <c r="K344">
        <v>9356.9392533941373</v>
      </c>
    </row>
    <row r="345" spans="1:11" x14ac:dyDescent="0.25">
      <c r="A345" t="s">
        <v>27</v>
      </c>
      <c r="B345" t="s">
        <v>43</v>
      </c>
      <c r="C345" t="s">
        <v>54</v>
      </c>
      <c r="D345">
        <v>2019</v>
      </c>
      <c r="E345" t="s">
        <v>119</v>
      </c>
      <c r="F345" t="s">
        <v>109</v>
      </c>
      <c r="G345" t="s">
        <v>54</v>
      </c>
      <c r="H345">
        <v>102.31264680005847</v>
      </c>
      <c r="I345">
        <v>5464.7230908847232</v>
      </c>
      <c r="J345">
        <v>0</v>
      </c>
      <c r="K345">
        <v>5464.7230908847232</v>
      </c>
    </row>
    <row r="346" spans="1:11" x14ac:dyDescent="0.25">
      <c r="A346" t="s">
        <v>27</v>
      </c>
      <c r="B346" t="s">
        <v>43</v>
      </c>
      <c r="C346" t="s">
        <v>41</v>
      </c>
      <c r="D346">
        <v>2019</v>
      </c>
      <c r="E346" t="s">
        <v>119</v>
      </c>
      <c r="F346" t="s">
        <v>109</v>
      </c>
      <c r="G346" t="s">
        <v>41</v>
      </c>
      <c r="H346">
        <v>22.070941108444988</v>
      </c>
      <c r="I346">
        <v>224.85874801283754</v>
      </c>
      <c r="J346">
        <v>0</v>
      </c>
      <c r="K346">
        <v>224.85874801283754</v>
      </c>
    </row>
    <row r="347" spans="1:11" x14ac:dyDescent="0.25">
      <c r="A347" t="s">
        <v>27</v>
      </c>
      <c r="B347" t="s">
        <v>43</v>
      </c>
      <c r="C347" t="s">
        <v>80</v>
      </c>
      <c r="D347">
        <v>2019</v>
      </c>
      <c r="E347" t="s">
        <v>119</v>
      </c>
      <c r="F347" t="s">
        <v>109</v>
      </c>
      <c r="G347" t="s">
        <v>80</v>
      </c>
      <c r="H347">
        <v>157.59722417896069</v>
      </c>
      <c r="I347">
        <v>5634.9095864199417</v>
      </c>
      <c r="J347">
        <v>0</v>
      </c>
      <c r="K347">
        <v>5634.9095864199417</v>
      </c>
    </row>
    <row r="348" spans="1:11" x14ac:dyDescent="0.25">
      <c r="A348" t="s">
        <v>27</v>
      </c>
      <c r="B348" t="s">
        <v>43</v>
      </c>
      <c r="C348" t="s">
        <v>75</v>
      </c>
      <c r="D348">
        <v>2019</v>
      </c>
      <c r="E348" t="s">
        <v>119</v>
      </c>
      <c r="F348" t="s">
        <v>109</v>
      </c>
      <c r="G348" t="s">
        <v>52</v>
      </c>
      <c r="H348">
        <v>1144.1483740031422</v>
      </c>
      <c r="I348">
        <v>19618.292165198385</v>
      </c>
      <c r="J348">
        <v>3259.1752922503906</v>
      </c>
      <c r="K348">
        <v>3259.1752922503906</v>
      </c>
    </row>
    <row r="349" spans="1:11" x14ac:dyDescent="0.25">
      <c r="A349" t="s">
        <v>27</v>
      </c>
      <c r="B349" t="s">
        <v>43</v>
      </c>
      <c r="C349" t="s">
        <v>78</v>
      </c>
      <c r="D349">
        <v>2019</v>
      </c>
      <c r="E349" t="s">
        <v>119</v>
      </c>
      <c r="F349" t="s">
        <v>109</v>
      </c>
      <c r="G349" t="s">
        <v>78</v>
      </c>
      <c r="H349">
        <v>34.585039119234281</v>
      </c>
      <c r="I349">
        <v>2075.102347154057</v>
      </c>
      <c r="J349">
        <v>0</v>
      </c>
      <c r="K349">
        <v>2075.102347154057</v>
      </c>
    </row>
    <row r="350" spans="1:11" x14ac:dyDescent="0.25">
      <c r="A350" t="s">
        <v>27</v>
      </c>
      <c r="B350" t="s">
        <v>43</v>
      </c>
      <c r="C350" t="s">
        <v>65</v>
      </c>
      <c r="D350">
        <v>2019</v>
      </c>
      <c r="E350" t="s">
        <v>119</v>
      </c>
      <c r="F350" t="s">
        <v>109</v>
      </c>
      <c r="G350" t="s">
        <v>65</v>
      </c>
      <c r="H350">
        <v>73.402370173862749</v>
      </c>
      <c r="I350">
        <v>2148.3620538691534</v>
      </c>
      <c r="J350">
        <v>0</v>
      </c>
      <c r="K350">
        <v>2148.3620538691534</v>
      </c>
    </row>
    <row r="351" spans="1:11" x14ac:dyDescent="0.25">
      <c r="A351" t="s">
        <v>27</v>
      </c>
      <c r="B351" t="s">
        <v>43</v>
      </c>
      <c r="C351" t="s">
        <v>120</v>
      </c>
      <c r="D351">
        <v>2019</v>
      </c>
      <c r="E351" t="s">
        <v>119</v>
      </c>
      <c r="F351" t="s">
        <v>109</v>
      </c>
      <c r="G351" t="s">
        <v>53</v>
      </c>
      <c r="H351">
        <v>2143.8995874286088</v>
      </c>
      <c r="I351">
        <v>35477.25037276862</v>
      </c>
      <c r="J351">
        <v>0</v>
      </c>
      <c r="K351">
        <v>35477.25037276862</v>
      </c>
    </row>
    <row r="352" spans="1:11" x14ac:dyDescent="0.25">
      <c r="A352" t="s">
        <v>27</v>
      </c>
      <c r="B352" t="s">
        <v>43</v>
      </c>
      <c r="C352" t="s">
        <v>29</v>
      </c>
      <c r="D352">
        <v>2030</v>
      </c>
      <c r="E352" t="s">
        <v>119</v>
      </c>
      <c r="F352" t="s">
        <v>109</v>
      </c>
      <c r="G352" t="s">
        <v>52</v>
      </c>
      <c r="H352">
        <v>3004.5351617033111</v>
      </c>
      <c r="I352">
        <v>25274.149780248252</v>
      </c>
      <c r="J352">
        <v>8201.4616036905572</v>
      </c>
      <c r="K352">
        <v>8201.4616036905572</v>
      </c>
    </row>
    <row r="353" spans="1:11" x14ac:dyDescent="0.25">
      <c r="A353" t="s">
        <v>27</v>
      </c>
      <c r="B353" t="s">
        <v>43</v>
      </c>
      <c r="C353" t="s">
        <v>34</v>
      </c>
      <c r="D353">
        <v>2030</v>
      </c>
      <c r="E353" t="s">
        <v>119</v>
      </c>
      <c r="F353" t="s">
        <v>109</v>
      </c>
      <c r="G353" t="s">
        <v>52</v>
      </c>
      <c r="H353">
        <v>81.247433467117162</v>
      </c>
      <c r="I353">
        <v>376.33811181968667</v>
      </c>
      <c r="J353">
        <v>111.07726616970228</v>
      </c>
      <c r="K353">
        <v>111.07726616970228</v>
      </c>
    </row>
    <row r="354" spans="1:11" x14ac:dyDescent="0.25">
      <c r="A354" t="s">
        <v>27</v>
      </c>
      <c r="B354" t="s">
        <v>43</v>
      </c>
      <c r="C354" t="s">
        <v>72</v>
      </c>
      <c r="D354">
        <v>2030</v>
      </c>
      <c r="E354" t="s">
        <v>119</v>
      </c>
      <c r="F354" t="s">
        <v>109</v>
      </c>
      <c r="G354" t="s">
        <v>52</v>
      </c>
      <c r="H354">
        <v>328.17107570651984</v>
      </c>
      <c r="I354">
        <v>1732.7432797304245</v>
      </c>
      <c r="J354">
        <v>920.08668153685562</v>
      </c>
      <c r="K354">
        <v>920.08668153685562</v>
      </c>
    </row>
    <row r="355" spans="1:11" x14ac:dyDescent="0.25">
      <c r="A355" t="s">
        <v>27</v>
      </c>
      <c r="B355" t="s">
        <v>43</v>
      </c>
      <c r="C355" t="s">
        <v>53</v>
      </c>
      <c r="D355">
        <v>2030</v>
      </c>
      <c r="E355" t="s">
        <v>119</v>
      </c>
      <c r="F355" t="s">
        <v>109</v>
      </c>
      <c r="G355" t="s">
        <v>53</v>
      </c>
      <c r="H355">
        <v>964.96046741449936</v>
      </c>
      <c r="I355">
        <v>57457.606071728951</v>
      </c>
      <c r="J355">
        <v>0</v>
      </c>
      <c r="K355">
        <v>57457.606071728951</v>
      </c>
    </row>
    <row r="356" spans="1:11" x14ac:dyDescent="0.25">
      <c r="A356" t="s">
        <v>27</v>
      </c>
      <c r="B356" t="s">
        <v>43</v>
      </c>
      <c r="C356" t="s">
        <v>30</v>
      </c>
      <c r="D356">
        <v>2030</v>
      </c>
      <c r="E356" t="s">
        <v>119</v>
      </c>
      <c r="F356" t="s">
        <v>109</v>
      </c>
      <c r="G356" t="s">
        <v>30</v>
      </c>
      <c r="H356">
        <v>18.275306229787574</v>
      </c>
      <c r="I356">
        <v>455.05512512171066</v>
      </c>
      <c r="J356">
        <v>0</v>
      </c>
      <c r="K356">
        <v>455.05512512171066</v>
      </c>
    </row>
    <row r="357" spans="1:11" x14ac:dyDescent="0.25">
      <c r="A357" t="s">
        <v>27</v>
      </c>
      <c r="B357" t="s">
        <v>43</v>
      </c>
      <c r="C357" t="s">
        <v>31</v>
      </c>
      <c r="D357">
        <v>2030</v>
      </c>
      <c r="E357" t="s">
        <v>119</v>
      </c>
      <c r="F357" t="s">
        <v>109</v>
      </c>
      <c r="G357" t="s">
        <v>31</v>
      </c>
      <c r="H357">
        <v>31.069693190641079</v>
      </c>
      <c r="I357">
        <v>1583.4693793096885</v>
      </c>
      <c r="J357">
        <v>0</v>
      </c>
      <c r="K357">
        <v>1583.4693793096885</v>
      </c>
    </row>
    <row r="358" spans="1:11" x14ac:dyDescent="0.25">
      <c r="A358" t="s">
        <v>27</v>
      </c>
      <c r="B358" t="s">
        <v>43</v>
      </c>
      <c r="C358" t="s">
        <v>55</v>
      </c>
      <c r="D358">
        <v>2030</v>
      </c>
      <c r="E358" t="s">
        <v>119</v>
      </c>
      <c r="F358" t="s">
        <v>109</v>
      </c>
      <c r="G358" t="s">
        <v>55</v>
      </c>
      <c r="H358">
        <v>86.80218603605735</v>
      </c>
      <c r="I358">
        <v>8463.6018050202292</v>
      </c>
      <c r="J358">
        <v>0</v>
      </c>
      <c r="K358">
        <v>8463.6018050202292</v>
      </c>
    </row>
    <row r="359" spans="1:11" x14ac:dyDescent="0.25">
      <c r="A359" t="s">
        <v>27</v>
      </c>
      <c r="B359" t="s">
        <v>43</v>
      </c>
      <c r="C359" t="s">
        <v>54</v>
      </c>
      <c r="D359">
        <v>2030</v>
      </c>
      <c r="E359" t="s">
        <v>119</v>
      </c>
      <c r="F359" t="s">
        <v>109</v>
      </c>
      <c r="G359" t="s">
        <v>54</v>
      </c>
      <c r="H359">
        <v>92.544525371292039</v>
      </c>
      <c r="I359">
        <v>4942.9881891314508</v>
      </c>
      <c r="J359">
        <v>0</v>
      </c>
      <c r="K359">
        <v>4942.9881891314508</v>
      </c>
    </row>
    <row r="360" spans="1:11" x14ac:dyDescent="0.25">
      <c r="A360" t="s">
        <v>27</v>
      </c>
      <c r="B360" t="s">
        <v>43</v>
      </c>
      <c r="C360" t="s">
        <v>41</v>
      </c>
      <c r="D360">
        <v>2030</v>
      </c>
      <c r="E360" t="s">
        <v>119</v>
      </c>
      <c r="F360" t="s">
        <v>109</v>
      </c>
      <c r="G360" t="s">
        <v>41</v>
      </c>
      <c r="H360">
        <v>19.963756517514042</v>
      </c>
      <c r="I360">
        <v>203.39075140043306</v>
      </c>
      <c r="J360">
        <v>0</v>
      </c>
      <c r="K360">
        <v>203.39075140043306</v>
      </c>
    </row>
    <row r="361" spans="1:11" x14ac:dyDescent="0.25">
      <c r="A361" t="s">
        <v>27</v>
      </c>
      <c r="B361" t="s">
        <v>43</v>
      </c>
      <c r="C361" t="s">
        <v>80</v>
      </c>
      <c r="D361">
        <v>2030</v>
      </c>
      <c r="E361" t="s">
        <v>119</v>
      </c>
      <c r="F361" t="s">
        <v>109</v>
      </c>
      <c r="G361" t="s">
        <v>80</v>
      </c>
      <c r="H361">
        <v>142.55090419053352</v>
      </c>
      <c r="I361">
        <v>5096.9264259624179</v>
      </c>
      <c r="J361">
        <v>0</v>
      </c>
      <c r="K361">
        <v>5096.9264259624179</v>
      </c>
    </row>
    <row r="362" spans="1:11" x14ac:dyDescent="0.25">
      <c r="A362" t="s">
        <v>27</v>
      </c>
      <c r="B362" t="s">
        <v>43</v>
      </c>
      <c r="C362" t="s">
        <v>75</v>
      </c>
      <c r="D362">
        <v>2030</v>
      </c>
      <c r="E362" t="s">
        <v>119</v>
      </c>
      <c r="F362" t="s">
        <v>109</v>
      </c>
      <c r="G362" t="s">
        <v>52</v>
      </c>
      <c r="H362">
        <v>1034.9128044099805</v>
      </c>
      <c r="I362">
        <v>17745.269952517581</v>
      </c>
      <c r="J362">
        <v>2930.8730620890651</v>
      </c>
      <c r="K362">
        <v>2930.8730620890651</v>
      </c>
    </row>
    <row r="363" spans="1:11" x14ac:dyDescent="0.25">
      <c r="A363" t="s">
        <v>27</v>
      </c>
      <c r="B363" t="s">
        <v>43</v>
      </c>
      <c r="C363" t="s">
        <v>78</v>
      </c>
      <c r="D363">
        <v>2030</v>
      </c>
      <c r="E363" t="s">
        <v>119</v>
      </c>
      <c r="F363" t="s">
        <v>109</v>
      </c>
      <c r="G363" t="s">
        <v>78</v>
      </c>
      <c r="H363">
        <v>31.283092856466656</v>
      </c>
      <c r="I363">
        <v>1876.9855713879997</v>
      </c>
      <c r="J363">
        <v>0</v>
      </c>
      <c r="K363">
        <v>1876.9855713879997</v>
      </c>
    </row>
    <row r="364" spans="1:11" x14ac:dyDescent="0.25">
      <c r="A364" t="s">
        <v>27</v>
      </c>
      <c r="B364" t="s">
        <v>43</v>
      </c>
      <c r="C364" t="s">
        <v>65</v>
      </c>
      <c r="D364">
        <v>2030</v>
      </c>
      <c r="E364" t="s">
        <v>119</v>
      </c>
      <c r="F364" t="s">
        <v>109</v>
      </c>
      <c r="G364" t="s">
        <v>65</v>
      </c>
      <c r="H364">
        <v>66.394406960686013</v>
      </c>
      <c r="I364">
        <v>1943.2509354347128</v>
      </c>
      <c r="J364">
        <v>0</v>
      </c>
      <c r="K364">
        <v>1943.2509354347128</v>
      </c>
    </row>
    <row r="365" spans="1:11" x14ac:dyDescent="0.25">
      <c r="A365" t="s">
        <v>27</v>
      </c>
      <c r="B365" t="s">
        <v>43</v>
      </c>
      <c r="C365" t="s">
        <v>120</v>
      </c>
      <c r="D365">
        <v>2030</v>
      </c>
      <c r="E365" t="s">
        <v>119</v>
      </c>
      <c r="F365" t="s">
        <v>109</v>
      </c>
      <c r="G365" t="s">
        <v>53</v>
      </c>
      <c r="H365">
        <v>1924.2067363305678</v>
      </c>
      <c r="I365">
        <v>31841.773072798231</v>
      </c>
      <c r="J365">
        <v>0</v>
      </c>
      <c r="K365">
        <v>31841.773072798231</v>
      </c>
    </row>
    <row r="366" spans="1:11" x14ac:dyDescent="0.25">
      <c r="A366" t="s">
        <v>27</v>
      </c>
      <c r="B366" t="s">
        <v>43</v>
      </c>
      <c r="C366" t="s">
        <v>29</v>
      </c>
      <c r="D366">
        <v>2050</v>
      </c>
      <c r="E366" t="s">
        <v>119</v>
      </c>
      <c r="F366" t="s">
        <v>109</v>
      </c>
      <c r="G366" t="s">
        <v>52</v>
      </c>
      <c r="H366">
        <v>2865.5971195436209</v>
      </c>
      <c r="I366">
        <v>24105.402969600938</v>
      </c>
      <c r="J366">
        <v>7822.2032636355034</v>
      </c>
      <c r="K366">
        <v>7822.2032636355034</v>
      </c>
    </row>
    <row r="367" spans="1:11" x14ac:dyDescent="0.25">
      <c r="A367" t="s">
        <v>27</v>
      </c>
      <c r="B367" t="s">
        <v>43</v>
      </c>
      <c r="C367" t="s">
        <v>34</v>
      </c>
      <c r="D367">
        <v>2050</v>
      </c>
      <c r="E367" t="s">
        <v>119</v>
      </c>
      <c r="F367" t="s">
        <v>109</v>
      </c>
      <c r="G367" t="s">
        <v>52</v>
      </c>
      <c r="H367">
        <v>77.490326717192659</v>
      </c>
      <c r="I367">
        <v>358.93519335403641</v>
      </c>
      <c r="J367">
        <v>105.94074519075649</v>
      </c>
      <c r="K367">
        <v>105.94074519075649</v>
      </c>
    </row>
    <row r="368" spans="1:11" x14ac:dyDescent="0.25">
      <c r="A368" t="s">
        <v>27</v>
      </c>
      <c r="B368" t="s">
        <v>43</v>
      </c>
      <c r="C368" t="s">
        <v>72</v>
      </c>
      <c r="D368">
        <v>2050</v>
      </c>
      <c r="E368" t="s">
        <v>119</v>
      </c>
      <c r="F368" t="s">
        <v>109</v>
      </c>
      <c r="G368" t="s">
        <v>52</v>
      </c>
      <c r="H368">
        <v>312.99553463338594</v>
      </c>
      <c r="I368">
        <v>1652.6164228642779</v>
      </c>
      <c r="J368">
        <v>877.5393205409315</v>
      </c>
      <c r="K368">
        <v>877.5393205409315</v>
      </c>
    </row>
    <row r="369" spans="1:11" x14ac:dyDescent="0.25">
      <c r="A369" t="s">
        <v>27</v>
      </c>
      <c r="B369" t="s">
        <v>43</v>
      </c>
      <c r="C369" t="s">
        <v>53</v>
      </c>
      <c r="D369">
        <v>2050</v>
      </c>
      <c r="E369" t="s">
        <v>119</v>
      </c>
      <c r="F369" t="s">
        <v>109</v>
      </c>
      <c r="G369" t="s">
        <v>53</v>
      </c>
      <c r="H369">
        <v>920.3380180542913</v>
      </c>
      <c r="I369">
        <v>54800.606947024717</v>
      </c>
      <c r="J369">
        <v>0</v>
      </c>
      <c r="K369">
        <v>54800.606947024717</v>
      </c>
    </row>
    <row r="370" spans="1:11" x14ac:dyDescent="0.25">
      <c r="A370" t="s">
        <v>27</v>
      </c>
      <c r="B370" t="s">
        <v>43</v>
      </c>
      <c r="C370" t="s">
        <v>30</v>
      </c>
      <c r="D370">
        <v>2050</v>
      </c>
      <c r="E370" t="s">
        <v>119</v>
      </c>
      <c r="F370" t="s">
        <v>109</v>
      </c>
      <c r="G370" t="s">
        <v>30</v>
      </c>
      <c r="H370">
        <v>17.430205363670229</v>
      </c>
      <c r="I370">
        <v>434.01211355538874</v>
      </c>
      <c r="J370">
        <v>0</v>
      </c>
      <c r="K370">
        <v>434.01211355538874</v>
      </c>
    </row>
    <row r="371" spans="1:11" x14ac:dyDescent="0.25">
      <c r="A371" t="s">
        <v>27</v>
      </c>
      <c r="B371" t="s">
        <v>43</v>
      </c>
      <c r="C371" t="s">
        <v>31</v>
      </c>
      <c r="D371">
        <v>2050</v>
      </c>
      <c r="E371" t="s">
        <v>119</v>
      </c>
      <c r="F371" t="s">
        <v>109</v>
      </c>
      <c r="G371" t="s">
        <v>31</v>
      </c>
      <c r="H371">
        <v>29.632944372576752</v>
      </c>
      <c r="I371">
        <v>1510.2453617693561</v>
      </c>
      <c r="J371">
        <v>0</v>
      </c>
      <c r="K371">
        <v>1510.2453617693561</v>
      </c>
    </row>
    <row r="372" spans="1:11" x14ac:dyDescent="0.25">
      <c r="A372" t="s">
        <v>27</v>
      </c>
      <c r="B372" t="s">
        <v>43</v>
      </c>
      <c r="C372" t="s">
        <v>55</v>
      </c>
      <c r="D372">
        <v>2050</v>
      </c>
      <c r="E372" t="s">
        <v>119</v>
      </c>
      <c r="F372" t="s">
        <v>109</v>
      </c>
      <c r="G372" t="s">
        <v>55</v>
      </c>
      <c r="H372">
        <v>82.788212115314806</v>
      </c>
      <c r="I372">
        <v>8072.2213747302758</v>
      </c>
      <c r="J372">
        <v>0</v>
      </c>
      <c r="K372">
        <v>8072.2213747302758</v>
      </c>
    </row>
    <row r="373" spans="1:11" x14ac:dyDescent="0.25">
      <c r="A373" t="s">
        <v>27</v>
      </c>
      <c r="B373" t="s">
        <v>43</v>
      </c>
      <c r="C373" t="s">
        <v>54</v>
      </c>
      <c r="D373">
        <v>2050</v>
      </c>
      <c r="E373" t="s">
        <v>119</v>
      </c>
      <c r="F373" t="s">
        <v>109</v>
      </c>
      <c r="G373" t="s">
        <v>54</v>
      </c>
      <c r="H373">
        <v>88.265009747186056</v>
      </c>
      <c r="I373">
        <v>4714.4107006167014</v>
      </c>
      <c r="J373">
        <v>0</v>
      </c>
      <c r="K373">
        <v>4714.4107006167014</v>
      </c>
    </row>
    <row r="374" spans="1:11" x14ac:dyDescent="0.25">
      <c r="A374" t="s">
        <v>27</v>
      </c>
      <c r="B374" t="s">
        <v>43</v>
      </c>
      <c r="C374" t="s">
        <v>41</v>
      </c>
      <c r="D374">
        <v>2050</v>
      </c>
      <c r="E374" t="s">
        <v>119</v>
      </c>
      <c r="F374" t="s">
        <v>109</v>
      </c>
      <c r="G374" t="s">
        <v>41</v>
      </c>
      <c r="H374">
        <v>19.040577025374667</v>
      </c>
      <c r="I374">
        <v>193.98539873451713</v>
      </c>
      <c r="J374">
        <v>0</v>
      </c>
      <c r="K374">
        <v>193.98539873451713</v>
      </c>
    </row>
    <row r="375" spans="1:11" x14ac:dyDescent="0.25">
      <c r="A375" t="s">
        <v>27</v>
      </c>
      <c r="B375" t="s">
        <v>43</v>
      </c>
      <c r="C375" t="s">
        <v>80</v>
      </c>
      <c r="D375">
        <v>2050</v>
      </c>
      <c r="E375" t="s">
        <v>119</v>
      </c>
      <c r="F375" t="s">
        <v>109</v>
      </c>
      <c r="G375" t="s">
        <v>80</v>
      </c>
      <c r="H375">
        <v>135.9589548638036</v>
      </c>
      <c r="I375">
        <v>4861.2304062647327</v>
      </c>
      <c r="J375">
        <v>0</v>
      </c>
      <c r="K375">
        <v>4861.2304062647327</v>
      </c>
    </row>
    <row r="376" spans="1:11" x14ac:dyDescent="0.25">
      <c r="A376" t="s">
        <v>27</v>
      </c>
      <c r="B376" t="s">
        <v>43</v>
      </c>
      <c r="C376" t="s">
        <v>75</v>
      </c>
      <c r="D376">
        <v>2050</v>
      </c>
      <c r="E376" t="s">
        <v>119</v>
      </c>
      <c r="F376" t="s">
        <v>109</v>
      </c>
      <c r="G376" t="s">
        <v>52</v>
      </c>
      <c r="H376">
        <v>987.0555648996924</v>
      </c>
      <c r="I376">
        <v>16924.679434482088</v>
      </c>
      <c r="J376">
        <v>2795.3413597959288</v>
      </c>
      <c r="K376">
        <v>2795.3413597959288</v>
      </c>
    </row>
    <row r="377" spans="1:11" x14ac:dyDescent="0.25">
      <c r="A377" t="s">
        <v>27</v>
      </c>
      <c r="B377" t="s">
        <v>43</v>
      </c>
      <c r="C377" t="s">
        <v>78</v>
      </c>
      <c r="D377">
        <v>2050</v>
      </c>
      <c r="E377" t="s">
        <v>119</v>
      </c>
      <c r="F377" t="s">
        <v>109</v>
      </c>
      <c r="G377" t="s">
        <v>78</v>
      </c>
      <c r="H377">
        <v>29.836475845762994</v>
      </c>
      <c r="I377">
        <v>1790.1885507457796</v>
      </c>
      <c r="J377">
        <v>0</v>
      </c>
      <c r="K377">
        <v>1790.1885507457796</v>
      </c>
    </row>
    <row r="378" spans="1:11" x14ac:dyDescent="0.25">
      <c r="A378" t="s">
        <v>27</v>
      </c>
      <c r="B378" t="s">
        <v>43</v>
      </c>
      <c r="C378" t="s">
        <v>65</v>
      </c>
      <c r="D378">
        <v>2050</v>
      </c>
      <c r="E378" t="s">
        <v>119</v>
      </c>
      <c r="F378" t="s">
        <v>109</v>
      </c>
      <c r="G378" t="s">
        <v>65</v>
      </c>
      <c r="H378">
        <v>63.324145367128274</v>
      </c>
      <c r="I378">
        <v>1853.3896205013152</v>
      </c>
      <c r="J378">
        <v>0</v>
      </c>
      <c r="K378">
        <v>1853.3896205013152</v>
      </c>
    </row>
    <row r="379" spans="1:11" x14ac:dyDescent="0.25">
      <c r="A379" t="s">
        <v>27</v>
      </c>
      <c r="B379" t="s">
        <v>43</v>
      </c>
      <c r="C379" t="s">
        <v>120</v>
      </c>
      <c r="D379">
        <v>2050</v>
      </c>
      <c r="E379" t="s">
        <v>119</v>
      </c>
      <c r="F379" t="s">
        <v>109</v>
      </c>
      <c r="G379" t="s">
        <v>53</v>
      </c>
      <c r="H379">
        <v>1835.2260780031424</v>
      </c>
      <c r="I379">
        <v>30369.321138796004</v>
      </c>
      <c r="J379">
        <v>0</v>
      </c>
      <c r="K379">
        <v>30369.321138796004</v>
      </c>
    </row>
    <row r="380" spans="1:11" x14ac:dyDescent="0.25">
      <c r="A380" t="s">
        <v>27</v>
      </c>
      <c r="B380" t="s">
        <v>43</v>
      </c>
      <c r="C380" t="s">
        <v>29</v>
      </c>
      <c r="D380">
        <v>2019</v>
      </c>
      <c r="E380" t="s">
        <v>121</v>
      </c>
      <c r="F380" t="s">
        <v>109</v>
      </c>
      <c r="G380" t="s">
        <v>52</v>
      </c>
      <c r="H380">
        <v>424.7131637222576</v>
      </c>
      <c r="I380">
        <v>2393.7003792651931</v>
      </c>
      <c r="J380">
        <v>781.29781954121086</v>
      </c>
      <c r="K380">
        <v>781.29781954121086</v>
      </c>
    </row>
    <row r="381" spans="1:11" x14ac:dyDescent="0.25">
      <c r="A381" t="s">
        <v>27</v>
      </c>
      <c r="B381" t="s">
        <v>43</v>
      </c>
      <c r="C381" t="s">
        <v>34</v>
      </c>
      <c r="D381">
        <v>2019</v>
      </c>
      <c r="E381" t="s">
        <v>121</v>
      </c>
      <c r="F381" t="s">
        <v>109</v>
      </c>
      <c r="G381" t="s">
        <v>52</v>
      </c>
      <c r="H381">
        <v>11.484922843296186</v>
      </c>
      <c r="I381">
        <v>30.322952687784319</v>
      </c>
      <c r="J381">
        <v>9.0022400938663694</v>
      </c>
      <c r="K381">
        <v>9.0022400938663694</v>
      </c>
    </row>
    <row r="382" spans="1:11" x14ac:dyDescent="0.25">
      <c r="A382" t="s">
        <v>27</v>
      </c>
      <c r="B382" t="s">
        <v>43</v>
      </c>
      <c r="C382" t="s">
        <v>72</v>
      </c>
      <c r="D382">
        <v>2019</v>
      </c>
      <c r="E382" t="s">
        <v>121</v>
      </c>
      <c r="F382" t="s">
        <v>109</v>
      </c>
      <c r="G382" t="s">
        <v>52</v>
      </c>
      <c r="H382">
        <v>46.389397462214085</v>
      </c>
      <c r="I382">
        <v>134.71481023026973</v>
      </c>
      <c r="J382">
        <v>71.951853718038222</v>
      </c>
      <c r="K382">
        <v>71.951853718038222</v>
      </c>
    </row>
    <row r="383" spans="1:11" x14ac:dyDescent="0.25">
      <c r="A383" t="s">
        <v>27</v>
      </c>
      <c r="B383" t="s">
        <v>43</v>
      </c>
      <c r="C383" t="s">
        <v>53</v>
      </c>
      <c r="D383">
        <v>2019</v>
      </c>
      <c r="E383" t="s">
        <v>121</v>
      </c>
      <c r="F383" t="s">
        <v>109</v>
      </c>
      <c r="G383" t="s">
        <v>53</v>
      </c>
      <c r="H383">
        <v>136.4042658599414</v>
      </c>
      <c r="I383">
        <v>6335.2033729641935</v>
      </c>
      <c r="J383">
        <v>0</v>
      </c>
      <c r="K383">
        <v>6335.2033729641935</v>
      </c>
    </row>
    <row r="384" spans="1:11" x14ac:dyDescent="0.25">
      <c r="A384" t="s">
        <v>27</v>
      </c>
      <c r="B384" t="s">
        <v>43</v>
      </c>
      <c r="C384" t="s">
        <v>30</v>
      </c>
      <c r="D384">
        <v>2019</v>
      </c>
      <c r="E384" t="s">
        <v>121</v>
      </c>
      <c r="F384" t="s">
        <v>109</v>
      </c>
      <c r="G384" t="s">
        <v>30</v>
      </c>
      <c r="H384">
        <v>2.5833490736869646</v>
      </c>
      <c r="I384">
        <v>36.665473402839091</v>
      </c>
      <c r="J384">
        <v>0</v>
      </c>
      <c r="K384">
        <v>36.665473402839091</v>
      </c>
    </row>
    <row r="385" spans="1:11" x14ac:dyDescent="0.25">
      <c r="A385" t="s">
        <v>27</v>
      </c>
      <c r="B385" t="s">
        <v>43</v>
      </c>
      <c r="C385" t="s">
        <v>31</v>
      </c>
      <c r="D385">
        <v>2019</v>
      </c>
      <c r="E385" t="s">
        <v>121</v>
      </c>
      <c r="F385" t="s">
        <v>109</v>
      </c>
      <c r="G385" t="s">
        <v>31</v>
      </c>
      <c r="H385">
        <v>4.3919298595914027</v>
      </c>
      <c r="I385">
        <v>127.58598070016447</v>
      </c>
      <c r="J385">
        <v>0</v>
      </c>
      <c r="K385">
        <v>127.58598070016447</v>
      </c>
    </row>
    <row r="386" spans="1:11" x14ac:dyDescent="0.25">
      <c r="A386" t="s">
        <v>27</v>
      </c>
      <c r="B386" t="s">
        <v>43</v>
      </c>
      <c r="C386" t="s">
        <v>55</v>
      </c>
      <c r="D386">
        <v>2019</v>
      </c>
      <c r="E386" t="s">
        <v>121</v>
      </c>
      <c r="F386" t="s">
        <v>109</v>
      </c>
      <c r="G386" t="s">
        <v>55</v>
      </c>
      <c r="H386">
        <v>12.270128011576354</v>
      </c>
      <c r="I386">
        <v>681.94368054022107</v>
      </c>
      <c r="J386">
        <v>0</v>
      </c>
      <c r="K386">
        <v>681.94368054022107</v>
      </c>
    </row>
    <row r="387" spans="1:11" x14ac:dyDescent="0.25">
      <c r="A387" t="s">
        <v>27</v>
      </c>
      <c r="B387" t="s">
        <v>43</v>
      </c>
      <c r="C387" t="s">
        <v>54</v>
      </c>
      <c r="D387">
        <v>2019</v>
      </c>
      <c r="E387" t="s">
        <v>121</v>
      </c>
      <c r="F387" t="s">
        <v>109</v>
      </c>
      <c r="G387" t="s">
        <v>54</v>
      </c>
      <c r="H387">
        <v>13.0818499502378</v>
      </c>
      <c r="I387">
        <v>579.94404871994413</v>
      </c>
      <c r="J387">
        <v>0</v>
      </c>
      <c r="K387">
        <v>579.94404871994413</v>
      </c>
    </row>
    <row r="388" spans="1:11" x14ac:dyDescent="0.25">
      <c r="A388" t="s">
        <v>27</v>
      </c>
      <c r="B388" t="s">
        <v>43</v>
      </c>
      <c r="C388" t="s">
        <v>41</v>
      </c>
      <c r="D388">
        <v>2019</v>
      </c>
      <c r="E388" t="s">
        <v>121</v>
      </c>
      <c r="F388" t="s">
        <v>109</v>
      </c>
      <c r="G388" t="s">
        <v>41</v>
      </c>
      <c r="H388">
        <v>2.8220239517940748</v>
      </c>
      <c r="I388">
        <v>16.38794461190048</v>
      </c>
      <c r="J388">
        <v>0</v>
      </c>
      <c r="K388">
        <v>16.38794461190048</v>
      </c>
    </row>
    <row r="389" spans="1:11" x14ac:dyDescent="0.25">
      <c r="A389" t="s">
        <v>27</v>
      </c>
      <c r="B389" t="s">
        <v>43</v>
      </c>
      <c r="C389" t="s">
        <v>80</v>
      </c>
      <c r="D389">
        <v>2019</v>
      </c>
      <c r="E389" t="s">
        <v>121</v>
      </c>
      <c r="F389" t="s">
        <v>109</v>
      </c>
      <c r="G389" t="s">
        <v>80</v>
      </c>
      <c r="H389">
        <v>20.15061973044347</v>
      </c>
      <c r="I389">
        <v>410.6782013659747</v>
      </c>
      <c r="J389">
        <v>0</v>
      </c>
      <c r="K389">
        <v>410.6782013659747</v>
      </c>
    </row>
    <row r="390" spans="1:11" x14ac:dyDescent="0.25">
      <c r="A390" t="s">
        <v>27</v>
      </c>
      <c r="B390" t="s">
        <v>43</v>
      </c>
      <c r="C390" t="s">
        <v>75</v>
      </c>
      <c r="D390">
        <v>2019</v>
      </c>
      <c r="E390" t="s">
        <v>121</v>
      </c>
      <c r="F390" t="s">
        <v>109</v>
      </c>
      <c r="G390" t="s">
        <v>52</v>
      </c>
      <c r="H390">
        <v>146.29254366537521</v>
      </c>
      <c r="I390">
        <v>1429.8019900252987</v>
      </c>
      <c r="J390">
        <v>237.5321602645615</v>
      </c>
      <c r="K390">
        <v>237.5321602645615</v>
      </c>
    </row>
    <row r="391" spans="1:11" x14ac:dyDescent="0.25">
      <c r="A391" t="s">
        <v>27</v>
      </c>
      <c r="B391" t="s">
        <v>43</v>
      </c>
      <c r="C391" t="s">
        <v>78</v>
      </c>
      <c r="D391">
        <v>2019</v>
      </c>
      <c r="E391" t="s">
        <v>121</v>
      </c>
      <c r="F391" t="s">
        <v>109</v>
      </c>
      <c r="G391" t="s">
        <v>78</v>
      </c>
      <c r="H391">
        <v>4.4220954733493292</v>
      </c>
      <c r="I391">
        <v>151.23566518854705</v>
      </c>
      <c r="J391">
        <v>0</v>
      </c>
      <c r="K391">
        <v>151.23566518854705</v>
      </c>
    </row>
    <row r="392" spans="1:11" x14ac:dyDescent="0.25">
      <c r="A392" t="s">
        <v>27</v>
      </c>
      <c r="B392" t="s">
        <v>43</v>
      </c>
      <c r="C392" t="s">
        <v>65</v>
      </c>
      <c r="D392">
        <v>2019</v>
      </c>
      <c r="E392" t="s">
        <v>121</v>
      </c>
      <c r="F392" t="s">
        <v>109</v>
      </c>
      <c r="G392" t="s">
        <v>65</v>
      </c>
      <c r="H392">
        <v>9.3853382024492209</v>
      </c>
      <c r="I392">
        <v>156.57491049939676</v>
      </c>
      <c r="J392">
        <v>0</v>
      </c>
      <c r="K392">
        <v>156.57491049939676</v>
      </c>
    </row>
    <row r="393" spans="1:11" x14ac:dyDescent="0.25">
      <c r="A393" t="s">
        <v>27</v>
      </c>
      <c r="B393" t="s">
        <v>43</v>
      </c>
      <c r="C393" t="s">
        <v>120</v>
      </c>
      <c r="D393">
        <v>2019</v>
      </c>
      <c r="E393" t="s">
        <v>121</v>
      </c>
      <c r="F393" t="s">
        <v>109</v>
      </c>
      <c r="G393" t="s">
        <v>53</v>
      </c>
      <c r="H393">
        <v>274.12224772100956</v>
      </c>
      <c r="I393">
        <v>4536.1749552872661</v>
      </c>
      <c r="J393">
        <v>0</v>
      </c>
      <c r="K393">
        <v>4536.1749552872661</v>
      </c>
    </row>
    <row r="394" spans="1:11" x14ac:dyDescent="0.25">
      <c r="A394" t="s">
        <v>27</v>
      </c>
      <c r="B394" t="s">
        <v>43</v>
      </c>
      <c r="C394" t="s">
        <v>29</v>
      </c>
      <c r="D394">
        <v>2030</v>
      </c>
      <c r="E394" t="s">
        <v>121</v>
      </c>
      <c r="F394" t="s">
        <v>109</v>
      </c>
      <c r="G394" t="s">
        <v>52</v>
      </c>
      <c r="H394">
        <v>468.91589228895612</v>
      </c>
      <c r="I394">
        <v>2642.828725576248</v>
      </c>
      <c r="J394">
        <v>857.59792144949267</v>
      </c>
      <c r="K394">
        <v>857.59792144949267</v>
      </c>
    </row>
    <row r="395" spans="1:11" x14ac:dyDescent="0.25">
      <c r="A395" t="s">
        <v>27</v>
      </c>
      <c r="B395" t="s">
        <v>43</v>
      </c>
      <c r="C395" t="s">
        <v>34</v>
      </c>
      <c r="D395">
        <v>2030</v>
      </c>
      <c r="E395" t="s">
        <v>121</v>
      </c>
      <c r="F395" t="s">
        <v>109</v>
      </c>
      <c r="G395" t="s">
        <v>52</v>
      </c>
      <c r="H395">
        <v>12.680235280995165</v>
      </c>
      <c r="I395">
        <v>33.478864398294675</v>
      </c>
      <c r="J395">
        <v>9.8813822332469243</v>
      </c>
      <c r="K395">
        <v>9.8813822332469243</v>
      </c>
    </row>
    <row r="396" spans="1:11" x14ac:dyDescent="0.25">
      <c r="A396" t="s">
        <v>27</v>
      </c>
      <c r="B396" t="s">
        <v>43</v>
      </c>
      <c r="C396" t="s">
        <v>72</v>
      </c>
      <c r="D396">
        <v>2030</v>
      </c>
      <c r="E396" t="s">
        <v>121</v>
      </c>
      <c r="F396" t="s">
        <v>109</v>
      </c>
      <c r="G396" t="s">
        <v>52</v>
      </c>
      <c r="H396">
        <v>51.217451121826805</v>
      </c>
      <c r="I396">
        <v>148.73547805778509</v>
      </c>
      <c r="J396">
        <v>78.978538848683883</v>
      </c>
      <c r="K396">
        <v>78.978538848683883</v>
      </c>
    </row>
    <row r="397" spans="1:11" x14ac:dyDescent="0.25">
      <c r="A397" t="s">
        <v>27</v>
      </c>
      <c r="B397" t="s">
        <v>43</v>
      </c>
      <c r="C397" t="s">
        <v>53</v>
      </c>
      <c r="D397">
        <v>2030</v>
      </c>
      <c r="E397" t="s">
        <v>121</v>
      </c>
      <c r="F397" t="s">
        <v>109</v>
      </c>
      <c r="G397" t="s">
        <v>53</v>
      </c>
      <c r="H397">
        <v>150.60076659070219</v>
      </c>
      <c r="I397">
        <v>6994.5501957838824</v>
      </c>
      <c r="J397">
        <v>0</v>
      </c>
      <c r="K397">
        <v>6994.5501957838824</v>
      </c>
    </row>
    <row r="398" spans="1:11" x14ac:dyDescent="0.25">
      <c r="A398" t="s">
        <v>27</v>
      </c>
      <c r="B398" t="s">
        <v>43</v>
      </c>
      <c r="C398" t="s">
        <v>30</v>
      </c>
      <c r="D398">
        <v>2030</v>
      </c>
      <c r="E398" t="s">
        <v>121</v>
      </c>
      <c r="F398" t="s">
        <v>109</v>
      </c>
      <c r="G398" t="s">
        <v>30</v>
      </c>
      <c r="H398">
        <v>2.8522154231460375</v>
      </c>
      <c r="I398">
        <v>40.481493500711707</v>
      </c>
      <c r="J398">
        <v>0</v>
      </c>
      <c r="K398">
        <v>40.481493500711707</v>
      </c>
    </row>
    <row r="399" spans="1:11" x14ac:dyDescent="0.25">
      <c r="A399" t="s">
        <v>27</v>
      </c>
      <c r="B399" t="s">
        <v>43</v>
      </c>
      <c r="C399" t="s">
        <v>31</v>
      </c>
      <c r="D399">
        <v>2030</v>
      </c>
      <c r="E399" t="s">
        <v>121</v>
      </c>
      <c r="F399" t="s">
        <v>109</v>
      </c>
      <c r="G399" t="s">
        <v>31</v>
      </c>
      <c r="H399">
        <v>4.8490272609671052</v>
      </c>
      <c r="I399">
        <v>140.86470374321448</v>
      </c>
      <c r="J399">
        <v>0</v>
      </c>
      <c r="K399">
        <v>140.86470374321448</v>
      </c>
    </row>
    <row r="400" spans="1:11" x14ac:dyDescent="0.25">
      <c r="A400" t="s">
        <v>27</v>
      </c>
      <c r="B400" t="s">
        <v>43</v>
      </c>
      <c r="C400" t="s">
        <v>55</v>
      </c>
      <c r="D400">
        <v>2030</v>
      </c>
      <c r="E400" t="s">
        <v>121</v>
      </c>
      <c r="F400" t="s">
        <v>109</v>
      </c>
      <c r="G400" t="s">
        <v>55</v>
      </c>
      <c r="H400">
        <v>13.547161982506061</v>
      </c>
      <c r="I400">
        <v>752.91810277029674</v>
      </c>
      <c r="J400">
        <v>0</v>
      </c>
      <c r="K400">
        <v>752.91810277029674</v>
      </c>
    </row>
    <row r="401" spans="1:11" x14ac:dyDescent="0.25">
      <c r="A401" t="s">
        <v>27</v>
      </c>
      <c r="B401" t="s">
        <v>43</v>
      </c>
      <c r="C401" t="s">
        <v>54</v>
      </c>
      <c r="D401">
        <v>2030</v>
      </c>
      <c r="E401" t="s">
        <v>121</v>
      </c>
      <c r="F401" t="s">
        <v>109</v>
      </c>
      <c r="G401" t="s">
        <v>54</v>
      </c>
      <c r="H401">
        <v>14.443365231357719</v>
      </c>
      <c r="I401">
        <v>640.30268970194118</v>
      </c>
      <c r="J401">
        <v>0</v>
      </c>
      <c r="K401">
        <v>640.30268970194118</v>
      </c>
    </row>
    <row r="402" spans="1:11" x14ac:dyDescent="0.25">
      <c r="A402" t="s">
        <v>27</v>
      </c>
      <c r="B402" t="s">
        <v>43</v>
      </c>
      <c r="C402" t="s">
        <v>41</v>
      </c>
      <c r="D402">
        <v>2030</v>
      </c>
      <c r="E402" t="s">
        <v>121</v>
      </c>
      <c r="F402" t="s">
        <v>109</v>
      </c>
      <c r="G402" t="s">
        <v>41</v>
      </c>
      <c r="H402">
        <v>3.1157307859704</v>
      </c>
      <c r="I402">
        <v>18.093547191055869</v>
      </c>
      <c r="J402">
        <v>0</v>
      </c>
      <c r="K402">
        <v>18.093547191055869</v>
      </c>
    </row>
    <row r="403" spans="1:11" x14ac:dyDescent="0.25">
      <c r="A403" t="s">
        <v>27</v>
      </c>
      <c r="B403" t="s">
        <v>43</v>
      </c>
      <c r="C403" t="s">
        <v>80</v>
      </c>
      <c r="D403">
        <v>2030</v>
      </c>
      <c r="E403" t="s">
        <v>121</v>
      </c>
      <c r="F403" t="s">
        <v>109</v>
      </c>
      <c r="G403" t="s">
        <v>80</v>
      </c>
      <c r="H403">
        <v>22.247828977713322</v>
      </c>
      <c r="I403">
        <v>453.42021789341965</v>
      </c>
      <c r="J403">
        <v>0</v>
      </c>
      <c r="K403">
        <v>453.42021789341965</v>
      </c>
    </row>
    <row r="404" spans="1:11" x14ac:dyDescent="0.25">
      <c r="A404" t="s">
        <v>27</v>
      </c>
      <c r="B404" t="s">
        <v>43</v>
      </c>
      <c r="C404" t="s">
        <v>75</v>
      </c>
      <c r="D404">
        <v>2030</v>
      </c>
      <c r="E404" t="s">
        <v>121</v>
      </c>
      <c r="F404" t="s">
        <v>109</v>
      </c>
      <c r="G404" t="s">
        <v>52</v>
      </c>
      <c r="H404">
        <v>161.51818334722239</v>
      </c>
      <c r="I404">
        <v>1578.6110090707834</v>
      </c>
      <c r="J404">
        <v>260.72911228642022</v>
      </c>
      <c r="K404">
        <v>260.72911228642022</v>
      </c>
    </row>
    <row r="405" spans="1:11" x14ac:dyDescent="0.25">
      <c r="A405" t="s">
        <v>27</v>
      </c>
      <c r="B405" t="s">
        <v>43</v>
      </c>
      <c r="C405" t="s">
        <v>78</v>
      </c>
      <c r="D405">
        <v>2030</v>
      </c>
      <c r="E405" t="s">
        <v>121</v>
      </c>
      <c r="F405" t="s">
        <v>109</v>
      </c>
      <c r="G405" t="s">
        <v>78</v>
      </c>
      <c r="H405">
        <v>4.8823324111248541</v>
      </c>
      <c r="I405">
        <v>166.97576846046999</v>
      </c>
      <c r="J405">
        <v>0</v>
      </c>
      <c r="K405">
        <v>166.97576846046999</v>
      </c>
    </row>
    <row r="406" spans="1:11" x14ac:dyDescent="0.25">
      <c r="A406" t="s">
        <v>27</v>
      </c>
      <c r="B406" t="s">
        <v>43</v>
      </c>
      <c r="C406" t="s">
        <v>65</v>
      </c>
      <c r="D406">
        <v>2030</v>
      </c>
      <c r="E406" t="s">
        <v>121</v>
      </c>
      <c r="F406" t="s">
        <v>109</v>
      </c>
      <c r="G406" t="s">
        <v>65</v>
      </c>
      <c r="H406">
        <v>10.362132878257356</v>
      </c>
      <c r="I406">
        <v>172.87070460312273</v>
      </c>
      <c r="J406">
        <v>0</v>
      </c>
      <c r="K406">
        <v>172.87070460312273</v>
      </c>
    </row>
    <row r="407" spans="1:11" x14ac:dyDescent="0.25">
      <c r="A407" t="s">
        <v>27</v>
      </c>
      <c r="B407" t="s">
        <v>43</v>
      </c>
      <c r="C407" t="s">
        <v>120</v>
      </c>
      <c r="D407">
        <v>2030</v>
      </c>
      <c r="E407" t="s">
        <v>121</v>
      </c>
      <c r="F407" t="s">
        <v>109</v>
      </c>
      <c r="G407" t="s">
        <v>53</v>
      </c>
      <c r="H407">
        <v>300.30972185505971</v>
      </c>
      <c r="I407">
        <v>4969.5252772575286</v>
      </c>
      <c r="J407">
        <v>0</v>
      </c>
      <c r="K407">
        <v>4969.5252772575286</v>
      </c>
    </row>
    <row r="408" spans="1:11" x14ac:dyDescent="0.25">
      <c r="A408" t="s">
        <v>27</v>
      </c>
      <c r="B408" t="s">
        <v>43</v>
      </c>
      <c r="C408" t="s">
        <v>29</v>
      </c>
      <c r="D408">
        <v>2050</v>
      </c>
      <c r="E408" t="s">
        <v>121</v>
      </c>
      <c r="F408" t="s">
        <v>109</v>
      </c>
      <c r="G408" t="s">
        <v>52</v>
      </c>
      <c r="H408">
        <v>607.85393444864678</v>
      </c>
      <c r="I408">
        <v>3425.8890887099515</v>
      </c>
      <c r="J408">
        <v>1111.7010092863791</v>
      </c>
      <c r="K408">
        <v>1111.7010092863791</v>
      </c>
    </row>
    <row r="409" spans="1:11" x14ac:dyDescent="0.25">
      <c r="A409" t="s">
        <v>27</v>
      </c>
      <c r="B409" t="s">
        <v>43</v>
      </c>
      <c r="C409" t="s">
        <v>34</v>
      </c>
      <c r="D409">
        <v>2050</v>
      </c>
      <c r="E409" t="s">
        <v>121</v>
      </c>
      <c r="F409" t="s">
        <v>109</v>
      </c>
      <c r="G409" t="s">
        <v>52</v>
      </c>
      <c r="H409">
        <v>16.437342030919655</v>
      </c>
      <c r="I409">
        <v>43.398527923715307</v>
      </c>
      <c r="J409">
        <v>12.809199191246012</v>
      </c>
      <c r="K409">
        <v>12.809199191246012</v>
      </c>
    </row>
    <row r="410" spans="1:11" x14ac:dyDescent="0.25">
      <c r="A410" t="s">
        <v>27</v>
      </c>
      <c r="B410" t="s">
        <v>43</v>
      </c>
      <c r="C410" t="s">
        <v>72</v>
      </c>
      <c r="D410">
        <v>2050</v>
      </c>
      <c r="E410" t="s">
        <v>121</v>
      </c>
      <c r="F410" t="s">
        <v>109</v>
      </c>
      <c r="G410" t="s">
        <v>52</v>
      </c>
      <c r="H410">
        <v>66.392992194960655</v>
      </c>
      <c r="I410">
        <v>192.80524933416578</v>
      </c>
      <c r="J410">
        <v>102.37958739644202</v>
      </c>
      <c r="K410">
        <v>102.37958739644202</v>
      </c>
    </row>
    <row r="411" spans="1:11" x14ac:dyDescent="0.25">
      <c r="A411" t="s">
        <v>27</v>
      </c>
      <c r="B411" t="s">
        <v>43</v>
      </c>
      <c r="C411" t="s">
        <v>53</v>
      </c>
      <c r="D411">
        <v>2050</v>
      </c>
      <c r="E411" t="s">
        <v>121</v>
      </c>
      <c r="F411" t="s">
        <v>109</v>
      </c>
      <c r="G411" t="s">
        <v>53</v>
      </c>
      <c r="H411">
        <v>195.22321595091026</v>
      </c>
      <c r="I411">
        <v>9067.0095130531809</v>
      </c>
      <c r="J411">
        <v>0</v>
      </c>
      <c r="K411">
        <v>9067.0095130531809</v>
      </c>
    </row>
    <row r="412" spans="1:11" x14ac:dyDescent="0.25">
      <c r="A412" t="s">
        <v>27</v>
      </c>
      <c r="B412" t="s">
        <v>43</v>
      </c>
      <c r="C412" t="s">
        <v>30</v>
      </c>
      <c r="D412">
        <v>2050</v>
      </c>
      <c r="E412" t="s">
        <v>121</v>
      </c>
      <c r="F412" t="s">
        <v>109</v>
      </c>
      <c r="G412" t="s">
        <v>30</v>
      </c>
      <c r="H412">
        <v>3.697316289263382</v>
      </c>
      <c r="I412">
        <v>52.476010093515178</v>
      </c>
      <c r="J412">
        <v>0</v>
      </c>
      <c r="K412">
        <v>52.476010093515178</v>
      </c>
    </row>
    <row r="413" spans="1:11" x14ac:dyDescent="0.25">
      <c r="A413" t="s">
        <v>27</v>
      </c>
      <c r="B413" t="s">
        <v>43</v>
      </c>
      <c r="C413" t="s">
        <v>31</v>
      </c>
      <c r="D413">
        <v>2050</v>
      </c>
      <c r="E413" t="s">
        <v>121</v>
      </c>
      <c r="F413" t="s">
        <v>109</v>
      </c>
      <c r="G413" t="s">
        <v>31</v>
      </c>
      <c r="H413">
        <v>6.2857760790314314</v>
      </c>
      <c r="I413">
        <v>182.60239374120394</v>
      </c>
      <c r="J413">
        <v>0</v>
      </c>
      <c r="K413">
        <v>182.60239374120394</v>
      </c>
    </row>
    <row r="414" spans="1:11" x14ac:dyDescent="0.25">
      <c r="A414" t="s">
        <v>27</v>
      </c>
      <c r="B414" t="s">
        <v>43</v>
      </c>
      <c r="C414" t="s">
        <v>55</v>
      </c>
      <c r="D414">
        <v>2050</v>
      </c>
      <c r="E414" t="s">
        <v>121</v>
      </c>
      <c r="F414" t="s">
        <v>109</v>
      </c>
      <c r="G414" t="s">
        <v>55</v>
      </c>
      <c r="H414">
        <v>17.561135903248598</v>
      </c>
      <c r="I414">
        <v>976.00494803557001</v>
      </c>
      <c r="J414">
        <v>0</v>
      </c>
      <c r="K414">
        <v>976.00494803557001</v>
      </c>
    </row>
    <row r="415" spans="1:11" x14ac:dyDescent="0.25">
      <c r="A415" t="s">
        <v>27</v>
      </c>
      <c r="B415" t="s">
        <v>43</v>
      </c>
      <c r="C415" t="s">
        <v>54</v>
      </c>
      <c r="D415">
        <v>2050</v>
      </c>
      <c r="E415" t="s">
        <v>121</v>
      </c>
      <c r="F415" t="s">
        <v>109</v>
      </c>
      <c r="G415" t="s">
        <v>54</v>
      </c>
      <c r="H415">
        <v>18.722880855463707</v>
      </c>
      <c r="I415">
        <v>830.02200516918299</v>
      </c>
      <c r="J415">
        <v>0</v>
      </c>
      <c r="K415">
        <v>830.02200516918299</v>
      </c>
    </row>
    <row r="416" spans="1:11" x14ac:dyDescent="0.25">
      <c r="A416" t="s">
        <v>27</v>
      </c>
      <c r="B416" t="s">
        <v>43</v>
      </c>
      <c r="C416" t="s">
        <v>41</v>
      </c>
      <c r="D416">
        <v>2050</v>
      </c>
      <c r="E416" t="s">
        <v>121</v>
      </c>
      <c r="F416" t="s">
        <v>109</v>
      </c>
      <c r="G416" t="s">
        <v>41</v>
      </c>
      <c r="H416">
        <v>4.0389102781097774</v>
      </c>
      <c r="I416">
        <v>23.454598210627974</v>
      </c>
      <c r="J416">
        <v>0</v>
      </c>
      <c r="K416">
        <v>23.454598210627974</v>
      </c>
    </row>
    <row r="417" spans="1:11" x14ac:dyDescent="0.25">
      <c r="A417" t="s">
        <v>27</v>
      </c>
      <c r="B417" t="s">
        <v>43</v>
      </c>
      <c r="C417" t="s">
        <v>80</v>
      </c>
      <c r="D417">
        <v>2050</v>
      </c>
      <c r="E417" t="s">
        <v>121</v>
      </c>
      <c r="F417" t="s">
        <v>109</v>
      </c>
      <c r="G417" t="s">
        <v>80</v>
      </c>
      <c r="H417">
        <v>28.839778304443193</v>
      </c>
      <c r="I417">
        <v>587.76694912109951</v>
      </c>
      <c r="J417">
        <v>0</v>
      </c>
      <c r="K417">
        <v>587.76694912109951</v>
      </c>
    </row>
    <row r="418" spans="1:11" x14ac:dyDescent="0.25">
      <c r="A418" t="s">
        <v>27</v>
      </c>
      <c r="B418" t="s">
        <v>43</v>
      </c>
      <c r="C418" t="s">
        <v>75</v>
      </c>
      <c r="D418">
        <v>2050</v>
      </c>
      <c r="E418" t="s">
        <v>121</v>
      </c>
      <c r="F418" t="s">
        <v>109</v>
      </c>
      <c r="G418" t="s">
        <v>52</v>
      </c>
      <c r="H418">
        <v>209.3754228575105</v>
      </c>
      <c r="I418">
        <v>2046.3476043510154</v>
      </c>
      <c r="J418">
        <v>337.98218259350773</v>
      </c>
      <c r="K418">
        <v>337.98218259350773</v>
      </c>
    </row>
    <row r="419" spans="1:11" x14ac:dyDescent="0.25">
      <c r="A419" t="s">
        <v>27</v>
      </c>
      <c r="B419" t="s">
        <v>43</v>
      </c>
      <c r="C419" t="s">
        <v>78</v>
      </c>
      <c r="D419">
        <v>2050</v>
      </c>
      <c r="E419" t="s">
        <v>121</v>
      </c>
      <c r="F419" t="s">
        <v>109</v>
      </c>
      <c r="G419" t="s">
        <v>78</v>
      </c>
      <c r="H419">
        <v>6.3289494218285141</v>
      </c>
      <c r="I419">
        <v>216.45007022653519</v>
      </c>
      <c r="J419">
        <v>0</v>
      </c>
      <c r="K419">
        <v>216.45007022653519</v>
      </c>
    </row>
    <row r="420" spans="1:11" x14ac:dyDescent="0.25">
      <c r="A420" t="s">
        <v>27</v>
      </c>
      <c r="B420" t="s">
        <v>43</v>
      </c>
      <c r="C420" t="s">
        <v>65</v>
      </c>
      <c r="D420">
        <v>2050</v>
      </c>
      <c r="E420" t="s">
        <v>121</v>
      </c>
      <c r="F420" t="s">
        <v>109</v>
      </c>
      <c r="G420" t="s">
        <v>65</v>
      </c>
      <c r="H420">
        <v>13.432394471815089</v>
      </c>
      <c r="I420">
        <v>224.09165411515903</v>
      </c>
      <c r="J420">
        <v>0</v>
      </c>
      <c r="K420">
        <v>224.09165411515903</v>
      </c>
    </row>
    <row r="421" spans="1:11" x14ac:dyDescent="0.25">
      <c r="A421" t="s">
        <v>27</v>
      </c>
      <c r="B421" t="s">
        <v>43</v>
      </c>
      <c r="C421" t="s">
        <v>120</v>
      </c>
      <c r="D421">
        <v>2050</v>
      </c>
      <c r="E421" t="s">
        <v>121</v>
      </c>
      <c r="F421" t="s">
        <v>109</v>
      </c>
      <c r="G421" t="s">
        <v>53</v>
      </c>
      <c r="H421">
        <v>389.29038018248474</v>
      </c>
      <c r="I421">
        <v>6441.9772112597584</v>
      </c>
      <c r="J421">
        <v>0</v>
      </c>
      <c r="K421">
        <v>6441.9772112597584</v>
      </c>
    </row>
    <row r="422" spans="1:11" x14ac:dyDescent="0.25">
      <c r="A422" t="s">
        <v>27</v>
      </c>
      <c r="B422" t="s">
        <v>43</v>
      </c>
      <c r="C422" t="s">
        <v>29</v>
      </c>
      <c r="D422">
        <v>2019</v>
      </c>
      <c r="E422" t="s">
        <v>119</v>
      </c>
      <c r="F422" t="s">
        <v>110</v>
      </c>
      <c r="G422" t="s">
        <v>52</v>
      </c>
      <c r="H422">
        <v>1774.9136894308049</v>
      </c>
      <c r="I422">
        <v>17419.002948073918</v>
      </c>
      <c r="J422">
        <v>5685.5190147439571</v>
      </c>
      <c r="K422">
        <v>5685.5190147439571</v>
      </c>
    </row>
    <row r="423" spans="1:11" x14ac:dyDescent="0.25">
      <c r="A423" t="s">
        <v>27</v>
      </c>
      <c r="B423" t="s">
        <v>43</v>
      </c>
      <c r="C423" t="s">
        <v>34</v>
      </c>
      <c r="D423">
        <v>2019</v>
      </c>
      <c r="E423" t="s">
        <v>119</v>
      </c>
      <c r="F423" t="s">
        <v>110</v>
      </c>
      <c r="G423" t="s">
        <v>52</v>
      </c>
      <c r="H423">
        <v>32.238285550267712</v>
      </c>
      <c r="I423">
        <v>174.21569511364672</v>
      </c>
      <c r="J423">
        <v>51.720936667380549</v>
      </c>
      <c r="K423">
        <v>51.720936667380549</v>
      </c>
    </row>
    <row r="424" spans="1:11" x14ac:dyDescent="0.25">
      <c r="A424" t="s">
        <v>27</v>
      </c>
      <c r="B424" t="s">
        <v>43</v>
      </c>
      <c r="C424" t="s">
        <v>72</v>
      </c>
      <c r="D424">
        <v>2019</v>
      </c>
      <c r="E424" t="s">
        <v>119</v>
      </c>
      <c r="F424" t="s">
        <v>110</v>
      </c>
      <c r="G424" t="s">
        <v>52</v>
      </c>
      <c r="H424">
        <v>157.47648143468331</v>
      </c>
      <c r="I424">
        <v>970.05512563764921</v>
      </c>
      <c r="J424">
        <v>518.11129287869664</v>
      </c>
      <c r="K424">
        <v>518.11129287869664</v>
      </c>
    </row>
    <row r="425" spans="1:11" x14ac:dyDescent="0.25">
      <c r="A425" t="s">
        <v>27</v>
      </c>
      <c r="B425" t="s">
        <v>43</v>
      </c>
      <c r="C425" t="s">
        <v>53</v>
      </c>
      <c r="D425">
        <v>2019</v>
      </c>
      <c r="E425" t="s">
        <v>119</v>
      </c>
      <c r="F425" t="s">
        <v>110</v>
      </c>
      <c r="G425" t="s">
        <v>53</v>
      </c>
      <c r="H425">
        <v>1157.2294466868368</v>
      </c>
      <c r="I425">
        <v>80390.415202441189</v>
      </c>
      <c r="J425">
        <v>0</v>
      </c>
      <c r="K425">
        <v>80390.415202441189</v>
      </c>
    </row>
    <row r="426" spans="1:11" x14ac:dyDescent="0.25">
      <c r="A426" t="s">
        <v>27</v>
      </c>
      <c r="B426" t="s">
        <v>43</v>
      </c>
      <c r="C426" t="s">
        <v>30</v>
      </c>
      <c r="D426">
        <v>2019</v>
      </c>
      <c r="E426" t="s">
        <v>119</v>
      </c>
      <c r="F426" t="s">
        <v>110</v>
      </c>
      <c r="G426" t="s">
        <v>30</v>
      </c>
      <c r="H426">
        <v>5.4466148542378683</v>
      </c>
      <c r="I426">
        <v>158.22416151561006</v>
      </c>
      <c r="J426">
        <v>0</v>
      </c>
      <c r="K426">
        <v>158.22416151561006</v>
      </c>
    </row>
    <row r="427" spans="1:11" x14ac:dyDescent="0.25">
      <c r="A427" t="s">
        <v>27</v>
      </c>
      <c r="B427" t="s">
        <v>43</v>
      </c>
      <c r="C427" t="s">
        <v>31</v>
      </c>
      <c r="D427">
        <v>2019</v>
      </c>
      <c r="E427" t="s">
        <v>119</v>
      </c>
      <c r="F427" t="s">
        <v>110</v>
      </c>
      <c r="G427" t="s">
        <v>31</v>
      </c>
      <c r="H427">
        <v>31.045054930295858</v>
      </c>
      <c r="I427">
        <v>1845.915969818406</v>
      </c>
      <c r="J427">
        <v>0</v>
      </c>
      <c r="K427">
        <v>1845.915969818406</v>
      </c>
    </row>
    <row r="428" spans="1:11" x14ac:dyDescent="0.25">
      <c r="A428" t="s">
        <v>27</v>
      </c>
      <c r="B428" t="s">
        <v>43</v>
      </c>
      <c r="C428" t="s">
        <v>55</v>
      </c>
      <c r="D428">
        <v>2019</v>
      </c>
      <c r="E428" t="s">
        <v>119</v>
      </c>
      <c r="F428" t="s">
        <v>110</v>
      </c>
      <c r="G428" t="s">
        <v>55</v>
      </c>
      <c r="H428">
        <v>35.751038145066026</v>
      </c>
      <c r="I428">
        <v>4066.8673481557489</v>
      </c>
      <c r="J428">
        <v>0</v>
      </c>
      <c r="K428">
        <v>4066.8673481557489</v>
      </c>
    </row>
    <row r="429" spans="1:11" x14ac:dyDescent="0.25">
      <c r="A429" t="s">
        <v>27</v>
      </c>
      <c r="B429" t="s">
        <v>43</v>
      </c>
      <c r="C429" t="s">
        <v>54</v>
      </c>
      <c r="D429">
        <v>2019</v>
      </c>
      <c r="E429" t="s">
        <v>119</v>
      </c>
      <c r="F429" t="s">
        <v>110</v>
      </c>
      <c r="G429" t="s">
        <v>54</v>
      </c>
      <c r="H429">
        <v>36.720874835279488</v>
      </c>
      <c r="I429">
        <v>2288.2245944856063</v>
      </c>
      <c r="J429">
        <v>0</v>
      </c>
      <c r="K429">
        <v>2288.2245944856063</v>
      </c>
    </row>
    <row r="430" spans="1:11" x14ac:dyDescent="0.25">
      <c r="A430" t="s">
        <v>27</v>
      </c>
      <c r="B430" t="s">
        <v>43</v>
      </c>
      <c r="C430" t="s">
        <v>41</v>
      </c>
      <c r="D430">
        <v>2019</v>
      </c>
      <c r="E430" t="s">
        <v>119</v>
      </c>
      <c r="F430" t="s">
        <v>110</v>
      </c>
      <c r="G430" t="s">
        <v>41</v>
      </c>
      <c r="H430">
        <v>13.325104800010324</v>
      </c>
      <c r="I430">
        <v>158.38219565292275</v>
      </c>
      <c r="J430">
        <v>0</v>
      </c>
      <c r="K430">
        <v>158.38219565292275</v>
      </c>
    </row>
    <row r="431" spans="1:11" x14ac:dyDescent="0.25">
      <c r="A431" t="s">
        <v>27</v>
      </c>
      <c r="B431" t="s">
        <v>43</v>
      </c>
      <c r="C431" t="s">
        <v>80</v>
      </c>
      <c r="D431">
        <v>2019</v>
      </c>
      <c r="E431" t="s">
        <v>119</v>
      </c>
      <c r="F431" t="s">
        <v>110</v>
      </c>
      <c r="G431" t="s">
        <v>80</v>
      </c>
      <c r="H431">
        <v>95.147711103802934</v>
      </c>
      <c r="I431">
        <v>3969.0221549750004</v>
      </c>
      <c r="J431">
        <v>0</v>
      </c>
      <c r="K431">
        <v>3969.0221549750004</v>
      </c>
    </row>
    <row r="432" spans="1:11" x14ac:dyDescent="0.25">
      <c r="A432" t="s">
        <v>27</v>
      </c>
      <c r="B432" t="s">
        <v>43</v>
      </c>
      <c r="C432" t="s">
        <v>75</v>
      </c>
      <c r="D432">
        <v>2019</v>
      </c>
      <c r="E432" t="s">
        <v>119</v>
      </c>
      <c r="F432" t="s">
        <v>110</v>
      </c>
      <c r="G432" t="s">
        <v>52</v>
      </c>
      <c r="H432">
        <v>890.40917113569958</v>
      </c>
      <c r="I432">
        <v>17812.105731467855</v>
      </c>
      <c r="J432">
        <v>2959.1146066186934</v>
      </c>
      <c r="K432">
        <v>2959.1146066186934</v>
      </c>
    </row>
    <row r="433" spans="1:11" x14ac:dyDescent="0.25">
      <c r="A433" t="s">
        <v>27</v>
      </c>
      <c r="B433" t="s">
        <v>43</v>
      </c>
      <c r="C433" t="s">
        <v>78</v>
      </c>
      <c r="D433">
        <v>2019</v>
      </c>
      <c r="E433" t="s">
        <v>119</v>
      </c>
      <c r="F433" t="s">
        <v>110</v>
      </c>
      <c r="G433" t="s">
        <v>78</v>
      </c>
      <c r="H433">
        <v>20.880363393290878</v>
      </c>
      <c r="I433">
        <v>1461.6254375303615</v>
      </c>
      <c r="J433">
        <v>0</v>
      </c>
      <c r="K433">
        <v>1461.6254375303615</v>
      </c>
    </row>
    <row r="434" spans="1:11" x14ac:dyDescent="0.25">
      <c r="A434" t="s">
        <v>27</v>
      </c>
      <c r="B434" t="s">
        <v>43</v>
      </c>
      <c r="C434" t="s">
        <v>65</v>
      </c>
      <c r="D434">
        <v>2019</v>
      </c>
      <c r="E434" t="s">
        <v>119</v>
      </c>
      <c r="F434" t="s">
        <v>110</v>
      </c>
      <c r="G434" t="s">
        <v>65</v>
      </c>
      <c r="H434">
        <v>63.693862522419288</v>
      </c>
      <c r="I434">
        <v>2174.912378814317</v>
      </c>
      <c r="J434">
        <v>0</v>
      </c>
      <c r="K434">
        <v>2174.912378814317</v>
      </c>
    </row>
    <row r="435" spans="1:11" x14ac:dyDescent="0.25">
      <c r="A435" t="s">
        <v>27</v>
      </c>
      <c r="B435" t="s">
        <v>43</v>
      </c>
      <c r="C435" t="s">
        <v>120</v>
      </c>
      <c r="D435">
        <v>2019</v>
      </c>
      <c r="E435" t="s">
        <v>119</v>
      </c>
      <c r="F435" t="s">
        <v>110</v>
      </c>
      <c r="G435" t="s">
        <v>53</v>
      </c>
      <c r="H435">
        <v>2434.2808314981853</v>
      </c>
      <c r="I435">
        <v>46996.225732903964</v>
      </c>
      <c r="J435">
        <v>0</v>
      </c>
      <c r="K435">
        <v>46996.225732903964</v>
      </c>
    </row>
    <row r="436" spans="1:11" x14ac:dyDescent="0.25">
      <c r="A436" t="s">
        <v>27</v>
      </c>
      <c r="B436" t="s">
        <v>43</v>
      </c>
      <c r="C436" t="s">
        <v>29</v>
      </c>
      <c r="D436">
        <v>2030</v>
      </c>
      <c r="E436" t="s">
        <v>119</v>
      </c>
      <c r="F436" t="s">
        <v>110</v>
      </c>
      <c r="G436" t="s">
        <v>52</v>
      </c>
      <c r="H436">
        <v>1618.1689827208891</v>
      </c>
      <c r="I436">
        <v>15880.710396422801</v>
      </c>
      <c r="J436">
        <v>5153.2905236391998</v>
      </c>
      <c r="K436">
        <v>5153.2905236391998</v>
      </c>
    </row>
    <row r="437" spans="1:11" x14ac:dyDescent="0.25">
      <c r="A437" t="s">
        <v>27</v>
      </c>
      <c r="B437" t="s">
        <v>43</v>
      </c>
      <c r="C437" t="s">
        <v>34</v>
      </c>
      <c r="D437">
        <v>2030</v>
      </c>
      <c r="E437" t="s">
        <v>119</v>
      </c>
      <c r="F437" t="s">
        <v>110</v>
      </c>
      <c r="G437" t="s">
        <v>52</v>
      </c>
      <c r="H437">
        <v>29.391284795528069</v>
      </c>
      <c r="I437">
        <v>158.8305030350337</v>
      </c>
      <c r="J437">
        <v>46.879275596576036</v>
      </c>
      <c r="K437">
        <v>46.879275596576036</v>
      </c>
    </row>
    <row r="438" spans="1:11" x14ac:dyDescent="0.25">
      <c r="A438" t="s">
        <v>27</v>
      </c>
      <c r="B438" t="s">
        <v>43</v>
      </c>
      <c r="C438" t="s">
        <v>72</v>
      </c>
      <c r="D438">
        <v>2030</v>
      </c>
      <c r="E438" t="s">
        <v>119</v>
      </c>
      <c r="F438" t="s">
        <v>110</v>
      </c>
      <c r="G438" t="s">
        <v>52</v>
      </c>
      <c r="H438">
        <v>143.56954892119037</v>
      </c>
      <c r="I438">
        <v>884.38842135453274</v>
      </c>
      <c r="J438">
        <v>469.61025173925685</v>
      </c>
      <c r="K438">
        <v>469.61025173925685</v>
      </c>
    </row>
    <row r="439" spans="1:11" x14ac:dyDescent="0.25">
      <c r="A439" t="s">
        <v>27</v>
      </c>
      <c r="B439" t="s">
        <v>43</v>
      </c>
      <c r="C439" t="s">
        <v>53</v>
      </c>
      <c r="D439">
        <v>2030</v>
      </c>
      <c r="E439" t="s">
        <v>119</v>
      </c>
      <c r="F439" t="s">
        <v>110</v>
      </c>
      <c r="G439" t="s">
        <v>53</v>
      </c>
      <c r="H439">
        <v>1055.0331588914703</v>
      </c>
      <c r="I439">
        <v>73291.04348187265</v>
      </c>
      <c r="J439">
        <v>0</v>
      </c>
      <c r="K439">
        <v>73291.04348187265</v>
      </c>
    </row>
    <row r="440" spans="1:11" x14ac:dyDescent="0.25">
      <c r="A440" t="s">
        <v>27</v>
      </c>
      <c r="B440" t="s">
        <v>43</v>
      </c>
      <c r="C440" t="s">
        <v>30</v>
      </c>
      <c r="D440">
        <v>2030</v>
      </c>
      <c r="E440" t="s">
        <v>119</v>
      </c>
      <c r="F440" t="s">
        <v>110</v>
      </c>
      <c r="G440" t="s">
        <v>30</v>
      </c>
      <c r="H440">
        <v>4.9656179173315067</v>
      </c>
      <c r="I440">
        <v>144.25120049848027</v>
      </c>
      <c r="J440">
        <v>0</v>
      </c>
      <c r="K440">
        <v>144.25120049848027</v>
      </c>
    </row>
    <row r="441" spans="1:11" x14ac:dyDescent="0.25">
      <c r="A441" t="s">
        <v>27</v>
      </c>
      <c r="B441" t="s">
        <v>43</v>
      </c>
      <c r="C441" t="s">
        <v>31</v>
      </c>
      <c r="D441">
        <v>2030</v>
      </c>
      <c r="E441" t="s">
        <v>119</v>
      </c>
      <c r="F441" t="s">
        <v>110</v>
      </c>
      <c r="G441" t="s">
        <v>31</v>
      </c>
      <c r="H441">
        <v>28.303429769129298</v>
      </c>
      <c r="I441">
        <v>1682.9009685688955</v>
      </c>
      <c r="J441">
        <v>0</v>
      </c>
      <c r="K441">
        <v>1682.9009685688955</v>
      </c>
    </row>
    <row r="442" spans="1:11" x14ac:dyDescent="0.25">
      <c r="A442" t="s">
        <v>27</v>
      </c>
      <c r="B442" t="s">
        <v>43</v>
      </c>
      <c r="C442" t="s">
        <v>55</v>
      </c>
      <c r="D442">
        <v>2030</v>
      </c>
      <c r="E442" t="s">
        <v>119</v>
      </c>
      <c r="F442" t="s">
        <v>110</v>
      </c>
      <c r="G442" t="s">
        <v>55</v>
      </c>
      <c r="H442">
        <v>32.593822094509534</v>
      </c>
      <c r="I442">
        <v>3707.7175294852809</v>
      </c>
      <c r="J442">
        <v>0</v>
      </c>
      <c r="K442">
        <v>3707.7175294852809</v>
      </c>
    </row>
    <row r="443" spans="1:11" x14ac:dyDescent="0.25">
      <c r="A443" t="s">
        <v>27</v>
      </c>
      <c r="B443" t="s">
        <v>43</v>
      </c>
      <c r="C443" t="s">
        <v>54</v>
      </c>
      <c r="D443">
        <v>2030</v>
      </c>
      <c r="E443" t="s">
        <v>119</v>
      </c>
      <c r="F443" t="s">
        <v>110</v>
      </c>
      <c r="G443" t="s">
        <v>54</v>
      </c>
      <c r="H443">
        <v>33.478011370728012</v>
      </c>
      <c r="I443">
        <v>2086.1488005555452</v>
      </c>
      <c r="J443">
        <v>0</v>
      </c>
      <c r="K443">
        <v>2086.1488005555452</v>
      </c>
    </row>
    <row r="444" spans="1:11" x14ac:dyDescent="0.25">
      <c r="A444" t="s">
        <v>27</v>
      </c>
      <c r="B444" t="s">
        <v>43</v>
      </c>
      <c r="C444" t="s">
        <v>41</v>
      </c>
      <c r="D444">
        <v>2030</v>
      </c>
      <c r="E444" t="s">
        <v>119</v>
      </c>
      <c r="F444" t="s">
        <v>110</v>
      </c>
      <c r="G444" t="s">
        <v>41</v>
      </c>
      <c r="H444">
        <v>12.148349188628277</v>
      </c>
      <c r="I444">
        <v>144.3952784560357</v>
      </c>
      <c r="J444">
        <v>0</v>
      </c>
      <c r="K444">
        <v>144.3952784560357</v>
      </c>
    </row>
    <row r="445" spans="1:11" x14ac:dyDescent="0.25">
      <c r="A445" t="s">
        <v>27</v>
      </c>
      <c r="B445" t="s">
        <v>43</v>
      </c>
      <c r="C445" t="s">
        <v>80</v>
      </c>
      <c r="D445">
        <v>2030</v>
      </c>
      <c r="E445" t="s">
        <v>119</v>
      </c>
      <c r="F445" t="s">
        <v>110</v>
      </c>
      <c r="G445" t="s">
        <v>80</v>
      </c>
      <c r="H445">
        <v>86.745105298295798</v>
      </c>
      <c r="I445">
        <v>3618.5131599115721</v>
      </c>
      <c r="J445">
        <v>0</v>
      </c>
      <c r="K445">
        <v>3618.5131599115721</v>
      </c>
    </row>
    <row r="446" spans="1:11" x14ac:dyDescent="0.25">
      <c r="A446" t="s">
        <v>27</v>
      </c>
      <c r="B446" t="s">
        <v>43</v>
      </c>
      <c r="C446" t="s">
        <v>75</v>
      </c>
      <c r="D446">
        <v>2030</v>
      </c>
      <c r="E446" t="s">
        <v>119</v>
      </c>
      <c r="F446" t="s">
        <v>110</v>
      </c>
      <c r="G446" t="s">
        <v>52</v>
      </c>
      <c r="H446">
        <v>811.77609437677165</v>
      </c>
      <c r="I446">
        <v>16239.097812609396</v>
      </c>
      <c r="J446">
        <v>2682.1082158208537</v>
      </c>
      <c r="K446">
        <v>2682.1082158208537</v>
      </c>
    </row>
    <row r="447" spans="1:11" x14ac:dyDescent="0.25">
      <c r="A447" t="s">
        <v>27</v>
      </c>
      <c r="B447" t="s">
        <v>43</v>
      </c>
      <c r="C447" t="s">
        <v>78</v>
      </c>
      <c r="D447">
        <v>2030</v>
      </c>
      <c r="E447" t="s">
        <v>119</v>
      </c>
      <c r="F447" t="s">
        <v>110</v>
      </c>
      <c r="G447" t="s">
        <v>78</v>
      </c>
      <c r="H447">
        <v>19.036394046743428</v>
      </c>
      <c r="I447">
        <v>1332.5475832720401</v>
      </c>
      <c r="J447">
        <v>0</v>
      </c>
      <c r="K447">
        <v>1332.5475832720401</v>
      </c>
    </row>
    <row r="448" spans="1:11" x14ac:dyDescent="0.25">
      <c r="A448" t="s">
        <v>27</v>
      </c>
      <c r="B448" t="s">
        <v>43</v>
      </c>
      <c r="C448" t="s">
        <v>65</v>
      </c>
      <c r="D448">
        <v>2030</v>
      </c>
      <c r="E448" t="s">
        <v>119</v>
      </c>
      <c r="F448" t="s">
        <v>110</v>
      </c>
      <c r="G448" t="s">
        <v>65</v>
      </c>
      <c r="H448">
        <v>58.068982924189378</v>
      </c>
      <c r="I448">
        <v>1982.843319362564</v>
      </c>
      <c r="J448">
        <v>0</v>
      </c>
      <c r="K448">
        <v>1982.843319362564</v>
      </c>
    </row>
    <row r="449" spans="1:11" x14ac:dyDescent="0.25">
      <c r="A449" t="s">
        <v>27</v>
      </c>
      <c r="B449" t="s">
        <v>43</v>
      </c>
      <c r="C449" t="s">
        <v>120</v>
      </c>
      <c r="D449">
        <v>2030</v>
      </c>
      <c r="E449" t="s">
        <v>119</v>
      </c>
      <c r="F449" t="s">
        <v>110</v>
      </c>
      <c r="G449" t="s">
        <v>53</v>
      </c>
      <c r="H449">
        <v>2019.4268817975167</v>
      </c>
      <c r="I449">
        <v>38987.055379982856</v>
      </c>
      <c r="J449">
        <v>0</v>
      </c>
      <c r="K449">
        <v>38987.055379982856</v>
      </c>
    </row>
    <row r="450" spans="1:11" x14ac:dyDescent="0.25">
      <c r="A450" t="s">
        <v>27</v>
      </c>
      <c r="B450" t="s">
        <v>43</v>
      </c>
      <c r="C450" t="s">
        <v>29</v>
      </c>
      <c r="D450">
        <v>2050</v>
      </c>
      <c r="E450" t="s">
        <v>119</v>
      </c>
      <c r="F450" t="s">
        <v>110</v>
      </c>
      <c r="G450" t="s">
        <v>52</v>
      </c>
      <c r="H450">
        <v>1543.3403592424663</v>
      </c>
      <c r="I450">
        <v>15146.342285605564</v>
      </c>
      <c r="J450">
        <v>4914.9880716790058</v>
      </c>
      <c r="K450">
        <v>4914.9880716790058</v>
      </c>
    </row>
    <row r="451" spans="1:11" x14ac:dyDescent="0.25">
      <c r="A451" t="s">
        <v>27</v>
      </c>
      <c r="B451" t="s">
        <v>43</v>
      </c>
      <c r="C451" t="s">
        <v>34</v>
      </c>
      <c r="D451">
        <v>2050</v>
      </c>
      <c r="E451" t="s">
        <v>119</v>
      </c>
      <c r="F451" t="s">
        <v>110</v>
      </c>
      <c r="G451" t="s">
        <v>52</v>
      </c>
      <c r="H451">
        <v>28.032150238509427</v>
      </c>
      <c r="I451">
        <v>151.48573988890496</v>
      </c>
      <c r="J451">
        <v>44.711447823323965</v>
      </c>
      <c r="K451">
        <v>44.711447823323965</v>
      </c>
    </row>
    <row r="452" spans="1:11" x14ac:dyDescent="0.25">
      <c r="A452" t="s">
        <v>27</v>
      </c>
      <c r="B452" t="s">
        <v>43</v>
      </c>
      <c r="C452" t="s">
        <v>72</v>
      </c>
      <c r="D452">
        <v>2050</v>
      </c>
      <c r="E452" t="s">
        <v>119</v>
      </c>
      <c r="F452" t="s">
        <v>110</v>
      </c>
      <c r="G452" t="s">
        <v>52</v>
      </c>
      <c r="H452">
        <v>136.93049463581738</v>
      </c>
      <c r="I452">
        <v>843.49184695663507</v>
      </c>
      <c r="J452">
        <v>447.89417073397317</v>
      </c>
      <c r="K452">
        <v>447.89417073397317</v>
      </c>
    </row>
    <row r="453" spans="1:11" x14ac:dyDescent="0.25">
      <c r="A453" t="s">
        <v>27</v>
      </c>
      <c r="B453" t="s">
        <v>43</v>
      </c>
      <c r="C453" t="s">
        <v>53</v>
      </c>
      <c r="D453">
        <v>2050</v>
      </c>
      <c r="E453" t="s">
        <v>119</v>
      </c>
      <c r="F453" t="s">
        <v>110</v>
      </c>
      <c r="G453" t="s">
        <v>53</v>
      </c>
      <c r="H453">
        <v>1006.2454983646971</v>
      </c>
      <c r="I453">
        <v>69901.862280398782</v>
      </c>
      <c r="J453">
        <v>0</v>
      </c>
      <c r="K453">
        <v>69901.862280398782</v>
      </c>
    </row>
    <row r="454" spans="1:11" x14ac:dyDescent="0.25">
      <c r="A454" t="s">
        <v>27</v>
      </c>
      <c r="B454" t="s">
        <v>43</v>
      </c>
      <c r="C454" t="s">
        <v>30</v>
      </c>
      <c r="D454">
        <v>2050</v>
      </c>
      <c r="E454" t="s">
        <v>119</v>
      </c>
      <c r="F454" t="s">
        <v>110</v>
      </c>
      <c r="G454" t="s">
        <v>30</v>
      </c>
      <c r="H454">
        <v>4.7359939673971017</v>
      </c>
      <c r="I454">
        <v>137.5806247528858</v>
      </c>
      <c r="J454">
        <v>0</v>
      </c>
      <c r="K454">
        <v>137.5806247528858</v>
      </c>
    </row>
    <row r="455" spans="1:11" x14ac:dyDescent="0.25">
      <c r="A455" t="s">
        <v>27</v>
      </c>
      <c r="B455" t="s">
        <v>43</v>
      </c>
      <c r="C455" t="s">
        <v>31</v>
      </c>
      <c r="D455">
        <v>2050</v>
      </c>
      <c r="E455" t="s">
        <v>119</v>
      </c>
      <c r="F455" t="s">
        <v>110</v>
      </c>
      <c r="G455" t="s">
        <v>31</v>
      </c>
      <c r="H455">
        <v>26.994600646857421</v>
      </c>
      <c r="I455">
        <v>1605.078958461663</v>
      </c>
      <c r="J455">
        <v>0</v>
      </c>
      <c r="K455">
        <v>1605.078958461663</v>
      </c>
    </row>
    <row r="456" spans="1:11" x14ac:dyDescent="0.25">
      <c r="A456" t="s">
        <v>27</v>
      </c>
      <c r="B456" t="s">
        <v>43</v>
      </c>
      <c r="C456" t="s">
        <v>55</v>
      </c>
      <c r="D456">
        <v>2050</v>
      </c>
      <c r="E456" t="s">
        <v>119</v>
      </c>
      <c r="F456" t="s">
        <v>110</v>
      </c>
      <c r="G456" t="s">
        <v>55</v>
      </c>
      <c r="H456">
        <v>31.086593327133372</v>
      </c>
      <c r="I456">
        <v>3536.2623836131297</v>
      </c>
      <c r="J456">
        <v>0</v>
      </c>
      <c r="K456">
        <v>3536.2623836131297</v>
      </c>
    </row>
    <row r="457" spans="1:11" x14ac:dyDescent="0.25">
      <c r="A457" t="s">
        <v>27</v>
      </c>
      <c r="B457" t="s">
        <v>43</v>
      </c>
      <c r="C457" t="s">
        <v>54</v>
      </c>
      <c r="D457">
        <v>2050</v>
      </c>
      <c r="E457" t="s">
        <v>119</v>
      </c>
      <c r="F457" t="s">
        <v>110</v>
      </c>
      <c r="G457" t="s">
        <v>54</v>
      </c>
      <c r="H457">
        <v>31.92989523797759</v>
      </c>
      <c r="I457">
        <v>1989.6794918593355</v>
      </c>
      <c r="J457">
        <v>0</v>
      </c>
      <c r="K457">
        <v>1989.6794918593355</v>
      </c>
    </row>
    <row r="458" spans="1:11" x14ac:dyDescent="0.25">
      <c r="A458" t="s">
        <v>27</v>
      </c>
      <c r="B458" t="s">
        <v>43</v>
      </c>
      <c r="C458" t="s">
        <v>41</v>
      </c>
      <c r="D458">
        <v>2050</v>
      </c>
      <c r="E458" t="s">
        <v>119</v>
      </c>
      <c r="F458" t="s">
        <v>110</v>
      </c>
      <c r="G458" t="s">
        <v>41</v>
      </c>
      <c r="H458">
        <v>11.586575815743734</v>
      </c>
      <c r="I458">
        <v>137.71804014593005</v>
      </c>
      <c r="J458">
        <v>0</v>
      </c>
      <c r="K458">
        <v>137.71804014593005</v>
      </c>
    </row>
    <row r="459" spans="1:11" x14ac:dyDescent="0.25">
      <c r="A459" t="s">
        <v>27</v>
      </c>
      <c r="B459" t="s">
        <v>43</v>
      </c>
      <c r="C459" t="s">
        <v>80</v>
      </c>
      <c r="D459">
        <v>2050</v>
      </c>
      <c r="E459" t="s">
        <v>119</v>
      </c>
      <c r="F459" t="s">
        <v>110</v>
      </c>
      <c r="G459" t="s">
        <v>80</v>
      </c>
      <c r="H459">
        <v>82.733770949241659</v>
      </c>
      <c r="I459">
        <v>3451.1830715919614</v>
      </c>
      <c r="J459">
        <v>0</v>
      </c>
      <c r="K459">
        <v>3451.1830715919614</v>
      </c>
    </row>
    <row r="460" spans="1:11" x14ac:dyDescent="0.25">
      <c r="A460" t="s">
        <v>27</v>
      </c>
      <c r="B460" t="s">
        <v>43</v>
      </c>
      <c r="C460" t="s">
        <v>75</v>
      </c>
      <c r="D460">
        <v>2050</v>
      </c>
      <c r="E460" t="s">
        <v>119</v>
      </c>
      <c r="F460" t="s">
        <v>110</v>
      </c>
      <c r="G460" t="s">
        <v>52</v>
      </c>
      <c r="H460">
        <v>774.23731544605391</v>
      </c>
      <c r="I460">
        <v>15488.156873297978</v>
      </c>
      <c r="J460">
        <v>2558.0800902337614</v>
      </c>
      <c r="K460">
        <v>2558.0800902337614</v>
      </c>
    </row>
    <row r="461" spans="1:11" x14ac:dyDescent="0.25">
      <c r="A461" t="s">
        <v>27</v>
      </c>
      <c r="B461" t="s">
        <v>43</v>
      </c>
      <c r="C461" t="s">
        <v>78</v>
      </c>
      <c r="D461">
        <v>2050</v>
      </c>
      <c r="E461" t="s">
        <v>119</v>
      </c>
      <c r="F461" t="s">
        <v>110</v>
      </c>
      <c r="G461" t="s">
        <v>78</v>
      </c>
      <c r="H461">
        <v>18.156098368281306</v>
      </c>
      <c r="I461">
        <v>1270.9268857796915</v>
      </c>
      <c r="J461">
        <v>0</v>
      </c>
      <c r="K461">
        <v>1270.9268857796915</v>
      </c>
    </row>
    <row r="462" spans="1:11" x14ac:dyDescent="0.25">
      <c r="A462" t="s">
        <v>27</v>
      </c>
      <c r="B462" t="s">
        <v>43</v>
      </c>
      <c r="C462" t="s">
        <v>65</v>
      </c>
      <c r="D462">
        <v>2050</v>
      </c>
      <c r="E462" t="s">
        <v>119</v>
      </c>
      <c r="F462" t="s">
        <v>110</v>
      </c>
      <c r="G462" t="s">
        <v>65</v>
      </c>
      <c r="H462">
        <v>55.383712037521661</v>
      </c>
      <c r="I462">
        <v>1891.1511427446421</v>
      </c>
      <c r="J462">
        <v>0</v>
      </c>
      <c r="K462">
        <v>1891.1511427446421</v>
      </c>
    </row>
    <row r="463" spans="1:11" x14ac:dyDescent="0.25">
      <c r="A463" t="s">
        <v>27</v>
      </c>
      <c r="B463" t="s">
        <v>43</v>
      </c>
      <c r="C463" t="s">
        <v>120</v>
      </c>
      <c r="D463">
        <v>2050</v>
      </c>
      <c r="E463" t="s">
        <v>119</v>
      </c>
      <c r="F463" t="s">
        <v>110</v>
      </c>
      <c r="G463" t="s">
        <v>53</v>
      </c>
      <c r="H463">
        <v>1926.0429797490767</v>
      </c>
      <c r="I463">
        <v>37184.185767035677</v>
      </c>
      <c r="J463">
        <v>0</v>
      </c>
      <c r="K463">
        <v>37184.185767035677</v>
      </c>
    </row>
    <row r="464" spans="1:11" x14ac:dyDescent="0.25">
      <c r="A464" t="s">
        <v>27</v>
      </c>
      <c r="B464" t="s">
        <v>43</v>
      </c>
      <c r="C464" t="s">
        <v>29</v>
      </c>
      <c r="D464">
        <v>2019</v>
      </c>
      <c r="E464" t="s">
        <v>121</v>
      </c>
      <c r="F464" t="s">
        <v>110</v>
      </c>
      <c r="G464" t="s">
        <v>52</v>
      </c>
      <c r="H464">
        <v>226.94315205364711</v>
      </c>
      <c r="I464">
        <v>1492.2374631505099</v>
      </c>
      <c r="J464">
        <v>487.06257737866866</v>
      </c>
      <c r="K464">
        <v>487.06257737866866</v>
      </c>
    </row>
    <row r="465" spans="1:11" x14ac:dyDescent="0.25">
      <c r="A465" t="s">
        <v>27</v>
      </c>
      <c r="B465" t="s">
        <v>43</v>
      </c>
      <c r="C465" t="s">
        <v>34</v>
      </c>
      <c r="D465">
        <v>2019</v>
      </c>
      <c r="E465" t="s">
        <v>121</v>
      </c>
      <c r="F465" t="s">
        <v>110</v>
      </c>
      <c r="G465" t="s">
        <v>52</v>
      </c>
      <c r="H465">
        <v>4.1220360083703804</v>
      </c>
      <c r="I465">
        <v>12.697025075863115</v>
      </c>
      <c r="J465">
        <v>3.7694768510062779</v>
      </c>
      <c r="K465">
        <v>3.7694768510062779</v>
      </c>
    </row>
    <row r="466" spans="1:11" x14ac:dyDescent="0.25">
      <c r="A466" t="s">
        <v>27</v>
      </c>
      <c r="B466" t="s">
        <v>43</v>
      </c>
      <c r="C466" t="s">
        <v>72</v>
      </c>
      <c r="D466">
        <v>2019</v>
      </c>
      <c r="E466" t="s">
        <v>121</v>
      </c>
      <c r="F466" t="s">
        <v>110</v>
      </c>
      <c r="G466" t="s">
        <v>52</v>
      </c>
      <c r="H466">
        <v>20.135181380321381</v>
      </c>
      <c r="I466">
        <v>68.217994516528833</v>
      </c>
      <c r="J466">
        <v>36.435571961250645</v>
      </c>
      <c r="K466">
        <v>36.435571961250645</v>
      </c>
    </row>
    <row r="467" spans="1:11" x14ac:dyDescent="0.25">
      <c r="A467" t="s">
        <v>27</v>
      </c>
      <c r="B467" t="s">
        <v>43</v>
      </c>
      <c r="C467" t="s">
        <v>53</v>
      </c>
      <c r="D467">
        <v>2019</v>
      </c>
      <c r="E467" t="s">
        <v>121</v>
      </c>
      <c r="F467" t="s">
        <v>110</v>
      </c>
      <c r="G467" t="s">
        <v>53</v>
      </c>
      <c r="H467">
        <v>147.96510942716867</v>
      </c>
      <c r="I467">
        <v>8017.4953729155113</v>
      </c>
      <c r="J467">
        <v>0</v>
      </c>
      <c r="K467">
        <v>8017.4953729155113</v>
      </c>
    </row>
    <row r="468" spans="1:11" x14ac:dyDescent="0.25">
      <c r="A468" t="s">
        <v>27</v>
      </c>
      <c r="B468" t="s">
        <v>43</v>
      </c>
      <c r="C468" t="s">
        <v>30</v>
      </c>
      <c r="D468">
        <v>2019</v>
      </c>
      <c r="E468" t="s">
        <v>121</v>
      </c>
      <c r="F468" t="s">
        <v>110</v>
      </c>
      <c r="G468" t="s">
        <v>30</v>
      </c>
      <c r="H468">
        <v>0.69641242298342532</v>
      </c>
      <c r="I468">
        <v>11.531545105971047</v>
      </c>
      <c r="J468">
        <v>0</v>
      </c>
      <c r="K468">
        <v>11.531545105971047</v>
      </c>
    </row>
    <row r="469" spans="1:11" x14ac:dyDescent="0.25">
      <c r="A469" t="s">
        <v>27</v>
      </c>
      <c r="B469" t="s">
        <v>43</v>
      </c>
      <c r="C469" t="s">
        <v>31</v>
      </c>
      <c r="D469">
        <v>2019</v>
      </c>
      <c r="E469" t="s">
        <v>121</v>
      </c>
      <c r="F469" t="s">
        <v>110</v>
      </c>
      <c r="G469" t="s">
        <v>31</v>
      </c>
      <c r="H469">
        <v>3.9694677344109963</v>
      </c>
      <c r="I469">
        <v>134.53231835071648</v>
      </c>
      <c r="J469">
        <v>0</v>
      </c>
      <c r="K469">
        <v>134.53231835071648</v>
      </c>
    </row>
    <row r="470" spans="1:11" x14ac:dyDescent="0.25">
      <c r="A470" t="s">
        <v>27</v>
      </c>
      <c r="B470" t="s">
        <v>43</v>
      </c>
      <c r="C470" t="s">
        <v>55</v>
      </c>
      <c r="D470">
        <v>2019</v>
      </c>
      <c r="E470" t="s">
        <v>121</v>
      </c>
      <c r="F470" t="s">
        <v>110</v>
      </c>
      <c r="G470" t="s">
        <v>55</v>
      </c>
      <c r="H470">
        <v>4.5711818744455988</v>
      </c>
      <c r="I470">
        <v>296.39761599009711</v>
      </c>
      <c r="J470">
        <v>0</v>
      </c>
      <c r="K470">
        <v>296.39761599009711</v>
      </c>
    </row>
    <row r="471" spans="1:11" x14ac:dyDescent="0.25">
      <c r="A471" t="s">
        <v>27</v>
      </c>
      <c r="B471" t="s">
        <v>43</v>
      </c>
      <c r="C471" t="s">
        <v>54</v>
      </c>
      <c r="D471">
        <v>2019</v>
      </c>
      <c r="E471" t="s">
        <v>121</v>
      </c>
      <c r="F471" t="s">
        <v>110</v>
      </c>
      <c r="G471" t="s">
        <v>54</v>
      </c>
      <c r="H471">
        <v>4.6951866622642671</v>
      </c>
      <c r="I471">
        <v>242.83796518803848</v>
      </c>
      <c r="J471">
        <v>0</v>
      </c>
      <c r="K471">
        <v>242.83796518803848</v>
      </c>
    </row>
    <row r="472" spans="1:11" x14ac:dyDescent="0.25">
      <c r="A472" t="s">
        <v>27</v>
      </c>
      <c r="B472" t="s">
        <v>43</v>
      </c>
      <c r="C472" t="s">
        <v>41</v>
      </c>
      <c r="D472">
        <v>2019</v>
      </c>
      <c r="E472" t="s">
        <v>121</v>
      </c>
      <c r="F472" t="s">
        <v>110</v>
      </c>
      <c r="G472" t="s">
        <v>41</v>
      </c>
      <c r="H472">
        <v>1.7037680777194875</v>
      </c>
      <c r="I472">
        <v>11.543062801911082</v>
      </c>
      <c r="J472">
        <v>0</v>
      </c>
      <c r="K472">
        <v>11.543062801911082</v>
      </c>
    </row>
    <row r="473" spans="1:11" x14ac:dyDescent="0.25">
      <c r="A473" t="s">
        <v>27</v>
      </c>
      <c r="B473" t="s">
        <v>43</v>
      </c>
      <c r="C473" t="s">
        <v>80</v>
      </c>
      <c r="D473">
        <v>2019</v>
      </c>
      <c r="E473" t="s">
        <v>121</v>
      </c>
      <c r="F473" t="s">
        <v>110</v>
      </c>
      <c r="G473" t="s">
        <v>80</v>
      </c>
      <c r="H473">
        <v>12.1657304223686</v>
      </c>
      <c r="I473">
        <v>289.2665542877732</v>
      </c>
      <c r="J473">
        <v>0</v>
      </c>
      <c r="K473">
        <v>289.2665542877732</v>
      </c>
    </row>
    <row r="474" spans="1:11" x14ac:dyDescent="0.25">
      <c r="A474" t="s">
        <v>27</v>
      </c>
      <c r="B474" t="s">
        <v>43</v>
      </c>
      <c r="C474" t="s">
        <v>75</v>
      </c>
      <c r="D474">
        <v>2019</v>
      </c>
      <c r="E474" t="s">
        <v>121</v>
      </c>
      <c r="F474" t="s">
        <v>110</v>
      </c>
      <c r="G474" t="s">
        <v>52</v>
      </c>
      <c r="H474">
        <v>113.84906495358277</v>
      </c>
      <c r="I474">
        <v>1298.1652025027952</v>
      </c>
      <c r="J474">
        <v>215.66341848867819</v>
      </c>
      <c r="K474">
        <v>215.66341848867819</v>
      </c>
    </row>
    <row r="475" spans="1:11" x14ac:dyDescent="0.25">
      <c r="A475" t="s">
        <v>27</v>
      </c>
      <c r="B475" t="s">
        <v>43</v>
      </c>
      <c r="C475" t="s">
        <v>78</v>
      </c>
      <c r="D475">
        <v>2019</v>
      </c>
      <c r="E475" t="s">
        <v>121</v>
      </c>
      <c r="F475" t="s">
        <v>110</v>
      </c>
      <c r="G475" t="s">
        <v>78</v>
      </c>
      <c r="H475">
        <v>2.6697948822619382</v>
      </c>
      <c r="I475">
        <v>106.52481580225134</v>
      </c>
      <c r="J475">
        <v>0</v>
      </c>
      <c r="K475">
        <v>106.52481580225134</v>
      </c>
    </row>
    <row r="476" spans="1:11" x14ac:dyDescent="0.25">
      <c r="A476" t="s">
        <v>27</v>
      </c>
      <c r="B476" t="s">
        <v>43</v>
      </c>
      <c r="C476" t="s">
        <v>65</v>
      </c>
      <c r="D476">
        <v>2019</v>
      </c>
      <c r="E476" t="s">
        <v>121</v>
      </c>
      <c r="F476" t="s">
        <v>110</v>
      </c>
      <c r="G476" t="s">
        <v>65</v>
      </c>
      <c r="H476">
        <v>8.1439937126999205</v>
      </c>
      <c r="I476">
        <v>158.5099264081594</v>
      </c>
      <c r="J476">
        <v>0</v>
      </c>
      <c r="K476">
        <v>158.5099264081594</v>
      </c>
    </row>
    <row r="477" spans="1:11" x14ac:dyDescent="0.25">
      <c r="A477" t="s">
        <v>27</v>
      </c>
      <c r="B477" t="s">
        <v>43</v>
      </c>
      <c r="C477" t="s">
        <v>120</v>
      </c>
      <c r="D477">
        <v>2019</v>
      </c>
      <c r="E477" t="s">
        <v>121</v>
      </c>
      <c r="F477" t="s">
        <v>110</v>
      </c>
      <c r="G477" t="s">
        <v>53</v>
      </c>
      <c r="H477">
        <v>311.25083330735572</v>
      </c>
      <c r="I477">
        <v>6009.0085878318096</v>
      </c>
      <c r="J477">
        <v>0</v>
      </c>
      <c r="K477">
        <v>6009.0085878318096</v>
      </c>
    </row>
    <row r="478" spans="1:11" x14ac:dyDescent="0.25">
      <c r="A478" t="s">
        <v>27</v>
      </c>
      <c r="B478" t="s">
        <v>43</v>
      </c>
      <c r="C478" t="s">
        <v>29</v>
      </c>
      <c r="D478">
        <v>2030</v>
      </c>
      <c r="E478" t="s">
        <v>121</v>
      </c>
      <c r="F478" t="s">
        <v>110</v>
      </c>
      <c r="G478" t="s">
        <v>52</v>
      </c>
      <c r="H478">
        <v>252.54660423967633</v>
      </c>
      <c r="I478">
        <v>1660.5898905854829</v>
      </c>
      <c r="J478">
        <v>538.86141949498926</v>
      </c>
      <c r="K478">
        <v>538.86141949498926</v>
      </c>
    </row>
    <row r="479" spans="1:11" x14ac:dyDescent="0.25">
      <c r="A479" t="s">
        <v>27</v>
      </c>
      <c r="B479" t="s">
        <v>43</v>
      </c>
      <c r="C479" t="s">
        <v>34</v>
      </c>
      <c r="D479">
        <v>2030</v>
      </c>
      <c r="E479" t="s">
        <v>121</v>
      </c>
      <c r="F479" t="s">
        <v>110</v>
      </c>
      <c r="G479" t="s">
        <v>52</v>
      </c>
      <c r="H479">
        <v>4.5870791299379068</v>
      </c>
      <c r="I479">
        <v>14.129488102365134</v>
      </c>
      <c r="J479">
        <v>4.1703586787936713</v>
      </c>
      <c r="K479">
        <v>4.1703586787936713</v>
      </c>
    </row>
    <row r="480" spans="1:11" x14ac:dyDescent="0.25">
      <c r="A480" t="s">
        <v>27</v>
      </c>
      <c r="B480" t="s">
        <v>43</v>
      </c>
      <c r="C480" t="s">
        <v>72</v>
      </c>
      <c r="D480">
        <v>2030</v>
      </c>
      <c r="E480" t="s">
        <v>121</v>
      </c>
      <c r="F480" t="s">
        <v>110</v>
      </c>
      <c r="G480" t="s">
        <v>52</v>
      </c>
      <c r="H480">
        <v>22.406808213133761</v>
      </c>
      <c r="I480">
        <v>75.914266226097183</v>
      </c>
      <c r="J480">
        <v>40.310475366057602</v>
      </c>
      <c r="K480">
        <v>40.310475366057602</v>
      </c>
    </row>
    <row r="481" spans="1:11" x14ac:dyDescent="0.25">
      <c r="A481" t="s">
        <v>27</v>
      </c>
      <c r="B481" t="s">
        <v>43</v>
      </c>
      <c r="C481" t="s">
        <v>53</v>
      </c>
      <c r="D481">
        <v>2030</v>
      </c>
      <c r="E481" t="s">
        <v>121</v>
      </c>
      <c r="F481" t="s">
        <v>110</v>
      </c>
      <c r="G481" t="s">
        <v>53</v>
      </c>
      <c r="H481">
        <v>164.65835427785956</v>
      </c>
      <c r="I481">
        <v>8922.0195128799915</v>
      </c>
      <c r="J481">
        <v>0</v>
      </c>
      <c r="K481">
        <v>8922.0195128799915</v>
      </c>
    </row>
    <row r="482" spans="1:11" x14ac:dyDescent="0.25">
      <c r="A482" t="s">
        <v>27</v>
      </c>
      <c r="B482" t="s">
        <v>43</v>
      </c>
      <c r="C482" t="s">
        <v>30</v>
      </c>
      <c r="D482">
        <v>2030</v>
      </c>
      <c r="E482" t="s">
        <v>121</v>
      </c>
      <c r="F482" t="s">
        <v>110</v>
      </c>
      <c r="G482" t="s">
        <v>30</v>
      </c>
      <c r="H482">
        <v>0.7749808310286167</v>
      </c>
      <c r="I482">
        <v>12.832520090587346</v>
      </c>
      <c r="J482">
        <v>0</v>
      </c>
      <c r="K482">
        <v>12.832520090587346</v>
      </c>
    </row>
    <row r="483" spans="1:11" x14ac:dyDescent="0.25">
      <c r="A483" t="s">
        <v>27</v>
      </c>
      <c r="B483" t="s">
        <v>43</v>
      </c>
      <c r="C483" t="s">
        <v>31</v>
      </c>
      <c r="D483">
        <v>2030</v>
      </c>
      <c r="E483" t="s">
        <v>121</v>
      </c>
      <c r="F483" t="s">
        <v>110</v>
      </c>
      <c r="G483" t="s">
        <v>31</v>
      </c>
      <c r="H483">
        <v>4.4172982876675793</v>
      </c>
      <c r="I483">
        <v>149.71009194378786</v>
      </c>
      <c r="J483">
        <v>0</v>
      </c>
      <c r="K483">
        <v>149.71009194378786</v>
      </c>
    </row>
    <row r="484" spans="1:11" x14ac:dyDescent="0.25">
      <c r="A484" t="s">
        <v>27</v>
      </c>
      <c r="B484" t="s">
        <v>43</v>
      </c>
      <c r="C484" t="s">
        <v>55</v>
      </c>
      <c r="D484">
        <v>2030</v>
      </c>
      <c r="E484" t="s">
        <v>121</v>
      </c>
      <c r="F484" t="s">
        <v>110</v>
      </c>
      <c r="G484" t="s">
        <v>55</v>
      </c>
      <c r="H484">
        <v>5.0868970898945518</v>
      </c>
      <c r="I484">
        <v>329.8368368715519</v>
      </c>
      <c r="J484">
        <v>0</v>
      </c>
      <c r="K484">
        <v>329.8368368715519</v>
      </c>
    </row>
    <row r="485" spans="1:11" x14ac:dyDescent="0.25">
      <c r="A485" t="s">
        <v>27</v>
      </c>
      <c r="B485" t="s">
        <v>43</v>
      </c>
      <c r="C485" t="s">
        <v>54</v>
      </c>
      <c r="D485">
        <v>2030</v>
      </c>
      <c r="E485" t="s">
        <v>121</v>
      </c>
      <c r="F485" t="s">
        <v>110</v>
      </c>
      <c r="G485" t="s">
        <v>54</v>
      </c>
      <c r="H485">
        <v>5.2248919480326963</v>
      </c>
      <c r="I485">
        <v>270.23465098525884</v>
      </c>
      <c r="J485">
        <v>0</v>
      </c>
      <c r="K485">
        <v>270.23465098525884</v>
      </c>
    </row>
    <row r="486" spans="1:11" x14ac:dyDescent="0.25">
      <c r="A486" t="s">
        <v>27</v>
      </c>
      <c r="B486" t="s">
        <v>43</v>
      </c>
      <c r="C486" t="s">
        <v>41</v>
      </c>
      <c r="D486">
        <v>2030</v>
      </c>
      <c r="E486" t="s">
        <v>121</v>
      </c>
      <c r="F486" t="s">
        <v>110</v>
      </c>
      <c r="G486" t="s">
        <v>41</v>
      </c>
      <c r="H486">
        <v>1.8959851334853384</v>
      </c>
      <c r="I486">
        <v>12.845337199065836</v>
      </c>
      <c r="J486">
        <v>0</v>
      </c>
      <c r="K486">
        <v>12.845337199065836</v>
      </c>
    </row>
    <row r="487" spans="1:11" x14ac:dyDescent="0.25">
      <c r="A487" t="s">
        <v>27</v>
      </c>
      <c r="B487" t="s">
        <v>43</v>
      </c>
      <c r="C487" t="s">
        <v>80</v>
      </c>
      <c r="D487">
        <v>2030</v>
      </c>
      <c r="E487" t="s">
        <v>121</v>
      </c>
      <c r="F487" t="s">
        <v>110</v>
      </c>
      <c r="G487" t="s">
        <v>80</v>
      </c>
      <c r="H487">
        <v>13.538253428057727</v>
      </c>
      <c r="I487">
        <v>321.90125740485024</v>
      </c>
      <c r="J487">
        <v>0</v>
      </c>
      <c r="K487">
        <v>321.90125740485024</v>
      </c>
    </row>
    <row r="488" spans="1:11" x14ac:dyDescent="0.25">
      <c r="A488" t="s">
        <v>27</v>
      </c>
      <c r="B488" t="s">
        <v>43</v>
      </c>
      <c r="C488" t="s">
        <v>75</v>
      </c>
      <c r="D488">
        <v>2030</v>
      </c>
      <c r="E488" t="s">
        <v>121</v>
      </c>
      <c r="F488" t="s">
        <v>110</v>
      </c>
      <c r="G488" t="s">
        <v>52</v>
      </c>
      <c r="H488">
        <v>126.69337889117246</v>
      </c>
      <c r="I488">
        <v>1444.6226320003389</v>
      </c>
      <c r="J488">
        <v>238.59910659816725</v>
      </c>
      <c r="K488">
        <v>238.59910659816725</v>
      </c>
    </row>
    <row r="489" spans="1:11" x14ac:dyDescent="0.25">
      <c r="A489" t="s">
        <v>27</v>
      </c>
      <c r="B489" t="s">
        <v>43</v>
      </c>
      <c r="C489" t="s">
        <v>78</v>
      </c>
      <c r="D489">
        <v>2030</v>
      </c>
      <c r="E489" t="s">
        <v>121</v>
      </c>
      <c r="F489" t="s">
        <v>110</v>
      </c>
      <c r="G489" t="s">
        <v>78</v>
      </c>
      <c r="H489">
        <v>2.9709979148096681</v>
      </c>
      <c r="I489">
        <v>118.54281680090574</v>
      </c>
      <c r="J489">
        <v>0</v>
      </c>
      <c r="K489">
        <v>118.54281680090574</v>
      </c>
    </row>
    <row r="490" spans="1:11" x14ac:dyDescent="0.25">
      <c r="A490" t="s">
        <v>27</v>
      </c>
      <c r="B490" t="s">
        <v>43</v>
      </c>
      <c r="C490" t="s">
        <v>65</v>
      </c>
      <c r="D490">
        <v>2030</v>
      </c>
      <c r="E490" t="s">
        <v>121</v>
      </c>
      <c r="F490" t="s">
        <v>110</v>
      </c>
      <c r="G490" t="s">
        <v>65</v>
      </c>
      <c r="H490">
        <v>9.0627892425035448</v>
      </c>
      <c r="I490">
        <v>176.39282476872751</v>
      </c>
      <c r="J490">
        <v>0</v>
      </c>
      <c r="K490">
        <v>176.39282476872751</v>
      </c>
    </row>
    <row r="491" spans="1:11" x14ac:dyDescent="0.25">
      <c r="A491" t="s">
        <v>27</v>
      </c>
      <c r="B491" t="s">
        <v>43</v>
      </c>
      <c r="C491" t="s">
        <v>120</v>
      </c>
      <c r="D491">
        <v>2030</v>
      </c>
      <c r="E491" t="s">
        <v>121</v>
      </c>
      <c r="F491" t="s">
        <v>110</v>
      </c>
      <c r="G491" t="s">
        <v>53</v>
      </c>
      <c r="H491">
        <v>315.17066941348531</v>
      </c>
      <c r="I491">
        <v>6084.6849436967468</v>
      </c>
      <c r="J491">
        <v>0</v>
      </c>
      <c r="K491">
        <v>6084.6849436967468</v>
      </c>
    </row>
    <row r="492" spans="1:11" x14ac:dyDescent="0.25">
      <c r="A492" t="s">
        <v>27</v>
      </c>
      <c r="B492" t="s">
        <v>43</v>
      </c>
      <c r="C492" t="s">
        <v>29</v>
      </c>
      <c r="D492">
        <v>2050</v>
      </c>
      <c r="E492" t="s">
        <v>121</v>
      </c>
      <c r="F492" t="s">
        <v>110</v>
      </c>
      <c r="G492" t="s">
        <v>52</v>
      </c>
      <c r="H492">
        <v>327.37522771809893</v>
      </c>
      <c r="I492">
        <v>2152.6165248330335</v>
      </c>
      <c r="J492">
        <v>698.52406230831946</v>
      </c>
      <c r="K492">
        <v>698.52406230831946</v>
      </c>
    </row>
    <row r="493" spans="1:11" x14ac:dyDescent="0.25">
      <c r="A493" t="s">
        <v>27</v>
      </c>
      <c r="B493" t="s">
        <v>43</v>
      </c>
      <c r="C493" t="s">
        <v>34</v>
      </c>
      <c r="D493">
        <v>2050</v>
      </c>
      <c r="E493" t="s">
        <v>121</v>
      </c>
      <c r="F493" t="s">
        <v>110</v>
      </c>
      <c r="G493" t="s">
        <v>52</v>
      </c>
      <c r="H493">
        <v>5.9462136869565443</v>
      </c>
      <c r="I493">
        <v>18.316003095658502</v>
      </c>
      <c r="J493">
        <v>5.4060205095473508</v>
      </c>
      <c r="K493">
        <v>5.4060205095473508</v>
      </c>
    </row>
    <row r="494" spans="1:11" x14ac:dyDescent="0.25">
      <c r="A494" t="s">
        <v>27</v>
      </c>
      <c r="B494" t="s">
        <v>43</v>
      </c>
      <c r="C494" t="s">
        <v>72</v>
      </c>
      <c r="D494">
        <v>2050</v>
      </c>
      <c r="E494" t="s">
        <v>121</v>
      </c>
      <c r="F494" t="s">
        <v>110</v>
      </c>
      <c r="G494" t="s">
        <v>52</v>
      </c>
      <c r="H494">
        <v>29.045862498506725</v>
      </c>
      <c r="I494">
        <v>98.407382144940797</v>
      </c>
      <c r="J494">
        <v>52.254319918963553</v>
      </c>
      <c r="K494">
        <v>52.254319918963553</v>
      </c>
    </row>
    <row r="495" spans="1:11" x14ac:dyDescent="0.25">
      <c r="A495" t="s">
        <v>27</v>
      </c>
      <c r="B495" t="s">
        <v>43</v>
      </c>
      <c r="C495" t="s">
        <v>53</v>
      </c>
      <c r="D495">
        <v>2050</v>
      </c>
      <c r="E495" t="s">
        <v>121</v>
      </c>
      <c r="F495" t="s">
        <v>110</v>
      </c>
      <c r="G495" t="s">
        <v>53</v>
      </c>
      <c r="H495">
        <v>213.44601480463271</v>
      </c>
      <c r="I495">
        <v>11565.580850029617</v>
      </c>
      <c r="J495">
        <v>0</v>
      </c>
      <c r="K495">
        <v>11565.580850029617</v>
      </c>
    </row>
    <row r="496" spans="1:11" x14ac:dyDescent="0.25">
      <c r="A496" t="s">
        <v>27</v>
      </c>
      <c r="B496" t="s">
        <v>43</v>
      </c>
      <c r="C496" t="s">
        <v>30</v>
      </c>
      <c r="D496">
        <v>2050</v>
      </c>
      <c r="E496" t="s">
        <v>121</v>
      </c>
      <c r="F496" t="s">
        <v>110</v>
      </c>
      <c r="G496" t="s">
        <v>30</v>
      </c>
      <c r="H496">
        <v>1.0046047809630216</v>
      </c>
      <c r="I496">
        <v>16.634748265576192</v>
      </c>
      <c r="J496">
        <v>0</v>
      </c>
      <c r="K496">
        <v>16.634748265576192</v>
      </c>
    </row>
    <row r="497" spans="1:11" x14ac:dyDescent="0.25">
      <c r="A497" t="s">
        <v>27</v>
      </c>
      <c r="B497" t="s">
        <v>43</v>
      </c>
      <c r="C497" t="s">
        <v>31</v>
      </c>
      <c r="D497">
        <v>2050</v>
      </c>
      <c r="E497" t="s">
        <v>121</v>
      </c>
      <c r="F497" t="s">
        <v>110</v>
      </c>
      <c r="G497" t="s">
        <v>31</v>
      </c>
      <c r="H497">
        <v>5.7261274099394539</v>
      </c>
      <c r="I497">
        <v>194.06863770491017</v>
      </c>
      <c r="J497">
        <v>0</v>
      </c>
      <c r="K497">
        <v>194.06863770491017</v>
      </c>
    </row>
    <row r="498" spans="1:11" x14ac:dyDescent="0.25">
      <c r="A498" t="s">
        <v>27</v>
      </c>
      <c r="B498" t="s">
        <v>43</v>
      </c>
      <c r="C498" t="s">
        <v>55</v>
      </c>
      <c r="D498">
        <v>2050</v>
      </c>
      <c r="E498" t="s">
        <v>121</v>
      </c>
      <c r="F498" t="s">
        <v>110</v>
      </c>
      <c r="G498" t="s">
        <v>55</v>
      </c>
      <c r="H498">
        <v>6.594125857270714</v>
      </c>
      <c r="I498">
        <v>427.56627001867832</v>
      </c>
      <c r="J498">
        <v>0</v>
      </c>
      <c r="K498">
        <v>427.56627001867832</v>
      </c>
    </row>
    <row r="499" spans="1:11" x14ac:dyDescent="0.25">
      <c r="A499" t="s">
        <v>27</v>
      </c>
      <c r="B499" t="s">
        <v>43</v>
      </c>
      <c r="C499" t="s">
        <v>54</v>
      </c>
      <c r="D499">
        <v>2050</v>
      </c>
      <c r="E499" t="s">
        <v>121</v>
      </c>
      <c r="F499" t="s">
        <v>110</v>
      </c>
      <c r="G499" t="s">
        <v>54</v>
      </c>
      <c r="H499">
        <v>6.7730080807831241</v>
      </c>
      <c r="I499">
        <v>350.30417720311328</v>
      </c>
      <c r="J499">
        <v>0</v>
      </c>
      <c r="K499">
        <v>350.30417720311328</v>
      </c>
    </row>
    <row r="500" spans="1:11" x14ac:dyDescent="0.25">
      <c r="A500" t="s">
        <v>27</v>
      </c>
      <c r="B500" t="s">
        <v>43</v>
      </c>
      <c r="C500" t="s">
        <v>41</v>
      </c>
      <c r="D500">
        <v>2050</v>
      </c>
      <c r="E500" t="s">
        <v>121</v>
      </c>
      <c r="F500" t="s">
        <v>110</v>
      </c>
      <c r="G500" t="s">
        <v>41</v>
      </c>
      <c r="H500">
        <v>2.4577585063698826</v>
      </c>
      <c r="I500">
        <v>16.65136303582608</v>
      </c>
      <c r="J500">
        <v>0</v>
      </c>
      <c r="K500">
        <v>16.65136303582608</v>
      </c>
    </row>
    <row r="501" spans="1:11" x14ac:dyDescent="0.25">
      <c r="A501" t="s">
        <v>27</v>
      </c>
      <c r="B501" t="s">
        <v>43</v>
      </c>
      <c r="C501" t="s">
        <v>80</v>
      </c>
      <c r="D501">
        <v>2050</v>
      </c>
      <c r="E501" t="s">
        <v>121</v>
      </c>
      <c r="F501" t="s">
        <v>110</v>
      </c>
      <c r="G501" t="s">
        <v>80</v>
      </c>
      <c r="H501">
        <v>17.549587777111867</v>
      </c>
      <c r="I501">
        <v>417.27940774702802</v>
      </c>
      <c r="J501">
        <v>0</v>
      </c>
      <c r="K501">
        <v>417.27940774702802</v>
      </c>
    </row>
    <row r="502" spans="1:11" x14ac:dyDescent="0.25">
      <c r="A502" t="s">
        <v>27</v>
      </c>
      <c r="B502" t="s">
        <v>43</v>
      </c>
      <c r="C502" t="s">
        <v>75</v>
      </c>
      <c r="D502">
        <v>2050</v>
      </c>
      <c r="E502" t="s">
        <v>121</v>
      </c>
      <c r="F502" t="s">
        <v>110</v>
      </c>
      <c r="G502" t="s">
        <v>52</v>
      </c>
      <c r="H502">
        <v>164.23215782189024</v>
      </c>
      <c r="I502">
        <v>1872.6589674078468</v>
      </c>
      <c r="J502">
        <v>309.29513818280947</v>
      </c>
      <c r="K502">
        <v>309.29513818280947</v>
      </c>
    </row>
    <row r="503" spans="1:11" x14ac:dyDescent="0.25">
      <c r="A503" t="s">
        <v>27</v>
      </c>
      <c r="B503" t="s">
        <v>43</v>
      </c>
      <c r="C503" t="s">
        <v>78</v>
      </c>
      <c r="D503">
        <v>2050</v>
      </c>
      <c r="E503" t="s">
        <v>121</v>
      </c>
      <c r="F503" t="s">
        <v>110</v>
      </c>
      <c r="G503" t="s">
        <v>78</v>
      </c>
      <c r="H503">
        <v>3.8512935932717913</v>
      </c>
      <c r="I503">
        <v>153.66661437154448</v>
      </c>
      <c r="J503">
        <v>0</v>
      </c>
      <c r="K503">
        <v>153.66661437154448</v>
      </c>
    </row>
    <row r="504" spans="1:11" x14ac:dyDescent="0.25">
      <c r="A504" t="s">
        <v>27</v>
      </c>
      <c r="B504" t="s">
        <v>43</v>
      </c>
      <c r="C504" t="s">
        <v>65</v>
      </c>
      <c r="D504">
        <v>2050</v>
      </c>
      <c r="E504" t="s">
        <v>121</v>
      </c>
      <c r="F504" t="s">
        <v>110</v>
      </c>
      <c r="G504" t="s">
        <v>65</v>
      </c>
      <c r="H504">
        <v>11.748060129171261</v>
      </c>
      <c r="I504">
        <v>228.65736544094307</v>
      </c>
      <c r="J504">
        <v>0</v>
      </c>
      <c r="K504">
        <v>228.65736544094307</v>
      </c>
    </row>
    <row r="505" spans="1:11" x14ac:dyDescent="0.25">
      <c r="A505" t="s">
        <v>27</v>
      </c>
      <c r="B505" t="s">
        <v>43</v>
      </c>
      <c r="C505" t="s">
        <v>120</v>
      </c>
      <c r="D505">
        <v>2050</v>
      </c>
      <c r="E505" t="s">
        <v>121</v>
      </c>
      <c r="F505" t="s">
        <v>110</v>
      </c>
      <c r="G505" t="s">
        <v>53</v>
      </c>
      <c r="H505">
        <v>408.55457146192538</v>
      </c>
      <c r="I505">
        <v>7887.5545566439314</v>
      </c>
      <c r="J505">
        <v>0</v>
      </c>
      <c r="K505">
        <v>7887.5545566439314</v>
      </c>
    </row>
    <row r="506" spans="1:11" x14ac:dyDescent="0.25">
      <c r="A506" t="s">
        <v>129</v>
      </c>
      <c r="B506" t="s">
        <v>28</v>
      </c>
      <c r="C506" t="s">
        <v>29</v>
      </c>
      <c r="D506">
        <v>2019</v>
      </c>
      <c r="E506" t="s">
        <v>119</v>
      </c>
      <c r="F506" t="s">
        <v>108</v>
      </c>
      <c r="G506" t="s">
        <v>52</v>
      </c>
      <c r="H506">
        <v>853064.00210361299</v>
      </c>
      <c r="I506">
        <v>5979978.6547463275</v>
      </c>
      <c r="J506">
        <v>1951850.0829625644</v>
      </c>
      <c r="K506">
        <v>1951850.0829625644</v>
      </c>
    </row>
    <row r="507" spans="1:11" x14ac:dyDescent="0.25">
      <c r="A507" t="s">
        <v>129</v>
      </c>
      <c r="B507" t="s">
        <v>28</v>
      </c>
      <c r="C507" t="s">
        <v>34</v>
      </c>
      <c r="D507">
        <v>2019</v>
      </c>
      <c r="E507" t="s">
        <v>119</v>
      </c>
      <c r="F507" t="s">
        <v>108</v>
      </c>
      <c r="G507" t="s">
        <v>52</v>
      </c>
      <c r="H507">
        <v>58939.484550716581</v>
      </c>
      <c r="I507">
        <v>227506.41036576603</v>
      </c>
      <c r="J507">
        <v>67541.817252888548</v>
      </c>
      <c r="K507">
        <v>67541.817252888548</v>
      </c>
    </row>
    <row r="508" spans="1:11" x14ac:dyDescent="0.25">
      <c r="A508" t="s">
        <v>129</v>
      </c>
      <c r="B508" t="s">
        <v>28</v>
      </c>
      <c r="C508" t="s">
        <v>72</v>
      </c>
      <c r="D508">
        <v>2019</v>
      </c>
      <c r="E508" t="s">
        <v>119</v>
      </c>
      <c r="F508" t="s">
        <v>108</v>
      </c>
      <c r="G508" t="s">
        <v>52</v>
      </c>
      <c r="H508">
        <v>99115.06241944003</v>
      </c>
      <c r="I508">
        <v>436106.27464553615</v>
      </c>
      <c r="J508">
        <v>232926.54181955411</v>
      </c>
      <c r="K508">
        <v>232926.54181955411</v>
      </c>
    </row>
    <row r="509" spans="1:11" x14ac:dyDescent="0.25">
      <c r="A509" t="s">
        <v>129</v>
      </c>
      <c r="B509" t="s">
        <v>28</v>
      </c>
      <c r="C509" t="s">
        <v>53</v>
      </c>
      <c r="D509">
        <v>2019</v>
      </c>
      <c r="E509" t="s">
        <v>119</v>
      </c>
      <c r="F509" t="s">
        <v>108</v>
      </c>
      <c r="G509" t="s">
        <v>53</v>
      </c>
      <c r="H509">
        <v>188981.25083524975</v>
      </c>
      <c r="I509">
        <v>9377249.6664450932</v>
      </c>
      <c r="J509">
        <v>0</v>
      </c>
      <c r="K509">
        <v>9377249.6664450932</v>
      </c>
    </row>
    <row r="510" spans="1:11" x14ac:dyDescent="0.25">
      <c r="A510" t="s">
        <v>129</v>
      </c>
      <c r="B510" t="s">
        <v>28</v>
      </c>
      <c r="C510" t="s">
        <v>30</v>
      </c>
      <c r="D510">
        <v>2019</v>
      </c>
      <c r="E510" t="s">
        <v>119</v>
      </c>
      <c r="F510" t="s">
        <v>108</v>
      </c>
      <c r="G510" t="s">
        <v>30</v>
      </c>
      <c r="H510">
        <v>7313.1446192208541</v>
      </c>
      <c r="I510">
        <v>151747.75084883274</v>
      </c>
      <c r="J510">
        <v>0</v>
      </c>
      <c r="K510">
        <v>151747.75084883274</v>
      </c>
    </row>
    <row r="511" spans="1:11" x14ac:dyDescent="0.25">
      <c r="A511" t="s">
        <v>129</v>
      </c>
      <c r="B511" t="s">
        <v>28</v>
      </c>
      <c r="C511" t="s">
        <v>31</v>
      </c>
      <c r="D511">
        <v>2019</v>
      </c>
      <c r="E511" t="s">
        <v>119</v>
      </c>
      <c r="F511" t="s">
        <v>108</v>
      </c>
      <c r="G511" t="s">
        <v>31</v>
      </c>
      <c r="H511">
        <v>43565.33101601588</v>
      </c>
      <c r="I511">
        <v>1850258.7939976689</v>
      </c>
      <c r="J511">
        <v>0</v>
      </c>
      <c r="K511">
        <v>1850258.7939976689</v>
      </c>
    </row>
    <row r="512" spans="1:11" x14ac:dyDescent="0.25">
      <c r="A512" t="s">
        <v>129</v>
      </c>
      <c r="B512" t="s">
        <v>28</v>
      </c>
      <c r="C512" t="s">
        <v>55</v>
      </c>
      <c r="D512">
        <v>2019</v>
      </c>
      <c r="E512" t="s">
        <v>119</v>
      </c>
      <c r="F512" t="s">
        <v>108</v>
      </c>
      <c r="G512" t="s">
        <v>55</v>
      </c>
      <c r="H512">
        <v>4252.8843446697592</v>
      </c>
      <c r="I512">
        <v>345562.72197585326</v>
      </c>
      <c r="J512">
        <v>0</v>
      </c>
      <c r="K512">
        <v>345562.72197585326</v>
      </c>
    </row>
    <row r="513" spans="1:11" x14ac:dyDescent="0.25">
      <c r="A513" t="s">
        <v>129</v>
      </c>
      <c r="B513" t="s">
        <v>28</v>
      </c>
      <c r="C513" t="s">
        <v>54</v>
      </c>
      <c r="D513">
        <v>2019</v>
      </c>
      <c r="E513" t="s">
        <v>119</v>
      </c>
      <c r="F513" t="s">
        <v>108</v>
      </c>
      <c r="G513" t="s">
        <v>54</v>
      </c>
      <c r="H513">
        <v>145638.34626271055</v>
      </c>
      <c r="I513">
        <v>6482362.7921532467</v>
      </c>
      <c r="J513">
        <v>0</v>
      </c>
      <c r="K513">
        <v>6482362.7921532467</v>
      </c>
    </row>
    <row r="514" spans="1:11" x14ac:dyDescent="0.25">
      <c r="A514" t="s">
        <v>129</v>
      </c>
      <c r="B514" t="s">
        <v>28</v>
      </c>
      <c r="C514" t="s">
        <v>41</v>
      </c>
      <c r="D514">
        <v>2019</v>
      </c>
      <c r="E514" t="s">
        <v>119</v>
      </c>
      <c r="F514" t="s">
        <v>108</v>
      </c>
      <c r="G514" t="s">
        <v>41</v>
      </c>
      <c r="H514">
        <v>2676.1448409922077</v>
      </c>
      <c r="I514">
        <v>22720.469700023848</v>
      </c>
      <c r="J514">
        <v>0</v>
      </c>
      <c r="K514">
        <v>22720.469700023848</v>
      </c>
    </row>
    <row r="515" spans="1:11" x14ac:dyDescent="0.25">
      <c r="A515" t="s">
        <v>129</v>
      </c>
      <c r="B515" t="s">
        <v>28</v>
      </c>
      <c r="C515" t="s">
        <v>80</v>
      </c>
      <c r="D515">
        <v>2019</v>
      </c>
      <c r="E515" t="s">
        <v>119</v>
      </c>
      <c r="F515" t="s">
        <v>108</v>
      </c>
      <c r="G515" t="s">
        <v>80</v>
      </c>
      <c r="H515">
        <v>47330.033772765404</v>
      </c>
      <c r="I515">
        <v>1410243.012533868</v>
      </c>
      <c r="J515">
        <v>0</v>
      </c>
      <c r="K515">
        <v>1410243.012533868</v>
      </c>
    </row>
    <row r="516" spans="1:11" x14ac:dyDescent="0.25">
      <c r="A516" t="s">
        <v>129</v>
      </c>
      <c r="B516" t="s">
        <v>28</v>
      </c>
      <c r="C516" t="s">
        <v>75</v>
      </c>
      <c r="D516">
        <v>2019</v>
      </c>
      <c r="E516" t="s">
        <v>119</v>
      </c>
      <c r="F516" t="s">
        <v>108</v>
      </c>
      <c r="G516" t="s">
        <v>52</v>
      </c>
      <c r="H516">
        <v>49787.032963432102</v>
      </c>
      <c r="I516">
        <v>711399.98164280283</v>
      </c>
      <c r="J516">
        <v>118184.45884859514</v>
      </c>
      <c r="K516">
        <v>118184.45884859514</v>
      </c>
    </row>
    <row r="517" spans="1:11" x14ac:dyDescent="0.25">
      <c r="A517" t="s">
        <v>129</v>
      </c>
      <c r="B517" t="s">
        <v>28</v>
      </c>
      <c r="C517" t="s">
        <v>78</v>
      </c>
      <c r="D517">
        <v>2019</v>
      </c>
      <c r="E517" t="s">
        <v>119</v>
      </c>
      <c r="F517" t="s">
        <v>108</v>
      </c>
      <c r="G517" t="s">
        <v>78</v>
      </c>
      <c r="H517">
        <v>13422.322311297707</v>
      </c>
      <c r="I517">
        <v>671116.11556488543</v>
      </c>
      <c r="J517">
        <v>0</v>
      </c>
      <c r="K517">
        <v>671116.11556488543</v>
      </c>
    </row>
    <row r="518" spans="1:11" x14ac:dyDescent="0.25">
      <c r="A518" t="s">
        <v>129</v>
      </c>
      <c r="B518" t="s">
        <v>28</v>
      </c>
      <c r="C518" t="s">
        <v>65</v>
      </c>
      <c r="D518">
        <v>2019</v>
      </c>
      <c r="E518" t="s">
        <v>119</v>
      </c>
      <c r="F518" t="s">
        <v>108</v>
      </c>
      <c r="G518" t="s">
        <v>65</v>
      </c>
      <c r="H518">
        <v>4937.1607996010098</v>
      </c>
      <c r="I518">
        <v>120418.55608782951</v>
      </c>
      <c r="J518">
        <v>0</v>
      </c>
      <c r="K518">
        <v>120418.55608782951</v>
      </c>
    </row>
    <row r="519" spans="1:11" x14ac:dyDescent="0.25">
      <c r="A519" t="s">
        <v>129</v>
      </c>
      <c r="B519" t="s">
        <v>28</v>
      </c>
      <c r="C519" t="s">
        <v>120</v>
      </c>
      <c r="D519">
        <v>2019</v>
      </c>
      <c r="E519" t="s">
        <v>119</v>
      </c>
      <c r="F519" t="s">
        <v>108</v>
      </c>
      <c r="G519" t="s">
        <v>53</v>
      </c>
      <c r="H519">
        <v>119003.01274629038</v>
      </c>
      <c r="I519">
        <v>1641051.5457713446</v>
      </c>
      <c r="J519">
        <v>0</v>
      </c>
      <c r="K519">
        <v>1641051.5457713446</v>
      </c>
    </row>
    <row r="520" spans="1:11" x14ac:dyDescent="0.25">
      <c r="A520" t="s">
        <v>129</v>
      </c>
      <c r="B520" t="s">
        <v>28</v>
      </c>
      <c r="C520" t="s">
        <v>29</v>
      </c>
      <c r="D520">
        <v>2030</v>
      </c>
      <c r="E520" t="s">
        <v>119</v>
      </c>
      <c r="F520" t="s">
        <v>108</v>
      </c>
      <c r="G520" t="s">
        <v>52</v>
      </c>
      <c r="H520">
        <v>823750.37397071952</v>
      </c>
      <c r="I520">
        <v>5774490.1215347433</v>
      </c>
      <c r="J520">
        <v>1873822.0444380243</v>
      </c>
      <c r="K520">
        <v>1873822.0444380243</v>
      </c>
    </row>
    <row r="521" spans="1:11" x14ac:dyDescent="0.25">
      <c r="A521" t="s">
        <v>129</v>
      </c>
      <c r="B521" t="s">
        <v>28</v>
      </c>
      <c r="C521" t="s">
        <v>34</v>
      </c>
      <c r="D521">
        <v>2030</v>
      </c>
      <c r="E521" t="s">
        <v>119</v>
      </c>
      <c r="F521" t="s">
        <v>108</v>
      </c>
      <c r="G521" t="s">
        <v>52</v>
      </c>
      <c r="H521">
        <v>56914.161564160306</v>
      </c>
      <c r="I521">
        <v>219688.66363765878</v>
      </c>
      <c r="J521">
        <v>64841.735128432192</v>
      </c>
      <c r="K521">
        <v>64841.735128432192</v>
      </c>
    </row>
    <row r="522" spans="1:11" x14ac:dyDescent="0.25">
      <c r="A522" t="s">
        <v>129</v>
      </c>
      <c r="B522" t="s">
        <v>28</v>
      </c>
      <c r="C522" t="s">
        <v>72</v>
      </c>
      <c r="D522">
        <v>2030</v>
      </c>
      <c r="E522" t="s">
        <v>119</v>
      </c>
      <c r="F522" t="s">
        <v>108</v>
      </c>
      <c r="G522" t="s">
        <v>52</v>
      </c>
      <c r="H522">
        <v>95709.195948732828</v>
      </c>
      <c r="I522">
        <v>421120.46217442444</v>
      </c>
      <c r="J522">
        <v>223614.96541461936</v>
      </c>
      <c r="K522">
        <v>223614.96541461936</v>
      </c>
    </row>
    <row r="523" spans="1:11" x14ac:dyDescent="0.25">
      <c r="A523" t="s">
        <v>129</v>
      </c>
      <c r="B523" t="s">
        <v>28</v>
      </c>
      <c r="C523" t="s">
        <v>53</v>
      </c>
      <c r="D523">
        <v>2030</v>
      </c>
      <c r="E523" t="s">
        <v>119</v>
      </c>
      <c r="F523" t="s">
        <v>108</v>
      </c>
      <c r="G523" t="s">
        <v>53</v>
      </c>
      <c r="H523">
        <v>182487.33467255518</v>
      </c>
      <c r="I523">
        <v>9055021.5464521889</v>
      </c>
      <c r="J523">
        <v>0</v>
      </c>
      <c r="K523">
        <v>9055021.5464521889</v>
      </c>
    </row>
    <row r="524" spans="1:11" x14ac:dyDescent="0.25">
      <c r="A524" t="s">
        <v>129</v>
      </c>
      <c r="B524" t="s">
        <v>28</v>
      </c>
      <c r="C524" t="s">
        <v>30</v>
      </c>
      <c r="D524">
        <v>2030</v>
      </c>
      <c r="E524" t="s">
        <v>119</v>
      </c>
      <c r="F524" t="s">
        <v>108</v>
      </c>
      <c r="G524" t="s">
        <v>30</v>
      </c>
      <c r="H524">
        <v>7061.8448324272804</v>
      </c>
      <c r="I524">
        <v>146533.28027286608</v>
      </c>
      <c r="J524">
        <v>0</v>
      </c>
      <c r="K524">
        <v>146533.28027286608</v>
      </c>
    </row>
    <row r="525" spans="1:11" x14ac:dyDescent="0.25">
      <c r="A525" t="s">
        <v>129</v>
      </c>
      <c r="B525" t="s">
        <v>28</v>
      </c>
      <c r="C525" t="s">
        <v>31</v>
      </c>
      <c r="D525">
        <v>2030</v>
      </c>
      <c r="E525" t="s">
        <v>119</v>
      </c>
      <c r="F525" t="s">
        <v>108</v>
      </c>
      <c r="G525" t="s">
        <v>31</v>
      </c>
      <c r="H525">
        <v>42068.306279606026</v>
      </c>
      <c r="I525">
        <v>1786678.8069121563</v>
      </c>
      <c r="J525">
        <v>0</v>
      </c>
      <c r="K525">
        <v>1786678.8069121563</v>
      </c>
    </row>
    <row r="526" spans="1:11" x14ac:dyDescent="0.25">
      <c r="A526" t="s">
        <v>129</v>
      </c>
      <c r="B526" t="s">
        <v>28</v>
      </c>
      <c r="C526" t="s">
        <v>55</v>
      </c>
      <c r="D526">
        <v>2030</v>
      </c>
      <c r="E526" t="s">
        <v>119</v>
      </c>
      <c r="F526" t="s">
        <v>108</v>
      </c>
      <c r="G526" t="s">
        <v>55</v>
      </c>
      <c r="H526">
        <v>4106.7435277270333</v>
      </c>
      <c r="I526">
        <v>333688.23529770103</v>
      </c>
      <c r="J526">
        <v>0</v>
      </c>
      <c r="K526">
        <v>333688.23529770103</v>
      </c>
    </row>
    <row r="527" spans="1:11" x14ac:dyDescent="0.25">
      <c r="A527" t="s">
        <v>129</v>
      </c>
      <c r="B527" t="s">
        <v>28</v>
      </c>
      <c r="C527" t="s">
        <v>54</v>
      </c>
      <c r="D527">
        <v>2030</v>
      </c>
      <c r="E527" t="s">
        <v>119</v>
      </c>
      <c r="F527" t="s">
        <v>108</v>
      </c>
      <c r="G527" t="s">
        <v>54</v>
      </c>
      <c r="H527">
        <v>140633.81165134837</v>
      </c>
      <c r="I527">
        <v>6259610.9566015163</v>
      </c>
      <c r="J527">
        <v>0</v>
      </c>
      <c r="K527">
        <v>6259610.9566015163</v>
      </c>
    </row>
    <row r="528" spans="1:11" x14ac:dyDescent="0.25">
      <c r="A528" t="s">
        <v>129</v>
      </c>
      <c r="B528" t="s">
        <v>28</v>
      </c>
      <c r="C528" t="s">
        <v>41</v>
      </c>
      <c r="D528">
        <v>2030</v>
      </c>
      <c r="E528" t="s">
        <v>119</v>
      </c>
      <c r="F528" t="s">
        <v>108</v>
      </c>
      <c r="G528" t="s">
        <v>41</v>
      </c>
      <c r="H528">
        <v>2584.1851351493174</v>
      </c>
      <c r="I528">
        <v>21939.731797417709</v>
      </c>
      <c r="J528">
        <v>0</v>
      </c>
      <c r="K528">
        <v>21939.731797417709</v>
      </c>
    </row>
    <row r="529" spans="1:11" x14ac:dyDescent="0.25">
      <c r="A529" t="s">
        <v>129</v>
      </c>
      <c r="B529" t="s">
        <v>28</v>
      </c>
      <c r="C529" t="s">
        <v>80</v>
      </c>
      <c r="D529">
        <v>2030</v>
      </c>
      <c r="E529" t="s">
        <v>119</v>
      </c>
      <c r="F529" t="s">
        <v>108</v>
      </c>
      <c r="G529" t="s">
        <v>80</v>
      </c>
      <c r="H529">
        <v>45703.64348304407</v>
      </c>
      <c r="I529">
        <v>1361783.1793390682</v>
      </c>
      <c r="J529">
        <v>0</v>
      </c>
      <c r="K529">
        <v>1361783.1793390682</v>
      </c>
    </row>
    <row r="530" spans="1:11" x14ac:dyDescent="0.25">
      <c r="A530" t="s">
        <v>129</v>
      </c>
      <c r="B530" t="s">
        <v>28</v>
      </c>
      <c r="C530" t="s">
        <v>75</v>
      </c>
      <c r="D530">
        <v>2030</v>
      </c>
      <c r="E530" t="s">
        <v>119</v>
      </c>
      <c r="F530" t="s">
        <v>108</v>
      </c>
      <c r="G530" t="s">
        <v>52</v>
      </c>
      <c r="H530">
        <v>48076.213415858583</v>
      </c>
      <c r="I530">
        <v>686954.31934290484</v>
      </c>
      <c r="J530">
        <v>113459.86366142624</v>
      </c>
      <c r="K530">
        <v>113459.86366142624</v>
      </c>
    </row>
    <row r="531" spans="1:11" x14ac:dyDescent="0.25">
      <c r="A531" t="s">
        <v>129</v>
      </c>
      <c r="B531" t="s">
        <v>28</v>
      </c>
      <c r="C531" t="s">
        <v>78</v>
      </c>
      <c r="D531">
        <v>2030</v>
      </c>
      <c r="E531" t="s">
        <v>119</v>
      </c>
      <c r="F531" t="s">
        <v>108</v>
      </c>
      <c r="G531" t="s">
        <v>78</v>
      </c>
      <c r="H531">
        <v>12961.094356603833</v>
      </c>
      <c r="I531">
        <v>648054.71783019172</v>
      </c>
      <c r="J531">
        <v>0</v>
      </c>
      <c r="K531">
        <v>648054.71783019172</v>
      </c>
    </row>
    <row r="532" spans="1:11" x14ac:dyDescent="0.25">
      <c r="A532" t="s">
        <v>129</v>
      </c>
      <c r="B532" t="s">
        <v>28</v>
      </c>
      <c r="C532" t="s">
        <v>65</v>
      </c>
      <c r="D532">
        <v>2030</v>
      </c>
      <c r="E532" t="s">
        <v>119</v>
      </c>
      <c r="F532" t="s">
        <v>108</v>
      </c>
      <c r="G532" t="s">
        <v>65</v>
      </c>
      <c r="H532">
        <v>4767.5063594242874</v>
      </c>
      <c r="I532">
        <v>116280.6429127875</v>
      </c>
      <c r="J532">
        <v>0</v>
      </c>
      <c r="K532">
        <v>116280.6429127875</v>
      </c>
    </row>
    <row r="533" spans="1:11" x14ac:dyDescent="0.25">
      <c r="A533" t="s">
        <v>129</v>
      </c>
      <c r="B533" t="s">
        <v>28</v>
      </c>
      <c r="C533" t="s">
        <v>120</v>
      </c>
      <c r="D533">
        <v>2030</v>
      </c>
      <c r="E533" t="s">
        <v>119</v>
      </c>
      <c r="F533" t="s">
        <v>108</v>
      </c>
      <c r="G533" t="s">
        <v>53</v>
      </c>
      <c r="H533">
        <v>114913.74153834289</v>
      </c>
      <c r="I533">
        <v>1584660.4958137486</v>
      </c>
      <c r="J533">
        <v>0</v>
      </c>
      <c r="K533">
        <v>1584660.4958137486</v>
      </c>
    </row>
    <row r="534" spans="1:11" x14ac:dyDescent="0.25">
      <c r="A534" t="s">
        <v>129</v>
      </c>
      <c r="B534" t="s">
        <v>28</v>
      </c>
      <c r="C534" t="s">
        <v>29</v>
      </c>
      <c r="D534">
        <v>2050</v>
      </c>
      <c r="E534" t="s">
        <v>119</v>
      </c>
      <c r="F534" t="s">
        <v>108</v>
      </c>
      <c r="G534" t="s">
        <v>52</v>
      </c>
      <c r="H534">
        <v>770919.64193441265</v>
      </c>
      <c r="I534">
        <v>5404146.6899602329</v>
      </c>
      <c r="J534">
        <v>1753645.6008920954</v>
      </c>
      <c r="K534">
        <v>1753645.6008920954</v>
      </c>
    </row>
    <row r="535" spans="1:11" x14ac:dyDescent="0.25">
      <c r="A535" t="s">
        <v>129</v>
      </c>
      <c r="B535" t="s">
        <v>28</v>
      </c>
      <c r="C535" t="s">
        <v>34</v>
      </c>
      <c r="D535">
        <v>2050</v>
      </c>
      <c r="E535" t="s">
        <v>119</v>
      </c>
      <c r="F535" t="s">
        <v>108</v>
      </c>
      <c r="G535" t="s">
        <v>52</v>
      </c>
      <c r="H535">
        <v>53264.00623351871</v>
      </c>
      <c r="I535">
        <v>205599.06406138223</v>
      </c>
      <c r="J535">
        <v>60683.14966178553</v>
      </c>
      <c r="K535">
        <v>60683.14966178553</v>
      </c>
    </row>
    <row r="536" spans="1:11" x14ac:dyDescent="0.25">
      <c r="A536" t="s">
        <v>129</v>
      </c>
      <c r="B536" t="s">
        <v>28</v>
      </c>
      <c r="C536" t="s">
        <v>72</v>
      </c>
      <c r="D536">
        <v>2050</v>
      </c>
      <c r="E536" t="s">
        <v>119</v>
      </c>
      <c r="F536" t="s">
        <v>108</v>
      </c>
      <c r="G536" t="s">
        <v>52</v>
      </c>
      <c r="H536">
        <v>89570.944550794622</v>
      </c>
      <c r="I536">
        <v>394112.15602349635</v>
      </c>
      <c r="J536">
        <v>209273.55484847655</v>
      </c>
      <c r="K536">
        <v>209273.55484847655</v>
      </c>
    </row>
    <row r="537" spans="1:11" x14ac:dyDescent="0.25">
      <c r="A537" t="s">
        <v>129</v>
      </c>
      <c r="B537" t="s">
        <v>28</v>
      </c>
      <c r="C537" t="s">
        <v>53</v>
      </c>
      <c r="D537">
        <v>2050</v>
      </c>
      <c r="E537" t="s">
        <v>119</v>
      </c>
      <c r="F537" t="s">
        <v>108</v>
      </c>
      <c r="G537" t="s">
        <v>53</v>
      </c>
      <c r="H537">
        <v>170783.61983035918</v>
      </c>
      <c r="I537">
        <v>8474283.2159824222</v>
      </c>
      <c r="J537">
        <v>0</v>
      </c>
      <c r="K537">
        <v>8474283.2159824222</v>
      </c>
    </row>
    <row r="538" spans="1:11" x14ac:dyDescent="0.25">
      <c r="A538" t="s">
        <v>129</v>
      </c>
      <c r="B538" t="s">
        <v>28</v>
      </c>
      <c r="C538" t="s">
        <v>30</v>
      </c>
      <c r="D538">
        <v>2050</v>
      </c>
      <c r="E538" t="s">
        <v>119</v>
      </c>
      <c r="F538" t="s">
        <v>108</v>
      </c>
      <c r="G538" t="s">
        <v>30</v>
      </c>
      <c r="H538">
        <v>6608.9376850525514</v>
      </c>
      <c r="I538">
        <v>137135.45696484044</v>
      </c>
      <c r="J538">
        <v>0</v>
      </c>
      <c r="K538">
        <v>137135.45696484044</v>
      </c>
    </row>
    <row r="539" spans="1:11" x14ac:dyDescent="0.25">
      <c r="A539" t="s">
        <v>129</v>
      </c>
      <c r="B539" t="s">
        <v>28</v>
      </c>
      <c r="C539" t="s">
        <v>31</v>
      </c>
      <c r="D539">
        <v>2050</v>
      </c>
      <c r="E539" t="s">
        <v>119</v>
      </c>
      <c r="F539" t="s">
        <v>108</v>
      </c>
      <c r="G539" t="s">
        <v>31</v>
      </c>
      <c r="H539">
        <v>39370.280898972756</v>
      </c>
      <c r="I539">
        <v>1672091.2422013455</v>
      </c>
      <c r="J539">
        <v>0</v>
      </c>
      <c r="K539">
        <v>1672091.2422013455</v>
      </c>
    </row>
    <row r="540" spans="1:11" x14ac:dyDescent="0.25">
      <c r="A540" t="s">
        <v>129</v>
      </c>
      <c r="B540" t="s">
        <v>28</v>
      </c>
      <c r="C540" t="s">
        <v>55</v>
      </c>
      <c r="D540">
        <v>2050</v>
      </c>
      <c r="E540" t="s">
        <v>119</v>
      </c>
      <c r="F540" t="s">
        <v>108</v>
      </c>
      <c r="G540" t="s">
        <v>55</v>
      </c>
      <c r="H540">
        <v>3843.3600153052266</v>
      </c>
      <c r="I540">
        <v>312287.34213912912</v>
      </c>
      <c r="J540">
        <v>0</v>
      </c>
      <c r="K540">
        <v>312287.34213912912</v>
      </c>
    </row>
    <row r="541" spans="1:11" x14ac:dyDescent="0.25">
      <c r="A541" t="s">
        <v>129</v>
      </c>
      <c r="B541" t="s">
        <v>28</v>
      </c>
      <c r="C541" t="s">
        <v>54</v>
      </c>
      <c r="D541">
        <v>2050</v>
      </c>
      <c r="E541" t="s">
        <v>119</v>
      </c>
      <c r="F541" t="s">
        <v>108</v>
      </c>
      <c r="G541" t="s">
        <v>54</v>
      </c>
      <c r="H541">
        <v>131614.34719540758</v>
      </c>
      <c r="I541">
        <v>5858154.5936675919</v>
      </c>
      <c r="J541">
        <v>0</v>
      </c>
      <c r="K541">
        <v>5858154.5936675919</v>
      </c>
    </row>
    <row r="542" spans="1:11" x14ac:dyDescent="0.25">
      <c r="A542" t="s">
        <v>129</v>
      </c>
      <c r="B542" t="s">
        <v>28</v>
      </c>
      <c r="C542" t="s">
        <v>41</v>
      </c>
      <c r="D542">
        <v>2050</v>
      </c>
      <c r="E542" t="s">
        <v>119</v>
      </c>
      <c r="F542" t="s">
        <v>108</v>
      </c>
      <c r="G542" t="s">
        <v>41</v>
      </c>
      <c r="H542">
        <v>2418.4499844031116</v>
      </c>
      <c r="I542">
        <v>20532.640367582419</v>
      </c>
      <c r="J542">
        <v>0</v>
      </c>
      <c r="K542">
        <v>20532.640367582419</v>
      </c>
    </row>
    <row r="543" spans="1:11" x14ac:dyDescent="0.25">
      <c r="A543" t="s">
        <v>129</v>
      </c>
      <c r="B543" t="s">
        <v>28</v>
      </c>
      <c r="C543" t="s">
        <v>80</v>
      </c>
      <c r="D543">
        <v>2050</v>
      </c>
      <c r="E543" t="s">
        <v>119</v>
      </c>
      <c r="F543" t="s">
        <v>108</v>
      </c>
      <c r="G543" t="s">
        <v>80</v>
      </c>
      <c r="H543">
        <v>42772.467949494108</v>
      </c>
      <c r="I543">
        <v>1274446.0387288358</v>
      </c>
      <c r="J543">
        <v>0</v>
      </c>
      <c r="K543">
        <v>1274446.0387288358</v>
      </c>
    </row>
    <row r="544" spans="1:11" x14ac:dyDescent="0.25">
      <c r="A544" t="s">
        <v>129</v>
      </c>
      <c r="B544" t="s">
        <v>28</v>
      </c>
      <c r="C544" t="s">
        <v>75</v>
      </c>
      <c r="D544">
        <v>2050</v>
      </c>
      <c r="E544" t="s">
        <v>119</v>
      </c>
      <c r="F544" t="s">
        <v>108</v>
      </c>
      <c r="G544" t="s">
        <v>52</v>
      </c>
      <c r="H544">
        <v>44992.874544580809</v>
      </c>
      <c r="I544">
        <v>642896.91953688243</v>
      </c>
      <c r="J544">
        <v>106183.18392521072</v>
      </c>
      <c r="K544">
        <v>106183.18392521072</v>
      </c>
    </row>
    <row r="545" spans="1:11" x14ac:dyDescent="0.25">
      <c r="A545" t="s">
        <v>129</v>
      </c>
      <c r="B545" t="s">
        <v>28</v>
      </c>
      <c r="C545" t="s">
        <v>78</v>
      </c>
      <c r="D545">
        <v>2050</v>
      </c>
      <c r="E545" t="s">
        <v>119</v>
      </c>
      <c r="F545" t="s">
        <v>108</v>
      </c>
      <c r="G545" t="s">
        <v>78</v>
      </c>
      <c r="H545">
        <v>12129.842408819752</v>
      </c>
      <c r="I545">
        <v>606492.12044098764</v>
      </c>
      <c r="J545">
        <v>0</v>
      </c>
      <c r="K545">
        <v>606492.12044098764</v>
      </c>
    </row>
    <row r="546" spans="1:11" x14ac:dyDescent="0.25">
      <c r="A546" t="s">
        <v>129</v>
      </c>
      <c r="B546" t="s">
        <v>28</v>
      </c>
      <c r="C546" t="s">
        <v>65</v>
      </c>
      <c r="D546">
        <v>2050</v>
      </c>
      <c r="E546" t="s">
        <v>119</v>
      </c>
      <c r="F546" t="s">
        <v>108</v>
      </c>
      <c r="G546" t="s">
        <v>65</v>
      </c>
      <c r="H546">
        <v>4461.7452224161889</v>
      </c>
      <c r="I546">
        <v>108823.05420527291</v>
      </c>
      <c r="J546">
        <v>0</v>
      </c>
      <c r="K546">
        <v>108823.05420527291</v>
      </c>
    </row>
    <row r="547" spans="1:11" x14ac:dyDescent="0.25">
      <c r="A547" t="s">
        <v>129</v>
      </c>
      <c r="B547" t="s">
        <v>28</v>
      </c>
      <c r="C547" t="s">
        <v>120</v>
      </c>
      <c r="D547">
        <v>2050</v>
      </c>
      <c r="E547" t="s">
        <v>119</v>
      </c>
      <c r="F547" t="s">
        <v>108</v>
      </c>
      <c r="G547" t="s">
        <v>53</v>
      </c>
      <c r="H547">
        <v>107543.81822378619</v>
      </c>
      <c r="I547">
        <v>1483029.2533060117</v>
      </c>
      <c r="J547">
        <v>0</v>
      </c>
      <c r="K547">
        <v>1483029.2533060117</v>
      </c>
    </row>
    <row r="548" spans="1:11" x14ac:dyDescent="0.25">
      <c r="A548" t="s">
        <v>129</v>
      </c>
      <c r="B548" t="s">
        <v>28</v>
      </c>
      <c r="C548" t="s">
        <v>29</v>
      </c>
      <c r="D548">
        <v>2019</v>
      </c>
      <c r="E548" t="s">
        <v>121</v>
      </c>
      <c r="F548" t="s">
        <v>108</v>
      </c>
      <c r="G548" t="s">
        <v>52</v>
      </c>
      <c r="H548">
        <v>109074.05508995618</v>
      </c>
      <c r="I548">
        <v>512288.11454099719</v>
      </c>
      <c r="J548">
        <v>167209.55986589516</v>
      </c>
      <c r="K548">
        <v>167209.55986589516</v>
      </c>
    </row>
    <row r="549" spans="1:11" x14ac:dyDescent="0.25">
      <c r="A549" t="s">
        <v>129</v>
      </c>
      <c r="B549" t="s">
        <v>28</v>
      </c>
      <c r="C549" t="s">
        <v>34</v>
      </c>
      <c r="D549">
        <v>2019</v>
      </c>
      <c r="E549" t="s">
        <v>121</v>
      </c>
      <c r="F549" t="s">
        <v>108</v>
      </c>
      <c r="G549" t="s">
        <v>52</v>
      </c>
      <c r="H549">
        <v>7536.0917457605292</v>
      </c>
      <c r="I549">
        <v>16580.909059022317</v>
      </c>
      <c r="J549">
        <v>4922.5194479169131</v>
      </c>
      <c r="K549">
        <v>4922.5194479169131</v>
      </c>
    </row>
    <row r="550" spans="1:11" x14ac:dyDescent="0.25">
      <c r="A550" t="s">
        <v>129</v>
      </c>
      <c r="B550" t="s">
        <v>28</v>
      </c>
      <c r="C550" t="s">
        <v>72</v>
      </c>
      <c r="D550">
        <v>2019</v>
      </c>
      <c r="E550" t="s">
        <v>121</v>
      </c>
      <c r="F550" t="s">
        <v>108</v>
      </c>
      <c r="G550" t="s">
        <v>52</v>
      </c>
      <c r="H550">
        <v>12673.001969281737</v>
      </c>
      <c r="I550">
        <v>30668.664765661812</v>
      </c>
      <c r="J550">
        <v>16380.287194663799</v>
      </c>
      <c r="K550">
        <v>16380.287194663799</v>
      </c>
    </row>
    <row r="551" spans="1:11" x14ac:dyDescent="0.25">
      <c r="A551" t="s">
        <v>129</v>
      </c>
      <c r="B551" t="s">
        <v>28</v>
      </c>
      <c r="C551" t="s">
        <v>53</v>
      </c>
      <c r="D551">
        <v>2019</v>
      </c>
      <c r="E551" t="s">
        <v>121</v>
      </c>
      <c r="F551" t="s">
        <v>108</v>
      </c>
      <c r="G551" t="s">
        <v>53</v>
      </c>
      <c r="H551">
        <v>24163.428903039348</v>
      </c>
      <c r="I551">
        <v>935211.68689167371</v>
      </c>
      <c r="J551">
        <v>0</v>
      </c>
      <c r="K551">
        <v>935211.68689167371</v>
      </c>
    </row>
    <row r="552" spans="1:11" x14ac:dyDescent="0.25">
      <c r="A552" t="s">
        <v>129</v>
      </c>
      <c r="B552" t="s">
        <v>28</v>
      </c>
      <c r="C552" t="s">
        <v>30</v>
      </c>
      <c r="D552">
        <v>2019</v>
      </c>
      <c r="E552" t="s">
        <v>121</v>
      </c>
      <c r="F552" t="s">
        <v>108</v>
      </c>
      <c r="G552" t="s">
        <v>30</v>
      </c>
      <c r="H552">
        <v>935.06974518991217</v>
      </c>
      <c r="I552">
        <v>11059.537411233687</v>
      </c>
      <c r="J552">
        <v>0</v>
      </c>
      <c r="K552">
        <v>11059.537411233687</v>
      </c>
    </row>
    <row r="553" spans="1:11" x14ac:dyDescent="0.25">
      <c r="A553" t="s">
        <v>129</v>
      </c>
      <c r="B553" t="s">
        <v>28</v>
      </c>
      <c r="C553" t="s">
        <v>31</v>
      </c>
      <c r="D553">
        <v>2019</v>
      </c>
      <c r="E553" t="s">
        <v>121</v>
      </c>
      <c r="F553" t="s">
        <v>108</v>
      </c>
      <c r="G553" t="s">
        <v>31</v>
      </c>
      <c r="H553">
        <v>5570.3291939822529</v>
      </c>
      <c r="I553">
        <v>134848.82799393893</v>
      </c>
      <c r="J553">
        <v>0</v>
      </c>
      <c r="K553">
        <v>134848.82799393893</v>
      </c>
    </row>
    <row r="554" spans="1:11" x14ac:dyDescent="0.25">
      <c r="A554" t="s">
        <v>129</v>
      </c>
      <c r="B554" t="s">
        <v>28</v>
      </c>
      <c r="C554" t="s">
        <v>55</v>
      </c>
      <c r="D554">
        <v>2019</v>
      </c>
      <c r="E554" t="s">
        <v>121</v>
      </c>
      <c r="F554" t="s">
        <v>108</v>
      </c>
      <c r="G554" t="s">
        <v>55</v>
      </c>
      <c r="H554">
        <v>543.78023238328944</v>
      </c>
      <c r="I554">
        <v>25184.978559760264</v>
      </c>
      <c r="J554">
        <v>0</v>
      </c>
      <c r="K554">
        <v>25184.978559760264</v>
      </c>
    </row>
    <row r="555" spans="1:11" x14ac:dyDescent="0.25">
      <c r="A555" t="s">
        <v>129</v>
      </c>
      <c r="B555" t="s">
        <v>28</v>
      </c>
      <c r="C555" t="s">
        <v>54</v>
      </c>
      <c r="D555">
        <v>2019</v>
      </c>
      <c r="E555" t="s">
        <v>121</v>
      </c>
      <c r="F555" t="s">
        <v>108</v>
      </c>
      <c r="G555" t="s">
        <v>54</v>
      </c>
      <c r="H555">
        <v>18621.539490936779</v>
      </c>
      <c r="I555">
        <v>687941.11987552466</v>
      </c>
      <c r="J555">
        <v>0</v>
      </c>
      <c r="K555">
        <v>687941.11987552466</v>
      </c>
    </row>
    <row r="556" spans="1:11" x14ac:dyDescent="0.25">
      <c r="A556" t="s">
        <v>129</v>
      </c>
      <c r="B556" t="s">
        <v>28</v>
      </c>
      <c r="C556" t="s">
        <v>41</v>
      </c>
      <c r="D556">
        <v>2019</v>
      </c>
      <c r="E556" t="s">
        <v>121</v>
      </c>
      <c r="F556" t="s">
        <v>108</v>
      </c>
      <c r="G556" t="s">
        <v>41</v>
      </c>
      <c r="H556">
        <v>342.17593181200988</v>
      </c>
      <c r="I556">
        <v>1655.8919868178593</v>
      </c>
      <c r="J556">
        <v>0</v>
      </c>
      <c r="K556">
        <v>1655.8919868178593</v>
      </c>
    </row>
    <row r="557" spans="1:11" x14ac:dyDescent="0.25">
      <c r="A557" t="s">
        <v>129</v>
      </c>
      <c r="B557" t="s">
        <v>28</v>
      </c>
      <c r="C557" t="s">
        <v>80</v>
      </c>
      <c r="D557">
        <v>2019</v>
      </c>
      <c r="E557" t="s">
        <v>121</v>
      </c>
      <c r="F557" t="s">
        <v>108</v>
      </c>
      <c r="G557" t="s">
        <v>80</v>
      </c>
      <c r="H557">
        <v>6051.6897892885954</v>
      </c>
      <c r="I557">
        <v>102780.0100417052</v>
      </c>
      <c r="J557">
        <v>0</v>
      </c>
      <c r="K557">
        <v>102780.0100417052</v>
      </c>
    </row>
    <row r="558" spans="1:11" x14ac:dyDescent="0.25">
      <c r="A558" t="s">
        <v>129</v>
      </c>
      <c r="B558" t="s">
        <v>28</v>
      </c>
      <c r="C558" t="s">
        <v>75</v>
      </c>
      <c r="D558">
        <v>2019</v>
      </c>
      <c r="E558" t="s">
        <v>121</v>
      </c>
      <c r="F558" t="s">
        <v>108</v>
      </c>
      <c r="G558" t="s">
        <v>52</v>
      </c>
      <c r="H558">
        <v>6365.8454264012817</v>
      </c>
      <c r="I558">
        <v>51847.586981155291</v>
      </c>
      <c r="J558">
        <v>8613.4090077190758</v>
      </c>
      <c r="K558">
        <v>8613.4090077190758</v>
      </c>
    </row>
    <row r="559" spans="1:11" x14ac:dyDescent="0.25">
      <c r="A559" t="s">
        <v>129</v>
      </c>
      <c r="B559" t="s">
        <v>28</v>
      </c>
      <c r="C559" t="s">
        <v>78</v>
      </c>
      <c r="D559">
        <v>2019</v>
      </c>
      <c r="E559" t="s">
        <v>121</v>
      </c>
      <c r="F559" t="s">
        <v>108</v>
      </c>
      <c r="G559" t="s">
        <v>78</v>
      </c>
      <c r="H559">
        <v>1716.1984559275936</v>
      </c>
      <c r="I559">
        <v>48911.655993936416</v>
      </c>
      <c r="J559">
        <v>0</v>
      </c>
      <c r="K559">
        <v>48911.655993936416</v>
      </c>
    </row>
    <row r="560" spans="1:11" x14ac:dyDescent="0.25">
      <c r="A560" t="s">
        <v>129</v>
      </c>
      <c r="B560" t="s">
        <v>28</v>
      </c>
      <c r="C560" t="s">
        <v>65</v>
      </c>
      <c r="D560">
        <v>2019</v>
      </c>
      <c r="E560" t="s">
        <v>121</v>
      </c>
      <c r="F560" t="s">
        <v>108</v>
      </c>
      <c r="G560" t="s">
        <v>65</v>
      </c>
      <c r="H560">
        <v>631.27285609954106</v>
      </c>
      <c r="I560">
        <v>8776.2323896765465</v>
      </c>
      <c r="J560">
        <v>0</v>
      </c>
      <c r="K560">
        <v>8776.2323896765465</v>
      </c>
    </row>
    <row r="561" spans="1:11" x14ac:dyDescent="0.25">
      <c r="A561" t="s">
        <v>129</v>
      </c>
      <c r="B561" t="s">
        <v>28</v>
      </c>
      <c r="C561" t="s">
        <v>120</v>
      </c>
      <c r="D561">
        <v>2019</v>
      </c>
      <c r="E561" t="s">
        <v>121</v>
      </c>
      <c r="F561" t="s">
        <v>108</v>
      </c>
      <c r="G561" t="s">
        <v>53</v>
      </c>
      <c r="H561">
        <v>15215.905414073572</v>
      </c>
      <c r="I561">
        <v>209827.33566007458</v>
      </c>
      <c r="J561">
        <v>0</v>
      </c>
      <c r="K561">
        <v>209827.33566007458</v>
      </c>
    </row>
    <row r="562" spans="1:11" x14ac:dyDescent="0.25">
      <c r="A562" t="s">
        <v>129</v>
      </c>
      <c r="B562" t="s">
        <v>28</v>
      </c>
      <c r="C562" t="s">
        <v>29</v>
      </c>
      <c r="D562">
        <v>2030</v>
      </c>
      <c r="E562" t="s">
        <v>121</v>
      </c>
      <c r="F562" t="s">
        <v>108</v>
      </c>
      <c r="G562" t="s">
        <v>52</v>
      </c>
      <c r="H562">
        <v>128562.19709369613</v>
      </c>
      <c r="I562">
        <v>603818.07108996273</v>
      </c>
      <c r="J562">
        <v>195938.96406869288</v>
      </c>
      <c r="K562">
        <v>195938.96406869288</v>
      </c>
    </row>
    <row r="563" spans="1:11" x14ac:dyDescent="0.25">
      <c r="A563" t="s">
        <v>129</v>
      </c>
      <c r="B563" t="s">
        <v>28</v>
      </c>
      <c r="C563" t="s">
        <v>34</v>
      </c>
      <c r="D563">
        <v>2030</v>
      </c>
      <c r="E563" t="s">
        <v>121</v>
      </c>
      <c r="F563" t="s">
        <v>108</v>
      </c>
      <c r="G563" t="s">
        <v>52</v>
      </c>
      <c r="H563">
        <v>8882.5570071232869</v>
      </c>
      <c r="I563">
        <v>19543.401927072653</v>
      </c>
      <c r="J563">
        <v>5768.2907724079287</v>
      </c>
      <c r="K563">
        <v>5768.2907724079287</v>
      </c>
    </row>
    <row r="564" spans="1:11" x14ac:dyDescent="0.25">
      <c r="A564" t="s">
        <v>129</v>
      </c>
      <c r="B564" t="s">
        <v>28</v>
      </c>
      <c r="C564" t="s">
        <v>72</v>
      </c>
      <c r="D564">
        <v>2030</v>
      </c>
      <c r="E564" t="s">
        <v>121</v>
      </c>
      <c r="F564" t="s">
        <v>108</v>
      </c>
      <c r="G564" t="s">
        <v>52</v>
      </c>
      <c r="H564">
        <v>14937.273356160618</v>
      </c>
      <c r="I564">
        <v>36148.201521908697</v>
      </c>
      <c r="J564">
        <v>19194.69500813352</v>
      </c>
      <c r="K564">
        <v>19194.69500813352</v>
      </c>
    </row>
    <row r="565" spans="1:11" x14ac:dyDescent="0.25">
      <c r="A565" t="s">
        <v>129</v>
      </c>
      <c r="B565" t="s">
        <v>28</v>
      </c>
      <c r="C565" t="s">
        <v>53</v>
      </c>
      <c r="D565">
        <v>2030</v>
      </c>
      <c r="E565" t="s">
        <v>121</v>
      </c>
      <c r="F565" t="s">
        <v>108</v>
      </c>
      <c r="G565" t="s">
        <v>53</v>
      </c>
      <c r="H565">
        <v>28480.682289936361</v>
      </c>
      <c r="I565">
        <v>1102304.9350767811</v>
      </c>
      <c r="J565">
        <v>0</v>
      </c>
      <c r="K565">
        <v>1102304.9350767811</v>
      </c>
    </row>
    <row r="566" spans="1:11" x14ac:dyDescent="0.25">
      <c r="A566" t="s">
        <v>129</v>
      </c>
      <c r="B566" t="s">
        <v>28</v>
      </c>
      <c r="C566" t="s">
        <v>30</v>
      </c>
      <c r="D566">
        <v>2030</v>
      </c>
      <c r="E566" t="s">
        <v>121</v>
      </c>
      <c r="F566" t="s">
        <v>108</v>
      </c>
      <c r="G566" t="s">
        <v>30</v>
      </c>
      <c r="H566">
        <v>1102.1376328065699</v>
      </c>
      <c r="I566">
        <v>13035.532852019704</v>
      </c>
      <c r="J566">
        <v>0</v>
      </c>
      <c r="K566">
        <v>13035.532852019704</v>
      </c>
    </row>
    <row r="567" spans="1:11" x14ac:dyDescent="0.25">
      <c r="A567" t="s">
        <v>129</v>
      </c>
      <c r="B567" t="s">
        <v>28</v>
      </c>
      <c r="C567" t="s">
        <v>31</v>
      </c>
      <c r="D567">
        <v>2030</v>
      </c>
      <c r="E567" t="s">
        <v>121</v>
      </c>
      <c r="F567" t="s">
        <v>108</v>
      </c>
      <c r="G567" t="s">
        <v>31</v>
      </c>
      <c r="H567">
        <v>6565.5738124240625</v>
      </c>
      <c r="I567">
        <v>158942.12045305254</v>
      </c>
      <c r="J567">
        <v>0</v>
      </c>
      <c r="K567">
        <v>158942.12045305254</v>
      </c>
    </row>
    <row r="568" spans="1:11" x14ac:dyDescent="0.25">
      <c r="A568" t="s">
        <v>129</v>
      </c>
      <c r="B568" t="s">
        <v>28</v>
      </c>
      <c r="C568" t="s">
        <v>55</v>
      </c>
      <c r="D568">
        <v>2030</v>
      </c>
      <c r="E568" t="s">
        <v>121</v>
      </c>
      <c r="F568" t="s">
        <v>108</v>
      </c>
      <c r="G568" t="s">
        <v>55</v>
      </c>
      <c r="H568">
        <v>640.93685114814969</v>
      </c>
      <c r="I568">
        <v>29684.751105385072</v>
      </c>
      <c r="J568">
        <v>0</v>
      </c>
      <c r="K568">
        <v>29684.751105385072</v>
      </c>
    </row>
    <row r="569" spans="1:11" x14ac:dyDescent="0.25">
      <c r="A569" t="s">
        <v>129</v>
      </c>
      <c r="B569" t="s">
        <v>28</v>
      </c>
      <c r="C569" t="s">
        <v>54</v>
      </c>
      <c r="D569">
        <v>2030</v>
      </c>
      <c r="E569" t="s">
        <v>121</v>
      </c>
      <c r="F569" t="s">
        <v>108</v>
      </c>
      <c r="G569" t="s">
        <v>54</v>
      </c>
      <c r="H569">
        <v>21948.629564083272</v>
      </c>
      <c r="I569">
        <v>810854.80657479749</v>
      </c>
      <c r="J569">
        <v>0</v>
      </c>
      <c r="K569">
        <v>810854.80657479749</v>
      </c>
    </row>
    <row r="570" spans="1:11" x14ac:dyDescent="0.25">
      <c r="A570" t="s">
        <v>129</v>
      </c>
      <c r="B570" t="s">
        <v>28</v>
      </c>
      <c r="C570" t="s">
        <v>41</v>
      </c>
      <c r="D570">
        <v>2030</v>
      </c>
      <c r="E570" t="s">
        <v>121</v>
      </c>
      <c r="F570" t="s">
        <v>108</v>
      </c>
      <c r="G570" t="s">
        <v>41</v>
      </c>
      <c r="H570">
        <v>403.3121309192577</v>
      </c>
      <c r="I570">
        <v>1951.7483951575637</v>
      </c>
      <c r="J570">
        <v>0</v>
      </c>
      <c r="K570">
        <v>1951.7483951575637</v>
      </c>
    </row>
    <row r="571" spans="1:11" x14ac:dyDescent="0.25">
      <c r="A571" t="s">
        <v>129</v>
      </c>
      <c r="B571" t="s">
        <v>28</v>
      </c>
      <c r="C571" t="s">
        <v>80</v>
      </c>
      <c r="D571">
        <v>2030</v>
      </c>
      <c r="E571" t="s">
        <v>121</v>
      </c>
      <c r="F571" t="s">
        <v>108</v>
      </c>
      <c r="G571" t="s">
        <v>80</v>
      </c>
      <c r="H571">
        <v>7132.9385782785548</v>
      </c>
      <c r="I571">
        <v>121143.60190767782</v>
      </c>
      <c r="J571">
        <v>0</v>
      </c>
      <c r="K571">
        <v>121143.60190767782</v>
      </c>
    </row>
    <row r="572" spans="1:11" x14ac:dyDescent="0.25">
      <c r="A572" t="s">
        <v>129</v>
      </c>
      <c r="B572" t="s">
        <v>28</v>
      </c>
      <c r="C572" t="s">
        <v>75</v>
      </c>
      <c r="D572">
        <v>2030</v>
      </c>
      <c r="E572" t="s">
        <v>121</v>
      </c>
      <c r="F572" t="s">
        <v>108</v>
      </c>
      <c r="G572" t="s">
        <v>52</v>
      </c>
      <c r="H572">
        <v>7503.2240591224381</v>
      </c>
      <c r="I572">
        <v>61111.138582007545</v>
      </c>
      <c r="J572">
        <v>10093.337004331503</v>
      </c>
      <c r="K572">
        <v>10093.337004331503</v>
      </c>
    </row>
    <row r="573" spans="1:11" x14ac:dyDescent="0.25">
      <c r="A573" t="s">
        <v>129</v>
      </c>
      <c r="B573" t="s">
        <v>28</v>
      </c>
      <c r="C573" t="s">
        <v>78</v>
      </c>
      <c r="D573">
        <v>2030</v>
      </c>
      <c r="E573" t="s">
        <v>121</v>
      </c>
      <c r="F573" t="s">
        <v>108</v>
      </c>
      <c r="G573" t="s">
        <v>78</v>
      </c>
      <c r="H573">
        <v>2022.8297550768989</v>
      </c>
      <c r="I573">
        <v>57650.648019691616</v>
      </c>
      <c r="J573">
        <v>0</v>
      </c>
      <c r="K573">
        <v>57650.648019691616</v>
      </c>
    </row>
    <row r="574" spans="1:11" x14ac:dyDescent="0.25">
      <c r="A574" t="s">
        <v>129</v>
      </c>
      <c r="B574" t="s">
        <v>28</v>
      </c>
      <c r="C574" t="s">
        <v>65</v>
      </c>
      <c r="D574">
        <v>2030</v>
      </c>
      <c r="E574" t="s">
        <v>121</v>
      </c>
      <c r="F574" t="s">
        <v>108</v>
      </c>
      <c r="G574" t="s">
        <v>65</v>
      </c>
      <c r="H574">
        <v>744.06168615292358</v>
      </c>
      <c r="I574">
        <v>10344.272222126012</v>
      </c>
      <c r="J574">
        <v>0</v>
      </c>
      <c r="K574">
        <v>10344.272222126012</v>
      </c>
    </row>
    <row r="575" spans="1:11" x14ac:dyDescent="0.25">
      <c r="A575" t="s">
        <v>129</v>
      </c>
      <c r="B575" t="s">
        <v>28</v>
      </c>
      <c r="C575" t="s">
        <v>120</v>
      </c>
      <c r="D575">
        <v>2030</v>
      </c>
      <c r="E575" t="s">
        <v>121</v>
      </c>
      <c r="F575" t="s">
        <v>108</v>
      </c>
      <c r="G575" t="s">
        <v>53</v>
      </c>
      <c r="H575">
        <v>17934.514575348316</v>
      </c>
      <c r="I575">
        <v>247316.95599405328</v>
      </c>
      <c r="J575">
        <v>0</v>
      </c>
      <c r="K575">
        <v>247316.95599405328</v>
      </c>
    </row>
    <row r="576" spans="1:11" x14ac:dyDescent="0.25">
      <c r="A576" t="s">
        <v>129</v>
      </c>
      <c r="B576" t="s">
        <v>28</v>
      </c>
      <c r="C576" t="s">
        <v>29</v>
      </c>
      <c r="D576">
        <v>2050</v>
      </c>
      <c r="E576" t="s">
        <v>121</v>
      </c>
      <c r="F576" t="s">
        <v>108</v>
      </c>
      <c r="G576" t="s">
        <v>52</v>
      </c>
      <c r="H576">
        <v>163528.40889517844</v>
      </c>
      <c r="I576">
        <v>768043.87805798464</v>
      </c>
      <c r="J576">
        <v>249230.23842981603</v>
      </c>
      <c r="K576">
        <v>249230.23842981603</v>
      </c>
    </row>
    <row r="577" spans="1:11" x14ac:dyDescent="0.25">
      <c r="A577" t="s">
        <v>129</v>
      </c>
      <c r="B577" t="s">
        <v>28</v>
      </c>
      <c r="C577" t="s">
        <v>34</v>
      </c>
      <c r="D577">
        <v>2050</v>
      </c>
      <c r="E577" t="s">
        <v>121</v>
      </c>
      <c r="F577" t="s">
        <v>108</v>
      </c>
      <c r="G577" t="s">
        <v>52</v>
      </c>
      <c r="H577">
        <v>11298.425564685787</v>
      </c>
      <c r="I577">
        <v>24858.79592742167</v>
      </c>
      <c r="J577">
        <v>7337.1444591067957</v>
      </c>
      <c r="K577">
        <v>7337.1444591067957</v>
      </c>
    </row>
    <row r="578" spans="1:11" x14ac:dyDescent="0.25">
      <c r="A578" t="s">
        <v>129</v>
      </c>
      <c r="B578" t="s">
        <v>28</v>
      </c>
      <c r="C578" t="s">
        <v>72</v>
      </c>
      <c r="D578">
        <v>2050</v>
      </c>
      <c r="E578" t="s">
        <v>121</v>
      </c>
      <c r="F578" t="s">
        <v>108</v>
      </c>
      <c r="G578" t="s">
        <v>52</v>
      </c>
      <c r="H578">
        <v>18999.897328956435</v>
      </c>
      <c r="I578">
        <v>45979.751536074575</v>
      </c>
      <c r="J578">
        <v>24415.2480656556</v>
      </c>
      <c r="K578">
        <v>24415.2480656556</v>
      </c>
    </row>
    <row r="579" spans="1:11" x14ac:dyDescent="0.25">
      <c r="A579" t="s">
        <v>129</v>
      </c>
      <c r="B579" t="s">
        <v>28</v>
      </c>
      <c r="C579" t="s">
        <v>53</v>
      </c>
      <c r="D579">
        <v>2050</v>
      </c>
      <c r="E579" t="s">
        <v>121</v>
      </c>
      <c r="F579" t="s">
        <v>108</v>
      </c>
      <c r="G579" t="s">
        <v>53</v>
      </c>
      <c r="H579">
        <v>36226.828448864071</v>
      </c>
      <c r="I579">
        <v>1402108.6775534553</v>
      </c>
      <c r="J579">
        <v>0</v>
      </c>
      <c r="K579">
        <v>1402108.6775534553</v>
      </c>
    </row>
    <row r="580" spans="1:11" x14ac:dyDescent="0.25">
      <c r="A580" t="s">
        <v>129</v>
      </c>
      <c r="B580" t="s">
        <v>28</v>
      </c>
      <c r="C580" t="s">
        <v>30</v>
      </c>
      <c r="D580">
        <v>2050</v>
      </c>
      <c r="E580" t="s">
        <v>121</v>
      </c>
      <c r="F580" t="s">
        <v>108</v>
      </c>
      <c r="G580" t="s">
        <v>30</v>
      </c>
      <c r="H580">
        <v>1401.8958725869049</v>
      </c>
      <c r="I580">
        <v>16580.923433021617</v>
      </c>
      <c r="J580">
        <v>0</v>
      </c>
      <c r="K580">
        <v>16580.923433021617</v>
      </c>
    </row>
    <row r="581" spans="1:11" x14ac:dyDescent="0.25">
      <c r="A581" t="s">
        <v>129</v>
      </c>
      <c r="B581" t="s">
        <v>28</v>
      </c>
      <c r="C581" t="s">
        <v>31</v>
      </c>
      <c r="D581">
        <v>2050</v>
      </c>
      <c r="E581" t="s">
        <v>121</v>
      </c>
      <c r="F581" t="s">
        <v>108</v>
      </c>
      <c r="G581" t="s">
        <v>31</v>
      </c>
      <c r="H581">
        <v>8351.2717058427061</v>
      </c>
      <c r="I581">
        <v>202171.03201161724</v>
      </c>
      <c r="J581">
        <v>0</v>
      </c>
      <c r="K581">
        <v>202171.03201161724</v>
      </c>
    </row>
    <row r="582" spans="1:11" x14ac:dyDescent="0.25">
      <c r="A582" t="s">
        <v>129</v>
      </c>
      <c r="B582" t="s">
        <v>28</v>
      </c>
      <c r="C582" t="s">
        <v>55</v>
      </c>
      <c r="D582">
        <v>2050</v>
      </c>
      <c r="E582" t="s">
        <v>121</v>
      </c>
      <c r="F582" t="s">
        <v>108</v>
      </c>
      <c r="G582" t="s">
        <v>55</v>
      </c>
      <c r="H582">
        <v>815.25818506474513</v>
      </c>
      <c r="I582">
        <v>37758.378640458337</v>
      </c>
      <c r="J582">
        <v>0</v>
      </c>
      <c r="K582">
        <v>37758.378640458337</v>
      </c>
    </row>
    <row r="583" spans="1:11" x14ac:dyDescent="0.25">
      <c r="A583" t="s">
        <v>129</v>
      </c>
      <c r="B583" t="s">
        <v>28</v>
      </c>
      <c r="C583" t="s">
        <v>54</v>
      </c>
      <c r="D583">
        <v>2050</v>
      </c>
      <c r="E583" t="s">
        <v>121</v>
      </c>
      <c r="F583" t="s">
        <v>108</v>
      </c>
      <c r="G583" t="s">
        <v>54</v>
      </c>
      <c r="H583">
        <v>27918.194859631913</v>
      </c>
      <c r="I583">
        <v>1031390.2481578398</v>
      </c>
      <c r="J583">
        <v>0</v>
      </c>
      <c r="K583">
        <v>1031390.2481578398</v>
      </c>
    </row>
    <row r="584" spans="1:11" x14ac:dyDescent="0.25">
      <c r="A584" t="s">
        <v>129</v>
      </c>
      <c r="B584" t="s">
        <v>28</v>
      </c>
      <c r="C584" t="s">
        <v>41</v>
      </c>
      <c r="D584">
        <v>2050</v>
      </c>
      <c r="E584" t="s">
        <v>121</v>
      </c>
      <c r="F584" t="s">
        <v>108</v>
      </c>
      <c r="G584" t="s">
        <v>41</v>
      </c>
      <c r="H584">
        <v>513.00454214611455</v>
      </c>
      <c r="I584">
        <v>2482.5828808076922</v>
      </c>
      <c r="J584">
        <v>0</v>
      </c>
      <c r="K584">
        <v>2482.5828808076922</v>
      </c>
    </row>
    <row r="585" spans="1:11" x14ac:dyDescent="0.25">
      <c r="A585" t="s">
        <v>129</v>
      </c>
      <c r="B585" t="s">
        <v>28</v>
      </c>
      <c r="C585" t="s">
        <v>80</v>
      </c>
      <c r="D585">
        <v>2050</v>
      </c>
      <c r="E585" t="s">
        <v>121</v>
      </c>
      <c r="F585" t="s">
        <v>108</v>
      </c>
      <c r="G585" t="s">
        <v>80</v>
      </c>
      <c r="H585">
        <v>9072.9477468623863</v>
      </c>
      <c r="I585">
        <v>154092.11195539558</v>
      </c>
      <c r="J585">
        <v>0</v>
      </c>
      <c r="K585">
        <v>154092.11195539558</v>
      </c>
    </row>
    <row r="586" spans="1:11" x14ac:dyDescent="0.25">
      <c r="A586" t="s">
        <v>129</v>
      </c>
      <c r="B586" t="s">
        <v>28</v>
      </c>
      <c r="C586" t="s">
        <v>75</v>
      </c>
      <c r="D586">
        <v>2050</v>
      </c>
      <c r="E586" t="s">
        <v>121</v>
      </c>
      <c r="F586" t="s">
        <v>108</v>
      </c>
      <c r="G586" t="s">
        <v>52</v>
      </c>
      <c r="H586">
        <v>9543.9430852141104</v>
      </c>
      <c r="I586">
        <v>77732.082089459407</v>
      </c>
      <c r="J586">
        <v>12838.51223823002</v>
      </c>
      <c r="K586">
        <v>12838.51223823002</v>
      </c>
    </row>
    <row r="587" spans="1:11" x14ac:dyDescent="0.25">
      <c r="A587" t="s">
        <v>129</v>
      </c>
      <c r="B587" t="s">
        <v>28</v>
      </c>
      <c r="C587" t="s">
        <v>78</v>
      </c>
      <c r="D587">
        <v>2050</v>
      </c>
      <c r="E587" t="s">
        <v>121</v>
      </c>
      <c r="F587" t="s">
        <v>108</v>
      </c>
      <c r="G587" t="s">
        <v>78</v>
      </c>
      <c r="H587">
        <v>2572.9968745981287</v>
      </c>
      <c r="I587">
        <v>73330.410926046665</v>
      </c>
      <c r="J587">
        <v>0</v>
      </c>
      <c r="K587">
        <v>73330.410926046665</v>
      </c>
    </row>
    <row r="588" spans="1:11" x14ac:dyDescent="0.25">
      <c r="A588" t="s">
        <v>129</v>
      </c>
      <c r="B588" t="s">
        <v>28</v>
      </c>
      <c r="C588" t="s">
        <v>65</v>
      </c>
      <c r="D588">
        <v>2050</v>
      </c>
      <c r="E588" t="s">
        <v>121</v>
      </c>
      <c r="F588" t="s">
        <v>108</v>
      </c>
      <c r="G588" t="s">
        <v>65</v>
      </c>
      <c r="H588">
        <v>946.43080475494912</v>
      </c>
      <c r="I588">
        <v>13157.696553910268</v>
      </c>
      <c r="J588">
        <v>0</v>
      </c>
      <c r="K588">
        <v>13157.696553910268</v>
      </c>
    </row>
    <row r="589" spans="1:11" x14ac:dyDescent="0.25">
      <c r="A589" t="s">
        <v>129</v>
      </c>
      <c r="B589" t="s">
        <v>28</v>
      </c>
      <c r="C589" t="s">
        <v>120</v>
      </c>
      <c r="D589">
        <v>2050</v>
      </c>
      <c r="E589" t="s">
        <v>121</v>
      </c>
      <c r="F589" t="s">
        <v>108</v>
      </c>
      <c r="G589" t="s">
        <v>53</v>
      </c>
      <c r="H589">
        <v>22812.325077772828</v>
      </c>
      <c r="I589">
        <v>314581.96282248734</v>
      </c>
      <c r="J589">
        <v>0</v>
      </c>
      <c r="K589">
        <v>314581.96282248734</v>
      </c>
    </row>
    <row r="590" spans="1:11" x14ac:dyDescent="0.25">
      <c r="A590" t="s">
        <v>129</v>
      </c>
      <c r="B590" t="s">
        <v>28</v>
      </c>
      <c r="C590" t="s">
        <v>29</v>
      </c>
      <c r="D590">
        <v>2019</v>
      </c>
      <c r="E590" t="s">
        <v>119</v>
      </c>
      <c r="F590" t="s">
        <v>109</v>
      </c>
      <c r="G590" t="s">
        <v>52</v>
      </c>
      <c r="H590">
        <v>23536.994348302134</v>
      </c>
      <c r="I590">
        <v>197993.19645791754</v>
      </c>
      <c r="J590">
        <v>64624.484340873154</v>
      </c>
      <c r="K590">
        <v>64624.484340873154</v>
      </c>
    </row>
    <row r="591" spans="1:11" x14ac:dyDescent="0.25">
      <c r="A591" t="s">
        <v>129</v>
      </c>
      <c r="B591" t="s">
        <v>28</v>
      </c>
      <c r="C591" t="s">
        <v>34</v>
      </c>
      <c r="D591">
        <v>2019</v>
      </c>
      <c r="E591" t="s">
        <v>119</v>
      </c>
      <c r="F591" t="s">
        <v>109</v>
      </c>
      <c r="G591" t="s">
        <v>52</v>
      </c>
      <c r="H591">
        <v>2017.6900814622547</v>
      </c>
      <c r="I591">
        <v>9345.9404573331649</v>
      </c>
      <c r="J591">
        <v>2774.6110600167958</v>
      </c>
      <c r="K591">
        <v>2774.6110600167958</v>
      </c>
    </row>
    <row r="592" spans="1:11" x14ac:dyDescent="0.25">
      <c r="A592" t="s">
        <v>129</v>
      </c>
      <c r="B592" t="s">
        <v>28</v>
      </c>
      <c r="C592" t="s">
        <v>72</v>
      </c>
      <c r="D592">
        <v>2019</v>
      </c>
      <c r="E592" t="s">
        <v>119</v>
      </c>
      <c r="F592" t="s">
        <v>109</v>
      </c>
      <c r="G592" t="s">
        <v>52</v>
      </c>
      <c r="H592">
        <v>2160.5082355894242</v>
      </c>
      <c r="I592">
        <v>11407.483483912161</v>
      </c>
      <c r="J592">
        <v>6092.7939661749042</v>
      </c>
      <c r="K592">
        <v>6092.7939661749042</v>
      </c>
    </row>
    <row r="593" spans="1:11" x14ac:dyDescent="0.25">
      <c r="A593" t="s">
        <v>129</v>
      </c>
      <c r="B593" t="s">
        <v>28</v>
      </c>
      <c r="C593" t="s">
        <v>53</v>
      </c>
      <c r="D593">
        <v>2019</v>
      </c>
      <c r="E593" t="s">
        <v>119</v>
      </c>
      <c r="F593" t="s">
        <v>109</v>
      </c>
      <c r="G593" t="s">
        <v>53</v>
      </c>
      <c r="H593">
        <v>19937.932611161701</v>
      </c>
      <c r="I593">
        <v>1187184.2593990124</v>
      </c>
      <c r="J593">
        <v>0</v>
      </c>
      <c r="K593">
        <v>1187184.2593990124</v>
      </c>
    </row>
    <row r="594" spans="1:11" x14ac:dyDescent="0.25">
      <c r="A594" t="s">
        <v>129</v>
      </c>
      <c r="B594" t="s">
        <v>28</v>
      </c>
      <c r="C594" t="s">
        <v>30</v>
      </c>
      <c r="D594">
        <v>2019</v>
      </c>
      <c r="E594" t="s">
        <v>119</v>
      </c>
      <c r="F594" t="s">
        <v>109</v>
      </c>
      <c r="G594" t="s">
        <v>30</v>
      </c>
      <c r="H594">
        <v>93.250460767730289</v>
      </c>
      <c r="I594">
        <v>2321.9364731164837</v>
      </c>
      <c r="J594">
        <v>0</v>
      </c>
      <c r="K594">
        <v>2321.9364731164837</v>
      </c>
    </row>
    <row r="595" spans="1:11" x14ac:dyDescent="0.25">
      <c r="A595" t="s">
        <v>129</v>
      </c>
      <c r="B595" t="s">
        <v>28</v>
      </c>
      <c r="C595" t="s">
        <v>31</v>
      </c>
      <c r="D595">
        <v>2019</v>
      </c>
      <c r="E595" t="s">
        <v>119</v>
      </c>
      <c r="F595" t="s">
        <v>109</v>
      </c>
      <c r="G595" t="s">
        <v>31</v>
      </c>
      <c r="H595">
        <v>1472.183079133998</v>
      </c>
      <c r="I595">
        <v>75029.927467991118</v>
      </c>
      <c r="J595">
        <v>0</v>
      </c>
      <c r="K595">
        <v>75029.927467991118</v>
      </c>
    </row>
    <row r="596" spans="1:11" x14ac:dyDescent="0.25">
      <c r="A596" t="s">
        <v>129</v>
      </c>
      <c r="B596" t="s">
        <v>28</v>
      </c>
      <c r="C596" t="s">
        <v>55</v>
      </c>
      <c r="D596">
        <v>2019</v>
      </c>
      <c r="E596" t="s">
        <v>119</v>
      </c>
      <c r="F596" t="s">
        <v>109</v>
      </c>
      <c r="G596" t="s">
        <v>55</v>
      </c>
      <c r="H596">
        <v>38.623193326213141</v>
      </c>
      <c r="I596">
        <v>3765.9342889773907</v>
      </c>
      <c r="J596">
        <v>0</v>
      </c>
      <c r="K596">
        <v>3765.9342889773907</v>
      </c>
    </row>
    <row r="597" spans="1:11" x14ac:dyDescent="0.25">
      <c r="A597" t="s">
        <v>129</v>
      </c>
      <c r="B597" t="s">
        <v>28</v>
      </c>
      <c r="C597" t="s">
        <v>54</v>
      </c>
      <c r="D597">
        <v>2019</v>
      </c>
      <c r="E597" t="s">
        <v>119</v>
      </c>
      <c r="F597" t="s">
        <v>109</v>
      </c>
      <c r="G597" t="s">
        <v>54</v>
      </c>
      <c r="H597">
        <v>4985.6738479275327</v>
      </c>
      <c r="I597">
        <v>266294.8115655054</v>
      </c>
      <c r="J597">
        <v>0</v>
      </c>
      <c r="K597">
        <v>266294.8115655054</v>
      </c>
    </row>
    <row r="598" spans="1:11" x14ac:dyDescent="0.25">
      <c r="A598" t="s">
        <v>129</v>
      </c>
      <c r="B598" t="s">
        <v>28</v>
      </c>
      <c r="C598" t="s">
        <v>41</v>
      </c>
      <c r="D598">
        <v>2019</v>
      </c>
      <c r="E598" t="s">
        <v>119</v>
      </c>
      <c r="F598" t="s">
        <v>109</v>
      </c>
      <c r="G598" t="s">
        <v>41</v>
      </c>
      <c r="H598">
        <v>84.935239958799571</v>
      </c>
      <c r="I598">
        <v>865.32022470025004</v>
      </c>
      <c r="J598">
        <v>0</v>
      </c>
      <c r="K598">
        <v>865.32022470025004</v>
      </c>
    </row>
    <row r="599" spans="1:11" x14ac:dyDescent="0.25">
      <c r="A599" t="s">
        <v>129</v>
      </c>
      <c r="B599" t="s">
        <v>28</v>
      </c>
      <c r="C599" t="s">
        <v>80</v>
      </c>
      <c r="D599">
        <v>2019</v>
      </c>
      <c r="E599" t="s">
        <v>119</v>
      </c>
      <c r="F599" t="s">
        <v>109</v>
      </c>
      <c r="G599" t="s">
        <v>80</v>
      </c>
      <c r="H599">
        <v>1502.156278752635</v>
      </c>
      <c r="I599">
        <v>53709.79634661704</v>
      </c>
      <c r="J599">
        <v>0</v>
      </c>
      <c r="K599">
        <v>53709.79634661704</v>
      </c>
    </row>
    <row r="600" spans="1:11" x14ac:dyDescent="0.25">
      <c r="A600" t="s">
        <v>129</v>
      </c>
      <c r="B600" t="s">
        <v>28</v>
      </c>
      <c r="C600" t="s">
        <v>75</v>
      </c>
      <c r="D600">
        <v>2019</v>
      </c>
      <c r="E600" t="s">
        <v>119</v>
      </c>
      <c r="F600" t="s">
        <v>109</v>
      </c>
      <c r="G600" t="s">
        <v>52</v>
      </c>
      <c r="H600">
        <v>3707.7646805966074</v>
      </c>
      <c r="I600">
        <v>63575.679900016141</v>
      </c>
      <c r="J600">
        <v>10561.790158560274</v>
      </c>
      <c r="K600">
        <v>10561.790158560274</v>
      </c>
    </row>
    <row r="601" spans="1:11" x14ac:dyDescent="0.25">
      <c r="A601" t="s">
        <v>129</v>
      </c>
      <c r="B601" t="s">
        <v>28</v>
      </c>
      <c r="C601" t="s">
        <v>78</v>
      </c>
      <c r="D601">
        <v>2019</v>
      </c>
      <c r="E601" t="s">
        <v>119</v>
      </c>
      <c r="F601" t="s">
        <v>109</v>
      </c>
      <c r="G601" t="s">
        <v>78</v>
      </c>
      <c r="H601">
        <v>425.99643668454917</v>
      </c>
      <c r="I601">
        <v>25559.786201072948</v>
      </c>
      <c r="J601">
        <v>0</v>
      </c>
      <c r="K601">
        <v>25559.786201072948</v>
      </c>
    </row>
    <row r="602" spans="1:11" x14ac:dyDescent="0.25">
      <c r="A602" t="s">
        <v>129</v>
      </c>
      <c r="B602" t="s">
        <v>28</v>
      </c>
      <c r="C602" t="s">
        <v>65</v>
      </c>
      <c r="D602">
        <v>2019</v>
      </c>
      <c r="E602" t="s">
        <v>119</v>
      </c>
      <c r="F602" t="s">
        <v>109</v>
      </c>
      <c r="G602" t="s">
        <v>65</v>
      </c>
      <c r="H602">
        <v>699.64323170301793</v>
      </c>
      <c r="I602">
        <v>20477.362879112719</v>
      </c>
      <c r="J602">
        <v>0</v>
      </c>
      <c r="K602">
        <v>20477.362879112719</v>
      </c>
    </row>
    <row r="603" spans="1:11" x14ac:dyDescent="0.25">
      <c r="A603" t="s">
        <v>129</v>
      </c>
      <c r="B603" t="s">
        <v>28</v>
      </c>
      <c r="C603" t="s">
        <v>120</v>
      </c>
      <c r="D603">
        <v>2019</v>
      </c>
      <c r="E603" t="s">
        <v>119</v>
      </c>
      <c r="F603" t="s">
        <v>109</v>
      </c>
      <c r="G603" t="s">
        <v>53</v>
      </c>
      <c r="H603">
        <v>19775.461430434403</v>
      </c>
      <c r="I603">
        <v>327244.33575082856</v>
      </c>
      <c r="J603">
        <v>0</v>
      </c>
      <c r="K603">
        <v>327244.33575082856</v>
      </c>
    </row>
    <row r="604" spans="1:11" x14ac:dyDescent="0.25">
      <c r="A604" t="s">
        <v>129</v>
      </c>
      <c r="B604" t="s">
        <v>28</v>
      </c>
      <c r="C604" t="s">
        <v>29</v>
      </c>
      <c r="D604">
        <v>2030</v>
      </c>
      <c r="E604" t="s">
        <v>119</v>
      </c>
      <c r="F604" t="s">
        <v>109</v>
      </c>
      <c r="G604" t="s">
        <v>52</v>
      </c>
      <c r="H604">
        <v>21249.096650527637</v>
      </c>
      <c r="I604">
        <v>178747.40102423847</v>
      </c>
      <c r="J604">
        <v>58003.531632365382</v>
      </c>
      <c r="K604">
        <v>58003.531632365382</v>
      </c>
    </row>
    <row r="605" spans="1:11" x14ac:dyDescent="0.25">
      <c r="A605" t="s">
        <v>129</v>
      </c>
      <c r="B605" t="s">
        <v>28</v>
      </c>
      <c r="C605" t="s">
        <v>34</v>
      </c>
      <c r="D605">
        <v>2030</v>
      </c>
      <c r="E605" t="s">
        <v>119</v>
      </c>
      <c r="F605" t="s">
        <v>109</v>
      </c>
      <c r="G605" t="s">
        <v>52</v>
      </c>
      <c r="H605">
        <v>1821.561874780974</v>
      </c>
      <c r="I605">
        <v>8437.4746039854726</v>
      </c>
      <c r="J605">
        <v>2490.3446739830588</v>
      </c>
      <c r="K605">
        <v>2490.3446739830588</v>
      </c>
    </row>
    <row r="606" spans="1:11" x14ac:dyDescent="0.25">
      <c r="A606" t="s">
        <v>129</v>
      </c>
      <c r="B606" t="s">
        <v>28</v>
      </c>
      <c r="C606" t="s">
        <v>72</v>
      </c>
      <c r="D606">
        <v>2030</v>
      </c>
      <c r="E606" t="s">
        <v>119</v>
      </c>
      <c r="F606" t="s">
        <v>109</v>
      </c>
      <c r="G606" t="s">
        <v>52</v>
      </c>
      <c r="H606">
        <v>1950.4974863373875</v>
      </c>
      <c r="I606">
        <v>10298.626727861405</v>
      </c>
      <c r="J606">
        <v>5468.5707924944063</v>
      </c>
      <c r="K606">
        <v>5468.5707924944063</v>
      </c>
    </row>
    <row r="607" spans="1:11" x14ac:dyDescent="0.25">
      <c r="A607" t="s">
        <v>129</v>
      </c>
      <c r="B607" t="s">
        <v>28</v>
      </c>
      <c r="C607" t="s">
        <v>53</v>
      </c>
      <c r="D607">
        <v>2030</v>
      </c>
      <c r="E607" t="s">
        <v>119</v>
      </c>
      <c r="F607" t="s">
        <v>109</v>
      </c>
      <c r="G607" t="s">
        <v>53</v>
      </c>
      <c r="H607">
        <v>17999.879287766547</v>
      </c>
      <c r="I607">
        <v>1071784.8123107711</v>
      </c>
      <c r="J607">
        <v>0</v>
      </c>
      <c r="K607">
        <v>1071784.8123107711</v>
      </c>
    </row>
    <row r="608" spans="1:11" x14ac:dyDescent="0.25">
      <c r="A608" t="s">
        <v>129</v>
      </c>
      <c r="B608" t="s">
        <v>28</v>
      </c>
      <c r="C608" t="s">
        <v>30</v>
      </c>
      <c r="D608">
        <v>2030</v>
      </c>
      <c r="E608" t="s">
        <v>119</v>
      </c>
      <c r="F608" t="s">
        <v>109</v>
      </c>
      <c r="G608" t="s">
        <v>30</v>
      </c>
      <c r="H608">
        <v>84.186112476280258</v>
      </c>
      <c r="I608">
        <v>2096.2342006593785</v>
      </c>
      <c r="J608">
        <v>0</v>
      </c>
      <c r="K608">
        <v>2096.2342006593785</v>
      </c>
    </row>
    <row r="609" spans="1:11" x14ac:dyDescent="0.25">
      <c r="A609" t="s">
        <v>129</v>
      </c>
      <c r="B609" t="s">
        <v>28</v>
      </c>
      <c r="C609" t="s">
        <v>31</v>
      </c>
      <c r="D609">
        <v>2030</v>
      </c>
      <c r="E609" t="s">
        <v>119</v>
      </c>
      <c r="F609" t="s">
        <v>109</v>
      </c>
      <c r="G609" t="s">
        <v>31</v>
      </c>
      <c r="H609">
        <v>1329.0805135468072</v>
      </c>
      <c r="I609">
        <v>67736.693855493475</v>
      </c>
      <c r="J609">
        <v>0</v>
      </c>
      <c r="K609">
        <v>67736.693855493475</v>
      </c>
    </row>
    <row r="610" spans="1:11" x14ac:dyDescent="0.25">
      <c r="A610" t="s">
        <v>129</v>
      </c>
      <c r="B610" t="s">
        <v>28</v>
      </c>
      <c r="C610" t="s">
        <v>55</v>
      </c>
      <c r="D610">
        <v>2030</v>
      </c>
      <c r="E610" t="s">
        <v>119</v>
      </c>
      <c r="F610" t="s">
        <v>109</v>
      </c>
      <c r="G610" t="s">
        <v>55</v>
      </c>
      <c r="H610">
        <v>34.868851808171492</v>
      </c>
      <c r="I610">
        <v>3399.8691804839214</v>
      </c>
      <c r="J610">
        <v>0</v>
      </c>
      <c r="K610">
        <v>3399.8691804839214</v>
      </c>
    </row>
    <row r="611" spans="1:11" x14ac:dyDescent="0.25">
      <c r="A611" t="s">
        <v>129</v>
      </c>
      <c r="B611" t="s">
        <v>28</v>
      </c>
      <c r="C611" t="s">
        <v>54</v>
      </c>
      <c r="D611">
        <v>2030</v>
      </c>
      <c r="E611" t="s">
        <v>119</v>
      </c>
      <c r="F611" t="s">
        <v>109</v>
      </c>
      <c r="G611" t="s">
        <v>54</v>
      </c>
      <c r="H611">
        <v>4501.0447763591501</v>
      </c>
      <c r="I611">
        <v>240409.80359489494</v>
      </c>
      <c r="J611">
        <v>0</v>
      </c>
      <c r="K611">
        <v>240409.80359489494</v>
      </c>
    </row>
    <row r="612" spans="1:11" x14ac:dyDescent="0.25">
      <c r="A612" t="s">
        <v>129</v>
      </c>
      <c r="B612" t="s">
        <v>28</v>
      </c>
      <c r="C612" t="s">
        <v>41</v>
      </c>
      <c r="D612">
        <v>2030</v>
      </c>
      <c r="E612" t="s">
        <v>119</v>
      </c>
      <c r="F612" t="s">
        <v>109</v>
      </c>
      <c r="G612" t="s">
        <v>41</v>
      </c>
      <c r="H612">
        <v>76.679167110837156</v>
      </c>
      <c r="I612">
        <v>781.20735452520898</v>
      </c>
      <c r="J612">
        <v>0</v>
      </c>
      <c r="K612">
        <v>781.20735452520898</v>
      </c>
    </row>
    <row r="613" spans="1:11" x14ac:dyDescent="0.25">
      <c r="A613" t="s">
        <v>129</v>
      </c>
      <c r="B613" t="s">
        <v>28</v>
      </c>
      <c r="C613" t="s">
        <v>80</v>
      </c>
      <c r="D613">
        <v>2030</v>
      </c>
      <c r="E613" t="s">
        <v>119</v>
      </c>
      <c r="F613" t="s">
        <v>109</v>
      </c>
      <c r="G613" t="s">
        <v>80</v>
      </c>
      <c r="H613">
        <v>1356.1401884652369</v>
      </c>
      <c r="I613">
        <v>48488.971733629587</v>
      </c>
      <c r="J613">
        <v>0</v>
      </c>
      <c r="K613">
        <v>48488.971733629587</v>
      </c>
    </row>
    <row r="614" spans="1:11" x14ac:dyDescent="0.25">
      <c r="A614" t="s">
        <v>129</v>
      </c>
      <c r="B614" t="s">
        <v>28</v>
      </c>
      <c r="C614" t="s">
        <v>75</v>
      </c>
      <c r="D614">
        <v>2030</v>
      </c>
      <c r="E614" t="s">
        <v>119</v>
      </c>
      <c r="F614" t="s">
        <v>109</v>
      </c>
      <c r="G614" t="s">
        <v>52</v>
      </c>
      <c r="H614">
        <v>3347.3539097439348</v>
      </c>
      <c r="I614">
        <v>57395.848714893385</v>
      </c>
      <c r="J614">
        <v>9479.7062723948238</v>
      </c>
      <c r="K614">
        <v>9479.7062723948238</v>
      </c>
    </row>
    <row r="615" spans="1:11" x14ac:dyDescent="0.25">
      <c r="A615" t="s">
        <v>129</v>
      </c>
      <c r="B615" t="s">
        <v>28</v>
      </c>
      <c r="C615" t="s">
        <v>78</v>
      </c>
      <c r="D615">
        <v>2030</v>
      </c>
      <c r="E615" t="s">
        <v>119</v>
      </c>
      <c r="F615" t="s">
        <v>109</v>
      </c>
      <c r="G615" t="s">
        <v>78</v>
      </c>
      <c r="H615">
        <v>384.58773970616767</v>
      </c>
      <c r="I615">
        <v>23075.26438237006</v>
      </c>
      <c r="J615">
        <v>0</v>
      </c>
      <c r="K615">
        <v>23075.26438237006</v>
      </c>
    </row>
    <row r="616" spans="1:11" x14ac:dyDescent="0.25">
      <c r="A616" t="s">
        <v>129</v>
      </c>
      <c r="B616" t="s">
        <v>28</v>
      </c>
      <c r="C616" t="s">
        <v>65</v>
      </c>
      <c r="D616">
        <v>2030</v>
      </c>
      <c r="E616" t="s">
        <v>119</v>
      </c>
      <c r="F616" t="s">
        <v>109</v>
      </c>
      <c r="G616" t="s">
        <v>65</v>
      </c>
      <c r="H616">
        <v>631.63488214957056</v>
      </c>
      <c r="I616">
        <v>18486.874599499628</v>
      </c>
      <c r="J616">
        <v>0</v>
      </c>
      <c r="K616">
        <v>18486.874599499628</v>
      </c>
    </row>
    <row r="617" spans="1:11" x14ac:dyDescent="0.25">
      <c r="A617" t="s">
        <v>129</v>
      </c>
      <c r="B617" t="s">
        <v>28</v>
      </c>
      <c r="C617" t="s">
        <v>120</v>
      </c>
      <c r="D617">
        <v>2030</v>
      </c>
      <c r="E617" t="s">
        <v>119</v>
      </c>
      <c r="F617" t="s">
        <v>109</v>
      </c>
      <c r="G617" t="s">
        <v>53</v>
      </c>
      <c r="H617">
        <v>17853.201008836309</v>
      </c>
      <c r="I617">
        <v>295434.77029422327</v>
      </c>
      <c r="J617">
        <v>0</v>
      </c>
      <c r="K617">
        <v>295434.77029422327</v>
      </c>
    </row>
    <row r="618" spans="1:11" x14ac:dyDescent="0.25">
      <c r="A618" t="s">
        <v>129</v>
      </c>
      <c r="B618" t="s">
        <v>28</v>
      </c>
      <c r="C618" t="s">
        <v>29</v>
      </c>
      <c r="D618">
        <v>2050</v>
      </c>
      <c r="E618" t="s">
        <v>119</v>
      </c>
      <c r="F618" t="s">
        <v>109</v>
      </c>
      <c r="G618" t="s">
        <v>52</v>
      </c>
      <c r="H618">
        <v>20266.479464376069</v>
      </c>
      <c r="I618">
        <v>170481.62525433148</v>
      </c>
      <c r="J618">
        <v>55321.287395030566</v>
      </c>
      <c r="K618">
        <v>55321.287395030566</v>
      </c>
    </row>
    <row r="619" spans="1:11" x14ac:dyDescent="0.25">
      <c r="A619" t="s">
        <v>129</v>
      </c>
      <c r="B619" t="s">
        <v>28</v>
      </c>
      <c r="C619" t="s">
        <v>34</v>
      </c>
      <c r="D619">
        <v>2050</v>
      </c>
      <c r="E619" t="s">
        <v>119</v>
      </c>
      <c r="F619" t="s">
        <v>109</v>
      </c>
      <c r="G619" t="s">
        <v>52</v>
      </c>
      <c r="H619">
        <v>1737.3277996465938</v>
      </c>
      <c r="I619">
        <v>8047.3023679630242</v>
      </c>
      <c r="J619">
        <v>2375.184226631241</v>
      </c>
      <c r="K619">
        <v>2375.184226631241</v>
      </c>
    </row>
    <row r="620" spans="1:11" x14ac:dyDescent="0.25">
      <c r="A620" t="s">
        <v>129</v>
      </c>
      <c r="B620" t="s">
        <v>28</v>
      </c>
      <c r="C620" t="s">
        <v>72</v>
      </c>
      <c r="D620">
        <v>2050</v>
      </c>
      <c r="E620" t="s">
        <v>119</v>
      </c>
      <c r="F620" t="s">
        <v>109</v>
      </c>
      <c r="G620" t="s">
        <v>52</v>
      </c>
      <c r="H620">
        <v>1860.3010707842134</v>
      </c>
      <c r="I620">
        <v>9822.3896537406454</v>
      </c>
      <c r="J620">
        <v>5215.6889061362835</v>
      </c>
      <c r="K620">
        <v>5215.6889061362835</v>
      </c>
    </row>
    <row r="621" spans="1:11" x14ac:dyDescent="0.25">
      <c r="A621" t="s">
        <v>129</v>
      </c>
      <c r="B621" t="s">
        <v>28</v>
      </c>
      <c r="C621" t="s">
        <v>53</v>
      </c>
      <c r="D621">
        <v>2050</v>
      </c>
      <c r="E621" t="s">
        <v>119</v>
      </c>
      <c r="F621" t="s">
        <v>109</v>
      </c>
      <c r="G621" t="s">
        <v>53</v>
      </c>
      <c r="H621">
        <v>17167.514927638611</v>
      </c>
      <c r="I621">
        <v>1022222.5088513135</v>
      </c>
      <c r="J621">
        <v>0</v>
      </c>
      <c r="K621">
        <v>1022222.5088513135</v>
      </c>
    </row>
    <row r="622" spans="1:11" x14ac:dyDescent="0.25">
      <c r="A622" t="s">
        <v>129</v>
      </c>
      <c r="B622" t="s">
        <v>28</v>
      </c>
      <c r="C622" t="s">
        <v>30</v>
      </c>
      <c r="D622">
        <v>2050</v>
      </c>
      <c r="E622" t="s">
        <v>119</v>
      </c>
      <c r="F622" t="s">
        <v>109</v>
      </c>
      <c r="G622" t="s">
        <v>30</v>
      </c>
      <c r="H622">
        <v>80.293113055411794</v>
      </c>
      <c r="I622">
        <v>1999.2985150797538</v>
      </c>
      <c r="J622">
        <v>0</v>
      </c>
      <c r="K622">
        <v>1999.2985150797538</v>
      </c>
    </row>
    <row r="623" spans="1:11" x14ac:dyDescent="0.25">
      <c r="A623" t="s">
        <v>129</v>
      </c>
      <c r="B623" t="s">
        <v>28</v>
      </c>
      <c r="C623" t="s">
        <v>31</v>
      </c>
      <c r="D623">
        <v>2050</v>
      </c>
      <c r="E623" t="s">
        <v>119</v>
      </c>
      <c r="F623" t="s">
        <v>109</v>
      </c>
      <c r="G623" t="s">
        <v>31</v>
      </c>
      <c r="H623">
        <v>1267.6201429781686</v>
      </c>
      <c r="I623">
        <v>64604.361191655618</v>
      </c>
      <c r="J623">
        <v>0</v>
      </c>
      <c r="K623">
        <v>64604.361191655618</v>
      </c>
    </row>
    <row r="624" spans="1:11" x14ac:dyDescent="0.25">
      <c r="A624" t="s">
        <v>129</v>
      </c>
      <c r="B624" t="s">
        <v>28</v>
      </c>
      <c r="C624" t="s">
        <v>55</v>
      </c>
      <c r="D624">
        <v>2050</v>
      </c>
      <c r="E624" t="s">
        <v>119</v>
      </c>
      <c r="F624" t="s">
        <v>109</v>
      </c>
      <c r="G624" t="s">
        <v>55</v>
      </c>
      <c r="H624">
        <v>33.25641935461443</v>
      </c>
      <c r="I624">
        <v>3242.6497964153004</v>
      </c>
      <c r="J624">
        <v>0</v>
      </c>
      <c r="K624">
        <v>3242.6497964153004</v>
      </c>
    </row>
    <row r="625" spans="1:11" x14ac:dyDescent="0.25">
      <c r="A625" t="s">
        <v>129</v>
      </c>
      <c r="B625" t="s">
        <v>28</v>
      </c>
      <c r="C625" t="s">
        <v>54</v>
      </c>
      <c r="D625">
        <v>2050</v>
      </c>
      <c r="E625" t="s">
        <v>119</v>
      </c>
      <c r="F625" t="s">
        <v>109</v>
      </c>
      <c r="G625" t="s">
        <v>54</v>
      </c>
      <c r="H625">
        <v>4292.903977452369</v>
      </c>
      <c r="I625">
        <v>229292.58724368596</v>
      </c>
      <c r="J625">
        <v>0</v>
      </c>
      <c r="K625">
        <v>229292.58724368596</v>
      </c>
    </row>
    <row r="626" spans="1:11" x14ac:dyDescent="0.25">
      <c r="A626" t="s">
        <v>129</v>
      </c>
      <c r="B626" t="s">
        <v>28</v>
      </c>
      <c r="C626" t="s">
        <v>41</v>
      </c>
      <c r="D626">
        <v>2050</v>
      </c>
      <c r="E626" t="s">
        <v>119</v>
      </c>
      <c r="F626" t="s">
        <v>109</v>
      </c>
      <c r="G626" t="s">
        <v>41</v>
      </c>
      <c r="H626">
        <v>73.133309672185732</v>
      </c>
      <c r="I626">
        <v>745.08215894022828</v>
      </c>
      <c r="J626">
        <v>0</v>
      </c>
      <c r="K626">
        <v>745.08215894022828</v>
      </c>
    </row>
    <row r="627" spans="1:11" x14ac:dyDescent="0.25">
      <c r="A627" t="s">
        <v>129</v>
      </c>
      <c r="B627" t="s">
        <v>28</v>
      </c>
      <c r="C627" t="s">
        <v>80</v>
      </c>
      <c r="D627">
        <v>2050</v>
      </c>
      <c r="E627" t="s">
        <v>119</v>
      </c>
      <c r="F627" t="s">
        <v>109</v>
      </c>
      <c r="G627" t="s">
        <v>80</v>
      </c>
      <c r="H627">
        <v>1293.4285034495033</v>
      </c>
      <c r="I627">
        <v>46246.707144791224</v>
      </c>
      <c r="J627">
        <v>0</v>
      </c>
      <c r="K627">
        <v>46246.707144791224</v>
      </c>
    </row>
    <row r="628" spans="1:11" x14ac:dyDescent="0.25">
      <c r="A628" t="s">
        <v>129</v>
      </c>
      <c r="B628" t="s">
        <v>28</v>
      </c>
      <c r="C628" t="s">
        <v>75</v>
      </c>
      <c r="D628">
        <v>2050</v>
      </c>
      <c r="E628" t="s">
        <v>119</v>
      </c>
      <c r="F628" t="s">
        <v>109</v>
      </c>
      <c r="G628" t="s">
        <v>52</v>
      </c>
      <c r="H628">
        <v>3192.5629775014409</v>
      </c>
      <c r="I628">
        <v>54741.705421719133</v>
      </c>
      <c r="J628">
        <v>9041.3383522840795</v>
      </c>
      <c r="K628">
        <v>9041.3383522840795</v>
      </c>
    </row>
    <row r="629" spans="1:11" x14ac:dyDescent="0.25">
      <c r="A629" t="s">
        <v>129</v>
      </c>
      <c r="B629" t="s">
        <v>28</v>
      </c>
      <c r="C629" t="s">
        <v>78</v>
      </c>
      <c r="D629">
        <v>2050</v>
      </c>
      <c r="E629" t="s">
        <v>119</v>
      </c>
      <c r="F629" t="s">
        <v>109</v>
      </c>
      <c r="G629" t="s">
        <v>78</v>
      </c>
      <c r="H629">
        <v>366.8033355579056</v>
      </c>
      <c r="I629">
        <v>22008.20013347434</v>
      </c>
      <c r="J629">
        <v>0</v>
      </c>
      <c r="K629">
        <v>22008.20013347434</v>
      </c>
    </row>
    <row r="630" spans="1:11" x14ac:dyDescent="0.25">
      <c r="A630" t="s">
        <v>129</v>
      </c>
      <c r="B630" t="s">
        <v>28</v>
      </c>
      <c r="C630" t="s">
        <v>65</v>
      </c>
      <c r="D630">
        <v>2050</v>
      </c>
      <c r="E630" t="s">
        <v>119</v>
      </c>
      <c r="F630" t="s">
        <v>109</v>
      </c>
      <c r="G630" t="s">
        <v>65</v>
      </c>
      <c r="H630">
        <v>602.42633268600662</v>
      </c>
      <c r="I630">
        <v>17631.990224956291</v>
      </c>
      <c r="J630">
        <v>0</v>
      </c>
      <c r="K630">
        <v>17631.990224956291</v>
      </c>
    </row>
    <row r="631" spans="1:11" x14ac:dyDescent="0.25">
      <c r="A631" t="s">
        <v>129</v>
      </c>
      <c r="B631" t="s">
        <v>28</v>
      </c>
      <c r="C631" t="s">
        <v>120</v>
      </c>
      <c r="D631">
        <v>2050</v>
      </c>
      <c r="E631" t="s">
        <v>119</v>
      </c>
      <c r="F631" t="s">
        <v>109</v>
      </c>
      <c r="G631" t="s">
        <v>53</v>
      </c>
      <c r="H631">
        <v>17027.619459294743</v>
      </c>
      <c r="I631">
        <v>281773.04681240948</v>
      </c>
      <c r="J631">
        <v>0</v>
      </c>
      <c r="K631">
        <v>281773.04681240948</v>
      </c>
    </row>
    <row r="632" spans="1:11" x14ac:dyDescent="0.25">
      <c r="A632" t="s">
        <v>129</v>
      </c>
      <c r="B632" t="s">
        <v>28</v>
      </c>
      <c r="C632" t="s">
        <v>29</v>
      </c>
      <c r="D632">
        <v>2019</v>
      </c>
      <c r="E632" t="s">
        <v>121</v>
      </c>
      <c r="F632" t="s">
        <v>109</v>
      </c>
      <c r="G632" t="s">
        <v>52</v>
      </c>
      <c r="H632">
        <v>3009.4757390628633</v>
      </c>
      <c r="I632">
        <v>16961.525644387857</v>
      </c>
      <c r="J632">
        <v>5536.1995665140876</v>
      </c>
      <c r="K632">
        <v>5536.1995665140876</v>
      </c>
    </row>
    <row r="633" spans="1:11" x14ac:dyDescent="0.25">
      <c r="A633" t="s">
        <v>129</v>
      </c>
      <c r="B633" t="s">
        <v>28</v>
      </c>
      <c r="C633" t="s">
        <v>34</v>
      </c>
      <c r="D633">
        <v>2019</v>
      </c>
      <c r="E633" t="s">
        <v>121</v>
      </c>
      <c r="F633" t="s">
        <v>109</v>
      </c>
      <c r="G633" t="s">
        <v>52</v>
      </c>
      <c r="H633">
        <v>257.98490917114276</v>
      </c>
      <c r="I633">
        <v>681.14207659001795</v>
      </c>
      <c r="J633">
        <v>202.21660385890681</v>
      </c>
      <c r="K633">
        <v>202.21660385890681</v>
      </c>
    </row>
    <row r="634" spans="1:11" x14ac:dyDescent="0.25">
      <c r="A634" t="s">
        <v>129</v>
      </c>
      <c r="B634" t="s">
        <v>28</v>
      </c>
      <c r="C634" t="s">
        <v>72</v>
      </c>
      <c r="D634">
        <v>2019</v>
      </c>
      <c r="E634" t="s">
        <v>121</v>
      </c>
      <c r="F634" t="s">
        <v>109</v>
      </c>
      <c r="G634" t="s">
        <v>52</v>
      </c>
      <c r="H634">
        <v>276.24585462505803</v>
      </c>
      <c r="I634">
        <v>802.21796183116862</v>
      </c>
      <c r="J634">
        <v>428.46862450383645</v>
      </c>
      <c r="K634">
        <v>428.46862450383645</v>
      </c>
    </row>
    <row r="635" spans="1:11" x14ac:dyDescent="0.25">
      <c r="A635" t="s">
        <v>129</v>
      </c>
      <c r="B635" t="s">
        <v>28</v>
      </c>
      <c r="C635" t="s">
        <v>53</v>
      </c>
      <c r="D635">
        <v>2019</v>
      </c>
      <c r="E635" t="s">
        <v>121</v>
      </c>
      <c r="F635" t="s">
        <v>109</v>
      </c>
      <c r="G635" t="s">
        <v>53</v>
      </c>
      <c r="H635">
        <v>2549.2942553512476</v>
      </c>
      <c r="I635">
        <v>118400.23816969505</v>
      </c>
      <c r="J635">
        <v>0</v>
      </c>
      <c r="K635">
        <v>118400.23816969505</v>
      </c>
    </row>
    <row r="636" spans="1:11" x14ac:dyDescent="0.25">
      <c r="A636" t="s">
        <v>129</v>
      </c>
      <c r="B636" t="s">
        <v>28</v>
      </c>
      <c r="C636" t="s">
        <v>30</v>
      </c>
      <c r="D636">
        <v>2019</v>
      </c>
      <c r="E636" t="s">
        <v>121</v>
      </c>
      <c r="F636" t="s">
        <v>109</v>
      </c>
      <c r="G636" t="s">
        <v>30</v>
      </c>
      <c r="H636">
        <v>11.923145121422927</v>
      </c>
      <c r="I636">
        <v>169.22519870835558</v>
      </c>
      <c r="J636">
        <v>0</v>
      </c>
      <c r="K636">
        <v>169.22519870835558</v>
      </c>
    </row>
    <row r="637" spans="1:11" x14ac:dyDescent="0.25">
      <c r="A637" t="s">
        <v>129</v>
      </c>
      <c r="B637" t="s">
        <v>28</v>
      </c>
      <c r="C637" t="s">
        <v>31</v>
      </c>
      <c r="D637">
        <v>2019</v>
      </c>
      <c r="E637" t="s">
        <v>121</v>
      </c>
      <c r="F637" t="s">
        <v>109</v>
      </c>
      <c r="G637" t="s">
        <v>31</v>
      </c>
      <c r="H637">
        <v>188.23555780104221</v>
      </c>
      <c r="I637">
        <v>5468.260881316256</v>
      </c>
      <c r="J637">
        <v>0</v>
      </c>
      <c r="K637">
        <v>5468.260881316256</v>
      </c>
    </row>
    <row r="638" spans="1:11" x14ac:dyDescent="0.25">
      <c r="A638" t="s">
        <v>129</v>
      </c>
      <c r="B638" t="s">
        <v>28</v>
      </c>
      <c r="C638" t="s">
        <v>55</v>
      </c>
      <c r="D638">
        <v>2019</v>
      </c>
      <c r="E638" t="s">
        <v>121</v>
      </c>
      <c r="F638" t="s">
        <v>109</v>
      </c>
      <c r="G638" t="s">
        <v>55</v>
      </c>
      <c r="H638">
        <v>4.9384199851650941</v>
      </c>
      <c r="I638">
        <v>274.46529470267632</v>
      </c>
      <c r="J638">
        <v>0</v>
      </c>
      <c r="K638">
        <v>274.46529470267632</v>
      </c>
    </row>
    <row r="639" spans="1:11" x14ac:dyDescent="0.25">
      <c r="A639" t="s">
        <v>129</v>
      </c>
      <c r="B639" t="s">
        <v>28</v>
      </c>
      <c r="C639" t="s">
        <v>54</v>
      </c>
      <c r="D639">
        <v>2019</v>
      </c>
      <c r="E639" t="s">
        <v>121</v>
      </c>
      <c r="F639" t="s">
        <v>109</v>
      </c>
      <c r="G639" t="s">
        <v>54</v>
      </c>
      <c r="H639">
        <v>637.47580792109272</v>
      </c>
      <c r="I639">
        <v>28260.552017725568</v>
      </c>
      <c r="J639">
        <v>0</v>
      </c>
      <c r="K639">
        <v>28260.552017725568</v>
      </c>
    </row>
    <row r="640" spans="1:11" x14ac:dyDescent="0.25">
      <c r="A640" t="s">
        <v>129</v>
      </c>
      <c r="B640" t="s">
        <v>28</v>
      </c>
      <c r="C640" t="s">
        <v>41</v>
      </c>
      <c r="D640">
        <v>2019</v>
      </c>
      <c r="E640" t="s">
        <v>121</v>
      </c>
      <c r="F640" t="s">
        <v>109</v>
      </c>
      <c r="G640" t="s">
        <v>41</v>
      </c>
      <c r="H640">
        <v>10.859948397188985</v>
      </c>
      <c r="I640">
        <v>63.065457934219978</v>
      </c>
      <c r="J640">
        <v>0</v>
      </c>
      <c r="K640">
        <v>63.065457934219978</v>
      </c>
    </row>
    <row r="641" spans="1:11" x14ac:dyDescent="0.25">
      <c r="A641" t="s">
        <v>129</v>
      </c>
      <c r="B641" t="s">
        <v>28</v>
      </c>
      <c r="C641" t="s">
        <v>80</v>
      </c>
      <c r="D641">
        <v>2019</v>
      </c>
      <c r="E641" t="s">
        <v>121</v>
      </c>
      <c r="F641" t="s">
        <v>109</v>
      </c>
      <c r="G641" t="s">
        <v>80</v>
      </c>
      <c r="H641">
        <v>192.06797649221136</v>
      </c>
      <c r="I641">
        <v>3914.4270588688119</v>
      </c>
      <c r="J641">
        <v>0</v>
      </c>
      <c r="K641">
        <v>3914.4270588688119</v>
      </c>
    </row>
    <row r="642" spans="1:11" x14ac:dyDescent="0.25">
      <c r="A642" t="s">
        <v>129</v>
      </c>
      <c r="B642" t="s">
        <v>28</v>
      </c>
      <c r="C642" t="s">
        <v>75</v>
      </c>
      <c r="D642">
        <v>2019</v>
      </c>
      <c r="E642" t="s">
        <v>121</v>
      </c>
      <c r="F642" t="s">
        <v>109</v>
      </c>
      <c r="G642" t="s">
        <v>52</v>
      </c>
      <c r="H642">
        <v>474.0804066690265</v>
      </c>
      <c r="I642">
        <v>4633.4631410733318</v>
      </c>
      <c r="J642">
        <v>769.75449543603963</v>
      </c>
      <c r="K642">
        <v>769.75449543603963</v>
      </c>
    </row>
    <row r="643" spans="1:11" x14ac:dyDescent="0.25">
      <c r="A643" t="s">
        <v>129</v>
      </c>
      <c r="B643" t="s">
        <v>28</v>
      </c>
      <c r="C643" t="s">
        <v>78</v>
      </c>
      <c r="D643">
        <v>2019</v>
      </c>
      <c r="E643" t="s">
        <v>121</v>
      </c>
      <c r="F643" t="s">
        <v>109</v>
      </c>
      <c r="G643" t="s">
        <v>78</v>
      </c>
      <c r="H643">
        <v>54.468549473984133</v>
      </c>
      <c r="I643">
        <v>1862.824392010257</v>
      </c>
      <c r="J643">
        <v>0</v>
      </c>
      <c r="K643">
        <v>1862.824392010257</v>
      </c>
    </row>
    <row r="644" spans="1:11" x14ac:dyDescent="0.25">
      <c r="A644" t="s">
        <v>129</v>
      </c>
      <c r="B644" t="s">
        <v>28</v>
      </c>
      <c r="C644" t="s">
        <v>65</v>
      </c>
      <c r="D644">
        <v>2019</v>
      </c>
      <c r="E644" t="s">
        <v>121</v>
      </c>
      <c r="F644" t="s">
        <v>109</v>
      </c>
      <c r="G644" t="s">
        <v>65</v>
      </c>
      <c r="H644">
        <v>89.457443063950791</v>
      </c>
      <c r="I644">
        <v>1492.4119769693252</v>
      </c>
      <c r="J644">
        <v>0</v>
      </c>
      <c r="K644">
        <v>1492.4119769693252</v>
      </c>
    </row>
    <row r="645" spans="1:11" x14ac:dyDescent="0.25">
      <c r="A645" t="s">
        <v>129</v>
      </c>
      <c r="B645" t="s">
        <v>28</v>
      </c>
      <c r="C645" t="s">
        <v>120</v>
      </c>
      <c r="D645">
        <v>2019</v>
      </c>
      <c r="E645" t="s">
        <v>121</v>
      </c>
      <c r="F645" t="s">
        <v>109</v>
      </c>
      <c r="G645" t="s">
        <v>53</v>
      </c>
      <c r="H645">
        <v>2528.5204441559808</v>
      </c>
      <c r="I645">
        <v>41841.956309893176</v>
      </c>
      <c r="J645">
        <v>0</v>
      </c>
      <c r="K645">
        <v>41841.956309893176</v>
      </c>
    </row>
    <row r="646" spans="1:11" x14ac:dyDescent="0.25">
      <c r="A646" t="s">
        <v>129</v>
      </c>
      <c r="B646" t="s">
        <v>28</v>
      </c>
      <c r="C646" t="s">
        <v>29</v>
      </c>
      <c r="D646">
        <v>2030</v>
      </c>
      <c r="E646" t="s">
        <v>121</v>
      </c>
      <c r="F646" t="s">
        <v>109</v>
      </c>
      <c r="G646" t="s">
        <v>52</v>
      </c>
      <c r="H646">
        <v>3316.333003261539</v>
      </c>
      <c r="I646">
        <v>18690.985459702162</v>
      </c>
      <c r="J646">
        <v>6065.2247816733534</v>
      </c>
      <c r="K646">
        <v>6065.2247816733534</v>
      </c>
    </row>
    <row r="647" spans="1:11" x14ac:dyDescent="0.25">
      <c r="A647" t="s">
        <v>129</v>
      </c>
      <c r="B647" t="s">
        <v>28</v>
      </c>
      <c r="C647" t="s">
        <v>34</v>
      </c>
      <c r="D647">
        <v>2030</v>
      </c>
      <c r="E647" t="s">
        <v>121</v>
      </c>
      <c r="F647" t="s">
        <v>109</v>
      </c>
      <c r="G647" t="s">
        <v>52</v>
      </c>
      <c r="H647">
        <v>284.29000357853357</v>
      </c>
      <c r="I647">
        <v>750.59383904818742</v>
      </c>
      <c r="J647">
        <v>221.5399105930594</v>
      </c>
      <c r="K647">
        <v>221.5399105930594</v>
      </c>
    </row>
    <row r="648" spans="1:11" x14ac:dyDescent="0.25">
      <c r="A648" t="s">
        <v>129</v>
      </c>
      <c r="B648" t="s">
        <v>28</v>
      </c>
      <c r="C648" t="s">
        <v>72</v>
      </c>
      <c r="D648">
        <v>2030</v>
      </c>
      <c r="E648" t="s">
        <v>121</v>
      </c>
      <c r="F648" t="s">
        <v>109</v>
      </c>
      <c r="G648" t="s">
        <v>52</v>
      </c>
      <c r="H648">
        <v>304.4129024919622</v>
      </c>
      <c r="I648">
        <v>884.01506883665832</v>
      </c>
      <c r="J648">
        <v>469.41200155226556</v>
      </c>
      <c r="K648">
        <v>469.41200155226556</v>
      </c>
    </row>
    <row r="649" spans="1:11" x14ac:dyDescent="0.25">
      <c r="A649" t="s">
        <v>129</v>
      </c>
      <c r="B649" t="s">
        <v>28</v>
      </c>
      <c r="C649" t="s">
        <v>53</v>
      </c>
      <c r="D649">
        <v>2030</v>
      </c>
      <c r="E649" t="s">
        <v>121</v>
      </c>
      <c r="F649" t="s">
        <v>109</v>
      </c>
      <c r="G649" t="s">
        <v>53</v>
      </c>
      <c r="H649">
        <v>2809.229715431773</v>
      </c>
      <c r="I649">
        <v>130472.76385702222</v>
      </c>
      <c r="J649">
        <v>0</v>
      </c>
      <c r="K649">
        <v>130472.76385702222</v>
      </c>
    </row>
    <row r="650" spans="1:11" x14ac:dyDescent="0.25">
      <c r="A650" t="s">
        <v>129</v>
      </c>
      <c r="B650" t="s">
        <v>28</v>
      </c>
      <c r="C650" t="s">
        <v>30</v>
      </c>
      <c r="D650">
        <v>2030</v>
      </c>
      <c r="E650" t="s">
        <v>121</v>
      </c>
      <c r="F650" t="s">
        <v>109</v>
      </c>
      <c r="G650" t="s">
        <v>30</v>
      </c>
      <c r="H650">
        <v>13.138873045431023</v>
      </c>
      <c r="I650">
        <v>186.48002513380249</v>
      </c>
      <c r="J650">
        <v>0</v>
      </c>
      <c r="K650">
        <v>186.48002513380249</v>
      </c>
    </row>
    <row r="651" spans="1:11" x14ac:dyDescent="0.25">
      <c r="A651" t="s">
        <v>129</v>
      </c>
      <c r="B651" t="s">
        <v>28</v>
      </c>
      <c r="C651" t="s">
        <v>31</v>
      </c>
      <c r="D651">
        <v>2030</v>
      </c>
      <c r="E651" t="s">
        <v>121</v>
      </c>
      <c r="F651" t="s">
        <v>109</v>
      </c>
      <c r="G651" t="s">
        <v>31</v>
      </c>
      <c r="H651">
        <v>207.42875066915491</v>
      </c>
      <c r="I651">
        <v>6025.82496205806</v>
      </c>
      <c r="J651">
        <v>0</v>
      </c>
      <c r="K651">
        <v>6025.82496205806</v>
      </c>
    </row>
    <row r="652" spans="1:11" x14ac:dyDescent="0.25">
      <c r="A652" t="s">
        <v>129</v>
      </c>
      <c r="B652" t="s">
        <v>28</v>
      </c>
      <c r="C652" t="s">
        <v>55</v>
      </c>
      <c r="D652">
        <v>2030</v>
      </c>
      <c r="E652" t="s">
        <v>121</v>
      </c>
      <c r="F652" t="s">
        <v>109</v>
      </c>
      <c r="G652" t="s">
        <v>55</v>
      </c>
      <c r="H652">
        <v>5.4419595307550885</v>
      </c>
      <c r="I652">
        <v>302.45079010200891</v>
      </c>
      <c r="J652">
        <v>0</v>
      </c>
      <c r="K652">
        <v>302.45079010200891</v>
      </c>
    </row>
    <row r="653" spans="1:11" x14ac:dyDescent="0.25">
      <c r="A653" t="s">
        <v>129</v>
      </c>
      <c r="B653" t="s">
        <v>28</v>
      </c>
      <c r="C653" t="s">
        <v>54</v>
      </c>
      <c r="D653">
        <v>2030</v>
      </c>
      <c r="E653" t="s">
        <v>121</v>
      </c>
      <c r="F653" t="s">
        <v>109</v>
      </c>
      <c r="G653" t="s">
        <v>54</v>
      </c>
      <c r="H653">
        <v>702.47519631038767</v>
      </c>
      <c r="I653">
        <v>31142.102303824257</v>
      </c>
      <c r="J653">
        <v>0</v>
      </c>
      <c r="K653">
        <v>31142.102303824257</v>
      </c>
    </row>
    <row r="654" spans="1:11" x14ac:dyDescent="0.25">
      <c r="A654" t="s">
        <v>129</v>
      </c>
      <c r="B654" t="s">
        <v>28</v>
      </c>
      <c r="C654" t="s">
        <v>41</v>
      </c>
      <c r="D654">
        <v>2030</v>
      </c>
      <c r="E654" t="s">
        <v>121</v>
      </c>
      <c r="F654" t="s">
        <v>109</v>
      </c>
      <c r="G654" t="s">
        <v>41</v>
      </c>
      <c r="H654">
        <v>11.967268855448575</v>
      </c>
      <c r="I654">
        <v>69.495845006606757</v>
      </c>
      <c r="J654">
        <v>0</v>
      </c>
      <c r="K654">
        <v>69.495845006606757</v>
      </c>
    </row>
    <row r="655" spans="1:11" x14ac:dyDescent="0.25">
      <c r="A655" t="s">
        <v>129</v>
      </c>
      <c r="B655" t="s">
        <v>28</v>
      </c>
      <c r="C655" t="s">
        <v>80</v>
      </c>
      <c r="D655">
        <v>2030</v>
      </c>
      <c r="E655" t="s">
        <v>121</v>
      </c>
      <c r="F655" t="s">
        <v>109</v>
      </c>
      <c r="G655" t="s">
        <v>80</v>
      </c>
      <c r="H655">
        <v>211.65193692810058</v>
      </c>
      <c r="I655">
        <v>4313.5565027778002</v>
      </c>
      <c r="J655">
        <v>0</v>
      </c>
      <c r="K655">
        <v>4313.5565027778002</v>
      </c>
    </row>
    <row r="656" spans="1:11" x14ac:dyDescent="0.25">
      <c r="A656" t="s">
        <v>129</v>
      </c>
      <c r="B656" t="s">
        <v>28</v>
      </c>
      <c r="C656" t="s">
        <v>75</v>
      </c>
      <c r="D656">
        <v>2030</v>
      </c>
      <c r="E656" t="s">
        <v>121</v>
      </c>
      <c r="F656" t="s">
        <v>109</v>
      </c>
      <c r="G656" t="s">
        <v>52</v>
      </c>
      <c r="H656">
        <v>522.41939631841763</v>
      </c>
      <c r="I656">
        <v>5105.9081602439846</v>
      </c>
      <c r="J656">
        <v>843.31028631304218</v>
      </c>
      <c r="K656">
        <v>843.31028631304218</v>
      </c>
    </row>
    <row r="657" spans="1:11" x14ac:dyDescent="0.25">
      <c r="A657" t="s">
        <v>129</v>
      </c>
      <c r="B657" t="s">
        <v>28</v>
      </c>
      <c r="C657" t="s">
        <v>78</v>
      </c>
      <c r="D657">
        <v>2030</v>
      </c>
      <c r="E657" t="s">
        <v>121</v>
      </c>
      <c r="F657" t="s">
        <v>109</v>
      </c>
      <c r="G657" t="s">
        <v>78</v>
      </c>
      <c r="H657">
        <v>60.022364000384563</v>
      </c>
      <c r="I657">
        <v>2052.7648488131522</v>
      </c>
      <c r="J657">
        <v>0</v>
      </c>
      <c r="K657">
        <v>2052.7648488131522</v>
      </c>
    </row>
    <row r="658" spans="1:11" x14ac:dyDescent="0.25">
      <c r="A658" t="s">
        <v>129</v>
      </c>
      <c r="B658" t="s">
        <v>28</v>
      </c>
      <c r="C658" t="s">
        <v>65</v>
      </c>
      <c r="D658">
        <v>2030</v>
      </c>
      <c r="E658" t="s">
        <v>121</v>
      </c>
      <c r="F658" t="s">
        <v>109</v>
      </c>
      <c r="G658" t="s">
        <v>65</v>
      </c>
      <c r="H658">
        <v>98.578854439528371</v>
      </c>
      <c r="I658">
        <v>1644.5838155277415</v>
      </c>
      <c r="J658">
        <v>0</v>
      </c>
      <c r="K658">
        <v>1644.5838155277415</v>
      </c>
    </row>
    <row r="659" spans="1:11" x14ac:dyDescent="0.25">
      <c r="A659" t="s">
        <v>129</v>
      </c>
      <c r="B659" t="s">
        <v>28</v>
      </c>
      <c r="C659" t="s">
        <v>120</v>
      </c>
      <c r="D659">
        <v>2030</v>
      </c>
      <c r="E659" t="s">
        <v>121</v>
      </c>
      <c r="F659" t="s">
        <v>109</v>
      </c>
      <c r="G659" t="s">
        <v>53</v>
      </c>
      <c r="H659">
        <v>2786.3377297027769</v>
      </c>
      <c r="I659">
        <v>46108.316751121551</v>
      </c>
      <c r="J659">
        <v>0</v>
      </c>
      <c r="K659">
        <v>46108.316751121551</v>
      </c>
    </row>
    <row r="660" spans="1:11" x14ac:dyDescent="0.25">
      <c r="A660" t="s">
        <v>129</v>
      </c>
      <c r="B660" t="s">
        <v>28</v>
      </c>
      <c r="C660" t="s">
        <v>29</v>
      </c>
      <c r="D660">
        <v>2050</v>
      </c>
      <c r="E660" t="s">
        <v>121</v>
      </c>
      <c r="F660" t="s">
        <v>109</v>
      </c>
      <c r="G660" t="s">
        <v>52</v>
      </c>
      <c r="H660">
        <v>4298.9501894131054</v>
      </c>
      <c r="I660">
        <v>24229.05522553984</v>
      </c>
      <c r="J660">
        <v>7862.3284206876779</v>
      </c>
      <c r="K660">
        <v>7862.3284206876779</v>
      </c>
    </row>
    <row r="661" spans="1:11" x14ac:dyDescent="0.25">
      <c r="A661" t="s">
        <v>129</v>
      </c>
      <c r="B661" t="s">
        <v>28</v>
      </c>
      <c r="C661" t="s">
        <v>34</v>
      </c>
      <c r="D661">
        <v>2050</v>
      </c>
      <c r="E661" t="s">
        <v>121</v>
      </c>
      <c r="F661" t="s">
        <v>109</v>
      </c>
      <c r="G661" t="s">
        <v>52</v>
      </c>
      <c r="H661">
        <v>368.52407871291382</v>
      </c>
      <c r="I661">
        <v>972.99201358098344</v>
      </c>
      <c r="J661">
        <v>287.18136558359549</v>
      </c>
      <c r="K661">
        <v>287.18136558359549</v>
      </c>
    </row>
    <row r="662" spans="1:11" x14ac:dyDescent="0.25">
      <c r="A662" t="s">
        <v>129</v>
      </c>
      <c r="B662" t="s">
        <v>28</v>
      </c>
      <c r="C662" t="s">
        <v>72</v>
      </c>
      <c r="D662">
        <v>2050</v>
      </c>
      <c r="E662" t="s">
        <v>121</v>
      </c>
      <c r="F662" t="s">
        <v>109</v>
      </c>
      <c r="G662" t="s">
        <v>52</v>
      </c>
      <c r="H662">
        <v>394.60931804513621</v>
      </c>
      <c r="I662">
        <v>1145.9454596030757</v>
      </c>
      <c r="J662">
        <v>608.49703904923308</v>
      </c>
      <c r="K662">
        <v>608.49703904923308</v>
      </c>
    </row>
    <row r="663" spans="1:11" x14ac:dyDescent="0.25">
      <c r="A663" t="s">
        <v>129</v>
      </c>
      <c r="B663" t="s">
        <v>28</v>
      </c>
      <c r="C663" t="s">
        <v>53</v>
      </c>
      <c r="D663">
        <v>2050</v>
      </c>
      <c r="E663" t="s">
        <v>121</v>
      </c>
      <c r="F663" t="s">
        <v>109</v>
      </c>
      <c r="G663" t="s">
        <v>53</v>
      </c>
      <c r="H663">
        <v>3641.5940755597057</v>
      </c>
      <c r="I663">
        <v>169131.36055539915</v>
      </c>
      <c r="J663">
        <v>0</v>
      </c>
      <c r="K663">
        <v>169131.36055539915</v>
      </c>
    </row>
    <row r="664" spans="1:11" x14ac:dyDescent="0.25">
      <c r="A664" t="s">
        <v>129</v>
      </c>
      <c r="B664" t="s">
        <v>28</v>
      </c>
      <c r="C664" t="s">
        <v>30</v>
      </c>
      <c r="D664">
        <v>2050</v>
      </c>
      <c r="E664" t="s">
        <v>121</v>
      </c>
      <c r="F664" t="s">
        <v>109</v>
      </c>
      <c r="G664" t="s">
        <v>30</v>
      </c>
      <c r="H664">
        <v>17.031872466299472</v>
      </c>
      <c r="I664">
        <v>241.7333659141884</v>
      </c>
      <c r="J664">
        <v>0</v>
      </c>
      <c r="K664">
        <v>241.7333659141884</v>
      </c>
    </row>
    <row r="665" spans="1:11" x14ac:dyDescent="0.25">
      <c r="A665" t="s">
        <v>129</v>
      </c>
      <c r="B665" t="s">
        <v>28</v>
      </c>
      <c r="C665" t="s">
        <v>31</v>
      </c>
      <c r="D665">
        <v>2050</v>
      </c>
      <c r="E665" t="s">
        <v>121</v>
      </c>
      <c r="F665" t="s">
        <v>109</v>
      </c>
      <c r="G665" t="s">
        <v>31</v>
      </c>
      <c r="H665">
        <v>268.88912123779335</v>
      </c>
      <c r="I665">
        <v>7811.2545804456331</v>
      </c>
      <c r="J665">
        <v>0</v>
      </c>
      <c r="K665">
        <v>7811.2545804456331</v>
      </c>
    </row>
    <row r="666" spans="1:11" x14ac:dyDescent="0.25">
      <c r="A666" t="s">
        <v>129</v>
      </c>
      <c r="B666" t="s">
        <v>28</v>
      </c>
      <c r="C666" t="s">
        <v>55</v>
      </c>
      <c r="D666">
        <v>2050</v>
      </c>
      <c r="E666" t="s">
        <v>121</v>
      </c>
      <c r="F666" t="s">
        <v>109</v>
      </c>
      <c r="G666" t="s">
        <v>55</v>
      </c>
      <c r="H666">
        <v>7.0543919843121516</v>
      </c>
      <c r="I666">
        <v>392.06583902112266</v>
      </c>
      <c r="J666">
        <v>0</v>
      </c>
      <c r="K666">
        <v>392.06583902112266</v>
      </c>
    </row>
    <row r="667" spans="1:11" x14ac:dyDescent="0.25">
      <c r="A667" t="s">
        <v>129</v>
      </c>
      <c r="B667" t="s">
        <v>28</v>
      </c>
      <c r="C667" t="s">
        <v>54</v>
      </c>
      <c r="D667">
        <v>2050</v>
      </c>
      <c r="E667" t="s">
        <v>121</v>
      </c>
      <c r="F667" t="s">
        <v>109</v>
      </c>
      <c r="G667" t="s">
        <v>54</v>
      </c>
      <c r="H667">
        <v>910.61599521716903</v>
      </c>
      <c r="I667">
        <v>40369.391875327732</v>
      </c>
      <c r="J667">
        <v>0</v>
      </c>
      <c r="K667">
        <v>40369.391875327732</v>
      </c>
    </row>
    <row r="668" spans="1:11" x14ac:dyDescent="0.25">
      <c r="A668" t="s">
        <v>129</v>
      </c>
      <c r="B668" t="s">
        <v>28</v>
      </c>
      <c r="C668" t="s">
        <v>41</v>
      </c>
      <c r="D668">
        <v>2050</v>
      </c>
      <c r="E668" t="s">
        <v>121</v>
      </c>
      <c r="F668" t="s">
        <v>109</v>
      </c>
      <c r="G668" t="s">
        <v>41</v>
      </c>
      <c r="H668">
        <v>15.513126294100001</v>
      </c>
      <c r="I668">
        <v>90.087206490045759</v>
      </c>
      <c r="J668">
        <v>0</v>
      </c>
      <c r="K668">
        <v>90.087206490045759</v>
      </c>
    </row>
    <row r="669" spans="1:11" x14ac:dyDescent="0.25">
      <c r="A669" t="s">
        <v>129</v>
      </c>
      <c r="B669" t="s">
        <v>28</v>
      </c>
      <c r="C669" t="s">
        <v>80</v>
      </c>
      <c r="D669">
        <v>2050</v>
      </c>
      <c r="E669" t="s">
        <v>121</v>
      </c>
      <c r="F669" t="s">
        <v>109</v>
      </c>
      <c r="G669" t="s">
        <v>80</v>
      </c>
      <c r="H669">
        <v>274.36362194383406</v>
      </c>
      <c r="I669">
        <v>5591.6473184156675</v>
      </c>
      <c r="J669">
        <v>0</v>
      </c>
      <c r="K669">
        <v>5591.6473184156675</v>
      </c>
    </row>
    <row r="670" spans="1:11" x14ac:dyDescent="0.25">
      <c r="A670" t="s">
        <v>129</v>
      </c>
      <c r="B670" t="s">
        <v>28</v>
      </c>
      <c r="C670" t="s">
        <v>75</v>
      </c>
      <c r="D670">
        <v>2050</v>
      </c>
      <c r="E670" t="s">
        <v>121</v>
      </c>
      <c r="F670" t="s">
        <v>109</v>
      </c>
      <c r="G670" t="s">
        <v>52</v>
      </c>
      <c r="H670">
        <v>677.21032856091165</v>
      </c>
      <c r="I670">
        <v>6618.7698373533121</v>
      </c>
      <c r="J670">
        <v>1093.1800007761658</v>
      </c>
      <c r="K670">
        <v>1093.1800007761658</v>
      </c>
    </row>
    <row r="671" spans="1:11" x14ac:dyDescent="0.25">
      <c r="A671" t="s">
        <v>129</v>
      </c>
      <c r="B671" t="s">
        <v>28</v>
      </c>
      <c r="C671" t="s">
        <v>78</v>
      </c>
      <c r="D671">
        <v>2050</v>
      </c>
      <c r="E671" t="s">
        <v>121</v>
      </c>
      <c r="F671" t="s">
        <v>109</v>
      </c>
      <c r="G671" t="s">
        <v>78</v>
      </c>
      <c r="H671">
        <v>77.80676814864664</v>
      </c>
      <c r="I671">
        <v>2660.9914706837153</v>
      </c>
      <c r="J671">
        <v>0</v>
      </c>
      <c r="K671">
        <v>2660.9914706837153</v>
      </c>
    </row>
    <row r="672" spans="1:11" x14ac:dyDescent="0.25">
      <c r="A672" t="s">
        <v>129</v>
      </c>
      <c r="B672" t="s">
        <v>28</v>
      </c>
      <c r="C672" t="s">
        <v>65</v>
      </c>
      <c r="D672">
        <v>2050</v>
      </c>
      <c r="E672" t="s">
        <v>121</v>
      </c>
      <c r="F672" t="s">
        <v>109</v>
      </c>
      <c r="G672" t="s">
        <v>65</v>
      </c>
      <c r="H672">
        <v>127.78740390309231</v>
      </c>
      <c r="I672">
        <v>2131.8679090174423</v>
      </c>
      <c r="J672">
        <v>0</v>
      </c>
      <c r="K672">
        <v>2131.8679090174423</v>
      </c>
    </row>
    <row r="673" spans="1:11" x14ac:dyDescent="0.25">
      <c r="A673" t="s">
        <v>129</v>
      </c>
      <c r="B673" t="s">
        <v>28</v>
      </c>
      <c r="C673" t="s">
        <v>120</v>
      </c>
      <c r="D673">
        <v>2050</v>
      </c>
      <c r="E673" t="s">
        <v>121</v>
      </c>
      <c r="F673" t="s">
        <v>109</v>
      </c>
      <c r="G673" t="s">
        <v>53</v>
      </c>
      <c r="H673">
        <v>3611.9192792443396</v>
      </c>
      <c r="I673">
        <v>59770.040232935331</v>
      </c>
      <c r="J673">
        <v>0</v>
      </c>
      <c r="K673">
        <v>59770.040232935331</v>
      </c>
    </row>
    <row r="674" spans="1:11" x14ac:dyDescent="0.25">
      <c r="A674" t="s">
        <v>129</v>
      </c>
      <c r="B674" t="s">
        <v>28</v>
      </c>
      <c r="C674" t="s">
        <v>29</v>
      </c>
      <c r="D674">
        <v>2019</v>
      </c>
      <c r="E674" t="s">
        <v>119</v>
      </c>
      <c r="F674" t="s">
        <v>110</v>
      </c>
      <c r="G674" t="s">
        <v>52</v>
      </c>
      <c r="H674">
        <v>11897.853201235472</v>
      </c>
      <c r="I674">
        <v>116765.53131692491</v>
      </c>
      <c r="J674">
        <v>38111.977508016003</v>
      </c>
      <c r="K674">
        <v>38111.977508016003</v>
      </c>
    </row>
    <row r="675" spans="1:11" x14ac:dyDescent="0.25">
      <c r="A675" t="s">
        <v>129</v>
      </c>
      <c r="B675" t="s">
        <v>28</v>
      </c>
      <c r="C675" t="s">
        <v>34</v>
      </c>
      <c r="D675">
        <v>2019</v>
      </c>
      <c r="E675" t="s">
        <v>119</v>
      </c>
      <c r="F675" t="s">
        <v>110</v>
      </c>
      <c r="G675" t="s">
        <v>52</v>
      </c>
      <c r="H675">
        <v>685.06913436036109</v>
      </c>
      <c r="I675">
        <v>3702.113602083391</v>
      </c>
      <c r="J675">
        <v>1099.0788345670951</v>
      </c>
      <c r="K675">
        <v>1099.0788345670951</v>
      </c>
    </row>
    <row r="676" spans="1:11" x14ac:dyDescent="0.25">
      <c r="A676" t="s">
        <v>129</v>
      </c>
      <c r="B676" t="s">
        <v>28</v>
      </c>
      <c r="C676" t="s">
        <v>72</v>
      </c>
      <c r="D676">
        <v>2019</v>
      </c>
      <c r="E676" t="s">
        <v>119</v>
      </c>
      <c r="F676" t="s">
        <v>110</v>
      </c>
      <c r="G676" t="s">
        <v>52</v>
      </c>
      <c r="H676">
        <v>887.13350750082327</v>
      </c>
      <c r="I676">
        <v>5464.7424062050713</v>
      </c>
      <c r="J676">
        <v>2918.7462428661602</v>
      </c>
      <c r="K676">
        <v>2918.7462428661602</v>
      </c>
    </row>
    <row r="677" spans="1:11" x14ac:dyDescent="0.25">
      <c r="A677" t="s">
        <v>129</v>
      </c>
      <c r="B677" t="s">
        <v>28</v>
      </c>
      <c r="C677" t="s">
        <v>53</v>
      </c>
      <c r="D677">
        <v>2019</v>
      </c>
      <c r="E677" t="s">
        <v>119</v>
      </c>
      <c r="F677" t="s">
        <v>110</v>
      </c>
      <c r="G677" t="s">
        <v>53</v>
      </c>
      <c r="H677">
        <v>20460.09912171523</v>
      </c>
      <c r="I677">
        <v>1421322.1657873136</v>
      </c>
      <c r="J677">
        <v>0</v>
      </c>
      <c r="K677">
        <v>1421322.1657873136</v>
      </c>
    </row>
    <row r="678" spans="1:11" x14ac:dyDescent="0.25">
      <c r="A678" t="s">
        <v>129</v>
      </c>
      <c r="B678" t="s">
        <v>28</v>
      </c>
      <c r="C678" t="s">
        <v>30</v>
      </c>
      <c r="D678">
        <v>2019</v>
      </c>
      <c r="E678" t="s">
        <v>119</v>
      </c>
      <c r="F678" t="s">
        <v>110</v>
      </c>
      <c r="G678" t="s">
        <v>30</v>
      </c>
      <c r="H678">
        <v>23.781029114723999</v>
      </c>
      <c r="I678">
        <v>690.83889578273215</v>
      </c>
      <c r="J678">
        <v>0</v>
      </c>
      <c r="K678">
        <v>690.83889578273215</v>
      </c>
    </row>
    <row r="679" spans="1:11" x14ac:dyDescent="0.25">
      <c r="A679" t="s">
        <v>129</v>
      </c>
      <c r="B679" t="s">
        <v>28</v>
      </c>
      <c r="C679" t="s">
        <v>31</v>
      </c>
      <c r="D679">
        <v>2019</v>
      </c>
      <c r="E679" t="s">
        <v>119</v>
      </c>
      <c r="F679" t="s">
        <v>110</v>
      </c>
      <c r="G679" t="s">
        <v>31</v>
      </c>
      <c r="H679">
        <v>1258.7368446928817</v>
      </c>
      <c r="I679">
        <v>74843.560387776015</v>
      </c>
      <c r="J679">
        <v>0</v>
      </c>
      <c r="K679">
        <v>74843.560387776015</v>
      </c>
    </row>
    <row r="680" spans="1:11" x14ac:dyDescent="0.25">
      <c r="A680" t="s">
        <v>129</v>
      </c>
      <c r="B680" t="s">
        <v>28</v>
      </c>
      <c r="C680" t="s">
        <v>55</v>
      </c>
      <c r="D680">
        <v>2019</v>
      </c>
      <c r="E680" t="s">
        <v>119</v>
      </c>
      <c r="F680" t="s">
        <v>110</v>
      </c>
      <c r="G680" t="s">
        <v>55</v>
      </c>
      <c r="H680">
        <v>13.612059153984784</v>
      </c>
      <c r="I680">
        <v>1548.442836537469</v>
      </c>
      <c r="J680">
        <v>0</v>
      </c>
      <c r="K680">
        <v>1548.442836537469</v>
      </c>
    </row>
    <row r="681" spans="1:11" x14ac:dyDescent="0.25">
      <c r="A681" t="s">
        <v>129</v>
      </c>
      <c r="B681" t="s">
        <v>28</v>
      </c>
      <c r="C681" t="s">
        <v>54</v>
      </c>
      <c r="D681">
        <v>2019</v>
      </c>
      <c r="E681" t="s">
        <v>119</v>
      </c>
      <c r="F681" t="s">
        <v>110</v>
      </c>
      <c r="G681" t="s">
        <v>54</v>
      </c>
      <c r="H681">
        <v>1692.7928122278877</v>
      </c>
      <c r="I681">
        <v>105484.6913011686</v>
      </c>
      <c r="J681">
        <v>0</v>
      </c>
      <c r="K681">
        <v>105484.6913011686</v>
      </c>
    </row>
    <row r="682" spans="1:11" x14ac:dyDescent="0.25">
      <c r="A682" t="s">
        <v>129</v>
      </c>
      <c r="B682" t="s">
        <v>28</v>
      </c>
      <c r="C682" t="s">
        <v>41</v>
      </c>
      <c r="D682">
        <v>2019</v>
      </c>
      <c r="E682" t="s">
        <v>119</v>
      </c>
      <c r="F682" t="s">
        <v>110</v>
      </c>
      <c r="G682" t="s">
        <v>41</v>
      </c>
      <c r="H682">
        <v>48.510297939945318</v>
      </c>
      <c r="I682">
        <v>576.59340131419003</v>
      </c>
      <c r="J682">
        <v>0</v>
      </c>
      <c r="K682">
        <v>576.59340131419003</v>
      </c>
    </row>
    <row r="683" spans="1:11" x14ac:dyDescent="0.25">
      <c r="A683" t="s">
        <v>129</v>
      </c>
      <c r="B683" t="s">
        <v>28</v>
      </c>
      <c r="C683" t="s">
        <v>80</v>
      </c>
      <c r="D683">
        <v>2019</v>
      </c>
      <c r="E683" t="s">
        <v>119</v>
      </c>
      <c r="F683" t="s">
        <v>110</v>
      </c>
      <c r="G683" t="s">
        <v>80</v>
      </c>
      <c r="H683">
        <v>857.94834593977373</v>
      </c>
      <c r="I683">
        <v>35788.732627988727</v>
      </c>
      <c r="J683">
        <v>0</v>
      </c>
      <c r="K683">
        <v>35788.732627988727</v>
      </c>
    </row>
    <row r="684" spans="1:11" x14ac:dyDescent="0.25">
      <c r="A684" t="s">
        <v>129</v>
      </c>
      <c r="B684" t="s">
        <v>28</v>
      </c>
      <c r="C684" t="s">
        <v>75</v>
      </c>
      <c r="D684">
        <v>2019</v>
      </c>
      <c r="E684" t="s">
        <v>119</v>
      </c>
      <c r="F684" t="s">
        <v>110</v>
      </c>
      <c r="G684" t="s">
        <v>52</v>
      </c>
      <c r="H684">
        <v>2729.7047934959128</v>
      </c>
      <c r="I684">
        <v>54606.120392299723</v>
      </c>
      <c r="J684">
        <v>9071.6825343208366</v>
      </c>
      <c r="K684">
        <v>9071.6825343208366</v>
      </c>
    </row>
    <row r="685" spans="1:11" x14ac:dyDescent="0.25">
      <c r="A685" t="s">
        <v>129</v>
      </c>
      <c r="B685" t="s">
        <v>28</v>
      </c>
      <c r="C685" t="s">
        <v>78</v>
      </c>
      <c r="D685">
        <v>2019</v>
      </c>
      <c r="E685" t="s">
        <v>119</v>
      </c>
      <c r="F685" t="s">
        <v>110</v>
      </c>
      <c r="G685" t="s">
        <v>78</v>
      </c>
      <c r="H685">
        <v>243.3055357816946</v>
      </c>
      <c r="I685">
        <v>17031.387504718623</v>
      </c>
      <c r="J685">
        <v>0</v>
      </c>
      <c r="K685">
        <v>17031.387504718623</v>
      </c>
    </row>
    <row r="686" spans="1:11" x14ac:dyDescent="0.25">
      <c r="A686" t="s">
        <v>129</v>
      </c>
      <c r="B686" t="s">
        <v>28</v>
      </c>
      <c r="C686" t="s">
        <v>65</v>
      </c>
      <c r="D686">
        <v>2019</v>
      </c>
      <c r="E686" t="s">
        <v>119</v>
      </c>
      <c r="F686" t="s">
        <v>110</v>
      </c>
      <c r="G686" t="s">
        <v>65</v>
      </c>
      <c r="H686">
        <v>574.32851892788028</v>
      </c>
      <c r="I686">
        <v>19611.217719488595</v>
      </c>
      <c r="J686">
        <v>0</v>
      </c>
      <c r="K686">
        <v>19611.217719488595</v>
      </c>
    </row>
    <row r="687" spans="1:11" x14ac:dyDescent="0.25">
      <c r="A687" t="s">
        <v>129</v>
      </c>
      <c r="B687" t="s">
        <v>28</v>
      </c>
      <c r="C687" t="s">
        <v>120</v>
      </c>
      <c r="D687">
        <v>2019</v>
      </c>
      <c r="E687" t="s">
        <v>119</v>
      </c>
      <c r="F687" t="s">
        <v>110</v>
      </c>
      <c r="G687" t="s">
        <v>53</v>
      </c>
      <c r="H687">
        <v>21241.691978712064</v>
      </c>
      <c r="I687">
        <v>410092.10534101515</v>
      </c>
      <c r="J687">
        <v>0</v>
      </c>
      <c r="K687">
        <v>410092.10534101515</v>
      </c>
    </row>
    <row r="688" spans="1:11" x14ac:dyDescent="0.25">
      <c r="A688" t="s">
        <v>129</v>
      </c>
      <c r="B688" t="s">
        <v>28</v>
      </c>
      <c r="C688" t="s">
        <v>29</v>
      </c>
      <c r="D688">
        <v>2030</v>
      </c>
      <c r="E688" t="s">
        <v>119</v>
      </c>
      <c r="F688" t="s">
        <v>110</v>
      </c>
      <c r="G688" t="s">
        <v>52</v>
      </c>
      <c r="H688">
        <v>10494.747555877077</v>
      </c>
      <c r="I688">
        <v>102995.45251337762</v>
      </c>
      <c r="J688">
        <v>33422.024340591037</v>
      </c>
      <c r="K688">
        <v>33422.024340591037</v>
      </c>
    </row>
    <row r="689" spans="1:11" x14ac:dyDescent="0.25">
      <c r="A689" t="s">
        <v>129</v>
      </c>
      <c r="B689" t="s">
        <v>28</v>
      </c>
      <c r="C689" t="s">
        <v>34</v>
      </c>
      <c r="D689">
        <v>2030</v>
      </c>
      <c r="E689" t="s">
        <v>119</v>
      </c>
      <c r="F689" t="s">
        <v>110</v>
      </c>
      <c r="G689" t="s">
        <v>52</v>
      </c>
      <c r="H689">
        <v>604.279402496633</v>
      </c>
      <c r="I689">
        <v>3265.5258910918051</v>
      </c>
      <c r="J689">
        <v>963.82927265854437</v>
      </c>
      <c r="K689">
        <v>963.82927265854437</v>
      </c>
    </row>
    <row r="690" spans="1:11" x14ac:dyDescent="0.25">
      <c r="A690" t="s">
        <v>129</v>
      </c>
      <c r="B690" t="s">
        <v>28</v>
      </c>
      <c r="C690" t="s">
        <v>72</v>
      </c>
      <c r="D690">
        <v>2030</v>
      </c>
      <c r="E690" t="s">
        <v>119</v>
      </c>
      <c r="F690" t="s">
        <v>110</v>
      </c>
      <c r="G690" t="s">
        <v>52</v>
      </c>
      <c r="H690">
        <v>782.5144630809657</v>
      </c>
      <c r="I690">
        <v>4820.2890925787488</v>
      </c>
      <c r="J690">
        <v>2559.5735081593152</v>
      </c>
      <c r="K690">
        <v>2559.5735081593152</v>
      </c>
    </row>
    <row r="691" spans="1:11" x14ac:dyDescent="0.25">
      <c r="A691" t="s">
        <v>129</v>
      </c>
      <c r="B691" t="s">
        <v>28</v>
      </c>
      <c r="C691" t="s">
        <v>53</v>
      </c>
      <c r="D691">
        <v>2030</v>
      </c>
      <c r="E691" t="s">
        <v>119</v>
      </c>
      <c r="F691" t="s">
        <v>110</v>
      </c>
      <c r="G691" t="s">
        <v>53</v>
      </c>
      <c r="H691">
        <v>18047.25370357795</v>
      </c>
      <c r="I691">
        <v>1253706.6202801529</v>
      </c>
      <c r="J691">
        <v>0</v>
      </c>
      <c r="K691">
        <v>1253706.6202801529</v>
      </c>
    </row>
    <row r="692" spans="1:11" x14ac:dyDescent="0.25">
      <c r="A692" t="s">
        <v>129</v>
      </c>
      <c r="B692" t="s">
        <v>28</v>
      </c>
      <c r="C692" t="s">
        <v>30</v>
      </c>
      <c r="D692">
        <v>2030</v>
      </c>
      <c r="E692" t="s">
        <v>119</v>
      </c>
      <c r="F692" t="s">
        <v>110</v>
      </c>
      <c r="G692" t="s">
        <v>30</v>
      </c>
      <c r="H692">
        <v>20.976548706457006</v>
      </c>
      <c r="I692">
        <v>609.36873992257597</v>
      </c>
      <c r="J692">
        <v>0</v>
      </c>
      <c r="K692">
        <v>609.36873992257597</v>
      </c>
    </row>
    <row r="693" spans="1:11" x14ac:dyDescent="0.25">
      <c r="A693" t="s">
        <v>129</v>
      </c>
      <c r="B693" t="s">
        <v>28</v>
      </c>
      <c r="C693" t="s">
        <v>31</v>
      </c>
      <c r="D693">
        <v>2030</v>
      </c>
      <c r="E693" t="s">
        <v>119</v>
      </c>
      <c r="F693" t="s">
        <v>110</v>
      </c>
      <c r="G693" t="s">
        <v>31</v>
      </c>
      <c r="H693">
        <v>1110.2948742854976</v>
      </c>
      <c r="I693">
        <v>66017.310784368063</v>
      </c>
      <c r="J693">
        <v>0</v>
      </c>
      <c r="K693">
        <v>66017.310784368063</v>
      </c>
    </row>
    <row r="694" spans="1:11" x14ac:dyDescent="0.25">
      <c r="A694" t="s">
        <v>129</v>
      </c>
      <c r="B694" t="s">
        <v>28</v>
      </c>
      <c r="C694" t="s">
        <v>55</v>
      </c>
      <c r="D694">
        <v>2030</v>
      </c>
      <c r="E694" t="s">
        <v>119</v>
      </c>
      <c r="F694" t="s">
        <v>110</v>
      </c>
      <c r="G694" t="s">
        <v>55</v>
      </c>
      <c r="H694">
        <v>12.006798379551526</v>
      </c>
      <c r="I694">
        <v>1365.8360377550734</v>
      </c>
      <c r="J694">
        <v>0</v>
      </c>
      <c r="K694">
        <v>1365.8360377550734</v>
      </c>
    </row>
    <row r="695" spans="1:11" x14ac:dyDescent="0.25">
      <c r="A695" t="s">
        <v>129</v>
      </c>
      <c r="B695" t="s">
        <v>28</v>
      </c>
      <c r="C695" t="s">
        <v>54</v>
      </c>
      <c r="D695">
        <v>2030</v>
      </c>
      <c r="E695" t="s">
        <v>119</v>
      </c>
      <c r="F695" t="s">
        <v>110</v>
      </c>
      <c r="G695" t="s">
        <v>54</v>
      </c>
      <c r="H695">
        <v>1493.1629200879825</v>
      </c>
      <c r="I695">
        <v>93044.95420236254</v>
      </c>
      <c r="J695">
        <v>0</v>
      </c>
      <c r="K695">
        <v>93044.95420236254</v>
      </c>
    </row>
    <row r="696" spans="1:11" x14ac:dyDescent="0.25">
      <c r="A696" t="s">
        <v>129</v>
      </c>
      <c r="B696" t="s">
        <v>28</v>
      </c>
      <c r="C696" t="s">
        <v>41</v>
      </c>
      <c r="D696">
        <v>2030</v>
      </c>
      <c r="E696" t="s">
        <v>119</v>
      </c>
      <c r="F696" t="s">
        <v>110</v>
      </c>
      <c r="G696" t="s">
        <v>41</v>
      </c>
      <c r="H696">
        <v>42.789511866497449</v>
      </c>
      <c r="I696">
        <v>508.5961380451887</v>
      </c>
      <c r="J696">
        <v>0</v>
      </c>
      <c r="K696">
        <v>508.5961380451887</v>
      </c>
    </row>
    <row r="697" spans="1:11" x14ac:dyDescent="0.25">
      <c r="A697" t="s">
        <v>129</v>
      </c>
      <c r="B697" t="s">
        <v>28</v>
      </c>
      <c r="C697" t="s">
        <v>80</v>
      </c>
      <c r="D697">
        <v>2030</v>
      </c>
      <c r="E697" t="s">
        <v>119</v>
      </c>
      <c r="F697" t="s">
        <v>110</v>
      </c>
      <c r="G697" t="s">
        <v>80</v>
      </c>
      <c r="H697">
        <v>756.77108755092502</v>
      </c>
      <c r="I697">
        <v>31568.192002614502</v>
      </c>
      <c r="J697">
        <v>0</v>
      </c>
      <c r="K697">
        <v>31568.192002614502</v>
      </c>
    </row>
    <row r="698" spans="1:11" x14ac:dyDescent="0.25">
      <c r="A698" t="s">
        <v>129</v>
      </c>
      <c r="B698" t="s">
        <v>28</v>
      </c>
      <c r="C698" t="s">
        <v>75</v>
      </c>
      <c r="D698">
        <v>2030</v>
      </c>
      <c r="E698" t="s">
        <v>119</v>
      </c>
      <c r="F698" t="s">
        <v>110</v>
      </c>
      <c r="G698" t="s">
        <v>52</v>
      </c>
      <c r="H698">
        <v>2407.7925845338555</v>
      </c>
      <c r="I698">
        <v>48166.458169403915</v>
      </c>
      <c r="J698">
        <v>7955.3466992998583</v>
      </c>
      <c r="K698">
        <v>7955.3466992998583</v>
      </c>
    </row>
    <row r="699" spans="1:11" x14ac:dyDescent="0.25">
      <c r="A699" t="s">
        <v>129</v>
      </c>
      <c r="B699" t="s">
        <v>28</v>
      </c>
      <c r="C699" t="s">
        <v>78</v>
      </c>
      <c r="D699">
        <v>2030</v>
      </c>
      <c r="E699" t="s">
        <v>119</v>
      </c>
      <c r="F699" t="s">
        <v>110</v>
      </c>
      <c r="G699" t="s">
        <v>78</v>
      </c>
      <c r="H699">
        <v>214.61268127859856</v>
      </c>
      <c r="I699">
        <v>15022.887689501898</v>
      </c>
      <c r="J699">
        <v>0</v>
      </c>
      <c r="K699">
        <v>15022.887689501898</v>
      </c>
    </row>
    <row r="700" spans="1:11" x14ac:dyDescent="0.25">
      <c r="A700" t="s">
        <v>129</v>
      </c>
      <c r="B700" t="s">
        <v>28</v>
      </c>
      <c r="C700" t="s">
        <v>65</v>
      </c>
      <c r="D700">
        <v>2030</v>
      </c>
      <c r="E700" t="s">
        <v>119</v>
      </c>
      <c r="F700" t="s">
        <v>110</v>
      </c>
      <c r="G700" t="s">
        <v>65</v>
      </c>
      <c r="H700">
        <v>506.59835168103979</v>
      </c>
      <c r="I700">
        <v>17298.4803013038</v>
      </c>
      <c r="J700">
        <v>0</v>
      </c>
      <c r="K700">
        <v>17298.4803013038</v>
      </c>
    </row>
    <row r="701" spans="1:11" x14ac:dyDescent="0.25">
      <c r="A701" t="s">
        <v>129</v>
      </c>
      <c r="B701" t="s">
        <v>28</v>
      </c>
      <c r="C701" t="s">
        <v>120</v>
      </c>
      <c r="D701">
        <v>2030</v>
      </c>
      <c r="E701" t="s">
        <v>119</v>
      </c>
      <c r="F701" t="s">
        <v>110</v>
      </c>
      <c r="G701" t="s">
        <v>53</v>
      </c>
      <c r="H701">
        <v>18736.673852484033</v>
      </c>
      <c r="I701">
        <v>361730.22539605678</v>
      </c>
      <c r="J701">
        <v>0</v>
      </c>
      <c r="K701">
        <v>361730.22539605678</v>
      </c>
    </row>
    <row r="702" spans="1:11" x14ac:dyDescent="0.25">
      <c r="A702" t="s">
        <v>129</v>
      </c>
      <c r="B702" t="s">
        <v>28</v>
      </c>
      <c r="C702" t="s">
        <v>29</v>
      </c>
      <c r="D702">
        <v>2050</v>
      </c>
      <c r="E702" t="s">
        <v>119</v>
      </c>
      <c r="F702" t="s">
        <v>110</v>
      </c>
      <c r="G702" t="s">
        <v>52</v>
      </c>
      <c r="H702">
        <v>10009.441310518599</v>
      </c>
      <c r="I702">
        <v>98232.657021429521</v>
      </c>
      <c r="J702">
        <v>31876.497203453881</v>
      </c>
      <c r="K702">
        <v>31876.497203453881</v>
      </c>
    </row>
    <row r="703" spans="1:11" x14ac:dyDescent="0.25">
      <c r="A703" t="s">
        <v>129</v>
      </c>
      <c r="B703" t="s">
        <v>28</v>
      </c>
      <c r="C703" t="s">
        <v>34</v>
      </c>
      <c r="D703">
        <v>2050</v>
      </c>
      <c r="E703" t="s">
        <v>119</v>
      </c>
      <c r="F703" t="s">
        <v>110</v>
      </c>
      <c r="G703" t="s">
        <v>52</v>
      </c>
      <c r="H703">
        <v>576.33584631181759</v>
      </c>
      <c r="I703">
        <v>3114.5189134690627</v>
      </c>
      <c r="J703">
        <v>919.25913288242691</v>
      </c>
      <c r="K703">
        <v>919.25913288242691</v>
      </c>
    </row>
    <row r="704" spans="1:11" x14ac:dyDescent="0.25">
      <c r="A704" t="s">
        <v>129</v>
      </c>
      <c r="B704" t="s">
        <v>28</v>
      </c>
      <c r="C704" t="s">
        <v>72</v>
      </c>
      <c r="D704">
        <v>2050</v>
      </c>
      <c r="E704" t="s">
        <v>119</v>
      </c>
      <c r="F704" t="s">
        <v>110</v>
      </c>
      <c r="G704" t="s">
        <v>52</v>
      </c>
      <c r="H704">
        <v>746.32882316970711</v>
      </c>
      <c r="I704">
        <v>4597.3855507253957</v>
      </c>
      <c r="J704">
        <v>2441.2117274351849</v>
      </c>
      <c r="K704">
        <v>2441.2117274351849</v>
      </c>
    </row>
    <row r="705" spans="1:11" x14ac:dyDescent="0.25">
      <c r="A705" t="s">
        <v>129</v>
      </c>
      <c r="B705" t="s">
        <v>28</v>
      </c>
      <c r="C705" t="s">
        <v>53</v>
      </c>
      <c r="D705">
        <v>2050</v>
      </c>
      <c r="E705" t="s">
        <v>119</v>
      </c>
      <c r="F705" t="s">
        <v>110</v>
      </c>
      <c r="G705" t="s">
        <v>53</v>
      </c>
      <c r="H705">
        <v>17212.698619019429</v>
      </c>
      <c r="I705">
        <v>1195731.7476660416</v>
      </c>
      <c r="J705">
        <v>0</v>
      </c>
      <c r="K705">
        <v>1195731.7476660416</v>
      </c>
    </row>
    <row r="706" spans="1:11" x14ac:dyDescent="0.25">
      <c r="A706" t="s">
        <v>129</v>
      </c>
      <c r="B706" t="s">
        <v>28</v>
      </c>
      <c r="C706" t="s">
        <v>30</v>
      </c>
      <c r="D706">
        <v>2050</v>
      </c>
      <c r="E706" t="s">
        <v>119</v>
      </c>
      <c r="F706" t="s">
        <v>110</v>
      </c>
      <c r="G706" t="s">
        <v>30</v>
      </c>
      <c r="H706">
        <v>20.00653489344165</v>
      </c>
      <c r="I706">
        <v>581.18983865448001</v>
      </c>
      <c r="J706">
        <v>0</v>
      </c>
      <c r="K706">
        <v>581.18983865448001</v>
      </c>
    </row>
    <row r="707" spans="1:11" x14ac:dyDescent="0.25">
      <c r="A707" t="s">
        <v>129</v>
      </c>
      <c r="B707" t="s">
        <v>28</v>
      </c>
      <c r="C707" t="s">
        <v>31</v>
      </c>
      <c r="D707">
        <v>2050</v>
      </c>
      <c r="E707" t="s">
        <v>119</v>
      </c>
      <c r="F707" t="s">
        <v>110</v>
      </c>
      <c r="G707" t="s">
        <v>31</v>
      </c>
      <c r="H707">
        <v>1058.9517587116018</v>
      </c>
      <c r="I707">
        <v>62964.487164281672</v>
      </c>
      <c r="J707">
        <v>0</v>
      </c>
      <c r="K707">
        <v>62964.487164281672</v>
      </c>
    </row>
    <row r="708" spans="1:11" x14ac:dyDescent="0.25">
      <c r="A708" t="s">
        <v>129</v>
      </c>
      <c r="B708" t="s">
        <v>28</v>
      </c>
      <c r="C708" t="s">
        <v>55</v>
      </c>
      <c r="D708">
        <v>2050</v>
      </c>
      <c r="E708" t="s">
        <v>119</v>
      </c>
      <c r="F708" t="s">
        <v>110</v>
      </c>
      <c r="G708" t="s">
        <v>55</v>
      </c>
      <c r="H708">
        <v>11.451570708820819</v>
      </c>
      <c r="I708">
        <v>1302.6759897663992</v>
      </c>
      <c r="J708">
        <v>0</v>
      </c>
      <c r="K708">
        <v>1302.6759897663992</v>
      </c>
    </row>
    <row r="709" spans="1:11" x14ac:dyDescent="0.25">
      <c r="A709" t="s">
        <v>129</v>
      </c>
      <c r="B709" t="s">
        <v>28</v>
      </c>
      <c r="C709" t="s">
        <v>54</v>
      </c>
      <c r="D709">
        <v>2050</v>
      </c>
      <c r="E709" t="s">
        <v>119</v>
      </c>
      <c r="F709" t="s">
        <v>110</v>
      </c>
      <c r="G709" t="s">
        <v>54</v>
      </c>
      <c r="H709">
        <v>1424.1149237833358</v>
      </c>
      <c r="I709">
        <v>88742.297360634795</v>
      </c>
      <c r="J709">
        <v>0</v>
      </c>
      <c r="K709">
        <v>88742.297360634795</v>
      </c>
    </row>
    <row r="710" spans="1:11" x14ac:dyDescent="0.25">
      <c r="A710" t="s">
        <v>129</v>
      </c>
      <c r="B710" t="s">
        <v>28</v>
      </c>
      <c r="C710" t="s">
        <v>41</v>
      </c>
      <c r="D710">
        <v>2050</v>
      </c>
      <c r="E710" t="s">
        <v>119</v>
      </c>
      <c r="F710" t="s">
        <v>110</v>
      </c>
      <c r="G710" t="s">
        <v>41</v>
      </c>
      <c r="H710">
        <v>40.810806115445544</v>
      </c>
      <c r="I710">
        <v>485.07724148818579</v>
      </c>
      <c r="J710">
        <v>0</v>
      </c>
      <c r="K710">
        <v>485.07724148818579</v>
      </c>
    </row>
    <row r="711" spans="1:11" x14ac:dyDescent="0.25">
      <c r="A711" t="s">
        <v>129</v>
      </c>
      <c r="B711" t="s">
        <v>28</v>
      </c>
      <c r="C711" t="s">
        <v>80</v>
      </c>
      <c r="D711">
        <v>2050</v>
      </c>
      <c r="E711" t="s">
        <v>119</v>
      </c>
      <c r="F711" t="s">
        <v>110</v>
      </c>
      <c r="G711" t="s">
        <v>80</v>
      </c>
      <c r="H711">
        <v>721.77589275088224</v>
      </c>
      <c r="I711">
        <v>30108.391216366432</v>
      </c>
      <c r="J711">
        <v>0</v>
      </c>
      <c r="K711">
        <v>30108.391216366432</v>
      </c>
    </row>
    <row r="712" spans="1:11" x14ac:dyDescent="0.25">
      <c r="A712" t="s">
        <v>129</v>
      </c>
      <c r="B712" t="s">
        <v>28</v>
      </c>
      <c r="C712" t="s">
        <v>75</v>
      </c>
      <c r="D712">
        <v>2050</v>
      </c>
      <c r="E712" t="s">
        <v>119</v>
      </c>
      <c r="F712" t="s">
        <v>110</v>
      </c>
      <c r="G712" t="s">
        <v>52</v>
      </c>
      <c r="H712">
        <v>2296.4495748444288</v>
      </c>
      <c r="I712">
        <v>45939.10750261067</v>
      </c>
      <c r="J712">
        <v>7587.4693952859907</v>
      </c>
      <c r="K712">
        <v>7587.4693952859907</v>
      </c>
    </row>
    <row r="713" spans="1:11" x14ac:dyDescent="0.25">
      <c r="A713" t="s">
        <v>129</v>
      </c>
      <c r="B713" t="s">
        <v>28</v>
      </c>
      <c r="C713" t="s">
        <v>78</v>
      </c>
      <c r="D713">
        <v>2050</v>
      </c>
      <c r="E713" t="s">
        <v>119</v>
      </c>
      <c r="F713" t="s">
        <v>110</v>
      </c>
      <c r="G713" t="s">
        <v>78</v>
      </c>
      <c r="H713">
        <v>204.6883954391258</v>
      </c>
      <c r="I713">
        <v>14328.187680738807</v>
      </c>
      <c r="J713">
        <v>0</v>
      </c>
      <c r="K713">
        <v>14328.187680738807</v>
      </c>
    </row>
    <row r="714" spans="1:11" x14ac:dyDescent="0.25">
      <c r="A714" t="s">
        <v>129</v>
      </c>
      <c r="B714" t="s">
        <v>28</v>
      </c>
      <c r="C714" t="s">
        <v>65</v>
      </c>
      <c r="D714">
        <v>2050</v>
      </c>
      <c r="E714" t="s">
        <v>119</v>
      </c>
      <c r="F714" t="s">
        <v>110</v>
      </c>
      <c r="G714" t="s">
        <v>65</v>
      </c>
      <c r="H714">
        <v>483.1718383085061</v>
      </c>
      <c r="I714">
        <v>16498.550576388014</v>
      </c>
      <c r="J714">
        <v>0</v>
      </c>
      <c r="K714">
        <v>16498.550576388014</v>
      </c>
    </row>
    <row r="715" spans="1:11" x14ac:dyDescent="0.25">
      <c r="A715" t="s">
        <v>129</v>
      </c>
      <c r="B715" t="s">
        <v>28</v>
      </c>
      <c r="C715" t="s">
        <v>120</v>
      </c>
      <c r="D715">
        <v>2050</v>
      </c>
      <c r="E715" t="s">
        <v>119</v>
      </c>
      <c r="F715" t="s">
        <v>110</v>
      </c>
      <c r="G715" t="s">
        <v>53</v>
      </c>
      <c r="H715">
        <v>17870.23806739807</v>
      </c>
      <c r="I715">
        <v>345002.81612918718</v>
      </c>
      <c r="J715">
        <v>0</v>
      </c>
      <c r="K715">
        <v>345002.81612918718</v>
      </c>
    </row>
    <row r="716" spans="1:11" x14ac:dyDescent="0.25">
      <c r="A716" t="s">
        <v>129</v>
      </c>
      <c r="B716" t="s">
        <v>28</v>
      </c>
      <c r="C716" t="s">
        <v>29</v>
      </c>
      <c r="D716">
        <v>2019</v>
      </c>
      <c r="E716" t="s">
        <v>121</v>
      </c>
      <c r="F716" t="s">
        <v>110</v>
      </c>
      <c r="G716" t="s">
        <v>52</v>
      </c>
      <c r="H716">
        <v>1521.2775270361781</v>
      </c>
      <c r="I716">
        <v>10002.977825723145</v>
      </c>
      <c r="J716">
        <v>3264.9469548714701</v>
      </c>
      <c r="K716">
        <v>3264.9469548714701</v>
      </c>
    </row>
    <row r="717" spans="1:11" x14ac:dyDescent="0.25">
      <c r="A717" t="s">
        <v>129</v>
      </c>
      <c r="B717" t="s">
        <v>28</v>
      </c>
      <c r="C717" t="s">
        <v>34</v>
      </c>
      <c r="D717">
        <v>2019</v>
      </c>
      <c r="E717" t="s">
        <v>121</v>
      </c>
      <c r="F717" t="s">
        <v>110</v>
      </c>
      <c r="G717" t="s">
        <v>52</v>
      </c>
      <c r="H717">
        <v>87.593976908399355</v>
      </c>
      <c r="I717">
        <v>269.81397519140432</v>
      </c>
      <c r="J717">
        <v>80.102033939855289</v>
      </c>
      <c r="K717">
        <v>80.102033939855289</v>
      </c>
    </row>
    <row r="718" spans="1:11" x14ac:dyDescent="0.25">
      <c r="A718" t="s">
        <v>129</v>
      </c>
      <c r="B718" t="s">
        <v>28</v>
      </c>
      <c r="C718" t="s">
        <v>72</v>
      </c>
      <c r="D718">
        <v>2019</v>
      </c>
      <c r="E718" t="s">
        <v>121</v>
      </c>
      <c r="F718" t="s">
        <v>110</v>
      </c>
      <c r="G718" t="s">
        <v>52</v>
      </c>
      <c r="H718">
        <v>113.43023364094317</v>
      </c>
      <c r="I718">
        <v>384.3016315755155</v>
      </c>
      <c r="J718">
        <v>205.25742293264076</v>
      </c>
      <c r="K718">
        <v>205.25742293264076</v>
      </c>
    </row>
    <row r="719" spans="1:11" x14ac:dyDescent="0.25">
      <c r="A719" t="s">
        <v>129</v>
      </c>
      <c r="B719" t="s">
        <v>28</v>
      </c>
      <c r="C719" t="s">
        <v>53</v>
      </c>
      <c r="D719">
        <v>2019</v>
      </c>
      <c r="E719" t="s">
        <v>121</v>
      </c>
      <c r="F719" t="s">
        <v>110</v>
      </c>
      <c r="G719" t="s">
        <v>53</v>
      </c>
      <c r="H719">
        <v>2616.0592560989035</v>
      </c>
      <c r="I719">
        <v>141751.27543408933</v>
      </c>
      <c r="J719">
        <v>0</v>
      </c>
      <c r="K719">
        <v>141751.27543408933</v>
      </c>
    </row>
    <row r="720" spans="1:11" x14ac:dyDescent="0.25">
      <c r="A720" t="s">
        <v>129</v>
      </c>
      <c r="B720" t="s">
        <v>28</v>
      </c>
      <c r="C720" t="s">
        <v>30</v>
      </c>
      <c r="D720">
        <v>2019</v>
      </c>
      <c r="E720" t="s">
        <v>121</v>
      </c>
      <c r="F720" t="s">
        <v>110</v>
      </c>
      <c r="G720" t="s">
        <v>30</v>
      </c>
      <c r="H720">
        <v>3.0406783938354529</v>
      </c>
      <c r="I720">
        <v>50.34907318432434</v>
      </c>
      <c r="J720">
        <v>0</v>
      </c>
      <c r="K720">
        <v>50.34907318432434</v>
      </c>
    </row>
    <row r="721" spans="1:11" x14ac:dyDescent="0.25">
      <c r="A721" t="s">
        <v>129</v>
      </c>
      <c r="B721" t="s">
        <v>28</v>
      </c>
      <c r="C721" t="s">
        <v>31</v>
      </c>
      <c r="D721">
        <v>2019</v>
      </c>
      <c r="E721" t="s">
        <v>121</v>
      </c>
      <c r="F721" t="s">
        <v>110</v>
      </c>
      <c r="G721" t="s">
        <v>31</v>
      </c>
      <c r="H721">
        <v>160.94399904722869</v>
      </c>
      <c r="I721">
        <v>5454.6782503755512</v>
      </c>
      <c r="J721">
        <v>0</v>
      </c>
      <c r="K721">
        <v>5454.6782503755512</v>
      </c>
    </row>
    <row r="722" spans="1:11" x14ac:dyDescent="0.25">
      <c r="A722" t="s">
        <v>129</v>
      </c>
      <c r="B722" t="s">
        <v>28</v>
      </c>
      <c r="C722" t="s">
        <v>55</v>
      </c>
      <c r="D722">
        <v>2019</v>
      </c>
      <c r="E722" t="s">
        <v>121</v>
      </c>
      <c r="F722" t="s">
        <v>110</v>
      </c>
      <c r="G722" t="s">
        <v>55</v>
      </c>
      <c r="H722">
        <v>1.7404584959489884</v>
      </c>
      <c r="I722">
        <v>112.85216014109164</v>
      </c>
      <c r="J722">
        <v>0</v>
      </c>
      <c r="K722">
        <v>112.85216014109164</v>
      </c>
    </row>
    <row r="723" spans="1:11" x14ac:dyDescent="0.25">
      <c r="A723" t="s">
        <v>129</v>
      </c>
      <c r="B723" t="s">
        <v>28</v>
      </c>
      <c r="C723" t="s">
        <v>54</v>
      </c>
      <c r="D723">
        <v>2019</v>
      </c>
      <c r="E723" t="s">
        <v>121</v>
      </c>
      <c r="F723" t="s">
        <v>110</v>
      </c>
      <c r="G723" t="s">
        <v>54</v>
      </c>
      <c r="H723">
        <v>216.44305234016915</v>
      </c>
      <c r="I723">
        <v>11194.568861726002</v>
      </c>
      <c r="J723">
        <v>0</v>
      </c>
      <c r="K723">
        <v>11194.568861726002</v>
      </c>
    </row>
    <row r="724" spans="1:11" x14ac:dyDescent="0.25">
      <c r="A724" t="s">
        <v>129</v>
      </c>
      <c r="B724" t="s">
        <v>28</v>
      </c>
      <c r="C724" t="s">
        <v>41</v>
      </c>
      <c r="D724">
        <v>2019</v>
      </c>
      <c r="E724" t="s">
        <v>121</v>
      </c>
      <c r="F724" t="s">
        <v>110</v>
      </c>
      <c r="G724" t="s">
        <v>41</v>
      </c>
      <c r="H724">
        <v>6.2026001529591133</v>
      </c>
      <c r="I724">
        <v>42.022740088301049</v>
      </c>
      <c r="J724">
        <v>0</v>
      </c>
      <c r="K724">
        <v>42.022740088301049</v>
      </c>
    </row>
    <row r="725" spans="1:11" x14ac:dyDescent="0.25">
      <c r="A725" t="s">
        <v>129</v>
      </c>
      <c r="B725" t="s">
        <v>28</v>
      </c>
      <c r="C725" t="s">
        <v>80</v>
      </c>
      <c r="D725">
        <v>2019</v>
      </c>
      <c r="E725" t="s">
        <v>121</v>
      </c>
      <c r="F725" t="s">
        <v>110</v>
      </c>
      <c r="G725" t="s">
        <v>80</v>
      </c>
      <c r="H725">
        <v>109.69857468913038</v>
      </c>
      <c r="I725">
        <v>2608.3208824239755</v>
      </c>
      <c r="J725">
        <v>0</v>
      </c>
      <c r="K725">
        <v>2608.3208824239755</v>
      </c>
    </row>
    <row r="726" spans="1:11" x14ac:dyDescent="0.25">
      <c r="A726" t="s">
        <v>129</v>
      </c>
      <c r="B726" t="s">
        <v>28</v>
      </c>
      <c r="C726" t="s">
        <v>75</v>
      </c>
      <c r="D726">
        <v>2019</v>
      </c>
      <c r="E726" t="s">
        <v>121</v>
      </c>
      <c r="F726" t="s">
        <v>110</v>
      </c>
      <c r="G726" t="s">
        <v>52</v>
      </c>
      <c r="H726">
        <v>349.0241884441013</v>
      </c>
      <c r="I726">
        <v>3979.7521082376879</v>
      </c>
      <c r="J726">
        <v>661.15386758582895</v>
      </c>
      <c r="K726">
        <v>661.15386758582895</v>
      </c>
    </row>
    <row r="727" spans="1:11" x14ac:dyDescent="0.25">
      <c r="A727" t="s">
        <v>129</v>
      </c>
      <c r="B727" t="s">
        <v>28</v>
      </c>
      <c r="C727" t="s">
        <v>78</v>
      </c>
      <c r="D727">
        <v>2019</v>
      </c>
      <c r="E727" t="s">
        <v>121</v>
      </c>
      <c r="F727" t="s">
        <v>110</v>
      </c>
      <c r="G727" t="s">
        <v>78</v>
      </c>
      <c r="H727">
        <v>31.109414238675758</v>
      </c>
      <c r="I727">
        <v>1241.2656281231625</v>
      </c>
      <c r="J727">
        <v>0</v>
      </c>
      <c r="K727">
        <v>1241.2656281231625</v>
      </c>
    </row>
    <row r="728" spans="1:11" x14ac:dyDescent="0.25">
      <c r="A728" t="s">
        <v>129</v>
      </c>
      <c r="B728" t="s">
        <v>28</v>
      </c>
      <c r="C728" t="s">
        <v>65</v>
      </c>
      <c r="D728">
        <v>2019</v>
      </c>
      <c r="E728" t="s">
        <v>121</v>
      </c>
      <c r="F728" t="s">
        <v>110</v>
      </c>
      <c r="G728" t="s">
        <v>65</v>
      </c>
      <c r="H728">
        <v>73.434514126483776</v>
      </c>
      <c r="I728">
        <v>1429.2863969008304</v>
      </c>
      <c r="J728">
        <v>0</v>
      </c>
      <c r="K728">
        <v>1429.2863969008304</v>
      </c>
    </row>
    <row r="729" spans="1:11" x14ac:dyDescent="0.25">
      <c r="A729" t="s">
        <v>129</v>
      </c>
      <c r="B729" t="s">
        <v>28</v>
      </c>
      <c r="C729" t="s">
        <v>120</v>
      </c>
      <c r="D729">
        <v>2019</v>
      </c>
      <c r="E729" t="s">
        <v>121</v>
      </c>
      <c r="F729" t="s">
        <v>110</v>
      </c>
      <c r="G729" t="s">
        <v>53</v>
      </c>
      <c r="H729">
        <v>2715.9949023479103</v>
      </c>
      <c r="I729">
        <v>52434.997584728757</v>
      </c>
      <c r="J729">
        <v>0</v>
      </c>
      <c r="K729">
        <v>52434.997584728757</v>
      </c>
    </row>
    <row r="730" spans="1:11" x14ac:dyDescent="0.25">
      <c r="A730" t="s">
        <v>129</v>
      </c>
      <c r="B730" t="s">
        <v>28</v>
      </c>
      <c r="C730" t="s">
        <v>29</v>
      </c>
      <c r="D730">
        <v>2030</v>
      </c>
      <c r="E730" t="s">
        <v>121</v>
      </c>
      <c r="F730" t="s">
        <v>110</v>
      </c>
      <c r="G730" t="s">
        <v>52</v>
      </c>
      <c r="H730">
        <v>1637.9085780848618</v>
      </c>
      <c r="I730">
        <v>10769.871306167639</v>
      </c>
      <c r="J730">
        <v>3494.8232388513989</v>
      </c>
      <c r="K730">
        <v>3494.8232388513989</v>
      </c>
    </row>
    <row r="731" spans="1:11" x14ac:dyDescent="0.25">
      <c r="A731" t="s">
        <v>129</v>
      </c>
      <c r="B731" t="s">
        <v>28</v>
      </c>
      <c r="C731" t="s">
        <v>34</v>
      </c>
      <c r="D731">
        <v>2030</v>
      </c>
      <c r="E731" t="s">
        <v>121</v>
      </c>
      <c r="F731" t="s">
        <v>110</v>
      </c>
      <c r="G731" t="s">
        <v>52</v>
      </c>
      <c r="H731">
        <v>94.309502123751969</v>
      </c>
      <c r="I731">
        <v>290.49967320175068</v>
      </c>
      <c r="J731">
        <v>85.741806394306337</v>
      </c>
      <c r="K731">
        <v>85.741806394306337</v>
      </c>
    </row>
    <row r="732" spans="1:11" x14ac:dyDescent="0.25">
      <c r="A732" t="s">
        <v>129</v>
      </c>
      <c r="B732" t="s">
        <v>28</v>
      </c>
      <c r="C732" t="s">
        <v>72</v>
      </c>
      <c r="D732">
        <v>2030</v>
      </c>
      <c r="E732" t="s">
        <v>121</v>
      </c>
      <c r="F732" t="s">
        <v>110</v>
      </c>
      <c r="G732" t="s">
        <v>52</v>
      </c>
      <c r="H732">
        <v>122.12653470049754</v>
      </c>
      <c r="I732">
        <v>413.76469956528575</v>
      </c>
      <c r="J732">
        <v>219.70905546916671</v>
      </c>
      <c r="K732">
        <v>219.70905546916671</v>
      </c>
    </row>
    <row r="733" spans="1:11" x14ac:dyDescent="0.25">
      <c r="A733" t="s">
        <v>129</v>
      </c>
      <c r="B733" t="s">
        <v>28</v>
      </c>
      <c r="C733" t="s">
        <v>53</v>
      </c>
      <c r="D733">
        <v>2030</v>
      </c>
      <c r="E733" t="s">
        <v>121</v>
      </c>
      <c r="F733" t="s">
        <v>110</v>
      </c>
      <c r="G733" t="s">
        <v>53</v>
      </c>
      <c r="H733">
        <v>2816.6234103849979</v>
      </c>
      <c r="I733">
        <v>152618.85215664754</v>
      </c>
      <c r="J733">
        <v>0</v>
      </c>
      <c r="K733">
        <v>152618.85215664754</v>
      </c>
    </row>
    <row r="734" spans="1:11" x14ac:dyDescent="0.25">
      <c r="A734" t="s">
        <v>129</v>
      </c>
      <c r="B734" t="s">
        <v>28</v>
      </c>
      <c r="C734" t="s">
        <v>30</v>
      </c>
      <c r="D734">
        <v>2030</v>
      </c>
      <c r="E734" t="s">
        <v>121</v>
      </c>
      <c r="F734" t="s">
        <v>110</v>
      </c>
      <c r="G734" t="s">
        <v>30</v>
      </c>
      <c r="H734">
        <v>3.2737966189268159</v>
      </c>
      <c r="I734">
        <v>54.209161314499674</v>
      </c>
      <c r="J734">
        <v>0</v>
      </c>
      <c r="K734">
        <v>54.209161314499674</v>
      </c>
    </row>
    <row r="735" spans="1:11" x14ac:dyDescent="0.25">
      <c r="A735" t="s">
        <v>129</v>
      </c>
      <c r="B735" t="s">
        <v>28</v>
      </c>
      <c r="C735" t="s">
        <v>31</v>
      </c>
      <c r="D735">
        <v>2030</v>
      </c>
      <c r="E735" t="s">
        <v>121</v>
      </c>
      <c r="F735" t="s">
        <v>110</v>
      </c>
      <c r="G735" t="s">
        <v>31</v>
      </c>
      <c r="H735">
        <v>173.28301506189848</v>
      </c>
      <c r="I735">
        <v>5872.8694391411809</v>
      </c>
      <c r="J735">
        <v>0</v>
      </c>
      <c r="K735">
        <v>5872.8694391411809</v>
      </c>
    </row>
    <row r="736" spans="1:11" x14ac:dyDescent="0.25">
      <c r="A736" t="s">
        <v>129</v>
      </c>
      <c r="B736" t="s">
        <v>28</v>
      </c>
      <c r="C736" t="s">
        <v>55</v>
      </c>
      <c r="D736">
        <v>2030</v>
      </c>
      <c r="E736" t="s">
        <v>121</v>
      </c>
      <c r="F736" t="s">
        <v>110</v>
      </c>
      <c r="G736" t="s">
        <v>55</v>
      </c>
      <c r="H736">
        <v>1.8738933887161342</v>
      </c>
      <c r="I736">
        <v>121.50414231821139</v>
      </c>
      <c r="J736">
        <v>0</v>
      </c>
      <c r="K736">
        <v>121.50414231821139</v>
      </c>
    </row>
    <row r="737" spans="1:11" x14ac:dyDescent="0.25">
      <c r="A737" t="s">
        <v>129</v>
      </c>
      <c r="B737" t="s">
        <v>28</v>
      </c>
      <c r="C737" t="s">
        <v>54</v>
      </c>
      <c r="D737">
        <v>2030</v>
      </c>
      <c r="E737" t="s">
        <v>121</v>
      </c>
      <c r="F737" t="s">
        <v>110</v>
      </c>
      <c r="G737" t="s">
        <v>54</v>
      </c>
      <c r="H737">
        <v>233.03698752818224</v>
      </c>
      <c r="I737">
        <v>12052.817477889854</v>
      </c>
      <c r="J737">
        <v>0</v>
      </c>
      <c r="K737">
        <v>12052.817477889854</v>
      </c>
    </row>
    <row r="738" spans="1:11" x14ac:dyDescent="0.25">
      <c r="A738" t="s">
        <v>129</v>
      </c>
      <c r="B738" t="s">
        <v>28</v>
      </c>
      <c r="C738" t="s">
        <v>41</v>
      </c>
      <c r="D738">
        <v>2030</v>
      </c>
      <c r="E738" t="s">
        <v>121</v>
      </c>
      <c r="F738" t="s">
        <v>110</v>
      </c>
      <c r="G738" t="s">
        <v>41</v>
      </c>
      <c r="H738">
        <v>6.6781319098001797</v>
      </c>
      <c r="I738">
        <v>45.24447725153442</v>
      </c>
      <c r="J738">
        <v>0</v>
      </c>
      <c r="K738">
        <v>45.24447725153442</v>
      </c>
    </row>
    <row r="739" spans="1:11" x14ac:dyDescent="0.25">
      <c r="A739" t="s">
        <v>129</v>
      </c>
      <c r="B739" t="s">
        <v>28</v>
      </c>
      <c r="C739" t="s">
        <v>80</v>
      </c>
      <c r="D739">
        <v>2030</v>
      </c>
      <c r="E739" t="s">
        <v>121</v>
      </c>
      <c r="F739" t="s">
        <v>110</v>
      </c>
      <c r="G739" t="s">
        <v>80</v>
      </c>
      <c r="H739">
        <v>118.10878245014437</v>
      </c>
      <c r="I739">
        <v>2808.291762544723</v>
      </c>
      <c r="J739">
        <v>0</v>
      </c>
      <c r="K739">
        <v>2808.291762544723</v>
      </c>
    </row>
    <row r="740" spans="1:11" x14ac:dyDescent="0.25">
      <c r="A740" t="s">
        <v>129</v>
      </c>
      <c r="B740" t="s">
        <v>28</v>
      </c>
      <c r="C740" t="s">
        <v>75</v>
      </c>
      <c r="D740">
        <v>2030</v>
      </c>
      <c r="E740" t="s">
        <v>121</v>
      </c>
      <c r="F740" t="s">
        <v>110</v>
      </c>
      <c r="G740" t="s">
        <v>52</v>
      </c>
      <c r="H740">
        <v>375.78265770181565</v>
      </c>
      <c r="I740">
        <v>4284.8658452435047</v>
      </c>
      <c r="J740">
        <v>707.70396359667529</v>
      </c>
      <c r="K740">
        <v>707.70396359667529</v>
      </c>
    </row>
    <row r="741" spans="1:11" x14ac:dyDescent="0.25">
      <c r="A741" t="s">
        <v>129</v>
      </c>
      <c r="B741" t="s">
        <v>28</v>
      </c>
      <c r="C741" t="s">
        <v>78</v>
      </c>
      <c r="D741">
        <v>2030</v>
      </c>
      <c r="E741" t="s">
        <v>121</v>
      </c>
      <c r="F741" t="s">
        <v>110</v>
      </c>
      <c r="G741" t="s">
        <v>78</v>
      </c>
      <c r="H741">
        <v>33.494464708220583</v>
      </c>
      <c r="I741">
        <v>1336.4291418580012</v>
      </c>
      <c r="J741">
        <v>0</v>
      </c>
      <c r="K741">
        <v>1336.4291418580012</v>
      </c>
    </row>
    <row r="742" spans="1:11" x14ac:dyDescent="0.25">
      <c r="A742" t="s">
        <v>129</v>
      </c>
      <c r="B742" t="s">
        <v>28</v>
      </c>
      <c r="C742" t="s">
        <v>65</v>
      </c>
      <c r="D742">
        <v>2030</v>
      </c>
      <c r="E742" t="s">
        <v>121</v>
      </c>
      <c r="F742" t="s">
        <v>110</v>
      </c>
      <c r="G742" t="s">
        <v>65</v>
      </c>
      <c r="H742">
        <v>79.064482632301008</v>
      </c>
      <c r="I742">
        <v>1538.8648083067364</v>
      </c>
      <c r="J742">
        <v>0</v>
      </c>
      <c r="K742">
        <v>1538.8648083067364</v>
      </c>
    </row>
    <row r="743" spans="1:11" x14ac:dyDescent="0.25">
      <c r="A743" t="s">
        <v>129</v>
      </c>
      <c r="B743" t="s">
        <v>28</v>
      </c>
      <c r="C743" t="s">
        <v>120</v>
      </c>
      <c r="D743">
        <v>2030</v>
      </c>
      <c r="E743" t="s">
        <v>121</v>
      </c>
      <c r="F743" t="s">
        <v>110</v>
      </c>
      <c r="G743" t="s">
        <v>53</v>
      </c>
      <c r="H743">
        <v>2924.2207746651384</v>
      </c>
      <c r="I743">
        <v>56455.006275685155</v>
      </c>
      <c r="J743">
        <v>0</v>
      </c>
      <c r="K743">
        <v>56455.006275685155</v>
      </c>
    </row>
    <row r="744" spans="1:11" x14ac:dyDescent="0.25">
      <c r="A744" t="s">
        <v>129</v>
      </c>
      <c r="B744" t="s">
        <v>28</v>
      </c>
      <c r="C744" t="s">
        <v>29</v>
      </c>
      <c r="D744">
        <v>2050</v>
      </c>
      <c r="E744" t="s">
        <v>121</v>
      </c>
      <c r="F744" t="s">
        <v>110</v>
      </c>
      <c r="G744" t="s">
        <v>52</v>
      </c>
      <c r="H744">
        <v>2123.2148234433389</v>
      </c>
      <c r="I744">
        <v>13960.944285772861</v>
      </c>
      <c r="J744">
        <v>4530.3264207332932</v>
      </c>
      <c r="K744">
        <v>4530.3264207332932</v>
      </c>
    </row>
    <row r="745" spans="1:11" x14ac:dyDescent="0.25">
      <c r="A745" t="s">
        <v>129</v>
      </c>
      <c r="B745" t="s">
        <v>28</v>
      </c>
      <c r="C745" t="s">
        <v>34</v>
      </c>
      <c r="D745">
        <v>2050</v>
      </c>
      <c r="E745" t="s">
        <v>121</v>
      </c>
      <c r="F745" t="s">
        <v>110</v>
      </c>
      <c r="G745" t="s">
        <v>52</v>
      </c>
      <c r="H745">
        <v>122.25305830856736</v>
      </c>
      <c r="I745">
        <v>376.57365044671383</v>
      </c>
      <c r="J745">
        <v>111.14678606669341</v>
      </c>
      <c r="K745">
        <v>111.14678606669341</v>
      </c>
    </row>
    <row r="746" spans="1:11" x14ac:dyDescent="0.25">
      <c r="A746" t="s">
        <v>129</v>
      </c>
      <c r="B746" t="s">
        <v>28</v>
      </c>
      <c r="C746" t="s">
        <v>72</v>
      </c>
      <c r="D746">
        <v>2050</v>
      </c>
      <c r="E746" t="s">
        <v>121</v>
      </c>
      <c r="F746" t="s">
        <v>110</v>
      </c>
      <c r="G746" t="s">
        <v>52</v>
      </c>
      <c r="H746">
        <v>158.31217461175603</v>
      </c>
      <c r="I746">
        <v>536.36164758462951</v>
      </c>
      <c r="J746">
        <v>284.80803486743827</v>
      </c>
      <c r="K746">
        <v>284.80803486743827</v>
      </c>
    </row>
    <row r="747" spans="1:11" x14ac:dyDescent="0.25">
      <c r="A747" t="s">
        <v>129</v>
      </c>
      <c r="B747" t="s">
        <v>28</v>
      </c>
      <c r="C747" t="s">
        <v>53</v>
      </c>
      <c r="D747">
        <v>2050</v>
      </c>
      <c r="E747" t="s">
        <v>121</v>
      </c>
      <c r="F747" t="s">
        <v>110</v>
      </c>
      <c r="G747" t="s">
        <v>53</v>
      </c>
      <c r="H747">
        <v>3651.178494943515</v>
      </c>
      <c r="I747">
        <v>197839.25279565417</v>
      </c>
      <c r="J747">
        <v>0</v>
      </c>
      <c r="K747">
        <v>197839.25279565417</v>
      </c>
    </row>
    <row r="748" spans="1:11" x14ac:dyDescent="0.25">
      <c r="A748" t="s">
        <v>129</v>
      </c>
      <c r="B748" t="s">
        <v>28</v>
      </c>
      <c r="C748" t="s">
        <v>30</v>
      </c>
      <c r="D748">
        <v>2050</v>
      </c>
      <c r="E748" t="s">
        <v>121</v>
      </c>
      <c r="F748" t="s">
        <v>110</v>
      </c>
      <c r="G748" t="s">
        <v>30</v>
      </c>
      <c r="H748">
        <v>4.2438104319421681</v>
      </c>
      <c r="I748">
        <v>70.27113503731438</v>
      </c>
      <c r="J748">
        <v>0</v>
      </c>
      <c r="K748">
        <v>70.27113503731438</v>
      </c>
    </row>
    <row r="749" spans="1:11" x14ac:dyDescent="0.25">
      <c r="A749" t="s">
        <v>129</v>
      </c>
      <c r="B749" t="s">
        <v>28</v>
      </c>
      <c r="C749" t="s">
        <v>31</v>
      </c>
      <c r="D749">
        <v>2050</v>
      </c>
      <c r="E749" t="s">
        <v>121</v>
      </c>
      <c r="F749" t="s">
        <v>110</v>
      </c>
      <c r="G749" t="s">
        <v>31</v>
      </c>
      <c r="H749">
        <v>224.62613063579431</v>
      </c>
      <c r="I749">
        <v>7612.9789025904211</v>
      </c>
      <c r="J749">
        <v>0</v>
      </c>
      <c r="K749">
        <v>7612.9789025904211</v>
      </c>
    </row>
    <row r="750" spans="1:11" x14ac:dyDescent="0.25">
      <c r="A750" t="s">
        <v>129</v>
      </c>
      <c r="B750" t="s">
        <v>28</v>
      </c>
      <c r="C750" t="s">
        <v>55</v>
      </c>
      <c r="D750">
        <v>2050</v>
      </c>
      <c r="E750" t="s">
        <v>121</v>
      </c>
      <c r="F750" t="s">
        <v>110</v>
      </c>
      <c r="G750" t="s">
        <v>55</v>
      </c>
      <c r="H750">
        <v>2.4291210594468406</v>
      </c>
      <c r="I750">
        <v>157.50536967175552</v>
      </c>
      <c r="J750">
        <v>0</v>
      </c>
      <c r="K750">
        <v>157.50536967175552</v>
      </c>
    </row>
    <row r="751" spans="1:11" x14ac:dyDescent="0.25">
      <c r="A751" t="s">
        <v>129</v>
      </c>
      <c r="B751" t="s">
        <v>28</v>
      </c>
      <c r="C751" t="s">
        <v>54</v>
      </c>
      <c r="D751">
        <v>2050</v>
      </c>
      <c r="E751" t="s">
        <v>121</v>
      </c>
      <c r="F751" t="s">
        <v>110</v>
      </c>
      <c r="G751" t="s">
        <v>54</v>
      </c>
      <c r="H751">
        <v>302.08498383282881</v>
      </c>
      <c r="I751">
        <v>15624.022656523883</v>
      </c>
      <c r="J751">
        <v>0</v>
      </c>
      <c r="K751">
        <v>15624.022656523883</v>
      </c>
    </row>
    <row r="752" spans="1:11" x14ac:dyDescent="0.25">
      <c r="A752" t="s">
        <v>129</v>
      </c>
      <c r="B752" t="s">
        <v>28</v>
      </c>
      <c r="C752" t="s">
        <v>41</v>
      </c>
      <c r="D752">
        <v>2050</v>
      </c>
      <c r="E752" t="s">
        <v>121</v>
      </c>
      <c r="F752" t="s">
        <v>110</v>
      </c>
      <c r="G752" t="s">
        <v>41</v>
      </c>
      <c r="H752">
        <v>8.6568376608520836</v>
      </c>
      <c r="I752">
        <v>58.650248289026081</v>
      </c>
      <c r="J752">
        <v>0</v>
      </c>
      <c r="K752">
        <v>58.650248289026081</v>
      </c>
    </row>
    <row r="753" spans="1:11" x14ac:dyDescent="0.25">
      <c r="A753" t="s">
        <v>129</v>
      </c>
      <c r="B753" t="s">
        <v>28</v>
      </c>
      <c r="C753" t="s">
        <v>80</v>
      </c>
      <c r="D753">
        <v>2050</v>
      </c>
      <c r="E753" t="s">
        <v>121</v>
      </c>
      <c r="F753" t="s">
        <v>110</v>
      </c>
      <c r="G753" t="s">
        <v>80</v>
      </c>
      <c r="H753">
        <v>153.10397725018711</v>
      </c>
      <c r="I753">
        <v>3640.3782107061229</v>
      </c>
      <c r="J753">
        <v>0</v>
      </c>
      <c r="K753">
        <v>3640.3782107061229</v>
      </c>
    </row>
    <row r="754" spans="1:11" x14ac:dyDescent="0.25">
      <c r="A754" t="s">
        <v>129</v>
      </c>
      <c r="B754" t="s">
        <v>28</v>
      </c>
      <c r="C754" t="s">
        <v>75</v>
      </c>
      <c r="D754">
        <v>2050</v>
      </c>
      <c r="E754" t="s">
        <v>121</v>
      </c>
      <c r="F754" t="s">
        <v>110</v>
      </c>
      <c r="G754" t="s">
        <v>52</v>
      </c>
      <c r="H754">
        <v>487.12566739124247</v>
      </c>
      <c r="I754">
        <v>5554.4557253156536</v>
      </c>
      <c r="J754">
        <v>917.39402688457892</v>
      </c>
      <c r="K754">
        <v>917.39402688457892</v>
      </c>
    </row>
    <row r="755" spans="1:11" x14ac:dyDescent="0.25">
      <c r="A755" t="s">
        <v>129</v>
      </c>
      <c r="B755" t="s">
        <v>28</v>
      </c>
      <c r="C755" t="s">
        <v>78</v>
      </c>
      <c r="D755">
        <v>2050</v>
      </c>
      <c r="E755" t="s">
        <v>121</v>
      </c>
      <c r="F755" t="s">
        <v>110</v>
      </c>
      <c r="G755" t="s">
        <v>78</v>
      </c>
      <c r="H755">
        <v>43.41875054769335</v>
      </c>
      <c r="I755">
        <v>1732.4081468529648</v>
      </c>
      <c r="J755">
        <v>0</v>
      </c>
      <c r="K755">
        <v>1732.4081468529648</v>
      </c>
    </row>
    <row r="756" spans="1:11" x14ac:dyDescent="0.25">
      <c r="A756" t="s">
        <v>129</v>
      </c>
      <c r="B756" t="s">
        <v>28</v>
      </c>
      <c r="C756" t="s">
        <v>65</v>
      </c>
      <c r="D756">
        <v>2050</v>
      </c>
      <c r="E756" t="s">
        <v>121</v>
      </c>
      <c r="F756" t="s">
        <v>110</v>
      </c>
      <c r="G756" t="s">
        <v>65</v>
      </c>
      <c r="H756">
        <v>102.49099600483463</v>
      </c>
      <c r="I756">
        <v>1994.8247515087323</v>
      </c>
      <c r="J756">
        <v>0</v>
      </c>
      <c r="K756">
        <v>1994.8247515087323</v>
      </c>
    </row>
    <row r="757" spans="1:11" x14ac:dyDescent="0.25">
      <c r="A757" t="s">
        <v>129</v>
      </c>
      <c r="B757" t="s">
        <v>28</v>
      </c>
      <c r="C757" t="s">
        <v>120</v>
      </c>
      <c r="D757">
        <v>2050</v>
      </c>
      <c r="E757" t="s">
        <v>121</v>
      </c>
      <c r="F757" t="s">
        <v>110</v>
      </c>
      <c r="G757" t="s">
        <v>53</v>
      </c>
      <c r="H757">
        <v>3790.6565597511053</v>
      </c>
      <c r="I757">
        <v>73182.415542554852</v>
      </c>
      <c r="J757">
        <v>0</v>
      </c>
      <c r="K757">
        <v>73182.415542554852</v>
      </c>
    </row>
    <row r="758" spans="1:11" x14ac:dyDescent="0.25">
      <c r="A758" t="s">
        <v>129</v>
      </c>
      <c r="B758" t="s">
        <v>43</v>
      </c>
      <c r="C758" t="s">
        <v>29</v>
      </c>
      <c r="D758">
        <v>2019</v>
      </c>
      <c r="E758" t="s">
        <v>119</v>
      </c>
      <c r="F758" t="s">
        <v>108</v>
      </c>
      <c r="G758" t="s">
        <v>52</v>
      </c>
      <c r="H758">
        <v>292562.01681062597</v>
      </c>
      <c r="I758">
        <v>2050859.7378424881</v>
      </c>
      <c r="J758">
        <v>669395.49128244352</v>
      </c>
      <c r="K758">
        <v>669395.49128244352</v>
      </c>
    </row>
    <row r="759" spans="1:11" x14ac:dyDescent="0.25">
      <c r="A759" t="s">
        <v>129</v>
      </c>
      <c r="B759" t="s">
        <v>43</v>
      </c>
      <c r="C759" t="s">
        <v>34</v>
      </c>
      <c r="D759">
        <v>2019</v>
      </c>
      <c r="E759" t="s">
        <v>119</v>
      </c>
      <c r="F759" t="s">
        <v>108</v>
      </c>
      <c r="G759" t="s">
        <v>52</v>
      </c>
      <c r="H759">
        <v>6376.3414137528825</v>
      </c>
      <c r="I759">
        <v>24612.677857086128</v>
      </c>
      <c r="J759">
        <v>7306.9808769558722</v>
      </c>
      <c r="K759">
        <v>7306.9808769558722</v>
      </c>
    </row>
    <row r="760" spans="1:11" x14ac:dyDescent="0.25">
      <c r="A760" t="s">
        <v>129</v>
      </c>
      <c r="B760" t="s">
        <v>43</v>
      </c>
      <c r="C760" t="s">
        <v>72</v>
      </c>
      <c r="D760">
        <v>2019</v>
      </c>
      <c r="E760" t="s">
        <v>119</v>
      </c>
      <c r="F760" t="s">
        <v>108</v>
      </c>
      <c r="G760" t="s">
        <v>52</v>
      </c>
      <c r="H760">
        <v>40447.722327584328</v>
      </c>
      <c r="I760">
        <v>177969.97824137105</v>
      </c>
      <c r="J760">
        <v>95054.655228607488</v>
      </c>
      <c r="K760">
        <v>95054.655228607488</v>
      </c>
    </row>
    <row r="761" spans="1:11" x14ac:dyDescent="0.25">
      <c r="A761" t="s">
        <v>129</v>
      </c>
      <c r="B761" t="s">
        <v>43</v>
      </c>
      <c r="C761" t="s">
        <v>53</v>
      </c>
      <c r="D761">
        <v>2019</v>
      </c>
      <c r="E761" t="s">
        <v>119</v>
      </c>
      <c r="F761" t="s">
        <v>108</v>
      </c>
      <c r="G761" t="s">
        <v>53</v>
      </c>
      <c r="H761">
        <v>24572.998517620537</v>
      </c>
      <c r="I761">
        <v>1219312.186444331</v>
      </c>
      <c r="J761">
        <v>0</v>
      </c>
      <c r="K761">
        <v>1219312.186444331</v>
      </c>
    </row>
    <row r="762" spans="1:11" x14ac:dyDescent="0.25">
      <c r="A762" t="s">
        <v>129</v>
      </c>
      <c r="B762" t="s">
        <v>43</v>
      </c>
      <c r="C762" t="s">
        <v>30</v>
      </c>
      <c r="D762">
        <v>2019</v>
      </c>
      <c r="E762" t="s">
        <v>119</v>
      </c>
      <c r="F762" t="s">
        <v>108</v>
      </c>
      <c r="G762" t="s">
        <v>30</v>
      </c>
      <c r="H762">
        <v>3850.5952952805674</v>
      </c>
      <c r="I762">
        <v>79899.852377071773</v>
      </c>
      <c r="J762">
        <v>0</v>
      </c>
      <c r="K762">
        <v>79899.852377071773</v>
      </c>
    </row>
    <row r="763" spans="1:11" x14ac:dyDescent="0.25">
      <c r="A763" t="s">
        <v>129</v>
      </c>
      <c r="B763" t="s">
        <v>43</v>
      </c>
      <c r="C763" t="s">
        <v>31</v>
      </c>
      <c r="D763">
        <v>2019</v>
      </c>
      <c r="E763" t="s">
        <v>119</v>
      </c>
      <c r="F763" t="s">
        <v>108</v>
      </c>
      <c r="G763" t="s">
        <v>31</v>
      </c>
      <c r="H763">
        <v>2470.1663355738019</v>
      </c>
      <c r="I763">
        <v>104910.18611455506</v>
      </c>
      <c r="J763">
        <v>0</v>
      </c>
      <c r="K763">
        <v>104910.18611455506</v>
      </c>
    </row>
    <row r="764" spans="1:11" x14ac:dyDescent="0.25">
      <c r="A764" t="s">
        <v>129</v>
      </c>
      <c r="B764" t="s">
        <v>43</v>
      </c>
      <c r="C764" t="s">
        <v>55</v>
      </c>
      <c r="D764">
        <v>2019</v>
      </c>
      <c r="E764" t="s">
        <v>119</v>
      </c>
      <c r="F764" t="s">
        <v>108</v>
      </c>
      <c r="G764" t="s">
        <v>55</v>
      </c>
      <c r="H764">
        <v>25678.880997566026</v>
      </c>
      <c r="I764">
        <v>2086504.8977723797</v>
      </c>
      <c r="J764">
        <v>0</v>
      </c>
      <c r="K764">
        <v>2086504.8977723797</v>
      </c>
    </row>
    <row r="765" spans="1:11" x14ac:dyDescent="0.25">
      <c r="A765" t="s">
        <v>129</v>
      </c>
      <c r="B765" t="s">
        <v>43</v>
      </c>
      <c r="C765" t="s">
        <v>54</v>
      </c>
      <c r="D765">
        <v>2019</v>
      </c>
      <c r="E765" t="s">
        <v>119</v>
      </c>
      <c r="F765" t="s">
        <v>108</v>
      </c>
      <c r="G765" t="s">
        <v>54</v>
      </c>
      <c r="H765">
        <v>7262.9431424427694</v>
      </c>
      <c r="I765">
        <v>323273.59927012771</v>
      </c>
      <c r="J765">
        <v>0</v>
      </c>
      <c r="K765">
        <v>323273.59927012771</v>
      </c>
    </row>
    <row r="766" spans="1:11" x14ac:dyDescent="0.25">
      <c r="A766" t="s">
        <v>129</v>
      </c>
      <c r="B766" t="s">
        <v>43</v>
      </c>
      <c r="C766" t="s">
        <v>41</v>
      </c>
      <c r="D766">
        <v>2019</v>
      </c>
      <c r="E766" t="s">
        <v>119</v>
      </c>
      <c r="F766" t="s">
        <v>108</v>
      </c>
      <c r="G766" t="s">
        <v>41</v>
      </c>
      <c r="H766">
        <v>1689.9505584470551</v>
      </c>
      <c r="I766">
        <v>14347.680241215501</v>
      </c>
      <c r="J766">
        <v>0</v>
      </c>
      <c r="K766">
        <v>14347.680241215501</v>
      </c>
    </row>
    <row r="767" spans="1:11" x14ac:dyDescent="0.25">
      <c r="A767" t="s">
        <v>129</v>
      </c>
      <c r="B767" t="s">
        <v>43</v>
      </c>
      <c r="C767" t="s">
        <v>80</v>
      </c>
      <c r="D767">
        <v>2019</v>
      </c>
      <c r="E767" t="s">
        <v>119</v>
      </c>
      <c r="F767" t="s">
        <v>108</v>
      </c>
      <c r="G767" t="s">
        <v>80</v>
      </c>
      <c r="H767">
        <v>12067.066633104925</v>
      </c>
      <c r="I767">
        <v>359549.63570951426</v>
      </c>
      <c r="J767">
        <v>0</v>
      </c>
      <c r="K767">
        <v>359549.63570951426</v>
      </c>
    </row>
    <row r="768" spans="1:11" x14ac:dyDescent="0.25">
      <c r="A768" t="s">
        <v>129</v>
      </c>
      <c r="B768" t="s">
        <v>43</v>
      </c>
      <c r="C768" t="s">
        <v>75</v>
      </c>
      <c r="D768">
        <v>2019</v>
      </c>
      <c r="E768" t="s">
        <v>119</v>
      </c>
      <c r="F768" t="s">
        <v>108</v>
      </c>
      <c r="G768" t="s">
        <v>52</v>
      </c>
      <c r="H768">
        <v>37335.148248827281</v>
      </c>
      <c r="I768">
        <v>533476.73476254696</v>
      </c>
      <c r="J768">
        <v>88626.174913066206</v>
      </c>
      <c r="K768">
        <v>88626.174913066206</v>
      </c>
    </row>
    <row r="769" spans="1:11" x14ac:dyDescent="0.25">
      <c r="A769" t="s">
        <v>129</v>
      </c>
      <c r="B769" t="s">
        <v>43</v>
      </c>
      <c r="C769" t="s">
        <v>78</v>
      </c>
      <c r="D769">
        <v>2019</v>
      </c>
      <c r="E769" t="s">
        <v>119</v>
      </c>
      <c r="F769" t="s">
        <v>108</v>
      </c>
      <c r="G769" t="s">
        <v>78</v>
      </c>
      <c r="H769">
        <v>2648.1429081925139</v>
      </c>
      <c r="I769">
        <v>132407.14540962569</v>
      </c>
      <c r="J769">
        <v>0</v>
      </c>
      <c r="K769">
        <v>132407.14540962569</v>
      </c>
    </row>
    <row r="770" spans="1:11" x14ac:dyDescent="0.25">
      <c r="A770" t="s">
        <v>129</v>
      </c>
      <c r="B770" t="s">
        <v>43</v>
      </c>
      <c r="C770" t="s">
        <v>65</v>
      </c>
      <c r="D770">
        <v>2019</v>
      </c>
      <c r="E770" t="s">
        <v>119</v>
      </c>
      <c r="F770" t="s">
        <v>108</v>
      </c>
      <c r="G770" t="s">
        <v>65</v>
      </c>
      <c r="H770">
        <v>1258.7577822820135</v>
      </c>
      <c r="I770">
        <v>30701.40932395155</v>
      </c>
      <c r="J770">
        <v>0</v>
      </c>
      <c r="K770">
        <v>30701.40932395155</v>
      </c>
    </row>
    <row r="771" spans="1:11" x14ac:dyDescent="0.25">
      <c r="A771" t="s">
        <v>129</v>
      </c>
      <c r="B771" t="s">
        <v>43</v>
      </c>
      <c r="C771" t="s">
        <v>120</v>
      </c>
      <c r="D771">
        <v>2019</v>
      </c>
      <c r="E771" t="s">
        <v>119</v>
      </c>
      <c r="F771" t="s">
        <v>108</v>
      </c>
      <c r="G771" t="s">
        <v>53</v>
      </c>
      <c r="H771">
        <v>31352.142273239417</v>
      </c>
      <c r="I771">
        <v>432346.04194797156</v>
      </c>
      <c r="J771">
        <v>0</v>
      </c>
      <c r="K771">
        <v>432346.04194797156</v>
      </c>
    </row>
    <row r="772" spans="1:11" x14ac:dyDescent="0.25">
      <c r="A772" t="s">
        <v>129</v>
      </c>
      <c r="B772" t="s">
        <v>43</v>
      </c>
      <c r="C772" t="s">
        <v>29</v>
      </c>
      <c r="D772">
        <v>2030</v>
      </c>
      <c r="E772" t="s">
        <v>119</v>
      </c>
      <c r="F772" t="s">
        <v>108</v>
      </c>
      <c r="G772" t="s">
        <v>52</v>
      </c>
      <c r="H772">
        <v>284372.46181096468</v>
      </c>
      <c r="I772">
        <v>1993450.9572948625</v>
      </c>
      <c r="J772">
        <v>646874.83564218285</v>
      </c>
      <c r="K772">
        <v>646874.83564218285</v>
      </c>
    </row>
    <row r="773" spans="1:11" x14ac:dyDescent="0.25">
      <c r="A773" t="s">
        <v>129</v>
      </c>
      <c r="B773" t="s">
        <v>43</v>
      </c>
      <c r="C773" t="s">
        <v>34</v>
      </c>
      <c r="D773">
        <v>2030</v>
      </c>
      <c r="E773" t="s">
        <v>119</v>
      </c>
      <c r="F773" t="s">
        <v>108</v>
      </c>
      <c r="G773" t="s">
        <v>52</v>
      </c>
      <c r="H773">
        <v>6197.8513989730473</v>
      </c>
      <c r="I773">
        <v>23923.706400035964</v>
      </c>
      <c r="J773">
        <v>7061.1501203360021</v>
      </c>
      <c r="K773">
        <v>7061.1501203360021</v>
      </c>
    </row>
    <row r="774" spans="1:11" x14ac:dyDescent="0.25">
      <c r="A774" t="s">
        <v>129</v>
      </c>
      <c r="B774" t="s">
        <v>43</v>
      </c>
      <c r="C774" t="s">
        <v>72</v>
      </c>
      <c r="D774">
        <v>2030</v>
      </c>
      <c r="E774" t="s">
        <v>119</v>
      </c>
      <c r="F774" t="s">
        <v>108</v>
      </c>
      <c r="G774" t="s">
        <v>52</v>
      </c>
      <c r="H774">
        <v>39315.487698414414</v>
      </c>
      <c r="I774">
        <v>172988.14587302343</v>
      </c>
      <c r="J774">
        <v>91856.705458575452</v>
      </c>
      <c r="K774">
        <v>91856.705458575452</v>
      </c>
    </row>
    <row r="775" spans="1:11" x14ac:dyDescent="0.25">
      <c r="A775" t="s">
        <v>129</v>
      </c>
      <c r="B775" t="s">
        <v>43</v>
      </c>
      <c r="C775" t="s">
        <v>53</v>
      </c>
      <c r="D775">
        <v>2030</v>
      </c>
      <c r="E775" t="s">
        <v>119</v>
      </c>
      <c r="F775" t="s">
        <v>108</v>
      </c>
      <c r="G775" t="s">
        <v>53</v>
      </c>
      <c r="H775">
        <v>23885.137786208805</v>
      </c>
      <c r="I775">
        <v>1185180.5369516809</v>
      </c>
      <c r="J775">
        <v>0</v>
      </c>
      <c r="K775">
        <v>1185180.5369516809</v>
      </c>
    </row>
    <row r="776" spans="1:11" x14ac:dyDescent="0.25">
      <c r="A776" t="s">
        <v>129</v>
      </c>
      <c r="B776" t="s">
        <v>43</v>
      </c>
      <c r="C776" t="s">
        <v>30</v>
      </c>
      <c r="D776">
        <v>2030</v>
      </c>
      <c r="E776" t="s">
        <v>119</v>
      </c>
      <c r="F776" t="s">
        <v>108</v>
      </c>
      <c r="G776" t="s">
        <v>30</v>
      </c>
      <c r="H776">
        <v>3742.8073387443319</v>
      </c>
      <c r="I776">
        <v>77663.252278944885</v>
      </c>
      <c r="J776">
        <v>0</v>
      </c>
      <c r="K776">
        <v>77663.252278944885</v>
      </c>
    </row>
    <row r="777" spans="1:11" x14ac:dyDescent="0.25">
      <c r="A777" t="s">
        <v>129</v>
      </c>
      <c r="B777" t="s">
        <v>43</v>
      </c>
      <c r="C777" t="s">
        <v>31</v>
      </c>
      <c r="D777">
        <v>2030</v>
      </c>
      <c r="E777" t="s">
        <v>119</v>
      </c>
      <c r="F777" t="s">
        <v>108</v>
      </c>
      <c r="G777" t="s">
        <v>31</v>
      </c>
      <c r="H777">
        <v>2401.0200968240606</v>
      </c>
      <c r="I777">
        <v>101973.48315982398</v>
      </c>
      <c r="J777">
        <v>0</v>
      </c>
      <c r="K777">
        <v>101973.48315982398</v>
      </c>
    </row>
    <row r="778" spans="1:11" x14ac:dyDescent="0.25">
      <c r="A778" t="s">
        <v>129</v>
      </c>
      <c r="B778" t="s">
        <v>43</v>
      </c>
      <c r="C778" t="s">
        <v>55</v>
      </c>
      <c r="D778">
        <v>2030</v>
      </c>
      <c r="E778" t="s">
        <v>119</v>
      </c>
      <c r="F778" t="s">
        <v>108</v>
      </c>
      <c r="G778" t="s">
        <v>55</v>
      </c>
      <c r="H778">
        <v>24960.063802661847</v>
      </c>
      <c r="I778">
        <v>2028098.3185327027</v>
      </c>
      <c r="J778">
        <v>0</v>
      </c>
      <c r="K778">
        <v>2028098.3185327027</v>
      </c>
    </row>
    <row r="779" spans="1:11" x14ac:dyDescent="0.25">
      <c r="A779" t="s">
        <v>129</v>
      </c>
      <c r="B779" t="s">
        <v>43</v>
      </c>
      <c r="C779" t="s">
        <v>54</v>
      </c>
      <c r="D779">
        <v>2030</v>
      </c>
      <c r="E779" t="s">
        <v>119</v>
      </c>
      <c r="F779" t="s">
        <v>108</v>
      </c>
      <c r="G779" t="s">
        <v>54</v>
      </c>
      <c r="H779">
        <v>7059.6348901519423</v>
      </c>
      <c r="I779">
        <v>314224.34896066296</v>
      </c>
      <c r="J779">
        <v>0</v>
      </c>
      <c r="K779">
        <v>314224.34896066296</v>
      </c>
    </row>
    <row r="780" spans="1:11" x14ac:dyDescent="0.25">
      <c r="A780" t="s">
        <v>129</v>
      </c>
      <c r="B780" t="s">
        <v>43</v>
      </c>
      <c r="C780" t="s">
        <v>41</v>
      </c>
      <c r="D780">
        <v>2030</v>
      </c>
      <c r="E780" t="s">
        <v>119</v>
      </c>
      <c r="F780" t="s">
        <v>108</v>
      </c>
      <c r="G780" t="s">
        <v>41</v>
      </c>
      <c r="H780">
        <v>1642.6445438249691</v>
      </c>
      <c r="I780">
        <v>13946.052177073991</v>
      </c>
      <c r="J780">
        <v>0</v>
      </c>
      <c r="K780">
        <v>13946.052177073991</v>
      </c>
    </row>
    <row r="781" spans="1:11" x14ac:dyDescent="0.25">
      <c r="A781" t="s">
        <v>129</v>
      </c>
      <c r="B781" t="s">
        <v>43</v>
      </c>
      <c r="C781" t="s">
        <v>80</v>
      </c>
      <c r="D781">
        <v>2030</v>
      </c>
      <c r="E781" t="s">
        <v>119</v>
      </c>
      <c r="F781" t="s">
        <v>108</v>
      </c>
      <c r="G781" t="s">
        <v>80</v>
      </c>
      <c r="H781">
        <v>11729.278744732668</v>
      </c>
      <c r="I781">
        <v>349484.92686982499</v>
      </c>
      <c r="J781">
        <v>0</v>
      </c>
      <c r="K781">
        <v>349484.92686982499</v>
      </c>
    </row>
    <row r="782" spans="1:11" x14ac:dyDescent="0.25">
      <c r="A782" t="s">
        <v>129</v>
      </c>
      <c r="B782" t="s">
        <v>43</v>
      </c>
      <c r="C782" t="s">
        <v>75</v>
      </c>
      <c r="D782">
        <v>2030</v>
      </c>
      <c r="E782" t="s">
        <v>119</v>
      </c>
      <c r="F782" t="s">
        <v>108</v>
      </c>
      <c r="G782" t="s">
        <v>52</v>
      </c>
      <c r="H782">
        <v>36290.042485141646</v>
      </c>
      <c r="I782">
        <v>518543.36402629869</v>
      </c>
      <c r="J782">
        <v>85644.500264934293</v>
      </c>
      <c r="K782">
        <v>85644.500264934293</v>
      </c>
    </row>
    <row r="783" spans="1:11" x14ac:dyDescent="0.25">
      <c r="A783" t="s">
        <v>129</v>
      </c>
      <c r="B783" t="s">
        <v>43</v>
      </c>
      <c r="C783" t="s">
        <v>78</v>
      </c>
      <c r="D783">
        <v>2030</v>
      </c>
      <c r="E783" t="s">
        <v>119</v>
      </c>
      <c r="F783" t="s">
        <v>108</v>
      </c>
      <c r="G783" t="s">
        <v>78</v>
      </c>
      <c r="H783">
        <v>2574.0146524810302</v>
      </c>
      <c r="I783">
        <v>128700.73262405151</v>
      </c>
      <c r="J783">
        <v>0</v>
      </c>
      <c r="K783">
        <v>128700.73262405151</v>
      </c>
    </row>
    <row r="784" spans="1:11" x14ac:dyDescent="0.25">
      <c r="A784" t="s">
        <v>129</v>
      </c>
      <c r="B784" t="s">
        <v>43</v>
      </c>
      <c r="C784" t="s">
        <v>65</v>
      </c>
      <c r="D784">
        <v>2030</v>
      </c>
      <c r="E784" t="s">
        <v>119</v>
      </c>
      <c r="F784" t="s">
        <v>108</v>
      </c>
      <c r="G784" t="s">
        <v>65</v>
      </c>
      <c r="H784">
        <v>1223.5219502296152</v>
      </c>
      <c r="I784">
        <v>29841.998786088181</v>
      </c>
      <c r="J784">
        <v>0</v>
      </c>
      <c r="K784">
        <v>29841.998786088181</v>
      </c>
    </row>
    <row r="785" spans="1:11" x14ac:dyDescent="0.25">
      <c r="A785" t="s">
        <v>129</v>
      </c>
      <c r="B785" t="s">
        <v>43</v>
      </c>
      <c r="C785" t="s">
        <v>120</v>
      </c>
      <c r="D785">
        <v>2030</v>
      </c>
      <c r="E785" t="s">
        <v>119</v>
      </c>
      <c r="F785" t="s">
        <v>108</v>
      </c>
      <c r="G785" t="s">
        <v>53</v>
      </c>
      <c r="H785">
        <v>30474.516064946976</v>
      </c>
      <c r="I785">
        <v>420243.57653561886</v>
      </c>
      <c r="J785">
        <v>0</v>
      </c>
      <c r="K785">
        <v>420243.57653561886</v>
      </c>
    </row>
    <row r="786" spans="1:11" x14ac:dyDescent="0.25">
      <c r="A786" t="s">
        <v>129</v>
      </c>
      <c r="B786" t="s">
        <v>43</v>
      </c>
      <c r="C786" t="s">
        <v>29</v>
      </c>
      <c r="D786">
        <v>2050</v>
      </c>
      <c r="E786" t="s">
        <v>119</v>
      </c>
      <c r="F786" t="s">
        <v>108</v>
      </c>
      <c r="G786" t="s">
        <v>52</v>
      </c>
      <c r="H786">
        <v>269399.56788001256</v>
      </c>
      <c r="I786">
        <v>1888490.9708388881</v>
      </c>
      <c r="J786">
        <v>612815.32003721921</v>
      </c>
      <c r="K786">
        <v>612815.32003721921</v>
      </c>
    </row>
    <row r="787" spans="1:11" x14ac:dyDescent="0.25">
      <c r="A787" t="s">
        <v>129</v>
      </c>
      <c r="B787" t="s">
        <v>43</v>
      </c>
      <c r="C787" t="s">
        <v>34</v>
      </c>
      <c r="D787">
        <v>2050</v>
      </c>
      <c r="E787" t="s">
        <v>119</v>
      </c>
      <c r="F787" t="s">
        <v>108</v>
      </c>
      <c r="G787" t="s">
        <v>52</v>
      </c>
      <c r="H787">
        <v>5871.5196191458026</v>
      </c>
      <c r="I787">
        <v>22664.065729902799</v>
      </c>
      <c r="J787">
        <v>6689.3635868966203</v>
      </c>
      <c r="K787">
        <v>6689.3635868966203</v>
      </c>
    </row>
    <row r="788" spans="1:11" x14ac:dyDescent="0.25">
      <c r="A788" t="s">
        <v>129</v>
      </c>
      <c r="B788" t="s">
        <v>43</v>
      </c>
      <c r="C788" t="s">
        <v>72</v>
      </c>
      <c r="D788">
        <v>2050</v>
      </c>
      <c r="E788" t="s">
        <v>119</v>
      </c>
      <c r="F788" t="s">
        <v>108</v>
      </c>
      <c r="G788" t="s">
        <v>52</v>
      </c>
      <c r="H788">
        <v>37245.432731055007</v>
      </c>
      <c r="I788">
        <v>163879.90401664205</v>
      </c>
      <c r="J788">
        <v>87020.229032836913</v>
      </c>
      <c r="K788">
        <v>87020.229032836913</v>
      </c>
    </row>
    <row r="789" spans="1:11" x14ac:dyDescent="0.25">
      <c r="A789" t="s">
        <v>129</v>
      </c>
      <c r="B789" t="s">
        <v>43</v>
      </c>
      <c r="C789" t="s">
        <v>53</v>
      </c>
      <c r="D789">
        <v>2050</v>
      </c>
      <c r="E789" t="s">
        <v>119</v>
      </c>
      <c r="F789" t="s">
        <v>108</v>
      </c>
      <c r="G789" t="s">
        <v>53</v>
      </c>
      <c r="H789">
        <v>22627.527846337711</v>
      </c>
      <c r="I789">
        <v>1122777.9317352772</v>
      </c>
      <c r="J789">
        <v>0</v>
      </c>
      <c r="K789">
        <v>1122777.9317352772</v>
      </c>
    </row>
    <row r="790" spans="1:11" x14ac:dyDescent="0.25">
      <c r="A790" t="s">
        <v>129</v>
      </c>
      <c r="B790" t="s">
        <v>43</v>
      </c>
      <c r="C790" t="s">
        <v>30</v>
      </c>
      <c r="D790">
        <v>2050</v>
      </c>
      <c r="E790" t="s">
        <v>119</v>
      </c>
      <c r="F790" t="s">
        <v>108</v>
      </c>
      <c r="G790" t="s">
        <v>30</v>
      </c>
      <c r="H790">
        <v>3545.7395322129769</v>
      </c>
      <c r="I790">
        <v>73574.095293419276</v>
      </c>
      <c r="J790">
        <v>0</v>
      </c>
      <c r="K790">
        <v>73574.095293419276</v>
      </c>
    </row>
    <row r="791" spans="1:11" x14ac:dyDescent="0.25">
      <c r="A791" t="s">
        <v>129</v>
      </c>
      <c r="B791" t="s">
        <v>43</v>
      </c>
      <c r="C791" t="s">
        <v>31</v>
      </c>
      <c r="D791">
        <v>2050</v>
      </c>
      <c r="E791" t="s">
        <v>119</v>
      </c>
      <c r="F791" t="s">
        <v>108</v>
      </c>
      <c r="G791" t="s">
        <v>31</v>
      </c>
      <c r="H791">
        <v>2274.6006151102201</v>
      </c>
      <c r="I791">
        <v>96604.334060792258</v>
      </c>
      <c r="J791">
        <v>0</v>
      </c>
      <c r="K791">
        <v>96604.334060792258</v>
      </c>
    </row>
    <row r="792" spans="1:11" x14ac:dyDescent="0.25">
      <c r="A792" t="s">
        <v>129</v>
      </c>
      <c r="B792" t="s">
        <v>43</v>
      </c>
      <c r="C792" t="s">
        <v>55</v>
      </c>
      <c r="D792">
        <v>2050</v>
      </c>
      <c r="E792" t="s">
        <v>119</v>
      </c>
      <c r="F792" t="s">
        <v>108</v>
      </c>
      <c r="G792" t="s">
        <v>55</v>
      </c>
      <c r="H792">
        <v>23645.856423202276</v>
      </c>
      <c r="I792">
        <v>1921314.0651927341</v>
      </c>
      <c r="J792">
        <v>0</v>
      </c>
      <c r="K792">
        <v>1921314.0651927341</v>
      </c>
    </row>
    <row r="793" spans="1:11" x14ac:dyDescent="0.25">
      <c r="A793" t="s">
        <v>129</v>
      </c>
      <c r="B793" t="s">
        <v>43</v>
      </c>
      <c r="C793" t="s">
        <v>54</v>
      </c>
      <c r="D793">
        <v>2050</v>
      </c>
      <c r="E793" t="s">
        <v>119</v>
      </c>
      <c r="F793" t="s">
        <v>108</v>
      </c>
      <c r="G793" t="s">
        <v>54</v>
      </c>
      <c r="H793">
        <v>6687.9281372253527</v>
      </c>
      <c r="I793">
        <v>297679.68138790049</v>
      </c>
      <c r="J793">
        <v>0</v>
      </c>
      <c r="K793">
        <v>297679.68138790049</v>
      </c>
    </row>
    <row r="794" spans="1:11" x14ac:dyDescent="0.25">
      <c r="A794" t="s">
        <v>129</v>
      </c>
      <c r="B794" t="s">
        <v>43</v>
      </c>
      <c r="C794" t="s">
        <v>41</v>
      </c>
      <c r="D794">
        <v>2050</v>
      </c>
      <c r="E794" t="s">
        <v>119</v>
      </c>
      <c r="F794" t="s">
        <v>108</v>
      </c>
      <c r="G794" t="s">
        <v>41</v>
      </c>
      <c r="H794">
        <v>1556.1553586052762</v>
      </c>
      <c r="I794">
        <v>13211.758994558797</v>
      </c>
      <c r="J794">
        <v>0</v>
      </c>
      <c r="K794">
        <v>13211.758994558797</v>
      </c>
    </row>
    <row r="795" spans="1:11" x14ac:dyDescent="0.25">
      <c r="A795" t="s">
        <v>129</v>
      </c>
      <c r="B795" t="s">
        <v>43</v>
      </c>
      <c r="C795" t="s">
        <v>80</v>
      </c>
      <c r="D795">
        <v>2050</v>
      </c>
      <c r="E795" t="s">
        <v>119</v>
      </c>
      <c r="F795" t="s">
        <v>108</v>
      </c>
      <c r="G795" t="s">
        <v>80</v>
      </c>
      <c r="H795">
        <v>11111.704013997321</v>
      </c>
      <c r="I795">
        <v>331083.70508075121</v>
      </c>
      <c r="J795">
        <v>0</v>
      </c>
      <c r="K795">
        <v>331083.70508075121</v>
      </c>
    </row>
    <row r="796" spans="1:11" x14ac:dyDescent="0.25">
      <c r="A796" t="s">
        <v>129</v>
      </c>
      <c r="B796" t="s">
        <v>43</v>
      </c>
      <c r="C796" t="s">
        <v>75</v>
      </c>
      <c r="D796">
        <v>2050</v>
      </c>
      <c r="E796" t="s">
        <v>119</v>
      </c>
      <c r="F796" t="s">
        <v>108</v>
      </c>
      <c r="G796" t="s">
        <v>52</v>
      </c>
      <c r="H796">
        <v>34379.284483401752</v>
      </c>
      <c r="I796">
        <v>491240.80899434892</v>
      </c>
      <c r="J796">
        <v>81135.111380828137</v>
      </c>
      <c r="K796">
        <v>81135.111380828137</v>
      </c>
    </row>
    <row r="797" spans="1:11" x14ac:dyDescent="0.25">
      <c r="A797" t="s">
        <v>129</v>
      </c>
      <c r="B797" t="s">
        <v>43</v>
      </c>
      <c r="C797" t="s">
        <v>78</v>
      </c>
      <c r="D797">
        <v>2050</v>
      </c>
      <c r="E797" t="s">
        <v>119</v>
      </c>
      <c r="F797" t="s">
        <v>108</v>
      </c>
      <c r="G797" t="s">
        <v>78</v>
      </c>
      <c r="H797">
        <v>2438.4865914202696</v>
      </c>
      <c r="I797">
        <v>121924.32957101348</v>
      </c>
      <c r="J797">
        <v>0</v>
      </c>
      <c r="K797">
        <v>121924.32957101348</v>
      </c>
    </row>
    <row r="798" spans="1:11" x14ac:dyDescent="0.25">
      <c r="A798" t="s">
        <v>129</v>
      </c>
      <c r="B798" t="s">
        <v>43</v>
      </c>
      <c r="C798" t="s">
        <v>65</v>
      </c>
      <c r="D798">
        <v>2050</v>
      </c>
      <c r="E798" t="s">
        <v>119</v>
      </c>
      <c r="F798" t="s">
        <v>108</v>
      </c>
      <c r="G798" t="s">
        <v>65</v>
      </c>
      <c r="H798">
        <v>1159.1005774063997</v>
      </c>
      <c r="I798">
        <v>28270.745790399997</v>
      </c>
      <c r="J798">
        <v>0</v>
      </c>
      <c r="K798">
        <v>28270.745790399997</v>
      </c>
    </row>
    <row r="799" spans="1:11" x14ac:dyDescent="0.25">
      <c r="A799" t="s">
        <v>129</v>
      </c>
      <c r="B799" t="s">
        <v>43</v>
      </c>
      <c r="C799" t="s">
        <v>120</v>
      </c>
      <c r="D799">
        <v>2050</v>
      </c>
      <c r="E799" t="s">
        <v>119</v>
      </c>
      <c r="F799" t="s">
        <v>108</v>
      </c>
      <c r="G799" t="s">
        <v>53</v>
      </c>
      <c r="H799">
        <v>28869.959513543392</v>
      </c>
      <c r="I799">
        <v>398116.7416917634</v>
      </c>
      <c r="J799">
        <v>0</v>
      </c>
      <c r="K799">
        <v>398116.7416917634</v>
      </c>
    </row>
    <row r="800" spans="1:11" x14ac:dyDescent="0.25">
      <c r="A800" t="s">
        <v>129</v>
      </c>
      <c r="B800" t="s">
        <v>43</v>
      </c>
      <c r="C800" t="s">
        <v>29</v>
      </c>
      <c r="D800">
        <v>2019</v>
      </c>
      <c r="E800" t="s">
        <v>121</v>
      </c>
      <c r="F800" t="s">
        <v>108</v>
      </c>
      <c r="G800" t="s">
        <v>52</v>
      </c>
      <c r="H800">
        <v>37407.422491325582</v>
      </c>
      <c r="I800">
        <v>175691.44121500885</v>
      </c>
      <c r="J800">
        <v>57345.247183975873</v>
      </c>
      <c r="K800">
        <v>57345.247183975873</v>
      </c>
    </row>
    <row r="801" spans="1:11" x14ac:dyDescent="0.25">
      <c r="A801" t="s">
        <v>129</v>
      </c>
      <c r="B801" t="s">
        <v>43</v>
      </c>
      <c r="C801" t="s">
        <v>34</v>
      </c>
      <c r="D801">
        <v>2019</v>
      </c>
      <c r="E801" t="s">
        <v>121</v>
      </c>
      <c r="F801" t="s">
        <v>108</v>
      </c>
      <c r="G801" t="s">
        <v>52</v>
      </c>
      <c r="H801">
        <v>815.28866875287099</v>
      </c>
      <c r="I801">
        <v>1793.798128990067</v>
      </c>
      <c r="J801">
        <v>532.54053466904622</v>
      </c>
      <c r="K801">
        <v>532.54053466904622</v>
      </c>
    </row>
    <row r="802" spans="1:11" x14ac:dyDescent="0.25">
      <c r="A802" t="s">
        <v>129</v>
      </c>
      <c r="B802" t="s">
        <v>43</v>
      </c>
      <c r="C802" t="s">
        <v>72</v>
      </c>
      <c r="D802">
        <v>2019</v>
      </c>
      <c r="E802" t="s">
        <v>121</v>
      </c>
      <c r="F802" t="s">
        <v>108</v>
      </c>
      <c r="G802" t="s">
        <v>52</v>
      </c>
      <c r="H802">
        <v>5171.7070261351</v>
      </c>
      <c r="I802">
        <v>12515.531003246942</v>
      </c>
      <c r="J802">
        <v>6684.6076864892093</v>
      </c>
      <c r="K802">
        <v>6684.6076864892093</v>
      </c>
    </row>
    <row r="803" spans="1:11" x14ac:dyDescent="0.25">
      <c r="A803" t="s">
        <v>129</v>
      </c>
      <c r="B803" t="s">
        <v>43</v>
      </c>
      <c r="C803" t="s">
        <v>53</v>
      </c>
      <c r="D803">
        <v>2019</v>
      </c>
      <c r="E803" t="s">
        <v>121</v>
      </c>
      <c r="F803" t="s">
        <v>108</v>
      </c>
      <c r="G803" t="s">
        <v>53</v>
      </c>
      <c r="H803">
        <v>3141.9408009562312</v>
      </c>
      <c r="I803">
        <v>121604.41998388959</v>
      </c>
      <c r="J803">
        <v>0</v>
      </c>
      <c r="K803">
        <v>121604.41998388959</v>
      </c>
    </row>
    <row r="804" spans="1:11" x14ac:dyDescent="0.25">
      <c r="A804" t="s">
        <v>129</v>
      </c>
      <c r="B804" t="s">
        <v>43</v>
      </c>
      <c r="C804" t="s">
        <v>30</v>
      </c>
      <c r="D804">
        <v>2019</v>
      </c>
      <c r="E804" t="s">
        <v>121</v>
      </c>
      <c r="F804" t="s">
        <v>108</v>
      </c>
      <c r="G804" t="s">
        <v>30</v>
      </c>
      <c r="H804">
        <v>492.34294534860186</v>
      </c>
      <c r="I804">
        <v>5823.1861861105881</v>
      </c>
      <c r="J804">
        <v>0</v>
      </c>
      <c r="K804">
        <v>5823.1861861105881</v>
      </c>
    </row>
    <row r="805" spans="1:11" x14ac:dyDescent="0.25">
      <c r="A805" t="s">
        <v>129</v>
      </c>
      <c r="B805" t="s">
        <v>43</v>
      </c>
      <c r="C805" t="s">
        <v>31</v>
      </c>
      <c r="D805">
        <v>2019</v>
      </c>
      <c r="E805" t="s">
        <v>121</v>
      </c>
      <c r="F805" t="s">
        <v>108</v>
      </c>
      <c r="G805" t="s">
        <v>31</v>
      </c>
      <c r="H805">
        <v>315.83920819930114</v>
      </c>
      <c r="I805">
        <v>7645.9658984285725</v>
      </c>
      <c r="J805">
        <v>0</v>
      </c>
      <c r="K805">
        <v>7645.9658984285725</v>
      </c>
    </row>
    <row r="806" spans="1:11" x14ac:dyDescent="0.25">
      <c r="A806" t="s">
        <v>129</v>
      </c>
      <c r="B806" t="s">
        <v>43</v>
      </c>
      <c r="C806" t="s">
        <v>55</v>
      </c>
      <c r="D806">
        <v>2019</v>
      </c>
      <c r="E806" t="s">
        <v>121</v>
      </c>
      <c r="F806" t="s">
        <v>108</v>
      </c>
      <c r="G806" t="s">
        <v>55</v>
      </c>
      <c r="H806">
        <v>3283.3406094619722</v>
      </c>
      <c r="I806">
        <v>152066.69520013814</v>
      </c>
      <c r="J806">
        <v>0</v>
      </c>
      <c r="K806">
        <v>152066.69520013814</v>
      </c>
    </row>
    <row r="807" spans="1:11" x14ac:dyDescent="0.25">
      <c r="A807" t="s">
        <v>129</v>
      </c>
      <c r="B807" t="s">
        <v>43</v>
      </c>
      <c r="C807" t="s">
        <v>54</v>
      </c>
      <c r="D807">
        <v>2019</v>
      </c>
      <c r="E807" t="s">
        <v>121</v>
      </c>
      <c r="F807" t="s">
        <v>108</v>
      </c>
      <c r="G807" t="s">
        <v>54</v>
      </c>
      <c r="H807">
        <v>928.65090834978378</v>
      </c>
      <c r="I807">
        <v>34307.429102438567</v>
      </c>
      <c r="J807">
        <v>0</v>
      </c>
      <c r="K807">
        <v>34307.429102438567</v>
      </c>
    </row>
    <row r="808" spans="1:11" x14ac:dyDescent="0.25">
      <c r="A808" t="s">
        <v>129</v>
      </c>
      <c r="B808" t="s">
        <v>43</v>
      </c>
      <c r="C808" t="s">
        <v>41</v>
      </c>
      <c r="D808">
        <v>2019</v>
      </c>
      <c r="E808" t="s">
        <v>121</v>
      </c>
      <c r="F808" t="s">
        <v>108</v>
      </c>
      <c r="G808" t="s">
        <v>41</v>
      </c>
      <c r="H808">
        <v>216.07963746777307</v>
      </c>
      <c r="I808">
        <v>1045.6741895977943</v>
      </c>
      <c r="J808">
        <v>0</v>
      </c>
      <c r="K808">
        <v>1045.6741895977943</v>
      </c>
    </row>
    <row r="809" spans="1:11" x14ac:dyDescent="0.25">
      <c r="A809" t="s">
        <v>129</v>
      </c>
      <c r="B809" t="s">
        <v>43</v>
      </c>
      <c r="C809" t="s">
        <v>80</v>
      </c>
      <c r="D809">
        <v>2019</v>
      </c>
      <c r="E809" t="s">
        <v>121</v>
      </c>
      <c r="F809" t="s">
        <v>108</v>
      </c>
      <c r="G809" t="s">
        <v>80</v>
      </c>
      <c r="H809">
        <v>1542.9134126721628</v>
      </c>
      <c r="I809">
        <v>26204.359702741538</v>
      </c>
      <c r="J809">
        <v>0</v>
      </c>
      <c r="K809">
        <v>26204.359702741538</v>
      </c>
    </row>
    <row r="810" spans="1:11" x14ac:dyDescent="0.25">
      <c r="A810" t="s">
        <v>129</v>
      </c>
      <c r="B810" t="s">
        <v>43</v>
      </c>
      <c r="C810" t="s">
        <v>75</v>
      </c>
      <c r="D810">
        <v>2019</v>
      </c>
      <c r="E810" t="s">
        <v>121</v>
      </c>
      <c r="F810" t="s">
        <v>108</v>
      </c>
      <c r="G810" t="s">
        <v>52</v>
      </c>
      <c r="H810">
        <v>4773.7285911047593</v>
      </c>
      <c r="I810">
        <v>38880.351590888582</v>
      </c>
      <c r="J810">
        <v>6459.1698498517526</v>
      </c>
      <c r="K810">
        <v>6459.1698498517526</v>
      </c>
    </row>
    <row r="811" spans="1:11" x14ac:dyDescent="0.25">
      <c r="A811" t="s">
        <v>129</v>
      </c>
      <c r="B811" t="s">
        <v>43</v>
      </c>
      <c r="C811" t="s">
        <v>78</v>
      </c>
      <c r="D811">
        <v>2019</v>
      </c>
      <c r="E811" t="s">
        <v>121</v>
      </c>
      <c r="F811" t="s">
        <v>108</v>
      </c>
      <c r="G811" t="s">
        <v>78</v>
      </c>
      <c r="H811">
        <v>338.59556228136813</v>
      </c>
      <c r="I811">
        <v>9649.9735250189897</v>
      </c>
      <c r="J811">
        <v>0</v>
      </c>
      <c r="K811">
        <v>9649.9735250189897</v>
      </c>
    </row>
    <row r="812" spans="1:11" x14ac:dyDescent="0.25">
      <c r="A812" t="s">
        <v>129</v>
      </c>
      <c r="B812" t="s">
        <v>43</v>
      </c>
      <c r="C812" t="s">
        <v>65</v>
      </c>
      <c r="D812">
        <v>2019</v>
      </c>
      <c r="E812" t="s">
        <v>121</v>
      </c>
      <c r="F812" t="s">
        <v>108</v>
      </c>
      <c r="G812" t="s">
        <v>65</v>
      </c>
      <c r="H812">
        <v>160.94667615908057</v>
      </c>
      <c r="I812">
        <v>2237.5513514799004</v>
      </c>
      <c r="J812">
        <v>0</v>
      </c>
      <c r="K812">
        <v>2237.5513514799004</v>
      </c>
    </row>
    <row r="813" spans="1:11" x14ac:dyDescent="0.25">
      <c r="A813" t="s">
        <v>129</v>
      </c>
      <c r="B813" t="s">
        <v>43</v>
      </c>
      <c r="C813" t="s">
        <v>120</v>
      </c>
      <c r="D813">
        <v>2019</v>
      </c>
      <c r="E813" t="s">
        <v>121</v>
      </c>
      <c r="F813" t="s">
        <v>108</v>
      </c>
      <c r="G813" t="s">
        <v>53</v>
      </c>
      <c r="H813">
        <v>4008.7323870971445</v>
      </c>
      <c r="I813">
        <v>55280.419618069631</v>
      </c>
      <c r="J813">
        <v>0</v>
      </c>
      <c r="K813">
        <v>55280.419618069631</v>
      </c>
    </row>
    <row r="814" spans="1:11" x14ac:dyDescent="0.25">
      <c r="A814" t="s">
        <v>129</v>
      </c>
      <c r="B814" t="s">
        <v>43</v>
      </c>
      <c r="C814" t="s">
        <v>29</v>
      </c>
      <c r="D814">
        <v>2030</v>
      </c>
      <c r="E814" t="s">
        <v>121</v>
      </c>
      <c r="F814" t="s">
        <v>108</v>
      </c>
      <c r="G814" t="s">
        <v>52</v>
      </c>
      <c r="H814">
        <v>44381.829299977158</v>
      </c>
      <c r="I814">
        <v>208448.13767320273</v>
      </c>
      <c r="J814">
        <v>67641.420674954294</v>
      </c>
      <c r="K814">
        <v>67641.420674954294</v>
      </c>
    </row>
    <row r="815" spans="1:11" x14ac:dyDescent="0.25">
      <c r="A815" t="s">
        <v>129</v>
      </c>
      <c r="B815" t="s">
        <v>43</v>
      </c>
      <c r="C815" t="s">
        <v>34</v>
      </c>
      <c r="D815">
        <v>2030</v>
      </c>
      <c r="E815" t="s">
        <v>121</v>
      </c>
      <c r="F815" t="s">
        <v>108</v>
      </c>
      <c r="G815" t="s">
        <v>52</v>
      </c>
      <c r="H815">
        <v>967.29472700735414</v>
      </c>
      <c r="I815">
        <v>2128.2418583615804</v>
      </c>
      <c r="J815">
        <v>628.15664943335878</v>
      </c>
      <c r="K815">
        <v>628.15664943335878</v>
      </c>
    </row>
    <row r="816" spans="1:11" x14ac:dyDescent="0.25">
      <c r="A816" t="s">
        <v>129</v>
      </c>
      <c r="B816" t="s">
        <v>43</v>
      </c>
      <c r="C816" t="s">
        <v>72</v>
      </c>
      <c r="D816">
        <v>2030</v>
      </c>
      <c r="E816" t="s">
        <v>121</v>
      </c>
      <c r="F816" t="s">
        <v>108</v>
      </c>
      <c r="G816" t="s">
        <v>52</v>
      </c>
      <c r="H816">
        <v>6135.9431668045636</v>
      </c>
      <c r="I816">
        <v>14848.982463667046</v>
      </c>
      <c r="J816">
        <v>7884.8096882072023</v>
      </c>
      <c r="K816">
        <v>7884.8096882072023</v>
      </c>
    </row>
    <row r="817" spans="1:11" x14ac:dyDescent="0.25">
      <c r="A817" t="s">
        <v>129</v>
      </c>
      <c r="B817" t="s">
        <v>43</v>
      </c>
      <c r="C817" t="s">
        <v>53</v>
      </c>
      <c r="D817">
        <v>2030</v>
      </c>
      <c r="E817" t="s">
        <v>121</v>
      </c>
      <c r="F817" t="s">
        <v>108</v>
      </c>
      <c r="G817" t="s">
        <v>53</v>
      </c>
      <c r="H817">
        <v>3727.7382672117792</v>
      </c>
      <c r="I817">
        <v>144276.89079885781</v>
      </c>
      <c r="J817">
        <v>0</v>
      </c>
      <c r="K817">
        <v>144276.89079885781</v>
      </c>
    </row>
    <row r="818" spans="1:11" x14ac:dyDescent="0.25">
      <c r="A818" t="s">
        <v>129</v>
      </c>
      <c r="B818" t="s">
        <v>43</v>
      </c>
      <c r="C818" t="s">
        <v>30</v>
      </c>
      <c r="D818">
        <v>2030</v>
      </c>
      <c r="E818" t="s">
        <v>121</v>
      </c>
      <c r="F818" t="s">
        <v>108</v>
      </c>
      <c r="G818" t="s">
        <v>30</v>
      </c>
      <c r="H818">
        <v>584.13756153813279</v>
      </c>
      <c r="I818">
        <v>6908.8870090922646</v>
      </c>
      <c r="J818">
        <v>0</v>
      </c>
      <c r="K818">
        <v>6908.8870090922646</v>
      </c>
    </row>
    <row r="819" spans="1:11" x14ac:dyDescent="0.25">
      <c r="A819" t="s">
        <v>129</v>
      </c>
      <c r="B819" t="s">
        <v>43</v>
      </c>
      <c r="C819" t="s">
        <v>31</v>
      </c>
      <c r="D819">
        <v>2030</v>
      </c>
      <c r="E819" t="s">
        <v>121</v>
      </c>
      <c r="F819" t="s">
        <v>108</v>
      </c>
      <c r="G819" t="s">
        <v>31</v>
      </c>
      <c r="H819">
        <v>374.72567985115398</v>
      </c>
      <c r="I819">
        <v>9071.5139065300064</v>
      </c>
      <c r="J819">
        <v>0</v>
      </c>
      <c r="K819">
        <v>9071.5139065300064</v>
      </c>
    </row>
    <row r="820" spans="1:11" x14ac:dyDescent="0.25">
      <c r="A820" t="s">
        <v>129</v>
      </c>
      <c r="B820" t="s">
        <v>43</v>
      </c>
      <c r="C820" t="s">
        <v>55</v>
      </c>
      <c r="D820">
        <v>2030</v>
      </c>
      <c r="E820" t="s">
        <v>121</v>
      </c>
      <c r="F820" t="s">
        <v>108</v>
      </c>
      <c r="G820" t="s">
        <v>55</v>
      </c>
      <c r="H820">
        <v>3895.5012871206354</v>
      </c>
      <c r="I820">
        <v>180418.68856773584</v>
      </c>
      <c r="J820">
        <v>0</v>
      </c>
      <c r="K820">
        <v>180418.68856773584</v>
      </c>
    </row>
    <row r="821" spans="1:11" x14ac:dyDescent="0.25">
      <c r="A821" t="s">
        <v>129</v>
      </c>
      <c r="B821" t="s">
        <v>43</v>
      </c>
      <c r="C821" t="s">
        <v>54</v>
      </c>
      <c r="D821">
        <v>2030</v>
      </c>
      <c r="E821" t="s">
        <v>121</v>
      </c>
      <c r="F821" t="s">
        <v>108</v>
      </c>
      <c r="G821" t="s">
        <v>54</v>
      </c>
      <c r="H821">
        <v>1101.7927285208236</v>
      </c>
      <c r="I821">
        <v>40703.859307563347</v>
      </c>
      <c r="J821">
        <v>0</v>
      </c>
      <c r="K821">
        <v>40703.859307563347</v>
      </c>
    </row>
    <row r="822" spans="1:11" x14ac:dyDescent="0.25">
      <c r="A822" t="s">
        <v>129</v>
      </c>
      <c r="B822" t="s">
        <v>43</v>
      </c>
      <c r="C822" t="s">
        <v>41</v>
      </c>
      <c r="D822">
        <v>2030</v>
      </c>
      <c r="E822" t="s">
        <v>121</v>
      </c>
      <c r="F822" t="s">
        <v>108</v>
      </c>
      <c r="G822" t="s">
        <v>41</v>
      </c>
      <c r="H822">
        <v>256.36648949869465</v>
      </c>
      <c r="I822">
        <v>1240.6343526310329</v>
      </c>
      <c r="J822">
        <v>0</v>
      </c>
      <c r="K822">
        <v>1240.6343526310329</v>
      </c>
    </row>
    <row r="823" spans="1:11" x14ac:dyDescent="0.25">
      <c r="A823" t="s">
        <v>129</v>
      </c>
      <c r="B823" t="s">
        <v>43</v>
      </c>
      <c r="C823" t="s">
        <v>80</v>
      </c>
      <c r="D823">
        <v>2030</v>
      </c>
      <c r="E823" t="s">
        <v>121</v>
      </c>
      <c r="F823" t="s">
        <v>108</v>
      </c>
      <c r="G823" t="s">
        <v>80</v>
      </c>
      <c r="H823">
        <v>1830.5810757675265</v>
      </c>
      <c r="I823">
        <v>31090.017482812756</v>
      </c>
      <c r="J823">
        <v>0</v>
      </c>
      <c r="K823">
        <v>31090.017482812756</v>
      </c>
    </row>
    <row r="824" spans="1:11" x14ac:dyDescent="0.25">
      <c r="A824" t="s">
        <v>129</v>
      </c>
      <c r="B824" t="s">
        <v>43</v>
      </c>
      <c r="C824" t="s">
        <v>75</v>
      </c>
      <c r="D824">
        <v>2030</v>
      </c>
      <c r="E824" t="s">
        <v>121</v>
      </c>
      <c r="F824" t="s">
        <v>108</v>
      </c>
      <c r="G824" t="s">
        <v>52</v>
      </c>
      <c r="H824">
        <v>5663.7638560625701</v>
      </c>
      <c r="I824">
        <v>46129.377874940677</v>
      </c>
      <c r="J824">
        <v>7618.895139175369</v>
      </c>
      <c r="K824">
        <v>7618.895139175369</v>
      </c>
    </row>
    <row r="825" spans="1:11" x14ac:dyDescent="0.25">
      <c r="A825" t="s">
        <v>129</v>
      </c>
      <c r="B825" t="s">
        <v>43</v>
      </c>
      <c r="C825" t="s">
        <v>78</v>
      </c>
      <c r="D825">
        <v>2030</v>
      </c>
      <c r="E825" t="s">
        <v>121</v>
      </c>
      <c r="F825" t="s">
        <v>108</v>
      </c>
      <c r="G825" t="s">
        <v>78</v>
      </c>
      <c r="H825">
        <v>401.72483015599897</v>
      </c>
      <c r="I825">
        <v>11449.157659445971</v>
      </c>
      <c r="J825">
        <v>0</v>
      </c>
      <c r="K825">
        <v>11449.157659445971</v>
      </c>
    </row>
    <row r="826" spans="1:11" x14ac:dyDescent="0.25">
      <c r="A826" t="s">
        <v>129</v>
      </c>
      <c r="B826" t="s">
        <v>43</v>
      </c>
      <c r="C826" t="s">
        <v>65</v>
      </c>
      <c r="D826">
        <v>2030</v>
      </c>
      <c r="E826" t="s">
        <v>121</v>
      </c>
      <c r="F826" t="s">
        <v>108</v>
      </c>
      <c r="G826" t="s">
        <v>65</v>
      </c>
      <c r="H826">
        <v>190.95429281040239</v>
      </c>
      <c r="I826">
        <v>2654.7304122421797</v>
      </c>
      <c r="J826">
        <v>0</v>
      </c>
      <c r="K826">
        <v>2654.7304122421797</v>
      </c>
    </row>
    <row r="827" spans="1:11" x14ac:dyDescent="0.25">
      <c r="A827" t="s">
        <v>129</v>
      </c>
      <c r="B827" t="s">
        <v>43</v>
      </c>
      <c r="C827" t="s">
        <v>120</v>
      </c>
      <c r="D827">
        <v>2030</v>
      </c>
      <c r="E827" t="s">
        <v>121</v>
      </c>
      <c r="F827" t="s">
        <v>108</v>
      </c>
      <c r="G827" t="s">
        <v>53</v>
      </c>
      <c r="H827">
        <v>4756.138345396349</v>
      </c>
      <c r="I827">
        <v>65587.147783015665</v>
      </c>
      <c r="J827">
        <v>0</v>
      </c>
      <c r="K827">
        <v>65587.147783015665</v>
      </c>
    </row>
    <row r="828" spans="1:11" x14ac:dyDescent="0.25">
      <c r="A828" t="s">
        <v>129</v>
      </c>
      <c r="B828" t="s">
        <v>43</v>
      </c>
      <c r="C828" t="s">
        <v>29</v>
      </c>
      <c r="D828">
        <v>2050</v>
      </c>
      <c r="E828" t="s">
        <v>121</v>
      </c>
      <c r="F828" t="s">
        <v>108</v>
      </c>
      <c r="G828" t="s">
        <v>52</v>
      </c>
      <c r="H828">
        <v>57145.362883639027</v>
      </c>
      <c r="I828">
        <v>268394.62585558742</v>
      </c>
      <c r="J828">
        <v>87094.056090138125</v>
      </c>
      <c r="K828">
        <v>87094.056090138125</v>
      </c>
    </row>
    <row r="829" spans="1:11" x14ac:dyDescent="0.25">
      <c r="A829" t="s">
        <v>129</v>
      </c>
      <c r="B829" t="s">
        <v>43</v>
      </c>
      <c r="C829" t="s">
        <v>34</v>
      </c>
      <c r="D829">
        <v>2050</v>
      </c>
      <c r="E829" t="s">
        <v>121</v>
      </c>
      <c r="F829" t="s">
        <v>108</v>
      </c>
      <c r="G829" t="s">
        <v>52</v>
      </c>
      <c r="H829">
        <v>1245.4738586066856</v>
      </c>
      <c r="I829">
        <v>2740.2915837064297</v>
      </c>
      <c r="J829">
        <v>808.80487005204611</v>
      </c>
      <c r="K829">
        <v>808.80487005204611</v>
      </c>
    </row>
    <row r="830" spans="1:11" x14ac:dyDescent="0.25">
      <c r="A830" t="s">
        <v>129</v>
      </c>
      <c r="B830" t="s">
        <v>43</v>
      </c>
      <c r="C830" t="s">
        <v>72</v>
      </c>
      <c r="D830">
        <v>2050</v>
      </c>
      <c r="E830" t="s">
        <v>121</v>
      </c>
      <c r="F830" t="s">
        <v>108</v>
      </c>
      <c r="G830" t="s">
        <v>52</v>
      </c>
      <c r="H830">
        <v>7900.5463368904539</v>
      </c>
      <c r="I830">
        <v>19119.322135274899</v>
      </c>
      <c r="J830">
        <v>10152.360053830971</v>
      </c>
      <c r="K830">
        <v>10152.360053830971</v>
      </c>
    </row>
    <row r="831" spans="1:11" x14ac:dyDescent="0.25">
      <c r="A831" t="s">
        <v>129</v>
      </c>
      <c r="B831" t="s">
        <v>43</v>
      </c>
      <c r="C831" t="s">
        <v>53</v>
      </c>
      <c r="D831">
        <v>2050</v>
      </c>
      <c r="E831" t="s">
        <v>121</v>
      </c>
      <c r="F831" t="s">
        <v>108</v>
      </c>
      <c r="G831" t="s">
        <v>53</v>
      </c>
      <c r="H831">
        <v>4799.7786340716357</v>
      </c>
      <c r="I831">
        <v>185768.71234165499</v>
      </c>
      <c r="J831">
        <v>0</v>
      </c>
      <c r="K831">
        <v>185768.71234165499</v>
      </c>
    </row>
    <row r="832" spans="1:11" x14ac:dyDescent="0.25">
      <c r="A832" t="s">
        <v>129</v>
      </c>
      <c r="B832" t="s">
        <v>43</v>
      </c>
      <c r="C832" t="s">
        <v>30</v>
      </c>
      <c r="D832">
        <v>2050</v>
      </c>
      <c r="E832" t="s">
        <v>121</v>
      </c>
      <c r="F832" t="s">
        <v>108</v>
      </c>
      <c r="G832" t="s">
        <v>30</v>
      </c>
      <c r="H832">
        <v>752.12656743911634</v>
      </c>
      <c r="I832">
        <v>8895.7769763861488</v>
      </c>
      <c r="J832">
        <v>0</v>
      </c>
      <c r="K832">
        <v>8895.7769763861488</v>
      </c>
    </row>
    <row r="833" spans="1:11" x14ac:dyDescent="0.25">
      <c r="A833" t="s">
        <v>129</v>
      </c>
      <c r="B833" t="s">
        <v>43</v>
      </c>
      <c r="C833" t="s">
        <v>31</v>
      </c>
      <c r="D833">
        <v>2050</v>
      </c>
      <c r="E833" t="s">
        <v>121</v>
      </c>
      <c r="F833" t="s">
        <v>108</v>
      </c>
      <c r="G833" t="s">
        <v>31</v>
      </c>
      <c r="H833">
        <v>482.49103956883454</v>
      </c>
      <c r="I833">
        <v>11680.342209168517</v>
      </c>
      <c r="J833">
        <v>0</v>
      </c>
      <c r="K833">
        <v>11680.342209168517</v>
      </c>
    </row>
    <row r="834" spans="1:11" x14ac:dyDescent="0.25">
      <c r="A834" t="s">
        <v>129</v>
      </c>
      <c r="B834" t="s">
        <v>43</v>
      </c>
      <c r="C834" t="s">
        <v>55</v>
      </c>
      <c r="D834">
        <v>2050</v>
      </c>
      <c r="E834" t="s">
        <v>121</v>
      </c>
      <c r="F834" t="s">
        <v>108</v>
      </c>
      <c r="G834" t="s">
        <v>55</v>
      </c>
      <c r="H834">
        <v>5015.7877261338162</v>
      </c>
      <c r="I834">
        <v>232304.33697330329</v>
      </c>
      <c r="J834">
        <v>0</v>
      </c>
      <c r="K834">
        <v>232304.33697330329</v>
      </c>
    </row>
    <row r="835" spans="1:11" x14ac:dyDescent="0.25">
      <c r="A835" t="s">
        <v>129</v>
      </c>
      <c r="B835" t="s">
        <v>43</v>
      </c>
      <c r="C835" t="s">
        <v>54</v>
      </c>
      <c r="D835">
        <v>2050</v>
      </c>
      <c r="E835" t="s">
        <v>121</v>
      </c>
      <c r="F835" t="s">
        <v>108</v>
      </c>
      <c r="G835" t="s">
        <v>54</v>
      </c>
      <c r="H835">
        <v>1418.6514230478022</v>
      </c>
      <c r="I835">
        <v>52409.665117081866</v>
      </c>
      <c r="J835">
        <v>0</v>
      </c>
      <c r="K835">
        <v>52409.665117081866</v>
      </c>
    </row>
    <row r="836" spans="1:11" x14ac:dyDescent="0.25">
      <c r="A836" t="s">
        <v>129</v>
      </c>
      <c r="B836" t="s">
        <v>43</v>
      </c>
      <c r="C836" t="s">
        <v>41</v>
      </c>
      <c r="D836">
        <v>2050</v>
      </c>
      <c r="E836" t="s">
        <v>121</v>
      </c>
      <c r="F836" t="s">
        <v>108</v>
      </c>
      <c r="G836" t="s">
        <v>41</v>
      </c>
      <c r="H836">
        <v>330.09356091627075</v>
      </c>
      <c r="I836">
        <v>1597.421769342109</v>
      </c>
      <c r="J836">
        <v>0</v>
      </c>
      <c r="K836">
        <v>1597.421769342109</v>
      </c>
    </row>
    <row r="837" spans="1:11" x14ac:dyDescent="0.25">
      <c r="A837" t="s">
        <v>129</v>
      </c>
      <c r="B837" t="s">
        <v>43</v>
      </c>
      <c r="C837" t="s">
        <v>80</v>
      </c>
      <c r="D837">
        <v>2050</v>
      </c>
      <c r="E837" t="s">
        <v>121</v>
      </c>
      <c r="F837" t="s">
        <v>108</v>
      </c>
      <c r="G837" t="s">
        <v>80</v>
      </c>
      <c r="H837">
        <v>2357.0281241812504</v>
      </c>
      <c r="I837">
        <v>40031.029796127194</v>
      </c>
      <c r="J837">
        <v>0</v>
      </c>
      <c r="K837">
        <v>40031.029796127194</v>
      </c>
    </row>
    <row r="838" spans="1:11" x14ac:dyDescent="0.25">
      <c r="A838" t="s">
        <v>129</v>
      </c>
      <c r="B838" t="s">
        <v>43</v>
      </c>
      <c r="C838" t="s">
        <v>75</v>
      </c>
      <c r="D838">
        <v>2050</v>
      </c>
      <c r="E838" t="s">
        <v>121</v>
      </c>
      <c r="F838" t="s">
        <v>108</v>
      </c>
      <c r="G838" t="s">
        <v>52</v>
      </c>
      <c r="H838">
        <v>7292.5754964791595</v>
      </c>
      <c r="I838">
        <v>59395.479632953095</v>
      </c>
      <c r="J838">
        <v>9809.9725578637645</v>
      </c>
      <c r="K838">
        <v>9809.9725578637645</v>
      </c>
    </row>
    <row r="839" spans="1:11" x14ac:dyDescent="0.25">
      <c r="A839" t="s">
        <v>129</v>
      </c>
      <c r="B839" t="s">
        <v>43</v>
      </c>
      <c r="C839" t="s">
        <v>78</v>
      </c>
      <c r="D839">
        <v>2050</v>
      </c>
      <c r="E839" t="s">
        <v>121</v>
      </c>
      <c r="F839" t="s">
        <v>108</v>
      </c>
      <c r="G839" t="s">
        <v>78</v>
      </c>
      <c r="H839">
        <v>517.25473151339054</v>
      </c>
      <c r="I839">
        <v>14741.759848131631</v>
      </c>
      <c r="J839">
        <v>0</v>
      </c>
      <c r="K839">
        <v>14741.759848131631</v>
      </c>
    </row>
    <row r="840" spans="1:11" x14ac:dyDescent="0.25">
      <c r="A840" t="s">
        <v>129</v>
      </c>
      <c r="B840" t="s">
        <v>43</v>
      </c>
      <c r="C840" t="s">
        <v>65</v>
      </c>
      <c r="D840">
        <v>2050</v>
      </c>
      <c r="E840" t="s">
        <v>121</v>
      </c>
      <c r="F840" t="s">
        <v>108</v>
      </c>
      <c r="G840" t="s">
        <v>65</v>
      </c>
      <c r="H840">
        <v>245.86981944984234</v>
      </c>
      <c r="I840">
        <v>3418.1901728392713</v>
      </c>
      <c r="J840">
        <v>0</v>
      </c>
      <c r="K840">
        <v>3418.1901728392713</v>
      </c>
    </row>
    <row r="841" spans="1:11" x14ac:dyDescent="0.25">
      <c r="A841" t="s">
        <v>129</v>
      </c>
      <c r="B841" t="s">
        <v>43</v>
      </c>
      <c r="C841" t="s">
        <v>120</v>
      </c>
      <c r="D841">
        <v>2050</v>
      </c>
      <c r="E841" t="s">
        <v>121</v>
      </c>
      <c r="F841" t="s">
        <v>108</v>
      </c>
      <c r="G841" t="s">
        <v>53</v>
      </c>
      <c r="H841">
        <v>6123.9308059031428</v>
      </c>
      <c r="I841">
        <v>84449.00581340435</v>
      </c>
      <c r="J841">
        <v>0</v>
      </c>
      <c r="K841">
        <v>84449.00581340435</v>
      </c>
    </row>
    <row r="842" spans="1:11" x14ac:dyDescent="0.25">
      <c r="A842" t="s">
        <v>129</v>
      </c>
      <c r="B842" t="s">
        <v>43</v>
      </c>
      <c r="C842" t="s">
        <v>29</v>
      </c>
      <c r="D842">
        <v>2019</v>
      </c>
      <c r="E842" t="s">
        <v>119</v>
      </c>
      <c r="F842" t="s">
        <v>109</v>
      </c>
      <c r="G842" t="s">
        <v>52</v>
      </c>
      <c r="H842">
        <v>3321.6653666372972</v>
      </c>
      <c r="I842">
        <v>27941.849064152946</v>
      </c>
      <c r="J842">
        <v>9120.1496799168599</v>
      </c>
      <c r="K842">
        <v>9120.1496799168599</v>
      </c>
    </row>
    <row r="843" spans="1:11" x14ac:dyDescent="0.25">
      <c r="A843" t="s">
        <v>129</v>
      </c>
      <c r="B843" t="s">
        <v>43</v>
      </c>
      <c r="C843" t="s">
        <v>34</v>
      </c>
      <c r="D843">
        <v>2019</v>
      </c>
      <c r="E843" t="s">
        <v>119</v>
      </c>
      <c r="F843" t="s">
        <v>109</v>
      </c>
      <c r="G843" t="s">
        <v>52</v>
      </c>
      <c r="H843">
        <v>89.823141135380936</v>
      </c>
      <c r="I843">
        <v>416.06078973908456</v>
      </c>
      <c r="J843">
        <v>123.51960448705798</v>
      </c>
      <c r="K843">
        <v>123.51960448705798</v>
      </c>
    </row>
    <row r="844" spans="1:11" x14ac:dyDescent="0.25">
      <c r="A844" t="s">
        <v>129</v>
      </c>
      <c r="B844" t="s">
        <v>43</v>
      </c>
      <c r="C844" t="s">
        <v>72</v>
      </c>
      <c r="D844">
        <v>2019</v>
      </c>
      <c r="E844" t="s">
        <v>119</v>
      </c>
      <c r="F844" t="s">
        <v>109</v>
      </c>
      <c r="G844" t="s">
        <v>52</v>
      </c>
      <c r="H844">
        <v>362.80969861856295</v>
      </c>
      <c r="I844">
        <v>1915.6352087060125</v>
      </c>
      <c r="J844">
        <v>1023.1503431459249</v>
      </c>
      <c r="K844">
        <v>1023.1503431459249</v>
      </c>
    </row>
    <row r="845" spans="1:11" x14ac:dyDescent="0.25">
      <c r="A845" t="s">
        <v>129</v>
      </c>
      <c r="B845" t="s">
        <v>43</v>
      </c>
      <c r="C845" t="s">
        <v>53</v>
      </c>
      <c r="D845">
        <v>2019</v>
      </c>
      <c r="E845" t="s">
        <v>119</v>
      </c>
      <c r="F845" t="s">
        <v>109</v>
      </c>
      <c r="G845" t="s">
        <v>53</v>
      </c>
      <c r="H845">
        <v>1066.8125324809869</v>
      </c>
      <c r="I845">
        <v>63522.285434047895</v>
      </c>
      <c r="J845">
        <v>0</v>
      </c>
      <c r="K845">
        <v>63522.285434047895</v>
      </c>
    </row>
    <row r="846" spans="1:11" x14ac:dyDescent="0.25">
      <c r="A846" t="s">
        <v>129</v>
      </c>
      <c r="B846" t="s">
        <v>43</v>
      </c>
      <c r="C846" t="s">
        <v>30</v>
      </c>
      <c r="D846">
        <v>2019</v>
      </c>
      <c r="E846" t="s">
        <v>119</v>
      </c>
      <c r="F846" t="s">
        <v>109</v>
      </c>
      <c r="G846" t="s">
        <v>30</v>
      </c>
      <c r="H846">
        <v>20.204274039436456</v>
      </c>
      <c r="I846">
        <v>503.08642358196778</v>
      </c>
      <c r="J846">
        <v>0</v>
      </c>
      <c r="K846">
        <v>503.08642358196778</v>
      </c>
    </row>
    <row r="847" spans="1:11" x14ac:dyDescent="0.25">
      <c r="A847" t="s">
        <v>129</v>
      </c>
      <c r="B847" t="s">
        <v>43</v>
      </c>
      <c r="C847" t="s">
        <v>31</v>
      </c>
      <c r="D847">
        <v>2019</v>
      </c>
      <c r="E847" t="s">
        <v>119</v>
      </c>
      <c r="F847" t="s">
        <v>109</v>
      </c>
      <c r="G847" t="s">
        <v>31</v>
      </c>
      <c r="H847">
        <v>34.349115010819808</v>
      </c>
      <c r="I847">
        <v>1750.6053726466705</v>
      </c>
      <c r="J847">
        <v>0</v>
      </c>
      <c r="K847">
        <v>1750.6053726466705</v>
      </c>
    </row>
    <row r="848" spans="1:11" x14ac:dyDescent="0.25">
      <c r="A848" t="s">
        <v>129</v>
      </c>
      <c r="B848" t="s">
        <v>43</v>
      </c>
      <c r="C848" t="s">
        <v>55</v>
      </c>
      <c r="D848">
        <v>2019</v>
      </c>
      <c r="E848" t="s">
        <v>119</v>
      </c>
      <c r="F848" t="s">
        <v>109</v>
      </c>
      <c r="G848" t="s">
        <v>55</v>
      </c>
      <c r="H848">
        <v>95.964200645574223</v>
      </c>
      <c r="I848">
        <v>9356.9392533941373</v>
      </c>
      <c r="J848">
        <v>0</v>
      </c>
      <c r="K848">
        <v>9356.9392533941373</v>
      </c>
    </row>
    <row r="849" spans="1:11" x14ac:dyDescent="0.25">
      <c r="A849" t="s">
        <v>129</v>
      </c>
      <c r="B849" t="s">
        <v>43</v>
      </c>
      <c r="C849" t="s">
        <v>54</v>
      </c>
      <c r="D849">
        <v>2019</v>
      </c>
      <c r="E849" t="s">
        <v>119</v>
      </c>
      <c r="F849" t="s">
        <v>109</v>
      </c>
      <c r="G849" t="s">
        <v>54</v>
      </c>
      <c r="H849">
        <v>102.31264680005847</v>
      </c>
      <c r="I849">
        <v>5464.7230908847232</v>
      </c>
      <c r="J849">
        <v>0</v>
      </c>
      <c r="K849">
        <v>5464.7230908847232</v>
      </c>
    </row>
    <row r="850" spans="1:11" x14ac:dyDescent="0.25">
      <c r="A850" t="s">
        <v>129</v>
      </c>
      <c r="B850" t="s">
        <v>43</v>
      </c>
      <c r="C850" t="s">
        <v>41</v>
      </c>
      <c r="D850">
        <v>2019</v>
      </c>
      <c r="E850" t="s">
        <v>119</v>
      </c>
      <c r="F850" t="s">
        <v>109</v>
      </c>
      <c r="G850" t="s">
        <v>41</v>
      </c>
      <c r="H850">
        <v>22.070941108444988</v>
      </c>
      <c r="I850">
        <v>224.85874801283754</v>
      </c>
      <c r="J850">
        <v>0</v>
      </c>
      <c r="K850">
        <v>224.85874801283754</v>
      </c>
    </row>
    <row r="851" spans="1:11" x14ac:dyDescent="0.25">
      <c r="A851" t="s">
        <v>129</v>
      </c>
      <c r="B851" t="s">
        <v>43</v>
      </c>
      <c r="C851" t="s">
        <v>80</v>
      </c>
      <c r="D851">
        <v>2019</v>
      </c>
      <c r="E851" t="s">
        <v>119</v>
      </c>
      <c r="F851" t="s">
        <v>109</v>
      </c>
      <c r="G851" t="s">
        <v>80</v>
      </c>
      <c r="H851">
        <v>157.59722417896069</v>
      </c>
      <c r="I851">
        <v>5634.9095864199417</v>
      </c>
      <c r="J851">
        <v>0</v>
      </c>
      <c r="K851">
        <v>5634.9095864199417</v>
      </c>
    </row>
    <row r="852" spans="1:11" x14ac:dyDescent="0.25">
      <c r="A852" t="s">
        <v>129</v>
      </c>
      <c r="B852" t="s">
        <v>43</v>
      </c>
      <c r="C852" t="s">
        <v>75</v>
      </c>
      <c r="D852">
        <v>2019</v>
      </c>
      <c r="E852" t="s">
        <v>119</v>
      </c>
      <c r="F852" t="s">
        <v>109</v>
      </c>
      <c r="G852" t="s">
        <v>52</v>
      </c>
      <c r="H852">
        <v>1144.1483740031422</v>
      </c>
      <c r="I852">
        <v>19618.292165198385</v>
      </c>
      <c r="J852">
        <v>3259.1752922503906</v>
      </c>
      <c r="K852">
        <v>3259.1752922503906</v>
      </c>
    </row>
    <row r="853" spans="1:11" x14ac:dyDescent="0.25">
      <c r="A853" t="s">
        <v>129</v>
      </c>
      <c r="B853" t="s">
        <v>43</v>
      </c>
      <c r="C853" t="s">
        <v>78</v>
      </c>
      <c r="D853">
        <v>2019</v>
      </c>
      <c r="E853" t="s">
        <v>119</v>
      </c>
      <c r="F853" t="s">
        <v>109</v>
      </c>
      <c r="G853" t="s">
        <v>78</v>
      </c>
      <c r="H853">
        <v>34.585039119234281</v>
      </c>
      <c r="I853">
        <v>2075.102347154057</v>
      </c>
      <c r="J853">
        <v>0</v>
      </c>
      <c r="K853">
        <v>2075.102347154057</v>
      </c>
    </row>
    <row r="854" spans="1:11" x14ac:dyDescent="0.25">
      <c r="A854" t="s">
        <v>129</v>
      </c>
      <c r="B854" t="s">
        <v>43</v>
      </c>
      <c r="C854" t="s">
        <v>65</v>
      </c>
      <c r="D854">
        <v>2019</v>
      </c>
      <c r="E854" t="s">
        <v>119</v>
      </c>
      <c r="F854" t="s">
        <v>109</v>
      </c>
      <c r="G854" t="s">
        <v>65</v>
      </c>
      <c r="H854">
        <v>73.402370173862749</v>
      </c>
      <c r="I854">
        <v>2148.3620538691534</v>
      </c>
      <c r="J854">
        <v>0</v>
      </c>
      <c r="K854">
        <v>2148.3620538691534</v>
      </c>
    </row>
    <row r="855" spans="1:11" x14ac:dyDescent="0.25">
      <c r="A855" t="s">
        <v>129</v>
      </c>
      <c r="B855" t="s">
        <v>43</v>
      </c>
      <c r="C855" t="s">
        <v>120</v>
      </c>
      <c r="D855">
        <v>2019</v>
      </c>
      <c r="E855" t="s">
        <v>119</v>
      </c>
      <c r="F855" t="s">
        <v>109</v>
      </c>
      <c r="G855" t="s">
        <v>53</v>
      </c>
      <c r="H855">
        <v>2143.8995874286088</v>
      </c>
      <c r="I855">
        <v>35477.25037276862</v>
      </c>
      <c r="J855">
        <v>0</v>
      </c>
      <c r="K855">
        <v>35477.25037276862</v>
      </c>
    </row>
    <row r="856" spans="1:11" x14ac:dyDescent="0.25">
      <c r="A856" t="s">
        <v>129</v>
      </c>
      <c r="B856" t="s">
        <v>43</v>
      </c>
      <c r="C856" t="s">
        <v>29</v>
      </c>
      <c r="D856">
        <v>2030</v>
      </c>
      <c r="E856" t="s">
        <v>119</v>
      </c>
      <c r="F856" t="s">
        <v>109</v>
      </c>
      <c r="G856" t="s">
        <v>52</v>
      </c>
      <c r="H856">
        <v>3004.5351617033111</v>
      </c>
      <c r="I856">
        <v>25274.149780248252</v>
      </c>
      <c r="J856">
        <v>8201.4616036905572</v>
      </c>
      <c r="K856">
        <v>8201.4616036905572</v>
      </c>
    </row>
    <row r="857" spans="1:11" x14ac:dyDescent="0.25">
      <c r="A857" t="s">
        <v>129</v>
      </c>
      <c r="B857" t="s">
        <v>43</v>
      </c>
      <c r="C857" t="s">
        <v>34</v>
      </c>
      <c r="D857">
        <v>2030</v>
      </c>
      <c r="E857" t="s">
        <v>119</v>
      </c>
      <c r="F857" t="s">
        <v>109</v>
      </c>
      <c r="G857" t="s">
        <v>52</v>
      </c>
      <c r="H857">
        <v>81.247433467117162</v>
      </c>
      <c r="I857">
        <v>376.33811181968667</v>
      </c>
      <c r="J857">
        <v>111.07726616970228</v>
      </c>
      <c r="K857">
        <v>111.07726616970228</v>
      </c>
    </row>
    <row r="858" spans="1:11" x14ac:dyDescent="0.25">
      <c r="A858" t="s">
        <v>129</v>
      </c>
      <c r="B858" t="s">
        <v>43</v>
      </c>
      <c r="C858" t="s">
        <v>72</v>
      </c>
      <c r="D858">
        <v>2030</v>
      </c>
      <c r="E858" t="s">
        <v>119</v>
      </c>
      <c r="F858" t="s">
        <v>109</v>
      </c>
      <c r="G858" t="s">
        <v>52</v>
      </c>
      <c r="H858">
        <v>328.17107570651984</v>
      </c>
      <c r="I858">
        <v>1732.7432797304245</v>
      </c>
      <c r="J858">
        <v>920.08668153685562</v>
      </c>
      <c r="K858">
        <v>920.08668153685562</v>
      </c>
    </row>
    <row r="859" spans="1:11" x14ac:dyDescent="0.25">
      <c r="A859" t="s">
        <v>129</v>
      </c>
      <c r="B859" t="s">
        <v>43</v>
      </c>
      <c r="C859" t="s">
        <v>53</v>
      </c>
      <c r="D859">
        <v>2030</v>
      </c>
      <c r="E859" t="s">
        <v>119</v>
      </c>
      <c r="F859" t="s">
        <v>109</v>
      </c>
      <c r="G859" t="s">
        <v>53</v>
      </c>
      <c r="H859">
        <v>964.96046741449936</v>
      </c>
      <c r="I859">
        <v>57457.606071728951</v>
      </c>
      <c r="J859">
        <v>0</v>
      </c>
      <c r="K859">
        <v>57457.606071728951</v>
      </c>
    </row>
    <row r="860" spans="1:11" x14ac:dyDescent="0.25">
      <c r="A860" t="s">
        <v>129</v>
      </c>
      <c r="B860" t="s">
        <v>43</v>
      </c>
      <c r="C860" t="s">
        <v>30</v>
      </c>
      <c r="D860">
        <v>2030</v>
      </c>
      <c r="E860" t="s">
        <v>119</v>
      </c>
      <c r="F860" t="s">
        <v>109</v>
      </c>
      <c r="G860" t="s">
        <v>30</v>
      </c>
      <c r="H860">
        <v>18.275306229787574</v>
      </c>
      <c r="I860">
        <v>455.05512512171066</v>
      </c>
      <c r="J860">
        <v>0</v>
      </c>
      <c r="K860">
        <v>455.05512512171066</v>
      </c>
    </row>
    <row r="861" spans="1:11" x14ac:dyDescent="0.25">
      <c r="A861" t="s">
        <v>129</v>
      </c>
      <c r="B861" t="s">
        <v>43</v>
      </c>
      <c r="C861" t="s">
        <v>31</v>
      </c>
      <c r="D861">
        <v>2030</v>
      </c>
      <c r="E861" t="s">
        <v>119</v>
      </c>
      <c r="F861" t="s">
        <v>109</v>
      </c>
      <c r="G861" t="s">
        <v>31</v>
      </c>
      <c r="H861">
        <v>31.069693190641079</v>
      </c>
      <c r="I861">
        <v>1583.4693793096885</v>
      </c>
      <c r="J861">
        <v>0</v>
      </c>
      <c r="K861">
        <v>1583.4693793096885</v>
      </c>
    </row>
    <row r="862" spans="1:11" x14ac:dyDescent="0.25">
      <c r="A862" t="s">
        <v>129</v>
      </c>
      <c r="B862" t="s">
        <v>43</v>
      </c>
      <c r="C862" t="s">
        <v>55</v>
      </c>
      <c r="D862">
        <v>2030</v>
      </c>
      <c r="E862" t="s">
        <v>119</v>
      </c>
      <c r="F862" t="s">
        <v>109</v>
      </c>
      <c r="G862" t="s">
        <v>55</v>
      </c>
      <c r="H862">
        <v>86.80218603605735</v>
      </c>
      <c r="I862">
        <v>8463.6018050202292</v>
      </c>
      <c r="J862">
        <v>0</v>
      </c>
      <c r="K862">
        <v>8463.6018050202292</v>
      </c>
    </row>
    <row r="863" spans="1:11" x14ac:dyDescent="0.25">
      <c r="A863" t="s">
        <v>129</v>
      </c>
      <c r="B863" t="s">
        <v>43</v>
      </c>
      <c r="C863" t="s">
        <v>54</v>
      </c>
      <c r="D863">
        <v>2030</v>
      </c>
      <c r="E863" t="s">
        <v>119</v>
      </c>
      <c r="F863" t="s">
        <v>109</v>
      </c>
      <c r="G863" t="s">
        <v>54</v>
      </c>
      <c r="H863">
        <v>92.544525371292039</v>
      </c>
      <c r="I863">
        <v>4942.9881891314508</v>
      </c>
      <c r="J863">
        <v>0</v>
      </c>
      <c r="K863">
        <v>4942.9881891314508</v>
      </c>
    </row>
    <row r="864" spans="1:11" x14ac:dyDescent="0.25">
      <c r="A864" t="s">
        <v>129</v>
      </c>
      <c r="B864" t="s">
        <v>43</v>
      </c>
      <c r="C864" t="s">
        <v>41</v>
      </c>
      <c r="D864">
        <v>2030</v>
      </c>
      <c r="E864" t="s">
        <v>119</v>
      </c>
      <c r="F864" t="s">
        <v>109</v>
      </c>
      <c r="G864" t="s">
        <v>41</v>
      </c>
      <c r="H864">
        <v>19.963756517514042</v>
      </c>
      <c r="I864">
        <v>203.39075140043306</v>
      </c>
      <c r="J864">
        <v>0</v>
      </c>
      <c r="K864">
        <v>203.39075140043306</v>
      </c>
    </row>
    <row r="865" spans="1:11" x14ac:dyDescent="0.25">
      <c r="A865" t="s">
        <v>129</v>
      </c>
      <c r="B865" t="s">
        <v>43</v>
      </c>
      <c r="C865" t="s">
        <v>80</v>
      </c>
      <c r="D865">
        <v>2030</v>
      </c>
      <c r="E865" t="s">
        <v>119</v>
      </c>
      <c r="F865" t="s">
        <v>109</v>
      </c>
      <c r="G865" t="s">
        <v>80</v>
      </c>
      <c r="H865">
        <v>142.55090419053352</v>
      </c>
      <c r="I865">
        <v>5096.9264259624179</v>
      </c>
      <c r="J865">
        <v>0</v>
      </c>
      <c r="K865">
        <v>5096.9264259624179</v>
      </c>
    </row>
    <row r="866" spans="1:11" x14ac:dyDescent="0.25">
      <c r="A866" t="s">
        <v>129</v>
      </c>
      <c r="B866" t="s">
        <v>43</v>
      </c>
      <c r="C866" t="s">
        <v>75</v>
      </c>
      <c r="D866">
        <v>2030</v>
      </c>
      <c r="E866" t="s">
        <v>119</v>
      </c>
      <c r="F866" t="s">
        <v>109</v>
      </c>
      <c r="G866" t="s">
        <v>52</v>
      </c>
      <c r="H866">
        <v>1034.9128044099805</v>
      </c>
      <c r="I866">
        <v>17745.269952517581</v>
      </c>
      <c r="J866">
        <v>2930.8730620890651</v>
      </c>
      <c r="K866">
        <v>2930.8730620890651</v>
      </c>
    </row>
    <row r="867" spans="1:11" x14ac:dyDescent="0.25">
      <c r="A867" t="s">
        <v>129</v>
      </c>
      <c r="B867" t="s">
        <v>43</v>
      </c>
      <c r="C867" t="s">
        <v>78</v>
      </c>
      <c r="D867">
        <v>2030</v>
      </c>
      <c r="E867" t="s">
        <v>119</v>
      </c>
      <c r="F867" t="s">
        <v>109</v>
      </c>
      <c r="G867" t="s">
        <v>78</v>
      </c>
      <c r="H867">
        <v>31.283092856466656</v>
      </c>
      <c r="I867">
        <v>1876.9855713879997</v>
      </c>
      <c r="J867">
        <v>0</v>
      </c>
      <c r="K867">
        <v>1876.9855713879997</v>
      </c>
    </row>
    <row r="868" spans="1:11" x14ac:dyDescent="0.25">
      <c r="A868" t="s">
        <v>129</v>
      </c>
      <c r="B868" t="s">
        <v>43</v>
      </c>
      <c r="C868" t="s">
        <v>65</v>
      </c>
      <c r="D868">
        <v>2030</v>
      </c>
      <c r="E868" t="s">
        <v>119</v>
      </c>
      <c r="F868" t="s">
        <v>109</v>
      </c>
      <c r="G868" t="s">
        <v>65</v>
      </c>
      <c r="H868">
        <v>66.394406960686013</v>
      </c>
      <c r="I868">
        <v>1943.2509354347128</v>
      </c>
      <c r="J868">
        <v>0</v>
      </c>
      <c r="K868">
        <v>1943.2509354347128</v>
      </c>
    </row>
    <row r="869" spans="1:11" x14ac:dyDescent="0.25">
      <c r="A869" t="s">
        <v>129</v>
      </c>
      <c r="B869" t="s">
        <v>43</v>
      </c>
      <c r="C869" t="s">
        <v>120</v>
      </c>
      <c r="D869">
        <v>2030</v>
      </c>
      <c r="E869" t="s">
        <v>119</v>
      </c>
      <c r="F869" t="s">
        <v>109</v>
      </c>
      <c r="G869" t="s">
        <v>53</v>
      </c>
      <c r="H869">
        <v>1924.2067363305678</v>
      </c>
      <c r="I869">
        <v>31841.773072798231</v>
      </c>
      <c r="J869">
        <v>0</v>
      </c>
      <c r="K869">
        <v>31841.773072798231</v>
      </c>
    </row>
    <row r="870" spans="1:11" x14ac:dyDescent="0.25">
      <c r="A870" t="s">
        <v>129</v>
      </c>
      <c r="B870" t="s">
        <v>43</v>
      </c>
      <c r="C870" t="s">
        <v>29</v>
      </c>
      <c r="D870">
        <v>2050</v>
      </c>
      <c r="E870" t="s">
        <v>119</v>
      </c>
      <c r="F870" t="s">
        <v>109</v>
      </c>
      <c r="G870" t="s">
        <v>52</v>
      </c>
      <c r="H870">
        <v>2865.5971195436209</v>
      </c>
      <c r="I870">
        <v>24105.402969600938</v>
      </c>
      <c r="J870">
        <v>7822.2032636355034</v>
      </c>
      <c r="K870">
        <v>7822.2032636355034</v>
      </c>
    </row>
    <row r="871" spans="1:11" x14ac:dyDescent="0.25">
      <c r="A871" t="s">
        <v>129</v>
      </c>
      <c r="B871" t="s">
        <v>43</v>
      </c>
      <c r="C871" t="s">
        <v>34</v>
      </c>
      <c r="D871">
        <v>2050</v>
      </c>
      <c r="E871" t="s">
        <v>119</v>
      </c>
      <c r="F871" t="s">
        <v>109</v>
      </c>
      <c r="G871" t="s">
        <v>52</v>
      </c>
      <c r="H871">
        <v>77.490326717192659</v>
      </c>
      <c r="I871">
        <v>358.93519335403641</v>
      </c>
      <c r="J871">
        <v>105.94074519075649</v>
      </c>
      <c r="K871">
        <v>105.94074519075649</v>
      </c>
    </row>
    <row r="872" spans="1:11" x14ac:dyDescent="0.25">
      <c r="A872" t="s">
        <v>129</v>
      </c>
      <c r="B872" t="s">
        <v>43</v>
      </c>
      <c r="C872" t="s">
        <v>72</v>
      </c>
      <c r="D872">
        <v>2050</v>
      </c>
      <c r="E872" t="s">
        <v>119</v>
      </c>
      <c r="F872" t="s">
        <v>109</v>
      </c>
      <c r="G872" t="s">
        <v>52</v>
      </c>
      <c r="H872">
        <v>312.99553463338594</v>
      </c>
      <c r="I872">
        <v>1652.6164228642779</v>
      </c>
      <c r="J872">
        <v>877.5393205409315</v>
      </c>
      <c r="K872">
        <v>877.5393205409315</v>
      </c>
    </row>
    <row r="873" spans="1:11" x14ac:dyDescent="0.25">
      <c r="A873" t="s">
        <v>129</v>
      </c>
      <c r="B873" t="s">
        <v>43</v>
      </c>
      <c r="C873" t="s">
        <v>53</v>
      </c>
      <c r="D873">
        <v>2050</v>
      </c>
      <c r="E873" t="s">
        <v>119</v>
      </c>
      <c r="F873" t="s">
        <v>109</v>
      </c>
      <c r="G873" t="s">
        <v>53</v>
      </c>
      <c r="H873">
        <v>920.3380180542913</v>
      </c>
      <c r="I873">
        <v>54800.606947024717</v>
      </c>
      <c r="J873">
        <v>0</v>
      </c>
      <c r="K873">
        <v>54800.606947024717</v>
      </c>
    </row>
    <row r="874" spans="1:11" x14ac:dyDescent="0.25">
      <c r="A874" t="s">
        <v>129</v>
      </c>
      <c r="B874" t="s">
        <v>43</v>
      </c>
      <c r="C874" t="s">
        <v>30</v>
      </c>
      <c r="D874">
        <v>2050</v>
      </c>
      <c r="E874" t="s">
        <v>119</v>
      </c>
      <c r="F874" t="s">
        <v>109</v>
      </c>
      <c r="G874" t="s">
        <v>30</v>
      </c>
      <c r="H874">
        <v>17.430205363670229</v>
      </c>
      <c r="I874">
        <v>434.01211355538874</v>
      </c>
      <c r="J874">
        <v>0</v>
      </c>
      <c r="K874">
        <v>434.01211355538874</v>
      </c>
    </row>
    <row r="875" spans="1:11" x14ac:dyDescent="0.25">
      <c r="A875" t="s">
        <v>129</v>
      </c>
      <c r="B875" t="s">
        <v>43</v>
      </c>
      <c r="C875" t="s">
        <v>31</v>
      </c>
      <c r="D875">
        <v>2050</v>
      </c>
      <c r="E875" t="s">
        <v>119</v>
      </c>
      <c r="F875" t="s">
        <v>109</v>
      </c>
      <c r="G875" t="s">
        <v>31</v>
      </c>
      <c r="H875">
        <v>29.632944372576752</v>
      </c>
      <c r="I875">
        <v>1510.2453617693561</v>
      </c>
      <c r="J875">
        <v>0</v>
      </c>
      <c r="K875">
        <v>1510.2453617693561</v>
      </c>
    </row>
    <row r="876" spans="1:11" x14ac:dyDescent="0.25">
      <c r="A876" t="s">
        <v>129</v>
      </c>
      <c r="B876" t="s">
        <v>43</v>
      </c>
      <c r="C876" t="s">
        <v>55</v>
      </c>
      <c r="D876">
        <v>2050</v>
      </c>
      <c r="E876" t="s">
        <v>119</v>
      </c>
      <c r="F876" t="s">
        <v>109</v>
      </c>
      <c r="G876" t="s">
        <v>55</v>
      </c>
      <c r="H876">
        <v>82.788212115314806</v>
      </c>
      <c r="I876">
        <v>8072.2213747302758</v>
      </c>
      <c r="J876">
        <v>0</v>
      </c>
      <c r="K876">
        <v>8072.2213747302758</v>
      </c>
    </row>
    <row r="877" spans="1:11" x14ac:dyDescent="0.25">
      <c r="A877" t="s">
        <v>129</v>
      </c>
      <c r="B877" t="s">
        <v>43</v>
      </c>
      <c r="C877" t="s">
        <v>54</v>
      </c>
      <c r="D877">
        <v>2050</v>
      </c>
      <c r="E877" t="s">
        <v>119</v>
      </c>
      <c r="F877" t="s">
        <v>109</v>
      </c>
      <c r="G877" t="s">
        <v>54</v>
      </c>
      <c r="H877">
        <v>88.265009747186056</v>
      </c>
      <c r="I877">
        <v>4714.4107006167014</v>
      </c>
      <c r="J877">
        <v>0</v>
      </c>
      <c r="K877">
        <v>4714.4107006167014</v>
      </c>
    </row>
    <row r="878" spans="1:11" x14ac:dyDescent="0.25">
      <c r="A878" t="s">
        <v>129</v>
      </c>
      <c r="B878" t="s">
        <v>43</v>
      </c>
      <c r="C878" t="s">
        <v>41</v>
      </c>
      <c r="D878">
        <v>2050</v>
      </c>
      <c r="E878" t="s">
        <v>119</v>
      </c>
      <c r="F878" t="s">
        <v>109</v>
      </c>
      <c r="G878" t="s">
        <v>41</v>
      </c>
      <c r="H878">
        <v>19.040577025374667</v>
      </c>
      <c r="I878">
        <v>193.98539873451713</v>
      </c>
      <c r="J878">
        <v>0</v>
      </c>
      <c r="K878">
        <v>193.98539873451713</v>
      </c>
    </row>
    <row r="879" spans="1:11" x14ac:dyDescent="0.25">
      <c r="A879" t="s">
        <v>129</v>
      </c>
      <c r="B879" t="s">
        <v>43</v>
      </c>
      <c r="C879" t="s">
        <v>80</v>
      </c>
      <c r="D879">
        <v>2050</v>
      </c>
      <c r="E879" t="s">
        <v>119</v>
      </c>
      <c r="F879" t="s">
        <v>109</v>
      </c>
      <c r="G879" t="s">
        <v>80</v>
      </c>
      <c r="H879">
        <v>135.9589548638036</v>
      </c>
      <c r="I879">
        <v>4861.2304062647327</v>
      </c>
      <c r="J879">
        <v>0</v>
      </c>
      <c r="K879">
        <v>4861.2304062647327</v>
      </c>
    </row>
    <row r="880" spans="1:11" x14ac:dyDescent="0.25">
      <c r="A880" t="s">
        <v>129</v>
      </c>
      <c r="B880" t="s">
        <v>43</v>
      </c>
      <c r="C880" t="s">
        <v>75</v>
      </c>
      <c r="D880">
        <v>2050</v>
      </c>
      <c r="E880" t="s">
        <v>119</v>
      </c>
      <c r="F880" t="s">
        <v>109</v>
      </c>
      <c r="G880" t="s">
        <v>52</v>
      </c>
      <c r="H880">
        <v>987.0555648996924</v>
      </c>
      <c r="I880">
        <v>16924.679434482088</v>
      </c>
      <c r="J880">
        <v>2795.3413597959288</v>
      </c>
      <c r="K880">
        <v>2795.3413597959288</v>
      </c>
    </row>
    <row r="881" spans="1:11" x14ac:dyDescent="0.25">
      <c r="A881" t="s">
        <v>129</v>
      </c>
      <c r="B881" t="s">
        <v>43</v>
      </c>
      <c r="C881" t="s">
        <v>78</v>
      </c>
      <c r="D881">
        <v>2050</v>
      </c>
      <c r="E881" t="s">
        <v>119</v>
      </c>
      <c r="F881" t="s">
        <v>109</v>
      </c>
      <c r="G881" t="s">
        <v>78</v>
      </c>
      <c r="H881">
        <v>29.836475845762994</v>
      </c>
      <c r="I881">
        <v>1790.1885507457796</v>
      </c>
      <c r="J881">
        <v>0</v>
      </c>
      <c r="K881">
        <v>1790.1885507457796</v>
      </c>
    </row>
    <row r="882" spans="1:11" x14ac:dyDescent="0.25">
      <c r="A882" t="s">
        <v>129</v>
      </c>
      <c r="B882" t="s">
        <v>43</v>
      </c>
      <c r="C882" t="s">
        <v>65</v>
      </c>
      <c r="D882">
        <v>2050</v>
      </c>
      <c r="E882" t="s">
        <v>119</v>
      </c>
      <c r="F882" t="s">
        <v>109</v>
      </c>
      <c r="G882" t="s">
        <v>65</v>
      </c>
      <c r="H882">
        <v>63.324145367128274</v>
      </c>
      <c r="I882">
        <v>1853.3896205013152</v>
      </c>
      <c r="J882">
        <v>0</v>
      </c>
      <c r="K882">
        <v>1853.3896205013152</v>
      </c>
    </row>
    <row r="883" spans="1:11" x14ac:dyDescent="0.25">
      <c r="A883" t="s">
        <v>129</v>
      </c>
      <c r="B883" t="s">
        <v>43</v>
      </c>
      <c r="C883" t="s">
        <v>120</v>
      </c>
      <c r="D883">
        <v>2050</v>
      </c>
      <c r="E883" t="s">
        <v>119</v>
      </c>
      <c r="F883" t="s">
        <v>109</v>
      </c>
      <c r="G883" t="s">
        <v>53</v>
      </c>
      <c r="H883">
        <v>1835.2260780031424</v>
      </c>
      <c r="I883">
        <v>30369.321138796004</v>
      </c>
      <c r="J883">
        <v>0</v>
      </c>
      <c r="K883">
        <v>30369.321138796004</v>
      </c>
    </row>
    <row r="884" spans="1:11" x14ac:dyDescent="0.25">
      <c r="A884" t="s">
        <v>129</v>
      </c>
      <c r="B884" t="s">
        <v>43</v>
      </c>
      <c r="C884" t="s">
        <v>29</v>
      </c>
      <c r="D884">
        <v>2019</v>
      </c>
      <c r="E884" t="s">
        <v>121</v>
      </c>
      <c r="F884" t="s">
        <v>109</v>
      </c>
      <c r="G884" t="s">
        <v>52</v>
      </c>
      <c r="H884">
        <v>424.7131637222576</v>
      </c>
      <c r="I884">
        <v>2393.7003792651931</v>
      </c>
      <c r="J884">
        <v>781.29781954121086</v>
      </c>
      <c r="K884">
        <v>781.29781954121086</v>
      </c>
    </row>
    <row r="885" spans="1:11" x14ac:dyDescent="0.25">
      <c r="A885" t="s">
        <v>129</v>
      </c>
      <c r="B885" t="s">
        <v>43</v>
      </c>
      <c r="C885" t="s">
        <v>34</v>
      </c>
      <c r="D885">
        <v>2019</v>
      </c>
      <c r="E885" t="s">
        <v>121</v>
      </c>
      <c r="F885" t="s">
        <v>109</v>
      </c>
      <c r="G885" t="s">
        <v>52</v>
      </c>
      <c r="H885">
        <v>11.484922843296186</v>
      </c>
      <c r="I885">
        <v>30.322952687784319</v>
      </c>
      <c r="J885">
        <v>9.0022400938663694</v>
      </c>
      <c r="K885">
        <v>9.0022400938663694</v>
      </c>
    </row>
    <row r="886" spans="1:11" x14ac:dyDescent="0.25">
      <c r="A886" t="s">
        <v>129</v>
      </c>
      <c r="B886" t="s">
        <v>43</v>
      </c>
      <c r="C886" t="s">
        <v>72</v>
      </c>
      <c r="D886">
        <v>2019</v>
      </c>
      <c r="E886" t="s">
        <v>121</v>
      </c>
      <c r="F886" t="s">
        <v>109</v>
      </c>
      <c r="G886" t="s">
        <v>52</v>
      </c>
      <c r="H886">
        <v>46.389397462214085</v>
      </c>
      <c r="I886">
        <v>134.71481023026973</v>
      </c>
      <c r="J886">
        <v>71.951853718038222</v>
      </c>
      <c r="K886">
        <v>71.951853718038222</v>
      </c>
    </row>
    <row r="887" spans="1:11" x14ac:dyDescent="0.25">
      <c r="A887" t="s">
        <v>129</v>
      </c>
      <c r="B887" t="s">
        <v>43</v>
      </c>
      <c r="C887" t="s">
        <v>53</v>
      </c>
      <c r="D887">
        <v>2019</v>
      </c>
      <c r="E887" t="s">
        <v>121</v>
      </c>
      <c r="F887" t="s">
        <v>109</v>
      </c>
      <c r="G887" t="s">
        <v>53</v>
      </c>
      <c r="H887">
        <v>136.4042658599414</v>
      </c>
      <c r="I887">
        <v>6335.2033729641935</v>
      </c>
      <c r="J887">
        <v>0</v>
      </c>
      <c r="K887">
        <v>6335.2033729641935</v>
      </c>
    </row>
    <row r="888" spans="1:11" x14ac:dyDescent="0.25">
      <c r="A888" t="s">
        <v>129</v>
      </c>
      <c r="B888" t="s">
        <v>43</v>
      </c>
      <c r="C888" t="s">
        <v>30</v>
      </c>
      <c r="D888">
        <v>2019</v>
      </c>
      <c r="E888" t="s">
        <v>121</v>
      </c>
      <c r="F888" t="s">
        <v>109</v>
      </c>
      <c r="G888" t="s">
        <v>30</v>
      </c>
      <c r="H888">
        <v>2.5833490736869646</v>
      </c>
      <c r="I888">
        <v>36.665473402839091</v>
      </c>
      <c r="J888">
        <v>0</v>
      </c>
      <c r="K888">
        <v>36.665473402839091</v>
      </c>
    </row>
    <row r="889" spans="1:11" x14ac:dyDescent="0.25">
      <c r="A889" t="s">
        <v>129</v>
      </c>
      <c r="B889" t="s">
        <v>43</v>
      </c>
      <c r="C889" t="s">
        <v>31</v>
      </c>
      <c r="D889">
        <v>2019</v>
      </c>
      <c r="E889" t="s">
        <v>121</v>
      </c>
      <c r="F889" t="s">
        <v>109</v>
      </c>
      <c r="G889" t="s">
        <v>31</v>
      </c>
      <c r="H889">
        <v>4.3919298595914027</v>
      </c>
      <c r="I889">
        <v>127.58598070016447</v>
      </c>
      <c r="J889">
        <v>0</v>
      </c>
      <c r="K889">
        <v>127.58598070016447</v>
      </c>
    </row>
    <row r="890" spans="1:11" x14ac:dyDescent="0.25">
      <c r="A890" t="s">
        <v>129</v>
      </c>
      <c r="B890" t="s">
        <v>43</v>
      </c>
      <c r="C890" t="s">
        <v>55</v>
      </c>
      <c r="D890">
        <v>2019</v>
      </c>
      <c r="E890" t="s">
        <v>121</v>
      </c>
      <c r="F890" t="s">
        <v>109</v>
      </c>
      <c r="G890" t="s">
        <v>55</v>
      </c>
      <c r="H890">
        <v>12.270128011576354</v>
      </c>
      <c r="I890">
        <v>681.94368054022107</v>
      </c>
      <c r="J890">
        <v>0</v>
      </c>
      <c r="K890">
        <v>681.94368054022107</v>
      </c>
    </row>
    <row r="891" spans="1:11" x14ac:dyDescent="0.25">
      <c r="A891" t="s">
        <v>129</v>
      </c>
      <c r="B891" t="s">
        <v>43</v>
      </c>
      <c r="C891" t="s">
        <v>54</v>
      </c>
      <c r="D891">
        <v>2019</v>
      </c>
      <c r="E891" t="s">
        <v>121</v>
      </c>
      <c r="F891" t="s">
        <v>109</v>
      </c>
      <c r="G891" t="s">
        <v>54</v>
      </c>
      <c r="H891">
        <v>13.0818499502378</v>
      </c>
      <c r="I891">
        <v>579.94404871994413</v>
      </c>
      <c r="J891">
        <v>0</v>
      </c>
      <c r="K891">
        <v>579.94404871994413</v>
      </c>
    </row>
    <row r="892" spans="1:11" x14ac:dyDescent="0.25">
      <c r="A892" t="s">
        <v>129</v>
      </c>
      <c r="B892" t="s">
        <v>43</v>
      </c>
      <c r="C892" t="s">
        <v>41</v>
      </c>
      <c r="D892">
        <v>2019</v>
      </c>
      <c r="E892" t="s">
        <v>121</v>
      </c>
      <c r="F892" t="s">
        <v>109</v>
      </c>
      <c r="G892" t="s">
        <v>41</v>
      </c>
      <c r="H892">
        <v>2.8220239517940748</v>
      </c>
      <c r="I892">
        <v>16.38794461190048</v>
      </c>
      <c r="J892">
        <v>0</v>
      </c>
      <c r="K892">
        <v>16.38794461190048</v>
      </c>
    </row>
    <row r="893" spans="1:11" x14ac:dyDescent="0.25">
      <c r="A893" t="s">
        <v>129</v>
      </c>
      <c r="B893" t="s">
        <v>43</v>
      </c>
      <c r="C893" t="s">
        <v>80</v>
      </c>
      <c r="D893">
        <v>2019</v>
      </c>
      <c r="E893" t="s">
        <v>121</v>
      </c>
      <c r="F893" t="s">
        <v>109</v>
      </c>
      <c r="G893" t="s">
        <v>80</v>
      </c>
      <c r="H893">
        <v>20.15061973044347</v>
      </c>
      <c r="I893">
        <v>410.6782013659747</v>
      </c>
      <c r="J893">
        <v>0</v>
      </c>
      <c r="K893">
        <v>410.6782013659747</v>
      </c>
    </row>
    <row r="894" spans="1:11" x14ac:dyDescent="0.25">
      <c r="A894" t="s">
        <v>129</v>
      </c>
      <c r="B894" t="s">
        <v>43</v>
      </c>
      <c r="C894" t="s">
        <v>75</v>
      </c>
      <c r="D894">
        <v>2019</v>
      </c>
      <c r="E894" t="s">
        <v>121</v>
      </c>
      <c r="F894" t="s">
        <v>109</v>
      </c>
      <c r="G894" t="s">
        <v>52</v>
      </c>
      <c r="H894">
        <v>146.29254366537521</v>
      </c>
      <c r="I894">
        <v>1429.8019900252987</v>
      </c>
      <c r="J894">
        <v>237.5321602645615</v>
      </c>
      <c r="K894">
        <v>237.5321602645615</v>
      </c>
    </row>
    <row r="895" spans="1:11" x14ac:dyDescent="0.25">
      <c r="A895" t="s">
        <v>129</v>
      </c>
      <c r="B895" t="s">
        <v>43</v>
      </c>
      <c r="C895" t="s">
        <v>78</v>
      </c>
      <c r="D895">
        <v>2019</v>
      </c>
      <c r="E895" t="s">
        <v>121</v>
      </c>
      <c r="F895" t="s">
        <v>109</v>
      </c>
      <c r="G895" t="s">
        <v>78</v>
      </c>
      <c r="H895">
        <v>4.4220954733493292</v>
      </c>
      <c r="I895">
        <v>151.23566518854705</v>
      </c>
      <c r="J895">
        <v>0</v>
      </c>
      <c r="K895">
        <v>151.23566518854705</v>
      </c>
    </row>
    <row r="896" spans="1:11" x14ac:dyDescent="0.25">
      <c r="A896" t="s">
        <v>129</v>
      </c>
      <c r="B896" t="s">
        <v>43</v>
      </c>
      <c r="C896" t="s">
        <v>65</v>
      </c>
      <c r="D896">
        <v>2019</v>
      </c>
      <c r="E896" t="s">
        <v>121</v>
      </c>
      <c r="F896" t="s">
        <v>109</v>
      </c>
      <c r="G896" t="s">
        <v>65</v>
      </c>
      <c r="H896">
        <v>9.3853382024492209</v>
      </c>
      <c r="I896">
        <v>156.57491049939676</v>
      </c>
      <c r="J896">
        <v>0</v>
      </c>
      <c r="K896">
        <v>156.57491049939676</v>
      </c>
    </row>
    <row r="897" spans="1:11" x14ac:dyDescent="0.25">
      <c r="A897" t="s">
        <v>129</v>
      </c>
      <c r="B897" t="s">
        <v>43</v>
      </c>
      <c r="C897" t="s">
        <v>120</v>
      </c>
      <c r="D897">
        <v>2019</v>
      </c>
      <c r="E897" t="s">
        <v>121</v>
      </c>
      <c r="F897" t="s">
        <v>109</v>
      </c>
      <c r="G897" t="s">
        <v>53</v>
      </c>
      <c r="H897">
        <v>274.12224772100956</v>
      </c>
      <c r="I897">
        <v>4536.1749552872661</v>
      </c>
      <c r="J897">
        <v>0</v>
      </c>
      <c r="K897">
        <v>4536.1749552872661</v>
      </c>
    </row>
    <row r="898" spans="1:11" x14ac:dyDescent="0.25">
      <c r="A898" t="s">
        <v>129</v>
      </c>
      <c r="B898" t="s">
        <v>43</v>
      </c>
      <c r="C898" t="s">
        <v>29</v>
      </c>
      <c r="D898">
        <v>2030</v>
      </c>
      <c r="E898" t="s">
        <v>121</v>
      </c>
      <c r="F898" t="s">
        <v>109</v>
      </c>
      <c r="G898" t="s">
        <v>52</v>
      </c>
      <c r="H898">
        <v>468.91589228895612</v>
      </c>
      <c r="I898">
        <v>2642.828725576248</v>
      </c>
      <c r="J898">
        <v>857.59792144949267</v>
      </c>
      <c r="K898">
        <v>857.59792144949267</v>
      </c>
    </row>
    <row r="899" spans="1:11" x14ac:dyDescent="0.25">
      <c r="A899" t="s">
        <v>129</v>
      </c>
      <c r="B899" t="s">
        <v>43</v>
      </c>
      <c r="C899" t="s">
        <v>34</v>
      </c>
      <c r="D899">
        <v>2030</v>
      </c>
      <c r="E899" t="s">
        <v>121</v>
      </c>
      <c r="F899" t="s">
        <v>109</v>
      </c>
      <c r="G899" t="s">
        <v>52</v>
      </c>
      <c r="H899">
        <v>12.680235280995165</v>
      </c>
      <c r="I899">
        <v>33.478864398294675</v>
      </c>
      <c r="J899">
        <v>9.8813822332469243</v>
      </c>
      <c r="K899">
        <v>9.8813822332469243</v>
      </c>
    </row>
    <row r="900" spans="1:11" x14ac:dyDescent="0.25">
      <c r="A900" t="s">
        <v>129</v>
      </c>
      <c r="B900" t="s">
        <v>43</v>
      </c>
      <c r="C900" t="s">
        <v>72</v>
      </c>
      <c r="D900">
        <v>2030</v>
      </c>
      <c r="E900" t="s">
        <v>121</v>
      </c>
      <c r="F900" t="s">
        <v>109</v>
      </c>
      <c r="G900" t="s">
        <v>52</v>
      </c>
      <c r="H900">
        <v>51.217451121826805</v>
      </c>
      <c r="I900">
        <v>148.73547805778509</v>
      </c>
      <c r="J900">
        <v>78.978538848683883</v>
      </c>
      <c r="K900">
        <v>78.978538848683883</v>
      </c>
    </row>
    <row r="901" spans="1:11" x14ac:dyDescent="0.25">
      <c r="A901" t="s">
        <v>129</v>
      </c>
      <c r="B901" t="s">
        <v>43</v>
      </c>
      <c r="C901" t="s">
        <v>53</v>
      </c>
      <c r="D901">
        <v>2030</v>
      </c>
      <c r="E901" t="s">
        <v>121</v>
      </c>
      <c r="F901" t="s">
        <v>109</v>
      </c>
      <c r="G901" t="s">
        <v>53</v>
      </c>
      <c r="H901">
        <v>150.60076659070219</v>
      </c>
      <c r="I901">
        <v>6994.5501957838824</v>
      </c>
      <c r="J901">
        <v>0</v>
      </c>
      <c r="K901">
        <v>6994.5501957838824</v>
      </c>
    </row>
    <row r="902" spans="1:11" x14ac:dyDescent="0.25">
      <c r="A902" t="s">
        <v>129</v>
      </c>
      <c r="B902" t="s">
        <v>43</v>
      </c>
      <c r="C902" t="s">
        <v>30</v>
      </c>
      <c r="D902">
        <v>2030</v>
      </c>
      <c r="E902" t="s">
        <v>121</v>
      </c>
      <c r="F902" t="s">
        <v>109</v>
      </c>
      <c r="G902" t="s">
        <v>30</v>
      </c>
      <c r="H902">
        <v>2.8522154231460375</v>
      </c>
      <c r="I902">
        <v>40.481493500711707</v>
      </c>
      <c r="J902">
        <v>0</v>
      </c>
      <c r="K902">
        <v>40.481493500711707</v>
      </c>
    </row>
    <row r="903" spans="1:11" x14ac:dyDescent="0.25">
      <c r="A903" t="s">
        <v>129</v>
      </c>
      <c r="B903" t="s">
        <v>43</v>
      </c>
      <c r="C903" t="s">
        <v>31</v>
      </c>
      <c r="D903">
        <v>2030</v>
      </c>
      <c r="E903" t="s">
        <v>121</v>
      </c>
      <c r="F903" t="s">
        <v>109</v>
      </c>
      <c r="G903" t="s">
        <v>31</v>
      </c>
      <c r="H903">
        <v>4.8490272609671052</v>
      </c>
      <c r="I903">
        <v>140.86470374321448</v>
      </c>
      <c r="J903">
        <v>0</v>
      </c>
      <c r="K903">
        <v>140.86470374321448</v>
      </c>
    </row>
    <row r="904" spans="1:11" x14ac:dyDescent="0.25">
      <c r="A904" t="s">
        <v>129</v>
      </c>
      <c r="B904" t="s">
        <v>43</v>
      </c>
      <c r="C904" t="s">
        <v>55</v>
      </c>
      <c r="D904">
        <v>2030</v>
      </c>
      <c r="E904" t="s">
        <v>121</v>
      </c>
      <c r="F904" t="s">
        <v>109</v>
      </c>
      <c r="G904" t="s">
        <v>55</v>
      </c>
      <c r="H904">
        <v>13.547161982506061</v>
      </c>
      <c r="I904">
        <v>752.91810277029674</v>
      </c>
      <c r="J904">
        <v>0</v>
      </c>
      <c r="K904">
        <v>752.91810277029674</v>
      </c>
    </row>
    <row r="905" spans="1:11" x14ac:dyDescent="0.25">
      <c r="A905" t="s">
        <v>129</v>
      </c>
      <c r="B905" t="s">
        <v>43</v>
      </c>
      <c r="C905" t="s">
        <v>54</v>
      </c>
      <c r="D905">
        <v>2030</v>
      </c>
      <c r="E905" t="s">
        <v>121</v>
      </c>
      <c r="F905" t="s">
        <v>109</v>
      </c>
      <c r="G905" t="s">
        <v>54</v>
      </c>
      <c r="H905">
        <v>14.443365231357719</v>
      </c>
      <c r="I905">
        <v>640.30268970194118</v>
      </c>
      <c r="J905">
        <v>0</v>
      </c>
      <c r="K905">
        <v>640.30268970194118</v>
      </c>
    </row>
    <row r="906" spans="1:11" x14ac:dyDescent="0.25">
      <c r="A906" t="s">
        <v>129</v>
      </c>
      <c r="B906" t="s">
        <v>43</v>
      </c>
      <c r="C906" t="s">
        <v>41</v>
      </c>
      <c r="D906">
        <v>2030</v>
      </c>
      <c r="E906" t="s">
        <v>121</v>
      </c>
      <c r="F906" t="s">
        <v>109</v>
      </c>
      <c r="G906" t="s">
        <v>41</v>
      </c>
      <c r="H906">
        <v>3.1157307859704</v>
      </c>
      <c r="I906">
        <v>18.093547191055869</v>
      </c>
      <c r="J906">
        <v>0</v>
      </c>
      <c r="K906">
        <v>18.093547191055869</v>
      </c>
    </row>
    <row r="907" spans="1:11" x14ac:dyDescent="0.25">
      <c r="A907" t="s">
        <v>129</v>
      </c>
      <c r="B907" t="s">
        <v>43</v>
      </c>
      <c r="C907" t="s">
        <v>80</v>
      </c>
      <c r="D907">
        <v>2030</v>
      </c>
      <c r="E907" t="s">
        <v>121</v>
      </c>
      <c r="F907" t="s">
        <v>109</v>
      </c>
      <c r="G907" t="s">
        <v>80</v>
      </c>
      <c r="H907">
        <v>22.247828977713322</v>
      </c>
      <c r="I907">
        <v>453.42021789341965</v>
      </c>
      <c r="J907">
        <v>0</v>
      </c>
      <c r="K907">
        <v>453.42021789341965</v>
      </c>
    </row>
    <row r="908" spans="1:11" x14ac:dyDescent="0.25">
      <c r="A908" t="s">
        <v>129</v>
      </c>
      <c r="B908" t="s">
        <v>43</v>
      </c>
      <c r="C908" t="s">
        <v>75</v>
      </c>
      <c r="D908">
        <v>2030</v>
      </c>
      <c r="E908" t="s">
        <v>121</v>
      </c>
      <c r="F908" t="s">
        <v>109</v>
      </c>
      <c r="G908" t="s">
        <v>52</v>
      </c>
      <c r="H908">
        <v>161.51818334722239</v>
      </c>
      <c r="I908">
        <v>1578.6110090707834</v>
      </c>
      <c r="J908">
        <v>260.72911228642022</v>
      </c>
      <c r="K908">
        <v>260.72911228642022</v>
      </c>
    </row>
    <row r="909" spans="1:11" x14ac:dyDescent="0.25">
      <c r="A909" t="s">
        <v>129</v>
      </c>
      <c r="B909" t="s">
        <v>43</v>
      </c>
      <c r="C909" t="s">
        <v>78</v>
      </c>
      <c r="D909">
        <v>2030</v>
      </c>
      <c r="E909" t="s">
        <v>121</v>
      </c>
      <c r="F909" t="s">
        <v>109</v>
      </c>
      <c r="G909" t="s">
        <v>78</v>
      </c>
      <c r="H909">
        <v>4.8823324111248541</v>
      </c>
      <c r="I909">
        <v>166.97576846046999</v>
      </c>
      <c r="J909">
        <v>0</v>
      </c>
      <c r="K909">
        <v>166.97576846046999</v>
      </c>
    </row>
    <row r="910" spans="1:11" x14ac:dyDescent="0.25">
      <c r="A910" t="s">
        <v>129</v>
      </c>
      <c r="B910" t="s">
        <v>43</v>
      </c>
      <c r="C910" t="s">
        <v>65</v>
      </c>
      <c r="D910">
        <v>2030</v>
      </c>
      <c r="E910" t="s">
        <v>121</v>
      </c>
      <c r="F910" t="s">
        <v>109</v>
      </c>
      <c r="G910" t="s">
        <v>65</v>
      </c>
      <c r="H910">
        <v>10.362132878257356</v>
      </c>
      <c r="I910">
        <v>172.87070460312273</v>
      </c>
      <c r="J910">
        <v>0</v>
      </c>
      <c r="K910">
        <v>172.87070460312273</v>
      </c>
    </row>
    <row r="911" spans="1:11" x14ac:dyDescent="0.25">
      <c r="A911" t="s">
        <v>129</v>
      </c>
      <c r="B911" t="s">
        <v>43</v>
      </c>
      <c r="C911" t="s">
        <v>120</v>
      </c>
      <c r="D911">
        <v>2030</v>
      </c>
      <c r="E911" t="s">
        <v>121</v>
      </c>
      <c r="F911" t="s">
        <v>109</v>
      </c>
      <c r="G911" t="s">
        <v>53</v>
      </c>
      <c r="H911">
        <v>300.30972185505971</v>
      </c>
      <c r="I911">
        <v>4969.5252772575286</v>
      </c>
      <c r="J911">
        <v>0</v>
      </c>
      <c r="K911">
        <v>4969.5252772575286</v>
      </c>
    </row>
    <row r="912" spans="1:11" x14ac:dyDescent="0.25">
      <c r="A912" t="s">
        <v>129</v>
      </c>
      <c r="B912" t="s">
        <v>43</v>
      </c>
      <c r="C912" t="s">
        <v>29</v>
      </c>
      <c r="D912">
        <v>2050</v>
      </c>
      <c r="E912" t="s">
        <v>121</v>
      </c>
      <c r="F912" t="s">
        <v>109</v>
      </c>
      <c r="G912" t="s">
        <v>52</v>
      </c>
      <c r="H912">
        <v>607.85393444864678</v>
      </c>
      <c r="I912">
        <v>3425.8890887099515</v>
      </c>
      <c r="J912">
        <v>1111.7010092863791</v>
      </c>
      <c r="K912">
        <v>1111.7010092863791</v>
      </c>
    </row>
    <row r="913" spans="1:11" x14ac:dyDescent="0.25">
      <c r="A913" t="s">
        <v>129</v>
      </c>
      <c r="B913" t="s">
        <v>43</v>
      </c>
      <c r="C913" t="s">
        <v>34</v>
      </c>
      <c r="D913">
        <v>2050</v>
      </c>
      <c r="E913" t="s">
        <v>121</v>
      </c>
      <c r="F913" t="s">
        <v>109</v>
      </c>
      <c r="G913" t="s">
        <v>52</v>
      </c>
      <c r="H913">
        <v>16.437342030919655</v>
      </c>
      <c r="I913">
        <v>43.398527923715307</v>
      </c>
      <c r="J913">
        <v>12.809199191246012</v>
      </c>
      <c r="K913">
        <v>12.809199191246012</v>
      </c>
    </row>
    <row r="914" spans="1:11" x14ac:dyDescent="0.25">
      <c r="A914" t="s">
        <v>129</v>
      </c>
      <c r="B914" t="s">
        <v>43</v>
      </c>
      <c r="C914" t="s">
        <v>72</v>
      </c>
      <c r="D914">
        <v>2050</v>
      </c>
      <c r="E914" t="s">
        <v>121</v>
      </c>
      <c r="F914" t="s">
        <v>109</v>
      </c>
      <c r="G914" t="s">
        <v>52</v>
      </c>
      <c r="H914">
        <v>66.392992194960655</v>
      </c>
      <c r="I914">
        <v>192.80524933416578</v>
      </c>
      <c r="J914">
        <v>102.37958739644202</v>
      </c>
      <c r="K914">
        <v>102.37958739644202</v>
      </c>
    </row>
    <row r="915" spans="1:11" x14ac:dyDescent="0.25">
      <c r="A915" t="s">
        <v>129</v>
      </c>
      <c r="B915" t="s">
        <v>43</v>
      </c>
      <c r="C915" t="s">
        <v>53</v>
      </c>
      <c r="D915">
        <v>2050</v>
      </c>
      <c r="E915" t="s">
        <v>121</v>
      </c>
      <c r="F915" t="s">
        <v>109</v>
      </c>
      <c r="G915" t="s">
        <v>53</v>
      </c>
      <c r="H915">
        <v>195.22321595091026</v>
      </c>
      <c r="I915">
        <v>9067.0095130531809</v>
      </c>
      <c r="J915">
        <v>0</v>
      </c>
      <c r="K915">
        <v>9067.0095130531809</v>
      </c>
    </row>
    <row r="916" spans="1:11" x14ac:dyDescent="0.25">
      <c r="A916" t="s">
        <v>129</v>
      </c>
      <c r="B916" t="s">
        <v>43</v>
      </c>
      <c r="C916" t="s">
        <v>30</v>
      </c>
      <c r="D916">
        <v>2050</v>
      </c>
      <c r="E916" t="s">
        <v>121</v>
      </c>
      <c r="F916" t="s">
        <v>109</v>
      </c>
      <c r="G916" t="s">
        <v>30</v>
      </c>
      <c r="H916">
        <v>3.697316289263382</v>
      </c>
      <c r="I916">
        <v>52.476010093515178</v>
      </c>
      <c r="J916">
        <v>0</v>
      </c>
      <c r="K916">
        <v>52.476010093515178</v>
      </c>
    </row>
    <row r="917" spans="1:11" x14ac:dyDescent="0.25">
      <c r="A917" t="s">
        <v>129</v>
      </c>
      <c r="B917" t="s">
        <v>43</v>
      </c>
      <c r="C917" t="s">
        <v>31</v>
      </c>
      <c r="D917">
        <v>2050</v>
      </c>
      <c r="E917" t="s">
        <v>121</v>
      </c>
      <c r="F917" t="s">
        <v>109</v>
      </c>
      <c r="G917" t="s">
        <v>31</v>
      </c>
      <c r="H917">
        <v>6.2857760790314314</v>
      </c>
      <c r="I917">
        <v>182.60239374120394</v>
      </c>
      <c r="J917">
        <v>0</v>
      </c>
      <c r="K917">
        <v>182.60239374120394</v>
      </c>
    </row>
    <row r="918" spans="1:11" x14ac:dyDescent="0.25">
      <c r="A918" t="s">
        <v>129</v>
      </c>
      <c r="B918" t="s">
        <v>43</v>
      </c>
      <c r="C918" t="s">
        <v>55</v>
      </c>
      <c r="D918">
        <v>2050</v>
      </c>
      <c r="E918" t="s">
        <v>121</v>
      </c>
      <c r="F918" t="s">
        <v>109</v>
      </c>
      <c r="G918" t="s">
        <v>55</v>
      </c>
      <c r="H918">
        <v>17.561135903248598</v>
      </c>
      <c r="I918">
        <v>976.00494803557001</v>
      </c>
      <c r="J918">
        <v>0</v>
      </c>
      <c r="K918">
        <v>976.00494803557001</v>
      </c>
    </row>
    <row r="919" spans="1:11" x14ac:dyDescent="0.25">
      <c r="A919" t="s">
        <v>129</v>
      </c>
      <c r="B919" t="s">
        <v>43</v>
      </c>
      <c r="C919" t="s">
        <v>54</v>
      </c>
      <c r="D919">
        <v>2050</v>
      </c>
      <c r="E919" t="s">
        <v>121</v>
      </c>
      <c r="F919" t="s">
        <v>109</v>
      </c>
      <c r="G919" t="s">
        <v>54</v>
      </c>
      <c r="H919">
        <v>18.722880855463707</v>
      </c>
      <c r="I919">
        <v>830.02200516918299</v>
      </c>
      <c r="J919">
        <v>0</v>
      </c>
      <c r="K919">
        <v>830.02200516918299</v>
      </c>
    </row>
    <row r="920" spans="1:11" x14ac:dyDescent="0.25">
      <c r="A920" t="s">
        <v>129</v>
      </c>
      <c r="B920" t="s">
        <v>43</v>
      </c>
      <c r="C920" t="s">
        <v>41</v>
      </c>
      <c r="D920">
        <v>2050</v>
      </c>
      <c r="E920" t="s">
        <v>121</v>
      </c>
      <c r="F920" t="s">
        <v>109</v>
      </c>
      <c r="G920" t="s">
        <v>41</v>
      </c>
      <c r="H920">
        <v>4.0389102781097774</v>
      </c>
      <c r="I920">
        <v>23.454598210627974</v>
      </c>
      <c r="J920">
        <v>0</v>
      </c>
      <c r="K920">
        <v>23.454598210627974</v>
      </c>
    </row>
    <row r="921" spans="1:11" x14ac:dyDescent="0.25">
      <c r="A921" t="s">
        <v>129</v>
      </c>
      <c r="B921" t="s">
        <v>43</v>
      </c>
      <c r="C921" t="s">
        <v>80</v>
      </c>
      <c r="D921">
        <v>2050</v>
      </c>
      <c r="E921" t="s">
        <v>121</v>
      </c>
      <c r="F921" t="s">
        <v>109</v>
      </c>
      <c r="G921" t="s">
        <v>80</v>
      </c>
      <c r="H921">
        <v>28.839778304443193</v>
      </c>
      <c r="I921">
        <v>587.76694912109951</v>
      </c>
      <c r="J921">
        <v>0</v>
      </c>
      <c r="K921">
        <v>587.76694912109951</v>
      </c>
    </row>
    <row r="922" spans="1:11" x14ac:dyDescent="0.25">
      <c r="A922" t="s">
        <v>129</v>
      </c>
      <c r="B922" t="s">
        <v>43</v>
      </c>
      <c r="C922" t="s">
        <v>75</v>
      </c>
      <c r="D922">
        <v>2050</v>
      </c>
      <c r="E922" t="s">
        <v>121</v>
      </c>
      <c r="F922" t="s">
        <v>109</v>
      </c>
      <c r="G922" t="s">
        <v>52</v>
      </c>
      <c r="H922">
        <v>209.3754228575105</v>
      </c>
      <c r="I922">
        <v>2046.3476043510154</v>
      </c>
      <c r="J922">
        <v>337.98218259350773</v>
      </c>
      <c r="K922">
        <v>337.98218259350773</v>
      </c>
    </row>
    <row r="923" spans="1:11" x14ac:dyDescent="0.25">
      <c r="A923" t="s">
        <v>129</v>
      </c>
      <c r="B923" t="s">
        <v>43</v>
      </c>
      <c r="C923" t="s">
        <v>78</v>
      </c>
      <c r="D923">
        <v>2050</v>
      </c>
      <c r="E923" t="s">
        <v>121</v>
      </c>
      <c r="F923" t="s">
        <v>109</v>
      </c>
      <c r="G923" t="s">
        <v>78</v>
      </c>
      <c r="H923">
        <v>6.3289494218285141</v>
      </c>
      <c r="I923">
        <v>216.45007022653519</v>
      </c>
      <c r="J923">
        <v>0</v>
      </c>
      <c r="K923">
        <v>216.45007022653519</v>
      </c>
    </row>
    <row r="924" spans="1:11" x14ac:dyDescent="0.25">
      <c r="A924" t="s">
        <v>129</v>
      </c>
      <c r="B924" t="s">
        <v>43</v>
      </c>
      <c r="C924" t="s">
        <v>65</v>
      </c>
      <c r="D924">
        <v>2050</v>
      </c>
      <c r="E924" t="s">
        <v>121</v>
      </c>
      <c r="F924" t="s">
        <v>109</v>
      </c>
      <c r="G924" t="s">
        <v>65</v>
      </c>
      <c r="H924">
        <v>13.432394471815089</v>
      </c>
      <c r="I924">
        <v>224.09165411515903</v>
      </c>
      <c r="J924">
        <v>0</v>
      </c>
      <c r="K924">
        <v>224.09165411515903</v>
      </c>
    </row>
    <row r="925" spans="1:11" x14ac:dyDescent="0.25">
      <c r="A925" t="s">
        <v>129</v>
      </c>
      <c r="B925" t="s">
        <v>43</v>
      </c>
      <c r="C925" t="s">
        <v>120</v>
      </c>
      <c r="D925">
        <v>2050</v>
      </c>
      <c r="E925" t="s">
        <v>121</v>
      </c>
      <c r="F925" t="s">
        <v>109</v>
      </c>
      <c r="G925" t="s">
        <v>53</v>
      </c>
      <c r="H925">
        <v>389.29038018248474</v>
      </c>
      <c r="I925">
        <v>6441.9772112597584</v>
      </c>
      <c r="J925">
        <v>0</v>
      </c>
      <c r="K925">
        <v>6441.9772112597584</v>
      </c>
    </row>
    <row r="926" spans="1:11" x14ac:dyDescent="0.25">
      <c r="A926" t="s">
        <v>129</v>
      </c>
      <c r="B926" t="s">
        <v>43</v>
      </c>
      <c r="C926" t="s">
        <v>29</v>
      </c>
      <c r="D926">
        <v>2019</v>
      </c>
      <c r="E926" t="s">
        <v>119</v>
      </c>
      <c r="F926" t="s">
        <v>110</v>
      </c>
      <c r="G926" t="s">
        <v>52</v>
      </c>
      <c r="H926">
        <v>1774.9136894308049</v>
      </c>
      <c r="I926">
        <v>17419.002948073918</v>
      </c>
      <c r="J926">
        <v>5685.5190147439571</v>
      </c>
      <c r="K926">
        <v>5685.5190147439571</v>
      </c>
    </row>
    <row r="927" spans="1:11" x14ac:dyDescent="0.25">
      <c r="A927" t="s">
        <v>129</v>
      </c>
      <c r="B927" t="s">
        <v>43</v>
      </c>
      <c r="C927" t="s">
        <v>34</v>
      </c>
      <c r="D927">
        <v>2019</v>
      </c>
      <c r="E927" t="s">
        <v>119</v>
      </c>
      <c r="F927" t="s">
        <v>110</v>
      </c>
      <c r="G927" t="s">
        <v>52</v>
      </c>
      <c r="H927">
        <v>32.238285550267712</v>
      </c>
      <c r="I927">
        <v>174.21569511364672</v>
      </c>
      <c r="J927">
        <v>51.720936667380549</v>
      </c>
      <c r="K927">
        <v>51.720936667380549</v>
      </c>
    </row>
    <row r="928" spans="1:11" x14ac:dyDescent="0.25">
      <c r="A928" t="s">
        <v>129</v>
      </c>
      <c r="B928" t="s">
        <v>43</v>
      </c>
      <c r="C928" t="s">
        <v>72</v>
      </c>
      <c r="D928">
        <v>2019</v>
      </c>
      <c r="E928" t="s">
        <v>119</v>
      </c>
      <c r="F928" t="s">
        <v>110</v>
      </c>
      <c r="G928" t="s">
        <v>52</v>
      </c>
      <c r="H928">
        <v>157.47648143468331</v>
      </c>
      <c r="I928">
        <v>970.05512563764921</v>
      </c>
      <c r="J928">
        <v>518.11129287869664</v>
      </c>
      <c r="K928">
        <v>518.11129287869664</v>
      </c>
    </row>
    <row r="929" spans="1:11" x14ac:dyDescent="0.25">
      <c r="A929" t="s">
        <v>129</v>
      </c>
      <c r="B929" t="s">
        <v>43</v>
      </c>
      <c r="C929" t="s">
        <v>53</v>
      </c>
      <c r="D929">
        <v>2019</v>
      </c>
      <c r="E929" t="s">
        <v>119</v>
      </c>
      <c r="F929" t="s">
        <v>110</v>
      </c>
      <c r="G929" t="s">
        <v>53</v>
      </c>
      <c r="H929">
        <v>1157.2294466868368</v>
      </c>
      <c r="I929">
        <v>80390.415202441189</v>
      </c>
      <c r="J929">
        <v>0</v>
      </c>
      <c r="K929">
        <v>80390.415202441189</v>
      </c>
    </row>
    <row r="930" spans="1:11" x14ac:dyDescent="0.25">
      <c r="A930" t="s">
        <v>129</v>
      </c>
      <c r="B930" t="s">
        <v>43</v>
      </c>
      <c r="C930" t="s">
        <v>30</v>
      </c>
      <c r="D930">
        <v>2019</v>
      </c>
      <c r="E930" t="s">
        <v>119</v>
      </c>
      <c r="F930" t="s">
        <v>110</v>
      </c>
      <c r="G930" t="s">
        <v>30</v>
      </c>
      <c r="H930">
        <v>5.4466148542378683</v>
      </c>
      <c r="I930">
        <v>158.22416151561006</v>
      </c>
      <c r="J930">
        <v>0</v>
      </c>
      <c r="K930">
        <v>158.22416151561006</v>
      </c>
    </row>
    <row r="931" spans="1:11" x14ac:dyDescent="0.25">
      <c r="A931" t="s">
        <v>129</v>
      </c>
      <c r="B931" t="s">
        <v>43</v>
      </c>
      <c r="C931" t="s">
        <v>31</v>
      </c>
      <c r="D931">
        <v>2019</v>
      </c>
      <c r="E931" t="s">
        <v>119</v>
      </c>
      <c r="F931" t="s">
        <v>110</v>
      </c>
      <c r="G931" t="s">
        <v>31</v>
      </c>
      <c r="H931">
        <v>31.045054930295858</v>
      </c>
      <c r="I931">
        <v>1845.915969818406</v>
      </c>
      <c r="J931">
        <v>0</v>
      </c>
      <c r="K931">
        <v>1845.915969818406</v>
      </c>
    </row>
    <row r="932" spans="1:11" x14ac:dyDescent="0.25">
      <c r="A932" t="s">
        <v>129</v>
      </c>
      <c r="B932" t="s">
        <v>43</v>
      </c>
      <c r="C932" t="s">
        <v>55</v>
      </c>
      <c r="D932">
        <v>2019</v>
      </c>
      <c r="E932" t="s">
        <v>119</v>
      </c>
      <c r="F932" t="s">
        <v>110</v>
      </c>
      <c r="G932" t="s">
        <v>55</v>
      </c>
      <c r="H932">
        <v>35.751038145066026</v>
      </c>
      <c r="I932">
        <v>4066.8673481557489</v>
      </c>
      <c r="J932">
        <v>0</v>
      </c>
      <c r="K932">
        <v>4066.8673481557489</v>
      </c>
    </row>
    <row r="933" spans="1:11" x14ac:dyDescent="0.25">
      <c r="A933" t="s">
        <v>129</v>
      </c>
      <c r="B933" t="s">
        <v>43</v>
      </c>
      <c r="C933" t="s">
        <v>54</v>
      </c>
      <c r="D933">
        <v>2019</v>
      </c>
      <c r="E933" t="s">
        <v>119</v>
      </c>
      <c r="F933" t="s">
        <v>110</v>
      </c>
      <c r="G933" t="s">
        <v>54</v>
      </c>
      <c r="H933">
        <v>36.720874835279488</v>
      </c>
      <c r="I933">
        <v>2288.2245944856063</v>
      </c>
      <c r="J933">
        <v>0</v>
      </c>
      <c r="K933">
        <v>2288.2245944856063</v>
      </c>
    </row>
    <row r="934" spans="1:11" x14ac:dyDescent="0.25">
      <c r="A934" t="s">
        <v>129</v>
      </c>
      <c r="B934" t="s">
        <v>43</v>
      </c>
      <c r="C934" t="s">
        <v>41</v>
      </c>
      <c r="D934">
        <v>2019</v>
      </c>
      <c r="E934" t="s">
        <v>119</v>
      </c>
      <c r="F934" t="s">
        <v>110</v>
      </c>
      <c r="G934" t="s">
        <v>41</v>
      </c>
      <c r="H934">
        <v>13.325104800010324</v>
      </c>
      <c r="I934">
        <v>158.38219565292275</v>
      </c>
      <c r="J934">
        <v>0</v>
      </c>
      <c r="K934">
        <v>158.38219565292275</v>
      </c>
    </row>
    <row r="935" spans="1:11" x14ac:dyDescent="0.25">
      <c r="A935" t="s">
        <v>129</v>
      </c>
      <c r="B935" t="s">
        <v>43</v>
      </c>
      <c r="C935" t="s">
        <v>80</v>
      </c>
      <c r="D935">
        <v>2019</v>
      </c>
      <c r="E935" t="s">
        <v>119</v>
      </c>
      <c r="F935" t="s">
        <v>110</v>
      </c>
      <c r="G935" t="s">
        <v>80</v>
      </c>
      <c r="H935">
        <v>95.147711103802934</v>
      </c>
      <c r="I935">
        <v>3969.0221549750004</v>
      </c>
      <c r="J935">
        <v>0</v>
      </c>
      <c r="K935">
        <v>3969.0221549750004</v>
      </c>
    </row>
    <row r="936" spans="1:11" x14ac:dyDescent="0.25">
      <c r="A936" t="s">
        <v>129</v>
      </c>
      <c r="B936" t="s">
        <v>43</v>
      </c>
      <c r="C936" t="s">
        <v>75</v>
      </c>
      <c r="D936">
        <v>2019</v>
      </c>
      <c r="E936" t="s">
        <v>119</v>
      </c>
      <c r="F936" t="s">
        <v>110</v>
      </c>
      <c r="G936" t="s">
        <v>52</v>
      </c>
      <c r="H936">
        <v>890.40917113569958</v>
      </c>
      <c r="I936">
        <v>17812.105731467855</v>
      </c>
      <c r="J936">
        <v>2959.1146066186934</v>
      </c>
      <c r="K936">
        <v>2959.1146066186934</v>
      </c>
    </row>
    <row r="937" spans="1:11" x14ac:dyDescent="0.25">
      <c r="A937" t="s">
        <v>129</v>
      </c>
      <c r="B937" t="s">
        <v>43</v>
      </c>
      <c r="C937" t="s">
        <v>78</v>
      </c>
      <c r="D937">
        <v>2019</v>
      </c>
      <c r="E937" t="s">
        <v>119</v>
      </c>
      <c r="F937" t="s">
        <v>110</v>
      </c>
      <c r="G937" t="s">
        <v>78</v>
      </c>
      <c r="H937">
        <v>20.880363393290878</v>
      </c>
      <c r="I937">
        <v>1461.6254375303615</v>
      </c>
      <c r="J937">
        <v>0</v>
      </c>
      <c r="K937">
        <v>1461.6254375303615</v>
      </c>
    </row>
    <row r="938" spans="1:11" x14ac:dyDescent="0.25">
      <c r="A938" t="s">
        <v>129</v>
      </c>
      <c r="B938" t="s">
        <v>43</v>
      </c>
      <c r="C938" t="s">
        <v>65</v>
      </c>
      <c r="D938">
        <v>2019</v>
      </c>
      <c r="E938" t="s">
        <v>119</v>
      </c>
      <c r="F938" t="s">
        <v>110</v>
      </c>
      <c r="G938" t="s">
        <v>65</v>
      </c>
      <c r="H938">
        <v>63.693862522419288</v>
      </c>
      <c r="I938">
        <v>2174.912378814317</v>
      </c>
      <c r="J938">
        <v>0</v>
      </c>
      <c r="K938">
        <v>2174.912378814317</v>
      </c>
    </row>
    <row r="939" spans="1:11" x14ac:dyDescent="0.25">
      <c r="A939" t="s">
        <v>129</v>
      </c>
      <c r="B939" t="s">
        <v>43</v>
      </c>
      <c r="C939" t="s">
        <v>120</v>
      </c>
      <c r="D939">
        <v>2019</v>
      </c>
      <c r="E939" t="s">
        <v>119</v>
      </c>
      <c r="F939" t="s">
        <v>110</v>
      </c>
      <c r="G939" t="s">
        <v>53</v>
      </c>
      <c r="H939">
        <v>2434.2808314981853</v>
      </c>
      <c r="I939">
        <v>46996.225732903964</v>
      </c>
      <c r="J939">
        <v>0</v>
      </c>
      <c r="K939">
        <v>46996.225732903964</v>
      </c>
    </row>
    <row r="940" spans="1:11" x14ac:dyDescent="0.25">
      <c r="A940" t="s">
        <v>129</v>
      </c>
      <c r="B940" t="s">
        <v>43</v>
      </c>
      <c r="C940" t="s">
        <v>29</v>
      </c>
      <c r="D940">
        <v>2030</v>
      </c>
      <c r="E940" t="s">
        <v>119</v>
      </c>
      <c r="F940" t="s">
        <v>110</v>
      </c>
      <c r="G940" t="s">
        <v>52</v>
      </c>
      <c r="H940">
        <v>1618.1689827208891</v>
      </c>
      <c r="I940">
        <v>15880.710396422801</v>
      </c>
      <c r="J940">
        <v>5153.2905236391998</v>
      </c>
      <c r="K940">
        <v>5153.2905236391998</v>
      </c>
    </row>
    <row r="941" spans="1:11" x14ac:dyDescent="0.25">
      <c r="A941" t="s">
        <v>129</v>
      </c>
      <c r="B941" t="s">
        <v>43</v>
      </c>
      <c r="C941" t="s">
        <v>34</v>
      </c>
      <c r="D941">
        <v>2030</v>
      </c>
      <c r="E941" t="s">
        <v>119</v>
      </c>
      <c r="F941" t="s">
        <v>110</v>
      </c>
      <c r="G941" t="s">
        <v>52</v>
      </c>
      <c r="H941">
        <v>29.391284795528069</v>
      </c>
      <c r="I941">
        <v>158.8305030350337</v>
      </c>
      <c r="J941">
        <v>46.879275596576036</v>
      </c>
      <c r="K941">
        <v>46.879275596576036</v>
      </c>
    </row>
    <row r="942" spans="1:11" x14ac:dyDescent="0.25">
      <c r="A942" t="s">
        <v>129</v>
      </c>
      <c r="B942" t="s">
        <v>43</v>
      </c>
      <c r="C942" t="s">
        <v>72</v>
      </c>
      <c r="D942">
        <v>2030</v>
      </c>
      <c r="E942" t="s">
        <v>119</v>
      </c>
      <c r="F942" t="s">
        <v>110</v>
      </c>
      <c r="G942" t="s">
        <v>52</v>
      </c>
      <c r="H942">
        <v>143.56954892119037</v>
      </c>
      <c r="I942">
        <v>884.38842135453274</v>
      </c>
      <c r="J942">
        <v>469.61025173925685</v>
      </c>
      <c r="K942">
        <v>469.61025173925685</v>
      </c>
    </row>
    <row r="943" spans="1:11" x14ac:dyDescent="0.25">
      <c r="A943" t="s">
        <v>129</v>
      </c>
      <c r="B943" t="s">
        <v>43</v>
      </c>
      <c r="C943" t="s">
        <v>53</v>
      </c>
      <c r="D943">
        <v>2030</v>
      </c>
      <c r="E943" t="s">
        <v>119</v>
      </c>
      <c r="F943" t="s">
        <v>110</v>
      </c>
      <c r="G943" t="s">
        <v>53</v>
      </c>
      <c r="H943">
        <v>1055.0331588914703</v>
      </c>
      <c r="I943">
        <v>73291.04348187265</v>
      </c>
      <c r="J943">
        <v>0</v>
      </c>
      <c r="K943">
        <v>73291.04348187265</v>
      </c>
    </row>
    <row r="944" spans="1:11" x14ac:dyDescent="0.25">
      <c r="A944" t="s">
        <v>129</v>
      </c>
      <c r="B944" t="s">
        <v>43</v>
      </c>
      <c r="C944" t="s">
        <v>30</v>
      </c>
      <c r="D944">
        <v>2030</v>
      </c>
      <c r="E944" t="s">
        <v>119</v>
      </c>
      <c r="F944" t="s">
        <v>110</v>
      </c>
      <c r="G944" t="s">
        <v>30</v>
      </c>
      <c r="H944">
        <v>4.9656179173315067</v>
      </c>
      <c r="I944">
        <v>144.25120049848027</v>
      </c>
      <c r="J944">
        <v>0</v>
      </c>
      <c r="K944">
        <v>144.25120049848027</v>
      </c>
    </row>
    <row r="945" spans="1:11" x14ac:dyDescent="0.25">
      <c r="A945" t="s">
        <v>129</v>
      </c>
      <c r="B945" t="s">
        <v>43</v>
      </c>
      <c r="C945" t="s">
        <v>31</v>
      </c>
      <c r="D945">
        <v>2030</v>
      </c>
      <c r="E945" t="s">
        <v>119</v>
      </c>
      <c r="F945" t="s">
        <v>110</v>
      </c>
      <c r="G945" t="s">
        <v>31</v>
      </c>
      <c r="H945">
        <v>28.303429769129298</v>
      </c>
      <c r="I945">
        <v>1682.9009685688955</v>
      </c>
      <c r="J945">
        <v>0</v>
      </c>
      <c r="K945">
        <v>1682.9009685688955</v>
      </c>
    </row>
    <row r="946" spans="1:11" x14ac:dyDescent="0.25">
      <c r="A946" t="s">
        <v>129</v>
      </c>
      <c r="B946" t="s">
        <v>43</v>
      </c>
      <c r="C946" t="s">
        <v>55</v>
      </c>
      <c r="D946">
        <v>2030</v>
      </c>
      <c r="E946" t="s">
        <v>119</v>
      </c>
      <c r="F946" t="s">
        <v>110</v>
      </c>
      <c r="G946" t="s">
        <v>55</v>
      </c>
      <c r="H946">
        <v>32.593822094509534</v>
      </c>
      <c r="I946">
        <v>3707.7175294852809</v>
      </c>
      <c r="J946">
        <v>0</v>
      </c>
      <c r="K946">
        <v>3707.7175294852809</v>
      </c>
    </row>
    <row r="947" spans="1:11" x14ac:dyDescent="0.25">
      <c r="A947" t="s">
        <v>129</v>
      </c>
      <c r="B947" t="s">
        <v>43</v>
      </c>
      <c r="C947" t="s">
        <v>54</v>
      </c>
      <c r="D947">
        <v>2030</v>
      </c>
      <c r="E947" t="s">
        <v>119</v>
      </c>
      <c r="F947" t="s">
        <v>110</v>
      </c>
      <c r="G947" t="s">
        <v>54</v>
      </c>
      <c r="H947">
        <v>33.478011370728012</v>
      </c>
      <c r="I947">
        <v>2086.1488005555452</v>
      </c>
      <c r="J947">
        <v>0</v>
      </c>
      <c r="K947">
        <v>2086.1488005555452</v>
      </c>
    </row>
    <row r="948" spans="1:11" x14ac:dyDescent="0.25">
      <c r="A948" t="s">
        <v>129</v>
      </c>
      <c r="B948" t="s">
        <v>43</v>
      </c>
      <c r="C948" t="s">
        <v>41</v>
      </c>
      <c r="D948">
        <v>2030</v>
      </c>
      <c r="E948" t="s">
        <v>119</v>
      </c>
      <c r="F948" t="s">
        <v>110</v>
      </c>
      <c r="G948" t="s">
        <v>41</v>
      </c>
      <c r="H948">
        <v>12.148349188628277</v>
      </c>
      <c r="I948">
        <v>144.3952784560357</v>
      </c>
      <c r="J948">
        <v>0</v>
      </c>
      <c r="K948">
        <v>144.3952784560357</v>
      </c>
    </row>
    <row r="949" spans="1:11" x14ac:dyDescent="0.25">
      <c r="A949" t="s">
        <v>129</v>
      </c>
      <c r="B949" t="s">
        <v>43</v>
      </c>
      <c r="C949" t="s">
        <v>80</v>
      </c>
      <c r="D949">
        <v>2030</v>
      </c>
      <c r="E949" t="s">
        <v>119</v>
      </c>
      <c r="F949" t="s">
        <v>110</v>
      </c>
      <c r="G949" t="s">
        <v>80</v>
      </c>
      <c r="H949">
        <v>86.745105298295798</v>
      </c>
      <c r="I949">
        <v>3618.5131599115721</v>
      </c>
      <c r="J949">
        <v>0</v>
      </c>
      <c r="K949">
        <v>3618.5131599115721</v>
      </c>
    </row>
    <row r="950" spans="1:11" x14ac:dyDescent="0.25">
      <c r="A950" t="s">
        <v>129</v>
      </c>
      <c r="B950" t="s">
        <v>43</v>
      </c>
      <c r="C950" t="s">
        <v>75</v>
      </c>
      <c r="D950">
        <v>2030</v>
      </c>
      <c r="E950" t="s">
        <v>119</v>
      </c>
      <c r="F950" t="s">
        <v>110</v>
      </c>
      <c r="G950" t="s">
        <v>52</v>
      </c>
      <c r="H950">
        <v>811.77609437677165</v>
      </c>
      <c r="I950">
        <v>16239.097812609396</v>
      </c>
      <c r="J950">
        <v>2682.1082158208537</v>
      </c>
      <c r="K950">
        <v>2682.1082158208537</v>
      </c>
    </row>
    <row r="951" spans="1:11" x14ac:dyDescent="0.25">
      <c r="A951" t="s">
        <v>129</v>
      </c>
      <c r="B951" t="s">
        <v>43</v>
      </c>
      <c r="C951" t="s">
        <v>78</v>
      </c>
      <c r="D951">
        <v>2030</v>
      </c>
      <c r="E951" t="s">
        <v>119</v>
      </c>
      <c r="F951" t="s">
        <v>110</v>
      </c>
      <c r="G951" t="s">
        <v>78</v>
      </c>
      <c r="H951">
        <v>19.036394046743428</v>
      </c>
      <c r="I951">
        <v>1332.5475832720401</v>
      </c>
      <c r="J951">
        <v>0</v>
      </c>
      <c r="K951">
        <v>1332.5475832720401</v>
      </c>
    </row>
    <row r="952" spans="1:11" x14ac:dyDescent="0.25">
      <c r="A952" t="s">
        <v>129</v>
      </c>
      <c r="B952" t="s">
        <v>43</v>
      </c>
      <c r="C952" t="s">
        <v>65</v>
      </c>
      <c r="D952">
        <v>2030</v>
      </c>
      <c r="E952" t="s">
        <v>119</v>
      </c>
      <c r="F952" t="s">
        <v>110</v>
      </c>
      <c r="G952" t="s">
        <v>65</v>
      </c>
      <c r="H952">
        <v>58.068982924189378</v>
      </c>
      <c r="I952">
        <v>1982.843319362564</v>
      </c>
      <c r="J952">
        <v>0</v>
      </c>
      <c r="K952">
        <v>1982.843319362564</v>
      </c>
    </row>
    <row r="953" spans="1:11" x14ac:dyDescent="0.25">
      <c r="A953" t="s">
        <v>129</v>
      </c>
      <c r="B953" t="s">
        <v>43</v>
      </c>
      <c r="C953" t="s">
        <v>120</v>
      </c>
      <c r="D953">
        <v>2030</v>
      </c>
      <c r="E953" t="s">
        <v>119</v>
      </c>
      <c r="F953" t="s">
        <v>110</v>
      </c>
      <c r="G953" t="s">
        <v>53</v>
      </c>
      <c r="H953">
        <v>2019.4268817975167</v>
      </c>
      <c r="I953">
        <v>38987.055379982856</v>
      </c>
      <c r="J953">
        <v>0</v>
      </c>
      <c r="K953">
        <v>38987.055379982856</v>
      </c>
    </row>
    <row r="954" spans="1:11" x14ac:dyDescent="0.25">
      <c r="A954" t="s">
        <v>129</v>
      </c>
      <c r="B954" t="s">
        <v>43</v>
      </c>
      <c r="C954" t="s">
        <v>29</v>
      </c>
      <c r="D954">
        <v>2050</v>
      </c>
      <c r="E954" t="s">
        <v>119</v>
      </c>
      <c r="F954" t="s">
        <v>110</v>
      </c>
      <c r="G954" t="s">
        <v>52</v>
      </c>
      <c r="H954">
        <v>1543.3403592424663</v>
      </c>
      <c r="I954">
        <v>15146.342285605564</v>
      </c>
      <c r="J954">
        <v>4914.9880716790058</v>
      </c>
      <c r="K954">
        <v>4914.9880716790058</v>
      </c>
    </row>
    <row r="955" spans="1:11" x14ac:dyDescent="0.25">
      <c r="A955" t="s">
        <v>129</v>
      </c>
      <c r="B955" t="s">
        <v>43</v>
      </c>
      <c r="C955" t="s">
        <v>34</v>
      </c>
      <c r="D955">
        <v>2050</v>
      </c>
      <c r="E955" t="s">
        <v>119</v>
      </c>
      <c r="F955" t="s">
        <v>110</v>
      </c>
      <c r="G955" t="s">
        <v>52</v>
      </c>
      <c r="H955">
        <v>28.032150238509427</v>
      </c>
      <c r="I955">
        <v>151.48573988890496</v>
      </c>
      <c r="J955">
        <v>44.711447823323965</v>
      </c>
      <c r="K955">
        <v>44.711447823323965</v>
      </c>
    </row>
    <row r="956" spans="1:11" x14ac:dyDescent="0.25">
      <c r="A956" t="s">
        <v>129</v>
      </c>
      <c r="B956" t="s">
        <v>43</v>
      </c>
      <c r="C956" t="s">
        <v>72</v>
      </c>
      <c r="D956">
        <v>2050</v>
      </c>
      <c r="E956" t="s">
        <v>119</v>
      </c>
      <c r="F956" t="s">
        <v>110</v>
      </c>
      <c r="G956" t="s">
        <v>52</v>
      </c>
      <c r="H956">
        <v>136.93049463581738</v>
      </c>
      <c r="I956">
        <v>843.49184695663507</v>
      </c>
      <c r="J956">
        <v>447.89417073397317</v>
      </c>
      <c r="K956">
        <v>447.89417073397317</v>
      </c>
    </row>
    <row r="957" spans="1:11" x14ac:dyDescent="0.25">
      <c r="A957" t="s">
        <v>129</v>
      </c>
      <c r="B957" t="s">
        <v>43</v>
      </c>
      <c r="C957" t="s">
        <v>53</v>
      </c>
      <c r="D957">
        <v>2050</v>
      </c>
      <c r="E957" t="s">
        <v>119</v>
      </c>
      <c r="F957" t="s">
        <v>110</v>
      </c>
      <c r="G957" t="s">
        <v>53</v>
      </c>
      <c r="H957">
        <v>1006.2454983646971</v>
      </c>
      <c r="I957">
        <v>69901.862280398782</v>
      </c>
      <c r="J957">
        <v>0</v>
      </c>
      <c r="K957">
        <v>69901.862280398782</v>
      </c>
    </row>
    <row r="958" spans="1:11" x14ac:dyDescent="0.25">
      <c r="A958" t="s">
        <v>129</v>
      </c>
      <c r="B958" t="s">
        <v>43</v>
      </c>
      <c r="C958" t="s">
        <v>30</v>
      </c>
      <c r="D958">
        <v>2050</v>
      </c>
      <c r="E958" t="s">
        <v>119</v>
      </c>
      <c r="F958" t="s">
        <v>110</v>
      </c>
      <c r="G958" t="s">
        <v>30</v>
      </c>
      <c r="H958">
        <v>4.7359939673971017</v>
      </c>
      <c r="I958">
        <v>137.5806247528858</v>
      </c>
      <c r="J958">
        <v>0</v>
      </c>
      <c r="K958">
        <v>137.5806247528858</v>
      </c>
    </row>
    <row r="959" spans="1:11" x14ac:dyDescent="0.25">
      <c r="A959" t="s">
        <v>129</v>
      </c>
      <c r="B959" t="s">
        <v>43</v>
      </c>
      <c r="C959" t="s">
        <v>31</v>
      </c>
      <c r="D959">
        <v>2050</v>
      </c>
      <c r="E959" t="s">
        <v>119</v>
      </c>
      <c r="F959" t="s">
        <v>110</v>
      </c>
      <c r="G959" t="s">
        <v>31</v>
      </c>
      <c r="H959">
        <v>26.994600646857421</v>
      </c>
      <c r="I959">
        <v>1605.078958461663</v>
      </c>
      <c r="J959">
        <v>0</v>
      </c>
      <c r="K959">
        <v>1605.078958461663</v>
      </c>
    </row>
    <row r="960" spans="1:11" x14ac:dyDescent="0.25">
      <c r="A960" t="s">
        <v>129</v>
      </c>
      <c r="B960" t="s">
        <v>43</v>
      </c>
      <c r="C960" t="s">
        <v>55</v>
      </c>
      <c r="D960">
        <v>2050</v>
      </c>
      <c r="E960" t="s">
        <v>119</v>
      </c>
      <c r="F960" t="s">
        <v>110</v>
      </c>
      <c r="G960" t="s">
        <v>55</v>
      </c>
      <c r="H960">
        <v>31.086593327133372</v>
      </c>
      <c r="I960">
        <v>3536.2623836131297</v>
      </c>
      <c r="J960">
        <v>0</v>
      </c>
      <c r="K960">
        <v>3536.2623836131297</v>
      </c>
    </row>
    <row r="961" spans="1:11" x14ac:dyDescent="0.25">
      <c r="A961" t="s">
        <v>129</v>
      </c>
      <c r="B961" t="s">
        <v>43</v>
      </c>
      <c r="C961" t="s">
        <v>54</v>
      </c>
      <c r="D961">
        <v>2050</v>
      </c>
      <c r="E961" t="s">
        <v>119</v>
      </c>
      <c r="F961" t="s">
        <v>110</v>
      </c>
      <c r="G961" t="s">
        <v>54</v>
      </c>
      <c r="H961">
        <v>31.92989523797759</v>
      </c>
      <c r="I961">
        <v>1989.6794918593355</v>
      </c>
      <c r="J961">
        <v>0</v>
      </c>
      <c r="K961">
        <v>1989.6794918593355</v>
      </c>
    </row>
    <row r="962" spans="1:11" x14ac:dyDescent="0.25">
      <c r="A962" t="s">
        <v>129</v>
      </c>
      <c r="B962" t="s">
        <v>43</v>
      </c>
      <c r="C962" t="s">
        <v>41</v>
      </c>
      <c r="D962">
        <v>2050</v>
      </c>
      <c r="E962" t="s">
        <v>119</v>
      </c>
      <c r="F962" t="s">
        <v>110</v>
      </c>
      <c r="G962" t="s">
        <v>41</v>
      </c>
      <c r="H962">
        <v>11.586575815743734</v>
      </c>
      <c r="I962">
        <v>137.71804014593005</v>
      </c>
      <c r="J962">
        <v>0</v>
      </c>
      <c r="K962">
        <v>137.71804014593005</v>
      </c>
    </row>
    <row r="963" spans="1:11" x14ac:dyDescent="0.25">
      <c r="A963" t="s">
        <v>129</v>
      </c>
      <c r="B963" t="s">
        <v>43</v>
      </c>
      <c r="C963" t="s">
        <v>80</v>
      </c>
      <c r="D963">
        <v>2050</v>
      </c>
      <c r="E963" t="s">
        <v>119</v>
      </c>
      <c r="F963" t="s">
        <v>110</v>
      </c>
      <c r="G963" t="s">
        <v>80</v>
      </c>
      <c r="H963">
        <v>82.733770949241659</v>
      </c>
      <c r="I963">
        <v>3451.1830715919614</v>
      </c>
      <c r="J963">
        <v>0</v>
      </c>
      <c r="K963">
        <v>3451.1830715919614</v>
      </c>
    </row>
    <row r="964" spans="1:11" x14ac:dyDescent="0.25">
      <c r="A964" t="s">
        <v>129</v>
      </c>
      <c r="B964" t="s">
        <v>43</v>
      </c>
      <c r="C964" t="s">
        <v>75</v>
      </c>
      <c r="D964">
        <v>2050</v>
      </c>
      <c r="E964" t="s">
        <v>119</v>
      </c>
      <c r="F964" t="s">
        <v>110</v>
      </c>
      <c r="G964" t="s">
        <v>52</v>
      </c>
      <c r="H964">
        <v>774.23731544605391</v>
      </c>
      <c r="I964">
        <v>15488.156873297978</v>
      </c>
      <c r="J964">
        <v>2558.0800902337614</v>
      </c>
      <c r="K964">
        <v>2558.0800902337614</v>
      </c>
    </row>
    <row r="965" spans="1:11" x14ac:dyDescent="0.25">
      <c r="A965" t="s">
        <v>129</v>
      </c>
      <c r="B965" t="s">
        <v>43</v>
      </c>
      <c r="C965" t="s">
        <v>78</v>
      </c>
      <c r="D965">
        <v>2050</v>
      </c>
      <c r="E965" t="s">
        <v>119</v>
      </c>
      <c r="F965" t="s">
        <v>110</v>
      </c>
      <c r="G965" t="s">
        <v>78</v>
      </c>
      <c r="H965">
        <v>18.156098368281306</v>
      </c>
      <c r="I965">
        <v>1270.9268857796915</v>
      </c>
      <c r="J965">
        <v>0</v>
      </c>
      <c r="K965">
        <v>1270.9268857796915</v>
      </c>
    </row>
    <row r="966" spans="1:11" x14ac:dyDescent="0.25">
      <c r="A966" t="s">
        <v>129</v>
      </c>
      <c r="B966" t="s">
        <v>43</v>
      </c>
      <c r="C966" t="s">
        <v>65</v>
      </c>
      <c r="D966">
        <v>2050</v>
      </c>
      <c r="E966" t="s">
        <v>119</v>
      </c>
      <c r="F966" t="s">
        <v>110</v>
      </c>
      <c r="G966" t="s">
        <v>65</v>
      </c>
      <c r="H966">
        <v>55.383712037521661</v>
      </c>
      <c r="I966">
        <v>1891.1511427446421</v>
      </c>
      <c r="J966">
        <v>0</v>
      </c>
      <c r="K966">
        <v>1891.1511427446421</v>
      </c>
    </row>
    <row r="967" spans="1:11" x14ac:dyDescent="0.25">
      <c r="A967" t="s">
        <v>129</v>
      </c>
      <c r="B967" t="s">
        <v>43</v>
      </c>
      <c r="C967" t="s">
        <v>120</v>
      </c>
      <c r="D967">
        <v>2050</v>
      </c>
      <c r="E967" t="s">
        <v>119</v>
      </c>
      <c r="F967" t="s">
        <v>110</v>
      </c>
      <c r="G967" t="s">
        <v>53</v>
      </c>
      <c r="H967">
        <v>1926.0429797490767</v>
      </c>
      <c r="I967">
        <v>37184.185767035677</v>
      </c>
      <c r="J967">
        <v>0</v>
      </c>
      <c r="K967">
        <v>37184.185767035677</v>
      </c>
    </row>
    <row r="968" spans="1:11" x14ac:dyDescent="0.25">
      <c r="A968" t="s">
        <v>129</v>
      </c>
      <c r="B968" t="s">
        <v>43</v>
      </c>
      <c r="C968" t="s">
        <v>29</v>
      </c>
      <c r="D968">
        <v>2019</v>
      </c>
      <c r="E968" t="s">
        <v>121</v>
      </c>
      <c r="F968" t="s">
        <v>110</v>
      </c>
      <c r="G968" t="s">
        <v>52</v>
      </c>
      <c r="H968">
        <v>226.94315205364711</v>
      </c>
      <c r="I968">
        <v>1492.2374631505099</v>
      </c>
      <c r="J968">
        <v>487.06257737866866</v>
      </c>
      <c r="K968">
        <v>487.06257737866866</v>
      </c>
    </row>
    <row r="969" spans="1:11" x14ac:dyDescent="0.25">
      <c r="A969" t="s">
        <v>129</v>
      </c>
      <c r="B969" t="s">
        <v>43</v>
      </c>
      <c r="C969" t="s">
        <v>34</v>
      </c>
      <c r="D969">
        <v>2019</v>
      </c>
      <c r="E969" t="s">
        <v>121</v>
      </c>
      <c r="F969" t="s">
        <v>110</v>
      </c>
      <c r="G969" t="s">
        <v>52</v>
      </c>
      <c r="H969">
        <v>4.1220360083703804</v>
      </c>
      <c r="I969">
        <v>12.697025075863115</v>
      </c>
      <c r="J969">
        <v>3.7694768510062779</v>
      </c>
      <c r="K969">
        <v>3.7694768510062779</v>
      </c>
    </row>
    <row r="970" spans="1:11" x14ac:dyDescent="0.25">
      <c r="A970" t="s">
        <v>129</v>
      </c>
      <c r="B970" t="s">
        <v>43</v>
      </c>
      <c r="C970" t="s">
        <v>72</v>
      </c>
      <c r="D970">
        <v>2019</v>
      </c>
      <c r="E970" t="s">
        <v>121</v>
      </c>
      <c r="F970" t="s">
        <v>110</v>
      </c>
      <c r="G970" t="s">
        <v>52</v>
      </c>
      <c r="H970">
        <v>20.135181380321381</v>
      </c>
      <c r="I970">
        <v>68.217994516528833</v>
      </c>
      <c r="J970">
        <v>36.435571961250645</v>
      </c>
      <c r="K970">
        <v>36.435571961250645</v>
      </c>
    </row>
    <row r="971" spans="1:11" x14ac:dyDescent="0.25">
      <c r="A971" t="s">
        <v>129</v>
      </c>
      <c r="B971" t="s">
        <v>43</v>
      </c>
      <c r="C971" t="s">
        <v>53</v>
      </c>
      <c r="D971">
        <v>2019</v>
      </c>
      <c r="E971" t="s">
        <v>121</v>
      </c>
      <c r="F971" t="s">
        <v>110</v>
      </c>
      <c r="G971" t="s">
        <v>53</v>
      </c>
      <c r="H971">
        <v>147.96510942716867</v>
      </c>
      <c r="I971">
        <v>8017.4953729155113</v>
      </c>
      <c r="J971">
        <v>0</v>
      </c>
      <c r="K971">
        <v>8017.4953729155113</v>
      </c>
    </row>
    <row r="972" spans="1:11" x14ac:dyDescent="0.25">
      <c r="A972" t="s">
        <v>129</v>
      </c>
      <c r="B972" t="s">
        <v>43</v>
      </c>
      <c r="C972" t="s">
        <v>30</v>
      </c>
      <c r="D972">
        <v>2019</v>
      </c>
      <c r="E972" t="s">
        <v>121</v>
      </c>
      <c r="F972" t="s">
        <v>110</v>
      </c>
      <c r="G972" t="s">
        <v>30</v>
      </c>
      <c r="H972">
        <v>0.69641242298342532</v>
      </c>
      <c r="I972">
        <v>11.531545105971047</v>
      </c>
      <c r="J972">
        <v>0</v>
      </c>
      <c r="K972">
        <v>11.531545105971047</v>
      </c>
    </row>
    <row r="973" spans="1:11" x14ac:dyDescent="0.25">
      <c r="A973" t="s">
        <v>129</v>
      </c>
      <c r="B973" t="s">
        <v>43</v>
      </c>
      <c r="C973" t="s">
        <v>31</v>
      </c>
      <c r="D973">
        <v>2019</v>
      </c>
      <c r="E973" t="s">
        <v>121</v>
      </c>
      <c r="F973" t="s">
        <v>110</v>
      </c>
      <c r="G973" t="s">
        <v>31</v>
      </c>
      <c r="H973">
        <v>3.9694677344109963</v>
      </c>
      <c r="I973">
        <v>134.53231835071648</v>
      </c>
      <c r="J973">
        <v>0</v>
      </c>
      <c r="K973">
        <v>134.53231835071648</v>
      </c>
    </row>
    <row r="974" spans="1:11" x14ac:dyDescent="0.25">
      <c r="A974" t="s">
        <v>129</v>
      </c>
      <c r="B974" t="s">
        <v>43</v>
      </c>
      <c r="C974" t="s">
        <v>55</v>
      </c>
      <c r="D974">
        <v>2019</v>
      </c>
      <c r="E974" t="s">
        <v>121</v>
      </c>
      <c r="F974" t="s">
        <v>110</v>
      </c>
      <c r="G974" t="s">
        <v>55</v>
      </c>
      <c r="H974">
        <v>4.5711818744455988</v>
      </c>
      <c r="I974">
        <v>296.39761599009711</v>
      </c>
      <c r="J974">
        <v>0</v>
      </c>
      <c r="K974">
        <v>296.39761599009711</v>
      </c>
    </row>
    <row r="975" spans="1:11" x14ac:dyDescent="0.25">
      <c r="A975" t="s">
        <v>129</v>
      </c>
      <c r="B975" t="s">
        <v>43</v>
      </c>
      <c r="C975" t="s">
        <v>54</v>
      </c>
      <c r="D975">
        <v>2019</v>
      </c>
      <c r="E975" t="s">
        <v>121</v>
      </c>
      <c r="F975" t="s">
        <v>110</v>
      </c>
      <c r="G975" t="s">
        <v>54</v>
      </c>
      <c r="H975">
        <v>4.6951866622642671</v>
      </c>
      <c r="I975">
        <v>242.83796518803848</v>
      </c>
      <c r="J975">
        <v>0</v>
      </c>
      <c r="K975">
        <v>242.83796518803848</v>
      </c>
    </row>
    <row r="976" spans="1:11" x14ac:dyDescent="0.25">
      <c r="A976" t="s">
        <v>129</v>
      </c>
      <c r="B976" t="s">
        <v>43</v>
      </c>
      <c r="C976" t="s">
        <v>41</v>
      </c>
      <c r="D976">
        <v>2019</v>
      </c>
      <c r="E976" t="s">
        <v>121</v>
      </c>
      <c r="F976" t="s">
        <v>110</v>
      </c>
      <c r="G976" t="s">
        <v>41</v>
      </c>
      <c r="H976">
        <v>1.7037680777194875</v>
      </c>
      <c r="I976">
        <v>11.543062801911082</v>
      </c>
      <c r="J976">
        <v>0</v>
      </c>
      <c r="K976">
        <v>11.543062801911082</v>
      </c>
    </row>
    <row r="977" spans="1:11" x14ac:dyDescent="0.25">
      <c r="A977" t="s">
        <v>129</v>
      </c>
      <c r="B977" t="s">
        <v>43</v>
      </c>
      <c r="C977" t="s">
        <v>80</v>
      </c>
      <c r="D977">
        <v>2019</v>
      </c>
      <c r="E977" t="s">
        <v>121</v>
      </c>
      <c r="F977" t="s">
        <v>110</v>
      </c>
      <c r="G977" t="s">
        <v>80</v>
      </c>
      <c r="H977">
        <v>12.1657304223686</v>
      </c>
      <c r="I977">
        <v>289.2665542877732</v>
      </c>
      <c r="J977">
        <v>0</v>
      </c>
      <c r="K977">
        <v>289.2665542877732</v>
      </c>
    </row>
    <row r="978" spans="1:11" x14ac:dyDescent="0.25">
      <c r="A978" t="s">
        <v>129</v>
      </c>
      <c r="B978" t="s">
        <v>43</v>
      </c>
      <c r="C978" t="s">
        <v>75</v>
      </c>
      <c r="D978">
        <v>2019</v>
      </c>
      <c r="E978" t="s">
        <v>121</v>
      </c>
      <c r="F978" t="s">
        <v>110</v>
      </c>
      <c r="G978" t="s">
        <v>52</v>
      </c>
      <c r="H978">
        <v>113.84906495358277</v>
      </c>
      <c r="I978">
        <v>1298.1652025027952</v>
      </c>
      <c r="J978">
        <v>215.66341848867819</v>
      </c>
      <c r="K978">
        <v>215.66341848867819</v>
      </c>
    </row>
    <row r="979" spans="1:11" x14ac:dyDescent="0.25">
      <c r="A979" t="s">
        <v>129</v>
      </c>
      <c r="B979" t="s">
        <v>43</v>
      </c>
      <c r="C979" t="s">
        <v>78</v>
      </c>
      <c r="D979">
        <v>2019</v>
      </c>
      <c r="E979" t="s">
        <v>121</v>
      </c>
      <c r="F979" t="s">
        <v>110</v>
      </c>
      <c r="G979" t="s">
        <v>78</v>
      </c>
      <c r="H979">
        <v>2.6697948822619382</v>
      </c>
      <c r="I979">
        <v>106.52481580225134</v>
      </c>
      <c r="J979">
        <v>0</v>
      </c>
      <c r="K979">
        <v>106.52481580225134</v>
      </c>
    </row>
    <row r="980" spans="1:11" x14ac:dyDescent="0.25">
      <c r="A980" t="s">
        <v>129</v>
      </c>
      <c r="B980" t="s">
        <v>43</v>
      </c>
      <c r="C980" t="s">
        <v>65</v>
      </c>
      <c r="D980">
        <v>2019</v>
      </c>
      <c r="E980" t="s">
        <v>121</v>
      </c>
      <c r="F980" t="s">
        <v>110</v>
      </c>
      <c r="G980" t="s">
        <v>65</v>
      </c>
      <c r="H980">
        <v>8.1439937126999205</v>
      </c>
      <c r="I980">
        <v>158.5099264081594</v>
      </c>
      <c r="J980">
        <v>0</v>
      </c>
      <c r="K980">
        <v>158.5099264081594</v>
      </c>
    </row>
    <row r="981" spans="1:11" x14ac:dyDescent="0.25">
      <c r="A981" t="s">
        <v>129</v>
      </c>
      <c r="B981" t="s">
        <v>43</v>
      </c>
      <c r="C981" t="s">
        <v>120</v>
      </c>
      <c r="D981">
        <v>2019</v>
      </c>
      <c r="E981" t="s">
        <v>121</v>
      </c>
      <c r="F981" t="s">
        <v>110</v>
      </c>
      <c r="G981" t="s">
        <v>53</v>
      </c>
      <c r="H981">
        <v>311.25083330735572</v>
      </c>
      <c r="I981">
        <v>6009.0085878318096</v>
      </c>
      <c r="J981">
        <v>0</v>
      </c>
      <c r="K981">
        <v>6009.0085878318096</v>
      </c>
    </row>
    <row r="982" spans="1:11" x14ac:dyDescent="0.25">
      <c r="A982" t="s">
        <v>129</v>
      </c>
      <c r="B982" t="s">
        <v>43</v>
      </c>
      <c r="C982" t="s">
        <v>29</v>
      </c>
      <c r="D982">
        <v>2030</v>
      </c>
      <c r="E982" t="s">
        <v>121</v>
      </c>
      <c r="F982" t="s">
        <v>110</v>
      </c>
      <c r="G982" t="s">
        <v>52</v>
      </c>
      <c r="H982">
        <v>252.54660423967633</v>
      </c>
      <c r="I982">
        <v>1660.5898905854829</v>
      </c>
      <c r="J982">
        <v>538.86141949498926</v>
      </c>
      <c r="K982">
        <v>538.86141949498926</v>
      </c>
    </row>
    <row r="983" spans="1:11" x14ac:dyDescent="0.25">
      <c r="A983" t="s">
        <v>129</v>
      </c>
      <c r="B983" t="s">
        <v>43</v>
      </c>
      <c r="C983" t="s">
        <v>34</v>
      </c>
      <c r="D983">
        <v>2030</v>
      </c>
      <c r="E983" t="s">
        <v>121</v>
      </c>
      <c r="F983" t="s">
        <v>110</v>
      </c>
      <c r="G983" t="s">
        <v>52</v>
      </c>
      <c r="H983">
        <v>4.5870791299379068</v>
      </c>
      <c r="I983">
        <v>14.129488102365134</v>
      </c>
      <c r="J983">
        <v>4.1703586787936713</v>
      </c>
      <c r="K983">
        <v>4.1703586787936713</v>
      </c>
    </row>
    <row r="984" spans="1:11" x14ac:dyDescent="0.25">
      <c r="A984" t="s">
        <v>129</v>
      </c>
      <c r="B984" t="s">
        <v>43</v>
      </c>
      <c r="C984" t="s">
        <v>72</v>
      </c>
      <c r="D984">
        <v>2030</v>
      </c>
      <c r="E984" t="s">
        <v>121</v>
      </c>
      <c r="F984" t="s">
        <v>110</v>
      </c>
      <c r="G984" t="s">
        <v>52</v>
      </c>
      <c r="H984">
        <v>22.406808213133761</v>
      </c>
      <c r="I984">
        <v>75.914266226097183</v>
      </c>
      <c r="J984">
        <v>40.310475366057602</v>
      </c>
      <c r="K984">
        <v>40.310475366057602</v>
      </c>
    </row>
    <row r="985" spans="1:11" x14ac:dyDescent="0.25">
      <c r="A985" t="s">
        <v>129</v>
      </c>
      <c r="B985" t="s">
        <v>43</v>
      </c>
      <c r="C985" t="s">
        <v>53</v>
      </c>
      <c r="D985">
        <v>2030</v>
      </c>
      <c r="E985" t="s">
        <v>121</v>
      </c>
      <c r="F985" t="s">
        <v>110</v>
      </c>
      <c r="G985" t="s">
        <v>53</v>
      </c>
      <c r="H985">
        <v>164.65835427785956</v>
      </c>
      <c r="I985">
        <v>8922.0195128799915</v>
      </c>
      <c r="J985">
        <v>0</v>
      </c>
      <c r="K985">
        <v>8922.0195128799915</v>
      </c>
    </row>
    <row r="986" spans="1:11" x14ac:dyDescent="0.25">
      <c r="A986" t="s">
        <v>129</v>
      </c>
      <c r="B986" t="s">
        <v>43</v>
      </c>
      <c r="C986" t="s">
        <v>30</v>
      </c>
      <c r="D986">
        <v>2030</v>
      </c>
      <c r="E986" t="s">
        <v>121</v>
      </c>
      <c r="F986" t="s">
        <v>110</v>
      </c>
      <c r="G986" t="s">
        <v>30</v>
      </c>
      <c r="H986">
        <v>0.7749808310286167</v>
      </c>
      <c r="I986">
        <v>12.832520090587346</v>
      </c>
      <c r="J986">
        <v>0</v>
      </c>
      <c r="K986">
        <v>12.832520090587346</v>
      </c>
    </row>
    <row r="987" spans="1:11" x14ac:dyDescent="0.25">
      <c r="A987" t="s">
        <v>129</v>
      </c>
      <c r="B987" t="s">
        <v>43</v>
      </c>
      <c r="C987" t="s">
        <v>31</v>
      </c>
      <c r="D987">
        <v>2030</v>
      </c>
      <c r="E987" t="s">
        <v>121</v>
      </c>
      <c r="F987" t="s">
        <v>110</v>
      </c>
      <c r="G987" t="s">
        <v>31</v>
      </c>
      <c r="H987">
        <v>4.4172982876675793</v>
      </c>
      <c r="I987">
        <v>149.71009194378786</v>
      </c>
      <c r="J987">
        <v>0</v>
      </c>
      <c r="K987">
        <v>149.71009194378786</v>
      </c>
    </row>
    <row r="988" spans="1:11" x14ac:dyDescent="0.25">
      <c r="A988" t="s">
        <v>129</v>
      </c>
      <c r="B988" t="s">
        <v>43</v>
      </c>
      <c r="C988" t="s">
        <v>55</v>
      </c>
      <c r="D988">
        <v>2030</v>
      </c>
      <c r="E988" t="s">
        <v>121</v>
      </c>
      <c r="F988" t="s">
        <v>110</v>
      </c>
      <c r="G988" t="s">
        <v>55</v>
      </c>
      <c r="H988">
        <v>5.0868970898945518</v>
      </c>
      <c r="I988">
        <v>329.8368368715519</v>
      </c>
      <c r="J988">
        <v>0</v>
      </c>
      <c r="K988">
        <v>329.8368368715519</v>
      </c>
    </row>
    <row r="989" spans="1:11" x14ac:dyDescent="0.25">
      <c r="A989" t="s">
        <v>129</v>
      </c>
      <c r="B989" t="s">
        <v>43</v>
      </c>
      <c r="C989" t="s">
        <v>54</v>
      </c>
      <c r="D989">
        <v>2030</v>
      </c>
      <c r="E989" t="s">
        <v>121</v>
      </c>
      <c r="F989" t="s">
        <v>110</v>
      </c>
      <c r="G989" t="s">
        <v>54</v>
      </c>
      <c r="H989">
        <v>5.2248919480326963</v>
      </c>
      <c r="I989">
        <v>270.23465098525884</v>
      </c>
      <c r="J989">
        <v>0</v>
      </c>
      <c r="K989">
        <v>270.23465098525884</v>
      </c>
    </row>
    <row r="990" spans="1:11" x14ac:dyDescent="0.25">
      <c r="A990" t="s">
        <v>129</v>
      </c>
      <c r="B990" t="s">
        <v>43</v>
      </c>
      <c r="C990" t="s">
        <v>41</v>
      </c>
      <c r="D990">
        <v>2030</v>
      </c>
      <c r="E990" t="s">
        <v>121</v>
      </c>
      <c r="F990" t="s">
        <v>110</v>
      </c>
      <c r="G990" t="s">
        <v>41</v>
      </c>
      <c r="H990">
        <v>1.8959851334853384</v>
      </c>
      <c r="I990">
        <v>12.845337199065836</v>
      </c>
      <c r="J990">
        <v>0</v>
      </c>
      <c r="K990">
        <v>12.845337199065836</v>
      </c>
    </row>
    <row r="991" spans="1:11" x14ac:dyDescent="0.25">
      <c r="A991" t="s">
        <v>129</v>
      </c>
      <c r="B991" t="s">
        <v>43</v>
      </c>
      <c r="C991" t="s">
        <v>80</v>
      </c>
      <c r="D991">
        <v>2030</v>
      </c>
      <c r="E991" t="s">
        <v>121</v>
      </c>
      <c r="F991" t="s">
        <v>110</v>
      </c>
      <c r="G991" t="s">
        <v>80</v>
      </c>
      <c r="H991">
        <v>13.538253428057727</v>
      </c>
      <c r="I991">
        <v>321.90125740485024</v>
      </c>
      <c r="J991">
        <v>0</v>
      </c>
      <c r="K991">
        <v>321.90125740485024</v>
      </c>
    </row>
    <row r="992" spans="1:11" x14ac:dyDescent="0.25">
      <c r="A992" t="s">
        <v>129</v>
      </c>
      <c r="B992" t="s">
        <v>43</v>
      </c>
      <c r="C992" t="s">
        <v>75</v>
      </c>
      <c r="D992">
        <v>2030</v>
      </c>
      <c r="E992" t="s">
        <v>121</v>
      </c>
      <c r="F992" t="s">
        <v>110</v>
      </c>
      <c r="G992" t="s">
        <v>52</v>
      </c>
      <c r="H992">
        <v>126.69337889117246</v>
      </c>
      <c r="I992">
        <v>1444.6226320003389</v>
      </c>
      <c r="J992">
        <v>238.59910659816725</v>
      </c>
      <c r="K992">
        <v>238.59910659816725</v>
      </c>
    </row>
    <row r="993" spans="1:11" x14ac:dyDescent="0.25">
      <c r="A993" t="s">
        <v>129</v>
      </c>
      <c r="B993" t="s">
        <v>43</v>
      </c>
      <c r="C993" t="s">
        <v>78</v>
      </c>
      <c r="D993">
        <v>2030</v>
      </c>
      <c r="E993" t="s">
        <v>121</v>
      </c>
      <c r="F993" t="s">
        <v>110</v>
      </c>
      <c r="G993" t="s">
        <v>78</v>
      </c>
      <c r="H993">
        <v>2.9709979148096681</v>
      </c>
      <c r="I993">
        <v>118.54281680090574</v>
      </c>
      <c r="J993">
        <v>0</v>
      </c>
      <c r="K993">
        <v>118.54281680090574</v>
      </c>
    </row>
    <row r="994" spans="1:11" x14ac:dyDescent="0.25">
      <c r="A994" t="s">
        <v>129</v>
      </c>
      <c r="B994" t="s">
        <v>43</v>
      </c>
      <c r="C994" t="s">
        <v>65</v>
      </c>
      <c r="D994">
        <v>2030</v>
      </c>
      <c r="E994" t="s">
        <v>121</v>
      </c>
      <c r="F994" t="s">
        <v>110</v>
      </c>
      <c r="G994" t="s">
        <v>65</v>
      </c>
      <c r="H994">
        <v>9.0627892425035448</v>
      </c>
      <c r="I994">
        <v>176.39282476872751</v>
      </c>
      <c r="J994">
        <v>0</v>
      </c>
      <c r="K994">
        <v>176.39282476872751</v>
      </c>
    </row>
    <row r="995" spans="1:11" x14ac:dyDescent="0.25">
      <c r="A995" t="s">
        <v>129</v>
      </c>
      <c r="B995" t="s">
        <v>43</v>
      </c>
      <c r="C995" t="s">
        <v>120</v>
      </c>
      <c r="D995">
        <v>2030</v>
      </c>
      <c r="E995" t="s">
        <v>121</v>
      </c>
      <c r="F995" t="s">
        <v>110</v>
      </c>
      <c r="G995" t="s">
        <v>53</v>
      </c>
      <c r="H995">
        <v>315.17066941348531</v>
      </c>
      <c r="I995">
        <v>6084.6849436967468</v>
      </c>
      <c r="J995">
        <v>0</v>
      </c>
      <c r="K995">
        <v>6084.6849436967468</v>
      </c>
    </row>
    <row r="996" spans="1:11" x14ac:dyDescent="0.25">
      <c r="A996" t="s">
        <v>129</v>
      </c>
      <c r="B996" t="s">
        <v>43</v>
      </c>
      <c r="C996" t="s">
        <v>29</v>
      </c>
      <c r="D996">
        <v>2050</v>
      </c>
      <c r="E996" t="s">
        <v>121</v>
      </c>
      <c r="F996" t="s">
        <v>110</v>
      </c>
      <c r="G996" t="s">
        <v>52</v>
      </c>
      <c r="H996">
        <v>327.37522771809893</v>
      </c>
      <c r="I996">
        <v>2152.6165248330335</v>
      </c>
      <c r="J996">
        <v>698.52406230831946</v>
      </c>
      <c r="K996">
        <v>698.52406230831946</v>
      </c>
    </row>
    <row r="997" spans="1:11" x14ac:dyDescent="0.25">
      <c r="A997" t="s">
        <v>129</v>
      </c>
      <c r="B997" t="s">
        <v>43</v>
      </c>
      <c r="C997" t="s">
        <v>34</v>
      </c>
      <c r="D997">
        <v>2050</v>
      </c>
      <c r="E997" t="s">
        <v>121</v>
      </c>
      <c r="F997" t="s">
        <v>110</v>
      </c>
      <c r="G997" t="s">
        <v>52</v>
      </c>
      <c r="H997">
        <v>5.9462136869565443</v>
      </c>
      <c r="I997">
        <v>18.316003095658502</v>
      </c>
      <c r="J997">
        <v>5.4060205095473508</v>
      </c>
      <c r="K997">
        <v>5.4060205095473508</v>
      </c>
    </row>
    <row r="998" spans="1:11" x14ac:dyDescent="0.25">
      <c r="A998" t="s">
        <v>129</v>
      </c>
      <c r="B998" t="s">
        <v>43</v>
      </c>
      <c r="C998" t="s">
        <v>72</v>
      </c>
      <c r="D998">
        <v>2050</v>
      </c>
      <c r="E998" t="s">
        <v>121</v>
      </c>
      <c r="F998" t="s">
        <v>110</v>
      </c>
      <c r="G998" t="s">
        <v>52</v>
      </c>
      <c r="H998">
        <v>29.045862498506725</v>
      </c>
      <c r="I998">
        <v>98.407382144940797</v>
      </c>
      <c r="J998">
        <v>52.254319918963553</v>
      </c>
      <c r="K998">
        <v>52.254319918963553</v>
      </c>
    </row>
    <row r="999" spans="1:11" x14ac:dyDescent="0.25">
      <c r="A999" t="s">
        <v>129</v>
      </c>
      <c r="B999" t="s">
        <v>43</v>
      </c>
      <c r="C999" t="s">
        <v>53</v>
      </c>
      <c r="D999">
        <v>2050</v>
      </c>
      <c r="E999" t="s">
        <v>121</v>
      </c>
      <c r="F999" t="s">
        <v>110</v>
      </c>
      <c r="G999" t="s">
        <v>53</v>
      </c>
      <c r="H999">
        <v>213.44601480463271</v>
      </c>
      <c r="I999">
        <v>11565.580850029617</v>
      </c>
      <c r="J999">
        <v>0</v>
      </c>
      <c r="K999">
        <v>11565.580850029617</v>
      </c>
    </row>
    <row r="1000" spans="1:11" x14ac:dyDescent="0.25">
      <c r="A1000" t="s">
        <v>129</v>
      </c>
      <c r="B1000" t="s">
        <v>43</v>
      </c>
      <c r="C1000" t="s">
        <v>30</v>
      </c>
      <c r="D1000">
        <v>2050</v>
      </c>
      <c r="E1000" t="s">
        <v>121</v>
      </c>
      <c r="F1000" t="s">
        <v>110</v>
      </c>
      <c r="G1000" t="s">
        <v>30</v>
      </c>
      <c r="H1000">
        <v>1.0046047809630216</v>
      </c>
      <c r="I1000">
        <v>16.634748265576192</v>
      </c>
      <c r="J1000">
        <v>0</v>
      </c>
      <c r="K1000">
        <v>16.634748265576192</v>
      </c>
    </row>
    <row r="1001" spans="1:11" x14ac:dyDescent="0.25">
      <c r="A1001" t="s">
        <v>129</v>
      </c>
      <c r="B1001" t="s">
        <v>43</v>
      </c>
      <c r="C1001" t="s">
        <v>31</v>
      </c>
      <c r="D1001">
        <v>2050</v>
      </c>
      <c r="E1001" t="s">
        <v>121</v>
      </c>
      <c r="F1001" t="s">
        <v>110</v>
      </c>
      <c r="G1001" t="s">
        <v>31</v>
      </c>
      <c r="H1001">
        <v>5.7261274099394539</v>
      </c>
      <c r="I1001">
        <v>194.06863770491017</v>
      </c>
      <c r="J1001">
        <v>0</v>
      </c>
      <c r="K1001">
        <v>194.06863770491017</v>
      </c>
    </row>
    <row r="1002" spans="1:11" x14ac:dyDescent="0.25">
      <c r="A1002" t="s">
        <v>129</v>
      </c>
      <c r="B1002" t="s">
        <v>43</v>
      </c>
      <c r="C1002" t="s">
        <v>55</v>
      </c>
      <c r="D1002">
        <v>2050</v>
      </c>
      <c r="E1002" t="s">
        <v>121</v>
      </c>
      <c r="F1002" t="s">
        <v>110</v>
      </c>
      <c r="G1002" t="s">
        <v>55</v>
      </c>
      <c r="H1002">
        <v>6.594125857270714</v>
      </c>
      <c r="I1002">
        <v>427.56627001867832</v>
      </c>
      <c r="J1002">
        <v>0</v>
      </c>
      <c r="K1002">
        <v>427.56627001867832</v>
      </c>
    </row>
    <row r="1003" spans="1:11" x14ac:dyDescent="0.25">
      <c r="A1003" t="s">
        <v>129</v>
      </c>
      <c r="B1003" t="s">
        <v>43</v>
      </c>
      <c r="C1003" t="s">
        <v>54</v>
      </c>
      <c r="D1003">
        <v>2050</v>
      </c>
      <c r="E1003" t="s">
        <v>121</v>
      </c>
      <c r="F1003" t="s">
        <v>110</v>
      </c>
      <c r="G1003" t="s">
        <v>54</v>
      </c>
      <c r="H1003">
        <v>6.7730080807831241</v>
      </c>
      <c r="I1003">
        <v>350.30417720311328</v>
      </c>
      <c r="J1003">
        <v>0</v>
      </c>
      <c r="K1003">
        <v>350.30417720311328</v>
      </c>
    </row>
    <row r="1004" spans="1:11" x14ac:dyDescent="0.25">
      <c r="A1004" t="s">
        <v>129</v>
      </c>
      <c r="B1004" t="s">
        <v>43</v>
      </c>
      <c r="C1004" t="s">
        <v>41</v>
      </c>
      <c r="D1004">
        <v>2050</v>
      </c>
      <c r="E1004" t="s">
        <v>121</v>
      </c>
      <c r="F1004" t="s">
        <v>110</v>
      </c>
      <c r="G1004" t="s">
        <v>41</v>
      </c>
      <c r="H1004">
        <v>2.4577585063698826</v>
      </c>
      <c r="I1004">
        <v>16.65136303582608</v>
      </c>
      <c r="J1004">
        <v>0</v>
      </c>
      <c r="K1004">
        <v>16.65136303582608</v>
      </c>
    </row>
    <row r="1005" spans="1:11" x14ac:dyDescent="0.25">
      <c r="A1005" t="s">
        <v>129</v>
      </c>
      <c r="B1005" t="s">
        <v>43</v>
      </c>
      <c r="C1005" t="s">
        <v>80</v>
      </c>
      <c r="D1005">
        <v>2050</v>
      </c>
      <c r="E1005" t="s">
        <v>121</v>
      </c>
      <c r="F1005" t="s">
        <v>110</v>
      </c>
      <c r="G1005" t="s">
        <v>80</v>
      </c>
      <c r="H1005">
        <v>17.549587777111867</v>
      </c>
      <c r="I1005">
        <v>417.27940774702802</v>
      </c>
      <c r="J1005">
        <v>0</v>
      </c>
      <c r="K1005">
        <v>417.27940774702802</v>
      </c>
    </row>
    <row r="1006" spans="1:11" x14ac:dyDescent="0.25">
      <c r="A1006" t="s">
        <v>129</v>
      </c>
      <c r="B1006" t="s">
        <v>43</v>
      </c>
      <c r="C1006" t="s">
        <v>75</v>
      </c>
      <c r="D1006">
        <v>2050</v>
      </c>
      <c r="E1006" t="s">
        <v>121</v>
      </c>
      <c r="F1006" t="s">
        <v>110</v>
      </c>
      <c r="G1006" t="s">
        <v>52</v>
      </c>
      <c r="H1006">
        <v>164.23215782189024</v>
      </c>
      <c r="I1006">
        <v>1872.6589674078468</v>
      </c>
      <c r="J1006">
        <v>309.29513818280947</v>
      </c>
      <c r="K1006">
        <v>309.29513818280947</v>
      </c>
    </row>
    <row r="1007" spans="1:11" x14ac:dyDescent="0.25">
      <c r="A1007" t="s">
        <v>129</v>
      </c>
      <c r="B1007" t="s">
        <v>43</v>
      </c>
      <c r="C1007" t="s">
        <v>78</v>
      </c>
      <c r="D1007">
        <v>2050</v>
      </c>
      <c r="E1007" t="s">
        <v>121</v>
      </c>
      <c r="F1007" t="s">
        <v>110</v>
      </c>
      <c r="G1007" t="s">
        <v>78</v>
      </c>
      <c r="H1007">
        <v>3.8512935932717913</v>
      </c>
      <c r="I1007">
        <v>153.66661437154448</v>
      </c>
      <c r="J1007">
        <v>0</v>
      </c>
      <c r="K1007">
        <v>153.66661437154448</v>
      </c>
    </row>
    <row r="1008" spans="1:11" x14ac:dyDescent="0.25">
      <c r="A1008" t="s">
        <v>129</v>
      </c>
      <c r="B1008" t="s">
        <v>43</v>
      </c>
      <c r="C1008" t="s">
        <v>65</v>
      </c>
      <c r="D1008">
        <v>2050</v>
      </c>
      <c r="E1008" t="s">
        <v>121</v>
      </c>
      <c r="F1008" t="s">
        <v>110</v>
      </c>
      <c r="G1008" t="s">
        <v>65</v>
      </c>
      <c r="H1008">
        <v>11.748060129171261</v>
      </c>
      <c r="I1008">
        <v>228.65736544094307</v>
      </c>
      <c r="J1008">
        <v>0</v>
      </c>
      <c r="K1008">
        <v>228.65736544094307</v>
      </c>
    </row>
    <row r="1009" spans="1:11" x14ac:dyDescent="0.25">
      <c r="A1009" t="s">
        <v>129</v>
      </c>
      <c r="B1009" t="s">
        <v>43</v>
      </c>
      <c r="C1009" t="s">
        <v>120</v>
      </c>
      <c r="D1009">
        <v>2050</v>
      </c>
      <c r="E1009" t="s">
        <v>121</v>
      </c>
      <c r="F1009" t="s">
        <v>110</v>
      </c>
      <c r="G1009" t="s">
        <v>53</v>
      </c>
      <c r="H1009">
        <v>408.55457146192538</v>
      </c>
      <c r="I1009">
        <v>7887.5545566439314</v>
      </c>
      <c r="J1009">
        <v>0</v>
      </c>
      <c r="K1009">
        <v>7887.5545566439314</v>
      </c>
    </row>
    <row r="1010" spans="1:11" x14ac:dyDescent="0.25">
      <c r="A1010" t="s">
        <v>130</v>
      </c>
      <c r="B1010" t="s">
        <v>28</v>
      </c>
      <c r="C1010" t="s">
        <v>29</v>
      </c>
      <c r="D1010">
        <v>2019</v>
      </c>
      <c r="E1010" t="s">
        <v>119</v>
      </c>
      <c r="F1010" t="s">
        <v>108</v>
      </c>
      <c r="G1010" t="s">
        <v>52</v>
      </c>
      <c r="H1010">
        <v>853064.00210361299</v>
      </c>
      <c r="I1010">
        <v>5979978.6547463275</v>
      </c>
      <c r="J1010">
        <v>1951850.0829625644</v>
      </c>
      <c r="K1010">
        <v>1951850.0829625644</v>
      </c>
    </row>
    <row r="1011" spans="1:11" x14ac:dyDescent="0.25">
      <c r="A1011" t="s">
        <v>130</v>
      </c>
      <c r="B1011" t="s">
        <v>28</v>
      </c>
      <c r="C1011" t="s">
        <v>34</v>
      </c>
      <c r="D1011">
        <v>2019</v>
      </c>
      <c r="E1011" t="s">
        <v>119</v>
      </c>
      <c r="F1011" t="s">
        <v>108</v>
      </c>
      <c r="G1011" t="s">
        <v>52</v>
      </c>
      <c r="H1011">
        <v>58939.484550716581</v>
      </c>
      <c r="I1011">
        <v>227506.41036576603</v>
      </c>
      <c r="J1011">
        <v>67541.817252888548</v>
      </c>
      <c r="K1011">
        <v>67541.817252888548</v>
      </c>
    </row>
    <row r="1012" spans="1:11" x14ac:dyDescent="0.25">
      <c r="A1012" t="s">
        <v>130</v>
      </c>
      <c r="B1012" t="s">
        <v>28</v>
      </c>
      <c r="C1012" t="s">
        <v>72</v>
      </c>
      <c r="D1012">
        <v>2019</v>
      </c>
      <c r="E1012" t="s">
        <v>119</v>
      </c>
      <c r="F1012" t="s">
        <v>108</v>
      </c>
      <c r="G1012" t="s">
        <v>52</v>
      </c>
      <c r="H1012">
        <v>99115.06241944003</v>
      </c>
      <c r="I1012">
        <v>436106.27464553615</v>
      </c>
      <c r="J1012">
        <v>232926.54181955411</v>
      </c>
      <c r="K1012">
        <v>232926.54181955411</v>
      </c>
    </row>
    <row r="1013" spans="1:11" x14ac:dyDescent="0.25">
      <c r="A1013" t="s">
        <v>130</v>
      </c>
      <c r="B1013" t="s">
        <v>28</v>
      </c>
      <c r="C1013" t="s">
        <v>53</v>
      </c>
      <c r="D1013">
        <v>2019</v>
      </c>
      <c r="E1013" t="s">
        <v>119</v>
      </c>
      <c r="F1013" t="s">
        <v>108</v>
      </c>
      <c r="G1013" t="s">
        <v>53</v>
      </c>
      <c r="H1013">
        <v>188981.25083524975</v>
      </c>
      <c r="I1013">
        <v>9377249.6664450932</v>
      </c>
      <c r="J1013">
        <v>0</v>
      </c>
      <c r="K1013">
        <v>9377249.6664450932</v>
      </c>
    </row>
    <row r="1014" spans="1:11" x14ac:dyDescent="0.25">
      <c r="A1014" t="s">
        <v>130</v>
      </c>
      <c r="B1014" t="s">
        <v>28</v>
      </c>
      <c r="C1014" t="s">
        <v>30</v>
      </c>
      <c r="D1014">
        <v>2019</v>
      </c>
      <c r="E1014" t="s">
        <v>119</v>
      </c>
      <c r="F1014" t="s">
        <v>108</v>
      </c>
      <c r="G1014" t="s">
        <v>30</v>
      </c>
      <c r="H1014">
        <v>7313.1446192208541</v>
      </c>
      <c r="I1014">
        <v>151747.75084883274</v>
      </c>
      <c r="J1014">
        <v>0</v>
      </c>
      <c r="K1014">
        <v>151747.75084883274</v>
      </c>
    </row>
    <row r="1015" spans="1:11" x14ac:dyDescent="0.25">
      <c r="A1015" t="s">
        <v>130</v>
      </c>
      <c r="B1015" t="s">
        <v>28</v>
      </c>
      <c r="C1015" t="s">
        <v>31</v>
      </c>
      <c r="D1015">
        <v>2019</v>
      </c>
      <c r="E1015" t="s">
        <v>119</v>
      </c>
      <c r="F1015" t="s">
        <v>108</v>
      </c>
      <c r="G1015" t="s">
        <v>31</v>
      </c>
      <c r="H1015">
        <v>43565.33101601588</v>
      </c>
      <c r="I1015">
        <v>1850258.7939976689</v>
      </c>
      <c r="J1015">
        <v>0</v>
      </c>
      <c r="K1015">
        <v>1850258.7939976689</v>
      </c>
    </row>
    <row r="1016" spans="1:11" x14ac:dyDescent="0.25">
      <c r="A1016" t="s">
        <v>130</v>
      </c>
      <c r="B1016" t="s">
        <v>28</v>
      </c>
      <c r="C1016" t="s">
        <v>55</v>
      </c>
      <c r="D1016">
        <v>2019</v>
      </c>
      <c r="E1016" t="s">
        <v>119</v>
      </c>
      <c r="F1016" t="s">
        <v>108</v>
      </c>
      <c r="G1016" t="s">
        <v>55</v>
      </c>
      <c r="H1016">
        <v>4252.8843446697592</v>
      </c>
      <c r="I1016">
        <v>345562.72197585326</v>
      </c>
      <c r="J1016">
        <v>0</v>
      </c>
      <c r="K1016">
        <v>345562.72197585326</v>
      </c>
    </row>
    <row r="1017" spans="1:11" x14ac:dyDescent="0.25">
      <c r="A1017" t="s">
        <v>130</v>
      </c>
      <c r="B1017" t="s">
        <v>28</v>
      </c>
      <c r="C1017" t="s">
        <v>54</v>
      </c>
      <c r="D1017">
        <v>2019</v>
      </c>
      <c r="E1017" t="s">
        <v>119</v>
      </c>
      <c r="F1017" t="s">
        <v>108</v>
      </c>
      <c r="G1017" t="s">
        <v>54</v>
      </c>
      <c r="H1017">
        <v>145638.34626271055</v>
      </c>
      <c r="I1017">
        <v>6482362.7921532467</v>
      </c>
      <c r="J1017">
        <v>0</v>
      </c>
      <c r="K1017">
        <v>6482362.7921532467</v>
      </c>
    </row>
    <row r="1018" spans="1:11" x14ac:dyDescent="0.25">
      <c r="A1018" t="s">
        <v>130</v>
      </c>
      <c r="B1018" t="s">
        <v>28</v>
      </c>
      <c r="C1018" t="s">
        <v>41</v>
      </c>
      <c r="D1018">
        <v>2019</v>
      </c>
      <c r="E1018" t="s">
        <v>119</v>
      </c>
      <c r="F1018" t="s">
        <v>108</v>
      </c>
      <c r="G1018" t="s">
        <v>41</v>
      </c>
      <c r="H1018">
        <v>2676.1448409922077</v>
      </c>
      <c r="I1018">
        <v>22720.469700023848</v>
      </c>
      <c r="J1018">
        <v>0</v>
      </c>
      <c r="K1018">
        <v>22720.469700023848</v>
      </c>
    </row>
    <row r="1019" spans="1:11" x14ac:dyDescent="0.25">
      <c r="A1019" t="s">
        <v>130</v>
      </c>
      <c r="B1019" t="s">
        <v>28</v>
      </c>
      <c r="C1019" t="s">
        <v>80</v>
      </c>
      <c r="D1019">
        <v>2019</v>
      </c>
      <c r="E1019" t="s">
        <v>119</v>
      </c>
      <c r="F1019" t="s">
        <v>108</v>
      </c>
      <c r="G1019" t="s">
        <v>80</v>
      </c>
      <c r="H1019">
        <v>47330.033772765404</v>
      </c>
      <c r="I1019">
        <v>1410243.012533868</v>
      </c>
      <c r="J1019">
        <v>0</v>
      </c>
      <c r="K1019">
        <v>1410243.012533868</v>
      </c>
    </row>
    <row r="1020" spans="1:11" x14ac:dyDescent="0.25">
      <c r="A1020" t="s">
        <v>130</v>
      </c>
      <c r="B1020" t="s">
        <v>28</v>
      </c>
      <c r="C1020" t="s">
        <v>75</v>
      </c>
      <c r="D1020">
        <v>2019</v>
      </c>
      <c r="E1020" t="s">
        <v>119</v>
      </c>
      <c r="F1020" t="s">
        <v>108</v>
      </c>
      <c r="G1020" t="s">
        <v>52</v>
      </c>
      <c r="H1020">
        <v>49787.032963432102</v>
      </c>
      <c r="I1020">
        <v>711399.98164280283</v>
      </c>
      <c r="J1020">
        <v>118184.45884859514</v>
      </c>
      <c r="K1020">
        <v>118184.45884859514</v>
      </c>
    </row>
    <row r="1021" spans="1:11" x14ac:dyDescent="0.25">
      <c r="A1021" t="s">
        <v>130</v>
      </c>
      <c r="B1021" t="s">
        <v>28</v>
      </c>
      <c r="C1021" t="s">
        <v>78</v>
      </c>
      <c r="D1021">
        <v>2019</v>
      </c>
      <c r="E1021" t="s">
        <v>119</v>
      </c>
      <c r="F1021" t="s">
        <v>108</v>
      </c>
      <c r="G1021" t="s">
        <v>78</v>
      </c>
      <c r="H1021">
        <v>13422.322311297707</v>
      </c>
      <c r="I1021">
        <v>671116.11556488543</v>
      </c>
      <c r="J1021">
        <v>0</v>
      </c>
      <c r="K1021">
        <v>671116.11556488543</v>
      </c>
    </row>
    <row r="1022" spans="1:11" x14ac:dyDescent="0.25">
      <c r="A1022" t="s">
        <v>130</v>
      </c>
      <c r="B1022" t="s">
        <v>28</v>
      </c>
      <c r="C1022" t="s">
        <v>65</v>
      </c>
      <c r="D1022">
        <v>2019</v>
      </c>
      <c r="E1022" t="s">
        <v>119</v>
      </c>
      <c r="F1022" t="s">
        <v>108</v>
      </c>
      <c r="G1022" t="s">
        <v>65</v>
      </c>
      <c r="H1022">
        <v>4937.1607996010098</v>
      </c>
      <c r="I1022">
        <v>120418.55608782951</v>
      </c>
      <c r="J1022">
        <v>0</v>
      </c>
      <c r="K1022">
        <v>120418.55608782951</v>
      </c>
    </row>
    <row r="1023" spans="1:11" x14ac:dyDescent="0.25">
      <c r="A1023" t="s">
        <v>130</v>
      </c>
      <c r="B1023" t="s">
        <v>28</v>
      </c>
      <c r="C1023" t="s">
        <v>120</v>
      </c>
      <c r="D1023">
        <v>2019</v>
      </c>
      <c r="E1023" t="s">
        <v>119</v>
      </c>
      <c r="F1023" t="s">
        <v>108</v>
      </c>
      <c r="G1023" t="s">
        <v>53</v>
      </c>
      <c r="H1023">
        <v>119003.01274629038</v>
      </c>
      <c r="I1023">
        <v>1641051.5457713446</v>
      </c>
      <c r="J1023">
        <v>0</v>
      </c>
      <c r="K1023">
        <v>1641051.5457713446</v>
      </c>
    </row>
    <row r="1024" spans="1:11" x14ac:dyDescent="0.25">
      <c r="A1024" t="s">
        <v>130</v>
      </c>
      <c r="B1024" t="s">
        <v>28</v>
      </c>
      <c r="C1024" t="s">
        <v>29</v>
      </c>
      <c r="D1024">
        <v>2030</v>
      </c>
      <c r="E1024" t="s">
        <v>119</v>
      </c>
      <c r="F1024" t="s">
        <v>108</v>
      </c>
      <c r="G1024" t="s">
        <v>52</v>
      </c>
      <c r="H1024">
        <v>823750.37397071952</v>
      </c>
      <c r="I1024">
        <v>5774490.1215347433</v>
      </c>
      <c r="J1024">
        <v>1873822.0444380243</v>
      </c>
      <c r="K1024">
        <v>1873822.0444380243</v>
      </c>
    </row>
    <row r="1025" spans="1:11" x14ac:dyDescent="0.25">
      <c r="A1025" t="s">
        <v>130</v>
      </c>
      <c r="B1025" t="s">
        <v>28</v>
      </c>
      <c r="C1025" t="s">
        <v>34</v>
      </c>
      <c r="D1025">
        <v>2030</v>
      </c>
      <c r="E1025" t="s">
        <v>119</v>
      </c>
      <c r="F1025" t="s">
        <v>108</v>
      </c>
      <c r="G1025" t="s">
        <v>52</v>
      </c>
      <c r="H1025">
        <v>56914.161564160306</v>
      </c>
      <c r="I1025">
        <v>219688.66363765878</v>
      </c>
      <c r="J1025">
        <v>64841.735128432192</v>
      </c>
      <c r="K1025">
        <v>64841.735128432192</v>
      </c>
    </row>
    <row r="1026" spans="1:11" x14ac:dyDescent="0.25">
      <c r="A1026" t="s">
        <v>130</v>
      </c>
      <c r="B1026" t="s">
        <v>28</v>
      </c>
      <c r="C1026" t="s">
        <v>72</v>
      </c>
      <c r="D1026">
        <v>2030</v>
      </c>
      <c r="E1026" t="s">
        <v>119</v>
      </c>
      <c r="F1026" t="s">
        <v>108</v>
      </c>
      <c r="G1026" t="s">
        <v>52</v>
      </c>
      <c r="H1026">
        <v>95709.195948732828</v>
      </c>
      <c r="I1026">
        <v>421120.46217442444</v>
      </c>
      <c r="J1026">
        <v>223614.96541461936</v>
      </c>
      <c r="K1026">
        <v>223614.96541461936</v>
      </c>
    </row>
    <row r="1027" spans="1:11" x14ac:dyDescent="0.25">
      <c r="A1027" t="s">
        <v>130</v>
      </c>
      <c r="B1027" t="s">
        <v>28</v>
      </c>
      <c r="C1027" t="s">
        <v>53</v>
      </c>
      <c r="D1027">
        <v>2030</v>
      </c>
      <c r="E1027" t="s">
        <v>119</v>
      </c>
      <c r="F1027" t="s">
        <v>108</v>
      </c>
      <c r="G1027" t="s">
        <v>53</v>
      </c>
      <c r="H1027">
        <v>182487.33467255518</v>
      </c>
      <c r="I1027">
        <v>9055021.5464521889</v>
      </c>
      <c r="J1027">
        <v>0</v>
      </c>
      <c r="K1027">
        <v>9055021.5464521889</v>
      </c>
    </row>
    <row r="1028" spans="1:11" x14ac:dyDescent="0.25">
      <c r="A1028" t="s">
        <v>130</v>
      </c>
      <c r="B1028" t="s">
        <v>28</v>
      </c>
      <c r="C1028" t="s">
        <v>30</v>
      </c>
      <c r="D1028">
        <v>2030</v>
      </c>
      <c r="E1028" t="s">
        <v>119</v>
      </c>
      <c r="F1028" t="s">
        <v>108</v>
      </c>
      <c r="G1028" t="s">
        <v>30</v>
      </c>
      <c r="H1028">
        <v>7061.8448324272804</v>
      </c>
      <c r="I1028">
        <v>146533.28027286608</v>
      </c>
      <c r="J1028">
        <v>0</v>
      </c>
      <c r="K1028">
        <v>146533.28027286608</v>
      </c>
    </row>
    <row r="1029" spans="1:11" x14ac:dyDescent="0.25">
      <c r="A1029" t="s">
        <v>130</v>
      </c>
      <c r="B1029" t="s">
        <v>28</v>
      </c>
      <c r="C1029" t="s">
        <v>31</v>
      </c>
      <c r="D1029">
        <v>2030</v>
      </c>
      <c r="E1029" t="s">
        <v>119</v>
      </c>
      <c r="F1029" t="s">
        <v>108</v>
      </c>
      <c r="G1029" t="s">
        <v>31</v>
      </c>
      <c r="H1029">
        <v>42068.306279606026</v>
      </c>
      <c r="I1029">
        <v>1786678.8069121563</v>
      </c>
      <c r="J1029">
        <v>0</v>
      </c>
      <c r="K1029">
        <v>1786678.8069121563</v>
      </c>
    </row>
    <row r="1030" spans="1:11" x14ac:dyDescent="0.25">
      <c r="A1030" t="s">
        <v>130</v>
      </c>
      <c r="B1030" t="s">
        <v>28</v>
      </c>
      <c r="C1030" t="s">
        <v>55</v>
      </c>
      <c r="D1030">
        <v>2030</v>
      </c>
      <c r="E1030" t="s">
        <v>119</v>
      </c>
      <c r="F1030" t="s">
        <v>108</v>
      </c>
      <c r="G1030" t="s">
        <v>55</v>
      </c>
      <c r="H1030">
        <v>4106.7435277270333</v>
      </c>
      <c r="I1030">
        <v>333688.23529770103</v>
      </c>
      <c r="J1030">
        <v>0</v>
      </c>
      <c r="K1030">
        <v>333688.23529770103</v>
      </c>
    </row>
    <row r="1031" spans="1:11" x14ac:dyDescent="0.25">
      <c r="A1031" t="s">
        <v>130</v>
      </c>
      <c r="B1031" t="s">
        <v>28</v>
      </c>
      <c r="C1031" t="s">
        <v>54</v>
      </c>
      <c r="D1031">
        <v>2030</v>
      </c>
      <c r="E1031" t="s">
        <v>119</v>
      </c>
      <c r="F1031" t="s">
        <v>108</v>
      </c>
      <c r="G1031" t="s">
        <v>54</v>
      </c>
      <c r="H1031">
        <v>140633.81165134837</v>
      </c>
      <c r="I1031">
        <v>6259610.9566015163</v>
      </c>
      <c r="J1031">
        <v>0</v>
      </c>
      <c r="K1031">
        <v>6259610.9566015163</v>
      </c>
    </row>
    <row r="1032" spans="1:11" x14ac:dyDescent="0.25">
      <c r="A1032" t="s">
        <v>130</v>
      </c>
      <c r="B1032" t="s">
        <v>28</v>
      </c>
      <c r="C1032" t="s">
        <v>41</v>
      </c>
      <c r="D1032">
        <v>2030</v>
      </c>
      <c r="E1032" t="s">
        <v>119</v>
      </c>
      <c r="F1032" t="s">
        <v>108</v>
      </c>
      <c r="G1032" t="s">
        <v>41</v>
      </c>
      <c r="H1032">
        <v>2584.1851351493174</v>
      </c>
      <c r="I1032">
        <v>21939.731797417709</v>
      </c>
      <c r="J1032">
        <v>0</v>
      </c>
      <c r="K1032">
        <v>21939.731797417709</v>
      </c>
    </row>
    <row r="1033" spans="1:11" x14ac:dyDescent="0.25">
      <c r="A1033" t="s">
        <v>130</v>
      </c>
      <c r="B1033" t="s">
        <v>28</v>
      </c>
      <c r="C1033" t="s">
        <v>80</v>
      </c>
      <c r="D1033">
        <v>2030</v>
      </c>
      <c r="E1033" t="s">
        <v>119</v>
      </c>
      <c r="F1033" t="s">
        <v>108</v>
      </c>
      <c r="G1033" t="s">
        <v>80</v>
      </c>
      <c r="H1033">
        <v>45703.64348304407</v>
      </c>
      <c r="I1033">
        <v>1361783.1793390682</v>
      </c>
      <c r="J1033">
        <v>0</v>
      </c>
      <c r="K1033">
        <v>1361783.1793390682</v>
      </c>
    </row>
    <row r="1034" spans="1:11" x14ac:dyDescent="0.25">
      <c r="A1034" t="s">
        <v>130</v>
      </c>
      <c r="B1034" t="s">
        <v>28</v>
      </c>
      <c r="C1034" t="s">
        <v>75</v>
      </c>
      <c r="D1034">
        <v>2030</v>
      </c>
      <c r="E1034" t="s">
        <v>119</v>
      </c>
      <c r="F1034" t="s">
        <v>108</v>
      </c>
      <c r="G1034" t="s">
        <v>52</v>
      </c>
      <c r="H1034">
        <v>48076.213415858583</v>
      </c>
      <c r="I1034">
        <v>686954.31934290484</v>
      </c>
      <c r="J1034">
        <v>113459.86366142624</v>
      </c>
      <c r="K1034">
        <v>113459.86366142624</v>
      </c>
    </row>
    <row r="1035" spans="1:11" x14ac:dyDescent="0.25">
      <c r="A1035" t="s">
        <v>130</v>
      </c>
      <c r="B1035" t="s">
        <v>28</v>
      </c>
      <c r="C1035" t="s">
        <v>78</v>
      </c>
      <c r="D1035">
        <v>2030</v>
      </c>
      <c r="E1035" t="s">
        <v>119</v>
      </c>
      <c r="F1035" t="s">
        <v>108</v>
      </c>
      <c r="G1035" t="s">
        <v>78</v>
      </c>
      <c r="H1035">
        <v>12961.094356603833</v>
      </c>
      <c r="I1035">
        <v>648054.71783019172</v>
      </c>
      <c r="J1035">
        <v>0</v>
      </c>
      <c r="K1035">
        <v>648054.71783019172</v>
      </c>
    </row>
    <row r="1036" spans="1:11" x14ac:dyDescent="0.25">
      <c r="A1036" t="s">
        <v>130</v>
      </c>
      <c r="B1036" t="s">
        <v>28</v>
      </c>
      <c r="C1036" t="s">
        <v>65</v>
      </c>
      <c r="D1036">
        <v>2030</v>
      </c>
      <c r="E1036" t="s">
        <v>119</v>
      </c>
      <c r="F1036" t="s">
        <v>108</v>
      </c>
      <c r="G1036" t="s">
        <v>65</v>
      </c>
      <c r="H1036">
        <v>4767.5063594242874</v>
      </c>
      <c r="I1036">
        <v>116280.6429127875</v>
      </c>
      <c r="J1036">
        <v>0</v>
      </c>
      <c r="K1036">
        <v>116280.6429127875</v>
      </c>
    </row>
    <row r="1037" spans="1:11" x14ac:dyDescent="0.25">
      <c r="A1037" t="s">
        <v>130</v>
      </c>
      <c r="B1037" t="s">
        <v>28</v>
      </c>
      <c r="C1037" t="s">
        <v>120</v>
      </c>
      <c r="D1037">
        <v>2030</v>
      </c>
      <c r="E1037" t="s">
        <v>119</v>
      </c>
      <c r="F1037" t="s">
        <v>108</v>
      </c>
      <c r="G1037" t="s">
        <v>53</v>
      </c>
      <c r="H1037">
        <v>114913.74153834289</v>
      </c>
      <c r="I1037">
        <v>1584660.4958137486</v>
      </c>
      <c r="J1037">
        <v>0</v>
      </c>
      <c r="K1037">
        <v>1584660.4958137486</v>
      </c>
    </row>
    <row r="1038" spans="1:11" x14ac:dyDescent="0.25">
      <c r="A1038" t="s">
        <v>130</v>
      </c>
      <c r="B1038" t="s">
        <v>28</v>
      </c>
      <c r="C1038" t="s">
        <v>29</v>
      </c>
      <c r="D1038">
        <v>2050</v>
      </c>
      <c r="E1038" t="s">
        <v>119</v>
      </c>
      <c r="F1038" t="s">
        <v>108</v>
      </c>
      <c r="G1038" t="s">
        <v>52</v>
      </c>
      <c r="H1038">
        <v>770919.64193441265</v>
      </c>
      <c r="I1038">
        <v>5404146.6899602329</v>
      </c>
      <c r="J1038">
        <v>1753645.6008920954</v>
      </c>
      <c r="K1038">
        <v>1753645.6008920954</v>
      </c>
    </row>
    <row r="1039" spans="1:11" x14ac:dyDescent="0.25">
      <c r="A1039" t="s">
        <v>130</v>
      </c>
      <c r="B1039" t="s">
        <v>28</v>
      </c>
      <c r="C1039" t="s">
        <v>34</v>
      </c>
      <c r="D1039">
        <v>2050</v>
      </c>
      <c r="E1039" t="s">
        <v>119</v>
      </c>
      <c r="F1039" t="s">
        <v>108</v>
      </c>
      <c r="G1039" t="s">
        <v>52</v>
      </c>
      <c r="H1039">
        <v>53264.00623351871</v>
      </c>
      <c r="I1039">
        <v>205599.06406138223</v>
      </c>
      <c r="J1039">
        <v>60683.14966178553</v>
      </c>
      <c r="K1039">
        <v>60683.14966178553</v>
      </c>
    </row>
    <row r="1040" spans="1:11" x14ac:dyDescent="0.25">
      <c r="A1040" t="s">
        <v>130</v>
      </c>
      <c r="B1040" t="s">
        <v>28</v>
      </c>
      <c r="C1040" t="s">
        <v>72</v>
      </c>
      <c r="D1040">
        <v>2050</v>
      </c>
      <c r="E1040" t="s">
        <v>119</v>
      </c>
      <c r="F1040" t="s">
        <v>108</v>
      </c>
      <c r="G1040" t="s">
        <v>52</v>
      </c>
      <c r="H1040">
        <v>89570.944550794622</v>
      </c>
      <c r="I1040">
        <v>394112.15602349635</v>
      </c>
      <c r="J1040">
        <v>209273.55484847655</v>
      </c>
      <c r="K1040">
        <v>209273.55484847655</v>
      </c>
    </row>
    <row r="1041" spans="1:11" x14ac:dyDescent="0.25">
      <c r="A1041" t="s">
        <v>130</v>
      </c>
      <c r="B1041" t="s">
        <v>28</v>
      </c>
      <c r="C1041" t="s">
        <v>53</v>
      </c>
      <c r="D1041">
        <v>2050</v>
      </c>
      <c r="E1041" t="s">
        <v>119</v>
      </c>
      <c r="F1041" t="s">
        <v>108</v>
      </c>
      <c r="G1041" t="s">
        <v>53</v>
      </c>
      <c r="H1041">
        <v>170783.61983035918</v>
      </c>
      <c r="I1041">
        <v>8474283.2159824222</v>
      </c>
      <c r="J1041">
        <v>0</v>
      </c>
      <c r="K1041">
        <v>8474283.2159824222</v>
      </c>
    </row>
    <row r="1042" spans="1:11" x14ac:dyDescent="0.25">
      <c r="A1042" t="s">
        <v>130</v>
      </c>
      <c r="B1042" t="s">
        <v>28</v>
      </c>
      <c r="C1042" t="s">
        <v>30</v>
      </c>
      <c r="D1042">
        <v>2050</v>
      </c>
      <c r="E1042" t="s">
        <v>119</v>
      </c>
      <c r="F1042" t="s">
        <v>108</v>
      </c>
      <c r="G1042" t="s">
        <v>30</v>
      </c>
      <c r="H1042">
        <v>6608.9376850525514</v>
      </c>
      <c r="I1042">
        <v>137135.45696484044</v>
      </c>
      <c r="J1042">
        <v>0</v>
      </c>
      <c r="K1042">
        <v>137135.45696484044</v>
      </c>
    </row>
    <row r="1043" spans="1:11" x14ac:dyDescent="0.25">
      <c r="A1043" t="s">
        <v>130</v>
      </c>
      <c r="B1043" t="s">
        <v>28</v>
      </c>
      <c r="C1043" t="s">
        <v>31</v>
      </c>
      <c r="D1043">
        <v>2050</v>
      </c>
      <c r="E1043" t="s">
        <v>119</v>
      </c>
      <c r="F1043" t="s">
        <v>108</v>
      </c>
      <c r="G1043" t="s">
        <v>31</v>
      </c>
      <c r="H1043">
        <v>39370.280898972756</v>
      </c>
      <c r="I1043">
        <v>1672091.2422013455</v>
      </c>
      <c r="J1043">
        <v>0</v>
      </c>
      <c r="K1043">
        <v>1672091.2422013455</v>
      </c>
    </row>
    <row r="1044" spans="1:11" x14ac:dyDescent="0.25">
      <c r="A1044" t="s">
        <v>130</v>
      </c>
      <c r="B1044" t="s">
        <v>28</v>
      </c>
      <c r="C1044" t="s">
        <v>55</v>
      </c>
      <c r="D1044">
        <v>2050</v>
      </c>
      <c r="E1044" t="s">
        <v>119</v>
      </c>
      <c r="F1044" t="s">
        <v>108</v>
      </c>
      <c r="G1044" t="s">
        <v>55</v>
      </c>
      <c r="H1044">
        <v>3843.3600153052266</v>
      </c>
      <c r="I1044">
        <v>312287.34213912912</v>
      </c>
      <c r="J1044">
        <v>0</v>
      </c>
      <c r="K1044">
        <v>312287.34213912912</v>
      </c>
    </row>
    <row r="1045" spans="1:11" x14ac:dyDescent="0.25">
      <c r="A1045" t="s">
        <v>130</v>
      </c>
      <c r="B1045" t="s">
        <v>28</v>
      </c>
      <c r="C1045" t="s">
        <v>54</v>
      </c>
      <c r="D1045">
        <v>2050</v>
      </c>
      <c r="E1045" t="s">
        <v>119</v>
      </c>
      <c r="F1045" t="s">
        <v>108</v>
      </c>
      <c r="G1045" t="s">
        <v>54</v>
      </c>
      <c r="H1045">
        <v>131614.34719540758</v>
      </c>
      <c r="I1045">
        <v>5858154.5936675919</v>
      </c>
      <c r="J1045">
        <v>0</v>
      </c>
      <c r="K1045">
        <v>5858154.5936675919</v>
      </c>
    </row>
    <row r="1046" spans="1:11" x14ac:dyDescent="0.25">
      <c r="A1046" t="s">
        <v>130</v>
      </c>
      <c r="B1046" t="s">
        <v>28</v>
      </c>
      <c r="C1046" t="s">
        <v>41</v>
      </c>
      <c r="D1046">
        <v>2050</v>
      </c>
      <c r="E1046" t="s">
        <v>119</v>
      </c>
      <c r="F1046" t="s">
        <v>108</v>
      </c>
      <c r="G1046" t="s">
        <v>41</v>
      </c>
      <c r="H1046">
        <v>2418.4499844031116</v>
      </c>
      <c r="I1046">
        <v>20532.640367582419</v>
      </c>
      <c r="J1046">
        <v>0</v>
      </c>
      <c r="K1046">
        <v>20532.640367582419</v>
      </c>
    </row>
    <row r="1047" spans="1:11" x14ac:dyDescent="0.25">
      <c r="A1047" t="s">
        <v>130</v>
      </c>
      <c r="B1047" t="s">
        <v>28</v>
      </c>
      <c r="C1047" t="s">
        <v>80</v>
      </c>
      <c r="D1047">
        <v>2050</v>
      </c>
      <c r="E1047" t="s">
        <v>119</v>
      </c>
      <c r="F1047" t="s">
        <v>108</v>
      </c>
      <c r="G1047" t="s">
        <v>80</v>
      </c>
      <c r="H1047">
        <v>42772.467949494108</v>
      </c>
      <c r="I1047">
        <v>1274446.0387288358</v>
      </c>
      <c r="J1047">
        <v>0</v>
      </c>
      <c r="K1047">
        <v>1274446.0387288358</v>
      </c>
    </row>
    <row r="1048" spans="1:11" x14ac:dyDescent="0.25">
      <c r="A1048" t="s">
        <v>130</v>
      </c>
      <c r="B1048" t="s">
        <v>28</v>
      </c>
      <c r="C1048" t="s">
        <v>75</v>
      </c>
      <c r="D1048">
        <v>2050</v>
      </c>
      <c r="E1048" t="s">
        <v>119</v>
      </c>
      <c r="F1048" t="s">
        <v>108</v>
      </c>
      <c r="G1048" t="s">
        <v>52</v>
      </c>
      <c r="H1048">
        <v>44992.874544580809</v>
      </c>
      <c r="I1048">
        <v>642896.91953688243</v>
      </c>
      <c r="J1048">
        <v>106183.18392521072</v>
      </c>
      <c r="K1048">
        <v>106183.18392521072</v>
      </c>
    </row>
    <row r="1049" spans="1:11" x14ac:dyDescent="0.25">
      <c r="A1049" t="s">
        <v>130</v>
      </c>
      <c r="B1049" t="s">
        <v>28</v>
      </c>
      <c r="C1049" t="s">
        <v>78</v>
      </c>
      <c r="D1049">
        <v>2050</v>
      </c>
      <c r="E1049" t="s">
        <v>119</v>
      </c>
      <c r="F1049" t="s">
        <v>108</v>
      </c>
      <c r="G1049" t="s">
        <v>78</v>
      </c>
      <c r="H1049">
        <v>12129.842408819752</v>
      </c>
      <c r="I1049">
        <v>606492.12044098764</v>
      </c>
      <c r="J1049">
        <v>0</v>
      </c>
      <c r="K1049">
        <v>606492.12044098764</v>
      </c>
    </row>
    <row r="1050" spans="1:11" x14ac:dyDescent="0.25">
      <c r="A1050" t="s">
        <v>130</v>
      </c>
      <c r="B1050" t="s">
        <v>28</v>
      </c>
      <c r="C1050" t="s">
        <v>65</v>
      </c>
      <c r="D1050">
        <v>2050</v>
      </c>
      <c r="E1050" t="s">
        <v>119</v>
      </c>
      <c r="F1050" t="s">
        <v>108</v>
      </c>
      <c r="G1050" t="s">
        <v>65</v>
      </c>
      <c r="H1050">
        <v>4461.7452224161889</v>
      </c>
      <c r="I1050">
        <v>108823.05420527291</v>
      </c>
      <c r="J1050">
        <v>0</v>
      </c>
      <c r="K1050">
        <v>108823.05420527291</v>
      </c>
    </row>
    <row r="1051" spans="1:11" x14ac:dyDescent="0.25">
      <c r="A1051" t="s">
        <v>130</v>
      </c>
      <c r="B1051" t="s">
        <v>28</v>
      </c>
      <c r="C1051" t="s">
        <v>120</v>
      </c>
      <c r="D1051">
        <v>2050</v>
      </c>
      <c r="E1051" t="s">
        <v>119</v>
      </c>
      <c r="F1051" t="s">
        <v>108</v>
      </c>
      <c r="G1051" t="s">
        <v>53</v>
      </c>
      <c r="H1051">
        <v>107543.81822378619</v>
      </c>
      <c r="I1051">
        <v>1483029.2533060117</v>
      </c>
      <c r="J1051">
        <v>0</v>
      </c>
      <c r="K1051">
        <v>1483029.2533060117</v>
      </c>
    </row>
    <row r="1052" spans="1:11" x14ac:dyDescent="0.25">
      <c r="A1052" t="s">
        <v>130</v>
      </c>
      <c r="B1052" t="s">
        <v>28</v>
      </c>
      <c r="C1052" t="s">
        <v>29</v>
      </c>
      <c r="D1052">
        <v>2019</v>
      </c>
      <c r="E1052" t="s">
        <v>121</v>
      </c>
      <c r="F1052" t="s">
        <v>108</v>
      </c>
      <c r="G1052" t="s">
        <v>52</v>
      </c>
      <c r="H1052">
        <v>109074.05508995618</v>
      </c>
      <c r="I1052">
        <v>512288.11454099719</v>
      </c>
      <c r="J1052">
        <v>167209.55986589516</v>
      </c>
      <c r="K1052">
        <v>167209.55986589516</v>
      </c>
    </row>
    <row r="1053" spans="1:11" x14ac:dyDescent="0.25">
      <c r="A1053" t="s">
        <v>130</v>
      </c>
      <c r="B1053" t="s">
        <v>28</v>
      </c>
      <c r="C1053" t="s">
        <v>34</v>
      </c>
      <c r="D1053">
        <v>2019</v>
      </c>
      <c r="E1053" t="s">
        <v>121</v>
      </c>
      <c r="F1053" t="s">
        <v>108</v>
      </c>
      <c r="G1053" t="s">
        <v>52</v>
      </c>
      <c r="H1053">
        <v>7536.0917457605292</v>
      </c>
      <c r="I1053">
        <v>16580.909059022317</v>
      </c>
      <c r="J1053">
        <v>4922.5194479169131</v>
      </c>
      <c r="K1053">
        <v>4922.5194479169131</v>
      </c>
    </row>
    <row r="1054" spans="1:11" x14ac:dyDescent="0.25">
      <c r="A1054" t="s">
        <v>130</v>
      </c>
      <c r="B1054" t="s">
        <v>28</v>
      </c>
      <c r="C1054" t="s">
        <v>72</v>
      </c>
      <c r="D1054">
        <v>2019</v>
      </c>
      <c r="E1054" t="s">
        <v>121</v>
      </c>
      <c r="F1054" t="s">
        <v>108</v>
      </c>
      <c r="G1054" t="s">
        <v>52</v>
      </c>
      <c r="H1054">
        <v>12673.001969281737</v>
      </c>
      <c r="I1054">
        <v>30668.664765661812</v>
      </c>
      <c r="J1054">
        <v>16380.287194663799</v>
      </c>
      <c r="K1054">
        <v>16380.287194663799</v>
      </c>
    </row>
    <row r="1055" spans="1:11" x14ac:dyDescent="0.25">
      <c r="A1055" t="s">
        <v>130</v>
      </c>
      <c r="B1055" t="s">
        <v>28</v>
      </c>
      <c r="C1055" t="s">
        <v>53</v>
      </c>
      <c r="D1055">
        <v>2019</v>
      </c>
      <c r="E1055" t="s">
        <v>121</v>
      </c>
      <c r="F1055" t="s">
        <v>108</v>
      </c>
      <c r="G1055" t="s">
        <v>53</v>
      </c>
      <c r="H1055">
        <v>24163.428903039348</v>
      </c>
      <c r="I1055">
        <v>935211.68689167371</v>
      </c>
      <c r="J1055">
        <v>0</v>
      </c>
      <c r="K1055">
        <v>935211.68689167371</v>
      </c>
    </row>
    <row r="1056" spans="1:11" x14ac:dyDescent="0.25">
      <c r="A1056" t="s">
        <v>130</v>
      </c>
      <c r="B1056" t="s">
        <v>28</v>
      </c>
      <c r="C1056" t="s">
        <v>30</v>
      </c>
      <c r="D1056">
        <v>2019</v>
      </c>
      <c r="E1056" t="s">
        <v>121</v>
      </c>
      <c r="F1056" t="s">
        <v>108</v>
      </c>
      <c r="G1056" t="s">
        <v>30</v>
      </c>
      <c r="H1056">
        <v>935.06974518991217</v>
      </c>
      <c r="I1056">
        <v>11059.537411233687</v>
      </c>
      <c r="J1056">
        <v>0</v>
      </c>
      <c r="K1056">
        <v>11059.537411233687</v>
      </c>
    </row>
    <row r="1057" spans="1:11" x14ac:dyDescent="0.25">
      <c r="A1057" t="s">
        <v>130</v>
      </c>
      <c r="B1057" t="s">
        <v>28</v>
      </c>
      <c r="C1057" t="s">
        <v>31</v>
      </c>
      <c r="D1057">
        <v>2019</v>
      </c>
      <c r="E1057" t="s">
        <v>121</v>
      </c>
      <c r="F1057" t="s">
        <v>108</v>
      </c>
      <c r="G1057" t="s">
        <v>31</v>
      </c>
      <c r="H1057">
        <v>5570.3291939822529</v>
      </c>
      <c r="I1057">
        <v>134848.82799393893</v>
      </c>
      <c r="J1057">
        <v>0</v>
      </c>
      <c r="K1057">
        <v>134848.82799393893</v>
      </c>
    </row>
    <row r="1058" spans="1:11" x14ac:dyDescent="0.25">
      <c r="A1058" t="s">
        <v>130</v>
      </c>
      <c r="B1058" t="s">
        <v>28</v>
      </c>
      <c r="C1058" t="s">
        <v>55</v>
      </c>
      <c r="D1058">
        <v>2019</v>
      </c>
      <c r="E1058" t="s">
        <v>121</v>
      </c>
      <c r="F1058" t="s">
        <v>108</v>
      </c>
      <c r="G1058" t="s">
        <v>55</v>
      </c>
      <c r="H1058">
        <v>543.78023238328944</v>
      </c>
      <c r="I1058">
        <v>25184.978559760264</v>
      </c>
      <c r="J1058">
        <v>0</v>
      </c>
      <c r="K1058">
        <v>25184.978559760264</v>
      </c>
    </row>
    <row r="1059" spans="1:11" x14ac:dyDescent="0.25">
      <c r="A1059" t="s">
        <v>130</v>
      </c>
      <c r="B1059" t="s">
        <v>28</v>
      </c>
      <c r="C1059" t="s">
        <v>54</v>
      </c>
      <c r="D1059">
        <v>2019</v>
      </c>
      <c r="E1059" t="s">
        <v>121</v>
      </c>
      <c r="F1059" t="s">
        <v>108</v>
      </c>
      <c r="G1059" t="s">
        <v>54</v>
      </c>
      <c r="H1059">
        <v>18621.539490936779</v>
      </c>
      <c r="I1059">
        <v>687941.11987552466</v>
      </c>
      <c r="J1059">
        <v>0</v>
      </c>
      <c r="K1059">
        <v>687941.11987552466</v>
      </c>
    </row>
    <row r="1060" spans="1:11" x14ac:dyDescent="0.25">
      <c r="A1060" t="s">
        <v>130</v>
      </c>
      <c r="B1060" t="s">
        <v>28</v>
      </c>
      <c r="C1060" t="s">
        <v>41</v>
      </c>
      <c r="D1060">
        <v>2019</v>
      </c>
      <c r="E1060" t="s">
        <v>121</v>
      </c>
      <c r="F1060" t="s">
        <v>108</v>
      </c>
      <c r="G1060" t="s">
        <v>41</v>
      </c>
      <c r="H1060">
        <v>342.17593181200988</v>
      </c>
      <c r="I1060">
        <v>1655.8919868178593</v>
      </c>
      <c r="J1060">
        <v>0</v>
      </c>
      <c r="K1060">
        <v>1655.8919868178593</v>
      </c>
    </row>
    <row r="1061" spans="1:11" x14ac:dyDescent="0.25">
      <c r="A1061" t="s">
        <v>130</v>
      </c>
      <c r="B1061" t="s">
        <v>28</v>
      </c>
      <c r="C1061" t="s">
        <v>80</v>
      </c>
      <c r="D1061">
        <v>2019</v>
      </c>
      <c r="E1061" t="s">
        <v>121</v>
      </c>
      <c r="F1061" t="s">
        <v>108</v>
      </c>
      <c r="G1061" t="s">
        <v>80</v>
      </c>
      <c r="H1061">
        <v>6051.6897892885954</v>
      </c>
      <c r="I1061">
        <v>102780.0100417052</v>
      </c>
      <c r="J1061">
        <v>0</v>
      </c>
      <c r="K1061">
        <v>102780.0100417052</v>
      </c>
    </row>
    <row r="1062" spans="1:11" x14ac:dyDescent="0.25">
      <c r="A1062" t="s">
        <v>130</v>
      </c>
      <c r="B1062" t="s">
        <v>28</v>
      </c>
      <c r="C1062" t="s">
        <v>75</v>
      </c>
      <c r="D1062">
        <v>2019</v>
      </c>
      <c r="E1062" t="s">
        <v>121</v>
      </c>
      <c r="F1062" t="s">
        <v>108</v>
      </c>
      <c r="G1062" t="s">
        <v>52</v>
      </c>
      <c r="H1062">
        <v>6365.8454264012817</v>
      </c>
      <c r="I1062">
        <v>51847.586981155291</v>
      </c>
      <c r="J1062">
        <v>8613.4090077190758</v>
      </c>
      <c r="K1062">
        <v>8613.4090077190758</v>
      </c>
    </row>
    <row r="1063" spans="1:11" x14ac:dyDescent="0.25">
      <c r="A1063" t="s">
        <v>130</v>
      </c>
      <c r="B1063" t="s">
        <v>28</v>
      </c>
      <c r="C1063" t="s">
        <v>78</v>
      </c>
      <c r="D1063">
        <v>2019</v>
      </c>
      <c r="E1063" t="s">
        <v>121</v>
      </c>
      <c r="F1063" t="s">
        <v>108</v>
      </c>
      <c r="G1063" t="s">
        <v>78</v>
      </c>
      <c r="H1063">
        <v>1716.1984559275936</v>
      </c>
      <c r="I1063">
        <v>48911.655993936416</v>
      </c>
      <c r="J1063">
        <v>0</v>
      </c>
      <c r="K1063">
        <v>48911.655993936416</v>
      </c>
    </row>
    <row r="1064" spans="1:11" x14ac:dyDescent="0.25">
      <c r="A1064" t="s">
        <v>130</v>
      </c>
      <c r="B1064" t="s">
        <v>28</v>
      </c>
      <c r="C1064" t="s">
        <v>65</v>
      </c>
      <c r="D1064">
        <v>2019</v>
      </c>
      <c r="E1064" t="s">
        <v>121</v>
      </c>
      <c r="F1064" t="s">
        <v>108</v>
      </c>
      <c r="G1064" t="s">
        <v>65</v>
      </c>
      <c r="H1064">
        <v>631.27285609954106</v>
      </c>
      <c r="I1064">
        <v>8776.2323896765465</v>
      </c>
      <c r="J1064">
        <v>0</v>
      </c>
      <c r="K1064">
        <v>8776.2323896765465</v>
      </c>
    </row>
    <row r="1065" spans="1:11" x14ac:dyDescent="0.25">
      <c r="A1065" t="s">
        <v>130</v>
      </c>
      <c r="B1065" t="s">
        <v>28</v>
      </c>
      <c r="C1065" t="s">
        <v>120</v>
      </c>
      <c r="D1065">
        <v>2019</v>
      </c>
      <c r="E1065" t="s">
        <v>121</v>
      </c>
      <c r="F1065" t="s">
        <v>108</v>
      </c>
      <c r="G1065" t="s">
        <v>53</v>
      </c>
      <c r="H1065">
        <v>15215.905414073572</v>
      </c>
      <c r="I1065">
        <v>209827.33566007458</v>
      </c>
      <c r="J1065">
        <v>0</v>
      </c>
      <c r="K1065">
        <v>209827.33566007458</v>
      </c>
    </row>
    <row r="1066" spans="1:11" x14ac:dyDescent="0.25">
      <c r="A1066" t="s">
        <v>130</v>
      </c>
      <c r="B1066" t="s">
        <v>28</v>
      </c>
      <c r="C1066" t="s">
        <v>29</v>
      </c>
      <c r="D1066">
        <v>2030</v>
      </c>
      <c r="E1066" t="s">
        <v>121</v>
      </c>
      <c r="F1066" t="s">
        <v>108</v>
      </c>
      <c r="G1066" t="s">
        <v>52</v>
      </c>
      <c r="H1066">
        <v>128562.19709369613</v>
      </c>
      <c r="I1066">
        <v>603818.07108996273</v>
      </c>
      <c r="J1066">
        <v>195938.96406869288</v>
      </c>
      <c r="K1066">
        <v>195938.96406869288</v>
      </c>
    </row>
    <row r="1067" spans="1:11" x14ac:dyDescent="0.25">
      <c r="A1067" t="s">
        <v>130</v>
      </c>
      <c r="B1067" t="s">
        <v>28</v>
      </c>
      <c r="C1067" t="s">
        <v>34</v>
      </c>
      <c r="D1067">
        <v>2030</v>
      </c>
      <c r="E1067" t="s">
        <v>121</v>
      </c>
      <c r="F1067" t="s">
        <v>108</v>
      </c>
      <c r="G1067" t="s">
        <v>52</v>
      </c>
      <c r="H1067">
        <v>8882.5570071232869</v>
      </c>
      <c r="I1067">
        <v>19543.401927072653</v>
      </c>
      <c r="J1067">
        <v>5768.2907724079287</v>
      </c>
      <c r="K1067">
        <v>5768.2907724079287</v>
      </c>
    </row>
    <row r="1068" spans="1:11" x14ac:dyDescent="0.25">
      <c r="A1068" t="s">
        <v>130</v>
      </c>
      <c r="B1068" t="s">
        <v>28</v>
      </c>
      <c r="C1068" t="s">
        <v>72</v>
      </c>
      <c r="D1068">
        <v>2030</v>
      </c>
      <c r="E1068" t="s">
        <v>121</v>
      </c>
      <c r="F1068" t="s">
        <v>108</v>
      </c>
      <c r="G1068" t="s">
        <v>52</v>
      </c>
      <c r="H1068">
        <v>14937.273356160618</v>
      </c>
      <c r="I1068">
        <v>36148.201521908697</v>
      </c>
      <c r="J1068">
        <v>19194.69500813352</v>
      </c>
      <c r="K1068">
        <v>19194.69500813352</v>
      </c>
    </row>
    <row r="1069" spans="1:11" x14ac:dyDescent="0.25">
      <c r="A1069" t="s">
        <v>130</v>
      </c>
      <c r="B1069" t="s">
        <v>28</v>
      </c>
      <c r="C1069" t="s">
        <v>53</v>
      </c>
      <c r="D1069">
        <v>2030</v>
      </c>
      <c r="E1069" t="s">
        <v>121</v>
      </c>
      <c r="F1069" t="s">
        <v>108</v>
      </c>
      <c r="G1069" t="s">
        <v>53</v>
      </c>
      <c r="H1069">
        <v>28480.682289936361</v>
      </c>
      <c r="I1069">
        <v>1102304.9350767811</v>
      </c>
      <c r="J1069">
        <v>0</v>
      </c>
      <c r="K1069">
        <v>1102304.9350767811</v>
      </c>
    </row>
    <row r="1070" spans="1:11" x14ac:dyDescent="0.25">
      <c r="A1070" t="s">
        <v>130</v>
      </c>
      <c r="B1070" t="s">
        <v>28</v>
      </c>
      <c r="C1070" t="s">
        <v>30</v>
      </c>
      <c r="D1070">
        <v>2030</v>
      </c>
      <c r="E1070" t="s">
        <v>121</v>
      </c>
      <c r="F1070" t="s">
        <v>108</v>
      </c>
      <c r="G1070" t="s">
        <v>30</v>
      </c>
      <c r="H1070">
        <v>1102.1376328065699</v>
      </c>
      <c r="I1070">
        <v>13035.532852019704</v>
      </c>
      <c r="J1070">
        <v>0</v>
      </c>
      <c r="K1070">
        <v>13035.532852019704</v>
      </c>
    </row>
    <row r="1071" spans="1:11" x14ac:dyDescent="0.25">
      <c r="A1071" t="s">
        <v>130</v>
      </c>
      <c r="B1071" t="s">
        <v>28</v>
      </c>
      <c r="C1071" t="s">
        <v>31</v>
      </c>
      <c r="D1071">
        <v>2030</v>
      </c>
      <c r="E1071" t="s">
        <v>121</v>
      </c>
      <c r="F1071" t="s">
        <v>108</v>
      </c>
      <c r="G1071" t="s">
        <v>31</v>
      </c>
      <c r="H1071">
        <v>6565.5738124240625</v>
      </c>
      <c r="I1071">
        <v>158942.12045305254</v>
      </c>
      <c r="J1071">
        <v>0</v>
      </c>
      <c r="K1071">
        <v>158942.12045305254</v>
      </c>
    </row>
    <row r="1072" spans="1:11" x14ac:dyDescent="0.25">
      <c r="A1072" t="s">
        <v>130</v>
      </c>
      <c r="B1072" t="s">
        <v>28</v>
      </c>
      <c r="C1072" t="s">
        <v>55</v>
      </c>
      <c r="D1072">
        <v>2030</v>
      </c>
      <c r="E1072" t="s">
        <v>121</v>
      </c>
      <c r="F1072" t="s">
        <v>108</v>
      </c>
      <c r="G1072" t="s">
        <v>55</v>
      </c>
      <c r="H1072">
        <v>640.93685114814969</v>
      </c>
      <c r="I1072">
        <v>29684.751105385072</v>
      </c>
      <c r="J1072">
        <v>0</v>
      </c>
      <c r="K1072">
        <v>29684.751105385072</v>
      </c>
    </row>
    <row r="1073" spans="1:11" x14ac:dyDescent="0.25">
      <c r="A1073" t="s">
        <v>130</v>
      </c>
      <c r="B1073" t="s">
        <v>28</v>
      </c>
      <c r="C1073" t="s">
        <v>54</v>
      </c>
      <c r="D1073">
        <v>2030</v>
      </c>
      <c r="E1073" t="s">
        <v>121</v>
      </c>
      <c r="F1073" t="s">
        <v>108</v>
      </c>
      <c r="G1073" t="s">
        <v>54</v>
      </c>
      <c r="H1073">
        <v>21948.629564083272</v>
      </c>
      <c r="I1073">
        <v>810854.80657479749</v>
      </c>
      <c r="J1073">
        <v>0</v>
      </c>
      <c r="K1073">
        <v>810854.80657479749</v>
      </c>
    </row>
    <row r="1074" spans="1:11" x14ac:dyDescent="0.25">
      <c r="A1074" t="s">
        <v>130</v>
      </c>
      <c r="B1074" t="s">
        <v>28</v>
      </c>
      <c r="C1074" t="s">
        <v>41</v>
      </c>
      <c r="D1074">
        <v>2030</v>
      </c>
      <c r="E1074" t="s">
        <v>121</v>
      </c>
      <c r="F1074" t="s">
        <v>108</v>
      </c>
      <c r="G1074" t="s">
        <v>41</v>
      </c>
      <c r="H1074">
        <v>403.3121309192577</v>
      </c>
      <c r="I1074">
        <v>1951.7483951575637</v>
      </c>
      <c r="J1074">
        <v>0</v>
      </c>
      <c r="K1074">
        <v>1951.7483951575637</v>
      </c>
    </row>
    <row r="1075" spans="1:11" x14ac:dyDescent="0.25">
      <c r="A1075" t="s">
        <v>130</v>
      </c>
      <c r="B1075" t="s">
        <v>28</v>
      </c>
      <c r="C1075" t="s">
        <v>80</v>
      </c>
      <c r="D1075">
        <v>2030</v>
      </c>
      <c r="E1075" t="s">
        <v>121</v>
      </c>
      <c r="F1075" t="s">
        <v>108</v>
      </c>
      <c r="G1075" t="s">
        <v>80</v>
      </c>
      <c r="H1075">
        <v>7132.9385782785548</v>
      </c>
      <c r="I1075">
        <v>121143.60190767782</v>
      </c>
      <c r="J1075">
        <v>0</v>
      </c>
      <c r="K1075">
        <v>121143.60190767782</v>
      </c>
    </row>
    <row r="1076" spans="1:11" x14ac:dyDescent="0.25">
      <c r="A1076" t="s">
        <v>130</v>
      </c>
      <c r="B1076" t="s">
        <v>28</v>
      </c>
      <c r="C1076" t="s">
        <v>75</v>
      </c>
      <c r="D1076">
        <v>2030</v>
      </c>
      <c r="E1076" t="s">
        <v>121</v>
      </c>
      <c r="F1076" t="s">
        <v>108</v>
      </c>
      <c r="G1076" t="s">
        <v>52</v>
      </c>
      <c r="H1076">
        <v>7503.2240591224381</v>
      </c>
      <c r="I1076">
        <v>61111.138582007545</v>
      </c>
      <c r="J1076">
        <v>10093.337004331503</v>
      </c>
      <c r="K1076">
        <v>10093.337004331503</v>
      </c>
    </row>
    <row r="1077" spans="1:11" x14ac:dyDescent="0.25">
      <c r="A1077" t="s">
        <v>130</v>
      </c>
      <c r="B1077" t="s">
        <v>28</v>
      </c>
      <c r="C1077" t="s">
        <v>78</v>
      </c>
      <c r="D1077">
        <v>2030</v>
      </c>
      <c r="E1077" t="s">
        <v>121</v>
      </c>
      <c r="F1077" t="s">
        <v>108</v>
      </c>
      <c r="G1077" t="s">
        <v>78</v>
      </c>
      <c r="H1077">
        <v>2022.8297550768989</v>
      </c>
      <c r="I1077">
        <v>57650.648019691616</v>
      </c>
      <c r="J1077">
        <v>0</v>
      </c>
      <c r="K1077">
        <v>57650.648019691616</v>
      </c>
    </row>
    <row r="1078" spans="1:11" x14ac:dyDescent="0.25">
      <c r="A1078" t="s">
        <v>130</v>
      </c>
      <c r="B1078" t="s">
        <v>28</v>
      </c>
      <c r="C1078" t="s">
        <v>65</v>
      </c>
      <c r="D1078">
        <v>2030</v>
      </c>
      <c r="E1078" t="s">
        <v>121</v>
      </c>
      <c r="F1078" t="s">
        <v>108</v>
      </c>
      <c r="G1078" t="s">
        <v>65</v>
      </c>
      <c r="H1078">
        <v>744.06168615292358</v>
      </c>
      <c r="I1078">
        <v>10344.272222126012</v>
      </c>
      <c r="J1078">
        <v>0</v>
      </c>
      <c r="K1078">
        <v>10344.272222126012</v>
      </c>
    </row>
    <row r="1079" spans="1:11" x14ac:dyDescent="0.25">
      <c r="A1079" t="s">
        <v>130</v>
      </c>
      <c r="B1079" t="s">
        <v>28</v>
      </c>
      <c r="C1079" t="s">
        <v>120</v>
      </c>
      <c r="D1079">
        <v>2030</v>
      </c>
      <c r="E1079" t="s">
        <v>121</v>
      </c>
      <c r="F1079" t="s">
        <v>108</v>
      </c>
      <c r="G1079" t="s">
        <v>53</v>
      </c>
      <c r="H1079">
        <v>17934.514575348316</v>
      </c>
      <c r="I1079">
        <v>247316.95599405328</v>
      </c>
      <c r="J1079">
        <v>0</v>
      </c>
      <c r="K1079">
        <v>247316.95599405328</v>
      </c>
    </row>
    <row r="1080" spans="1:11" x14ac:dyDescent="0.25">
      <c r="A1080" t="s">
        <v>130</v>
      </c>
      <c r="B1080" t="s">
        <v>28</v>
      </c>
      <c r="C1080" t="s">
        <v>29</v>
      </c>
      <c r="D1080">
        <v>2050</v>
      </c>
      <c r="E1080" t="s">
        <v>121</v>
      </c>
      <c r="F1080" t="s">
        <v>108</v>
      </c>
      <c r="G1080" t="s">
        <v>52</v>
      </c>
      <c r="H1080">
        <v>163528.40889517844</v>
      </c>
      <c r="I1080">
        <v>768043.87805798464</v>
      </c>
      <c r="J1080">
        <v>249230.23842981603</v>
      </c>
      <c r="K1080">
        <v>249230.23842981603</v>
      </c>
    </row>
    <row r="1081" spans="1:11" x14ac:dyDescent="0.25">
      <c r="A1081" t="s">
        <v>130</v>
      </c>
      <c r="B1081" t="s">
        <v>28</v>
      </c>
      <c r="C1081" t="s">
        <v>34</v>
      </c>
      <c r="D1081">
        <v>2050</v>
      </c>
      <c r="E1081" t="s">
        <v>121</v>
      </c>
      <c r="F1081" t="s">
        <v>108</v>
      </c>
      <c r="G1081" t="s">
        <v>52</v>
      </c>
      <c r="H1081">
        <v>11298.425564685787</v>
      </c>
      <c r="I1081">
        <v>24858.79592742167</v>
      </c>
      <c r="J1081">
        <v>7337.1444591067957</v>
      </c>
      <c r="K1081">
        <v>7337.1444591067957</v>
      </c>
    </row>
    <row r="1082" spans="1:11" x14ac:dyDescent="0.25">
      <c r="A1082" t="s">
        <v>130</v>
      </c>
      <c r="B1082" t="s">
        <v>28</v>
      </c>
      <c r="C1082" t="s">
        <v>72</v>
      </c>
      <c r="D1082">
        <v>2050</v>
      </c>
      <c r="E1082" t="s">
        <v>121</v>
      </c>
      <c r="F1082" t="s">
        <v>108</v>
      </c>
      <c r="G1082" t="s">
        <v>52</v>
      </c>
      <c r="H1082">
        <v>18999.897328956435</v>
      </c>
      <c r="I1082">
        <v>45979.751536074575</v>
      </c>
      <c r="J1082">
        <v>24415.2480656556</v>
      </c>
      <c r="K1082">
        <v>24415.2480656556</v>
      </c>
    </row>
    <row r="1083" spans="1:11" x14ac:dyDescent="0.25">
      <c r="A1083" t="s">
        <v>130</v>
      </c>
      <c r="B1083" t="s">
        <v>28</v>
      </c>
      <c r="C1083" t="s">
        <v>53</v>
      </c>
      <c r="D1083">
        <v>2050</v>
      </c>
      <c r="E1083" t="s">
        <v>121</v>
      </c>
      <c r="F1083" t="s">
        <v>108</v>
      </c>
      <c r="G1083" t="s">
        <v>53</v>
      </c>
      <c r="H1083">
        <v>36226.828448864071</v>
      </c>
      <c r="I1083">
        <v>1402108.6775534553</v>
      </c>
      <c r="J1083">
        <v>0</v>
      </c>
      <c r="K1083">
        <v>1402108.6775534553</v>
      </c>
    </row>
    <row r="1084" spans="1:11" x14ac:dyDescent="0.25">
      <c r="A1084" t="s">
        <v>130</v>
      </c>
      <c r="B1084" t="s">
        <v>28</v>
      </c>
      <c r="C1084" t="s">
        <v>30</v>
      </c>
      <c r="D1084">
        <v>2050</v>
      </c>
      <c r="E1084" t="s">
        <v>121</v>
      </c>
      <c r="F1084" t="s">
        <v>108</v>
      </c>
      <c r="G1084" t="s">
        <v>30</v>
      </c>
      <c r="H1084">
        <v>1401.8958725869049</v>
      </c>
      <c r="I1084">
        <v>16580.923433021617</v>
      </c>
      <c r="J1084">
        <v>0</v>
      </c>
      <c r="K1084">
        <v>16580.923433021617</v>
      </c>
    </row>
    <row r="1085" spans="1:11" x14ac:dyDescent="0.25">
      <c r="A1085" t="s">
        <v>130</v>
      </c>
      <c r="B1085" t="s">
        <v>28</v>
      </c>
      <c r="C1085" t="s">
        <v>31</v>
      </c>
      <c r="D1085">
        <v>2050</v>
      </c>
      <c r="E1085" t="s">
        <v>121</v>
      </c>
      <c r="F1085" t="s">
        <v>108</v>
      </c>
      <c r="G1085" t="s">
        <v>31</v>
      </c>
      <c r="H1085">
        <v>8351.2717058427061</v>
      </c>
      <c r="I1085">
        <v>202171.03201161724</v>
      </c>
      <c r="J1085">
        <v>0</v>
      </c>
      <c r="K1085">
        <v>202171.03201161724</v>
      </c>
    </row>
    <row r="1086" spans="1:11" x14ac:dyDescent="0.25">
      <c r="A1086" t="s">
        <v>130</v>
      </c>
      <c r="B1086" t="s">
        <v>28</v>
      </c>
      <c r="C1086" t="s">
        <v>55</v>
      </c>
      <c r="D1086">
        <v>2050</v>
      </c>
      <c r="E1086" t="s">
        <v>121</v>
      </c>
      <c r="F1086" t="s">
        <v>108</v>
      </c>
      <c r="G1086" t="s">
        <v>55</v>
      </c>
      <c r="H1086">
        <v>815.25818506474513</v>
      </c>
      <c r="I1086">
        <v>37758.378640458337</v>
      </c>
      <c r="J1086">
        <v>0</v>
      </c>
      <c r="K1086">
        <v>37758.378640458337</v>
      </c>
    </row>
    <row r="1087" spans="1:11" x14ac:dyDescent="0.25">
      <c r="A1087" t="s">
        <v>130</v>
      </c>
      <c r="B1087" t="s">
        <v>28</v>
      </c>
      <c r="C1087" t="s">
        <v>54</v>
      </c>
      <c r="D1087">
        <v>2050</v>
      </c>
      <c r="E1087" t="s">
        <v>121</v>
      </c>
      <c r="F1087" t="s">
        <v>108</v>
      </c>
      <c r="G1087" t="s">
        <v>54</v>
      </c>
      <c r="H1087">
        <v>27918.194859631913</v>
      </c>
      <c r="I1087">
        <v>1031390.2481578398</v>
      </c>
      <c r="J1087">
        <v>0</v>
      </c>
      <c r="K1087">
        <v>1031390.2481578398</v>
      </c>
    </row>
    <row r="1088" spans="1:11" x14ac:dyDescent="0.25">
      <c r="A1088" t="s">
        <v>130</v>
      </c>
      <c r="B1088" t="s">
        <v>28</v>
      </c>
      <c r="C1088" t="s">
        <v>41</v>
      </c>
      <c r="D1088">
        <v>2050</v>
      </c>
      <c r="E1088" t="s">
        <v>121</v>
      </c>
      <c r="F1088" t="s">
        <v>108</v>
      </c>
      <c r="G1088" t="s">
        <v>41</v>
      </c>
      <c r="H1088">
        <v>513.00454214611455</v>
      </c>
      <c r="I1088">
        <v>2482.5828808076922</v>
      </c>
      <c r="J1088">
        <v>0</v>
      </c>
      <c r="K1088">
        <v>2482.5828808076922</v>
      </c>
    </row>
    <row r="1089" spans="1:11" x14ac:dyDescent="0.25">
      <c r="A1089" t="s">
        <v>130</v>
      </c>
      <c r="B1089" t="s">
        <v>28</v>
      </c>
      <c r="C1089" t="s">
        <v>80</v>
      </c>
      <c r="D1089">
        <v>2050</v>
      </c>
      <c r="E1089" t="s">
        <v>121</v>
      </c>
      <c r="F1089" t="s">
        <v>108</v>
      </c>
      <c r="G1089" t="s">
        <v>80</v>
      </c>
      <c r="H1089">
        <v>9072.9477468623863</v>
      </c>
      <c r="I1089">
        <v>154092.11195539558</v>
      </c>
      <c r="J1089">
        <v>0</v>
      </c>
      <c r="K1089">
        <v>154092.11195539558</v>
      </c>
    </row>
    <row r="1090" spans="1:11" x14ac:dyDescent="0.25">
      <c r="A1090" t="s">
        <v>130</v>
      </c>
      <c r="B1090" t="s">
        <v>28</v>
      </c>
      <c r="C1090" t="s">
        <v>75</v>
      </c>
      <c r="D1090">
        <v>2050</v>
      </c>
      <c r="E1090" t="s">
        <v>121</v>
      </c>
      <c r="F1090" t="s">
        <v>108</v>
      </c>
      <c r="G1090" t="s">
        <v>52</v>
      </c>
      <c r="H1090">
        <v>9543.9430852141104</v>
      </c>
      <c r="I1090">
        <v>77732.082089459407</v>
      </c>
      <c r="J1090">
        <v>12838.51223823002</v>
      </c>
      <c r="K1090">
        <v>12838.51223823002</v>
      </c>
    </row>
    <row r="1091" spans="1:11" x14ac:dyDescent="0.25">
      <c r="A1091" t="s">
        <v>130</v>
      </c>
      <c r="B1091" t="s">
        <v>28</v>
      </c>
      <c r="C1091" t="s">
        <v>78</v>
      </c>
      <c r="D1091">
        <v>2050</v>
      </c>
      <c r="E1091" t="s">
        <v>121</v>
      </c>
      <c r="F1091" t="s">
        <v>108</v>
      </c>
      <c r="G1091" t="s">
        <v>78</v>
      </c>
      <c r="H1091">
        <v>2572.9968745981287</v>
      </c>
      <c r="I1091">
        <v>73330.410926046665</v>
      </c>
      <c r="J1091">
        <v>0</v>
      </c>
      <c r="K1091">
        <v>73330.410926046665</v>
      </c>
    </row>
    <row r="1092" spans="1:11" x14ac:dyDescent="0.25">
      <c r="A1092" t="s">
        <v>130</v>
      </c>
      <c r="B1092" t="s">
        <v>28</v>
      </c>
      <c r="C1092" t="s">
        <v>65</v>
      </c>
      <c r="D1092">
        <v>2050</v>
      </c>
      <c r="E1092" t="s">
        <v>121</v>
      </c>
      <c r="F1092" t="s">
        <v>108</v>
      </c>
      <c r="G1092" t="s">
        <v>65</v>
      </c>
      <c r="H1092">
        <v>946.43080475494912</v>
      </c>
      <c r="I1092">
        <v>13157.696553910268</v>
      </c>
      <c r="J1092">
        <v>0</v>
      </c>
      <c r="K1092">
        <v>13157.696553910268</v>
      </c>
    </row>
    <row r="1093" spans="1:11" x14ac:dyDescent="0.25">
      <c r="A1093" t="s">
        <v>130</v>
      </c>
      <c r="B1093" t="s">
        <v>28</v>
      </c>
      <c r="C1093" t="s">
        <v>120</v>
      </c>
      <c r="D1093">
        <v>2050</v>
      </c>
      <c r="E1093" t="s">
        <v>121</v>
      </c>
      <c r="F1093" t="s">
        <v>108</v>
      </c>
      <c r="G1093" t="s">
        <v>53</v>
      </c>
      <c r="H1093">
        <v>22812.325077772828</v>
      </c>
      <c r="I1093">
        <v>314581.96282248734</v>
      </c>
      <c r="J1093">
        <v>0</v>
      </c>
      <c r="K1093">
        <v>314581.96282248734</v>
      </c>
    </row>
    <row r="1094" spans="1:11" x14ac:dyDescent="0.25">
      <c r="A1094" t="s">
        <v>130</v>
      </c>
      <c r="B1094" t="s">
        <v>28</v>
      </c>
      <c r="C1094" t="s">
        <v>29</v>
      </c>
      <c r="D1094">
        <v>2019</v>
      </c>
      <c r="E1094" t="s">
        <v>119</v>
      </c>
      <c r="F1094" t="s">
        <v>109</v>
      </c>
      <c r="G1094" t="s">
        <v>52</v>
      </c>
      <c r="H1094">
        <v>23536.994348302134</v>
      </c>
      <c r="I1094">
        <v>197993.19645791754</v>
      </c>
      <c r="J1094">
        <v>64624.484340873154</v>
      </c>
      <c r="K1094">
        <v>64624.484340873154</v>
      </c>
    </row>
    <row r="1095" spans="1:11" x14ac:dyDescent="0.25">
      <c r="A1095" t="s">
        <v>130</v>
      </c>
      <c r="B1095" t="s">
        <v>28</v>
      </c>
      <c r="C1095" t="s">
        <v>34</v>
      </c>
      <c r="D1095">
        <v>2019</v>
      </c>
      <c r="E1095" t="s">
        <v>119</v>
      </c>
      <c r="F1095" t="s">
        <v>109</v>
      </c>
      <c r="G1095" t="s">
        <v>52</v>
      </c>
      <c r="H1095">
        <v>2017.6900814622547</v>
      </c>
      <c r="I1095">
        <v>9345.9404573331649</v>
      </c>
      <c r="J1095">
        <v>2774.6110600167958</v>
      </c>
      <c r="K1095">
        <v>2774.6110600167958</v>
      </c>
    </row>
    <row r="1096" spans="1:11" x14ac:dyDescent="0.25">
      <c r="A1096" t="s">
        <v>130</v>
      </c>
      <c r="B1096" t="s">
        <v>28</v>
      </c>
      <c r="C1096" t="s">
        <v>72</v>
      </c>
      <c r="D1096">
        <v>2019</v>
      </c>
      <c r="E1096" t="s">
        <v>119</v>
      </c>
      <c r="F1096" t="s">
        <v>109</v>
      </c>
      <c r="G1096" t="s">
        <v>52</v>
      </c>
      <c r="H1096">
        <v>2160.5082355894242</v>
      </c>
      <c r="I1096">
        <v>11407.483483912161</v>
      </c>
      <c r="J1096">
        <v>6092.7939661749042</v>
      </c>
      <c r="K1096">
        <v>6092.7939661749042</v>
      </c>
    </row>
    <row r="1097" spans="1:11" x14ac:dyDescent="0.25">
      <c r="A1097" t="s">
        <v>130</v>
      </c>
      <c r="B1097" t="s">
        <v>28</v>
      </c>
      <c r="C1097" t="s">
        <v>53</v>
      </c>
      <c r="D1097">
        <v>2019</v>
      </c>
      <c r="E1097" t="s">
        <v>119</v>
      </c>
      <c r="F1097" t="s">
        <v>109</v>
      </c>
      <c r="G1097" t="s">
        <v>53</v>
      </c>
      <c r="H1097">
        <v>19937.932611161701</v>
      </c>
      <c r="I1097">
        <v>1187184.2593990124</v>
      </c>
      <c r="J1097">
        <v>0</v>
      </c>
      <c r="K1097">
        <v>1187184.2593990124</v>
      </c>
    </row>
    <row r="1098" spans="1:11" x14ac:dyDescent="0.25">
      <c r="A1098" t="s">
        <v>130</v>
      </c>
      <c r="B1098" t="s">
        <v>28</v>
      </c>
      <c r="C1098" t="s">
        <v>30</v>
      </c>
      <c r="D1098">
        <v>2019</v>
      </c>
      <c r="E1098" t="s">
        <v>119</v>
      </c>
      <c r="F1098" t="s">
        <v>109</v>
      </c>
      <c r="G1098" t="s">
        <v>30</v>
      </c>
      <c r="H1098">
        <v>93.250460767730289</v>
      </c>
      <c r="I1098">
        <v>2321.9364731164837</v>
      </c>
      <c r="J1098">
        <v>0</v>
      </c>
      <c r="K1098">
        <v>2321.9364731164837</v>
      </c>
    </row>
    <row r="1099" spans="1:11" x14ac:dyDescent="0.25">
      <c r="A1099" t="s">
        <v>130</v>
      </c>
      <c r="B1099" t="s">
        <v>28</v>
      </c>
      <c r="C1099" t="s">
        <v>31</v>
      </c>
      <c r="D1099">
        <v>2019</v>
      </c>
      <c r="E1099" t="s">
        <v>119</v>
      </c>
      <c r="F1099" t="s">
        <v>109</v>
      </c>
      <c r="G1099" t="s">
        <v>31</v>
      </c>
      <c r="H1099">
        <v>1472.183079133998</v>
      </c>
      <c r="I1099">
        <v>75029.927467991118</v>
      </c>
      <c r="J1099">
        <v>0</v>
      </c>
      <c r="K1099">
        <v>75029.927467991118</v>
      </c>
    </row>
    <row r="1100" spans="1:11" x14ac:dyDescent="0.25">
      <c r="A1100" t="s">
        <v>130</v>
      </c>
      <c r="B1100" t="s">
        <v>28</v>
      </c>
      <c r="C1100" t="s">
        <v>55</v>
      </c>
      <c r="D1100">
        <v>2019</v>
      </c>
      <c r="E1100" t="s">
        <v>119</v>
      </c>
      <c r="F1100" t="s">
        <v>109</v>
      </c>
      <c r="G1100" t="s">
        <v>55</v>
      </c>
      <c r="H1100">
        <v>38.623193326213141</v>
      </c>
      <c r="I1100">
        <v>3765.9342889773907</v>
      </c>
      <c r="J1100">
        <v>0</v>
      </c>
      <c r="K1100">
        <v>3765.9342889773907</v>
      </c>
    </row>
    <row r="1101" spans="1:11" x14ac:dyDescent="0.25">
      <c r="A1101" t="s">
        <v>130</v>
      </c>
      <c r="B1101" t="s">
        <v>28</v>
      </c>
      <c r="C1101" t="s">
        <v>54</v>
      </c>
      <c r="D1101">
        <v>2019</v>
      </c>
      <c r="E1101" t="s">
        <v>119</v>
      </c>
      <c r="F1101" t="s">
        <v>109</v>
      </c>
      <c r="G1101" t="s">
        <v>54</v>
      </c>
      <c r="H1101">
        <v>4985.6738479275327</v>
      </c>
      <c r="I1101">
        <v>266294.8115655054</v>
      </c>
      <c r="J1101">
        <v>0</v>
      </c>
      <c r="K1101">
        <v>266294.8115655054</v>
      </c>
    </row>
    <row r="1102" spans="1:11" x14ac:dyDescent="0.25">
      <c r="A1102" t="s">
        <v>130</v>
      </c>
      <c r="B1102" t="s">
        <v>28</v>
      </c>
      <c r="C1102" t="s">
        <v>41</v>
      </c>
      <c r="D1102">
        <v>2019</v>
      </c>
      <c r="E1102" t="s">
        <v>119</v>
      </c>
      <c r="F1102" t="s">
        <v>109</v>
      </c>
      <c r="G1102" t="s">
        <v>41</v>
      </c>
      <c r="H1102">
        <v>84.935239958799571</v>
      </c>
      <c r="I1102">
        <v>865.32022470025004</v>
      </c>
      <c r="J1102">
        <v>0</v>
      </c>
      <c r="K1102">
        <v>865.32022470025004</v>
      </c>
    </row>
    <row r="1103" spans="1:11" x14ac:dyDescent="0.25">
      <c r="A1103" t="s">
        <v>130</v>
      </c>
      <c r="B1103" t="s">
        <v>28</v>
      </c>
      <c r="C1103" t="s">
        <v>80</v>
      </c>
      <c r="D1103">
        <v>2019</v>
      </c>
      <c r="E1103" t="s">
        <v>119</v>
      </c>
      <c r="F1103" t="s">
        <v>109</v>
      </c>
      <c r="G1103" t="s">
        <v>80</v>
      </c>
      <c r="H1103">
        <v>1502.156278752635</v>
      </c>
      <c r="I1103">
        <v>53709.79634661704</v>
      </c>
      <c r="J1103">
        <v>0</v>
      </c>
      <c r="K1103">
        <v>53709.79634661704</v>
      </c>
    </row>
    <row r="1104" spans="1:11" x14ac:dyDescent="0.25">
      <c r="A1104" t="s">
        <v>130</v>
      </c>
      <c r="B1104" t="s">
        <v>28</v>
      </c>
      <c r="C1104" t="s">
        <v>75</v>
      </c>
      <c r="D1104">
        <v>2019</v>
      </c>
      <c r="E1104" t="s">
        <v>119</v>
      </c>
      <c r="F1104" t="s">
        <v>109</v>
      </c>
      <c r="G1104" t="s">
        <v>52</v>
      </c>
      <c r="H1104">
        <v>3707.7646805966074</v>
      </c>
      <c r="I1104">
        <v>63575.679900016141</v>
      </c>
      <c r="J1104">
        <v>10561.790158560274</v>
      </c>
      <c r="K1104">
        <v>10561.790158560274</v>
      </c>
    </row>
    <row r="1105" spans="1:11" x14ac:dyDescent="0.25">
      <c r="A1105" t="s">
        <v>130</v>
      </c>
      <c r="B1105" t="s">
        <v>28</v>
      </c>
      <c r="C1105" t="s">
        <v>78</v>
      </c>
      <c r="D1105">
        <v>2019</v>
      </c>
      <c r="E1105" t="s">
        <v>119</v>
      </c>
      <c r="F1105" t="s">
        <v>109</v>
      </c>
      <c r="G1105" t="s">
        <v>78</v>
      </c>
      <c r="H1105">
        <v>425.99643668454917</v>
      </c>
      <c r="I1105">
        <v>25559.786201072948</v>
      </c>
      <c r="J1105">
        <v>0</v>
      </c>
      <c r="K1105">
        <v>25559.786201072948</v>
      </c>
    </row>
    <row r="1106" spans="1:11" x14ac:dyDescent="0.25">
      <c r="A1106" t="s">
        <v>130</v>
      </c>
      <c r="B1106" t="s">
        <v>28</v>
      </c>
      <c r="C1106" t="s">
        <v>65</v>
      </c>
      <c r="D1106">
        <v>2019</v>
      </c>
      <c r="E1106" t="s">
        <v>119</v>
      </c>
      <c r="F1106" t="s">
        <v>109</v>
      </c>
      <c r="G1106" t="s">
        <v>65</v>
      </c>
      <c r="H1106">
        <v>699.64323170301793</v>
      </c>
      <c r="I1106">
        <v>20477.362879112719</v>
      </c>
      <c r="J1106">
        <v>0</v>
      </c>
      <c r="K1106">
        <v>20477.362879112719</v>
      </c>
    </row>
    <row r="1107" spans="1:11" x14ac:dyDescent="0.25">
      <c r="A1107" t="s">
        <v>130</v>
      </c>
      <c r="B1107" t="s">
        <v>28</v>
      </c>
      <c r="C1107" t="s">
        <v>120</v>
      </c>
      <c r="D1107">
        <v>2019</v>
      </c>
      <c r="E1107" t="s">
        <v>119</v>
      </c>
      <c r="F1107" t="s">
        <v>109</v>
      </c>
      <c r="G1107" t="s">
        <v>53</v>
      </c>
      <c r="H1107">
        <v>19775.461430434403</v>
      </c>
      <c r="I1107">
        <v>327244.33575082856</v>
      </c>
      <c r="J1107">
        <v>0</v>
      </c>
      <c r="K1107">
        <v>327244.33575082856</v>
      </c>
    </row>
    <row r="1108" spans="1:11" x14ac:dyDescent="0.25">
      <c r="A1108" t="s">
        <v>130</v>
      </c>
      <c r="B1108" t="s">
        <v>28</v>
      </c>
      <c r="C1108" t="s">
        <v>29</v>
      </c>
      <c r="D1108">
        <v>2030</v>
      </c>
      <c r="E1108" t="s">
        <v>119</v>
      </c>
      <c r="F1108" t="s">
        <v>109</v>
      </c>
      <c r="G1108" t="s">
        <v>52</v>
      </c>
      <c r="H1108">
        <v>21249.096650527637</v>
      </c>
      <c r="I1108">
        <v>178747.40102423847</v>
      </c>
      <c r="J1108">
        <v>58003.531632365382</v>
      </c>
      <c r="K1108">
        <v>58003.531632365382</v>
      </c>
    </row>
    <row r="1109" spans="1:11" x14ac:dyDescent="0.25">
      <c r="A1109" t="s">
        <v>130</v>
      </c>
      <c r="B1109" t="s">
        <v>28</v>
      </c>
      <c r="C1109" t="s">
        <v>34</v>
      </c>
      <c r="D1109">
        <v>2030</v>
      </c>
      <c r="E1109" t="s">
        <v>119</v>
      </c>
      <c r="F1109" t="s">
        <v>109</v>
      </c>
      <c r="G1109" t="s">
        <v>52</v>
      </c>
      <c r="H1109">
        <v>1821.561874780974</v>
      </c>
      <c r="I1109">
        <v>8437.4746039854726</v>
      </c>
      <c r="J1109">
        <v>2490.3446739830588</v>
      </c>
      <c r="K1109">
        <v>2490.3446739830588</v>
      </c>
    </row>
    <row r="1110" spans="1:11" x14ac:dyDescent="0.25">
      <c r="A1110" t="s">
        <v>130</v>
      </c>
      <c r="B1110" t="s">
        <v>28</v>
      </c>
      <c r="C1110" t="s">
        <v>72</v>
      </c>
      <c r="D1110">
        <v>2030</v>
      </c>
      <c r="E1110" t="s">
        <v>119</v>
      </c>
      <c r="F1110" t="s">
        <v>109</v>
      </c>
      <c r="G1110" t="s">
        <v>52</v>
      </c>
      <c r="H1110">
        <v>1950.4974863373875</v>
      </c>
      <c r="I1110">
        <v>10298.626727861405</v>
      </c>
      <c r="J1110">
        <v>5468.5707924944063</v>
      </c>
      <c r="K1110">
        <v>5468.5707924944063</v>
      </c>
    </row>
    <row r="1111" spans="1:11" x14ac:dyDescent="0.25">
      <c r="A1111" t="s">
        <v>130</v>
      </c>
      <c r="B1111" t="s">
        <v>28</v>
      </c>
      <c r="C1111" t="s">
        <v>53</v>
      </c>
      <c r="D1111">
        <v>2030</v>
      </c>
      <c r="E1111" t="s">
        <v>119</v>
      </c>
      <c r="F1111" t="s">
        <v>109</v>
      </c>
      <c r="G1111" t="s">
        <v>53</v>
      </c>
      <c r="H1111">
        <v>17999.879287766547</v>
      </c>
      <c r="I1111">
        <v>1071784.8123107711</v>
      </c>
      <c r="J1111">
        <v>0</v>
      </c>
      <c r="K1111">
        <v>1071784.8123107711</v>
      </c>
    </row>
    <row r="1112" spans="1:11" x14ac:dyDescent="0.25">
      <c r="A1112" t="s">
        <v>130</v>
      </c>
      <c r="B1112" t="s">
        <v>28</v>
      </c>
      <c r="C1112" t="s">
        <v>30</v>
      </c>
      <c r="D1112">
        <v>2030</v>
      </c>
      <c r="E1112" t="s">
        <v>119</v>
      </c>
      <c r="F1112" t="s">
        <v>109</v>
      </c>
      <c r="G1112" t="s">
        <v>30</v>
      </c>
      <c r="H1112">
        <v>84.186112476280258</v>
      </c>
      <c r="I1112">
        <v>2096.2342006593785</v>
      </c>
      <c r="J1112">
        <v>0</v>
      </c>
      <c r="K1112">
        <v>2096.2342006593785</v>
      </c>
    </row>
    <row r="1113" spans="1:11" x14ac:dyDescent="0.25">
      <c r="A1113" t="s">
        <v>130</v>
      </c>
      <c r="B1113" t="s">
        <v>28</v>
      </c>
      <c r="C1113" t="s">
        <v>31</v>
      </c>
      <c r="D1113">
        <v>2030</v>
      </c>
      <c r="E1113" t="s">
        <v>119</v>
      </c>
      <c r="F1113" t="s">
        <v>109</v>
      </c>
      <c r="G1113" t="s">
        <v>31</v>
      </c>
      <c r="H1113">
        <v>1329.0805135468072</v>
      </c>
      <c r="I1113">
        <v>67736.693855493475</v>
      </c>
      <c r="J1113">
        <v>0</v>
      </c>
      <c r="K1113">
        <v>67736.693855493475</v>
      </c>
    </row>
    <row r="1114" spans="1:11" x14ac:dyDescent="0.25">
      <c r="A1114" t="s">
        <v>130</v>
      </c>
      <c r="B1114" t="s">
        <v>28</v>
      </c>
      <c r="C1114" t="s">
        <v>55</v>
      </c>
      <c r="D1114">
        <v>2030</v>
      </c>
      <c r="E1114" t="s">
        <v>119</v>
      </c>
      <c r="F1114" t="s">
        <v>109</v>
      </c>
      <c r="G1114" t="s">
        <v>55</v>
      </c>
      <c r="H1114">
        <v>34.868851808171492</v>
      </c>
      <c r="I1114">
        <v>3399.8691804839214</v>
      </c>
      <c r="J1114">
        <v>0</v>
      </c>
      <c r="K1114">
        <v>3399.8691804839214</v>
      </c>
    </row>
    <row r="1115" spans="1:11" x14ac:dyDescent="0.25">
      <c r="A1115" t="s">
        <v>130</v>
      </c>
      <c r="B1115" t="s">
        <v>28</v>
      </c>
      <c r="C1115" t="s">
        <v>54</v>
      </c>
      <c r="D1115">
        <v>2030</v>
      </c>
      <c r="E1115" t="s">
        <v>119</v>
      </c>
      <c r="F1115" t="s">
        <v>109</v>
      </c>
      <c r="G1115" t="s">
        <v>54</v>
      </c>
      <c r="H1115">
        <v>4501.0447763591501</v>
      </c>
      <c r="I1115">
        <v>240409.80359489494</v>
      </c>
      <c r="J1115">
        <v>0</v>
      </c>
      <c r="K1115">
        <v>240409.80359489494</v>
      </c>
    </row>
    <row r="1116" spans="1:11" x14ac:dyDescent="0.25">
      <c r="A1116" t="s">
        <v>130</v>
      </c>
      <c r="B1116" t="s">
        <v>28</v>
      </c>
      <c r="C1116" t="s">
        <v>41</v>
      </c>
      <c r="D1116">
        <v>2030</v>
      </c>
      <c r="E1116" t="s">
        <v>119</v>
      </c>
      <c r="F1116" t="s">
        <v>109</v>
      </c>
      <c r="G1116" t="s">
        <v>41</v>
      </c>
      <c r="H1116">
        <v>76.679167110837156</v>
      </c>
      <c r="I1116">
        <v>781.20735452520898</v>
      </c>
      <c r="J1116">
        <v>0</v>
      </c>
      <c r="K1116">
        <v>781.20735452520898</v>
      </c>
    </row>
    <row r="1117" spans="1:11" x14ac:dyDescent="0.25">
      <c r="A1117" t="s">
        <v>130</v>
      </c>
      <c r="B1117" t="s">
        <v>28</v>
      </c>
      <c r="C1117" t="s">
        <v>80</v>
      </c>
      <c r="D1117">
        <v>2030</v>
      </c>
      <c r="E1117" t="s">
        <v>119</v>
      </c>
      <c r="F1117" t="s">
        <v>109</v>
      </c>
      <c r="G1117" t="s">
        <v>80</v>
      </c>
      <c r="H1117">
        <v>1356.1401884652369</v>
      </c>
      <c r="I1117">
        <v>48488.971733629587</v>
      </c>
      <c r="J1117">
        <v>0</v>
      </c>
      <c r="K1117">
        <v>48488.971733629587</v>
      </c>
    </row>
    <row r="1118" spans="1:11" x14ac:dyDescent="0.25">
      <c r="A1118" t="s">
        <v>130</v>
      </c>
      <c r="B1118" t="s">
        <v>28</v>
      </c>
      <c r="C1118" t="s">
        <v>75</v>
      </c>
      <c r="D1118">
        <v>2030</v>
      </c>
      <c r="E1118" t="s">
        <v>119</v>
      </c>
      <c r="F1118" t="s">
        <v>109</v>
      </c>
      <c r="G1118" t="s">
        <v>52</v>
      </c>
      <c r="H1118">
        <v>3347.3539097439348</v>
      </c>
      <c r="I1118">
        <v>57395.848714893385</v>
      </c>
      <c r="J1118">
        <v>9479.7062723948238</v>
      </c>
      <c r="K1118">
        <v>9479.7062723948238</v>
      </c>
    </row>
    <row r="1119" spans="1:11" x14ac:dyDescent="0.25">
      <c r="A1119" t="s">
        <v>130</v>
      </c>
      <c r="B1119" t="s">
        <v>28</v>
      </c>
      <c r="C1119" t="s">
        <v>78</v>
      </c>
      <c r="D1119">
        <v>2030</v>
      </c>
      <c r="E1119" t="s">
        <v>119</v>
      </c>
      <c r="F1119" t="s">
        <v>109</v>
      </c>
      <c r="G1119" t="s">
        <v>78</v>
      </c>
      <c r="H1119">
        <v>384.58773970616767</v>
      </c>
      <c r="I1119">
        <v>23075.26438237006</v>
      </c>
      <c r="J1119">
        <v>0</v>
      </c>
      <c r="K1119">
        <v>23075.26438237006</v>
      </c>
    </row>
    <row r="1120" spans="1:11" x14ac:dyDescent="0.25">
      <c r="A1120" t="s">
        <v>130</v>
      </c>
      <c r="B1120" t="s">
        <v>28</v>
      </c>
      <c r="C1120" t="s">
        <v>65</v>
      </c>
      <c r="D1120">
        <v>2030</v>
      </c>
      <c r="E1120" t="s">
        <v>119</v>
      </c>
      <c r="F1120" t="s">
        <v>109</v>
      </c>
      <c r="G1120" t="s">
        <v>65</v>
      </c>
      <c r="H1120">
        <v>631.63488214957056</v>
      </c>
      <c r="I1120">
        <v>18486.874599499628</v>
      </c>
      <c r="J1120">
        <v>0</v>
      </c>
      <c r="K1120">
        <v>18486.874599499628</v>
      </c>
    </row>
    <row r="1121" spans="1:11" x14ac:dyDescent="0.25">
      <c r="A1121" t="s">
        <v>130</v>
      </c>
      <c r="B1121" t="s">
        <v>28</v>
      </c>
      <c r="C1121" t="s">
        <v>120</v>
      </c>
      <c r="D1121">
        <v>2030</v>
      </c>
      <c r="E1121" t="s">
        <v>119</v>
      </c>
      <c r="F1121" t="s">
        <v>109</v>
      </c>
      <c r="G1121" t="s">
        <v>53</v>
      </c>
      <c r="H1121">
        <v>17853.201008836309</v>
      </c>
      <c r="I1121">
        <v>295434.77029422327</v>
      </c>
      <c r="J1121">
        <v>0</v>
      </c>
      <c r="K1121">
        <v>295434.77029422327</v>
      </c>
    </row>
    <row r="1122" spans="1:11" x14ac:dyDescent="0.25">
      <c r="A1122" t="s">
        <v>130</v>
      </c>
      <c r="B1122" t="s">
        <v>28</v>
      </c>
      <c r="C1122" t="s">
        <v>29</v>
      </c>
      <c r="D1122">
        <v>2050</v>
      </c>
      <c r="E1122" t="s">
        <v>119</v>
      </c>
      <c r="F1122" t="s">
        <v>109</v>
      </c>
      <c r="G1122" t="s">
        <v>52</v>
      </c>
      <c r="H1122">
        <v>20266.479464376069</v>
      </c>
      <c r="I1122">
        <v>170481.62525433148</v>
      </c>
      <c r="J1122">
        <v>55321.287395030566</v>
      </c>
      <c r="K1122">
        <v>55321.287395030566</v>
      </c>
    </row>
    <row r="1123" spans="1:11" x14ac:dyDescent="0.25">
      <c r="A1123" t="s">
        <v>130</v>
      </c>
      <c r="B1123" t="s">
        <v>28</v>
      </c>
      <c r="C1123" t="s">
        <v>34</v>
      </c>
      <c r="D1123">
        <v>2050</v>
      </c>
      <c r="E1123" t="s">
        <v>119</v>
      </c>
      <c r="F1123" t="s">
        <v>109</v>
      </c>
      <c r="G1123" t="s">
        <v>52</v>
      </c>
      <c r="H1123">
        <v>1737.3277996465938</v>
      </c>
      <c r="I1123">
        <v>8047.3023679630242</v>
      </c>
      <c r="J1123">
        <v>2375.184226631241</v>
      </c>
      <c r="K1123">
        <v>2375.184226631241</v>
      </c>
    </row>
    <row r="1124" spans="1:11" x14ac:dyDescent="0.25">
      <c r="A1124" t="s">
        <v>130</v>
      </c>
      <c r="B1124" t="s">
        <v>28</v>
      </c>
      <c r="C1124" t="s">
        <v>72</v>
      </c>
      <c r="D1124">
        <v>2050</v>
      </c>
      <c r="E1124" t="s">
        <v>119</v>
      </c>
      <c r="F1124" t="s">
        <v>109</v>
      </c>
      <c r="G1124" t="s">
        <v>52</v>
      </c>
      <c r="H1124">
        <v>1860.3010707842134</v>
      </c>
      <c r="I1124">
        <v>9822.3896537406454</v>
      </c>
      <c r="J1124">
        <v>5215.6889061362835</v>
      </c>
      <c r="K1124">
        <v>5215.6889061362835</v>
      </c>
    </row>
    <row r="1125" spans="1:11" x14ac:dyDescent="0.25">
      <c r="A1125" t="s">
        <v>130</v>
      </c>
      <c r="B1125" t="s">
        <v>28</v>
      </c>
      <c r="C1125" t="s">
        <v>53</v>
      </c>
      <c r="D1125">
        <v>2050</v>
      </c>
      <c r="E1125" t="s">
        <v>119</v>
      </c>
      <c r="F1125" t="s">
        <v>109</v>
      </c>
      <c r="G1125" t="s">
        <v>53</v>
      </c>
      <c r="H1125">
        <v>17167.514927638611</v>
      </c>
      <c r="I1125">
        <v>1022222.5088513135</v>
      </c>
      <c r="J1125">
        <v>0</v>
      </c>
      <c r="K1125">
        <v>1022222.5088513135</v>
      </c>
    </row>
    <row r="1126" spans="1:11" x14ac:dyDescent="0.25">
      <c r="A1126" t="s">
        <v>130</v>
      </c>
      <c r="B1126" t="s">
        <v>28</v>
      </c>
      <c r="C1126" t="s">
        <v>30</v>
      </c>
      <c r="D1126">
        <v>2050</v>
      </c>
      <c r="E1126" t="s">
        <v>119</v>
      </c>
      <c r="F1126" t="s">
        <v>109</v>
      </c>
      <c r="G1126" t="s">
        <v>30</v>
      </c>
      <c r="H1126">
        <v>80.293113055411794</v>
      </c>
      <c r="I1126">
        <v>1999.2985150797538</v>
      </c>
      <c r="J1126">
        <v>0</v>
      </c>
      <c r="K1126">
        <v>1999.2985150797538</v>
      </c>
    </row>
    <row r="1127" spans="1:11" x14ac:dyDescent="0.25">
      <c r="A1127" t="s">
        <v>130</v>
      </c>
      <c r="B1127" t="s">
        <v>28</v>
      </c>
      <c r="C1127" t="s">
        <v>31</v>
      </c>
      <c r="D1127">
        <v>2050</v>
      </c>
      <c r="E1127" t="s">
        <v>119</v>
      </c>
      <c r="F1127" t="s">
        <v>109</v>
      </c>
      <c r="G1127" t="s">
        <v>31</v>
      </c>
      <c r="H1127">
        <v>1267.6201429781686</v>
      </c>
      <c r="I1127">
        <v>64604.361191655618</v>
      </c>
      <c r="J1127">
        <v>0</v>
      </c>
      <c r="K1127">
        <v>64604.361191655618</v>
      </c>
    </row>
    <row r="1128" spans="1:11" x14ac:dyDescent="0.25">
      <c r="A1128" t="s">
        <v>130</v>
      </c>
      <c r="B1128" t="s">
        <v>28</v>
      </c>
      <c r="C1128" t="s">
        <v>55</v>
      </c>
      <c r="D1128">
        <v>2050</v>
      </c>
      <c r="E1128" t="s">
        <v>119</v>
      </c>
      <c r="F1128" t="s">
        <v>109</v>
      </c>
      <c r="G1128" t="s">
        <v>55</v>
      </c>
      <c r="H1128">
        <v>33.25641935461443</v>
      </c>
      <c r="I1128">
        <v>3242.6497964153004</v>
      </c>
      <c r="J1128">
        <v>0</v>
      </c>
      <c r="K1128">
        <v>3242.6497964153004</v>
      </c>
    </row>
    <row r="1129" spans="1:11" x14ac:dyDescent="0.25">
      <c r="A1129" t="s">
        <v>130</v>
      </c>
      <c r="B1129" t="s">
        <v>28</v>
      </c>
      <c r="C1129" t="s">
        <v>54</v>
      </c>
      <c r="D1129">
        <v>2050</v>
      </c>
      <c r="E1129" t="s">
        <v>119</v>
      </c>
      <c r="F1129" t="s">
        <v>109</v>
      </c>
      <c r="G1129" t="s">
        <v>54</v>
      </c>
      <c r="H1129">
        <v>4292.903977452369</v>
      </c>
      <c r="I1129">
        <v>229292.58724368596</v>
      </c>
      <c r="J1129">
        <v>0</v>
      </c>
      <c r="K1129">
        <v>229292.58724368596</v>
      </c>
    </row>
    <row r="1130" spans="1:11" x14ac:dyDescent="0.25">
      <c r="A1130" t="s">
        <v>130</v>
      </c>
      <c r="B1130" t="s">
        <v>28</v>
      </c>
      <c r="C1130" t="s">
        <v>41</v>
      </c>
      <c r="D1130">
        <v>2050</v>
      </c>
      <c r="E1130" t="s">
        <v>119</v>
      </c>
      <c r="F1130" t="s">
        <v>109</v>
      </c>
      <c r="G1130" t="s">
        <v>41</v>
      </c>
      <c r="H1130">
        <v>73.133309672185732</v>
      </c>
      <c r="I1130">
        <v>745.08215894022828</v>
      </c>
      <c r="J1130">
        <v>0</v>
      </c>
      <c r="K1130">
        <v>745.08215894022828</v>
      </c>
    </row>
    <row r="1131" spans="1:11" x14ac:dyDescent="0.25">
      <c r="A1131" t="s">
        <v>130</v>
      </c>
      <c r="B1131" t="s">
        <v>28</v>
      </c>
      <c r="C1131" t="s">
        <v>80</v>
      </c>
      <c r="D1131">
        <v>2050</v>
      </c>
      <c r="E1131" t="s">
        <v>119</v>
      </c>
      <c r="F1131" t="s">
        <v>109</v>
      </c>
      <c r="G1131" t="s">
        <v>80</v>
      </c>
      <c r="H1131">
        <v>1293.4285034495033</v>
      </c>
      <c r="I1131">
        <v>46246.707144791224</v>
      </c>
      <c r="J1131">
        <v>0</v>
      </c>
      <c r="K1131">
        <v>46246.707144791224</v>
      </c>
    </row>
    <row r="1132" spans="1:11" x14ac:dyDescent="0.25">
      <c r="A1132" t="s">
        <v>130</v>
      </c>
      <c r="B1132" t="s">
        <v>28</v>
      </c>
      <c r="C1132" t="s">
        <v>75</v>
      </c>
      <c r="D1132">
        <v>2050</v>
      </c>
      <c r="E1132" t="s">
        <v>119</v>
      </c>
      <c r="F1132" t="s">
        <v>109</v>
      </c>
      <c r="G1132" t="s">
        <v>52</v>
      </c>
      <c r="H1132">
        <v>3192.5629775014409</v>
      </c>
      <c r="I1132">
        <v>54741.705421719133</v>
      </c>
      <c r="J1132">
        <v>9041.3383522840795</v>
      </c>
      <c r="K1132">
        <v>9041.3383522840795</v>
      </c>
    </row>
    <row r="1133" spans="1:11" x14ac:dyDescent="0.25">
      <c r="A1133" t="s">
        <v>130</v>
      </c>
      <c r="B1133" t="s">
        <v>28</v>
      </c>
      <c r="C1133" t="s">
        <v>78</v>
      </c>
      <c r="D1133">
        <v>2050</v>
      </c>
      <c r="E1133" t="s">
        <v>119</v>
      </c>
      <c r="F1133" t="s">
        <v>109</v>
      </c>
      <c r="G1133" t="s">
        <v>78</v>
      </c>
      <c r="H1133">
        <v>366.8033355579056</v>
      </c>
      <c r="I1133">
        <v>22008.20013347434</v>
      </c>
      <c r="J1133">
        <v>0</v>
      </c>
      <c r="K1133">
        <v>22008.20013347434</v>
      </c>
    </row>
    <row r="1134" spans="1:11" x14ac:dyDescent="0.25">
      <c r="A1134" t="s">
        <v>130</v>
      </c>
      <c r="B1134" t="s">
        <v>28</v>
      </c>
      <c r="C1134" t="s">
        <v>65</v>
      </c>
      <c r="D1134">
        <v>2050</v>
      </c>
      <c r="E1134" t="s">
        <v>119</v>
      </c>
      <c r="F1134" t="s">
        <v>109</v>
      </c>
      <c r="G1134" t="s">
        <v>65</v>
      </c>
      <c r="H1134">
        <v>602.42633268600662</v>
      </c>
      <c r="I1134">
        <v>17631.990224956291</v>
      </c>
      <c r="J1134">
        <v>0</v>
      </c>
      <c r="K1134">
        <v>17631.990224956291</v>
      </c>
    </row>
    <row r="1135" spans="1:11" x14ac:dyDescent="0.25">
      <c r="A1135" t="s">
        <v>130</v>
      </c>
      <c r="B1135" t="s">
        <v>28</v>
      </c>
      <c r="C1135" t="s">
        <v>120</v>
      </c>
      <c r="D1135">
        <v>2050</v>
      </c>
      <c r="E1135" t="s">
        <v>119</v>
      </c>
      <c r="F1135" t="s">
        <v>109</v>
      </c>
      <c r="G1135" t="s">
        <v>53</v>
      </c>
      <c r="H1135">
        <v>17027.619459294743</v>
      </c>
      <c r="I1135">
        <v>281773.04681240948</v>
      </c>
      <c r="J1135">
        <v>0</v>
      </c>
      <c r="K1135">
        <v>281773.04681240948</v>
      </c>
    </row>
    <row r="1136" spans="1:11" x14ac:dyDescent="0.25">
      <c r="A1136" t="s">
        <v>130</v>
      </c>
      <c r="B1136" t="s">
        <v>28</v>
      </c>
      <c r="C1136" t="s">
        <v>29</v>
      </c>
      <c r="D1136">
        <v>2019</v>
      </c>
      <c r="E1136" t="s">
        <v>121</v>
      </c>
      <c r="F1136" t="s">
        <v>109</v>
      </c>
      <c r="G1136" t="s">
        <v>52</v>
      </c>
      <c r="H1136">
        <v>3009.4757390628633</v>
      </c>
      <c r="I1136">
        <v>16961.525644387857</v>
      </c>
      <c r="J1136">
        <v>5536.1995665140876</v>
      </c>
      <c r="K1136">
        <v>5536.1995665140876</v>
      </c>
    </row>
    <row r="1137" spans="1:11" x14ac:dyDescent="0.25">
      <c r="A1137" t="s">
        <v>130</v>
      </c>
      <c r="B1137" t="s">
        <v>28</v>
      </c>
      <c r="C1137" t="s">
        <v>34</v>
      </c>
      <c r="D1137">
        <v>2019</v>
      </c>
      <c r="E1137" t="s">
        <v>121</v>
      </c>
      <c r="F1137" t="s">
        <v>109</v>
      </c>
      <c r="G1137" t="s">
        <v>52</v>
      </c>
      <c r="H1137">
        <v>257.98490917114276</v>
      </c>
      <c r="I1137">
        <v>681.14207659001795</v>
      </c>
      <c r="J1137">
        <v>202.21660385890681</v>
      </c>
      <c r="K1137">
        <v>202.21660385890681</v>
      </c>
    </row>
    <row r="1138" spans="1:11" x14ac:dyDescent="0.25">
      <c r="A1138" t="s">
        <v>130</v>
      </c>
      <c r="B1138" t="s">
        <v>28</v>
      </c>
      <c r="C1138" t="s">
        <v>72</v>
      </c>
      <c r="D1138">
        <v>2019</v>
      </c>
      <c r="E1138" t="s">
        <v>121</v>
      </c>
      <c r="F1138" t="s">
        <v>109</v>
      </c>
      <c r="G1138" t="s">
        <v>52</v>
      </c>
      <c r="H1138">
        <v>276.24585462505803</v>
      </c>
      <c r="I1138">
        <v>802.21796183116862</v>
      </c>
      <c r="J1138">
        <v>428.46862450383645</v>
      </c>
      <c r="K1138">
        <v>428.46862450383645</v>
      </c>
    </row>
    <row r="1139" spans="1:11" x14ac:dyDescent="0.25">
      <c r="A1139" t="s">
        <v>130</v>
      </c>
      <c r="B1139" t="s">
        <v>28</v>
      </c>
      <c r="C1139" t="s">
        <v>53</v>
      </c>
      <c r="D1139">
        <v>2019</v>
      </c>
      <c r="E1139" t="s">
        <v>121</v>
      </c>
      <c r="F1139" t="s">
        <v>109</v>
      </c>
      <c r="G1139" t="s">
        <v>53</v>
      </c>
      <c r="H1139">
        <v>2549.2942553512476</v>
      </c>
      <c r="I1139">
        <v>118400.23816969505</v>
      </c>
      <c r="J1139">
        <v>0</v>
      </c>
      <c r="K1139">
        <v>118400.23816969505</v>
      </c>
    </row>
    <row r="1140" spans="1:11" x14ac:dyDescent="0.25">
      <c r="A1140" t="s">
        <v>130</v>
      </c>
      <c r="B1140" t="s">
        <v>28</v>
      </c>
      <c r="C1140" t="s">
        <v>30</v>
      </c>
      <c r="D1140">
        <v>2019</v>
      </c>
      <c r="E1140" t="s">
        <v>121</v>
      </c>
      <c r="F1140" t="s">
        <v>109</v>
      </c>
      <c r="G1140" t="s">
        <v>30</v>
      </c>
      <c r="H1140">
        <v>11.923145121422927</v>
      </c>
      <c r="I1140">
        <v>169.22519870835558</v>
      </c>
      <c r="J1140">
        <v>0</v>
      </c>
      <c r="K1140">
        <v>169.22519870835558</v>
      </c>
    </row>
    <row r="1141" spans="1:11" x14ac:dyDescent="0.25">
      <c r="A1141" t="s">
        <v>130</v>
      </c>
      <c r="B1141" t="s">
        <v>28</v>
      </c>
      <c r="C1141" t="s">
        <v>31</v>
      </c>
      <c r="D1141">
        <v>2019</v>
      </c>
      <c r="E1141" t="s">
        <v>121</v>
      </c>
      <c r="F1141" t="s">
        <v>109</v>
      </c>
      <c r="G1141" t="s">
        <v>31</v>
      </c>
      <c r="H1141">
        <v>188.23555780104221</v>
      </c>
      <c r="I1141">
        <v>5468.260881316256</v>
      </c>
      <c r="J1141">
        <v>0</v>
      </c>
      <c r="K1141">
        <v>5468.260881316256</v>
      </c>
    </row>
    <row r="1142" spans="1:11" x14ac:dyDescent="0.25">
      <c r="A1142" t="s">
        <v>130</v>
      </c>
      <c r="B1142" t="s">
        <v>28</v>
      </c>
      <c r="C1142" t="s">
        <v>55</v>
      </c>
      <c r="D1142">
        <v>2019</v>
      </c>
      <c r="E1142" t="s">
        <v>121</v>
      </c>
      <c r="F1142" t="s">
        <v>109</v>
      </c>
      <c r="G1142" t="s">
        <v>55</v>
      </c>
      <c r="H1142">
        <v>4.9384199851650941</v>
      </c>
      <c r="I1142">
        <v>274.46529470267632</v>
      </c>
      <c r="J1142">
        <v>0</v>
      </c>
      <c r="K1142">
        <v>274.46529470267632</v>
      </c>
    </row>
    <row r="1143" spans="1:11" x14ac:dyDescent="0.25">
      <c r="A1143" t="s">
        <v>130</v>
      </c>
      <c r="B1143" t="s">
        <v>28</v>
      </c>
      <c r="C1143" t="s">
        <v>54</v>
      </c>
      <c r="D1143">
        <v>2019</v>
      </c>
      <c r="E1143" t="s">
        <v>121</v>
      </c>
      <c r="F1143" t="s">
        <v>109</v>
      </c>
      <c r="G1143" t="s">
        <v>54</v>
      </c>
      <c r="H1143">
        <v>637.47580792109272</v>
      </c>
      <c r="I1143">
        <v>28260.552017725568</v>
      </c>
      <c r="J1143">
        <v>0</v>
      </c>
      <c r="K1143">
        <v>28260.552017725568</v>
      </c>
    </row>
    <row r="1144" spans="1:11" x14ac:dyDescent="0.25">
      <c r="A1144" t="s">
        <v>130</v>
      </c>
      <c r="B1144" t="s">
        <v>28</v>
      </c>
      <c r="C1144" t="s">
        <v>41</v>
      </c>
      <c r="D1144">
        <v>2019</v>
      </c>
      <c r="E1144" t="s">
        <v>121</v>
      </c>
      <c r="F1144" t="s">
        <v>109</v>
      </c>
      <c r="G1144" t="s">
        <v>41</v>
      </c>
      <c r="H1144">
        <v>10.859948397188985</v>
      </c>
      <c r="I1144">
        <v>63.065457934219978</v>
      </c>
      <c r="J1144">
        <v>0</v>
      </c>
      <c r="K1144">
        <v>63.065457934219978</v>
      </c>
    </row>
    <row r="1145" spans="1:11" x14ac:dyDescent="0.25">
      <c r="A1145" t="s">
        <v>130</v>
      </c>
      <c r="B1145" t="s">
        <v>28</v>
      </c>
      <c r="C1145" t="s">
        <v>80</v>
      </c>
      <c r="D1145">
        <v>2019</v>
      </c>
      <c r="E1145" t="s">
        <v>121</v>
      </c>
      <c r="F1145" t="s">
        <v>109</v>
      </c>
      <c r="G1145" t="s">
        <v>80</v>
      </c>
      <c r="H1145">
        <v>192.06797649221136</v>
      </c>
      <c r="I1145">
        <v>3914.4270588688119</v>
      </c>
      <c r="J1145">
        <v>0</v>
      </c>
      <c r="K1145">
        <v>3914.4270588688119</v>
      </c>
    </row>
    <row r="1146" spans="1:11" x14ac:dyDescent="0.25">
      <c r="A1146" t="s">
        <v>130</v>
      </c>
      <c r="B1146" t="s">
        <v>28</v>
      </c>
      <c r="C1146" t="s">
        <v>75</v>
      </c>
      <c r="D1146">
        <v>2019</v>
      </c>
      <c r="E1146" t="s">
        <v>121</v>
      </c>
      <c r="F1146" t="s">
        <v>109</v>
      </c>
      <c r="G1146" t="s">
        <v>52</v>
      </c>
      <c r="H1146">
        <v>474.0804066690265</v>
      </c>
      <c r="I1146">
        <v>4633.4631410733318</v>
      </c>
      <c r="J1146">
        <v>769.75449543603963</v>
      </c>
      <c r="K1146">
        <v>769.75449543603963</v>
      </c>
    </row>
    <row r="1147" spans="1:11" x14ac:dyDescent="0.25">
      <c r="A1147" t="s">
        <v>130</v>
      </c>
      <c r="B1147" t="s">
        <v>28</v>
      </c>
      <c r="C1147" t="s">
        <v>78</v>
      </c>
      <c r="D1147">
        <v>2019</v>
      </c>
      <c r="E1147" t="s">
        <v>121</v>
      </c>
      <c r="F1147" t="s">
        <v>109</v>
      </c>
      <c r="G1147" t="s">
        <v>78</v>
      </c>
      <c r="H1147">
        <v>54.468549473984133</v>
      </c>
      <c r="I1147">
        <v>1862.824392010257</v>
      </c>
      <c r="J1147">
        <v>0</v>
      </c>
      <c r="K1147">
        <v>1862.824392010257</v>
      </c>
    </row>
    <row r="1148" spans="1:11" x14ac:dyDescent="0.25">
      <c r="A1148" t="s">
        <v>130</v>
      </c>
      <c r="B1148" t="s">
        <v>28</v>
      </c>
      <c r="C1148" t="s">
        <v>65</v>
      </c>
      <c r="D1148">
        <v>2019</v>
      </c>
      <c r="E1148" t="s">
        <v>121</v>
      </c>
      <c r="F1148" t="s">
        <v>109</v>
      </c>
      <c r="G1148" t="s">
        <v>65</v>
      </c>
      <c r="H1148">
        <v>89.457443063950791</v>
      </c>
      <c r="I1148">
        <v>1492.4119769693252</v>
      </c>
      <c r="J1148">
        <v>0</v>
      </c>
      <c r="K1148">
        <v>1492.4119769693252</v>
      </c>
    </row>
    <row r="1149" spans="1:11" x14ac:dyDescent="0.25">
      <c r="A1149" t="s">
        <v>130</v>
      </c>
      <c r="B1149" t="s">
        <v>28</v>
      </c>
      <c r="C1149" t="s">
        <v>120</v>
      </c>
      <c r="D1149">
        <v>2019</v>
      </c>
      <c r="E1149" t="s">
        <v>121</v>
      </c>
      <c r="F1149" t="s">
        <v>109</v>
      </c>
      <c r="G1149" t="s">
        <v>53</v>
      </c>
      <c r="H1149">
        <v>2528.5204441559808</v>
      </c>
      <c r="I1149">
        <v>41841.956309893176</v>
      </c>
      <c r="J1149">
        <v>0</v>
      </c>
      <c r="K1149">
        <v>41841.956309893176</v>
      </c>
    </row>
    <row r="1150" spans="1:11" x14ac:dyDescent="0.25">
      <c r="A1150" t="s">
        <v>130</v>
      </c>
      <c r="B1150" t="s">
        <v>28</v>
      </c>
      <c r="C1150" t="s">
        <v>29</v>
      </c>
      <c r="D1150">
        <v>2030</v>
      </c>
      <c r="E1150" t="s">
        <v>121</v>
      </c>
      <c r="F1150" t="s">
        <v>109</v>
      </c>
      <c r="G1150" t="s">
        <v>52</v>
      </c>
      <c r="H1150">
        <v>3316.333003261539</v>
      </c>
      <c r="I1150">
        <v>18690.985459702162</v>
      </c>
      <c r="J1150">
        <v>6065.2247816733534</v>
      </c>
      <c r="K1150">
        <v>6065.2247816733534</v>
      </c>
    </row>
    <row r="1151" spans="1:11" x14ac:dyDescent="0.25">
      <c r="A1151" t="s">
        <v>130</v>
      </c>
      <c r="B1151" t="s">
        <v>28</v>
      </c>
      <c r="C1151" t="s">
        <v>34</v>
      </c>
      <c r="D1151">
        <v>2030</v>
      </c>
      <c r="E1151" t="s">
        <v>121</v>
      </c>
      <c r="F1151" t="s">
        <v>109</v>
      </c>
      <c r="G1151" t="s">
        <v>52</v>
      </c>
      <c r="H1151">
        <v>284.29000357853357</v>
      </c>
      <c r="I1151">
        <v>750.59383904818742</v>
      </c>
      <c r="J1151">
        <v>221.5399105930594</v>
      </c>
      <c r="K1151">
        <v>221.5399105930594</v>
      </c>
    </row>
    <row r="1152" spans="1:11" x14ac:dyDescent="0.25">
      <c r="A1152" t="s">
        <v>130</v>
      </c>
      <c r="B1152" t="s">
        <v>28</v>
      </c>
      <c r="C1152" t="s">
        <v>72</v>
      </c>
      <c r="D1152">
        <v>2030</v>
      </c>
      <c r="E1152" t="s">
        <v>121</v>
      </c>
      <c r="F1152" t="s">
        <v>109</v>
      </c>
      <c r="G1152" t="s">
        <v>52</v>
      </c>
      <c r="H1152">
        <v>304.4129024919622</v>
      </c>
      <c r="I1152">
        <v>884.01506883665832</v>
      </c>
      <c r="J1152">
        <v>469.41200155226556</v>
      </c>
      <c r="K1152">
        <v>469.41200155226556</v>
      </c>
    </row>
    <row r="1153" spans="1:11" x14ac:dyDescent="0.25">
      <c r="A1153" t="s">
        <v>130</v>
      </c>
      <c r="B1153" t="s">
        <v>28</v>
      </c>
      <c r="C1153" t="s">
        <v>53</v>
      </c>
      <c r="D1153">
        <v>2030</v>
      </c>
      <c r="E1153" t="s">
        <v>121</v>
      </c>
      <c r="F1153" t="s">
        <v>109</v>
      </c>
      <c r="G1153" t="s">
        <v>53</v>
      </c>
      <c r="H1153">
        <v>2809.229715431773</v>
      </c>
      <c r="I1153">
        <v>130472.76385702222</v>
      </c>
      <c r="J1153">
        <v>0</v>
      </c>
      <c r="K1153">
        <v>130472.76385702222</v>
      </c>
    </row>
    <row r="1154" spans="1:11" x14ac:dyDescent="0.25">
      <c r="A1154" t="s">
        <v>130</v>
      </c>
      <c r="B1154" t="s">
        <v>28</v>
      </c>
      <c r="C1154" t="s">
        <v>30</v>
      </c>
      <c r="D1154">
        <v>2030</v>
      </c>
      <c r="E1154" t="s">
        <v>121</v>
      </c>
      <c r="F1154" t="s">
        <v>109</v>
      </c>
      <c r="G1154" t="s">
        <v>30</v>
      </c>
      <c r="H1154">
        <v>13.138873045431023</v>
      </c>
      <c r="I1154">
        <v>186.48002513380249</v>
      </c>
      <c r="J1154">
        <v>0</v>
      </c>
      <c r="K1154">
        <v>186.48002513380249</v>
      </c>
    </row>
    <row r="1155" spans="1:11" x14ac:dyDescent="0.25">
      <c r="A1155" t="s">
        <v>130</v>
      </c>
      <c r="B1155" t="s">
        <v>28</v>
      </c>
      <c r="C1155" t="s">
        <v>31</v>
      </c>
      <c r="D1155">
        <v>2030</v>
      </c>
      <c r="E1155" t="s">
        <v>121</v>
      </c>
      <c r="F1155" t="s">
        <v>109</v>
      </c>
      <c r="G1155" t="s">
        <v>31</v>
      </c>
      <c r="H1155">
        <v>207.42875066915491</v>
      </c>
      <c r="I1155">
        <v>6025.82496205806</v>
      </c>
      <c r="J1155">
        <v>0</v>
      </c>
      <c r="K1155">
        <v>6025.82496205806</v>
      </c>
    </row>
    <row r="1156" spans="1:11" x14ac:dyDescent="0.25">
      <c r="A1156" t="s">
        <v>130</v>
      </c>
      <c r="B1156" t="s">
        <v>28</v>
      </c>
      <c r="C1156" t="s">
        <v>55</v>
      </c>
      <c r="D1156">
        <v>2030</v>
      </c>
      <c r="E1156" t="s">
        <v>121</v>
      </c>
      <c r="F1156" t="s">
        <v>109</v>
      </c>
      <c r="G1156" t="s">
        <v>55</v>
      </c>
      <c r="H1156">
        <v>5.4419595307550885</v>
      </c>
      <c r="I1156">
        <v>302.45079010200891</v>
      </c>
      <c r="J1156">
        <v>0</v>
      </c>
      <c r="K1156">
        <v>302.45079010200891</v>
      </c>
    </row>
    <row r="1157" spans="1:11" x14ac:dyDescent="0.25">
      <c r="A1157" t="s">
        <v>130</v>
      </c>
      <c r="B1157" t="s">
        <v>28</v>
      </c>
      <c r="C1157" t="s">
        <v>54</v>
      </c>
      <c r="D1157">
        <v>2030</v>
      </c>
      <c r="E1157" t="s">
        <v>121</v>
      </c>
      <c r="F1157" t="s">
        <v>109</v>
      </c>
      <c r="G1157" t="s">
        <v>54</v>
      </c>
      <c r="H1157">
        <v>702.47519631038767</v>
      </c>
      <c r="I1157">
        <v>31142.102303824257</v>
      </c>
      <c r="J1157">
        <v>0</v>
      </c>
      <c r="K1157">
        <v>31142.102303824257</v>
      </c>
    </row>
    <row r="1158" spans="1:11" x14ac:dyDescent="0.25">
      <c r="A1158" t="s">
        <v>130</v>
      </c>
      <c r="B1158" t="s">
        <v>28</v>
      </c>
      <c r="C1158" t="s">
        <v>41</v>
      </c>
      <c r="D1158">
        <v>2030</v>
      </c>
      <c r="E1158" t="s">
        <v>121</v>
      </c>
      <c r="F1158" t="s">
        <v>109</v>
      </c>
      <c r="G1158" t="s">
        <v>41</v>
      </c>
      <c r="H1158">
        <v>11.967268855448575</v>
      </c>
      <c r="I1158">
        <v>69.495845006606757</v>
      </c>
      <c r="J1158">
        <v>0</v>
      </c>
      <c r="K1158">
        <v>69.495845006606757</v>
      </c>
    </row>
    <row r="1159" spans="1:11" x14ac:dyDescent="0.25">
      <c r="A1159" t="s">
        <v>130</v>
      </c>
      <c r="B1159" t="s">
        <v>28</v>
      </c>
      <c r="C1159" t="s">
        <v>80</v>
      </c>
      <c r="D1159">
        <v>2030</v>
      </c>
      <c r="E1159" t="s">
        <v>121</v>
      </c>
      <c r="F1159" t="s">
        <v>109</v>
      </c>
      <c r="G1159" t="s">
        <v>80</v>
      </c>
      <c r="H1159">
        <v>211.65193692810058</v>
      </c>
      <c r="I1159">
        <v>4313.5565027778002</v>
      </c>
      <c r="J1159">
        <v>0</v>
      </c>
      <c r="K1159">
        <v>4313.5565027778002</v>
      </c>
    </row>
    <row r="1160" spans="1:11" x14ac:dyDescent="0.25">
      <c r="A1160" t="s">
        <v>130</v>
      </c>
      <c r="B1160" t="s">
        <v>28</v>
      </c>
      <c r="C1160" t="s">
        <v>75</v>
      </c>
      <c r="D1160">
        <v>2030</v>
      </c>
      <c r="E1160" t="s">
        <v>121</v>
      </c>
      <c r="F1160" t="s">
        <v>109</v>
      </c>
      <c r="G1160" t="s">
        <v>52</v>
      </c>
      <c r="H1160">
        <v>522.41939631841763</v>
      </c>
      <c r="I1160">
        <v>5105.9081602439846</v>
      </c>
      <c r="J1160">
        <v>843.31028631304218</v>
      </c>
      <c r="K1160">
        <v>843.31028631304218</v>
      </c>
    </row>
    <row r="1161" spans="1:11" x14ac:dyDescent="0.25">
      <c r="A1161" t="s">
        <v>130</v>
      </c>
      <c r="B1161" t="s">
        <v>28</v>
      </c>
      <c r="C1161" t="s">
        <v>78</v>
      </c>
      <c r="D1161">
        <v>2030</v>
      </c>
      <c r="E1161" t="s">
        <v>121</v>
      </c>
      <c r="F1161" t="s">
        <v>109</v>
      </c>
      <c r="G1161" t="s">
        <v>78</v>
      </c>
      <c r="H1161">
        <v>60.022364000384563</v>
      </c>
      <c r="I1161">
        <v>2052.7648488131522</v>
      </c>
      <c r="J1161">
        <v>0</v>
      </c>
      <c r="K1161">
        <v>2052.7648488131522</v>
      </c>
    </row>
    <row r="1162" spans="1:11" x14ac:dyDescent="0.25">
      <c r="A1162" t="s">
        <v>130</v>
      </c>
      <c r="B1162" t="s">
        <v>28</v>
      </c>
      <c r="C1162" t="s">
        <v>65</v>
      </c>
      <c r="D1162">
        <v>2030</v>
      </c>
      <c r="E1162" t="s">
        <v>121</v>
      </c>
      <c r="F1162" t="s">
        <v>109</v>
      </c>
      <c r="G1162" t="s">
        <v>65</v>
      </c>
      <c r="H1162">
        <v>98.578854439528371</v>
      </c>
      <c r="I1162">
        <v>1644.5838155277415</v>
      </c>
      <c r="J1162">
        <v>0</v>
      </c>
      <c r="K1162">
        <v>1644.5838155277415</v>
      </c>
    </row>
    <row r="1163" spans="1:11" x14ac:dyDescent="0.25">
      <c r="A1163" t="s">
        <v>130</v>
      </c>
      <c r="B1163" t="s">
        <v>28</v>
      </c>
      <c r="C1163" t="s">
        <v>120</v>
      </c>
      <c r="D1163">
        <v>2030</v>
      </c>
      <c r="E1163" t="s">
        <v>121</v>
      </c>
      <c r="F1163" t="s">
        <v>109</v>
      </c>
      <c r="G1163" t="s">
        <v>53</v>
      </c>
      <c r="H1163">
        <v>2786.3377297027769</v>
      </c>
      <c r="I1163">
        <v>46108.316751121551</v>
      </c>
      <c r="J1163">
        <v>0</v>
      </c>
      <c r="K1163">
        <v>46108.316751121551</v>
      </c>
    </row>
    <row r="1164" spans="1:11" x14ac:dyDescent="0.25">
      <c r="A1164" t="s">
        <v>130</v>
      </c>
      <c r="B1164" t="s">
        <v>28</v>
      </c>
      <c r="C1164" t="s">
        <v>29</v>
      </c>
      <c r="D1164">
        <v>2050</v>
      </c>
      <c r="E1164" t="s">
        <v>121</v>
      </c>
      <c r="F1164" t="s">
        <v>109</v>
      </c>
      <c r="G1164" t="s">
        <v>52</v>
      </c>
      <c r="H1164">
        <v>4298.9501894131054</v>
      </c>
      <c r="I1164">
        <v>24229.05522553984</v>
      </c>
      <c r="J1164">
        <v>7862.3284206876779</v>
      </c>
      <c r="K1164">
        <v>7862.3284206876779</v>
      </c>
    </row>
    <row r="1165" spans="1:11" x14ac:dyDescent="0.25">
      <c r="A1165" t="s">
        <v>130</v>
      </c>
      <c r="B1165" t="s">
        <v>28</v>
      </c>
      <c r="C1165" t="s">
        <v>34</v>
      </c>
      <c r="D1165">
        <v>2050</v>
      </c>
      <c r="E1165" t="s">
        <v>121</v>
      </c>
      <c r="F1165" t="s">
        <v>109</v>
      </c>
      <c r="G1165" t="s">
        <v>52</v>
      </c>
      <c r="H1165">
        <v>368.52407871291382</v>
      </c>
      <c r="I1165">
        <v>972.99201358098344</v>
      </c>
      <c r="J1165">
        <v>287.18136558359549</v>
      </c>
      <c r="K1165">
        <v>287.18136558359549</v>
      </c>
    </row>
    <row r="1166" spans="1:11" x14ac:dyDescent="0.25">
      <c r="A1166" t="s">
        <v>130</v>
      </c>
      <c r="B1166" t="s">
        <v>28</v>
      </c>
      <c r="C1166" t="s">
        <v>72</v>
      </c>
      <c r="D1166">
        <v>2050</v>
      </c>
      <c r="E1166" t="s">
        <v>121</v>
      </c>
      <c r="F1166" t="s">
        <v>109</v>
      </c>
      <c r="G1166" t="s">
        <v>52</v>
      </c>
      <c r="H1166">
        <v>394.60931804513621</v>
      </c>
      <c r="I1166">
        <v>1145.9454596030757</v>
      </c>
      <c r="J1166">
        <v>608.49703904923308</v>
      </c>
      <c r="K1166">
        <v>608.49703904923308</v>
      </c>
    </row>
    <row r="1167" spans="1:11" x14ac:dyDescent="0.25">
      <c r="A1167" t="s">
        <v>130</v>
      </c>
      <c r="B1167" t="s">
        <v>28</v>
      </c>
      <c r="C1167" t="s">
        <v>53</v>
      </c>
      <c r="D1167">
        <v>2050</v>
      </c>
      <c r="E1167" t="s">
        <v>121</v>
      </c>
      <c r="F1167" t="s">
        <v>109</v>
      </c>
      <c r="G1167" t="s">
        <v>53</v>
      </c>
      <c r="H1167">
        <v>3641.5940755597057</v>
      </c>
      <c r="I1167">
        <v>169131.36055539915</v>
      </c>
      <c r="J1167">
        <v>0</v>
      </c>
      <c r="K1167">
        <v>169131.36055539915</v>
      </c>
    </row>
    <row r="1168" spans="1:11" x14ac:dyDescent="0.25">
      <c r="A1168" t="s">
        <v>130</v>
      </c>
      <c r="B1168" t="s">
        <v>28</v>
      </c>
      <c r="C1168" t="s">
        <v>30</v>
      </c>
      <c r="D1168">
        <v>2050</v>
      </c>
      <c r="E1168" t="s">
        <v>121</v>
      </c>
      <c r="F1168" t="s">
        <v>109</v>
      </c>
      <c r="G1168" t="s">
        <v>30</v>
      </c>
      <c r="H1168">
        <v>17.031872466299472</v>
      </c>
      <c r="I1168">
        <v>241.7333659141884</v>
      </c>
      <c r="J1168">
        <v>0</v>
      </c>
      <c r="K1168">
        <v>241.7333659141884</v>
      </c>
    </row>
    <row r="1169" spans="1:11" x14ac:dyDescent="0.25">
      <c r="A1169" t="s">
        <v>130</v>
      </c>
      <c r="B1169" t="s">
        <v>28</v>
      </c>
      <c r="C1169" t="s">
        <v>31</v>
      </c>
      <c r="D1169">
        <v>2050</v>
      </c>
      <c r="E1169" t="s">
        <v>121</v>
      </c>
      <c r="F1169" t="s">
        <v>109</v>
      </c>
      <c r="G1169" t="s">
        <v>31</v>
      </c>
      <c r="H1169">
        <v>268.88912123779335</v>
      </c>
      <c r="I1169">
        <v>7811.2545804456331</v>
      </c>
      <c r="J1169">
        <v>0</v>
      </c>
      <c r="K1169">
        <v>7811.2545804456331</v>
      </c>
    </row>
    <row r="1170" spans="1:11" x14ac:dyDescent="0.25">
      <c r="A1170" t="s">
        <v>130</v>
      </c>
      <c r="B1170" t="s">
        <v>28</v>
      </c>
      <c r="C1170" t="s">
        <v>55</v>
      </c>
      <c r="D1170">
        <v>2050</v>
      </c>
      <c r="E1170" t="s">
        <v>121</v>
      </c>
      <c r="F1170" t="s">
        <v>109</v>
      </c>
      <c r="G1170" t="s">
        <v>55</v>
      </c>
      <c r="H1170">
        <v>7.0543919843121516</v>
      </c>
      <c r="I1170">
        <v>392.06583902112266</v>
      </c>
      <c r="J1170">
        <v>0</v>
      </c>
      <c r="K1170">
        <v>392.06583902112266</v>
      </c>
    </row>
    <row r="1171" spans="1:11" x14ac:dyDescent="0.25">
      <c r="A1171" t="s">
        <v>130</v>
      </c>
      <c r="B1171" t="s">
        <v>28</v>
      </c>
      <c r="C1171" t="s">
        <v>54</v>
      </c>
      <c r="D1171">
        <v>2050</v>
      </c>
      <c r="E1171" t="s">
        <v>121</v>
      </c>
      <c r="F1171" t="s">
        <v>109</v>
      </c>
      <c r="G1171" t="s">
        <v>54</v>
      </c>
      <c r="H1171">
        <v>910.61599521716903</v>
      </c>
      <c r="I1171">
        <v>40369.391875327732</v>
      </c>
      <c r="J1171">
        <v>0</v>
      </c>
      <c r="K1171">
        <v>40369.391875327732</v>
      </c>
    </row>
    <row r="1172" spans="1:11" x14ac:dyDescent="0.25">
      <c r="A1172" t="s">
        <v>130</v>
      </c>
      <c r="B1172" t="s">
        <v>28</v>
      </c>
      <c r="C1172" t="s">
        <v>41</v>
      </c>
      <c r="D1172">
        <v>2050</v>
      </c>
      <c r="E1172" t="s">
        <v>121</v>
      </c>
      <c r="F1172" t="s">
        <v>109</v>
      </c>
      <c r="G1172" t="s">
        <v>41</v>
      </c>
      <c r="H1172">
        <v>15.513126294100001</v>
      </c>
      <c r="I1172">
        <v>90.087206490045759</v>
      </c>
      <c r="J1172">
        <v>0</v>
      </c>
      <c r="K1172">
        <v>90.087206490045759</v>
      </c>
    </row>
    <row r="1173" spans="1:11" x14ac:dyDescent="0.25">
      <c r="A1173" t="s">
        <v>130</v>
      </c>
      <c r="B1173" t="s">
        <v>28</v>
      </c>
      <c r="C1173" t="s">
        <v>80</v>
      </c>
      <c r="D1173">
        <v>2050</v>
      </c>
      <c r="E1173" t="s">
        <v>121</v>
      </c>
      <c r="F1173" t="s">
        <v>109</v>
      </c>
      <c r="G1173" t="s">
        <v>80</v>
      </c>
      <c r="H1173">
        <v>274.36362194383406</v>
      </c>
      <c r="I1173">
        <v>5591.6473184156675</v>
      </c>
      <c r="J1173">
        <v>0</v>
      </c>
      <c r="K1173">
        <v>5591.6473184156675</v>
      </c>
    </row>
    <row r="1174" spans="1:11" x14ac:dyDescent="0.25">
      <c r="A1174" t="s">
        <v>130</v>
      </c>
      <c r="B1174" t="s">
        <v>28</v>
      </c>
      <c r="C1174" t="s">
        <v>75</v>
      </c>
      <c r="D1174">
        <v>2050</v>
      </c>
      <c r="E1174" t="s">
        <v>121</v>
      </c>
      <c r="F1174" t="s">
        <v>109</v>
      </c>
      <c r="G1174" t="s">
        <v>52</v>
      </c>
      <c r="H1174">
        <v>677.21032856091165</v>
      </c>
      <c r="I1174">
        <v>6618.7698373533121</v>
      </c>
      <c r="J1174">
        <v>1093.1800007761658</v>
      </c>
      <c r="K1174">
        <v>1093.1800007761658</v>
      </c>
    </row>
    <row r="1175" spans="1:11" x14ac:dyDescent="0.25">
      <c r="A1175" t="s">
        <v>130</v>
      </c>
      <c r="B1175" t="s">
        <v>28</v>
      </c>
      <c r="C1175" t="s">
        <v>78</v>
      </c>
      <c r="D1175">
        <v>2050</v>
      </c>
      <c r="E1175" t="s">
        <v>121</v>
      </c>
      <c r="F1175" t="s">
        <v>109</v>
      </c>
      <c r="G1175" t="s">
        <v>78</v>
      </c>
      <c r="H1175">
        <v>77.80676814864664</v>
      </c>
      <c r="I1175">
        <v>2660.9914706837153</v>
      </c>
      <c r="J1175">
        <v>0</v>
      </c>
      <c r="K1175">
        <v>2660.9914706837153</v>
      </c>
    </row>
    <row r="1176" spans="1:11" x14ac:dyDescent="0.25">
      <c r="A1176" t="s">
        <v>130</v>
      </c>
      <c r="B1176" t="s">
        <v>28</v>
      </c>
      <c r="C1176" t="s">
        <v>65</v>
      </c>
      <c r="D1176">
        <v>2050</v>
      </c>
      <c r="E1176" t="s">
        <v>121</v>
      </c>
      <c r="F1176" t="s">
        <v>109</v>
      </c>
      <c r="G1176" t="s">
        <v>65</v>
      </c>
      <c r="H1176">
        <v>127.78740390309231</v>
      </c>
      <c r="I1176">
        <v>2131.8679090174423</v>
      </c>
      <c r="J1176">
        <v>0</v>
      </c>
      <c r="K1176">
        <v>2131.8679090174423</v>
      </c>
    </row>
    <row r="1177" spans="1:11" x14ac:dyDescent="0.25">
      <c r="A1177" t="s">
        <v>130</v>
      </c>
      <c r="B1177" t="s">
        <v>28</v>
      </c>
      <c r="C1177" t="s">
        <v>120</v>
      </c>
      <c r="D1177">
        <v>2050</v>
      </c>
      <c r="E1177" t="s">
        <v>121</v>
      </c>
      <c r="F1177" t="s">
        <v>109</v>
      </c>
      <c r="G1177" t="s">
        <v>53</v>
      </c>
      <c r="H1177">
        <v>3611.9192792443396</v>
      </c>
      <c r="I1177">
        <v>59770.040232935331</v>
      </c>
      <c r="J1177">
        <v>0</v>
      </c>
      <c r="K1177">
        <v>59770.040232935331</v>
      </c>
    </row>
    <row r="1178" spans="1:11" x14ac:dyDescent="0.25">
      <c r="A1178" t="s">
        <v>130</v>
      </c>
      <c r="B1178" t="s">
        <v>28</v>
      </c>
      <c r="C1178" t="s">
        <v>29</v>
      </c>
      <c r="D1178">
        <v>2019</v>
      </c>
      <c r="E1178" t="s">
        <v>119</v>
      </c>
      <c r="F1178" t="s">
        <v>110</v>
      </c>
      <c r="G1178" t="s">
        <v>52</v>
      </c>
      <c r="H1178">
        <v>11897.853201235472</v>
      </c>
      <c r="I1178">
        <v>116765.53131692491</v>
      </c>
      <c r="J1178">
        <v>38111.977508016003</v>
      </c>
      <c r="K1178">
        <v>38111.977508016003</v>
      </c>
    </row>
    <row r="1179" spans="1:11" x14ac:dyDescent="0.25">
      <c r="A1179" t="s">
        <v>130</v>
      </c>
      <c r="B1179" t="s">
        <v>28</v>
      </c>
      <c r="C1179" t="s">
        <v>34</v>
      </c>
      <c r="D1179">
        <v>2019</v>
      </c>
      <c r="E1179" t="s">
        <v>119</v>
      </c>
      <c r="F1179" t="s">
        <v>110</v>
      </c>
      <c r="G1179" t="s">
        <v>52</v>
      </c>
      <c r="H1179">
        <v>685.06913436036109</v>
      </c>
      <c r="I1179">
        <v>3702.113602083391</v>
      </c>
      <c r="J1179">
        <v>1099.0788345670951</v>
      </c>
      <c r="K1179">
        <v>1099.0788345670951</v>
      </c>
    </row>
    <row r="1180" spans="1:11" x14ac:dyDescent="0.25">
      <c r="A1180" t="s">
        <v>130</v>
      </c>
      <c r="B1180" t="s">
        <v>28</v>
      </c>
      <c r="C1180" t="s">
        <v>72</v>
      </c>
      <c r="D1180">
        <v>2019</v>
      </c>
      <c r="E1180" t="s">
        <v>119</v>
      </c>
      <c r="F1180" t="s">
        <v>110</v>
      </c>
      <c r="G1180" t="s">
        <v>52</v>
      </c>
      <c r="H1180">
        <v>887.13350750082327</v>
      </c>
      <c r="I1180">
        <v>5464.7424062050713</v>
      </c>
      <c r="J1180">
        <v>2918.7462428661602</v>
      </c>
      <c r="K1180">
        <v>2918.7462428661602</v>
      </c>
    </row>
    <row r="1181" spans="1:11" x14ac:dyDescent="0.25">
      <c r="A1181" t="s">
        <v>130</v>
      </c>
      <c r="B1181" t="s">
        <v>28</v>
      </c>
      <c r="C1181" t="s">
        <v>53</v>
      </c>
      <c r="D1181">
        <v>2019</v>
      </c>
      <c r="E1181" t="s">
        <v>119</v>
      </c>
      <c r="F1181" t="s">
        <v>110</v>
      </c>
      <c r="G1181" t="s">
        <v>53</v>
      </c>
      <c r="H1181">
        <v>20460.09912171523</v>
      </c>
      <c r="I1181">
        <v>1421322.1657873136</v>
      </c>
      <c r="J1181">
        <v>0</v>
      </c>
      <c r="K1181">
        <v>1421322.1657873136</v>
      </c>
    </row>
    <row r="1182" spans="1:11" x14ac:dyDescent="0.25">
      <c r="A1182" t="s">
        <v>130</v>
      </c>
      <c r="B1182" t="s">
        <v>28</v>
      </c>
      <c r="C1182" t="s">
        <v>30</v>
      </c>
      <c r="D1182">
        <v>2019</v>
      </c>
      <c r="E1182" t="s">
        <v>119</v>
      </c>
      <c r="F1182" t="s">
        <v>110</v>
      </c>
      <c r="G1182" t="s">
        <v>30</v>
      </c>
      <c r="H1182">
        <v>23.781029114723999</v>
      </c>
      <c r="I1182">
        <v>690.83889578273215</v>
      </c>
      <c r="J1182">
        <v>0</v>
      </c>
      <c r="K1182">
        <v>690.83889578273215</v>
      </c>
    </row>
    <row r="1183" spans="1:11" x14ac:dyDescent="0.25">
      <c r="A1183" t="s">
        <v>130</v>
      </c>
      <c r="B1183" t="s">
        <v>28</v>
      </c>
      <c r="C1183" t="s">
        <v>31</v>
      </c>
      <c r="D1183">
        <v>2019</v>
      </c>
      <c r="E1183" t="s">
        <v>119</v>
      </c>
      <c r="F1183" t="s">
        <v>110</v>
      </c>
      <c r="G1183" t="s">
        <v>31</v>
      </c>
      <c r="H1183">
        <v>1258.7368446928817</v>
      </c>
      <c r="I1183">
        <v>74843.560387776015</v>
      </c>
      <c r="J1183">
        <v>0</v>
      </c>
      <c r="K1183">
        <v>74843.560387776015</v>
      </c>
    </row>
    <row r="1184" spans="1:11" x14ac:dyDescent="0.25">
      <c r="A1184" t="s">
        <v>130</v>
      </c>
      <c r="B1184" t="s">
        <v>28</v>
      </c>
      <c r="C1184" t="s">
        <v>55</v>
      </c>
      <c r="D1184">
        <v>2019</v>
      </c>
      <c r="E1184" t="s">
        <v>119</v>
      </c>
      <c r="F1184" t="s">
        <v>110</v>
      </c>
      <c r="G1184" t="s">
        <v>55</v>
      </c>
      <c r="H1184">
        <v>13.612059153984784</v>
      </c>
      <c r="I1184">
        <v>1548.442836537469</v>
      </c>
      <c r="J1184">
        <v>0</v>
      </c>
      <c r="K1184">
        <v>1548.442836537469</v>
      </c>
    </row>
    <row r="1185" spans="1:11" x14ac:dyDescent="0.25">
      <c r="A1185" t="s">
        <v>130</v>
      </c>
      <c r="B1185" t="s">
        <v>28</v>
      </c>
      <c r="C1185" t="s">
        <v>54</v>
      </c>
      <c r="D1185">
        <v>2019</v>
      </c>
      <c r="E1185" t="s">
        <v>119</v>
      </c>
      <c r="F1185" t="s">
        <v>110</v>
      </c>
      <c r="G1185" t="s">
        <v>54</v>
      </c>
      <c r="H1185">
        <v>1692.7928122278877</v>
      </c>
      <c r="I1185">
        <v>105484.6913011686</v>
      </c>
      <c r="J1185">
        <v>0</v>
      </c>
      <c r="K1185">
        <v>105484.6913011686</v>
      </c>
    </row>
    <row r="1186" spans="1:11" x14ac:dyDescent="0.25">
      <c r="A1186" t="s">
        <v>130</v>
      </c>
      <c r="B1186" t="s">
        <v>28</v>
      </c>
      <c r="C1186" t="s">
        <v>41</v>
      </c>
      <c r="D1186">
        <v>2019</v>
      </c>
      <c r="E1186" t="s">
        <v>119</v>
      </c>
      <c r="F1186" t="s">
        <v>110</v>
      </c>
      <c r="G1186" t="s">
        <v>41</v>
      </c>
      <c r="H1186">
        <v>48.510297939945318</v>
      </c>
      <c r="I1186">
        <v>576.59340131419003</v>
      </c>
      <c r="J1186">
        <v>0</v>
      </c>
      <c r="K1186">
        <v>576.59340131419003</v>
      </c>
    </row>
    <row r="1187" spans="1:11" x14ac:dyDescent="0.25">
      <c r="A1187" t="s">
        <v>130</v>
      </c>
      <c r="B1187" t="s">
        <v>28</v>
      </c>
      <c r="C1187" t="s">
        <v>80</v>
      </c>
      <c r="D1187">
        <v>2019</v>
      </c>
      <c r="E1187" t="s">
        <v>119</v>
      </c>
      <c r="F1187" t="s">
        <v>110</v>
      </c>
      <c r="G1187" t="s">
        <v>80</v>
      </c>
      <c r="H1187">
        <v>857.94834593977373</v>
      </c>
      <c r="I1187">
        <v>35788.732627988727</v>
      </c>
      <c r="J1187">
        <v>0</v>
      </c>
      <c r="K1187">
        <v>35788.732627988727</v>
      </c>
    </row>
    <row r="1188" spans="1:11" x14ac:dyDescent="0.25">
      <c r="A1188" t="s">
        <v>130</v>
      </c>
      <c r="B1188" t="s">
        <v>28</v>
      </c>
      <c r="C1188" t="s">
        <v>75</v>
      </c>
      <c r="D1188">
        <v>2019</v>
      </c>
      <c r="E1188" t="s">
        <v>119</v>
      </c>
      <c r="F1188" t="s">
        <v>110</v>
      </c>
      <c r="G1188" t="s">
        <v>52</v>
      </c>
      <c r="H1188">
        <v>2729.7047934959128</v>
      </c>
      <c r="I1188">
        <v>54606.120392299723</v>
      </c>
      <c r="J1188">
        <v>9071.6825343208366</v>
      </c>
      <c r="K1188">
        <v>9071.6825343208366</v>
      </c>
    </row>
    <row r="1189" spans="1:11" x14ac:dyDescent="0.25">
      <c r="A1189" t="s">
        <v>130</v>
      </c>
      <c r="B1189" t="s">
        <v>28</v>
      </c>
      <c r="C1189" t="s">
        <v>78</v>
      </c>
      <c r="D1189">
        <v>2019</v>
      </c>
      <c r="E1189" t="s">
        <v>119</v>
      </c>
      <c r="F1189" t="s">
        <v>110</v>
      </c>
      <c r="G1189" t="s">
        <v>78</v>
      </c>
      <c r="H1189">
        <v>243.3055357816946</v>
      </c>
      <c r="I1189">
        <v>17031.387504718623</v>
      </c>
      <c r="J1189">
        <v>0</v>
      </c>
      <c r="K1189">
        <v>17031.387504718623</v>
      </c>
    </row>
    <row r="1190" spans="1:11" x14ac:dyDescent="0.25">
      <c r="A1190" t="s">
        <v>130</v>
      </c>
      <c r="B1190" t="s">
        <v>28</v>
      </c>
      <c r="C1190" t="s">
        <v>65</v>
      </c>
      <c r="D1190">
        <v>2019</v>
      </c>
      <c r="E1190" t="s">
        <v>119</v>
      </c>
      <c r="F1190" t="s">
        <v>110</v>
      </c>
      <c r="G1190" t="s">
        <v>65</v>
      </c>
      <c r="H1190">
        <v>574.32851892788028</v>
      </c>
      <c r="I1190">
        <v>19611.217719488595</v>
      </c>
      <c r="J1190">
        <v>0</v>
      </c>
      <c r="K1190">
        <v>19611.217719488595</v>
      </c>
    </row>
    <row r="1191" spans="1:11" x14ac:dyDescent="0.25">
      <c r="A1191" t="s">
        <v>130</v>
      </c>
      <c r="B1191" t="s">
        <v>28</v>
      </c>
      <c r="C1191" t="s">
        <v>120</v>
      </c>
      <c r="D1191">
        <v>2019</v>
      </c>
      <c r="E1191" t="s">
        <v>119</v>
      </c>
      <c r="F1191" t="s">
        <v>110</v>
      </c>
      <c r="G1191" t="s">
        <v>53</v>
      </c>
      <c r="H1191">
        <v>21241.691978712064</v>
      </c>
      <c r="I1191">
        <v>410092.10534101515</v>
      </c>
      <c r="J1191">
        <v>0</v>
      </c>
      <c r="K1191">
        <v>410092.10534101515</v>
      </c>
    </row>
    <row r="1192" spans="1:11" x14ac:dyDescent="0.25">
      <c r="A1192" t="s">
        <v>130</v>
      </c>
      <c r="B1192" t="s">
        <v>28</v>
      </c>
      <c r="C1192" t="s">
        <v>29</v>
      </c>
      <c r="D1192">
        <v>2030</v>
      </c>
      <c r="E1192" t="s">
        <v>119</v>
      </c>
      <c r="F1192" t="s">
        <v>110</v>
      </c>
      <c r="G1192" t="s">
        <v>52</v>
      </c>
      <c r="H1192">
        <v>10494.747555877077</v>
      </c>
      <c r="I1192">
        <v>102995.45251337762</v>
      </c>
      <c r="J1192">
        <v>33422.024340591037</v>
      </c>
      <c r="K1192">
        <v>33422.024340591037</v>
      </c>
    </row>
    <row r="1193" spans="1:11" x14ac:dyDescent="0.25">
      <c r="A1193" t="s">
        <v>130</v>
      </c>
      <c r="B1193" t="s">
        <v>28</v>
      </c>
      <c r="C1193" t="s">
        <v>34</v>
      </c>
      <c r="D1193">
        <v>2030</v>
      </c>
      <c r="E1193" t="s">
        <v>119</v>
      </c>
      <c r="F1193" t="s">
        <v>110</v>
      </c>
      <c r="G1193" t="s">
        <v>52</v>
      </c>
      <c r="H1193">
        <v>604.279402496633</v>
      </c>
      <c r="I1193">
        <v>3265.5258910918051</v>
      </c>
      <c r="J1193">
        <v>963.82927265854437</v>
      </c>
      <c r="K1193">
        <v>963.82927265854437</v>
      </c>
    </row>
    <row r="1194" spans="1:11" x14ac:dyDescent="0.25">
      <c r="A1194" t="s">
        <v>130</v>
      </c>
      <c r="B1194" t="s">
        <v>28</v>
      </c>
      <c r="C1194" t="s">
        <v>72</v>
      </c>
      <c r="D1194">
        <v>2030</v>
      </c>
      <c r="E1194" t="s">
        <v>119</v>
      </c>
      <c r="F1194" t="s">
        <v>110</v>
      </c>
      <c r="G1194" t="s">
        <v>52</v>
      </c>
      <c r="H1194">
        <v>782.5144630809657</v>
      </c>
      <c r="I1194">
        <v>4820.2890925787488</v>
      </c>
      <c r="J1194">
        <v>2559.5735081593152</v>
      </c>
      <c r="K1194">
        <v>2559.5735081593152</v>
      </c>
    </row>
    <row r="1195" spans="1:11" x14ac:dyDescent="0.25">
      <c r="A1195" t="s">
        <v>130</v>
      </c>
      <c r="B1195" t="s">
        <v>28</v>
      </c>
      <c r="C1195" t="s">
        <v>53</v>
      </c>
      <c r="D1195">
        <v>2030</v>
      </c>
      <c r="E1195" t="s">
        <v>119</v>
      </c>
      <c r="F1195" t="s">
        <v>110</v>
      </c>
      <c r="G1195" t="s">
        <v>53</v>
      </c>
      <c r="H1195">
        <v>18047.25370357795</v>
      </c>
      <c r="I1195">
        <v>1253706.6202801529</v>
      </c>
      <c r="J1195">
        <v>0</v>
      </c>
      <c r="K1195">
        <v>1253706.6202801529</v>
      </c>
    </row>
    <row r="1196" spans="1:11" x14ac:dyDescent="0.25">
      <c r="A1196" t="s">
        <v>130</v>
      </c>
      <c r="B1196" t="s">
        <v>28</v>
      </c>
      <c r="C1196" t="s">
        <v>30</v>
      </c>
      <c r="D1196">
        <v>2030</v>
      </c>
      <c r="E1196" t="s">
        <v>119</v>
      </c>
      <c r="F1196" t="s">
        <v>110</v>
      </c>
      <c r="G1196" t="s">
        <v>30</v>
      </c>
      <c r="H1196">
        <v>20.976548706457006</v>
      </c>
      <c r="I1196">
        <v>609.36873992257597</v>
      </c>
      <c r="J1196">
        <v>0</v>
      </c>
      <c r="K1196">
        <v>609.36873992257597</v>
      </c>
    </row>
    <row r="1197" spans="1:11" x14ac:dyDescent="0.25">
      <c r="A1197" t="s">
        <v>130</v>
      </c>
      <c r="B1197" t="s">
        <v>28</v>
      </c>
      <c r="C1197" t="s">
        <v>31</v>
      </c>
      <c r="D1197">
        <v>2030</v>
      </c>
      <c r="E1197" t="s">
        <v>119</v>
      </c>
      <c r="F1197" t="s">
        <v>110</v>
      </c>
      <c r="G1197" t="s">
        <v>31</v>
      </c>
      <c r="H1197">
        <v>1110.2948742854976</v>
      </c>
      <c r="I1197">
        <v>66017.310784368063</v>
      </c>
      <c r="J1197">
        <v>0</v>
      </c>
      <c r="K1197">
        <v>66017.310784368063</v>
      </c>
    </row>
    <row r="1198" spans="1:11" x14ac:dyDescent="0.25">
      <c r="A1198" t="s">
        <v>130</v>
      </c>
      <c r="B1198" t="s">
        <v>28</v>
      </c>
      <c r="C1198" t="s">
        <v>55</v>
      </c>
      <c r="D1198">
        <v>2030</v>
      </c>
      <c r="E1198" t="s">
        <v>119</v>
      </c>
      <c r="F1198" t="s">
        <v>110</v>
      </c>
      <c r="G1198" t="s">
        <v>55</v>
      </c>
      <c r="H1198">
        <v>12.006798379551526</v>
      </c>
      <c r="I1198">
        <v>1365.8360377550734</v>
      </c>
      <c r="J1198">
        <v>0</v>
      </c>
      <c r="K1198">
        <v>1365.8360377550734</v>
      </c>
    </row>
    <row r="1199" spans="1:11" x14ac:dyDescent="0.25">
      <c r="A1199" t="s">
        <v>130</v>
      </c>
      <c r="B1199" t="s">
        <v>28</v>
      </c>
      <c r="C1199" t="s">
        <v>54</v>
      </c>
      <c r="D1199">
        <v>2030</v>
      </c>
      <c r="E1199" t="s">
        <v>119</v>
      </c>
      <c r="F1199" t="s">
        <v>110</v>
      </c>
      <c r="G1199" t="s">
        <v>54</v>
      </c>
      <c r="H1199">
        <v>1493.1629200879825</v>
      </c>
      <c r="I1199">
        <v>93044.95420236254</v>
      </c>
      <c r="J1199">
        <v>0</v>
      </c>
      <c r="K1199">
        <v>93044.95420236254</v>
      </c>
    </row>
    <row r="1200" spans="1:11" x14ac:dyDescent="0.25">
      <c r="A1200" t="s">
        <v>130</v>
      </c>
      <c r="B1200" t="s">
        <v>28</v>
      </c>
      <c r="C1200" t="s">
        <v>41</v>
      </c>
      <c r="D1200">
        <v>2030</v>
      </c>
      <c r="E1200" t="s">
        <v>119</v>
      </c>
      <c r="F1200" t="s">
        <v>110</v>
      </c>
      <c r="G1200" t="s">
        <v>41</v>
      </c>
      <c r="H1200">
        <v>42.789511866497449</v>
      </c>
      <c r="I1200">
        <v>508.5961380451887</v>
      </c>
      <c r="J1200">
        <v>0</v>
      </c>
      <c r="K1200">
        <v>508.5961380451887</v>
      </c>
    </row>
    <row r="1201" spans="1:11" x14ac:dyDescent="0.25">
      <c r="A1201" t="s">
        <v>130</v>
      </c>
      <c r="B1201" t="s">
        <v>28</v>
      </c>
      <c r="C1201" t="s">
        <v>80</v>
      </c>
      <c r="D1201">
        <v>2030</v>
      </c>
      <c r="E1201" t="s">
        <v>119</v>
      </c>
      <c r="F1201" t="s">
        <v>110</v>
      </c>
      <c r="G1201" t="s">
        <v>80</v>
      </c>
      <c r="H1201">
        <v>756.77108755092502</v>
      </c>
      <c r="I1201">
        <v>31568.192002614502</v>
      </c>
      <c r="J1201">
        <v>0</v>
      </c>
      <c r="K1201">
        <v>31568.192002614502</v>
      </c>
    </row>
    <row r="1202" spans="1:11" x14ac:dyDescent="0.25">
      <c r="A1202" t="s">
        <v>130</v>
      </c>
      <c r="B1202" t="s">
        <v>28</v>
      </c>
      <c r="C1202" t="s">
        <v>75</v>
      </c>
      <c r="D1202">
        <v>2030</v>
      </c>
      <c r="E1202" t="s">
        <v>119</v>
      </c>
      <c r="F1202" t="s">
        <v>110</v>
      </c>
      <c r="G1202" t="s">
        <v>52</v>
      </c>
      <c r="H1202">
        <v>2407.7925845338555</v>
      </c>
      <c r="I1202">
        <v>48166.458169403915</v>
      </c>
      <c r="J1202">
        <v>7955.3466992998583</v>
      </c>
      <c r="K1202">
        <v>7955.3466992998583</v>
      </c>
    </row>
    <row r="1203" spans="1:11" x14ac:dyDescent="0.25">
      <c r="A1203" t="s">
        <v>130</v>
      </c>
      <c r="B1203" t="s">
        <v>28</v>
      </c>
      <c r="C1203" t="s">
        <v>78</v>
      </c>
      <c r="D1203">
        <v>2030</v>
      </c>
      <c r="E1203" t="s">
        <v>119</v>
      </c>
      <c r="F1203" t="s">
        <v>110</v>
      </c>
      <c r="G1203" t="s">
        <v>78</v>
      </c>
      <c r="H1203">
        <v>214.61268127859856</v>
      </c>
      <c r="I1203">
        <v>15022.887689501898</v>
      </c>
      <c r="J1203">
        <v>0</v>
      </c>
      <c r="K1203">
        <v>15022.887689501898</v>
      </c>
    </row>
    <row r="1204" spans="1:11" x14ac:dyDescent="0.25">
      <c r="A1204" t="s">
        <v>130</v>
      </c>
      <c r="B1204" t="s">
        <v>28</v>
      </c>
      <c r="C1204" t="s">
        <v>65</v>
      </c>
      <c r="D1204">
        <v>2030</v>
      </c>
      <c r="E1204" t="s">
        <v>119</v>
      </c>
      <c r="F1204" t="s">
        <v>110</v>
      </c>
      <c r="G1204" t="s">
        <v>65</v>
      </c>
      <c r="H1204">
        <v>506.59835168103979</v>
      </c>
      <c r="I1204">
        <v>17298.4803013038</v>
      </c>
      <c r="J1204">
        <v>0</v>
      </c>
      <c r="K1204">
        <v>17298.4803013038</v>
      </c>
    </row>
    <row r="1205" spans="1:11" x14ac:dyDescent="0.25">
      <c r="A1205" t="s">
        <v>130</v>
      </c>
      <c r="B1205" t="s">
        <v>28</v>
      </c>
      <c r="C1205" t="s">
        <v>120</v>
      </c>
      <c r="D1205">
        <v>2030</v>
      </c>
      <c r="E1205" t="s">
        <v>119</v>
      </c>
      <c r="F1205" t="s">
        <v>110</v>
      </c>
      <c r="G1205" t="s">
        <v>53</v>
      </c>
      <c r="H1205">
        <v>18736.673852484033</v>
      </c>
      <c r="I1205">
        <v>361730.22539605678</v>
      </c>
      <c r="J1205">
        <v>0</v>
      </c>
      <c r="K1205">
        <v>361730.22539605678</v>
      </c>
    </row>
    <row r="1206" spans="1:11" x14ac:dyDescent="0.25">
      <c r="A1206" t="s">
        <v>130</v>
      </c>
      <c r="B1206" t="s">
        <v>28</v>
      </c>
      <c r="C1206" t="s">
        <v>29</v>
      </c>
      <c r="D1206">
        <v>2050</v>
      </c>
      <c r="E1206" t="s">
        <v>119</v>
      </c>
      <c r="F1206" t="s">
        <v>110</v>
      </c>
      <c r="G1206" t="s">
        <v>52</v>
      </c>
      <c r="H1206">
        <v>10009.441310518599</v>
      </c>
      <c r="I1206">
        <v>98232.657021429521</v>
      </c>
      <c r="J1206">
        <v>31876.497203453881</v>
      </c>
      <c r="K1206">
        <v>31876.497203453881</v>
      </c>
    </row>
    <row r="1207" spans="1:11" x14ac:dyDescent="0.25">
      <c r="A1207" t="s">
        <v>130</v>
      </c>
      <c r="B1207" t="s">
        <v>28</v>
      </c>
      <c r="C1207" t="s">
        <v>34</v>
      </c>
      <c r="D1207">
        <v>2050</v>
      </c>
      <c r="E1207" t="s">
        <v>119</v>
      </c>
      <c r="F1207" t="s">
        <v>110</v>
      </c>
      <c r="G1207" t="s">
        <v>52</v>
      </c>
      <c r="H1207">
        <v>576.33584631181759</v>
      </c>
      <c r="I1207">
        <v>3114.5189134690627</v>
      </c>
      <c r="J1207">
        <v>919.25913288242691</v>
      </c>
      <c r="K1207">
        <v>919.25913288242691</v>
      </c>
    </row>
    <row r="1208" spans="1:11" x14ac:dyDescent="0.25">
      <c r="A1208" t="s">
        <v>130</v>
      </c>
      <c r="B1208" t="s">
        <v>28</v>
      </c>
      <c r="C1208" t="s">
        <v>72</v>
      </c>
      <c r="D1208">
        <v>2050</v>
      </c>
      <c r="E1208" t="s">
        <v>119</v>
      </c>
      <c r="F1208" t="s">
        <v>110</v>
      </c>
      <c r="G1208" t="s">
        <v>52</v>
      </c>
      <c r="H1208">
        <v>746.32882316970711</v>
      </c>
      <c r="I1208">
        <v>4597.3855507253957</v>
      </c>
      <c r="J1208">
        <v>2441.2117274351849</v>
      </c>
      <c r="K1208">
        <v>2441.2117274351849</v>
      </c>
    </row>
    <row r="1209" spans="1:11" x14ac:dyDescent="0.25">
      <c r="A1209" t="s">
        <v>130</v>
      </c>
      <c r="B1209" t="s">
        <v>28</v>
      </c>
      <c r="C1209" t="s">
        <v>53</v>
      </c>
      <c r="D1209">
        <v>2050</v>
      </c>
      <c r="E1209" t="s">
        <v>119</v>
      </c>
      <c r="F1209" t="s">
        <v>110</v>
      </c>
      <c r="G1209" t="s">
        <v>53</v>
      </c>
      <c r="H1209">
        <v>17212.698619019429</v>
      </c>
      <c r="I1209">
        <v>1195731.7476660416</v>
      </c>
      <c r="J1209">
        <v>0</v>
      </c>
      <c r="K1209">
        <v>1195731.7476660416</v>
      </c>
    </row>
    <row r="1210" spans="1:11" x14ac:dyDescent="0.25">
      <c r="A1210" t="s">
        <v>130</v>
      </c>
      <c r="B1210" t="s">
        <v>28</v>
      </c>
      <c r="C1210" t="s">
        <v>30</v>
      </c>
      <c r="D1210">
        <v>2050</v>
      </c>
      <c r="E1210" t="s">
        <v>119</v>
      </c>
      <c r="F1210" t="s">
        <v>110</v>
      </c>
      <c r="G1210" t="s">
        <v>30</v>
      </c>
      <c r="H1210">
        <v>20.00653489344165</v>
      </c>
      <c r="I1210">
        <v>581.18983865448001</v>
      </c>
      <c r="J1210">
        <v>0</v>
      </c>
      <c r="K1210">
        <v>581.18983865448001</v>
      </c>
    </row>
    <row r="1211" spans="1:11" x14ac:dyDescent="0.25">
      <c r="A1211" t="s">
        <v>130</v>
      </c>
      <c r="B1211" t="s">
        <v>28</v>
      </c>
      <c r="C1211" t="s">
        <v>31</v>
      </c>
      <c r="D1211">
        <v>2050</v>
      </c>
      <c r="E1211" t="s">
        <v>119</v>
      </c>
      <c r="F1211" t="s">
        <v>110</v>
      </c>
      <c r="G1211" t="s">
        <v>31</v>
      </c>
      <c r="H1211">
        <v>1058.9517587116018</v>
      </c>
      <c r="I1211">
        <v>62964.487164281672</v>
      </c>
      <c r="J1211">
        <v>0</v>
      </c>
      <c r="K1211">
        <v>62964.487164281672</v>
      </c>
    </row>
    <row r="1212" spans="1:11" x14ac:dyDescent="0.25">
      <c r="A1212" t="s">
        <v>130</v>
      </c>
      <c r="B1212" t="s">
        <v>28</v>
      </c>
      <c r="C1212" t="s">
        <v>55</v>
      </c>
      <c r="D1212">
        <v>2050</v>
      </c>
      <c r="E1212" t="s">
        <v>119</v>
      </c>
      <c r="F1212" t="s">
        <v>110</v>
      </c>
      <c r="G1212" t="s">
        <v>55</v>
      </c>
      <c r="H1212">
        <v>11.451570708820819</v>
      </c>
      <c r="I1212">
        <v>1302.6759897663992</v>
      </c>
      <c r="J1212">
        <v>0</v>
      </c>
      <c r="K1212">
        <v>1302.6759897663992</v>
      </c>
    </row>
    <row r="1213" spans="1:11" x14ac:dyDescent="0.25">
      <c r="A1213" t="s">
        <v>130</v>
      </c>
      <c r="B1213" t="s">
        <v>28</v>
      </c>
      <c r="C1213" t="s">
        <v>54</v>
      </c>
      <c r="D1213">
        <v>2050</v>
      </c>
      <c r="E1213" t="s">
        <v>119</v>
      </c>
      <c r="F1213" t="s">
        <v>110</v>
      </c>
      <c r="G1213" t="s">
        <v>54</v>
      </c>
      <c r="H1213">
        <v>1424.1149237833358</v>
      </c>
      <c r="I1213">
        <v>88742.297360634795</v>
      </c>
      <c r="J1213">
        <v>0</v>
      </c>
      <c r="K1213">
        <v>88742.297360634795</v>
      </c>
    </row>
    <row r="1214" spans="1:11" x14ac:dyDescent="0.25">
      <c r="A1214" t="s">
        <v>130</v>
      </c>
      <c r="B1214" t="s">
        <v>28</v>
      </c>
      <c r="C1214" t="s">
        <v>41</v>
      </c>
      <c r="D1214">
        <v>2050</v>
      </c>
      <c r="E1214" t="s">
        <v>119</v>
      </c>
      <c r="F1214" t="s">
        <v>110</v>
      </c>
      <c r="G1214" t="s">
        <v>41</v>
      </c>
      <c r="H1214">
        <v>40.810806115445544</v>
      </c>
      <c r="I1214">
        <v>485.07724148818579</v>
      </c>
      <c r="J1214">
        <v>0</v>
      </c>
      <c r="K1214">
        <v>485.07724148818579</v>
      </c>
    </row>
    <row r="1215" spans="1:11" x14ac:dyDescent="0.25">
      <c r="A1215" t="s">
        <v>130</v>
      </c>
      <c r="B1215" t="s">
        <v>28</v>
      </c>
      <c r="C1215" t="s">
        <v>80</v>
      </c>
      <c r="D1215">
        <v>2050</v>
      </c>
      <c r="E1215" t="s">
        <v>119</v>
      </c>
      <c r="F1215" t="s">
        <v>110</v>
      </c>
      <c r="G1215" t="s">
        <v>80</v>
      </c>
      <c r="H1215">
        <v>721.77589275088224</v>
      </c>
      <c r="I1215">
        <v>30108.391216366432</v>
      </c>
      <c r="J1215">
        <v>0</v>
      </c>
      <c r="K1215">
        <v>30108.391216366432</v>
      </c>
    </row>
    <row r="1216" spans="1:11" x14ac:dyDescent="0.25">
      <c r="A1216" t="s">
        <v>130</v>
      </c>
      <c r="B1216" t="s">
        <v>28</v>
      </c>
      <c r="C1216" t="s">
        <v>75</v>
      </c>
      <c r="D1216">
        <v>2050</v>
      </c>
      <c r="E1216" t="s">
        <v>119</v>
      </c>
      <c r="F1216" t="s">
        <v>110</v>
      </c>
      <c r="G1216" t="s">
        <v>52</v>
      </c>
      <c r="H1216">
        <v>2296.4495748444288</v>
      </c>
      <c r="I1216">
        <v>45939.10750261067</v>
      </c>
      <c r="J1216">
        <v>7587.4693952859907</v>
      </c>
      <c r="K1216">
        <v>7587.4693952859907</v>
      </c>
    </row>
    <row r="1217" spans="1:11" x14ac:dyDescent="0.25">
      <c r="A1217" t="s">
        <v>130</v>
      </c>
      <c r="B1217" t="s">
        <v>28</v>
      </c>
      <c r="C1217" t="s">
        <v>78</v>
      </c>
      <c r="D1217">
        <v>2050</v>
      </c>
      <c r="E1217" t="s">
        <v>119</v>
      </c>
      <c r="F1217" t="s">
        <v>110</v>
      </c>
      <c r="G1217" t="s">
        <v>78</v>
      </c>
      <c r="H1217">
        <v>204.6883954391258</v>
      </c>
      <c r="I1217">
        <v>14328.187680738807</v>
      </c>
      <c r="J1217">
        <v>0</v>
      </c>
      <c r="K1217">
        <v>14328.187680738807</v>
      </c>
    </row>
    <row r="1218" spans="1:11" x14ac:dyDescent="0.25">
      <c r="A1218" t="s">
        <v>130</v>
      </c>
      <c r="B1218" t="s">
        <v>28</v>
      </c>
      <c r="C1218" t="s">
        <v>65</v>
      </c>
      <c r="D1218">
        <v>2050</v>
      </c>
      <c r="E1218" t="s">
        <v>119</v>
      </c>
      <c r="F1218" t="s">
        <v>110</v>
      </c>
      <c r="G1218" t="s">
        <v>65</v>
      </c>
      <c r="H1218">
        <v>483.1718383085061</v>
      </c>
      <c r="I1218">
        <v>16498.550576388014</v>
      </c>
      <c r="J1218">
        <v>0</v>
      </c>
      <c r="K1218">
        <v>16498.550576388014</v>
      </c>
    </row>
    <row r="1219" spans="1:11" x14ac:dyDescent="0.25">
      <c r="A1219" t="s">
        <v>130</v>
      </c>
      <c r="B1219" t="s">
        <v>28</v>
      </c>
      <c r="C1219" t="s">
        <v>120</v>
      </c>
      <c r="D1219">
        <v>2050</v>
      </c>
      <c r="E1219" t="s">
        <v>119</v>
      </c>
      <c r="F1219" t="s">
        <v>110</v>
      </c>
      <c r="G1219" t="s">
        <v>53</v>
      </c>
      <c r="H1219">
        <v>17870.23806739807</v>
      </c>
      <c r="I1219">
        <v>345002.81612918718</v>
      </c>
      <c r="J1219">
        <v>0</v>
      </c>
      <c r="K1219">
        <v>345002.81612918718</v>
      </c>
    </row>
    <row r="1220" spans="1:11" x14ac:dyDescent="0.25">
      <c r="A1220" t="s">
        <v>130</v>
      </c>
      <c r="B1220" t="s">
        <v>28</v>
      </c>
      <c r="C1220" t="s">
        <v>29</v>
      </c>
      <c r="D1220">
        <v>2019</v>
      </c>
      <c r="E1220" t="s">
        <v>121</v>
      </c>
      <c r="F1220" t="s">
        <v>110</v>
      </c>
      <c r="G1220" t="s">
        <v>52</v>
      </c>
      <c r="H1220">
        <v>1521.2775270361781</v>
      </c>
      <c r="I1220">
        <v>10002.977825723145</v>
      </c>
      <c r="J1220">
        <v>3264.9469548714701</v>
      </c>
      <c r="K1220">
        <v>3264.9469548714701</v>
      </c>
    </row>
    <row r="1221" spans="1:11" x14ac:dyDescent="0.25">
      <c r="A1221" t="s">
        <v>130</v>
      </c>
      <c r="B1221" t="s">
        <v>28</v>
      </c>
      <c r="C1221" t="s">
        <v>34</v>
      </c>
      <c r="D1221">
        <v>2019</v>
      </c>
      <c r="E1221" t="s">
        <v>121</v>
      </c>
      <c r="F1221" t="s">
        <v>110</v>
      </c>
      <c r="G1221" t="s">
        <v>52</v>
      </c>
      <c r="H1221">
        <v>87.593976908399355</v>
      </c>
      <c r="I1221">
        <v>269.81397519140432</v>
      </c>
      <c r="J1221">
        <v>80.102033939855289</v>
      </c>
      <c r="K1221">
        <v>80.102033939855289</v>
      </c>
    </row>
    <row r="1222" spans="1:11" x14ac:dyDescent="0.25">
      <c r="A1222" t="s">
        <v>130</v>
      </c>
      <c r="B1222" t="s">
        <v>28</v>
      </c>
      <c r="C1222" t="s">
        <v>72</v>
      </c>
      <c r="D1222">
        <v>2019</v>
      </c>
      <c r="E1222" t="s">
        <v>121</v>
      </c>
      <c r="F1222" t="s">
        <v>110</v>
      </c>
      <c r="G1222" t="s">
        <v>52</v>
      </c>
      <c r="H1222">
        <v>113.43023364094317</v>
      </c>
      <c r="I1222">
        <v>384.3016315755155</v>
      </c>
      <c r="J1222">
        <v>205.25742293264076</v>
      </c>
      <c r="K1222">
        <v>205.25742293264076</v>
      </c>
    </row>
    <row r="1223" spans="1:11" x14ac:dyDescent="0.25">
      <c r="A1223" t="s">
        <v>130</v>
      </c>
      <c r="B1223" t="s">
        <v>28</v>
      </c>
      <c r="C1223" t="s">
        <v>53</v>
      </c>
      <c r="D1223">
        <v>2019</v>
      </c>
      <c r="E1223" t="s">
        <v>121</v>
      </c>
      <c r="F1223" t="s">
        <v>110</v>
      </c>
      <c r="G1223" t="s">
        <v>53</v>
      </c>
      <c r="H1223">
        <v>2616.0592560989035</v>
      </c>
      <c r="I1223">
        <v>141751.27543408933</v>
      </c>
      <c r="J1223">
        <v>0</v>
      </c>
      <c r="K1223">
        <v>141751.27543408933</v>
      </c>
    </row>
    <row r="1224" spans="1:11" x14ac:dyDescent="0.25">
      <c r="A1224" t="s">
        <v>130</v>
      </c>
      <c r="B1224" t="s">
        <v>28</v>
      </c>
      <c r="C1224" t="s">
        <v>30</v>
      </c>
      <c r="D1224">
        <v>2019</v>
      </c>
      <c r="E1224" t="s">
        <v>121</v>
      </c>
      <c r="F1224" t="s">
        <v>110</v>
      </c>
      <c r="G1224" t="s">
        <v>30</v>
      </c>
      <c r="H1224">
        <v>3.0406783938354529</v>
      </c>
      <c r="I1224">
        <v>50.34907318432434</v>
      </c>
      <c r="J1224">
        <v>0</v>
      </c>
      <c r="K1224">
        <v>50.34907318432434</v>
      </c>
    </row>
    <row r="1225" spans="1:11" x14ac:dyDescent="0.25">
      <c r="A1225" t="s">
        <v>130</v>
      </c>
      <c r="B1225" t="s">
        <v>28</v>
      </c>
      <c r="C1225" t="s">
        <v>31</v>
      </c>
      <c r="D1225">
        <v>2019</v>
      </c>
      <c r="E1225" t="s">
        <v>121</v>
      </c>
      <c r="F1225" t="s">
        <v>110</v>
      </c>
      <c r="G1225" t="s">
        <v>31</v>
      </c>
      <c r="H1225">
        <v>160.94399904722869</v>
      </c>
      <c r="I1225">
        <v>5454.6782503755512</v>
      </c>
      <c r="J1225">
        <v>0</v>
      </c>
      <c r="K1225">
        <v>5454.6782503755512</v>
      </c>
    </row>
    <row r="1226" spans="1:11" x14ac:dyDescent="0.25">
      <c r="A1226" t="s">
        <v>130</v>
      </c>
      <c r="B1226" t="s">
        <v>28</v>
      </c>
      <c r="C1226" t="s">
        <v>55</v>
      </c>
      <c r="D1226">
        <v>2019</v>
      </c>
      <c r="E1226" t="s">
        <v>121</v>
      </c>
      <c r="F1226" t="s">
        <v>110</v>
      </c>
      <c r="G1226" t="s">
        <v>55</v>
      </c>
      <c r="H1226">
        <v>1.7404584959489884</v>
      </c>
      <c r="I1226">
        <v>112.85216014109164</v>
      </c>
      <c r="J1226">
        <v>0</v>
      </c>
      <c r="K1226">
        <v>112.85216014109164</v>
      </c>
    </row>
    <row r="1227" spans="1:11" x14ac:dyDescent="0.25">
      <c r="A1227" t="s">
        <v>130</v>
      </c>
      <c r="B1227" t="s">
        <v>28</v>
      </c>
      <c r="C1227" t="s">
        <v>54</v>
      </c>
      <c r="D1227">
        <v>2019</v>
      </c>
      <c r="E1227" t="s">
        <v>121</v>
      </c>
      <c r="F1227" t="s">
        <v>110</v>
      </c>
      <c r="G1227" t="s">
        <v>54</v>
      </c>
      <c r="H1227">
        <v>216.44305234016915</v>
      </c>
      <c r="I1227">
        <v>11194.568861726002</v>
      </c>
      <c r="J1227">
        <v>0</v>
      </c>
      <c r="K1227">
        <v>11194.568861726002</v>
      </c>
    </row>
    <row r="1228" spans="1:11" x14ac:dyDescent="0.25">
      <c r="A1228" t="s">
        <v>130</v>
      </c>
      <c r="B1228" t="s">
        <v>28</v>
      </c>
      <c r="C1228" t="s">
        <v>41</v>
      </c>
      <c r="D1228">
        <v>2019</v>
      </c>
      <c r="E1228" t="s">
        <v>121</v>
      </c>
      <c r="F1228" t="s">
        <v>110</v>
      </c>
      <c r="G1228" t="s">
        <v>41</v>
      </c>
      <c r="H1228">
        <v>6.2026001529591133</v>
      </c>
      <c r="I1228">
        <v>42.022740088301049</v>
      </c>
      <c r="J1228">
        <v>0</v>
      </c>
      <c r="K1228">
        <v>42.022740088301049</v>
      </c>
    </row>
    <row r="1229" spans="1:11" x14ac:dyDescent="0.25">
      <c r="A1229" t="s">
        <v>130</v>
      </c>
      <c r="B1229" t="s">
        <v>28</v>
      </c>
      <c r="C1229" t="s">
        <v>80</v>
      </c>
      <c r="D1229">
        <v>2019</v>
      </c>
      <c r="E1229" t="s">
        <v>121</v>
      </c>
      <c r="F1229" t="s">
        <v>110</v>
      </c>
      <c r="G1229" t="s">
        <v>80</v>
      </c>
      <c r="H1229">
        <v>109.69857468913038</v>
      </c>
      <c r="I1229">
        <v>2608.3208824239755</v>
      </c>
      <c r="J1229">
        <v>0</v>
      </c>
      <c r="K1229">
        <v>2608.3208824239755</v>
      </c>
    </row>
    <row r="1230" spans="1:11" x14ac:dyDescent="0.25">
      <c r="A1230" t="s">
        <v>130</v>
      </c>
      <c r="B1230" t="s">
        <v>28</v>
      </c>
      <c r="C1230" t="s">
        <v>75</v>
      </c>
      <c r="D1230">
        <v>2019</v>
      </c>
      <c r="E1230" t="s">
        <v>121</v>
      </c>
      <c r="F1230" t="s">
        <v>110</v>
      </c>
      <c r="G1230" t="s">
        <v>52</v>
      </c>
      <c r="H1230">
        <v>349.0241884441013</v>
      </c>
      <c r="I1230">
        <v>3979.7521082376879</v>
      </c>
      <c r="J1230">
        <v>661.15386758582895</v>
      </c>
      <c r="K1230">
        <v>661.15386758582895</v>
      </c>
    </row>
    <row r="1231" spans="1:11" x14ac:dyDescent="0.25">
      <c r="A1231" t="s">
        <v>130</v>
      </c>
      <c r="B1231" t="s">
        <v>28</v>
      </c>
      <c r="C1231" t="s">
        <v>78</v>
      </c>
      <c r="D1231">
        <v>2019</v>
      </c>
      <c r="E1231" t="s">
        <v>121</v>
      </c>
      <c r="F1231" t="s">
        <v>110</v>
      </c>
      <c r="G1231" t="s">
        <v>78</v>
      </c>
      <c r="H1231">
        <v>31.109414238675758</v>
      </c>
      <c r="I1231">
        <v>1241.2656281231625</v>
      </c>
      <c r="J1231">
        <v>0</v>
      </c>
      <c r="K1231">
        <v>1241.2656281231625</v>
      </c>
    </row>
    <row r="1232" spans="1:11" x14ac:dyDescent="0.25">
      <c r="A1232" t="s">
        <v>130</v>
      </c>
      <c r="B1232" t="s">
        <v>28</v>
      </c>
      <c r="C1232" t="s">
        <v>65</v>
      </c>
      <c r="D1232">
        <v>2019</v>
      </c>
      <c r="E1232" t="s">
        <v>121</v>
      </c>
      <c r="F1232" t="s">
        <v>110</v>
      </c>
      <c r="G1232" t="s">
        <v>65</v>
      </c>
      <c r="H1232">
        <v>73.434514126483776</v>
      </c>
      <c r="I1232">
        <v>1429.2863969008304</v>
      </c>
      <c r="J1232">
        <v>0</v>
      </c>
      <c r="K1232">
        <v>1429.2863969008304</v>
      </c>
    </row>
    <row r="1233" spans="1:11" x14ac:dyDescent="0.25">
      <c r="A1233" t="s">
        <v>130</v>
      </c>
      <c r="B1233" t="s">
        <v>28</v>
      </c>
      <c r="C1233" t="s">
        <v>120</v>
      </c>
      <c r="D1233">
        <v>2019</v>
      </c>
      <c r="E1233" t="s">
        <v>121</v>
      </c>
      <c r="F1233" t="s">
        <v>110</v>
      </c>
      <c r="G1233" t="s">
        <v>53</v>
      </c>
      <c r="H1233">
        <v>2715.9949023479103</v>
      </c>
      <c r="I1233">
        <v>52434.997584728757</v>
      </c>
      <c r="J1233">
        <v>0</v>
      </c>
      <c r="K1233">
        <v>52434.997584728757</v>
      </c>
    </row>
    <row r="1234" spans="1:11" x14ac:dyDescent="0.25">
      <c r="A1234" t="s">
        <v>130</v>
      </c>
      <c r="B1234" t="s">
        <v>28</v>
      </c>
      <c r="C1234" t="s">
        <v>29</v>
      </c>
      <c r="D1234">
        <v>2030</v>
      </c>
      <c r="E1234" t="s">
        <v>121</v>
      </c>
      <c r="F1234" t="s">
        <v>110</v>
      </c>
      <c r="G1234" t="s">
        <v>52</v>
      </c>
      <c r="H1234">
        <v>1637.9085780848618</v>
      </c>
      <c r="I1234">
        <v>10769.871306167639</v>
      </c>
      <c r="J1234">
        <v>3494.8232388513989</v>
      </c>
      <c r="K1234">
        <v>3494.8232388513989</v>
      </c>
    </row>
    <row r="1235" spans="1:11" x14ac:dyDescent="0.25">
      <c r="A1235" t="s">
        <v>130</v>
      </c>
      <c r="B1235" t="s">
        <v>28</v>
      </c>
      <c r="C1235" t="s">
        <v>34</v>
      </c>
      <c r="D1235">
        <v>2030</v>
      </c>
      <c r="E1235" t="s">
        <v>121</v>
      </c>
      <c r="F1235" t="s">
        <v>110</v>
      </c>
      <c r="G1235" t="s">
        <v>52</v>
      </c>
      <c r="H1235">
        <v>94.309502123751969</v>
      </c>
      <c r="I1235">
        <v>290.49967320175068</v>
      </c>
      <c r="J1235">
        <v>85.741806394306337</v>
      </c>
      <c r="K1235">
        <v>85.741806394306337</v>
      </c>
    </row>
    <row r="1236" spans="1:11" x14ac:dyDescent="0.25">
      <c r="A1236" t="s">
        <v>130</v>
      </c>
      <c r="B1236" t="s">
        <v>28</v>
      </c>
      <c r="C1236" t="s">
        <v>72</v>
      </c>
      <c r="D1236">
        <v>2030</v>
      </c>
      <c r="E1236" t="s">
        <v>121</v>
      </c>
      <c r="F1236" t="s">
        <v>110</v>
      </c>
      <c r="G1236" t="s">
        <v>52</v>
      </c>
      <c r="H1236">
        <v>122.12653470049754</v>
      </c>
      <c r="I1236">
        <v>413.76469956528575</v>
      </c>
      <c r="J1236">
        <v>219.70905546916671</v>
      </c>
      <c r="K1236">
        <v>219.70905546916671</v>
      </c>
    </row>
    <row r="1237" spans="1:11" x14ac:dyDescent="0.25">
      <c r="A1237" t="s">
        <v>130</v>
      </c>
      <c r="B1237" t="s">
        <v>28</v>
      </c>
      <c r="C1237" t="s">
        <v>53</v>
      </c>
      <c r="D1237">
        <v>2030</v>
      </c>
      <c r="E1237" t="s">
        <v>121</v>
      </c>
      <c r="F1237" t="s">
        <v>110</v>
      </c>
      <c r="G1237" t="s">
        <v>53</v>
      </c>
      <c r="H1237">
        <v>2816.6234103849979</v>
      </c>
      <c r="I1237">
        <v>152618.85215664754</v>
      </c>
      <c r="J1237">
        <v>0</v>
      </c>
      <c r="K1237">
        <v>152618.85215664754</v>
      </c>
    </row>
    <row r="1238" spans="1:11" x14ac:dyDescent="0.25">
      <c r="A1238" t="s">
        <v>130</v>
      </c>
      <c r="B1238" t="s">
        <v>28</v>
      </c>
      <c r="C1238" t="s">
        <v>30</v>
      </c>
      <c r="D1238">
        <v>2030</v>
      </c>
      <c r="E1238" t="s">
        <v>121</v>
      </c>
      <c r="F1238" t="s">
        <v>110</v>
      </c>
      <c r="G1238" t="s">
        <v>30</v>
      </c>
      <c r="H1238">
        <v>3.2737966189268159</v>
      </c>
      <c r="I1238">
        <v>54.209161314499674</v>
      </c>
      <c r="J1238">
        <v>0</v>
      </c>
      <c r="K1238">
        <v>54.209161314499674</v>
      </c>
    </row>
    <row r="1239" spans="1:11" x14ac:dyDescent="0.25">
      <c r="A1239" t="s">
        <v>130</v>
      </c>
      <c r="B1239" t="s">
        <v>28</v>
      </c>
      <c r="C1239" t="s">
        <v>31</v>
      </c>
      <c r="D1239">
        <v>2030</v>
      </c>
      <c r="E1239" t="s">
        <v>121</v>
      </c>
      <c r="F1239" t="s">
        <v>110</v>
      </c>
      <c r="G1239" t="s">
        <v>31</v>
      </c>
      <c r="H1239">
        <v>173.28301506189848</v>
      </c>
      <c r="I1239">
        <v>5872.8694391411809</v>
      </c>
      <c r="J1239">
        <v>0</v>
      </c>
      <c r="K1239">
        <v>5872.8694391411809</v>
      </c>
    </row>
    <row r="1240" spans="1:11" x14ac:dyDescent="0.25">
      <c r="A1240" t="s">
        <v>130</v>
      </c>
      <c r="B1240" t="s">
        <v>28</v>
      </c>
      <c r="C1240" t="s">
        <v>55</v>
      </c>
      <c r="D1240">
        <v>2030</v>
      </c>
      <c r="E1240" t="s">
        <v>121</v>
      </c>
      <c r="F1240" t="s">
        <v>110</v>
      </c>
      <c r="G1240" t="s">
        <v>55</v>
      </c>
      <c r="H1240">
        <v>1.8738933887161342</v>
      </c>
      <c r="I1240">
        <v>121.50414231821139</v>
      </c>
      <c r="J1240">
        <v>0</v>
      </c>
      <c r="K1240">
        <v>121.50414231821139</v>
      </c>
    </row>
    <row r="1241" spans="1:11" x14ac:dyDescent="0.25">
      <c r="A1241" t="s">
        <v>130</v>
      </c>
      <c r="B1241" t="s">
        <v>28</v>
      </c>
      <c r="C1241" t="s">
        <v>54</v>
      </c>
      <c r="D1241">
        <v>2030</v>
      </c>
      <c r="E1241" t="s">
        <v>121</v>
      </c>
      <c r="F1241" t="s">
        <v>110</v>
      </c>
      <c r="G1241" t="s">
        <v>54</v>
      </c>
      <c r="H1241">
        <v>233.03698752818224</v>
      </c>
      <c r="I1241">
        <v>12052.817477889854</v>
      </c>
      <c r="J1241">
        <v>0</v>
      </c>
      <c r="K1241">
        <v>12052.817477889854</v>
      </c>
    </row>
    <row r="1242" spans="1:11" x14ac:dyDescent="0.25">
      <c r="A1242" t="s">
        <v>130</v>
      </c>
      <c r="B1242" t="s">
        <v>28</v>
      </c>
      <c r="C1242" t="s">
        <v>41</v>
      </c>
      <c r="D1242">
        <v>2030</v>
      </c>
      <c r="E1242" t="s">
        <v>121</v>
      </c>
      <c r="F1242" t="s">
        <v>110</v>
      </c>
      <c r="G1242" t="s">
        <v>41</v>
      </c>
      <c r="H1242">
        <v>6.6781319098001797</v>
      </c>
      <c r="I1242">
        <v>45.24447725153442</v>
      </c>
      <c r="J1242">
        <v>0</v>
      </c>
      <c r="K1242">
        <v>45.24447725153442</v>
      </c>
    </row>
    <row r="1243" spans="1:11" x14ac:dyDescent="0.25">
      <c r="A1243" t="s">
        <v>130</v>
      </c>
      <c r="B1243" t="s">
        <v>28</v>
      </c>
      <c r="C1243" t="s">
        <v>80</v>
      </c>
      <c r="D1243">
        <v>2030</v>
      </c>
      <c r="E1243" t="s">
        <v>121</v>
      </c>
      <c r="F1243" t="s">
        <v>110</v>
      </c>
      <c r="G1243" t="s">
        <v>80</v>
      </c>
      <c r="H1243">
        <v>118.10878245014437</v>
      </c>
      <c r="I1243">
        <v>2808.291762544723</v>
      </c>
      <c r="J1243">
        <v>0</v>
      </c>
      <c r="K1243">
        <v>2808.291762544723</v>
      </c>
    </row>
    <row r="1244" spans="1:11" x14ac:dyDescent="0.25">
      <c r="A1244" t="s">
        <v>130</v>
      </c>
      <c r="B1244" t="s">
        <v>28</v>
      </c>
      <c r="C1244" t="s">
        <v>75</v>
      </c>
      <c r="D1244">
        <v>2030</v>
      </c>
      <c r="E1244" t="s">
        <v>121</v>
      </c>
      <c r="F1244" t="s">
        <v>110</v>
      </c>
      <c r="G1244" t="s">
        <v>52</v>
      </c>
      <c r="H1244">
        <v>375.78265770181565</v>
      </c>
      <c r="I1244">
        <v>4284.8658452435047</v>
      </c>
      <c r="J1244">
        <v>707.70396359667529</v>
      </c>
      <c r="K1244">
        <v>707.70396359667529</v>
      </c>
    </row>
    <row r="1245" spans="1:11" x14ac:dyDescent="0.25">
      <c r="A1245" t="s">
        <v>130</v>
      </c>
      <c r="B1245" t="s">
        <v>28</v>
      </c>
      <c r="C1245" t="s">
        <v>78</v>
      </c>
      <c r="D1245">
        <v>2030</v>
      </c>
      <c r="E1245" t="s">
        <v>121</v>
      </c>
      <c r="F1245" t="s">
        <v>110</v>
      </c>
      <c r="G1245" t="s">
        <v>78</v>
      </c>
      <c r="H1245">
        <v>33.494464708220583</v>
      </c>
      <c r="I1245">
        <v>1336.4291418580012</v>
      </c>
      <c r="J1245">
        <v>0</v>
      </c>
      <c r="K1245">
        <v>1336.4291418580012</v>
      </c>
    </row>
    <row r="1246" spans="1:11" x14ac:dyDescent="0.25">
      <c r="A1246" t="s">
        <v>130</v>
      </c>
      <c r="B1246" t="s">
        <v>28</v>
      </c>
      <c r="C1246" t="s">
        <v>65</v>
      </c>
      <c r="D1246">
        <v>2030</v>
      </c>
      <c r="E1246" t="s">
        <v>121</v>
      </c>
      <c r="F1246" t="s">
        <v>110</v>
      </c>
      <c r="G1246" t="s">
        <v>65</v>
      </c>
      <c r="H1246">
        <v>79.064482632301008</v>
      </c>
      <c r="I1246">
        <v>1538.8648083067364</v>
      </c>
      <c r="J1246">
        <v>0</v>
      </c>
      <c r="K1246">
        <v>1538.8648083067364</v>
      </c>
    </row>
    <row r="1247" spans="1:11" x14ac:dyDescent="0.25">
      <c r="A1247" t="s">
        <v>130</v>
      </c>
      <c r="B1247" t="s">
        <v>28</v>
      </c>
      <c r="C1247" t="s">
        <v>120</v>
      </c>
      <c r="D1247">
        <v>2030</v>
      </c>
      <c r="E1247" t="s">
        <v>121</v>
      </c>
      <c r="F1247" t="s">
        <v>110</v>
      </c>
      <c r="G1247" t="s">
        <v>53</v>
      </c>
      <c r="H1247">
        <v>2924.2207746651384</v>
      </c>
      <c r="I1247">
        <v>56455.006275685155</v>
      </c>
      <c r="J1247">
        <v>0</v>
      </c>
      <c r="K1247">
        <v>56455.006275685155</v>
      </c>
    </row>
    <row r="1248" spans="1:11" x14ac:dyDescent="0.25">
      <c r="A1248" t="s">
        <v>130</v>
      </c>
      <c r="B1248" t="s">
        <v>28</v>
      </c>
      <c r="C1248" t="s">
        <v>29</v>
      </c>
      <c r="D1248">
        <v>2050</v>
      </c>
      <c r="E1248" t="s">
        <v>121</v>
      </c>
      <c r="F1248" t="s">
        <v>110</v>
      </c>
      <c r="G1248" t="s">
        <v>52</v>
      </c>
      <c r="H1248">
        <v>2123.2148234433389</v>
      </c>
      <c r="I1248">
        <v>13960.944285772861</v>
      </c>
      <c r="J1248">
        <v>4530.3264207332932</v>
      </c>
      <c r="K1248">
        <v>4530.3264207332932</v>
      </c>
    </row>
    <row r="1249" spans="1:11" x14ac:dyDescent="0.25">
      <c r="A1249" t="s">
        <v>130</v>
      </c>
      <c r="B1249" t="s">
        <v>28</v>
      </c>
      <c r="C1249" t="s">
        <v>34</v>
      </c>
      <c r="D1249">
        <v>2050</v>
      </c>
      <c r="E1249" t="s">
        <v>121</v>
      </c>
      <c r="F1249" t="s">
        <v>110</v>
      </c>
      <c r="G1249" t="s">
        <v>52</v>
      </c>
      <c r="H1249">
        <v>122.25305830856736</v>
      </c>
      <c r="I1249">
        <v>376.57365044671383</v>
      </c>
      <c r="J1249">
        <v>111.14678606669341</v>
      </c>
      <c r="K1249">
        <v>111.14678606669341</v>
      </c>
    </row>
    <row r="1250" spans="1:11" x14ac:dyDescent="0.25">
      <c r="A1250" t="s">
        <v>130</v>
      </c>
      <c r="B1250" t="s">
        <v>28</v>
      </c>
      <c r="C1250" t="s">
        <v>72</v>
      </c>
      <c r="D1250">
        <v>2050</v>
      </c>
      <c r="E1250" t="s">
        <v>121</v>
      </c>
      <c r="F1250" t="s">
        <v>110</v>
      </c>
      <c r="G1250" t="s">
        <v>52</v>
      </c>
      <c r="H1250">
        <v>158.31217461175603</v>
      </c>
      <c r="I1250">
        <v>536.36164758462951</v>
      </c>
      <c r="J1250">
        <v>284.80803486743827</v>
      </c>
      <c r="K1250">
        <v>284.80803486743827</v>
      </c>
    </row>
    <row r="1251" spans="1:11" x14ac:dyDescent="0.25">
      <c r="A1251" t="s">
        <v>130</v>
      </c>
      <c r="B1251" t="s">
        <v>28</v>
      </c>
      <c r="C1251" t="s">
        <v>53</v>
      </c>
      <c r="D1251">
        <v>2050</v>
      </c>
      <c r="E1251" t="s">
        <v>121</v>
      </c>
      <c r="F1251" t="s">
        <v>110</v>
      </c>
      <c r="G1251" t="s">
        <v>53</v>
      </c>
      <c r="H1251">
        <v>3651.178494943515</v>
      </c>
      <c r="I1251">
        <v>197839.25279565417</v>
      </c>
      <c r="J1251">
        <v>0</v>
      </c>
      <c r="K1251">
        <v>197839.25279565417</v>
      </c>
    </row>
    <row r="1252" spans="1:11" x14ac:dyDescent="0.25">
      <c r="A1252" t="s">
        <v>130</v>
      </c>
      <c r="B1252" t="s">
        <v>28</v>
      </c>
      <c r="C1252" t="s">
        <v>30</v>
      </c>
      <c r="D1252">
        <v>2050</v>
      </c>
      <c r="E1252" t="s">
        <v>121</v>
      </c>
      <c r="F1252" t="s">
        <v>110</v>
      </c>
      <c r="G1252" t="s">
        <v>30</v>
      </c>
      <c r="H1252">
        <v>4.2438104319421681</v>
      </c>
      <c r="I1252">
        <v>70.27113503731438</v>
      </c>
      <c r="J1252">
        <v>0</v>
      </c>
      <c r="K1252">
        <v>70.27113503731438</v>
      </c>
    </row>
    <row r="1253" spans="1:11" x14ac:dyDescent="0.25">
      <c r="A1253" t="s">
        <v>130</v>
      </c>
      <c r="B1253" t="s">
        <v>28</v>
      </c>
      <c r="C1253" t="s">
        <v>31</v>
      </c>
      <c r="D1253">
        <v>2050</v>
      </c>
      <c r="E1253" t="s">
        <v>121</v>
      </c>
      <c r="F1253" t="s">
        <v>110</v>
      </c>
      <c r="G1253" t="s">
        <v>31</v>
      </c>
      <c r="H1253">
        <v>224.62613063579431</v>
      </c>
      <c r="I1253">
        <v>7612.9789025904211</v>
      </c>
      <c r="J1253">
        <v>0</v>
      </c>
      <c r="K1253">
        <v>7612.9789025904211</v>
      </c>
    </row>
    <row r="1254" spans="1:11" x14ac:dyDescent="0.25">
      <c r="A1254" t="s">
        <v>130</v>
      </c>
      <c r="B1254" t="s">
        <v>28</v>
      </c>
      <c r="C1254" t="s">
        <v>55</v>
      </c>
      <c r="D1254">
        <v>2050</v>
      </c>
      <c r="E1254" t="s">
        <v>121</v>
      </c>
      <c r="F1254" t="s">
        <v>110</v>
      </c>
      <c r="G1254" t="s">
        <v>55</v>
      </c>
      <c r="H1254">
        <v>2.4291210594468406</v>
      </c>
      <c r="I1254">
        <v>157.50536967175552</v>
      </c>
      <c r="J1254">
        <v>0</v>
      </c>
      <c r="K1254">
        <v>157.50536967175552</v>
      </c>
    </row>
    <row r="1255" spans="1:11" x14ac:dyDescent="0.25">
      <c r="A1255" t="s">
        <v>130</v>
      </c>
      <c r="B1255" t="s">
        <v>28</v>
      </c>
      <c r="C1255" t="s">
        <v>54</v>
      </c>
      <c r="D1255">
        <v>2050</v>
      </c>
      <c r="E1255" t="s">
        <v>121</v>
      </c>
      <c r="F1255" t="s">
        <v>110</v>
      </c>
      <c r="G1255" t="s">
        <v>54</v>
      </c>
      <c r="H1255">
        <v>302.08498383282881</v>
      </c>
      <c r="I1255">
        <v>15624.022656523883</v>
      </c>
      <c r="J1255">
        <v>0</v>
      </c>
      <c r="K1255">
        <v>15624.022656523883</v>
      </c>
    </row>
    <row r="1256" spans="1:11" x14ac:dyDescent="0.25">
      <c r="A1256" t="s">
        <v>130</v>
      </c>
      <c r="B1256" t="s">
        <v>28</v>
      </c>
      <c r="C1256" t="s">
        <v>41</v>
      </c>
      <c r="D1256">
        <v>2050</v>
      </c>
      <c r="E1256" t="s">
        <v>121</v>
      </c>
      <c r="F1256" t="s">
        <v>110</v>
      </c>
      <c r="G1256" t="s">
        <v>41</v>
      </c>
      <c r="H1256">
        <v>8.6568376608520836</v>
      </c>
      <c r="I1256">
        <v>58.650248289026081</v>
      </c>
      <c r="J1256">
        <v>0</v>
      </c>
      <c r="K1256">
        <v>58.650248289026081</v>
      </c>
    </row>
    <row r="1257" spans="1:11" x14ac:dyDescent="0.25">
      <c r="A1257" t="s">
        <v>130</v>
      </c>
      <c r="B1257" t="s">
        <v>28</v>
      </c>
      <c r="C1257" t="s">
        <v>80</v>
      </c>
      <c r="D1257">
        <v>2050</v>
      </c>
      <c r="E1257" t="s">
        <v>121</v>
      </c>
      <c r="F1257" t="s">
        <v>110</v>
      </c>
      <c r="G1257" t="s">
        <v>80</v>
      </c>
      <c r="H1257">
        <v>153.10397725018711</v>
      </c>
      <c r="I1257">
        <v>3640.3782107061229</v>
      </c>
      <c r="J1257">
        <v>0</v>
      </c>
      <c r="K1257">
        <v>3640.3782107061229</v>
      </c>
    </row>
    <row r="1258" spans="1:11" x14ac:dyDescent="0.25">
      <c r="A1258" t="s">
        <v>130</v>
      </c>
      <c r="B1258" t="s">
        <v>28</v>
      </c>
      <c r="C1258" t="s">
        <v>75</v>
      </c>
      <c r="D1258">
        <v>2050</v>
      </c>
      <c r="E1258" t="s">
        <v>121</v>
      </c>
      <c r="F1258" t="s">
        <v>110</v>
      </c>
      <c r="G1258" t="s">
        <v>52</v>
      </c>
      <c r="H1258">
        <v>487.12566739124247</v>
      </c>
      <c r="I1258">
        <v>5554.4557253156536</v>
      </c>
      <c r="J1258">
        <v>917.39402688457892</v>
      </c>
      <c r="K1258">
        <v>917.39402688457892</v>
      </c>
    </row>
    <row r="1259" spans="1:11" x14ac:dyDescent="0.25">
      <c r="A1259" t="s">
        <v>130</v>
      </c>
      <c r="B1259" t="s">
        <v>28</v>
      </c>
      <c r="C1259" t="s">
        <v>78</v>
      </c>
      <c r="D1259">
        <v>2050</v>
      </c>
      <c r="E1259" t="s">
        <v>121</v>
      </c>
      <c r="F1259" t="s">
        <v>110</v>
      </c>
      <c r="G1259" t="s">
        <v>78</v>
      </c>
      <c r="H1259">
        <v>43.41875054769335</v>
      </c>
      <c r="I1259">
        <v>1732.4081468529648</v>
      </c>
      <c r="J1259">
        <v>0</v>
      </c>
      <c r="K1259">
        <v>1732.4081468529648</v>
      </c>
    </row>
    <row r="1260" spans="1:11" x14ac:dyDescent="0.25">
      <c r="A1260" t="s">
        <v>130</v>
      </c>
      <c r="B1260" t="s">
        <v>28</v>
      </c>
      <c r="C1260" t="s">
        <v>65</v>
      </c>
      <c r="D1260">
        <v>2050</v>
      </c>
      <c r="E1260" t="s">
        <v>121</v>
      </c>
      <c r="F1260" t="s">
        <v>110</v>
      </c>
      <c r="G1260" t="s">
        <v>65</v>
      </c>
      <c r="H1260">
        <v>102.49099600483463</v>
      </c>
      <c r="I1260">
        <v>1994.8247515087323</v>
      </c>
      <c r="J1260">
        <v>0</v>
      </c>
      <c r="K1260">
        <v>1994.8247515087323</v>
      </c>
    </row>
    <row r="1261" spans="1:11" x14ac:dyDescent="0.25">
      <c r="A1261" t="s">
        <v>130</v>
      </c>
      <c r="B1261" t="s">
        <v>28</v>
      </c>
      <c r="C1261" t="s">
        <v>120</v>
      </c>
      <c r="D1261">
        <v>2050</v>
      </c>
      <c r="E1261" t="s">
        <v>121</v>
      </c>
      <c r="F1261" t="s">
        <v>110</v>
      </c>
      <c r="G1261" t="s">
        <v>53</v>
      </c>
      <c r="H1261">
        <v>3790.6565597511053</v>
      </c>
      <c r="I1261">
        <v>73182.415542554852</v>
      </c>
      <c r="J1261">
        <v>0</v>
      </c>
      <c r="K1261">
        <v>73182.415542554852</v>
      </c>
    </row>
    <row r="1262" spans="1:11" x14ac:dyDescent="0.25">
      <c r="A1262" t="s">
        <v>130</v>
      </c>
      <c r="B1262" t="s">
        <v>43</v>
      </c>
      <c r="C1262" t="s">
        <v>29</v>
      </c>
      <c r="D1262">
        <v>2019</v>
      </c>
      <c r="E1262" t="s">
        <v>119</v>
      </c>
      <c r="F1262" t="s">
        <v>108</v>
      </c>
      <c r="G1262" t="s">
        <v>52</v>
      </c>
      <c r="H1262">
        <v>292562.01681062597</v>
      </c>
      <c r="I1262">
        <v>2050859.7378424881</v>
      </c>
      <c r="J1262">
        <v>669395.49128244352</v>
      </c>
      <c r="K1262">
        <v>669395.49128244352</v>
      </c>
    </row>
    <row r="1263" spans="1:11" x14ac:dyDescent="0.25">
      <c r="A1263" t="s">
        <v>130</v>
      </c>
      <c r="B1263" t="s">
        <v>43</v>
      </c>
      <c r="C1263" t="s">
        <v>34</v>
      </c>
      <c r="D1263">
        <v>2019</v>
      </c>
      <c r="E1263" t="s">
        <v>119</v>
      </c>
      <c r="F1263" t="s">
        <v>108</v>
      </c>
      <c r="G1263" t="s">
        <v>52</v>
      </c>
      <c r="H1263">
        <v>6376.3414137528825</v>
      </c>
      <c r="I1263">
        <v>24612.677857086128</v>
      </c>
      <c r="J1263">
        <v>7306.9808769558722</v>
      </c>
      <c r="K1263">
        <v>7306.9808769558722</v>
      </c>
    </row>
    <row r="1264" spans="1:11" x14ac:dyDescent="0.25">
      <c r="A1264" t="s">
        <v>130</v>
      </c>
      <c r="B1264" t="s">
        <v>43</v>
      </c>
      <c r="C1264" t="s">
        <v>72</v>
      </c>
      <c r="D1264">
        <v>2019</v>
      </c>
      <c r="E1264" t="s">
        <v>119</v>
      </c>
      <c r="F1264" t="s">
        <v>108</v>
      </c>
      <c r="G1264" t="s">
        <v>52</v>
      </c>
      <c r="H1264">
        <v>40447.722327584328</v>
      </c>
      <c r="I1264">
        <v>177969.97824137105</v>
      </c>
      <c r="J1264">
        <v>95054.655228607488</v>
      </c>
      <c r="K1264">
        <v>95054.655228607488</v>
      </c>
    </row>
    <row r="1265" spans="1:11" x14ac:dyDescent="0.25">
      <c r="A1265" t="s">
        <v>130</v>
      </c>
      <c r="B1265" t="s">
        <v>43</v>
      </c>
      <c r="C1265" t="s">
        <v>53</v>
      </c>
      <c r="D1265">
        <v>2019</v>
      </c>
      <c r="E1265" t="s">
        <v>119</v>
      </c>
      <c r="F1265" t="s">
        <v>108</v>
      </c>
      <c r="G1265" t="s">
        <v>53</v>
      </c>
      <c r="H1265">
        <v>24572.998517620537</v>
      </c>
      <c r="I1265">
        <v>1219312.186444331</v>
      </c>
      <c r="J1265">
        <v>0</v>
      </c>
      <c r="K1265">
        <v>1219312.186444331</v>
      </c>
    </row>
    <row r="1266" spans="1:11" x14ac:dyDescent="0.25">
      <c r="A1266" t="s">
        <v>130</v>
      </c>
      <c r="B1266" t="s">
        <v>43</v>
      </c>
      <c r="C1266" t="s">
        <v>30</v>
      </c>
      <c r="D1266">
        <v>2019</v>
      </c>
      <c r="E1266" t="s">
        <v>119</v>
      </c>
      <c r="F1266" t="s">
        <v>108</v>
      </c>
      <c r="G1266" t="s">
        <v>30</v>
      </c>
      <c r="H1266">
        <v>3850.5952952805674</v>
      </c>
      <c r="I1266">
        <v>79899.852377071773</v>
      </c>
      <c r="J1266">
        <v>0</v>
      </c>
      <c r="K1266">
        <v>79899.852377071773</v>
      </c>
    </row>
    <row r="1267" spans="1:11" x14ac:dyDescent="0.25">
      <c r="A1267" t="s">
        <v>130</v>
      </c>
      <c r="B1267" t="s">
        <v>43</v>
      </c>
      <c r="C1267" t="s">
        <v>31</v>
      </c>
      <c r="D1267">
        <v>2019</v>
      </c>
      <c r="E1267" t="s">
        <v>119</v>
      </c>
      <c r="F1267" t="s">
        <v>108</v>
      </c>
      <c r="G1267" t="s">
        <v>31</v>
      </c>
      <c r="H1267">
        <v>2470.1663355738019</v>
      </c>
      <c r="I1267">
        <v>104910.18611455506</v>
      </c>
      <c r="J1267">
        <v>0</v>
      </c>
      <c r="K1267">
        <v>104910.18611455506</v>
      </c>
    </row>
    <row r="1268" spans="1:11" x14ac:dyDescent="0.25">
      <c r="A1268" t="s">
        <v>130</v>
      </c>
      <c r="B1268" t="s">
        <v>43</v>
      </c>
      <c r="C1268" t="s">
        <v>55</v>
      </c>
      <c r="D1268">
        <v>2019</v>
      </c>
      <c r="E1268" t="s">
        <v>119</v>
      </c>
      <c r="F1268" t="s">
        <v>108</v>
      </c>
      <c r="G1268" t="s">
        <v>55</v>
      </c>
      <c r="H1268">
        <v>25678.880997566026</v>
      </c>
      <c r="I1268">
        <v>2086504.8977723797</v>
      </c>
      <c r="J1268">
        <v>0</v>
      </c>
      <c r="K1268">
        <v>2086504.8977723797</v>
      </c>
    </row>
    <row r="1269" spans="1:11" x14ac:dyDescent="0.25">
      <c r="A1269" t="s">
        <v>130</v>
      </c>
      <c r="B1269" t="s">
        <v>43</v>
      </c>
      <c r="C1269" t="s">
        <v>54</v>
      </c>
      <c r="D1269">
        <v>2019</v>
      </c>
      <c r="E1269" t="s">
        <v>119</v>
      </c>
      <c r="F1269" t="s">
        <v>108</v>
      </c>
      <c r="G1269" t="s">
        <v>54</v>
      </c>
      <c r="H1269">
        <v>7262.9431424427694</v>
      </c>
      <c r="I1269">
        <v>323273.59927012771</v>
      </c>
      <c r="J1269">
        <v>0</v>
      </c>
      <c r="K1269">
        <v>323273.59927012771</v>
      </c>
    </row>
    <row r="1270" spans="1:11" x14ac:dyDescent="0.25">
      <c r="A1270" t="s">
        <v>130</v>
      </c>
      <c r="B1270" t="s">
        <v>43</v>
      </c>
      <c r="C1270" t="s">
        <v>41</v>
      </c>
      <c r="D1270">
        <v>2019</v>
      </c>
      <c r="E1270" t="s">
        <v>119</v>
      </c>
      <c r="F1270" t="s">
        <v>108</v>
      </c>
      <c r="G1270" t="s">
        <v>41</v>
      </c>
      <c r="H1270">
        <v>1689.9505584470551</v>
      </c>
      <c r="I1270">
        <v>14347.680241215501</v>
      </c>
      <c r="J1270">
        <v>0</v>
      </c>
      <c r="K1270">
        <v>14347.680241215501</v>
      </c>
    </row>
    <row r="1271" spans="1:11" x14ac:dyDescent="0.25">
      <c r="A1271" t="s">
        <v>130</v>
      </c>
      <c r="B1271" t="s">
        <v>43</v>
      </c>
      <c r="C1271" t="s">
        <v>80</v>
      </c>
      <c r="D1271">
        <v>2019</v>
      </c>
      <c r="E1271" t="s">
        <v>119</v>
      </c>
      <c r="F1271" t="s">
        <v>108</v>
      </c>
      <c r="G1271" t="s">
        <v>80</v>
      </c>
      <c r="H1271">
        <v>12067.066633104925</v>
      </c>
      <c r="I1271">
        <v>359549.63570951426</v>
      </c>
      <c r="J1271">
        <v>0</v>
      </c>
      <c r="K1271">
        <v>359549.63570951426</v>
      </c>
    </row>
    <row r="1272" spans="1:11" x14ac:dyDescent="0.25">
      <c r="A1272" t="s">
        <v>130</v>
      </c>
      <c r="B1272" t="s">
        <v>43</v>
      </c>
      <c r="C1272" t="s">
        <v>75</v>
      </c>
      <c r="D1272">
        <v>2019</v>
      </c>
      <c r="E1272" t="s">
        <v>119</v>
      </c>
      <c r="F1272" t="s">
        <v>108</v>
      </c>
      <c r="G1272" t="s">
        <v>52</v>
      </c>
      <c r="H1272">
        <v>37335.148248827281</v>
      </c>
      <c r="I1272">
        <v>533476.73476254696</v>
      </c>
      <c r="J1272">
        <v>88626.174913066206</v>
      </c>
      <c r="K1272">
        <v>88626.174913066206</v>
      </c>
    </row>
    <row r="1273" spans="1:11" x14ac:dyDescent="0.25">
      <c r="A1273" t="s">
        <v>130</v>
      </c>
      <c r="B1273" t="s">
        <v>43</v>
      </c>
      <c r="C1273" t="s">
        <v>78</v>
      </c>
      <c r="D1273">
        <v>2019</v>
      </c>
      <c r="E1273" t="s">
        <v>119</v>
      </c>
      <c r="F1273" t="s">
        <v>108</v>
      </c>
      <c r="G1273" t="s">
        <v>78</v>
      </c>
      <c r="H1273">
        <v>2648.1429081925139</v>
      </c>
      <c r="I1273">
        <v>132407.14540962569</v>
      </c>
      <c r="J1273">
        <v>0</v>
      </c>
      <c r="K1273">
        <v>132407.14540962569</v>
      </c>
    </row>
    <row r="1274" spans="1:11" x14ac:dyDescent="0.25">
      <c r="A1274" t="s">
        <v>130</v>
      </c>
      <c r="B1274" t="s">
        <v>43</v>
      </c>
      <c r="C1274" t="s">
        <v>65</v>
      </c>
      <c r="D1274">
        <v>2019</v>
      </c>
      <c r="E1274" t="s">
        <v>119</v>
      </c>
      <c r="F1274" t="s">
        <v>108</v>
      </c>
      <c r="G1274" t="s">
        <v>65</v>
      </c>
      <c r="H1274">
        <v>1258.7577822820135</v>
      </c>
      <c r="I1274">
        <v>30701.40932395155</v>
      </c>
      <c r="J1274">
        <v>0</v>
      </c>
      <c r="K1274">
        <v>30701.40932395155</v>
      </c>
    </row>
    <row r="1275" spans="1:11" x14ac:dyDescent="0.25">
      <c r="A1275" t="s">
        <v>130</v>
      </c>
      <c r="B1275" t="s">
        <v>43</v>
      </c>
      <c r="C1275" t="s">
        <v>120</v>
      </c>
      <c r="D1275">
        <v>2019</v>
      </c>
      <c r="E1275" t="s">
        <v>119</v>
      </c>
      <c r="F1275" t="s">
        <v>108</v>
      </c>
      <c r="G1275" t="s">
        <v>53</v>
      </c>
      <c r="H1275">
        <v>31352.142273239417</v>
      </c>
      <c r="I1275">
        <v>432346.04194797156</v>
      </c>
      <c r="J1275">
        <v>0</v>
      </c>
      <c r="K1275">
        <v>432346.04194797156</v>
      </c>
    </row>
    <row r="1276" spans="1:11" x14ac:dyDescent="0.25">
      <c r="A1276" t="s">
        <v>130</v>
      </c>
      <c r="B1276" t="s">
        <v>43</v>
      </c>
      <c r="C1276" t="s">
        <v>29</v>
      </c>
      <c r="D1276">
        <v>2030</v>
      </c>
      <c r="E1276" t="s">
        <v>119</v>
      </c>
      <c r="F1276" t="s">
        <v>108</v>
      </c>
      <c r="G1276" t="s">
        <v>52</v>
      </c>
      <c r="H1276">
        <v>284372.46181096468</v>
      </c>
      <c r="I1276">
        <v>1993450.9572948625</v>
      </c>
      <c r="J1276">
        <v>646874.83564218285</v>
      </c>
      <c r="K1276">
        <v>646874.83564218285</v>
      </c>
    </row>
    <row r="1277" spans="1:11" x14ac:dyDescent="0.25">
      <c r="A1277" t="s">
        <v>130</v>
      </c>
      <c r="B1277" t="s">
        <v>43</v>
      </c>
      <c r="C1277" t="s">
        <v>34</v>
      </c>
      <c r="D1277">
        <v>2030</v>
      </c>
      <c r="E1277" t="s">
        <v>119</v>
      </c>
      <c r="F1277" t="s">
        <v>108</v>
      </c>
      <c r="G1277" t="s">
        <v>52</v>
      </c>
      <c r="H1277">
        <v>6197.8513989730473</v>
      </c>
      <c r="I1277">
        <v>23923.706400035964</v>
      </c>
      <c r="J1277">
        <v>7061.1501203360021</v>
      </c>
      <c r="K1277">
        <v>7061.1501203360021</v>
      </c>
    </row>
    <row r="1278" spans="1:11" x14ac:dyDescent="0.25">
      <c r="A1278" t="s">
        <v>130</v>
      </c>
      <c r="B1278" t="s">
        <v>43</v>
      </c>
      <c r="C1278" t="s">
        <v>72</v>
      </c>
      <c r="D1278">
        <v>2030</v>
      </c>
      <c r="E1278" t="s">
        <v>119</v>
      </c>
      <c r="F1278" t="s">
        <v>108</v>
      </c>
      <c r="G1278" t="s">
        <v>52</v>
      </c>
      <c r="H1278">
        <v>39315.487698414414</v>
      </c>
      <c r="I1278">
        <v>172988.14587302343</v>
      </c>
      <c r="J1278">
        <v>91856.705458575452</v>
      </c>
      <c r="K1278">
        <v>91856.705458575452</v>
      </c>
    </row>
    <row r="1279" spans="1:11" x14ac:dyDescent="0.25">
      <c r="A1279" t="s">
        <v>130</v>
      </c>
      <c r="B1279" t="s">
        <v>43</v>
      </c>
      <c r="C1279" t="s">
        <v>53</v>
      </c>
      <c r="D1279">
        <v>2030</v>
      </c>
      <c r="E1279" t="s">
        <v>119</v>
      </c>
      <c r="F1279" t="s">
        <v>108</v>
      </c>
      <c r="G1279" t="s">
        <v>53</v>
      </c>
      <c r="H1279">
        <v>23885.137786208805</v>
      </c>
      <c r="I1279">
        <v>1185180.5369516809</v>
      </c>
      <c r="J1279">
        <v>0</v>
      </c>
      <c r="K1279">
        <v>1185180.5369516809</v>
      </c>
    </row>
    <row r="1280" spans="1:11" x14ac:dyDescent="0.25">
      <c r="A1280" t="s">
        <v>130</v>
      </c>
      <c r="B1280" t="s">
        <v>43</v>
      </c>
      <c r="C1280" t="s">
        <v>30</v>
      </c>
      <c r="D1280">
        <v>2030</v>
      </c>
      <c r="E1280" t="s">
        <v>119</v>
      </c>
      <c r="F1280" t="s">
        <v>108</v>
      </c>
      <c r="G1280" t="s">
        <v>30</v>
      </c>
      <c r="H1280">
        <v>3742.8073387443319</v>
      </c>
      <c r="I1280">
        <v>77663.252278944885</v>
      </c>
      <c r="J1280">
        <v>0</v>
      </c>
      <c r="K1280">
        <v>77663.252278944885</v>
      </c>
    </row>
    <row r="1281" spans="1:11" x14ac:dyDescent="0.25">
      <c r="A1281" t="s">
        <v>130</v>
      </c>
      <c r="B1281" t="s">
        <v>43</v>
      </c>
      <c r="C1281" t="s">
        <v>31</v>
      </c>
      <c r="D1281">
        <v>2030</v>
      </c>
      <c r="E1281" t="s">
        <v>119</v>
      </c>
      <c r="F1281" t="s">
        <v>108</v>
      </c>
      <c r="G1281" t="s">
        <v>31</v>
      </c>
      <c r="H1281">
        <v>2401.0200968240606</v>
      </c>
      <c r="I1281">
        <v>101973.48315982398</v>
      </c>
      <c r="J1281">
        <v>0</v>
      </c>
      <c r="K1281">
        <v>101973.48315982398</v>
      </c>
    </row>
    <row r="1282" spans="1:11" x14ac:dyDescent="0.25">
      <c r="A1282" t="s">
        <v>130</v>
      </c>
      <c r="B1282" t="s">
        <v>43</v>
      </c>
      <c r="C1282" t="s">
        <v>55</v>
      </c>
      <c r="D1282">
        <v>2030</v>
      </c>
      <c r="E1282" t="s">
        <v>119</v>
      </c>
      <c r="F1282" t="s">
        <v>108</v>
      </c>
      <c r="G1282" t="s">
        <v>55</v>
      </c>
      <c r="H1282">
        <v>24960.063802661847</v>
      </c>
      <c r="I1282">
        <v>2028098.3185327027</v>
      </c>
      <c r="J1282">
        <v>0</v>
      </c>
      <c r="K1282">
        <v>2028098.3185327027</v>
      </c>
    </row>
    <row r="1283" spans="1:11" x14ac:dyDescent="0.25">
      <c r="A1283" t="s">
        <v>130</v>
      </c>
      <c r="B1283" t="s">
        <v>43</v>
      </c>
      <c r="C1283" t="s">
        <v>54</v>
      </c>
      <c r="D1283">
        <v>2030</v>
      </c>
      <c r="E1283" t="s">
        <v>119</v>
      </c>
      <c r="F1283" t="s">
        <v>108</v>
      </c>
      <c r="G1283" t="s">
        <v>54</v>
      </c>
      <c r="H1283">
        <v>7059.6348901519423</v>
      </c>
      <c r="I1283">
        <v>314224.34896066296</v>
      </c>
      <c r="J1283">
        <v>0</v>
      </c>
      <c r="K1283">
        <v>314224.34896066296</v>
      </c>
    </row>
    <row r="1284" spans="1:11" x14ac:dyDescent="0.25">
      <c r="A1284" t="s">
        <v>130</v>
      </c>
      <c r="B1284" t="s">
        <v>43</v>
      </c>
      <c r="C1284" t="s">
        <v>41</v>
      </c>
      <c r="D1284">
        <v>2030</v>
      </c>
      <c r="E1284" t="s">
        <v>119</v>
      </c>
      <c r="F1284" t="s">
        <v>108</v>
      </c>
      <c r="G1284" t="s">
        <v>41</v>
      </c>
      <c r="H1284">
        <v>1642.6445438249691</v>
      </c>
      <c r="I1284">
        <v>13946.052177073991</v>
      </c>
      <c r="J1284">
        <v>0</v>
      </c>
      <c r="K1284">
        <v>13946.052177073991</v>
      </c>
    </row>
    <row r="1285" spans="1:11" x14ac:dyDescent="0.25">
      <c r="A1285" t="s">
        <v>130</v>
      </c>
      <c r="B1285" t="s">
        <v>43</v>
      </c>
      <c r="C1285" t="s">
        <v>80</v>
      </c>
      <c r="D1285">
        <v>2030</v>
      </c>
      <c r="E1285" t="s">
        <v>119</v>
      </c>
      <c r="F1285" t="s">
        <v>108</v>
      </c>
      <c r="G1285" t="s">
        <v>80</v>
      </c>
      <c r="H1285">
        <v>11729.278744732668</v>
      </c>
      <c r="I1285">
        <v>349484.92686982499</v>
      </c>
      <c r="J1285">
        <v>0</v>
      </c>
      <c r="K1285">
        <v>349484.92686982499</v>
      </c>
    </row>
    <row r="1286" spans="1:11" x14ac:dyDescent="0.25">
      <c r="A1286" t="s">
        <v>130</v>
      </c>
      <c r="B1286" t="s">
        <v>43</v>
      </c>
      <c r="C1286" t="s">
        <v>75</v>
      </c>
      <c r="D1286">
        <v>2030</v>
      </c>
      <c r="E1286" t="s">
        <v>119</v>
      </c>
      <c r="F1286" t="s">
        <v>108</v>
      </c>
      <c r="G1286" t="s">
        <v>52</v>
      </c>
      <c r="H1286">
        <v>36290.042485141646</v>
      </c>
      <c r="I1286">
        <v>518543.36402629869</v>
      </c>
      <c r="J1286">
        <v>85644.500264934293</v>
      </c>
      <c r="K1286">
        <v>85644.500264934293</v>
      </c>
    </row>
    <row r="1287" spans="1:11" x14ac:dyDescent="0.25">
      <c r="A1287" t="s">
        <v>130</v>
      </c>
      <c r="B1287" t="s">
        <v>43</v>
      </c>
      <c r="C1287" t="s">
        <v>78</v>
      </c>
      <c r="D1287">
        <v>2030</v>
      </c>
      <c r="E1287" t="s">
        <v>119</v>
      </c>
      <c r="F1287" t="s">
        <v>108</v>
      </c>
      <c r="G1287" t="s">
        <v>78</v>
      </c>
      <c r="H1287">
        <v>2574.0146524810302</v>
      </c>
      <c r="I1287">
        <v>128700.73262405151</v>
      </c>
      <c r="J1287">
        <v>0</v>
      </c>
      <c r="K1287">
        <v>128700.73262405151</v>
      </c>
    </row>
    <row r="1288" spans="1:11" x14ac:dyDescent="0.25">
      <c r="A1288" t="s">
        <v>130</v>
      </c>
      <c r="B1288" t="s">
        <v>43</v>
      </c>
      <c r="C1288" t="s">
        <v>65</v>
      </c>
      <c r="D1288">
        <v>2030</v>
      </c>
      <c r="E1288" t="s">
        <v>119</v>
      </c>
      <c r="F1288" t="s">
        <v>108</v>
      </c>
      <c r="G1288" t="s">
        <v>65</v>
      </c>
      <c r="H1288">
        <v>1223.5219502296152</v>
      </c>
      <c r="I1288">
        <v>29841.998786088181</v>
      </c>
      <c r="J1288">
        <v>0</v>
      </c>
      <c r="K1288">
        <v>29841.998786088181</v>
      </c>
    </row>
    <row r="1289" spans="1:11" x14ac:dyDescent="0.25">
      <c r="A1289" t="s">
        <v>130</v>
      </c>
      <c r="B1289" t="s">
        <v>43</v>
      </c>
      <c r="C1289" t="s">
        <v>120</v>
      </c>
      <c r="D1289">
        <v>2030</v>
      </c>
      <c r="E1289" t="s">
        <v>119</v>
      </c>
      <c r="F1289" t="s">
        <v>108</v>
      </c>
      <c r="G1289" t="s">
        <v>53</v>
      </c>
      <c r="H1289">
        <v>30474.516064946976</v>
      </c>
      <c r="I1289">
        <v>420243.57653561886</v>
      </c>
      <c r="J1289">
        <v>0</v>
      </c>
      <c r="K1289">
        <v>420243.57653561886</v>
      </c>
    </row>
    <row r="1290" spans="1:11" x14ac:dyDescent="0.25">
      <c r="A1290" t="s">
        <v>130</v>
      </c>
      <c r="B1290" t="s">
        <v>43</v>
      </c>
      <c r="C1290" t="s">
        <v>29</v>
      </c>
      <c r="D1290">
        <v>2050</v>
      </c>
      <c r="E1290" t="s">
        <v>119</v>
      </c>
      <c r="F1290" t="s">
        <v>108</v>
      </c>
      <c r="G1290" t="s">
        <v>52</v>
      </c>
      <c r="H1290">
        <v>269399.56788001256</v>
      </c>
      <c r="I1290">
        <v>1888490.9708388881</v>
      </c>
      <c r="J1290">
        <v>612815.32003721921</v>
      </c>
      <c r="K1290">
        <v>612815.32003721921</v>
      </c>
    </row>
    <row r="1291" spans="1:11" x14ac:dyDescent="0.25">
      <c r="A1291" t="s">
        <v>130</v>
      </c>
      <c r="B1291" t="s">
        <v>43</v>
      </c>
      <c r="C1291" t="s">
        <v>34</v>
      </c>
      <c r="D1291">
        <v>2050</v>
      </c>
      <c r="E1291" t="s">
        <v>119</v>
      </c>
      <c r="F1291" t="s">
        <v>108</v>
      </c>
      <c r="G1291" t="s">
        <v>52</v>
      </c>
      <c r="H1291">
        <v>5871.5196191458026</v>
      </c>
      <c r="I1291">
        <v>22664.065729902799</v>
      </c>
      <c r="J1291">
        <v>6689.3635868966203</v>
      </c>
      <c r="K1291">
        <v>6689.3635868966203</v>
      </c>
    </row>
    <row r="1292" spans="1:11" x14ac:dyDescent="0.25">
      <c r="A1292" t="s">
        <v>130</v>
      </c>
      <c r="B1292" t="s">
        <v>43</v>
      </c>
      <c r="C1292" t="s">
        <v>72</v>
      </c>
      <c r="D1292">
        <v>2050</v>
      </c>
      <c r="E1292" t="s">
        <v>119</v>
      </c>
      <c r="F1292" t="s">
        <v>108</v>
      </c>
      <c r="G1292" t="s">
        <v>52</v>
      </c>
      <c r="H1292">
        <v>37245.432731055007</v>
      </c>
      <c r="I1292">
        <v>163879.90401664205</v>
      </c>
      <c r="J1292">
        <v>87020.229032836913</v>
      </c>
      <c r="K1292">
        <v>87020.229032836913</v>
      </c>
    </row>
    <row r="1293" spans="1:11" x14ac:dyDescent="0.25">
      <c r="A1293" t="s">
        <v>130</v>
      </c>
      <c r="B1293" t="s">
        <v>43</v>
      </c>
      <c r="C1293" t="s">
        <v>53</v>
      </c>
      <c r="D1293">
        <v>2050</v>
      </c>
      <c r="E1293" t="s">
        <v>119</v>
      </c>
      <c r="F1293" t="s">
        <v>108</v>
      </c>
      <c r="G1293" t="s">
        <v>53</v>
      </c>
      <c r="H1293">
        <v>22627.527846337711</v>
      </c>
      <c r="I1293">
        <v>1122777.9317352772</v>
      </c>
      <c r="J1293">
        <v>0</v>
      </c>
      <c r="K1293">
        <v>1122777.9317352772</v>
      </c>
    </row>
    <row r="1294" spans="1:11" x14ac:dyDescent="0.25">
      <c r="A1294" t="s">
        <v>130</v>
      </c>
      <c r="B1294" t="s">
        <v>43</v>
      </c>
      <c r="C1294" t="s">
        <v>30</v>
      </c>
      <c r="D1294">
        <v>2050</v>
      </c>
      <c r="E1294" t="s">
        <v>119</v>
      </c>
      <c r="F1294" t="s">
        <v>108</v>
      </c>
      <c r="G1294" t="s">
        <v>30</v>
      </c>
      <c r="H1294">
        <v>3545.7395322129769</v>
      </c>
      <c r="I1294">
        <v>73574.095293419276</v>
      </c>
      <c r="J1294">
        <v>0</v>
      </c>
      <c r="K1294">
        <v>73574.095293419276</v>
      </c>
    </row>
    <row r="1295" spans="1:11" x14ac:dyDescent="0.25">
      <c r="A1295" t="s">
        <v>130</v>
      </c>
      <c r="B1295" t="s">
        <v>43</v>
      </c>
      <c r="C1295" t="s">
        <v>31</v>
      </c>
      <c r="D1295">
        <v>2050</v>
      </c>
      <c r="E1295" t="s">
        <v>119</v>
      </c>
      <c r="F1295" t="s">
        <v>108</v>
      </c>
      <c r="G1295" t="s">
        <v>31</v>
      </c>
      <c r="H1295">
        <v>2274.6006151102201</v>
      </c>
      <c r="I1295">
        <v>96604.334060792258</v>
      </c>
      <c r="J1295">
        <v>0</v>
      </c>
      <c r="K1295">
        <v>96604.334060792258</v>
      </c>
    </row>
    <row r="1296" spans="1:11" x14ac:dyDescent="0.25">
      <c r="A1296" t="s">
        <v>130</v>
      </c>
      <c r="B1296" t="s">
        <v>43</v>
      </c>
      <c r="C1296" t="s">
        <v>55</v>
      </c>
      <c r="D1296">
        <v>2050</v>
      </c>
      <c r="E1296" t="s">
        <v>119</v>
      </c>
      <c r="F1296" t="s">
        <v>108</v>
      </c>
      <c r="G1296" t="s">
        <v>55</v>
      </c>
      <c r="H1296">
        <v>23645.856423202276</v>
      </c>
      <c r="I1296">
        <v>1921314.0651927341</v>
      </c>
      <c r="J1296">
        <v>0</v>
      </c>
      <c r="K1296">
        <v>1921314.0651927341</v>
      </c>
    </row>
    <row r="1297" spans="1:11" x14ac:dyDescent="0.25">
      <c r="A1297" t="s">
        <v>130</v>
      </c>
      <c r="B1297" t="s">
        <v>43</v>
      </c>
      <c r="C1297" t="s">
        <v>54</v>
      </c>
      <c r="D1297">
        <v>2050</v>
      </c>
      <c r="E1297" t="s">
        <v>119</v>
      </c>
      <c r="F1297" t="s">
        <v>108</v>
      </c>
      <c r="G1297" t="s">
        <v>54</v>
      </c>
      <c r="H1297">
        <v>6687.9281372253527</v>
      </c>
      <c r="I1297">
        <v>297679.68138790049</v>
      </c>
      <c r="J1297">
        <v>0</v>
      </c>
      <c r="K1297">
        <v>297679.68138790049</v>
      </c>
    </row>
    <row r="1298" spans="1:11" x14ac:dyDescent="0.25">
      <c r="A1298" t="s">
        <v>130</v>
      </c>
      <c r="B1298" t="s">
        <v>43</v>
      </c>
      <c r="C1298" t="s">
        <v>41</v>
      </c>
      <c r="D1298">
        <v>2050</v>
      </c>
      <c r="E1298" t="s">
        <v>119</v>
      </c>
      <c r="F1298" t="s">
        <v>108</v>
      </c>
      <c r="G1298" t="s">
        <v>41</v>
      </c>
      <c r="H1298">
        <v>1556.1553586052762</v>
      </c>
      <c r="I1298">
        <v>13211.758994558797</v>
      </c>
      <c r="J1298">
        <v>0</v>
      </c>
      <c r="K1298">
        <v>13211.758994558797</v>
      </c>
    </row>
    <row r="1299" spans="1:11" x14ac:dyDescent="0.25">
      <c r="A1299" t="s">
        <v>130</v>
      </c>
      <c r="B1299" t="s">
        <v>43</v>
      </c>
      <c r="C1299" t="s">
        <v>80</v>
      </c>
      <c r="D1299">
        <v>2050</v>
      </c>
      <c r="E1299" t="s">
        <v>119</v>
      </c>
      <c r="F1299" t="s">
        <v>108</v>
      </c>
      <c r="G1299" t="s">
        <v>80</v>
      </c>
      <c r="H1299">
        <v>11111.704013997321</v>
      </c>
      <c r="I1299">
        <v>331083.70508075121</v>
      </c>
      <c r="J1299">
        <v>0</v>
      </c>
      <c r="K1299">
        <v>331083.70508075121</v>
      </c>
    </row>
    <row r="1300" spans="1:11" x14ac:dyDescent="0.25">
      <c r="A1300" t="s">
        <v>130</v>
      </c>
      <c r="B1300" t="s">
        <v>43</v>
      </c>
      <c r="C1300" t="s">
        <v>75</v>
      </c>
      <c r="D1300">
        <v>2050</v>
      </c>
      <c r="E1300" t="s">
        <v>119</v>
      </c>
      <c r="F1300" t="s">
        <v>108</v>
      </c>
      <c r="G1300" t="s">
        <v>52</v>
      </c>
      <c r="H1300">
        <v>34379.284483401752</v>
      </c>
      <c r="I1300">
        <v>491240.80899434892</v>
      </c>
      <c r="J1300">
        <v>81135.111380828137</v>
      </c>
      <c r="K1300">
        <v>81135.111380828137</v>
      </c>
    </row>
    <row r="1301" spans="1:11" x14ac:dyDescent="0.25">
      <c r="A1301" t="s">
        <v>130</v>
      </c>
      <c r="B1301" t="s">
        <v>43</v>
      </c>
      <c r="C1301" t="s">
        <v>78</v>
      </c>
      <c r="D1301">
        <v>2050</v>
      </c>
      <c r="E1301" t="s">
        <v>119</v>
      </c>
      <c r="F1301" t="s">
        <v>108</v>
      </c>
      <c r="G1301" t="s">
        <v>78</v>
      </c>
      <c r="H1301">
        <v>2438.4865914202696</v>
      </c>
      <c r="I1301">
        <v>121924.32957101348</v>
      </c>
      <c r="J1301">
        <v>0</v>
      </c>
      <c r="K1301">
        <v>121924.32957101348</v>
      </c>
    </row>
    <row r="1302" spans="1:11" x14ac:dyDescent="0.25">
      <c r="A1302" t="s">
        <v>130</v>
      </c>
      <c r="B1302" t="s">
        <v>43</v>
      </c>
      <c r="C1302" t="s">
        <v>65</v>
      </c>
      <c r="D1302">
        <v>2050</v>
      </c>
      <c r="E1302" t="s">
        <v>119</v>
      </c>
      <c r="F1302" t="s">
        <v>108</v>
      </c>
      <c r="G1302" t="s">
        <v>65</v>
      </c>
      <c r="H1302">
        <v>1159.1005774063997</v>
      </c>
      <c r="I1302">
        <v>28270.745790399997</v>
      </c>
      <c r="J1302">
        <v>0</v>
      </c>
      <c r="K1302">
        <v>28270.745790399997</v>
      </c>
    </row>
    <row r="1303" spans="1:11" x14ac:dyDescent="0.25">
      <c r="A1303" t="s">
        <v>130</v>
      </c>
      <c r="B1303" t="s">
        <v>43</v>
      </c>
      <c r="C1303" t="s">
        <v>120</v>
      </c>
      <c r="D1303">
        <v>2050</v>
      </c>
      <c r="E1303" t="s">
        <v>119</v>
      </c>
      <c r="F1303" t="s">
        <v>108</v>
      </c>
      <c r="G1303" t="s">
        <v>53</v>
      </c>
      <c r="H1303">
        <v>28869.959513543392</v>
      </c>
      <c r="I1303">
        <v>398116.7416917634</v>
      </c>
      <c r="J1303">
        <v>0</v>
      </c>
      <c r="K1303">
        <v>398116.7416917634</v>
      </c>
    </row>
    <row r="1304" spans="1:11" x14ac:dyDescent="0.25">
      <c r="A1304" t="s">
        <v>130</v>
      </c>
      <c r="B1304" t="s">
        <v>43</v>
      </c>
      <c r="C1304" t="s">
        <v>29</v>
      </c>
      <c r="D1304">
        <v>2019</v>
      </c>
      <c r="E1304" t="s">
        <v>121</v>
      </c>
      <c r="F1304" t="s">
        <v>108</v>
      </c>
      <c r="G1304" t="s">
        <v>52</v>
      </c>
      <c r="H1304">
        <v>37407.422491325582</v>
      </c>
      <c r="I1304">
        <v>175691.44121500885</v>
      </c>
      <c r="J1304">
        <v>57345.247183975873</v>
      </c>
      <c r="K1304">
        <v>57345.247183975873</v>
      </c>
    </row>
    <row r="1305" spans="1:11" x14ac:dyDescent="0.25">
      <c r="A1305" t="s">
        <v>130</v>
      </c>
      <c r="B1305" t="s">
        <v>43</v>
      </c>
      <c r="C1305" t="s">
        <v>34</v>
      </c>
      <c r="D1305">
        <v>2019</v>
      </c>
      <c r="E1305" t="s">
        <v>121</v>
      </c>
      <c r="F1305" t="s">
        <v>108</v>
      </c>
      <c r="G1305" t="s">
        <v>52</v>
      </c>
      <c r="H1305">
        <v>815.28866875287099</v>
      </c>
      <c r="I1305">
        <v>1793.798128990067</v>
      </c>
      <c r="J1305">
        <v>532.54053466904622</v>
      </c>
      <c r="K1305">
        <v>532.54053466904622</v>
      </c>
    </row>
    <row r="1306" spans="1:11" x14ac:dyDescent="0.25">
      <c r="A1306" t="s">
        <v>130</v>
      </c>
      <c r="B1306" t="s">
        <v>43</v>
      </c>
      <c r="C1306" t="s">
        <v>72</v>
      </c>
      <c r="D1306">
        <v>2019</v>
      </c>
      <c r="E1306" t="s">
        <v>121</v>
      </c>
      <c r="F1306" t="s">
        <v>108</v>
      </c>
      <c r="G1306" t="s">
        <v>52</v>
      </c>
      <c r="H1306">
        <v>5171.7070261351</v>
      </c>
      <c r="I1306">
        <v>12515.531003246942</v>
      </c>
      <c r="J1306">
        <v>6684.6076864892093</v>
      </c>
      <c r="K1306">
        <v>6684.6076864892093</v>
      </c>
    </row>
    <row r="1307" spans="1:11" x14ac:dyDescent="0.25">
      <c r="A1307" t="s">
        <v>130</v>
      </c>
      <c r="B1307" t="s">
        <v>43</v>
      </c>
      <c r="C1307" t="s">
        <v>53</v>
      </c>
      <c r="D1307">
        <v>2019</v>
      </c>
      <c r="E1307" t="s">
        <v>121</v>
      </c>
      <c r="F1307" t="s">
        <v>108</v>
      </c>
      <c r="G1307" t="s">
        <v>53</v>
      </c>
      <c r="H1307">
        <v>3141.9408009562312</v>
      </c>
      <c r="I1307">
        <v>121604.41998388959</v>
      </c>
      <c r="J1307">
        <v>0</v>
      </c>
      <c r="K1307">
        <v>121604.41998388959</v>
      </c>
    </row>
    <row r="1308" spans="1:11" x14ac:dyDescent="0.25">
      <c r="A1308" t="s">
        <v>130</v>
      </c>
      <c r="B1308" t="s">
        <v>43</v>
      </c>
      <c r="C1308" t="s">
        <v>30</v>
      </c>
      <c r="D1308">
        <v>2019</v>
      </c>
      <c r="E1308" t="s">
        <v>121</v>
      </c>
      <c r="F1308" t="s">
        <v>108</v>
      </c>
      <c r="G1308" t="s">
        <v>30</v>
      </c>
      <c r="H1308">
        <v>492.34294534860186</v>
      </c>
      <c r="I1308">
        <v>5823.1861861105881</v>
      </c>
      <c r="J1308">
        <v>0</v>
      </c>
      <c r="K1308">
        <v>5823.1861861105881</v>
      </c>
    </row>
    <row r="1309" spans="1:11" x14ac:dyDescent="0.25">
      <c r="A1309" t="s">
        <v>130</v>
      </c>
      <c r="B1309" t="s">
        <v>43</v>
      </c>
      <c r="C1309" t="s">
        <v>31</v>
      </c>
      <c r="D1309">
        <v>2019</v>
      </c>
      <c r="E1309" t="s">
        <v>121</v>
      </c>
      <c r="F1309" t="s">
        <v>108</v>
      </c>
      <c r="G1309" t="s">
        <v>31</v>
      </c>
      <c r="H1309">
        <v>315.83920819930114</v>
      </c>
      <c r="I1309">
        <v>7645.9658984285725</v>
      </c>
      <c r="J1309">
        <v>0</v>
      </c>
      <c r="K1309">
        <v>7645.9658984285725</v>
      </c>
    </row>
    <row r="1310" spans="1:11" x14ac:dyDescent="0.25">
      <c r="A1310" t="s">
        <v>130</v>
      </c>
      <c r="B1310" t="s">
        <v>43</v>
      </c>
      <c r="C1310" t="s">
        <v>55</v>
      </c>
      <c r="D1310">
        <v>2019</v>
      </c>
      <c r="E1310" t="s">
        <v>121</v>
      </c>
      <c r="F1310" t="s">
        <v>108</v>
      </c>
      <c r="G1310" t="s">
        <v>55</v>
      </c>
      <c r="H1310">
        <v>3283.3406094619722</v>
      </c>
      <c r="I1310">
        <v>152066.69520013814</v>
      </c>
      <c r="J1310">
        <v>0</v>
      </c>
      <c r="K1310">
        <v>152066.69520013814</v>
      </c>
    </row>
    <row r="1311" spans="1:11" x14ac:dyDescent="0.25">
      <c r="A1311" t="s">
        <v>130</v>
      </c>
      <c r="B1311" t="s">
        <v>43</v>
      </c>
      <c r="C1311" t="s">
        <v>54</v>
      </c>
      <c r="D1311">
        <v>2019</v>
      </c>
      <c r="E1311" t="s">
        <v>121</v>
      </c>
      <c r="F1311" t="s">
        <v>108</v>
      </c>
      <c r="G1311" t="s">
        <v>54</v>
      </c>
      <c r="H1311">
        <v>928.65090834978378</v>
      </c>
      <c r="I1311">
        <v>34307.429102438567</v>
      </c>
      <c r="J1311">
        <v>0</v>
      </c>
      <c r="K1311">
        <v>34307.429102438567</v>
      </c>
    </row>
    <row r="1312" spans="1:11" x14ac:dyDescent="0.25">
      <c r="A1312" t="s">
        <v>130</v>
      </c>
      <c r="B1312" t="s">
        <v>43</v>
      </c>
      <c r="C1312" t="s">
        <v>41</v>
      </c>
      <c r="D1312">
        <v>2019</v>
      </c>
      <c r="E1312" t="s">
        <v>121</v>
      </c>
      <c r="F1312" t="s">
        <v>108</v>
      </c>
      <c r="G1312" t="s">
        <v>41</v>
      </c>
      <c r="H1312">
        <v>216.07963746777307</v>
      </c>
      <c r="I1312">
        <v>1045.6741895977943</v>
      </c>
      <c r="J1312">
        <v>0</v>
      </c>
      <c r="K1312">
        <v>1045.6741895977943</v>
      </c>
    </row>
    <row r="1313" spans="1:11" x14ac:dyDescent="0.25">
      <c r="A1313" t="s">
        <v>130</v>
      </c>
      <c r="B1313" t="s">
        <v>43</v>
      </c>
      <c r="C1313" t="s">
        <v>80</v>
      </c>
      <c r="D1313">
        <v>2019</v>
      </c>
      <c r="E1313" t="s">
        <v>121</v>
      </c>
      <c r="F1313" t="s">
        <v>108</v>
      </c>
      <c r="G1313" t="s">
        <v>80</v>
      </c>
      <c r="H1313">
        <v>1542.9134126721628</v>
      </c>
      <c r="I1313">
        <v>26204.359702741538</v>
      </c>
      <c r="J1313">
        <v>0</v>
      </c>
      <c r="K1313">
        <v>26204.359702741538</v>
      </c>
    </row>
    <row r="1314" spans="1:11" x14ac:dyDescent="0.25">
      <c r="A1314" t="s">
        <v>130</v>
      </c>
      <c r="B1314" t="s">
        <v>43</v>
      </c>
      <c r="C1314" t="s">
        <v>75</v>
      </c>
      <c r="D1314">
        <v>2019</v>
      </c>
      <c r="E1314" t="s">
        <v>121</v>
      </c>
      <c r="F1314" t="s">
        <v>108</v>
      </c>
      <c r="G1314" t="s">
        <v>52</v>
      </c>
      <c r="H1314">
        <v>4773.7285911047593</v>
      </c>
      <c r="I1314">
        <v>38880.351590888582</v>
      </c>
      <c r="J1314">
        <v>6459.1698498517526</v>
      </c>
      <c r="K1314">
        <v>6459.1698498517526</v>
      </c>
    </row>
    <row r="1315" spans="1:11" x14ac:dyDescent="0.25">
      <c r="A1315" t="s">
        <v>130</v>
      </c>
      <c r="B1315" t="s">
        <v>43</v>
      </c>
      <c r="C1315" t="s">
        <v>78</v>
      </c>
      <c r="D1315">
        <v>2019</v>
      </c>
      <c r="E1315" t="s">
        <v>121</v>
      </c>
      <c r="F1315" t="s">
        <v>108</v>
      </c>
      <c r="G1315" t="s">
        <v>78</v>
      </c>
      <c r="H1315">
        <v>338.59556228136813</v>
      </c>
      <c r="I1315">
        <v>9649.9735250189897</v>
      </c>
      <c r="J1315">
        <v>0</v>
      </c>
      <c r="K1315">
        <v>9649.9735250189897</v>
      </c>
    </row>
    <row r="1316" spans="1:11" x14ac:dyDescent="0.25">
      <c r="A1316" t="s">
        <v>130</v>
      </c>
      <c r="B1316" t="s">
        <v>43</v>
      </c>
      <c r="C1316" t="s">
        <v>65</v>
      </c>
      <c r="D1316">
        <v>2019</v>
      </c>
      <c r="E1316" t="s">
        <v>121</v>
      </c>
      <c r="F1316" t="s">
        <v>108</v>
      </c>
      <c r="G1316" t="s">
        <v>65</v>
      </c>
      <c r="H1316">
        <v>160.94667615908057</v>
      </c>
      <c r="I1316">
        <v>2237.5513514799004</v>
      </c>
      <c r="J1316">
        <v>0</v>
      </c>
      <c r="K1316">
        <v>2237.5513514799004</v>
      </c>
    </row>
    <row r="1317" spans="1:11" x14ac:dyDescent="0.25">
      <c r="A1317" t="s">
        <v>130</v>
      </c>
      <c r="B1317" t="s">
        <v>43</v>
      </c>
      <c r="C1317" t="s">
        <v>120</v>
      </c>
      <c r="D1317">
        <v>2019</v>
      </c>
      <c r="E1317" t="s">
        <v>121</v>
      </c>
      <c r="F1317" t="s">
        <v>108</v>
      </c>
      <c r="G1317" t="s">
        <v>53</v>
      </c>
      <c r="H1317">
        <v>4008.7323870971445</v>
      </c>
      <c r="I1317">
        <v>55280.419618069631</v>
      </c>
      <c r="J1317">
        <v>0</v>
      </c>
      <c r="K1317">
        <v>55280.419618069631</v>
      </c>
    </row>
    <row r="1318" spans="1:11" x14ac:dyDescent="0.25">
      <c r="A1318" t="s">
        <v>130</v>
      </c>
      <c r="B1318" t="s">
        <v>43</v>
      </c>
      <c r="C1318" t="s">
        <v>29</v>
      </c>
      <c r="D1318">
        <v>2030</v>
      </c>
      <c r="E1318" t="s">
        <v>121</v>
      </c>
      <c r="F1318" t="s">
        <v>108</v>
      </c>
      <c r="G1318" t="s">
        <v>52</v>
      </c>
      <c r="H1318">
        <v>44381.829299977158</v>
      </c>
      <c r="I1318">
        <v>208448.13767320273</v>
      </c>
      <c r="J1318">
        <v>67641.420674954294</v>
      </c>
      <c r="K1318">
        <v>67641.420674954294</v>
      </c>
    </row>
    <row r="1319" spans="1:11" x14ac:dyDescent="0.25">
      <c r="A1319" t="s">
        <v>130</v>
      </c>
      <c r="B1319" t="s">
        <v>43</v>
      </c>
      <c r="C1319" t="s">
        <v>34</v>
      </c>
      <c r="D1319">
        <v>2030</v>
      </c>
      <c r="E1319" t="s">
        <v>121</v>
      </c>
      <c r="F1319" t="s">
        <v>108</v>
      </c>
      <c r="G1319" t="s">
        <v>52</v>
      </c>
      <c r="H1319">
        <v>967.29472700735414</v>
      </c>
      <c r="I1319">
        <v>2128.2418583615804</v>
      </c>
      <c r="J1319">
        <v>628.15664943335878</v>
      </c>
      <c r="K1319">
        <v>628.15664943335878</v>
      </c>
    </row>
    <row r="1320" spans="1:11" x14ac:dyDescent="0.25">
      <c r="A1320" t="s">
        <v>130</v>
      </c>
      <c r="B1320" t="s">
        <v>43</v>
      </c>
      <c r="C1320" t="s">
        <v>72</v>
      </c>
      <c r="D1320">
        <v>2030</v>
      </c>
      <c r="E1320" t="s">
        <v>121</v>
      </c>
      <c r="F1320" t="s">
        <v>108</v>
      </c>
      <c r="G1320" t="s">
        <v>52</v>
      </c>
      <c r="H1320">
        <v>6135.9431668045636</v>
      </c>
      <c r="I1320">
        <v>14848.982463667046</v>
      </c>
      <c r="J1320">
        <v>7884.8096882072023</v>
      </c>
      <c r="K1320">
        <v>7884.8096882072023</v>
      </c>
    </row>
    <row r="1321" spans="1:11" x14ac:dyDescent="0.25">
      <c r="A1321" t="s">
        <v>130</v>
      </c>
      <c r="B1321" t="s">
        <v>43</v>
      </c>
      <c r="C1321" t="s">
        <v>53</v>
      </c>
      <c r="D1321">
        <v>2030</v>
      </c>
      <c r="E1321" t="s">
        <v>121</v>
      </c>
      <c r="F1321" t="s">
        <v>108</v>
      </c>
      <c r="G1321" t="s">
        <v>53</v>
      </c>
      <c r="H1321">
        <v>3727.7382672117792</v>
      </c>
      <c r="I1321">
        <v>144276.89079885781</v>
      </c>
      <c r="J1321">
        <v>0</v>
      </c>
      <c r="K1321">
        <v>144276.89079885781</v>
      </c>
    </row>
    <row r="1322" spans="1:11" x14ac:dyDescent="0.25">
      <c r="A1322" t="s">
        <v>130</v>
      </c>
      <c r="B1322" t="s">
        <v>43</v>
      </c>
      <c r="C1322" t="s">
        <v>30</v>
      </c>
      <c r="D1322">
        <v>2030</v>
      </c>
      <c r="E1322" t="s">
        <v>121</v>
      </c>
      <c r="F1322" t="s">
        <v>108</v>
      </c>
      <c r="G1322" t="s">
        <v>30</v>
      </c>
      <c r="H1322">
        <v>584.13756153813279</v>
      </c>
      <c r="I1322">
        <v>6908.8870090922646</v>
      </c>
      <c r="J1322">
        <v>0</v>
      </c>
      <c r="K1322">
        <v>6908.8870090922646</v>
      </c>
    </row>
    <row r="1323" spans="1:11" x14ac:dyDescent="0.25">
      <c r="A1323" t="s">
        <v>130</v>
      </c>
      <c r="B1323" t="s">
        <v>43</v>
      </c>
      <c r="C1323" t="s">
        <v>31</v>
      </c>
      <c r="D1323">
        <v>2030</v>
      </c>
      <c r="E1323" t="s">
        <v>121</v>
      </c>
      <c r="F1323" t="s">
        <v>108</v>
      </c>
      <c r="G1323" t="s">
        <v>31</v>
      </c>
      <c r="H1323">
        <v>374.72567985115398</v>
      </c>
      <c r="I1323">
        <v>9071.5139065300064</v>
      </c>
      <c r="J1323">
        <v>0</v>
      </c>
      <c r="K1323">
        <v>9071.5139065300064</v>
      </c>
    </row>
    <row r="1324" spans="1:11" x14ac:dyDescent="0.25">
      <c r="A1324" t="s">
        <v>130</v>
      </c>
      <c r="B1324" t="s">
        <v>43</v>
      </c>
      <c r="C1324" t="s">
        <v>55</v>
      </c>
      <c r="D1324">
        <v>2030</v>
      </c>
      <c r="E1324" t="s">
        <v>121</v>
      </c>
      <c r="F1324" t="s">
        <v>108</v>
      </c>
      <c r="G1324" t="s">
        <v>55</v>
      </c>
      <c r="H1324">
        <v>3895.5012871206354</v>
      </c>
      <c r="I1324">
        <v>180418.68856773584</v>
      </c>
      <c r="J1324">
        <v>0</v>
      </c>
      <c r="K1324">
        <v>180418.68856773584</v>
      </c>
    </row>
    <row r="1325" spans="1:11" x14ac:dyDescent="0.25">
      <c r="A1325" t="s">
        <v>130</v>
      </c>
      <c r="B1325" t="s">
        <v>43</v>
      </c>
      <c r="C1325" t="s">
        <v>54</v>
      </c>
      <c r="D1325">
        <v>2030</v>
      </c>
      <c r="E1325" t="s">
        <v>121</v>
      </c>
      <c r="F1325" t="s">
        <v>108</v>
      </c>
      <c r="G1325" t="s">
        <v>54</v>
      </c>
      <c r="H1325">
        <v>1101.7927285208236</v>
      </c>
      <c r="I1325">
        <v>40703.859307563347</v>
      </c>
      <c r="J1325">
        <v>0</v>
      </c>
      <c r="K1325">
        <v>40703.859307563347</v>
      </c>
    </row>
    <row r="1326" spans="1:11" x14ac:dyDescent="0.25">
      <c r="A1326" t="s">
        <v>130</v>
      </c>
      <c r="B1326" t="s">
        <v>43</v>
      </c>
      <c r="C1326" t="s">
        <v>41</v>
      </c>
      <c r="D1326">
        <v>2030</v>
      </c>
      <c r="E1326" t="s">
        <v>121</v>
      </c>
      <c r="F1326" t="s">
        <v>108</v>
      </c>
      <c r="G1326" t="s">
        <v>41</v>
      </c>
      <c r="H1326">
        <v>256.36648949869465</v>
      </c>
      <c r="I1326">
        <v>1240.6343526310329</v>
      </c>
      <c r="J1326">
        <v>0</v>
      </c>
      <c r="K1326">
        <v>1240.6343526310329</v>
      </c>
    </row>
    <row r="1327" spans="1:11" x14ac:dyDescent="0.25">
      <c r="A1327" t="s">
        <v>130</v>
      </c>
      <c r="B1327" t="s">
        <v>43</v>
      </c>
      <c r="C1327" t="s">
        <v>80</v>
      </c>
      <c r="D1327">
        <v>2030</v>
      </c>
      <c r="E1327" t="s">
        <v>121</v>
      </c>
      <c r="F1327" t="s">
        <v>108</v>
      </c>
      <c r="G1327" t="s">
        <v>80</v>
      </c>
      <c r="H1327">
        <v>1830.5810757675265</v>
      </c>
      <c r="I1327">
        <v>31090.017482812756</v>
      </c>
      <c r="J1327">
        <v>0</v>
      </c>
      <c r="K1327">
        <v>31090.017482812756</v>
      </c>
    </row>
    <row r="1328" spans="1:11" x14ac:dyDescent="0.25">
      <c r="A1328" t="s">
        <v>130</v>
      </c>
      <c r="B1328" t="s">
        <v>43</v>
      </c>
      <c r="C1328" t="s">
        <v>75</v>
      </c>
      <c r="D1328">
        <v>2030</v>
      </c>
      <c r="E1328" t="s">
        <v>121</v>
      </c>
      <c r="F1328" t="s">
        <v>108</v>
      </c>
      <c r="G1328" t="s">
        <v>52</v>
      </c>
      <c r="H1328">
        <v>5663.7638560625701</v>
      </c>
      <c r="I1328">
        <v>46129.377874940677</v>
      </c>
      <c r="J1328">
        <v>7618.895139175369</v>
      </c>
      <c r="K1328">
        <v>7618.895139175369</v>
      </c>
    </row>
    <row r="1329" spans="1:11" x14ac:dyDescent="0.25">
      <c r="A1329" t="s">
        <v>130</v>
      </c>
      <c r="B1329" t="s">
        <v>43</v>
      </c>
      <c r="C1329" t="s">
        <v>78</v>
      </c>
      <c r="D1329">
        <v>2030</v>
      </c>
      <c r="E1329" t="s">
        <v>121</v>
      </c>
      <c r="F1329" t="s">
        <v>108</v>
      </c>
      <c r="G1329" t="s">
        <v>78</v>
      </c>
      <c r="H1329">
        <v>401.72483015599897</v>
      </c>
      <c r="I1329">
        <v>11449.157659445971</v>
      </c>
      <c r="J1329">
        <v>0</v>
      </c>
      <c r="K1329">
        <v>11449.157659445971</v>
      </c>
    </row>
    <row r="1330" spans="1:11" x14ac:dyDescent="0.25">
      <c r="A1330" t="s">
        <v>130</v>
      </c>
      <c r="B1330" t="s">
        <v>43</v>
      </c>
      <c r="C1330" t="s">
        <v>65</v>
      </c>
      <c r="D1330">
        <v>2030</v>
      </c>
      <c r="E1330" t="s">
        <v>121</v>
      </c>
      <c r="F1330" t="s">
        <v>108</v>
      </c>
      <c r="G1330" t="s">
        <v>65</v>
      </c>
      <c r="H1330">
        <v>190.95429281040239</v>
      </c>
      <c r="I1330">
        <v>2654.7304122421797</v>
      </c>
      <c r="J1330">
        <v>0</v>
      </c>
      <c r="K1330">
        <v>2654.7304122421797</v>
      </c>
    </row>
    <row r="1331" spans="1:11" x14ac:dyDescent="0.25">
      <c r="A1331" t="s">
        <v>130</v>
      </c>
      <c r="B1331" t="s">
        <v>43</v>
      </c>
      <c r="C1331" t="s">
        <v>120</v>
      </c>
      <c r="D1331">
        <v>2030</v>
      </c>
      <c r="E1331" t="s">
        <v>121</v>
      </c>
      <c r="F1331" t="s">
        <v>108</v>
      </c>
      <c r="G1331" t="s">
        <v>53</v>
      </c>
      <c r="H1331">
        <v>4756.138345396349</v>
      </c>
      <c r="I1331">
        <v>65587.147783015665</v>
      </c>
      <c r="J1331">
        <v>0</v>
      </c>
      <c r="K1331">
        <v>65587.147783015665</v>
      </c>
    </row>
    <row r="1332" spans="1:11" x14ac:dyDescent="0.25">
      <c r="A1332" t="s">
        <v>130</v>
      </c>
      <c r="B1332" t="s">
        <v>43</v>
      </c>
      <c r="C1332" t="s">
        <v>29</v>
      </c>
      <c r="D1332">
        <v>2050</v>
      </c>
      <c r="E1332" t="s">
        <v>121</v>
      </c>
      <c r="F1332" t="s">
        <v>108</v>
      </c>
      <c r="G1332" t="s">
        <v>52</v>
      </c>
      <c r="H1332">
        <v>57145.362883639027</v>
      </c>
      <c r="I1332">
        <v>268394.62585558742</v>
      </c>
      <c r="J1332">
        <v>87094.056090138125</v>
      </c>
      <c r="K1332">
        <v>87094.056090138125</v>
      </c>
    </row>
    <row r="1333" spans="1:11" x14ac:dyDescent="0.25">
      <c r="A1333" t="s">
        <v>130</v>
      </c>
      <c r="B1333" t="s">
        <v>43</v>
      </c>
      <c r="C1333" t="s">
        <v>34</v>
      </c>
      <c r="D1333">
        <v>2050</v>
      </c>
      <c r="E1333" t="s">
        <v>121</v>
      </c>
      <c r="F1333" t="s">
        <v>108</v>
      </c>
      <c r="G1333" t="s">
        <v>52</v>
      </c>
      <c r="H1333">
        <v>1245.4738586066856</v>
      </c>
      <c r="I1333">
        <v>2740.2915837064297</v>
      </c>
      <c r="J1333">
        <v>808.80487005204611</v>
      </c>
      <c r="K1333">
        <v>808.80487005204611</v>
      </c>
    </row>
    <row r="1334" spans="1:11" x14ac:dyDescent="0.25">
      <c r="A1334" t="s">
        <v>130</v>
      </c>
      <c r="B1334" t="s">
        <v>43</v>
      </c>
      <c r="C1334" t="s">
        <v>72</v>
      </c>
      <c r="D1334">
        <v>2050</v>
      </c>
      <c r="E1334" t="s">
        <v>121</v>
      </c>
      <c r="F1334" t="s">
        <v>108</v>
      </c>
      <c r="G1334" t="s">
        <v>52</v>
      </c>
      <c r="H1334">
        <v>7900.5463368904539</v>
      </c>
      <c r="I1334">
        <v>19119.322135274899</v>
      </c>
      <c r="J1334">
        <v>10152.360053830971</v>
      </c>
      <c r="K1334">
        <v>10152.360053830971</v>
      </c>
    </row>
    <row r="1335" spans="1:11" x14ac:dyDescent="0.25">
      <c r="A1335" t="s">
        <v>130</v>
      </c>
      <c r="B1335" t="s">
        <v>43</v>
      </c>
      <c r="C1335" t="s">
        <v>53</v>
      </c>
      <c r="D1335">
        <v>2050</v>
      </c>
      <c r="E1335" t="s">
        <v>121</v>
      </c>
      <c r="F1335" t="s">
        <v>108</v>
      </c>
      <c r="G1335" t="s">
        <v>53</v>
      </c>
      <c r="H1335">
        <v>4799.7786340716357</v>
      </c>
      <c r="I1335">
        <v>185768.71234165499</v>
      </c>
      <c r="J1335">
        <v>0</v>
      </c>
      <c r="K1335">
        <v>185768.71234165499</v>
      </c>
    </row>
    <row r="1336" spans="1:11" x14ac:dyDescent="0.25">
      <c r="A1336" t="s">
        <v>130</v>
      </c>
      <c r="B1336" t="s">
        <v>43</v>
      </c>
      <c r="C1336" t="s">
        <v>30</v>
      </c>
      <c r="D1336">
        <v>2050</v>
      </c>
      <c r="E1336" t="s">
        <v>121</v>
      </c>
      <c r="F1336" t="s">
        <v>108</v>
      </c>
      <c r="G1336" t="s">
        <v>30</v>
      </c>
      <c r="H1336">
        <v>752.12656743911634</v>
      </c>
      <c r="I1336">
        <v>8895.7769763861488</v>
      </c>
      <c r="J1336">
        <v>0</v>
      </c>
      <c r="K1336">
        <v>8895.7769763861488</v>
      </c>
    </row>
    <row r="1337" spans="1:11" x14ac:dyDescent="0.25">
      <c r="A1337" t="s">
        <v>130</v>
      </c>
      <c r="B1337" t="s">
        <v>43</v>
      </c>
      <c r="C1337" t="s">
        <v>31</v>
      </c>
      <c r="D1337">
        <v>2050</v>
      </c>
      <c r="E1337" t="s">
        <v>121</v>
      </c>
      <c r="F1337" t="s">
        <v>108</v>
      </c>
      <c r="G1337" t="s">
        <v>31</v>
      </c>
      <c r="H1337">
        <v>482.49103956883454</v>
      </c>
      <c r="I1337">
        <v>11680.342209168517</v>
      </c>
      <c r="J1337">
        <v>0</v>
      </c>
      <c r="K1337">
        <v>11680.342209168517</v>
      </c>
    </row>
    <row r="1338" spans="1:11" x14ac:dyDescent="0.25">
      <c r="A1338" t="s">
        <v>130</v>
      </c>
      <c r="B1338" t="s">
        <v>43</v>
      </c>
      <c r="C1338" t="s">
        <v>55</v>
      </c>
      <c r="D1338">
        <v>2050</v>
      </c>
      <c r="E1338" t="s">
        <v>121</v>
      </c>
      <c r="F1338" t="s">
        <v>108</v>
      </c>
      <c r="G1338" t="s">
        <v>55</v>
      </c>
      <c r="H1338">
        <v>5015.7877261338162</v>
      </c>
      <c r="I1338">
        <v>232304.33697330329</v>
      </c>
      <c r="J1338">
        <v>0</v>
      </c>
      <c r="K1338">
        <v>232304.33697330329</v>
      </c>
    </row>
    <row r="1339" spans="1:11" x14ac:dyDescent="0.25">
      <c r="A1339" t="s">
        <v>130</v>
      </c>
      <c r="B1339" t="s">
        <v>43</v>
      </c>
      <c r="C1339" t="s">
        <v>54</v>
      </c>
      <c r="D1339">
        <v>2050</v>
      </c>
      <c r="E1339" t="s">
        <v>121</v>
      </c>
      <c r="F1339" t="s">
        <v>108</v>
      </c>
      <c r="G1339" t="s">
        <v>54</v>
      </c>
      <c r="H1339">
        <v>1418.6514230478022</v>
      </c>
      <c r="I1339">
        <v>52409.665117081866</v>
      </c>
      <c r="J1339">
        <v>0</v>
      </c>
      <c r="K1339">
        <v>52409.665117081866</v>
      </c>
    </row>
    <row r="1340" spans="1:11" x14ac:dyDescent="0.25">
      <c r="A1340" t="s">
        <v>130</v>
      </c>
      <c r="B1340" t="s">
        <v>43</v>
      </c>
      <c r="C1340" t="s">
        <v>41</v>
      </c>
      <c r="D1340">
        <v>2050</v>
      </c>
      <c r="E1340" t="s">
        <v>121</v>
      </c>
      <c r="F1340" t="s">
        <v>108</v>
      </c>
      <c r="G1340" t="s">
        <v>41</v>
      </c>
      <c r="H1340">
        <v>330.09356091627075</v>
      </c>
      <c r="I1340">
        <v>1597.421769342109</v>
      </c>
      <c r="J1340">
        <v>0</v>
      </c>
      <c r="K1340">
        <v>1597.421769342109</v>
      </c>
    </row>
    <row r="1341" spans="1:11" x14ac:dyDescent="0.25">
      <c r="A1341" t="s">
        <v>130</v>
      </c>
      <c r="B1341" t="s">
        <v>43</v>
      </c>
      <c r="C1341" t="s">
        <v>80</v>
      </c>
      <c r="D1341">
        <v>2050</v>
      </c>
      <c r="E1341" t="s">
        <v>121</v>
      </c>
      <c r="F1341" t="s">
        <v>108</v>
      </c>
      <c r="G1341" t="s">
        <v>80</v>
      </c>
      <c r="H1341">
        <v>2357.0281241812504</v>
      </c>
      <c r="I1341">
        <v>40031.029796127194</v>
      </c>
      <c r="J1341">
        <v>0</v>
      </c>
      <c r="K1341">
        <v>40031.029796127194</v>
      </c>
    </row>
    <row r="1342" spans="1:11" x14ac:dyDescent="0.25">
      <c r="A1342" t="s">
        <v>130</v>
      </c>
      <c r="B1342" t="s">
        <v>43</v>
      </c>
      <c r="C1342" t="s">
        <v>75</v>
      </c>
      <c r="D1342">
        <v>2050</v>
      </c>
      <c r="E1342" t="s">
        <v>121</v>
      </c>
      <c r="F1342" t="s">
        <v>108</v>
      </c>
      <c r="G1342" t="s">
        <v>52</v>
      </c>
      <c r="H1342">
        <v>7292.5754964791595</v>
      </c>
      <c r="I1342">
        <v>59395.479632953095</v>
      </c>
      <c r="J1342">
        <v>9809.9725578637645</v>
      </c>
      <c r="K1342">
        <v>9809.9725578637645</v>
      </c>
    </row>
    <row r="1343" spans="1:11" x14ac:dyDescent="0.25">
      <c r="A1343" t="s">
        <v>130</v>
      </c>
      <c r="B1343" t="s">
        <v>43</v>
      </c>
      <c r="C1343" t="s">
        <v>78</v>
      </c>
      <c r="D1343">
        <v>2050</v>
      </c>
      <c r="E1343" t="s">
        <v>121</v>
      </c>
      <c r="F1343" t="s">
        <v>108</v>
      </c>
      <c r="G1343" t="s">
        <v>78</v>
      </c>
      <c r="H1343">
        <v>517.25473151339054</v>
      </c>
      <c r="I1343">
        <v>14741.759848131631</v>
      </c>
      <c r="J1343">
        <v>0</v>
      </c>
      <c r="K1343">
        <v>14741.759848131631</v>
      </c>
    </row>
    <row r="1344" spans="1:11" x14ac:dyDescent="0.25">
      <c r="A1344" t="s">
        <v>130</v>
      </c>
      <c r="B1344" t="s">
        <v>43</v>
      </c>
      <c r="C1344" t="s">
        <v>65</v>
      </c>
      <c r="D1344">
        <v>2050</v>
      </c>
      <c r="E1344" t="s">
        <v>121</v>
      </c>
      <c r="F1344" t="s">
        <v>108</v>
      </c>
      <c r="G1344" t="s">
        <v>65</v>
      </c>
      <c r="H1344">
        <v>245.86981944984234</v>
      </c>
      <c r="I1344">
        <v>3418.1901728392713</v>
      </c>
      <c r="J1344">
        <v>0</v>
      </c>
      <c r="K1344">
        <v>3418.1901728392713</v>
      </c>
    </row>
    <row r="1345" spans="1:11" x14ac:dyDescent="0.25">
      <c r="A1345" t="s">
        <v>130</v>
      </c>
      <c r="B1345" t="s">
        <v>43</v>
      </c>
      <c r="C1345" t="s">
        <v>120</v>
      </c>
      <c r="D1345">
        <v>2050</v>
      </c>
      <c r="E1345" t="s">
        <v>121</v>
      </c>
      <c r="F1345" t="s">
        <v>108</v>
      </c>
      <c r="G1345" t="s">
        <v>53</v>
      </c>
      <c r="H1345">
        <v>6123.9308059031428</v>
      </c>
      <c r="I1345">
        <v>84449.00581340435</v>
      </c>
      <c r="J1345">
        <v>0</v>
      </c>
      <c r="K1345">
        <v>84449.00581340435</v>
      </c>
    </row>
    <row r="1346" spans="1:11" x14ac:dyDescent="0.25">
      <c r="A1346" t="s">
        <v>130</v>
      </c>
      <c r="B1346" t="s">
        <v>43</v>
      </c>
      <c r="C1346" t="s">
        <v>29</v>
      </c>
      <c r="D1346">
        <v>2019</v>
      </c>
      <c r="E1346" t="s">
        <v>119</v>
      </c>
      <c r="F1346" t="s">
        <v>109</v>
      </c>
      <c r="G1346" t="s">
        <v>52</v>
      </c>
      <c r="H1346">
        <v>3321.6653666372972</v>
      </c>
      <c r="I1346">
        <v>27941.849064152946</v>
      </c>
      <c r="J1346">
        <v>9120.1496799168599</v>
      </c>
      <c r="K1346">
        <v>9120.1496799168599</v>
      </c>
    </row>
    <row r="1347" spans="1:11" x14ac:dyDescent="0.25">
      <c r="A1347" t="s">
        <v>130</v>
      </c>
      <c r="B1347" t="s">
        <v>43</v>
      </c>
      <c r="C1347" t="s">
        <v>34</v>
      </c>
      <c r="D1347">
        <v>2019</v>
      </c>
      <c r="E1347" t="s">
        <v>119</v>
      </c>
      <c r="F1347" t="s">
        <v>109</v>
      </c>
      <c r="G1347" t="s">
        <v>52</v>
      </c>
      <c r="H1347">
        <v>89.823141135380936</v>
      </c>
      <c r="I1347">
        <v>416.06078973908456</v>
      </c>
      <c r="J1347">
        <v>123.51960448705798</v>
      </c>
      <c r="K1347">
        <v>123.51960448705798</v>
      </c>
    </row>
    <row r="1348" spans="1:11" x14ac:dyDescent="0.25">
      <c r="A1348" t="s">
        <v>130</v>
      </c>
      <c r="B1348" t="s">
        <v>43</v>
      </c>
      <c r="C1348" t="s">
        <v>72</v>
      </c>
      <c r="D1348">
        <v>2019</v>
      </c>
      <c r="E1348" t="s">
        <v>119</v>
      </c>
      <c r="F1348" t="s">
        <v>109</v>
      </c>
      <c r="G1348" t="s">
        <v>52</v>
      </c>
      <c r="H1348">
        <v>362.80969861856295</v>
      </c>
      <c r="I1348">
        <v>1915.6352087060125</v>
      </c>
      <c r="J1348">
        <v>1023.1503431459249</v>
      </c>
      <c r="K1348">
        <v>1023.1503431459249</v>
      </c>
    </row>
    <row r="1349" spans="1:11" x14ac:dyDescent="0.25">
      <c r="A1349" t="s">
        <v>130</v>
      </c>
      <c r="B1349" t="s">
        <v>43</v>
      </c>
      <c r="C1349" t="s">
        <v>53</v>
      </c>
      <c r="D1349">
        <v>2019</v>
      </c>
      <c r="E1349" t="s">
        <v>119</v>
      </c>
      <c r="F1349" t="s">
        <v>109</v>
      </c>
      <c r="G1349" t="s">
        <v>53</v>
      </c>
      <c r="H1349">
        <v>1066.8125324809869</v>
      </c>
      <c r="I1349">
        <v>63522.285434047895</v>
      </c>
      <c r="J1349">
        <v>0</v>
      </c>
      <c r="K1349">
        <v>63522.285434047895</v>
      </c>
    </row>
    <row r="1350" spans="1:11" x14ac:dyDescent="0.25">
      <c r="A1350" t="s">
        <v>130</v>
      </c>
      <c r="B1350" t="s">
        <v>43</v>
      </c>
      <c r="C1350" t="s">
        <v>30</v>
      </c>
      <c r="D1350">
        <v>2019</v>
      </c>
      <c r="E1350" t="s">
        <v>119</v>
      </c>
      <c r="F1350" t="s">
        <v>109</v>
      </c>
      <c r="G1350" t="s">
        <v>30</v>
      </c>
      <c r="H1350">
        <v>20.204274039436456</v>
      </c>
      <c r="I1350">
        <v>503.08642358196778</v>
      </c>
      <c r="J1350">
        <v>0</v>
      </c>
      <c r="K1350">
        <v>503.08642358196778</v>
      </c>
    </row>
    <row r="1351" spans="1:11" x14ac:dyDescent="0.25">
      <c r="A1351" t="s">
        <v>130</v>
      </c>
      <c r="B1351" t="s">
        <v>43</v>
      </c>
      <c r="C1351" t="s">
        <v>31</v>
      </c>
      <c r="D1351">
        <v>2019</v>
      </c>
      <c r="E1351" t="s">
        <v>119</v>
      </c>
      <c r="F1351" t="s">
        <v>109</v>
      </c>
      <c r="G1351" t="s">
        <v>31</v>
      </c>
      <c r="H1351">
        <v>34.349115010819808</v>
      </c>
      <c r="I1351">
        <v>1750.6053726466705</v>
      </c>
      <c r="J1351">
        <v>0</v>
      </c>
      <c r="K1351">
        <v>1750.6053726466705</v>
      </c>
    </row>
    <row r="1352" spans="1:11" x14ac:dyDescent="0.25">
      <c r="A1352" t="s">
        <v>130</v>
      </c>
      <c r="B1352" t="s">
        <v>43</v>
      </c>
      <c r="C1352" t="s">
        <v>55</v>
      </c>
      <c r="D1352">
        <v>2019</v>
      </c>
      <c r="E1352" t="s">
        <v>119</v>
      </c>
      <c r="F1352" t="s">
        <v>109</v>
      </c>
      <c r="G1352" t="s">
        <v>55</v>
      </c>
      <c r="H1352">
        <v>95.964200645574223</v>
      </c>
      <c r="I1352">
        <v>9356.9392533941373</v>
      </c>
      <c r="J1352">
        <v>0</v>
      </c>
      <c r="K1352">
        <v>9356.9392533941373</v>
      </c>
    </row>
    <row r="1353" spans="1:11" x14ac:dyDescent="0.25">
      <c r="A1353" t="s">
        <v>130</v>
      </c>
      <c r="B1353" t="s">
        <v>43</v>
      </c>
      <c r="C1353" t="s">
        <v>54</v>
      </c>
      <c r="D1353">
        <v>2019</v>
      </c>
      <c r="E1353" t="s">
        <v>119</v>
      </c>
      <c r="F1353" t="s">
        <v>109</v>
      </c>
      <c r="G1353" t="s">
        <v>54</v>
      </c>
      <c r="H1353">
        <v>102.31264680005847</v>
      </c>
      <c r="I1353">
        <v>5464.7230908847232</v>
      </c>
      <c r="J1353">
        <v>0</v>
      </c>
      <c r="K1353">
        <v>5464.7230908847232</v>
      </c>
    </row>
    <row r="1354" spans="1:11" x14ac:dyDescent="0.25">
      <c r="A1354" t="s">
        <v>130</v>
      </c>
      <c r="B1354" t="s">
        <v>43</v>
      </c>
      <c r="C1354" t="s">
        <v>41</v>
      </c>
      <c r="D1354">
        <v>2019</v>
      </c>
      <c r="E1354" t="s">
        <v>119</v>
      </c>
      <c r="F1354" t="s">
        <v>109</v>
      </c>
      <c r="G1354" t="s">
        <v>41</v>
      </c>
      <c r="H1354">
        <v>22.070941108444988</v>
      </c>
      <c r="I1354">
        <v>224.85874801283754</v>
      </c>
      <c r="J1354">
        <v>0</v>
      </c>
      <c r="K1354">
        <v>224.85874801283754</v>
      </c>
    </row>
    <row r="1355" spans="1:11" x14ac:dyDescent="0.25">
      <c r="A1355" t="s">
        <v>130</v>
      </c>
      <c r="B1355" t="s">
        <v>43</v>
      </c>
      <c r="C1355" t="s">
        <v>80</v>
      </c>
      <c r="D1355">
        <v>2019</v>
      </c>
      <c r="E1355" t="s">
        <v>119</v>
      </c>
      <c r="F1355" t="s">
        <v>109</v>
      </c>
      <c r="G1355" t="s">
        <v>80</v>
      </c>
      <c r="H1355">
        <v>157.59722417896069</v>
      </c>
      <c r="I1355">
        <v>5634.9095864199417</v>
      </c>
      <c r="J1355">
        <v>0</v>
      </c>
      <c r="K1355">
        <v>5634.9095864199417</v>
      </c>
    </row>
    <row r="1356" spans="1:11" x14ac:dyDescent="0.25">
      <c r="A1356" t="s">
        <v>130</v>
      </c>
      <c r="B1356" t="s">
        <v>43</v>
      </c>
      <c r="C1356" t="s">
        <v>75</v>
      </c>
      <c r="D1356">
        <v>2019</v>
      </c>
      <c r="E1356" t="s">
        <v>119</v>
      </c>
      <c r="F1356" t="s">
        <v>109</v>
      </c>
      <c r="G1356" t="s">
        <v>52</v>
      </c>
      <c r="H1356">
        <v>1144.1483740031422</v>
      </c>
      <c r="I1356">
        <v>19618.292165198385</v>
      </c>
      <c r="J1356">
        <v>3259.1752922503906</v>
      </c>
      <c r="K1356">
        <v>3259.1752922503906</v>
      </c>
    </row>
    <row r="1357" spans="1:11" x14ac:dyDescent="0.25">
      <c r="A1357" t="s">
        <v>130</v>
      </c>
      <c r="B1357" t="s">
        <v>43</v>
      </c>
      <c r="C1357" t="s">
        <v>78</v>
      </c>
      <c r="D1357">
        <v>2019</v>
      </c>
      <c r="E1357" t="s">
        <v>119</v>
      </c>
      <c r="F1357" t="s">
        <v>109</v>
      </c>
      <c r="G1357" t="s">
        <v>78</v>
      </c>
      <c r="H1357">
        <v>34.585039119234281</v>
      </c>
      <c r="I1357">
        <v>2075.102347154057</v>
      </c>
      <c r="J1357">
        <v>0</v>
      </c>
      <c r="K1357">
        <v>2075.102347154057</v>
      </c>
    </row>
    <row r="1358" spans="1:11" x14ac:dyDescent="0.25">
      <c r="A1358" t="s">
        <v>130</v>
      </c>
      <c r="B1358" t="s">
        <v>43</v>
      </c>
      <c r="C1358" t="s">
        <v>65</v>
      </c>
      <c r="D1358">
        <v>2019</v>
      </c>
      <c r="E1358" t="s">
        <v>119</v>
      </c>
      <c r="F1358" t="s">
        <v>109</v>
      </c>
      <c r="G1358" t="s">
        <v>65</v>
      </c>
      <c r="H1358">
        <v>73.402370173862749</v>
      </c>
      <c r="I1358">
        <v>2148.3620538691534</v>
      </c>
      <c r="J1358">
        <v>0</v>
      </c>
      <c r="K1358">
        <v>2148.3620538691534</v>
      </c>
    </row>
    <row r="1359" spans="1:11" x14ac:dyDescent="0.25">
      <c r="A1359" t="s">
        <v>130</v>
      </c>
      <c r="B1359" t="s">
        <v>43</v>
      </c>
      <c r="C1359" t="s">
        <v>120</v>
      </c>
      <c r="D1359">
        <v>2019</v>
      </c>
      <c r="E1359" t="s">
        <v>119</v>
      </c>
      <c r="F1359" t="s">
        <v>109</v>
      </c>
      <c r="G1359" t="s">
        <v>53</v>
      </c>
      <c r="H1359">
        <v>2143.8995874286088</v>
      </c>
      <c r="I1359">
        <v>35477.25037276862</v>
      </c>
      <c r="J1359">
        <v>0</v>
      </c>
      <c r="K1359">
        <v>35477.25037276862</v>
      </c>
    </row>
    <row r="1360" spans="1:11" x14ac:dyDescent="0.25">
      <c r="A1360" t="s">
        <v>130</v>
      </c>
      <c r="B1360" t="s">
        <v>43</v>
      </c>
      <c r="C1360" t="s">
        <v>29</v>
      </c>
      <c r="D1360">
        <v>2030</v>
      </c>
      <c r="E1360" t="s">
        <v>119</v>
      </c>
      <c r="F1360" t="s">
        <v>109</v>
      </c>
      <c r="G1360" t="s">
        <v>52</v>
      </c>
      <c r="H1360">
        <v>3004.5351617033111</v>
      </c>
      <c r="I1360">
        <v>25274.149780248252</v>
      </c>
      <c r="J1360">
        <v>8201.4616036905572</v>
      </c>
      <c r="K1360">
        <v>8201.4616036905572</v>
      </c>
    </row>
    <row r="1361" spans="1:11" x14ac:dyDescent="0.25">
      <c r="A1361" t="s">
        <v>130</v>
      </c>
      <c r="B1361" t="s">
        <v>43</v>
      </c>
      <c r="C1361" t="s">
        <v>34</v>
      </c>
      <c r="D1361">
        <v>2030</v>
      </c>
      <c r="E1361" t="s">
        <v>119</v>
      </c>
      <c r="F1361" t="s">
        <v>109</v>
      </c>
      <c r="G1361" t="s">
        <v>52</v>
      </c>
      <c r="H1361">
        <v>81.247433467117162</v>
      </c>
      <c r="I1361">
        <v>376.33811181968667</v>
      </c>
      <c r="J1361">
        <v>111.07726616970228</v>
      </c>
      <c r="K1361">
        <v>111.07726616970228</v>
      </c>
    </row>
    <row r="1362" spans="1:11" x14ac:dyDescent="0.25">
      <c r="A1362" t="s">
        <v>130</v>
      </c>
      <c r="B1362" t="s">
        <v>43</v>
      </c>
      <c r="C1362" t="s">
        <v>72</v>
      </c>
      <c r="D1362">
        <v>2030</v>
      </c>
      <c r="E1362" t="s">
        <v>119</v>
      </c>
      <c r="F1362" t="s">
        <v>109</v>
      </c>
      <c r="G1362" t="s">
        <v>52</v>
      </c>
      <c r="H1362">
        <v>328.17107570651984</v>
      </c>
      <c r="I1362">
        <v>1732.7432797304245</v>
      </c>
      <c r="J1362">
        <v>920.08668153685562</v>
      </c>
      <c r="K1362">
        <v>920.08668153685562</v>
      </c>
    </row>
    <row r="1363" spans="1:11" x14ac:dyDescent="0.25">
      <c r="A1363" t="s">
        <v>130</v>
      </c>
      <c r="B1363" t="s">
        <v>43</v>
      </c>
      <c r="C1363" t="s">
        <v>53</v>
      </c>
      <c r="D1363">
        <v>2030</v>
      </c>
      <c r="E1363" t="s">
        <v>119</v>
      </c>
      <c r="F1363" t="s">
        <v>109</v>
      </c>
      <c r="G1363" t="s">
        <v>53</v>
      </c>
      <c r="H1363">
        <v>964.96046741449936</v>
      </c>
      <c r="I1363">
        <v>57457.606071728951</v>
      </c>
      <c r="J1363">
        <v>0</v>
      </c>
      <c r="K1363">
        <v>57457.606071728951</v>
      </c>
    </row>
    <row r="1364" spans="1:11" x14ac:dyDescent="0.25">
      <c r="A1364" t="s">
        <v>130</v>
      </c>
      <c r="B1364" t="s">
        <v>43</v>
      </c>
      <c r="C1364" t="s">
        <v>30</v>
      </c>
      <c r="D1364">
        <v>2030</v>
      </c>
      <c r="E1364" t="s">
        <v>119</v>
      </c>
      <c r="F1364" t="s">
        <v>109</v>
      </c>
      <c r="G1364" t="s">
        <v>30</v>
      </c>
      <c r="H1364">
        <v>18.275306229787574</v>
      </c>
      <c r="I1364">
        <v>455.05512512171066</v>
      </c>
      <c r="J1364">
        <v>0</v>
      </c>
      <c r="K1364">
        <v>455.05512512171066</v>
      </c>
    </row>
    <row r="1365" spans="1:11" x14ac:dyDescent="0.25">
      <c r="A1365" t="s">
        <v>130</v>
      </c>
      <c r="B1365" t="s">
        <v>43</v>
      </c>
      <c r="C1365" t="s">
        <v>31</v>
      </c>
      <c r="D1365">
        <v>2030</v>
      </c>
      <c r="E1365" t="s">
        <v>119</v>
      </c>
      <c r="F1365" t="s">
        <v>109</v>
      </c>
      <c r="G1365" t="s">
        <v>31</v>
      </c>
      <c r="H1365">
        <v>31.069693190641079</v>
      </c>
      <c r="I1365">
        <v>1583.4693793096885</v>
      </c>
      <c r="J1365">
        <v>0</v>
      </c>
      <c r="K1365">
        <v>1583.4693793096885</v>
      </c>
    </row>
    <row r="1366" spans="1:11" x14ac:dyDescent="0.25">
      <c r="A1366" t="s">
        <v>130</v>
      </c>
      <c r="B1366" t="s">
        <v>43</v>
      </c>
      <c r="C1366" t="s">
        <v>55</v>
      </c>
      <c r="D1366">
        <v>2030</v>
      </c>
      <c r="E1366" t="s">
        <v>119</v>
      </c>
      <c r="F1366" t="s">
        <v>109</v>
      </c>
      <c r="G1366" t="s">
        <v>55</v>
      </c>
      <c r="H1366">
        <v>86.80218603605735</v>
      </c>
      <c r="I1366">
        <v>8463.6018050202292</v>
      </c>
      <c r="J1366">
        <v>0</v>
      </c>
      <c r="K1366">
        <v>8463.6018050202292</v>
      </c>
    </row>
    <row r="1367" spans="1:11" x14ac:dyDescent="0.25">
      <c r="A1367" t="s">
        <v>130</v>
      </c>
      <c r="B1367" t="s">
        <v>43</v>
      </c>
      <c r="C1367" t="s">
        <v>54</v>
      </c>
      <c r="D1367">
        <v>2030</v>
      </c>
      <c r="E1367" t="s">
        <v>119</v>
      </c>
      <c r="F1367" t="s">
        <v>109</v>
      </c>
      <c r="G1367" t="s">
        <v>54</v>
      </c>
      <c r="H1367">
        <v>92.544525371292039</v>
      </c>
      <c r="I1367">
        <v>4942.9881891314508</v>
      </c>
      <c r="J1367">
        <v>0</v>
      </c>
      <c r="K1367">
        <v>4942.9881891314508</v>
      </c>
    </row>
    <row r="1368" spans="1:11" x14ac:dyDescent="0.25">
      <c r="A1368" t="s">
        <v>130</v>
      </c>
      <c r="B1368" t="s">
        <v>43</v>
      </c>
      <c r="C1368" t="s">
        <v>41</v>
      </c>
      <c r="D1368">
        <v>2030</v>
      </c>
      <c r="E1368" t="s">
        <v>119</v>
      </c>
      <c r="F1368" t="s">
        <v>109</v>
      </c>
      <c r="G1368" t="s">
        <v>41</v>
      </c>
      <c r="H1368">
        <v>19.963756517514042</v>
      </c>
      <c r="I1368">
        <v>203.39075140043306</v>
      </c>
      <c r="J1368">
        <v>0</v>
      </c>
      <c r="K1368">
        <v>203.39075140043306</v>
      </c>
    </row>
    <row r="1369" spans="1:11" x14ac:dyDescent="0.25">
      <c r="A1369" t="s">
        <v>130</v>
      </c>
      <c r="B1369" t="s">
        <v>43</v>
      </c>
      <c r="C1369" t="s">
        <v>80</v>
      </c>
      <c r="D1369">
        <v>2030</v>
      </c>
      <c r="E1369" t="s">
        <v>119</v>
      </c>
      <c r="F1369" t="s">
        <v>109</v>
      </c>
      <c r="G1369" t="s">
        <v>80</v>
      </c>
      <c r="H1369">
        <v>142.55090419053352</v>
      </c>
      <c r="I1369">
        <v>5096.9264259624179</v>
      </c>
      <c r="J1369">
        <v>0</v>
      </c>
      <c r="K1369">
        <v>5096.9264259624179</v>
      </c>
    </row>
    <row r="1370" spans="1:11" x14ac:dyDescent="0.25">
      <c r="A1370" t="s">
        <v>130</v>
      </c>
      <c r="B1370" t="s">
        <v>43</v>
      </c>
      <c r="C1370" t="s">
        <v>75</v>
      </c>
      <c r="D1370">
        <v>2030</v>
      </c>
      <c r="E1370" t="s">
        <v>119</v>
      </c>
      <c r="F1370" t="s">
        <v>109</v>
      </c>
      <c r="G1370" t="s">
        <v>52</v>
      </c>
      <c r="H1370">
        <v>1034.9128044099805</v>
      </c>
      <c r="I1370">
        <v>17745.269952517581</v>
      </c>
      <c r="J1370">
        <v>2930.8730620890651</v>
      </c>
      <c r="K1370">
        <v>2930.8730620890651</v>
      </c>
    </row>
    <row r="1371" spans="1:11" x14ac:dyDescent="0.25">
      <c r="A1371" t="s">
        <v>130</v>
      </c>
      <c r="B1371" t="s">
        <v>43</v>
      </c>
      <c r="C1371" t="s">
        <v>78</v>
      </c>
      <c r="D1371">
        <v>2030</v>
      </c>
      <c r="E1371" t="s">
        <v>119</v>
      </c>
      <c r="F1371" t="s">
        <v>109</v>
      </c>
      <c r="G1371" t="s">
        <v>78</v>
      </c>
      <c r="H1371">
        <v>31.283092856466656</v>
      </c>
      <c r="I1371">
        <v>1876.9855713879997</v>
      </c>
      <c r="J1371">
        <v>0</v>
      </c>
      <c r="K1371">
        <v>1876.9855713879997</v>
      </c>
    </row>
    <row r="1372" spans="1:11" x14ac:dyDescent="0.25">
      <c r="A1372" t="s">
        <v>130</v>
      </c>
      <c r="B1372" t="s">
        <v>43</v>
      </c>
      <c r="C1372" t="s">
        <v>65</v>
      </c>
      <c r="D1372">
        <v>2030</v>
      </c>
      <c r="E1372" t="s">
        <v>119</v>
      </c>
      <c r="F1372" t="s">
        <v>109</v>
      </c>
      <c r="G1372" t="s">
        <v>65</v>
      </c>
      <c r="H1372">
        <v>66.394406960686013</v>
      </c>
      <c r="I1372">
        <v>1943.2509354347128</v>
      </c>
      <c r="J1372">
        <v>0</v>
      </c>
      <c r="K1372">
        <v>1943.2509354347128</v>
      </c>
    </row>
    <row r="1373" spans="1:11" x14ac:dyDescent="0.25">
      <c r="A1373" t="s">
        <v>130</v>
      </c>
      <c r="B1373" t="s">
        <v>43</v>
      </c>
      <c r="C1373" t="s">
        <v>120</v>
      </c>
      <c r="D1373">
        <v>2030</v>
      </c>
      <c r="E1373" t="s">
        <v>119</v>
      </c>
      <c r="F1373" t="s">
        <v>109</v>
      </c>
      <c r="G1373" t="s">
        <v>53</v>
      </c>
      <c r="H1373">
        <v>1924.2067363305678</v>
      </c>
      <c r="I1373">
        <v>31841.773072798231</v>
      </c>
      <c r="J1373">
        <v>0</v>
      </c>
      <c r="K1373">
        <v>31841.773072798231</v>
      </c>
    </row>
    <row r="1374" spans="1:11" x14ac:dyDescent="0.25">
      <c r="A1374" t="s">
        <v>130</v>
      </c>
      <c r="B1374" t="s">
        <v>43</v>
      </c>
      <c r="C1374" t="s">
        <v>29</v>
      </c>
      <c r="D1374">
        <v>2050</v>
      </c>
      <c r="E1374" t="s">
        <v>119</v>
      </c>
      <c r="F1374" t="s">
        <v>109</v>
      </c>
      <c r="G1374" t="s">
        <v>52</v>
      </c>
      <c r="H1374">
        <v>2865.5971195436209</v>
      </c>
      <c r="I1374">
        <v>24105.402969600938</v>
      </c>
      <c r="J1374">
        <v>7822.2032636355034</v>
      </c>
      <c r="K1374">
        <v>7822.2032636355034</v>
      </c>
    </row>
    <row r="1375" spans="1:11" x14ac:dyDescent="0.25">
      <c r="A1375" t="s">
        <v>130</v>
      </c>
      <c r="B1375" t="s">
        <v>43</v>
      </c>
      <c r="C1375" t="s">
        <v>34</v>
      </c>
      <c r="D1375">
        <v>2050</v>
      </c>
      <c r="E1375" t="s">
        <v>119</v>
      </c>
      <c r="F1375" t="s">
        <v>109</v>
      </c>
      <c r="G1375" t="s">
        <v>52</v>
      </c>
      <c r="H1375">
        <v>77.490326717192659</v>
      </c>
      <c r="I1375">
        <v>358.93519335403641</v>
      </c>
      <c r="J1375">
        <v>105.94074519075649</v>
      </c>
      <c r="K1375">
        <v>105.94074519075649</v>
      </c>
    </row>
    <row r="1376" spans="1:11" x14ac:dyDescent="0.25">
      <c r="A1376" t="s">
        <v>130</v>
      </c>
      <c r="B1376" t="s">
        <v>43</v>
      </c>
      <c r="C1376" t="s">
        <v>72</v>
      </c>
      <c r="D1376">
        <v>2050</v>
      </c>
      <c r="E1376" t="s">
        <v>119</v>
      </c>
      <c r="F1376" t="s">
        <v>109</v>
      </c>
      <c r="G1376" t="s">
        <v>52</v>
      </c>
      <c r="H1376">
        <v>312.99553463338594</v>
      </c>
      <c r="I1376">
        <v>1652.6164228642779</v>
      </c>
      <c r="J1376">
        <v>877.5393205409315</v>
      </c>
      <c r="K1376">
        <v>877.5393205409315</v>
      </c>
    </row>
    <row r="1377" spans="1:11" x14ac:dyDescent="0.25">
      <c r="A1377" t="s">
        <v>130</v>
      </c>
      <c r="B1377" t="s">
        <v>43</v>
      </c>
      <c r="C1377" t="s">
        <v>53</v>
      </c>
      <c r="D1377">
        <v>2050</v>
      </c>
      <c r="E1377" t="s">
        <v>119</v>
      </c>
      <c r="F1377" t="s">
        <v>109</v>
      </c>
      <c r="G1377" t="s">
        <v>53</v>
      </c>
      <c r="H1377">
        <v>920.3380180542913</v>
      </c>
      <c r="I1377">
        <v>54800.606947024717</v>
      </c>
      <c r="J1377">
        <v>0</v>
      </c>
      <c r="K1377">
        <v>54800.606947024717</v>
      </c>
    </row>
    <row r="1378" spans="1:11" x14ac:dyDescent="0.25">
      <c r="A1378" t="s">
        <v>130</v>
      </c>
      <c r="B1378" t="s">
        <v>43</v>
      </c>
      <c r="C1378" t="s">
        <v>30</v>
      </c>
      <c r="D1378">
        <v>2050</v>
      </c>
      <c r="E1378" t="s">
        <v>119</v>
      </c>
      <c r="F1378" t="s">
        <v>109</v>
      </c>
      <c r="G1378" t="s">
        <v>30</v>
      </c>
      <c r="H1378">
        <v>17.430205363670229</v>
      </c>
      <c r="I1378">
        <v>434.01211355538874</v>
      </c>
      <c r="J1378">
        <v>0</v>
      </c>
      <c r="K1378">
        <v>434.01211355538874</v>
      </c>
    </row>
    <row r="1379" spans="1:11" x14ac:dyDescent="0.25">
      <c r="A1379" t="s">
        <v>130</v>
      </c>
      <c r="B1379" t="s">
        <v>43</v>
      </c>
      <c r="C1379" t="s">
        <v>31</v>
      </c>
      <c r="D1379">
        <v>2050</v>
      </c>
      <c r="E1379" t="s">
        <v>119</v>
      </c>
      <c r="F1379" t="s">
        <v>109</v>
      </c>
      <c r="G1379" t="s">
        <v>31</v>
      </c>
      <c r="H1379">
        <v>29.632944372576752</v>
      </c>
      <c r="I1379">
        <v>1510.2453617693561</v>
      </c>
      <c r="J1379">
        <v>0</v>
      </c>
      <c r="K1379">
        <v>1510.2453617693561</v>
      </c>
    </row>
    <row r="1380" spans="1:11" x14ac:dyDescent="0.25">
      <c r="A1380" t="s">
        <v>130</v>
      </c>
      <c r="B1380" t="s">
        <v>43</v>
      </c>
      <c r="C1380" t="s">
        <v>55</v>
      </c>
      <c r="D1380">
        <v>2050</v>
      </c>
      <c r="E1380" t="s">
        <v>119</v>
      </c>
      <c r="F1380" t="s">
        <v>109</v>
      </c>
      <c r="G1380" t="s">
        <v>55</v>
      </c>
      <c r="H1380">
        <v>82.788212115314806</v>
      </c>
      <c r="I1380">
        <v>8072.2213747302758</v>
      </c>
      <c r="J1380">
        <v>0</v>
      </c>
      <c r="K1380">
        <v>8072.2213747302758</v>
      </c>
    </row>
    <row r="1381" spans="1:11" x14ac:dyDescent="0.25">
      <c r="A1381" t="s">
        <v>130</v>
      </c>
      <c r="B1381" t="s">
        <v>43</v>
      </c>
      <c r="C1381" t="s">
        <v>54</v>
      </c>
      <c r="D1381">
        <v>2050</v>
      </c>
      <c r="E1381" t="s">
        <v>119</v>
      </c>
      <c r="F1381" t="s">
        <v>109</v>
      </c>
      <c r="G1381" t="s">
        <v>54</v>
      </c>
      <c r="H1381">
        <v>88.265009747186056</v>
      </c>
      <c r="I1381">
        <v>4714.4107006167014</v>
      </c>
      <c r="J1381">
        <v>0</v>
      </c>
      <c r="K1381">
        <v>4714.4107006167014</v>
      </c>
    </row>
    <row r="1382" spans="1:11" x14ac:dyDescent="0.25">
      <c r="A1382" t="s">
        <v>130</v>
      </c>
      <c r="B1382" t="s">
        <v>43</v>
      </c>
      <c r="C1382" t="s">
        <v>41</v>
      </c>
      <c r="D1382">
        <v>2050</v>
      </c>
      <c r="E1382" t="s">
        <v>119</v>
      </c>
      <c r="F1382" t="s">
        <v>109</v>
      </c>
      <c r="G1382" t="s">
        <v>41</v>
      </c>
      <c r="H1382">
        <v>19.040577025374667</v>
      </c>
      <c r="I1382">
        <v>193.98539873451713</v>
      </c>
      <c r="J1382">
        <v>0</v>
      </c>
      <c r="K1382">
        <v>193.98539873451713</v>
      </c>
    </row>
    <row r="1383" spans="1:11" x14ac:dyDescent="0.25">
      <c r="A1383" t="s">
        <v>130</v>
      </c>
      <c r="B1383" t="s">
        <v>43</v>
      </c>
      <c r="C1383" t="s">
        <v>80</v>
      </c>
      <c r="D1383">
        <v>2050</v>
      </c>
      <c r="E1383" t="s">
        <v>119</v>
      </c>
      <c r="F1383" t="s">
        <v>109</v>
      </c>
      <c r="G1383" t="s">
        <v>80</v>
      </c>
      <c r="H1383">
        <v>135.9589548638036</v>
      </c>
      <c r="I1383">
        <v>4861.2304062647327</v>
      </c>
      <c r="J1383">
        <v>0</v>
      </c>
      <c r="K1383">
        <v>4861.2304062647327</v>
      </c>
    </row>
    <row r="1384" spans="1:11" x14ac:dyDescent="0.25">
      <c r="A1384" t="s">
        <v>130</v>
      </c>
      <c r="B1384" t="s">
        <v>43</v>
      </c>
      <c r="C1384" t="s">
        <v>75</v>
      </c>
      <c r="D1384">
        <v>2050</v>
      </c>
      <c r="E1384" t="s">
        <v>119</v>
      </c>
      <c r="F1384" t="s">
        <v>109</v>
      </c>
      <c r="G1384" t="s">
        <v>52</v>
      </c>
      <c r="H1384">
        <v>987.0555648996924</v>
      </c>
      <c r="I1384">
        <v>16924.679434482088</v>
      </c>
      <c r="J1384">
        <v>2795.3413597959288</v>
      </c>
      <c r="K1384">
        <v>2795.3413597959288</v>
      </c>
    </row>
    <row r="1385" spans="1:11" x14ac:dyDescent="0.25">
      <c r="A1385" t="s">
        <v>130</v>
      </c>
      <c r="B1385" t="s">
        <v>43</v>
      </c>
      <c r="C1385" t="s">
        <v>78</v>
      </c>
      <c r="D1385">
        <v>2050</v>
      </c>
      <c r="E1385" t="s">
        <v>119</v>
      </c>
      <c r="F1385" t="s">
        <v>109</v>
      </c>
      <c r="G1385" t="s">
        <v>78</v>
      </c>
      <c r="H1385">
        <v>29.836475845762994</v>
      </c>
      <c r="I1385">
        <v>1790.1885507457796</v>
      </c>
      <c r="J1385">
        <v>0</v>
      </c>
      <c r="K1385">
        <v>1790.1885507457796</v>
      </c>
    </row>
    <row r="1386" spans="1:11" x14ac:dyDescent="0.25">
      <c r="A1386" t="s">
        <v>130</v>
      </c>
      <c r="B1386" t="s">
        <v>43</v>
      </c>
      <c r="C1386" t="s">
        <v>65</v>
      </c>
      <c r="D1386">
        <v>2050</v>
      </c>
      <c r="E1386" t="s">
        <v>119</v>
      </c>
      <c r="F1386" t="s">
        <v>109</v>
      </c>
      <c r="G1386" t="s">
        <v>65</v>
      </c>
      <c r="H1386">
        <v>63.324145367128274</v>
      </c>
      <c r="I1386">
        <v>1853.3896205013152</v>
      </c>
      <c r="J1386">
        <v>0</v>
      </c>
      <c r="K1386">
        <v>1853.3896205013152</v>
      </c>
    </row>
    <row r="1387" spans="1:11" x14ac:dyDescent="0.25">
      <c r="A1387" t="s">
        <v>130</v>
      </c>
      <c r="B1387" t="s">
        <v>43</v>
      </c>
      <c r="C1387" t="s">
        <v>120</v>
      </c>
      <c r="D1387">
        <v>2050</v>
      </c>
      <c r="E1387" t="s">
        <v>119</v>
      </c>
      <c r="F1387" t="s">
        <v>109</v>
      </c>
      <c r="G1387" t="s">
        <v>53</v>
      </c>
      <c r="H1387">
        <v>1835.2260780031424</v>
      </c>
      <c r="I1387">
        <v>30369.321138796004</v>
      </c>
      <c r="J1387">
        <v>0</v>
      </c>
      <c r="K1387">
        <v>30369.321138796004</v>
      </c>
    </row>
    <row r="1388" spans="1:11" x14ac:dyDescent="0.25">
      <c r="A1388" t="s">
        <v>130</v>
      </c>
      <c r="B1388" t="s">
        <v>43</v>
      </c>
      <c r="C1388" t="s">
        <v>29</v>
      </c>
      <c r="D1388">
        <v>2019</v>
      </c>
      <c r="E1388" t="s">
        <v>121</v>
      </c>
      <c r="F1388" t="s">
        <v>109</v>
      </c>
      <c r="G1388" t="s">
        <v>52</v>
      </c>
      <c r="H1388">
        <v>424.7131637222576</v>
      </c>
      <c r="I1388">
        <v>2393.7003792651931</v>
      </c>
      <c r="J1388">
        <v>781.29781954121086</v>
      </c>
      <c r="K1388">
        <v>781.29781954121086</v>
      </c>
    </row>
    <row r="1389" spans="1:11" x14ac:dyDescent="0.25">
      <c r="A1389" t="s">
        <v>130</v>
      </c>
      <c r="B1389" t="s">
        <v>43</v>
      </c>
      <c r="C1389" t="s">
        <v>34</v>
      </c>
      <c r="D1389">
        <v>2019</v>
      </c>
      <c r="E1389" t="s">
        <v>121</v>
      </c>
      <c r="F1389" t="s">
        <v>109</v>
      </c>
      <c r="G1389" t="s">
        <v>52</v>
      </c>
      <c r="H1389">
        <v>11.484922843296186</v>
      </c>
      <c r="I1389">
        <v>30.322952687784319</v>
      </c>
      <c r="J1389">
        <v>9.0022400938663694</v>
      </c>
      <c r="K1389">
        <v>9.0022400938663694</v>
      </c>
    </row>
    <row r="1390" spans="1:11" x14ac:dyDescent="0.25">
      <c r="A1390" t="s">
        <v>130</v>
      </c>
      <c r="B1390" t="s">
        <v>43</v>
      </c>
      <c r="C1390" t="s">
        <v>72</v>
      </c>
      <c r="D1390">
        <v>2019</v>
      </c>
      <c r="E1390" t="s">
        <v>121</v>
      </c>
      <c r="F1390" t="s">
        <v>109</v>
      </c>
      <c r="G1390" t="s">
        <v>52</v>
      </c>
      <c r="H1390">
        <v>46.389397462214085</v>
      </c>
      <c r="I1390">
        <v>134.71481023026973</v>
      </c>
      <c r="J1390">
        <v>71.951853718038222</v>
      </c>
      <c r="K1390">
        <v>71.951853718038222</v>
      </c>
    </row>
    <row r="1391" spans="1:11" x14ac:dyDescent="0.25">
      <c r="A1391" t="s">
        <v>130</v>
      </c>
      <c r="B1391" t="s">
        <v>43</v>
      </c>
      <c r="C1391" t="s">
        <v>53</v>
      </c>
      <c r="D1391">
        <v>2019</v>
      </c>
      <c r="E1391" t="s">
        <v>121</v>
      </c>
      <c r="F1391" t="s">
        <v>109</v>
      </c>
      <c r="G1391" t="s">
        <v>53</v>
      </c>
      <c r="H1391">
        <v>136.4042658599414</v>
      </c>
      <c r="I1391">
        <v>6335.2033729641935</v>
      </c>
      <c r="J1391">
        <v>0</v>
      </c>
      <c r="K1391">
        <v>6335.2033729641935</v>
      </c>
    </row>
    <row r="1392" spans="1:11" x14ac:dyDescent="0.25">
      <c r="A1392" t="s">
        <v>130</v>
      </c>
      <c r="B1392" t="s">
        <v>43</v>
      </c>
      <c r="C1392" t="s">
        <v>30</v>
      </c>
      <c r="D1392">
        <v>2019</v>
      </c>
      <c r="E1392" t="s">
        <v>121</v>
      </c>
      <c r="F1392" t="s">
        <v>109</v>
      </c>
      <c r="G1392" t="s">
        <v>30</v>
      </c>
      <c r="H1392">
        <v>2.5833490736869646</v>
      </c>
      <c r="I1392">
        <v>36.665473402839091</v>
      </c>
      <c r="J1392">
        <v>0</v>
      </c>
      <c r="K1392">
        <v>36.665473402839091</v>
      </c>
    </row>
    <row r="1393" spans="1:11" x14ac:dyDescent="0.25">
      <c r="A1393" t="s">
        <v>130</v>
      </c>
      <c r="B1393" t="s">
        <v>43</v>
      </c>
      <c r="C1393" t="s">
        <v>31</v>
      </c>
      <c r="D1393">
        <v>2019</v>
      </c>
      <c r="E1393" t="s">
        <v>121</v>
      </c>
      <c r="F1393" t="s">
        <v>109</v>
      </c>
      <c r="G1393" t="s">
        <v>31</v>
      </c>
      <c r="H1393">
        <v>4.3919298595914027</v>
      </c>
      <c r="I1393">
        <v>127.58598070016447</v>
      </c>
      <c r="J1393">
        <v>0</v>
      </c>
      <c r="K1393">
        <v>127.58598070016447</v>
      </c>
    </row>
    <row r="1394" spans="1:11" x14ac:dyDescent="0.25">
      <c r="A1394" t="s">
        <v>130</v>
      </c>
      <c r="B1394" t="s">
        <v>43</v>
      </c>
      <c r="C1394" t="s">
        <v>55</v>
      </c>
      <c r="D1394">
        <v>2019</v>
      </c>
      <c r="E1394" t="s">
        <v>121</v>
      </c>
      <c r="F1394" t="s">
        <v>109</v>
      </c>
      <c r="G1394" t="s">
        <v>55</v>
      </c>
      <c r="H1394">
        <v>12.270128011576354</v>
      </c>
      <c r="I1394">
        <v>681.94368054022107</v>
      </c>
      <c r="J1394">
        <v>0</v>
      </c>
      <c r="K1394">
        <v>681.94368054022107</v>
      </c>
    </row>
    <row r="1395" spans="1:11" x14ac:dyDescent="0.25">
      <c r="A1395" t="s">
        <v>130</v>
      </c>
      <c r="B1395" t="s">
        <v>43</v>
      </c>
      <c r="C1395" t="s">
        <v>54</v>
      </c>
      <c r="D1395">
        <v>2019</v>
      </c>
      <c r="E1395" t="s">
        <v>121</v>
      </c>
      <c r="F1395" t="s">
        <v>109</v>
      </c>
      <c r="G1395" t="s">
        <v>54</v>
      </c>
      <c r="H1395">
        <v>13.0818499502378</v>
      </c>
      <c r="I1395">
        <v>579.94404871994413</v>
      </c>
      <c r="J1395">
        <v>0</v>
      </c>
      <c r="K1395">
        <v>579.94404871994413</v>
      </c>
    </row>
    <row r="1396" spans="1:11" x14ac:dyDescent="0.25">
      <c r="A1396" t="s">
        <v>130</v>
      </c>
      <c r="B1396" t="s">
        <v>43</v>
      </c>
      <c r="C1396" t="s">
        <v>41</v>
      </c>
      <c r="D1396">
        <v>2019</v>
      </c>
      <c r="E1396" t="s">
        <v>121</v>
      </c>
      <c r="F1396" t="s">
        <v>109</v>
      </c>
      <c r="G1396" t="s">
        <v>41</v>
      </c>
      <c r="H1396">
        <v>2.8220239517940748</v>
      </c>
      <c r="I1396">
        <v>16.38794461190048</v>
      </c>
      <c r="J1396">
        <v>0</v>
      </c>
      <c r="K1396">
        <v>16.38794461190048</v>
      </c>
    </row>
    <row r="1397" spans="1:11" x14ac:dyDescent="0.25">
      <c r="A1397" t="s">
        <v>130</v>
      </c>
      <c r="B1397" t="s">
        <v>43</v>
      </c>
      <c r="C1397" t="s">
        <v>80</v>
      </c>
      <c r="D1397">
        <v>2019</v>
      </c>
      <c r="E1397" t="s">
        <v>121</v>
      </c>
      <c r="F1397" t="s">
        <v>109</v>
      </c>
      <c r="G1397" t="s">
        <v>80</v>
      </c>
      <c r="H1397">
        <v>20.15061973044347</v>
      </c>
      <c r="I1397">
        <v>410.6782013659747</v>
      </c>
      <c r="J1397">
        <v>0</v>
      </c>
      <c r="K1397">
        <v>410.6782013659747</v>
      </c>
    </row>
    <row r="1398" spans="1:11" x14ac:dyDescent="0.25">
      <c r="A1398" t="s">
        <v>130</v>
      </c>
      <c r="B1398" t="s">
        <v>43</v>
      </c>
      <c r="C1398" t="s">
        <v>75</v>
      </c>
      <c r="D1398">
        <v>2019</v>
      </c>
      <c r="E1398" t="s">
        <v>121</v>
      </c>
      <c r="F1398" t="s">
        <v>109</v>
      </c>
      <c r="G1398" t="s">
        <v>52</v>
      </c>
      <c r="H1398">
        <v>146.29254366537521</v>
      </c>
      <c r="I1398">
        <v>1429.8019900252987</v>
      </c>
      <c r="J1398">
        <v>237.5321602645615</v>
      </c>
      <c r="K1398">
        <v>237.5321602645615</v>
      </c>
    </row>
    <row r="1399" spans="1:11" x14ac:dyDescent="0.25">
      <c r="A1399" t="s">
        <v>130</v>
      </c>
      <c r="B1399" t="s">
        <v>43</v>
      </c>
      <c r="C1399" t="s">
        <v>78</v>
      </c>
      <c r="D1399">
        <v>2019</v>
      </c>
      <c r="E1399" t="s">
        <v>121</v>
      </c>
      <c r="F1399" t="s">
        <v>109</v>
      </c>
      <c r="G1399" t="s">
        <v>78</v>
      </c>
      <c r="H1399">
        <v>4.4220954733493292</v>
      </c>
      <c r="I1399">
        <v>151.23566518854705</v>
      </c>
      <c r="J1399">
        <v>0</v>
      </c>
      <c r="K1399">
        <v>151.23566518854705</v>
      </c>
    </row>
    <row r="1400" spans="1:11" x14ac:dyDescent="0.25">
      <c r="A1400" t="s">
        <v>130</v>
      </c>
      <c r="B1400" t="s">
        <v>43</v>
      </c>
      <c r="C1400" t="s">
        <v>65</v>
      </c>
      <c r="D1400">
        <v>2019</v>
      </c>
      <c r="E1400" t="s">
        <v>121</v>
      </c>
      <c r="F1400" t="s">
        <v>109</v>
      </c>
      <c r="G1400" t="s">
        <v>65</v>
      </c>
      <c r="H1400">
        <v>9.3853382024492209</v>
      </c>
      <c r="I1400">
        <v>156.57491049939676</v>
      </c>
      <c r="J1400">
        <v>0</v>
      </c>
      <c r="K1400">
        <v>156.57491049939676</v>
      </c>
    </row>
    <row r="1401" spans="1:11" x14ac:dyDescent="0.25">
      <c r="A1401" t="s">
        <v>130</v>
      </c>
      <c r="B1401" t="s">
        <v>43</v>
      </c>
      <c r="C1401" t="s">
        <v>120</v>
      </c>
      <c r="D1401">
        <v>2019</v>
      </c>
      <c r="E1401" t="s">
        <v>121</v>
      </c>
      <c r="F1401" t="s">
        <v>109</v>
      </c>
      <c r="G1401" t="s">
        <v>53</v>
      </c>
      <c r="H1401">
        <v>274.12224772100956</v>
      </c>
      <c r="I1401">
        <v>4536.1749552872661</v>
      </c>
      <c r="J1401">
        <v>0</v>
      </c>
      <c r="K1401">
        <v>4536.1749552872661</v>
      </c>
    </row>
    <row r="1402" spans="1:11" x14ac:dyDescent="0.25">
      <c r="A1402" t="s">
        <v>130</v>
      </c>
      <c r="B1402" t="s">
        <v>43</v>
      </c>
      <c r="C1402" t="s">
        <v>29</v>
      </c>
      <c r="D1402">
        <v>2030</v>
      </c>
      <c r="E1402" t="s">
        <v>121</v>
      </c>
      <c r="F1402" t="s">
        <v>109</v>
      </c>
      <c r="G1402" t="s">
        <v>52</v>
      </c>
      <c r="H1402">
        <v>468.91589228895612</v>
      </c>
      <c r="I1402">
        <v>2642.828725576248</v>
      </c>
      <c r="J1402">
        <v>857.59792144949267</v>
      </c>
      <c r="K1402">
        <v>857.59792144949267</v>
      </c>
    </row>
    <row r="1403" spans="1:11" x14ac:dyDescent="0.25">
      <c r="A1403" t="s">
        <v>130</v>
      </c>
      <c r="B1403" t="s">
        <v>43</v>
      </c>
      <c r="C1403" t="s">
        <v>34</v>
      </c>
      <c r="D1403">
        <v>2030</v>
      </c>
      <c r="E1403" t="s">
        <v>121</v>
      </c>
      <c r="F1403" t="s">
        <v>109</v>
      </c>
      <c r="G1403" t="s">
        <v>52</v>
      </c>
      <c r="H1403">
        <v>12.680235280995165</v>
      </c>
      <c r="I1403">
        <v>33.478864398294675</v>
      </c>
      <c r="J1403">
        <v>9.8813822332469243</v>
      </c>
      <c r="K1403">
        <v>9.8813822332469243</v>
      </c>
    </row>
    <row r="1404" spans="1:11" x14ac:dyDescent="0.25">
      <c r="A1404" t="s">
        <v>130</v>
      </c>
      <c r="B1404" t="s">
        <v>43</v>
      </c>
      <c r="C1404" t="s">
        <v>72</v>
      </c>
      <c r="D1404">
        <v>2030</v>
      </c>
      <c r="E1404" t="s">
        <v>121</v>
      </c>
      <c r="F1404" t="s">
        <v>109</v>
      </c>
      <c r="G1404" t="s">
        <v>52</v>
      </c>
      <c r="H1404">
        <v>51.217451121826805</v>
      </c>
      <c r="I1404">
        <v>148.73547805778509</v>
      </c>
      <c r="J1404">
        <v>78.978538848683883</v>
      </c>
      <c r="K1404">
        <v>78.978538848683883</v>
      </c>
    </row>
    <row r="1405" spans="1:11" x14ac:dyDescent="0.25">
      <c r="A1405" t="s">
        <v>130</v>
      </c>
      <c r="B1405" t="s">
        <v>43</v>
      </c>
      <c r="C1405" t="s">
        <v>53</v>
      </c>
      <c r="D1405">
        <v>2030</v>
      </c>
      <c r="E1405" t="s">
        <v>121</v>
      </c>
      <c r="F1405" t="s">
        <v>109</v>
      </c>
      <c r="G1405" t="s">
        <v>53</v>
      </c>
      <c r="H1405">
        <v>150.60076659070219</v>
      </c>
      <c r="I1405">
        <v>6994.5501957838824</v>
      </c>
      <c r="J1405">
        <v>0</v>
      </c>
      <c r="K1405">
        <v>6994.5501957838824</v>
      </c>
    </row>
    <row r="1406" spans="1:11" x14ac:dyDescent="0.25">
      <c r="A1406" t="s">
        <v>130</v>
      </c>
      <c r="B1406" t="s">
        <v>43</v>
      </c>
      <c r="C1406" t="s">
        <v>30</v>
      </c>
      <c r="D1406">
        <v>2030</v>
      </c>
      <c r="E1406" t="s">
        <v>121</v>
      </c>
      <c r="F1406" t="s">
        <v>109</v>
      </c>
      <c r="G1406" t="s">
        <v>30</v>
      </c>
      <c r="H1406">
        <v>2.8522154231460375</v>
      </c>
      <c r="I1406">
        <v>40.481493500711707</v>
      </c>
      <c r="J1406">
        <v>0</v>
      </c>
      <c r="K1406">
        <v>40.481493500711707</v>
      </c>
    </row>
    <row r="1407" spans="1:11" x14ac:dyDescent="0.25">
      <c r="A1407" t="s">
        <v>130</v>
      </c>
      <c r="B1407" t="s">
        <v>43</v>
      </c>
      <c r="C1407" t="s">
        <v>31</v>
      </c>
      <c r="D1407">
        <v>2030</v>
      </c>
      <c r="E1407" t="s">
        <v>121</v>
      </c>
      <c r="F1407" t="s">
        <v>109</v>
      </c>
      <c r="G1407" t="s">
        <v>31</v>
      </c>
      <c r="H1407">
        <v>4.8490272609671052</v>
      </c>
      <c r="I1407">
        <v>140.86470374321448</v>
      </c>
      <c r="J1407">
        <v>0</v>
      </c>
      <c r="K1407">
        <v>140.86470374321448</v>
      </c>
    </row>
    <row r="1408" spans="1:11" x14ac:dyDescent="0.25">
      <c r="A1408" t="s">
        <v>130</v>
      </c>
      <c r="B1408" t="s">
        <v>43</v>
      </c>
      <c r="C1408" t="s">
        <v>55</v>
      </c>
      <c r="D1408">
        <v>2030</v>
      </c>
      <c r="E1408" t="s">
        <v>121</v>
      </c>
      <c r="F1408" t="s">
        <v>109</v>
      </c>
      <c r="G1408" t="s">
        <v>55</v>
      </c>
      <c r="H1408">
        <v>13.547161982506061</v>
      </c>
      <c r="I1408">
        <v>752.91810277029674</v>
      </c>
      <c r="J1408">
        <v>0</v>
      </c>
      <c r="K1408">
        <v>752.91810277029674</v>
      </c>
    </row>
    <row r="1409" spans="1:11" x14ac:dyDescent="0.25">
      <c r="A1409" t="s">
        <v>130</v>
      </c>
      <c r="B1409" t="s">
        <v>43</v>
      </c>
      <c r="C1409" t="s">
        <v>54</v>
      </c>
      <c r="D1409">
        <v>2030</v>
      </c>
      <c r="E1409" t="s">
        <v>121</v>
      </c>
      <c r="F1409" t="s">
        <v>109</v>
      </c>
      <c r="G1409" t="s">
        <v>54</v>
      </c>
      <c r="H1409">
        <v>14.443365231357719</v>
      </c>
      <c r="I1409">
        <v>640.30268970194118</v>
      </c>
      <c r="J1409">
        <v>0</v>
      </c>
      <c r="K1409">
        <v>640.30268970194118</v>
      </c>
    </row>
    <row r="1410" spans="1:11" x14ac:dyDescent="0.25">
      <c r="A1410" t="s">
        <v>130</v>
      </c>
      <c r="B1410" t="s">
        <v>43</v>
      </c>
      <c r="C1410" t="s">
        <v>41</v>
      </c>
      <c r="D1410">
        <v>2030</v>
      </c>
      <c r="E1410" t="s">
        <v>121</v>
      </c>
      <c r="F1410" t="s">
        <v>109</v>
      </c>
      <c r="G1410" t="s">
        <v>41</v>
      </c>
      <c r="H1410">
        <v>3.1157307859704</v>
      </c>
      <c r="I1410">
        <v>18.093547191055869</v>
      </c>
      <c r="J1410">
        <v>0</v>
      </c>
      <c r="K1410">
        <v>18.093547191055869</v>
      </c>
    </row>
    <row r="1411" spans="1:11" x14ac:dyDescent="0.25">
      <c r="A1411" t="s">
        <v>130</v>
      </c>
      <c r="B1411" t="s">
        <v>43</v>
      </c>
      <c r="C1411" t="s">
        <v>80</v>
      </c>
      <c r="D1411">
        <v>2030</v>
      </c>
      <c r="E1411" t="s">
        <v>121</v>
      </c>
      <c r="F1411" t="s">
        <v>109</v>
      </c>
      <c r="G1411" t="s">
        <v>80</v>
      </c>
      <c r="H1411">
        <v>22.247828977713322</v>
      </c>
      <c r="I1411">
        <v>453.42021789341965</v>
      </c>
      <c r="J1411">
        <v>0</v>
      </c>
      <c r="K1411">
        <v>453.42021789341965</v>
      </c>
    </row>
    <row r="1412" spans="1:11" x14ac:dyDescent="0.25">
      <c r="A1412" t="s">
        <v>130</v>
      </c>
      <c r="B1412" t="s">
        <v>43</v>
      </c>
      <c r="C1412" t="s">
        <v>75</v>
      </c>
      <c r="D1412">
        <v>2030</v>
      </c>
      <c r="E1412" t="s">
        <v>121</v>
      </c>
      <c r="F1412" t="s">
        <v>109</v>
      </c>
      <c r="G1412" t="s">
        <v>52</v>
      </c>
      <c r="H1412">
        <v>161.51818334722239</v>
      </c>
      <c r="I1412">
        <v>1578.6110090707834</v>
      </c>
      <c r="J1412">
        <v>260.72911228642022</v>
      </c>
      <c r="K1412">
        <v>260.72911228642022</v>
      </c>
    </row>
    <row r="1413" spans="1:11" x14ac:dyDescent="0.25">
      <c r="A1413" t="s">
        <v>130</v>
      </c>
      <c r="B1413" t="s">
        <v>43</v>
      </c>
      <c r="C1413" t="s">
        <v>78</v>
      </c>
      <c r="D1413">
        <v>2030</v>
      </c>
      <c r="E1413" t="s">
        <v>121</v>
      </c>
      <c r="F1413" t="s">
        <v>109</v>
      </c>
      <c r="G1413" t="s">
        <v>78</v>
      </c>
      <c r="H1413">
        <v>4.8823324111248541</v>
      </c>
      <c r="I1413">
        <v>166.97576846046999</v>
      </c>
      <c r="J1413">
        <v>0</v>
      </c>
      <c r="K1413">
        <v>166.97576846046999</v>
      </c>
    </row>
    <row r="1414" spans="1:11" x14ac:dyDescent="0.25">
      <c r="A1414" t="s">
        <v>130</v>
      </c>
      <c r="B1414" t="s">
        <v>43</v>
      </c>
      <c r="C1414" t="s">
        <v>65</v>
      </c>
      <c r="D1414">
        <v>2030</v>
      </c>
      <c r="E1414" t="s">
        <v>121</v>
      </c>
      <c r="F1414" t="s">
        <v>109</v>
      </c>
      <c r="G1414" t="s">
        <v>65</v>
      </c>
      <c r="H1414">
        <v>10.362132878257356</v>
      </c>
      <c r="I1414">
        <v>172.87070460312273</v>
      </c>
      <c r="J1414">
        <v>0</v>
      </c>
      <c r="K1414">
        <v>172.87070460312273</v>
      </c>
    </row>
    <row r="1415" spans="1:11" x14ac:dyDescent="0.25">
      <c r="A1415" t="s">
        <v>130</v>
      </c>
      <c r="B1415" t="s">
        <v>43</v>
      </c>
      <c r="C1415" t="s">
        <v>120</v>
      </c>
      <c r="D1415">
        <v>2030</v>
      </c>
      <c r="E1415" t="s">
        <v>121</v>
      </c>
      <c r="F1415" t="s">
        <v>109</v>
      </c>
      <c r="G1415" t="s">
        <v>53</v>
      </c>
      <c r="H1415">
        <v>300.30972185505971</v>
      </c>
      <c r="I1415">
        <v>4969.5252772575286</v>
      </c>
      <c r="J1415">
        <v>0</v>
      </c>
      <c r="K1415">
        <v>4969.5252772575286</v>
      </c>
    </row>
    <row r="1416" spans="1:11" x14ac:dyDescent="0.25">
      <c r="A1416" t="s">
        <v>130</v>
      </c>
      <c r="B1416" t="s">
        <v>43</v>
      </c>
      <c r="C1416" t="s">
        <v>29</v>
      </c>
      <c r="D1416">
        <v>2050</v>
      </c>
      <c r="E1416" t="s">
        <v>121</v>
      </c>
      <c r="F1416" t="s">
        <v>109</v>
      </c>
      <c r="G1416" t="s">
        <v>52</v>
      </c>
      <c r="H1416">
        <v>607.85393444864678</v>
      </c>
      <c r="I1416">
        <v>3425.8890887099515</v>
      </c>
      <c r="J1416">
        <v>1111.7010092863791</v>
      </c>
      <c r="K1416">
        <v>1111.7010092863791</v>
      </c>
    </row>
    <row r="1417" spans="1:11" x14ac:dyDescent="0.25">
      <c r="A1417" t="s">
        <v>130</v>
      </c>
      <c r="B1417" t="s">
        <v>43</v>
      </c>
      <c r="C1417" t="s">
        <v>34</v>
      </c>
      <c r="D1417">
        <v>2050</v>
      </c>
      <c r="E1417" t="s">
        <v>121</v>
      </c>
      <c r="F1417" t="s">
        <v>109</v>
      </c>
      <c r="G1417" t="s">
        <v>52</v>
      </c>
      <c r="H1417">
        <v>16.437342030919655</v>
      </c>
      <c r="I1417">
        <v>43.398527923715307</v>
      </c>
      <c r="J1417">
        <v>12.809199191246012</v>
      </c>
      <c r="K1417">
        <v>12.809199191246012</v>
      </c>
    </row>
    <row r="1418" spans="1:11" x14ac:dyDescent="0.25">
      <c r="A1418" t="s">
        <v>130</v>
      </c>
      <c r="B1418" t="s">
        <v>43</v>
      </c>
      <c r="C1418" t="s">
        <v>72</v>
      </c>
      <c r="D1418">
        <v>2050</v>
      </c>
      <c r="E1418" t="s">
        <v>121</v>
      </c>
      <c r="F1418" t="s">
        <v>109</v>
      </c>
      <c r="G1418" t="s">
        <v>52</v>
      </c>
      <c r="H1418">
        <v>66.392992194960655</v>
      </c>
      <c r="I1418">
        <v>192.80524933416578</v>
      </c>
      <c r="J1418">
        <v>102.37958739644202</v>
      </c>
      <c r="K1418">
        <v>102.37958739644202</v>
      </c>
    </row>
    <row r="1419" spans="1:11" x14ac:dyDescent="0.25">
      <c r="A1419" t="s">
        <v>130</v>
      </c>
      <c r="B1419" t="s">
        <v>43</v>
      </c>
      <c r="C1419" t="s">
        <v>53</v>
      </c>
      <c r="D1419">
        <v>2050</v>
      </c>
      <c r="E1419" t="s">
        <v>121</v>
      </c>
      <c r="F1419" t="s">
        <v>109</v>
      </c>
      <c r="G1419" t="s">
        <v>53</v>
      </c>
      <c r="H1419">
        <v>195.22321595091026</v>
      </c>
      <c r="I1419">
        <v>9067.0095130531809</v>
      </c>
      <c r="J1419">
        <v>0</v>
      </c>
      <c r="K1419">
        <v>9067.0095130531809</v>
      </c>
    </row>
    <row r="1420" spans="1:11" x14ac:dyDescent="0.25">
      <c r="A1420" t="s">
        <v>130</v>
      </c>
      <c r="B1420" t="s">
        <v>43</v>
      </c>
      <c r="C1420" t="s">
        <v>30</v>
      </c>
      <c r="D1420">
        <v>2050</v>
      </c>
      <c r="E1420" t="s">
        <v>121</v>
      </c>
      <c r="F1420" t="s">
        <v>109</v>
      </c>
      <c r="G1420" t="s">
        <v>30</v>
      </c>
      <c r="H1420">
        <v>3.697316289263382</v>
      </c>
      <c r="I1420">
        <v>52.476010093515178</v>
      </c>
      <c r="J1420">
        <v>0</v>
      </c>
      <c r="K1420">
        <v>52.476010093515178</v>
      </c>
    </row>
    <row r="1421" spans="1:11" x14ac:dyDescent="0.25">
      <c r="A1421" t="s">
        <v>130</v>
      </c>
      <c r="B1421" t="s">
        <v>43</v>
      </c>
      <c r="C1421" t="s">
        <v>31</v>
      </c>
      <c r="D1421">
        <v>2050</v>
      </c>
      <c r="E1421" t="s">
        <v>121</v>
      </c>
      <c r="F1421" t="s">
        <v>109</v>
      </c>
      <c r="G1421" t="s">
        <v>31</v>
      </c>
      <c r="H1421">
        <v>6.2857760790314314</v>
      </c>
      <c r="I1421">
        <v>182.60239374120394</v>
      </c>
      <c r="J1421">
        <v>0</v>
      </c>
      <c r="K1421">
        <v>182.60239374120394</v>
      </c>
    </row>
    <row r="1422" spans="1:11" x14ac:dyDescent="0.25">
      <c r="A1422" t="s">
        <v>130</v>
      </c>
      <c r="B1422" t="s">
        <v>43</v>
      </c>
      <c r="C1422" t="s">
        <v>55</v>
      </c>
      <c r="D1422">
        <v>2050</v>
      </c>
      <c r="E1422" t="s">
        <v>121</v>
      </c>
      <c r="F1422" t="s">
        <v>109</v>
      </c>
      <c r="G1422" t="s">
        <v>55</v>
      </c>
      <c r="H1422">
        <v>17.561135903248598</v>
      </c>
      <c r="I1422">
        <v>976.00494803557001</v>
      </c>
      <c r="J1422">
        <v>0</v>
      </c>
      <c r="K1422">
        <v>976.00494803557001</v>
      </c>
    </row>
    <row r="1423" spans="1:11" x14ac:dyDescent="0.25">
      <c r="A1423" t="s">
        <v>130</v>
      </c>
      <c r="B1423" t="s">
        <v>43</v>
      </c>
      <c r="C1423" t="s">
        <v>54</v>
      </c>
      <c r="D1423">
        <v>2050</v>
      </c>
      <c r="E1423" t="s">
        <v>121</v>
      </c>
      <c r="F1423" t="s">
        <v>109</v>
      </c>
      <c r="G1423" t="s">
        <v>54</v>
      </c>
      <c r="H1423">
        <v>18.722880855463707</v>
      </c>
      <c r="I1423">
        <v>830.02200516918299</v>
      </c>
      <c r="J1423">
        <v>0</v>
      </c>
      <c r="K1423">
        <v>830.02200516918299</v>
      </c>
    </row>
    <row r="1424" spans="1:11" x14ac:dyDescent="0.25">
      <c r="A1424" t="s">
        <v>130</v>
      </c>
      <c r="B1424" t="s">
        <v>43</v>
      </c>
      <c r="C1424" t="s">
        <v>41</v>
      </c>
      <c r="D1424">
        <v>2050</v>
      </c>
      <c r="E1424" t="s">
        <v>121</v>
      </c>
      <c r="F1424" t="s">
        <v>109</v>
      </c>
      <c r="G1424" t="s">
        <v>41</v>
      </c>
      <c r="H1424">
        <v>4.0389102781097774</v>
      </c>
      <c r="I1424">
        <v>23.454598210627974</v>
      </c>
      <c r="J1424">
        <v>0</v>
      </c>
      <c r="K1424">
        <v>23.454598210627974</v>
      </c>
    </row>
    <row r="1425" spans="1:11" x14ac:dyDescent="0.25">
      <c r="A1425" t="s">
        <v>130</v>
      </c>
      <c r="B1425" t="s">
        <v>43</v>
      </c>
      <c r="C1425" t="s">
        <v>80</v>
      </c>
      <c r="D1425">
        <v>2050</v>
      </c>
      <c r="E1425" t="s">
        <v>121</v>
      </c>
      <c r="F1425" t="s">
        <v>109</v>
      </c>
      <c r="G1425" t="s">
        <v>80</v>
      </c>
      <c r="H1425">
        <v>28.839778304443193</v>
      </c>
      <c r="I1425">
        <v>587.76694912109951</v>
      </c>
      <c r="J1425">
        <v>0</v>
      </c>
      <c r="K1425">
        <v>587.76694912109951</v>
      </c>
    </row>
    <row r="1426" spans="1:11" x14ac:dyDescent="0.25">
      <c r="A1426" t="s">
        <v>130</v>
      </c>
      <c r="B1426" t="s">
        <v>43</v>
      </c>
      <c r="C1426" t="s">
        <v>75</v>
      </c>
      <c r="D1426">
        <v>2050</v>
      </c>
      <c r="E1426" t="s">
        <v>121</v>
      </c>
      <c r="F1426" t="s">
        <v>109</v>
      </c>
      <c r="G1426" t="s">
        <v>52</v>
      </c>
      <c r="H1426">
        <v>209.3754228575105</v>
      </c>
      <c r="I1426">
        <v>2046.3476043510154</v>
      </c>
      <c r="J1426">
        <v>337.98218259350773</v>
      </c>
      <c r="K1426">
        <v>337.98218259350773</v>
      </c>
    </row>
    <row r="1427" spans="1:11" x14ac:dyDescent="0.25">
      <c r="A1427" t="s">
        <v>130</v>
      </c>
      <c r="B1427" t="s">
        <v>43</v>
      </c>
      <c r="C1427" t="s">
        <v>78</v>
      </c>
      <c r="D1427">
        <v>2050</v>
      </c>
      <c r="E1427" t="s">
        <v>121</v>
      </c>
      <c r="F1427" t="s">
        <v>109</v>
      </c>
      <c r="G1427" t="s">
        <v>78</v>
      </c>
      <c r="H1427">
        <v>6.3289494218285141</v>
      </c>
      <c r="I1427">
        <v>216.45007022653519</v>
      </c>
      <c r="J1427">
        <v>0</v>
      </c>
      <c r="K1427">
        <v>216.45007022653519</v>
      </c>
    </row>
    <row r="1428" spans="1:11" x14ac:dyDescent="0.25">
      <c r="A1428" t="s">
        <v>130</v>
      </c>
      <c r="B1428" t="s">
        <v>43</v>
      </c>
      <c r="C1428" t="s">
        <v>65</v>
      </c>
      <c r="D1428">
        <v>2050</v>
      </c>
      <c r="E1428" t="s">
        <v>121</v>
      </c>
      <c r="F1428" t="s">
        <v>109</v>
      </c>
      <c r="G1428" t="s">
        <v>65</v>
      </c>
      <c r="H1428">
        <v>13.432394471815089</v>
      </c>
      <c r="I1428">
        <v>224.09165411515903</v>
      </c>
      <c r="J1428">
        <v>0</v>
      </c>
      <c r="K1428">
        <v>224.09165411515903</v>
      </c>
    </row>
    <row r="1429" spans="1:11" x14ac:dyDescent="0.25">
      <c r="A1429" t="s">
        <v>130</v>
      </c>
      <c r="B1429" t="s">
        <v>43</v>
      </c>
      <c r="C1429" t="s">
        <v>120</v>
      </c>
      <c r="D1429">
        <v>2050</v>
      </c>
      <c r="E1429" t="s">
        <v>121</v>
      </c>
      <c r="F1429" t="s">
        <v>109</v>
      </c>
      <c r="G1429" t="s">
        <v>53</v>
      </c>
      <c r="H1429">
        <v>389.29038018248474</v>
      </c>
      <c r="I1429">
        <v>6441.9772112597584</v>
      </c>
      <c r="J1429">
        <v>0</v>
      </c>
      <c r="K1429">
        <v>6441.9772112597584</v>
      </c>
    </row>
    <row r="1430" spans="1:11" x14ac:dyDescent="0.25">
      <c r="A1430" t="s">
        <v>130</v>
      </c>
      <c r="B1430" t="s">
        <v>43</v>
      </c>
      <c r="C1430" t="s">
        <v>29</v>
      </c>
      <c r="D1430">
        <v>2019</v>
      </c>
      <c r="E1430" t="s">
        <v>119</v>
      </c>
      <c r="F1430" t="s">
        <v>110</v>
      </c>
      <c r="G1430" t="s">
        <v>52</v>
      </c>
      <c r="H1430">
        <v>1774.9136894308049</v>
      </c>
      <c r="I1430">
        <v>17419.002948073918</v>
      </c>
      <c r="J1430">
        <v>5685.5190147439571</v>
      </c>
      <c r="K1430">
        <v>5685.5190147439571</v>
      </c>
    </row>
    <row r="1431" spans="1:11" x14ac:dyDescent="0.25">
      <c r="A1431" t="s">
        <v>130</v>
      </c>
      <c r="B1431" t="s">
        <v>43</v>
      </c>
      <c r="C1431" t="s">
        <v>34</v>
      </c>
      <c r="D1431">
        <v>2019</v>
      </c>
      <c r="E1431" t="s">
        <v>119</v>
      </c>
      <c r="F1431" t="s">
        <v>110</v>
      </c>
      <c r="G1431" t="s">
        <v>52</v>
      </c>
      <c r="H1431">
        <v>32.238285550267712</v>
      </c>
      <c r="I1431">
        <v>174.21569511364672</v>
      </c>
      <c r="J1431">
        <v>51.720936667380549</v>
      </c>
      <c r="K1431">
        <v>51.720936667380549</v>
      </c>
    </row>
    <row r="1432" spans="1:11" x14ac:dyDescent="0.25">
      <c r="A1432" t="s">
        <v>130</v>
      </c>
      <c r="B1432" t="s">
        <v>43</v>
      </c>
      <c r="C1432" t="s">
        <v>72</v>
      </c>
      <c r="D1432">
        <v>2019</v>
      </c>
      <c r="E1432" t="s">
        <v>119</v>
      </c>
      <c r="F1432" t="s">
        <v>110</v>
      </c>
      <c r="G1432" t="s">
        <v>52</v>
      </c>
      <c r="H1432">
        <v>157.47648143468331</v>
      </c>
      <c r="I1432">
        <v>970.05512563764921</v>
      </c>
      <c r="J1432">
        <v>518.11129287869664</v>
      </c>
      <c r="K1432">
        <v>518.11129287869664</v>
      </c>
    </row>
    <row r="1433" spans="1:11" x14ac:dyDescent="0.25">
      <c r="A1433" t="s">
        <v>130</v>
      </c>
      <c r="B1433" t="s">
        <v>43</v>
      </c>
      <c r="C1433" t="s">
        <v>53</v>
      </c>
      <c r="D1433">
        <v>2019</v>
      </c>
      <c r="E1433" t="s">
        <v>119</v>
      </c>
      <c r="F1433" t="s">
        <v>110</v>
      </c>
      <c r="G1433" t="s">
        <v>53</v>
      </c>
      <c r="H1433">
        <v>1157.2294466868368</v>
      </c>
      <c r="I1433">
        <v>80390.415202441189</v>
      </c>
      <c r="J1433">
        <v>0</v>
      </c>
      <c r="K1433">
        <v>80390.415202441189</v>
      </c>
    </row>
    <row r="1434" spans="1:11" x14ac:dyDescent="0.25">
      <c r="A1434" t="s">
        <v>130</v>
      </c>
      <c r="B1434" t="s">
        <v>43</v>
      </c>
      <c r="C1434" t="s">
        <v>30</v>
      </c>
      <c r="D1434">
        <v>2019</v>
      </c>
      <c r="E1434" t="s">
        <v>119</v>
      </c>
      <c r="F1434" t="s">
        <v>110</v>
      </c>
      <c r="G1434" t="s">
        <v>30</v>
      </c>
      <c r="H1434">
        <v>5.4466148542378683</v>
      </c>
      <c r="I1434">
        <v>158.22416151561006</v>
      </c>
      <c r="J1434">
        <v>0</v>
      </c>
      <c r="K1434">
        <v>158.22416151561006</v>
      </c>
    </row>
    <row r="1435" spans="1:11" x14ac:dyDescent="0.25">
      <c r="A1435" t="s">
        <v>130</v>
      </c>
      <c r="B1435" t="s">
        <v>43</v>
      </c>
      <c r="C1435" t="s">
        <v>31</v>
      </c>
      <c r="D1435">
        <v>2019</v>
      </c>
      <c r="E1435" t="s">
        <v>119</v>
      </c>
      <c r="F1435" t="s">
        <v>110</v>
      </c>
      <c r="G1435" t="s">
        <v>31</v>
      </c>
      <c r="H1435">
        <v>31.045054930295858</v>
      </c>
      <c r="I1435">
        <v>1845.915969818406</v>
      </c>
      <c r="J1435">
        <v>0</v>
      </c>
      <c r="K1435">
        <v>1845.915969818406</v>
      </c>
    </row>
    <row r="1436" spans="1:11" x14ac:dyDescent="0.25">
      <c r="A1436" t="s">
        <v>130</v>
      </c>
      <c r="B1436" t="s">
        <v>43</v>
      </c>
      <c r="C1436" t="s">
        <v>55</v>
      </c>
      <c r="D1436">
        <v>2019</v>
      </c>
      <c r="E1436" t="s">
        <v>119</v>
      </c>
      <c r="F1436" t="s">
        <v>110</v>
      </c>
      <c r="G1436" t="s">
        <v>55</v>
      </c>
      <c r="H1436">
        <v>35.751038145066026</v>
      </c>
      <c r="I1436">
        <v>4066.8673481557489</v>
      </c>
      <c r="J1436">
        <v>0</v>
      </c>
      <c r="K1436">
        <v>4066.8673481557489</v>
      </c>
    </row>
    <row r="1437" spans="1:11" x14ac:dyDescent="0.25">
      <c r="A1437" t="s">
        <v>130</v>
      </c>
      <c r="B1437" t="s">
        <v>43</v>
      </c>
      <c r="C1437" t="s">
        <v>54</v>
      </c>
      <c r="D1437">
        <v>2019</v>
      </c>
      <c r="E1437" t="s">
        <v>119</v>
      </c>
      <c r="F1437" t="s">
        <v>110</v>
      </c>
      <c r="G1437" t="s">
        <v>54</v>
      </c>
      <c r="H1437">
        <v>36.720874835279488</v>
      </c>
      <c r="I1437">
        <v>2288.2245944856063</v>
      </c>
      <c r="J1437">
        <v>0</v>
      </c>
      <c r="K1437">
        <v>2288.2245944856063</v>
      </c>
    </row>
    <row r="1438" spans="1:11" x14ac:dyDescent="0.25">
      <c r="A1438" t="s">
        <v>130</v>
      </c>
      <c r="B1438" t="s">
        <v>43</v>
      </c>
      <c r="C1438" t="s">
        <v>41</v>
      </c>
      <c r="D1438">
        <v>2019</v>
      </c>
      <c r="E1438" t="s">
        <v>119</v>
      </c>
      <c r="F1438" t="s">
        <v>110</v>
      </c>
      <c r="G1438" t="s">
        <v>41</v>
      </c>
      <c r="H1438">
        <v>13.325104800010324</v>
      </c>
      <c r="I1438">
        <v>158.38219565292275</v>
      </c>
      <c r="J1438">
        <v>0</v>
      </c>
      <c r="K1438">
        <v>158.38219565292275</v>
      </c>
    </row>
    <row r="1439" spans="1:11" x14ac:dyDescent="0.25">
      <c r="A1439" t="s">
        <v>130</v>
      </c>
      <c r="B1439" t="s">
        <v>43</v>
      </c>
      <c r="C1439" t="s">
        <v>80</v>
      </c>
      <c r="D1439">
        <v>2019</v>
      </c>
      <c r="E1439" t="s">
        <v>119</v>
      </c>
      <c r="F1439" t="s">
        <v>110</v>
      </c>
      <c r="G1439" t="s">
        <v>80</v>
      </c>
      <c r="H1439">
        <v>95.147711103802934</v>
      </c>
      <c r="I1439">
        <v>3969.0221549750004</v>
      </c>
      <c r="J1439">
        <v>0</v>
      </c>
      <c r="K1439">
        <v>3969.0221549750004</v>
      </c>
    </row>
    <row r="1440" spans="1:11" x14ac:dyDescent="0.25">
      <c r="A1440" t="s">
        <v>130</v>
      </c>
      <c r="B1440" t="s">
        <v>43</v>
      </c>
      <c r="C1440" t="s">
        <v>75</v>
      </c>
      <c r="D1440">
        <v>2019</v>
      </c>
      <c r="E1440" t="s">
        <v>119</v>
      </c>
      <c r="F1440" t="s">
        <v>110</v>
      </c>
      <c r="G1440" t="s">
        <v>52</v>
      </c>
      <c r="H1440">
        <v>890.40917113569958</v>
      </c>
      <c r="I1440">
        <v>17812.105731467855</v>
      </c>
      <c r="J1440">
        <v>2959.1146066186934</v>
      </c>
      <c r="K1440">
        <v>2959.1146066186934</v>
      </c>
    </row>
    <row r="1441" spans="1:11" x14ac:dyDescent="0.25">
      <c r="A1441" t="s">
        <v>130</v>
      </c>
      <c r="B1441" t="s">
        <v>43</v>
      </c>
      <c r="C1441" t="s">
        <v>78</v>
      </c>
      <c r="D1441">
        <v>2019</v>
      </c>
      <c r="E1441" t="s">
        <v>119</v>
      </c>
      <c r="F1441" t="s">
        <v>110</v>
      </c>
      <c r="G1441" t="s">
        <v>78</v>
      </c>
      <c r="H1441">
        <v>20.880363393290878</v>
      </c>
      <c r="I1441">
        <v>1461.6254375303615</v>
      </c>
      <c r="J1441">
        <v>0</v>
      </c>
      <c r="K1441">
        <v>1461.6254375303615</v>
      </c>
    </row>
    <row r="1442" spans="1:11" x14ac:dyDescent="0.25">
      <c r="A1442" t="s">
        <v>130</v>
      </c>
      <c r="B1442" t="s">
        <v>43</v>
      </c>
      <c r="C1442" t="s">
        <v>65</v>
      </c>
      <c r="D1442">
        <v>2019</v>
      </c>
      <c r="E1442" t="s">
        <v>119</v>
      </c>
      <c r="F1442" t="s">
        <v>110</v>
      </c>
      <c r="G1442" t="s">
        <v>65</v>
      </c>
      <c r="H1442">
        <v>63.693862522419288</v>
      </c>
      <c r="I1442">
        <v>2174.912378814317</v>
      </c>
      <c r="J1442">
        <v>0</v>
      </c>
      <c r="K1442">
        <v>2174.912378814317</v>
      </c>
    </row>
    <row r="1443" spans="1:11" x14ac:dyDescent="0.25">
      <c r="A1443" t="s">
        <v>130</v>
      </c>
      <c r="B1443" t="s">
        <v>43</v>
      </c>
      <c r="C1443" t="s">
        <v>120</v>
      </c>
      <c r="D1443">
        <v>2019</v>
      </c>
      <c r="E1443" t="s">
        <v>119</v>
      </c>
      <c r="F1443" t="s">
        <v>110</v>
      </c>
      <c r="G1443" t="s">
        <v>53</v>
      </c>
      <c r="H1443">
        <v>2434.2808314981853</v>
      </c>
      <c r="I1443">
        <v>46996.225732903964</v>
      </c>
      <c r="J1443">
        <v>0</v>
      </c>
      <c r="K1443">
        <v>46996.225732903964</v>
      </c>
    </row>
    <row r="1444" spans="1:11" x14ac:dyDescent="0.25">
      <c r="A1444" t="s">
        <v>130</v>
      </c>
      <c r="B1444" t="s">
        <v>43</v>
      </c>
      <c r="C1444" t="s">
        <v>29</v>
      </c>
      <c r="D1444">
        <v>2030</v>
      </c>
      <c r="E1444" t="s">
        <v>119</v>
      </c>
      <c r="F1444" t="s">
        <v>110</v>
      </c>
      <c r="G1444" t="s">
        <v>52</v>
      </c>
      <c r="H1444">
        <v>1618.1689827208891</v>
      </c>
      <c r="I1444">
        <v>15880.710396422801</v>
      </c>
      <c r="J1444">
        <v>5153.2905236391998</v>
      </c>
      <c r="K1444">
        <v>5153.2905236391998</v>
      </c>
    </row>
    <row r="1445" spans="1:11" x14ac:dyDescent="0.25">
      <c r="A1445" t="s">
        <v>130</v>
      </c>
      <c r="B1445" t="s">
        <v>43</v>
      </c>
      <c r="C1445" t="s">
        <v>34</v>
      </c>
      <c r="D1445">
        <v>2030</v>
      </c>
      <c r="E1445" t="s">
        <v>119</v>
      </c>
      <c r="F1445" t="s">
        <v>110</v>
      </c>
      <c r="G1445" t="s">
        <v>52</v>
      </c>
      <c r="H1445">
        <v>29.391284795528069</v>
      </c>
      <c r="I1445">
        <v>158.8305030350337</v>
      </c>
      <c r="J1445">
        <v>46.879275596576036</v>
      </c>
      <c r="K1445">
        <v>46.879275596576036</v>
      </c>
    </row>
    <row r="1446" spans="1:11" x14ac:dyDescent="0.25">
      <c r="A1446" t="s">
        <v>130</v>
      </c>
      <c r="B1446" t="s">
        <v>43</v>
      </c>
      <c r="C1446" t="s">
        <v>72</v>
      </c>
      <c r="D1446">
        <v>2030</v>
      </c>
      <c r="E1446" t="s">
        <v>119</v>
      </c>
      <c r="F1446" t="s">
        <v>110</v>
      </c>
      <c r="G1446" t="s">
        <v>52</v>
      </c>
      <c r="H1446">
        <v>143.56954892119037</v>
      </c>
      <c r="I1446">
        <v>884.38842135453274</v>
      </c>
      <c r="J1446">
        <v>469.61025173925685</v>
      </c>
      <c r="K1446">
        <v>469.61025173925685</v>
      </c>
    </row>
    <row r="1447" spans="1:11" x14ac:dyDescent="0.25">
      <c r="A1447" t="s">
        <v>130</v>
      </c>
      <c r="B1447" t="s">
        <v>43</v>
      </c>
      <c r="C1447" t="s">
        <v>53</v>
      </c>
      <c r="D1447">
        <v>2030</v>
      </c>
      <c r="E1447" t="s">
        <v>119</v>
      </c>
      <c r="F1447" t="s">
        <v>110</v>
      </c>
      <c r="G1447" t="s">
        <v>53</v>
      </c>
      <c r="H1447">
        <v>1055.0331588914703</v>
      </c>
      <c r="I1447">
        <v>73291.04348187265</v>
      </c>
      <c r="J1447">
        <v>0</v>
      </c>
      <c r="K1447">
        <v>73291.04348187265</v>
      </c>
    </row>
    <row r="1448" spans="1:11" x14ac:dyDescent="0.25">
      <c r="A1448" t="s">
        <v>130</v>
      </c>
      <c r="B1448" t="s">
        <v>43</v>
      </c>
      <c r="C1448" t="s">
        <v>30</v>
      </c>
      <c r="D1448">
        <v>2030</v>
      </c>
      <c r="E1448" t="s">
        <v>119</v>
      </c>
      <c r="F1448" t="s">
        <v>110</v>
      </c>
      <c r="G1448" t="s">
        <v>30</v>
      </c>
      <c r="H1448">
        <v>4.9656179173315067</v>
      </c>
      <c r="I1448">
        <v>144.25120049848027</v>
      </c>
      <c r="J1448">
        <v>0</v>
      </c>
      <c r="K1448">
        <v>144.25120049848027</v>
      </c>
    </row>
    <row r="1449" spans="1:11" x14ac:dyDescent="0.25">
      <c r="A1449" t="s">
        <v>130</v>
      </c>
      <c r="B1449" t="s">
        <v>43</v>
      </c>
      <c r="C1449" t="s">
        <v>31</v>
      </c>
      <c r="D1449">
        <v>2030</v>
      </c>
      <c r="E1449" t="s">
        <v>119</v>
      </c>
      <c r="F1449" t="s">
        <v>110</v>
      </c>
      <c r="G1449" t="s">
        <v>31</v>
      </c>
      <c r="H1449">
        <v>28.303429769129298</v>
      </c>
      <c r="I1449">
        <v>1682.9009685688955</v>
      </c>
      <c r="J1449">
        <v>0</v>
      </c>
      <c r="K1449">
        <v>1682.9009685688955</v>
      </c>
    </row>
    <row r="1450" spans="1:11" x14ac:dyDescent="0.25">
      <c r="A1450" t="s">
        <v>130</v>
      </c>
      <c r="B1450" t="s">
        <v>43</v>
      </c>
      <c r="C1450" t="s">
        <v>55</v>
      </c>
      <c r="D1450">
        <v>2030</v>
      </c>
      <c r="E1450" t="s">
        <v>119</v>
      </c>
      <c r="F1450" t="s">
        <v>110</v>
      </c>
      <c r="G1450" t="s">
        <v>55</v>
      </c>
      <c r="H1450">
        <v>32.593822094509534</v>
      </c>
      <c r="I1450">
        <v>3707.7175294852809</v>
      </c>
      <c r="J1450">
        <v>0</v>
      </c>
      <c r="K1450">
        <v>3707.7175294852809</v>
      </c>
    </row>
    <row r="1451" spans="1:11" x14ac:dyDescent="0.25">
      <c r="A1451" t="s">
        <v>130</v>
      </c>
      <c r="B1451" t="s">
        <v>43</v>
      </c>
      <c r="C1451" t="s">
        <v>54</v>
      </c>
      <c r="D1451">
        <v>2030</v>
      </c>
      <c r="E1451" t="s">
        <v>119</v>
      </c>
      <c r="F1451" t="s">
        <v>110</v>
      </c>
      <c r="G1451" t="s">
        <v>54</v>
      </c>
      <c r="H1451">
        <v>33.478011370728012</v>
      </c>
      <c r="I1451">
        <v>2086.1488005555452</v>
      </c>
      <c r="J1451">
        <v>0</v>
      </c>
      <c r="K1451">
        <v>2086.1488005555452</v>
      </c>
    </row>
    <row r="1452" spans="1:11" x14ac:dyDescent="0.25">
      <c r="A1452" t="s">
        <v>130</v>
      </c>
      <c r="B1452" t="s">
        <v>43</v>
      </c>
      <c r="C1452" t="s">
        <v>41</v>
      </c>
      <c r="D1452">
        <v>2030</v>
      </c>
      <c r="E1452" t="s">
        <v>119</v>
      </c>
      <c r="F1452" t="s">
        <v>110</v>
      </c>
      <c r="G1452" t="s">
        <v>41</v>
      </c>
      <c r="H1452">
        <v>12.148349188628277</v>
      </c>
      <c r="I1452">
        <v>144.3952784560357</v>
      </c>
      <c r="J1452">
        <v>0</v>
      </c>
      <c r="K1452">
        <v>144.3952784560357</v>
      </c>
    </row>
    <row r="1453" spans="1:11" x14ac:dyDescent="0.25">
      <c r="A1453" t="s">
        <v>130</v>
      </c>
      <c r="B1453" t="s">
        <v>43</v>
      </c>
      <c r="C1453" t="s">
        <v>80</v>
      </c>
      <c r="D1453">
        <v>2030</v>
      </c>
      <c r="E1453" t="s">
        <v>119</v>
      </c>
      <c r="F1453" t="s">
        <v>110</v>
      </c>
      <c r="G1453" t="s">
        <v>80</v>
      </c>
      <c r="H1453">
        <v>86.745105298295798</v>
      </c>
      <c r="I1453">
        <v>3618.5131599115721</v>
      </c>
      <c r="J1453">
        <v>0</v>
      </c>
      <c r="K1453">
        <v>3618.5131599115721</v>
      </c>
    </row>
    <row r="1454" spans="1:11" x14ac:dyDescent="0.25">
      <c r="A1454" t="s">
        <v>130</v>
      </c>
      <c r="B1454" t="s">
        <v>43</v>
      </c>
      <c r="C1454" t="s">
        <v>75</v>
      </c>
      <c r="D1454">
        <v>2030</v>
      </c>
      <c r="E1454" t="s">
        <v>119</v>
      </c>
      <c r="F1454" t="s">
        <v>110</v>
      </c>
      <c r="G1454" t="s">
        <v>52</v>
      </c>
      <c r="H1454">
        <v>811.77609437677165</v>
      </c>
      <c r="I1454">
        <v>16239.097812609396</v>
      </c>
      <c r="J1454">
        <v>2682.1082158208537</v>
      </c>
      <c r="K1454">
        <v>2682.1082158208537</v>
      </c>
    </row>
    <row r="1455" spans="1:11" x14ac:dyDescent="0.25">
      <c r="A1455" t="s">
        <v>130</v>
      </c>
      <c r="B1455" t="s">
        <v>43</v>
      </c>
      <c r="C1455" t="s">
        <v>78</v>
      </c>
      <c r="D1455">
        <v>2030</v>
      </c>
      <c r="E1455" t="s">
        <v>119</v>
      </c>
      <c r="F1455" t="s">
        <v>110</v>
      </c>
      <c r="G1455" t="s">
        <v>78</v>
      </c>
      <c r="H1455">
        <v>19.036394046743428</v>
      </c>
      <c r="I1455">
        <v>1332.5475832720401</v>
      </c>
      <c r="J1455">
        <v>0</v>
      </c>
      <c r="K1455">
        <v>1332.5475832720401</v>
      </c>
    </row>
    <row r="1456" spans="1:11" x14ac:dyDescent="0.25">
      <c r="A1456" t="s">
        <v>130</v>
      </c>
      <c r="B1456" t="s">
        <v>43</v>
      </c>
      <c r="C1456" t="s">
        <v>65</v>
      </c>
      <c r="D1456">
        <v>2030</v>
      </c>
      <c r="E1456" t="s">
        <v>119</v>
      </c>
      <c r="F1456" t="s">
        <v>110</v>
      </c>
      <c r="G1456" t="s">
        <v>65</v>
      </c>
      <c r="H1456">
        <v>58.068982924189378</v>
      </c>
      <c r="I1456">
        <v>1982.843319362564</v>
      </c>
      <c r="J1456">
        <v>0</v>
      </c>
      <c r="K1456">
        <v>1982.843319362564</v>
      </c>
    </row>
    <row r="1457" spans="1:11" x14ac:dyDescent="0.25">
      <c r="A1457" t="s">
        <v>130</v>
      </c>
      <c r="B1457" t="s">
        <v>43</v>
      </c>
      <c r="C1457" t="s">
        <v>120</v>
      </c>
      <c r="D1457">
        <v>2030</v>
      </c>
      <c r="E1457" t="s">
        <v>119</v>
      </c>
      <c r="F1457" t="s">
        <v>110</v>
      </c>
      <c r="G1457" t="s">
        <v>53</v>
      </c>
      <c r="H1457">
        <v>2019.4268817975167</v>
      </c>
      <c r="I1457">
        <v>38987.055379982856</v>
      </c>
      <c r="J1457">
        <v>0</v>
      </c>
      <c r="K1457">
        <v>38987.055379982856</v>
      </c>
    </row>
    <row r="1458" spans="1:11" x14ac:dyDescent="0.25">
      <c r="A1458" t="s">
        <v>130</v>
      </c>
      <c r="B1458" t="s">
        <v>43</v>
      </c>
      <c r="C1458" t="s">
        <v>29</v>
      </c>
      <c r="D1458">
        <v>2050</v>
      </c>
      <c r="E1458" t="s">
        <v>119</v>
      </c>
      <c r="F1458" t="s">
        <v>110</v>
      </c>
      <c r="G1458" t="s">
        <v>52</v>
      </c>
      <c r="H1458">
        <v>1543.3403592424663</v>
      </c>
      <c r="I1458">
        <v>15146.342285605564</v>
      </c>
      <c r="J1458">
        <v>4914.9880716790058</v>
      </c>
      <c r="K1458">
        <v>4914.9880716790058</v>
      </c>
    </row>
    <row r="1459" spans="1:11" x14ac:dyDescent="0.25">
      <c r="A1459" t="s">
        <v>130</v>
      </c>
      <c r="B1459" t="s">
        <v>43</v>
      </c>
      <c r="C1459" t="s">
        <v>34</v>
      </c>
      <c r="D1459">
        <v>2050</v>
      </c>
      <c r="E1459" t="s">
        <v>119</v>
      </c>
      <c r="F1459" t="s">
        <v>110</v>
      </c>
      <c r="G1459" t="s">
        <v>52</v>
      </c>
      <c r="H1459">
        <v>28.032150238509427</v>
      </c>
      <c r="I1459">
        <v>151.48573988890496</v>
      </c>
      <c r="J1459">
        <v>44.711447823323965</v>
      </c>
      <c r="K1459">
        <v>44.711447823323965</v>
      </c>
    </row>
    <row r="1460" spans="1:11" x14ac:dyDescent="0.25">
      <c r="A1460" t="s">
        <v>130</v>
      </c>
      <c r="B1460" t="s">
        <v>43</v>
      </c>
      <c r="C1460" t="s">
        <v>72</v>
      </c>
      <c r="D1460">
        <v>2050</v>
      </c>
      <c r="E1460" t="s">
        <v>119</v>
      </c>
      <c r="F1460" t="s">
        <v>110</v>
      </c>
      <c r="G1460" t="s">
        <v>52</v>
      </c>
      <c r="H1460">
        <v>136.93049463581738</v>
      </c>
      <c r="I1460">
        <v>843.49184695663507</v>
      </c>
      <c r="J1460">
        <v>447.89417073397317</v>
      </c>
      <c r="K1460">
        <v>447.89417073397317</v>
      </c>
    </row>
    <row r="1461" spans="1:11" x14ac:dyDescent="0.25">
      <c r="A1461" t="s">
        <v>130</v>
      </c>
      <c r="B1461" t="s">
        <v>43</v>
      </c>
      <c r="C1461" t="s">
        <v>53</v>
      </c>
      <c r="D1461">
        <v>2050</v>
      </c>
      <c r="E1461" t="s">
        <v>119</v>
      </c>
      <c r="F1461" t="s">
        <v>110</v>
      </c>
      <c r="G1461" t="s">
        <v>53</v>
      </c>
      <c r="H1461">
        <v>1006.2454983646971</v>
      </c>
      <c r="I1461">
        <v>69901.862280398782</v>
      </c>
      <c r="J1461">
        <v>0</v>
      </c>
      <c r="K1461">
        <v>69901.862280398782</v>
      </c>
    </row>
    <row r="1462" spans="1:11" x14ac:dyDescent="0.25">
      <c r="A1462" t="s">
        <v>130</v>
      </c>
      <c r="B1462" t="s">
        <v>43</v>
      </c>
      <c r="C1462" t="s">
        <v>30</v>
      </c>
      <c r="D1462">
        <v>2050</v>
      </c>
      <c r="E1462" t="s">
        <v>119</v>
      </c>
      <c r="F1462" t="s">
        <v>110</v>
      </c>
      <c r="G1462" t="s">
        <v>30</v>
      </c>
      <c r="H1462">
        <v>4.7359939673971017</v>
      </c>
      <c r="I1462">
        <v>137.5806247528858</v>
      </c>
      <c r="J1462">
        <v>0</v>
      </c>
      <c r="K1462">
        <v>137.5806247528858</v>
      </c>
    </row>
    <row r="1463" spans="1:11" x14ac:dyDescent="0.25">
      <c r="A1463" t="s">
        <v>130</v>
      </c>
      <c r="B1463" t="s">
        <v>43</v>
      </c>
      <c r="C1463" t="s">
        <v>31</v>
      </c>
      <c r="D1463">
        <v>2050</v>
      </c>
      <c r="E1463" t="s">
        <v>119</v>
      </c>
      <c r="F1463" t="s">
        <v>110</v>
      </c>
      <c r="G1463" t="s">
        <v>31</v>
      </c>
      <c r="H1463">
        <v>26.994600646857421</v>
      </c>
      <c r="I1463">
        <v>1605.078958461663</v>
      </c>
      <c r="J1463">
        <v>0</v>
      </c>
      <c r="K1463">
        <v>1605.078958461663</v>
      </c>
    </row>
    <row r="1464" spans="1:11" x14ac:dyDescent="0.25">
      <c r="A1464" t="s">
        <v>130</v>
      </c>
      <c r="B1464" t="s">
        <v>43</v>
      </c>
      <c r="C1464" t="s">
        <v>55</v>
      </c>
      <c r="D1464">
        <v>2050</v>
      </c>
      <c r="E1464" t="s">
        <v>119</v>
      </c>
      <c r="F1464" t="s">
        <v>110</v>
      </c>
      <c r="G1464" t="s">
        <v>55</v>
      </c>
      <c r="H1464">
        <v>31.086593327133372</v>
      </c>
      <c r="I1464">
        <v>3536.2623836131297</v>
      </c>
      <c r="J1464">
        <v>0</v>
      </c>
      <c r="K1464">
        <v>3536.2623836131297</v>
      </c>
    </row>
    <row r="1465" spans="1:11" x14ac:dyDescent="0.25">
      <c r="A1465" t="s">
        <v>130</v>
      </c>
      <c r="B1465" t="s">
        <v>43</v>
      </c>
      <c r="C1465" t="s">
        <v>54</v>
      </c>
      <c r="D1465">
        <v>2050</v>
      </c>
      <c r="E1465" t="s">
        <v>119</v>
      </c>
      <c r="F1465" t="s">
        <v>110</v>
      </c>
      <c r="G1465" t="s">
        <v>54</v>
      </c>
      <c r="H1465">
        <v>31.92989523797759</v>
      </c>
      <c r="I1465">
        <v>1989.6794918593355</v>
      </c>
      <c r="J1465">
        <v>0</v>
      </c>
      <c r="K1465">
        <v>1989.6794918593355</v>
      </c>
    </row>
    <row r="1466" spans="1:11" x14ac:dyDescent="0.25">
      <c r="A1466" t="s">
        <v>130</v>
      </c>
      <c r="B1466" t="s">
        <v>43</v>
      </c>
      <c r="C1466" t="s">
        <v>41</v>
      </c>
      <c r="D1466">
        <v>2050</v>
      </c>
      <c r="E1466" t="s">
        <v>119</v>
      </c>
      <c r="F1466" t="s">
        <v>110</v>
      </c>
      <c r="G1466" t="s">
        <v>41</v>
      </c>
      <c r="H1466">
        <v>11.586575815743734</v>
      </c>
      <c r="I1466">
        <v>137.71804014593005</v>
      </c>
      <c r="J1466">
        <v>0</v>
      </c>
      <c r="K1466">
        <v>137.71804014593005</v>
      </c>
    </row>
    <row r="1467" spans="1:11" x14ac:dyDescent="0.25">
      <c r="A1467" t="s">
        <v>130</v>
      </c>
      <c r="B1467" t="s">
        <v>43</v>
      </c>
      <c r="C1467" t="s">
        <v>80</v>
      </c>
      <c r="D1467">
        <v>2050</v>
      </c>
      <c r="E1467" t="s">
        <v>119</v>
      </c>
      <c r="F1467" t="s">
        <v>110</v>
      </c>
      <c r="G1467" t="s">
        <v>80</v>
      </c>
      <c r="H1467">
        <v>82.733770949241659</v>
      </c>
      <c r="I1467">
        <v>3451.1830715919614</v>
      </c>
      <c r="J1467">
        <v>0</v>
      </c>
      <c r="K1467">
        <v>3451.1830715919614</v>
      </c>
    </row>
    <row r="1468" spans="1:11" x14ac:dyDescent="0.25">
      <c r="A1468" t="s">
        <v>130</v>
      </c>
      <c r="B1468" t="s">
        <v>43</v>
      </c>
      <c r="C1468" t="s">
        <v>75</v>
      </c>
      <c r="D1468">
        <v>2050</v>
      </c>
      <c r="E1468" t="s">
        <v>119</v>
      </c>
      <c r="F1468" t="s">
        <v>110</v>
      </c>
      <c r="G1468" t="s">
        <v>52</v>
      </c>
      <c r="H1468">
        <v>774.23731544605391</v>
      </c>
      <c r="I1468">
        <v>15488.156873297978</v>
      </c>
      <c r="J1468">
        <v>2558.0800902337614</v>
      </c>
      <c r="K1468">
        <v>2558.0800902337614</v>
      </c>
    </row>
    <row r="1469" spans="1:11" x14ac:dyDescent="0.25">
      <c r="A1469" t="s">
        <v>130</v>
      </c>
      <c r="B1469" t="s">
        <v>43</v>
      </c>
      <c r="C1469" t="s">
        <v>78</v>
      </c>
      <c r="D1469">
        <v>2050</v>
      </c>
      <c r="E1469" t="s">
        <v>119</v>
      </c>
      <c r="F1469" t="s">
        <v>110</v>
      </c>
      <c r="G1469" t="s">
        <v>78</v>
      </c>
      <c r="H1469">
        <v>18.156098368281306</v>
      </c>
      <c r="I1469">
        <v>1270.9268857796915</v>
      </c>
      <c r="J1469">
        <v>0</v>
      </c>
      <c r="K1469">
        <v>1270.9268857796915</v>
      </c>
    </row>
    <row r="1470" spans="1:11" x14ac:dyDescent="0.25">
      <c r="A1470" t="s">
        <v>130</v>
      </c>
      <c r="B1470" t="s">
        <v>43</v>
      </c>
      <c r="C1470" t="s">
        <v>65</v>
      </c>
      <c r="D1470">
        <v>2050</v>
      </c>
      <c r="E1470" t="s">
        <v>119</v>
      </c>
      <c r="F1470" t="s">
        <v>110</v>
      </c>
      <c r="G1470" t="s">
        <v>65</v>
      </c>
      <c r="H1470">
        <v>55.383712037521661</v>
      </c>
      <c r="I1470">
        <v>1891.1511427446421</v>
      </c>
      <c r="J1470">
        <v>0</v>
      </c>
      <c r="K1470">
        <v>1891.1511427446421</v>
      </c>
    </row>
    <row r="1471" spans="1:11" x14ac:dyDescent="0.25">
      <c r="A1471" t="s">
        <v>130</v>
      </c>
      <c r="B1471" t="s">
        <v>43</v>
      </c>
      <c r="C1471" t="s">
        <v>120</v>
      </c>
      <c r="D1471">
        <v>2050</v>
      </c>
      <c r="E1471" t="s">
        <v>119</v>
      </c>
      <c r="F1471" t="s">
        <v>110</v>
      </c>
      <c r="G1471" t="s">
        <v>53</v>
      </c>
      <c r="H1471">
        <v>1926.0429797490767</v>
      </c>
      <c r="I1471">
        <v>37184.185767035677</v>
      </c>
      <c r="J1471">
        <v>0</v>
      </c>
      <c r="K1471">
        <v>37184.185767035677</v>
      </c>
    </row>
    <row r="1472" spans="1:11" x14ac:dyDescent="0.25">
      <c r="A1472" t="s">
        <v>130</v>
      </c>
      <c r="B1472" t="s">
        <v>43</v>
      </c>
      <c r="C1472" t="s">
        <v>29</v>
      </c>
      <c r="D1472">
        <v>2019</v>
      </c>
      <c r="E1472" t="s">
        <v>121</v>
      </c>
      <c r="F1472" t="s">
        <v>110</v>
      </c>
      <c r="G1472" t="s">
        <v>52</v>
      </c>
      <c r="H1472">
        <v>226.94315205364711</v>
      </c>
      <c r="I1472">
        <v>1492.2374631505099</v>
      </c>
      <c r="J1472">
        <v>487.06257737866866</v>
      </c>
      <c r="K1472">
        <v>487.06257737866866</v>
      </c>
    </row>
    <row r="1473" spans="1:11" x14ac:dyDescent="0.25">
      <c r="A1473" t="s">
        <v>130</v>
      </c>
      <c r="B1473" t="s">
        <v>43</v>
      </c>
      <c r="C1473" t="s">
        <v>34</v>
      </c>
      <c r="D1473">
        <v>2019</v>
      </c>
      <c r="E1473" t="s">
        <v>121</v>
      </c>
      <c r="F1473" t="s">
        <v>110</v>
      </c>
      <c r="G1473" t="s">
        <v>52</v>
      </c>
      <c r="H1473">
        <v>4.1220360083703804</v>
      </c>
      <c r="I1473">
        <v>12.697025075863115</v>
      </c>
      <c r="J1473">
        <v>3.7694768510062779</v>
      </c>
      <c r="K1473">
        <v>3.7694768510062779</v>
      </c>
    </row>
    <row r="1474" spans="1:11" x14ac:dyDescent="0.25">
      <c r="A1474" t="s">
        <v>130</v>
      </c>
      <c r="B1474" t="s">
        <v>43</v>
      </c>
      <c r="C1474" t="s">
        <v>72</v>
      </c>
      <c r="D1474">
        <v>2019</v>
      </c>
      <c r="E1474" t="s">
        <v>121</v>
      </c>
      <c r="F1474" t="s">
        <v>110</v>
      </c>
      <c r="G1474" t="s">
        <v>52</v>
      </c>
      <c r="H1474">
        <v>20.135181380321381</v>
      </c>
      <c r="I1474">
        <v>68.217994516528833</v>
      </c>
      <c r="J1474">
        <v>36.435571961250645</v>
      </c>
      <c r="K1474">
        <v>36.435571961250645</v>
      </c>
    </row>
    <row r="1475" spans="1:11" x14ac:dyDescent="0.25">
      <c r="A1475" t="s">
        <v>130</v>
      </c>
      <c r="B1475" t="s">
        <v>43</v>
      </c>
      <c r="C1475" t="s">
        <v>53</v>
      </c>
      <c r="D1475">
        <v>2019</v>
      </c>
      <c r="E1475" t="s">
        <v>121</v>
      </c>
      <c r="F1475" t="s">
        <v>110</v>
      </c>
      <c r="G1475" t="s">
        <v>53</v>
      </c>
      <c r="H1475">
        <v>147.96510942716867</v>
      </c>
      <c r="I1475">
        <v>8017.4953729155113</v>
      </c>
      <c r="J1475">
        <v>0</v>
      </c>
      <c r="K1475">
        <v>8017.4953729155113</v>
      </c>
    </row>
    <row r="1476" spans="1:11" x14ac:dyDescent="0.25">
      <c r="A1476" t="s">
        <v>130</v>
      </c>
      <c r="B1476" t="s">
        <v>43</v>
      </c>
      <c r="C1476" t="s">
        <v>30</v>
      </c>
      <c r="D1476">
        <v>2019</v>
      </c>
      <c r="E1476" t="s">
        <v>121</v>
      </c>
      <c r="F1476" t="s">
        <v>110</v>
      </c>
      <c r="G1476" t="s">
        <v>30</v>
      </c>
      <c r="H1476">
        <v>0.69641242298342532</v>
      </c>
      <c r="I1476">
        <v>11.531545105971047</v>
      </c>
      <c r="J1476">
        <v>0</v>
      </c>
      <c r="K1476">
        <v>11.531545105971047</v>
      </c>
    </row>
    <row r="1477" spans="1:11" x14ac:dyDescent="0.25">
      <c r="A1477" t="s">
        <v>130</v>
      </c>
      <c r="B1477" t="s">
        <v>43</v>
      </c>
      <c r="C1477" t="s">
        <v>31</v>
      </c>
      <c r="D1477">
        <v>2019</v>
      </c>
      <c r="E1477" t="s">
        <v>121</v>
      </c>
      <c r="F1477" t="s">
        <v>110</v>
      </c>
      <c r="G1477" t="s">
        <v>31</v>
      </c>
      <c r="H1477">
        <v>3.9694677344109963</v>
      </c>
      <c r="I1477">
        <v>134.53231835071648</v>
      </c>
      <c r="J1477">
        <v>0</v>
      </c>
      <c r="K1477">
        <v>134.53231835071648</v>
      </c>
    </row>
    <row r="1478" spans="1:11" x14ac:dyDescent="0.25">
      <c r="A1478" t="s">
        <v>130</v>
      </c>
      <c r="B1478" t="s">
        <v>43</v>
      </c>
      <c r="C1478" t="s">
        <v>55</v>
      </c>
      <c r="D1478">
        <v>2019</v>
      </c>
      <c r="E1478" t="s">
        <v>121</v>
      </c>
      <c r="F1478" t="s">
        <v>110</v>
      </c>
      <c r="G1478" t="s">
        <v>55</v>
      </c>
      <c r="H1478">
        <v>4.5711818744455988</v>
      </c>
      <c r="I1478">
        <v>296.39761599009711</v>
      </c>
      <c r="J1478">
        <v>0</v>
      </c>
      <c r="K1478">
        <v>296.39761599009711</v>
      </c>
    </row>
    <row r="1479" spans="1:11" x14ac:dyDescent="0.25">
      <c r="A1479" t="s">
        <v>130</v>
      </c>
      <c r="B1479" t="s">
        <v>43</v>
      </c>
      <c r="C1479" t="s">
        <v>54</v>
      </c>
      <c r="D1479">
        <v>2019</v>
      </c>
      <c r="E1479" t="s">
        <v>121</v>
      </c>
      <c r="F1479" t="s">
        <v>110</v>
      </c>
      <c r="G1479" t="s">
        <v>54</v>
      </c>
      <c r="H1479">
        <v>4.6951866622642671</v>
      </c>
      <c r="I1479">
        <v>242.83796518803848</v>
      </c>
      <c r="J1479">
        <v>0</v>
      </c>
      <c r="K1479">
        <v>242.83796518803848</v>
      </c>
    </row>
    <row r="1480" spans="1:11" x14ac:dyDescent="0.25">
      <c r="A1480" t="s">
        <v>130</v>
      </c>
      <c r="B1480" t="s">
        <v>43</v>
      </c>
      <c r="C1480" t="s">
        <v>41</v>
      </c>
      <c r="D1480">
        <v>2019</v>
      </c>
      <c r="E1480" t="s">
        <v>121</v>
      </c>
      <c r="F1480" t="s">
        <v>110</v>
      </c>
      <c r="G1480" t="s">
        <v>41</v>
      </c>
      <c r="H1480">
        <v>1.7037680777194875</v>
      </c>
      <c r="I1480">
        <v>11.543062801911082</v>
      </c>
      <c r="J1480">
        <v>0</v>
      </c>
      <c r="K1480">
        <v>11.543062801911082</v>
      </c>
    </row>
    <row r="1481" spans="1:11" x14ac:dyDescent="0.25">
      <c r="A1481" t="s">
        <v>130</v>
      </c>
      <c r="B1481" t="s">
        <v>43</v>
      </c>
      <c r="C1481" t="s">
        <v>80</v>
      </c>
      <c r="D1481">
        <v>2019</v>
      </c>
      <c r="E1481" t="s">
        <v>121</v>
      </c>
      <c r="F1481" t="s">
        <v>110</v>
      </c>
      <c r="G1481" t="s">
        <v>80</v>
      </c>
      <c r="H1481">
        <v>12.1657304223686</v>
      </c>
      <c r="I1481">
        <v>289.2665542877732</v>
      </c>
      <c r="J1481">
        <v>0</v>
      </c>
      <c r="K1481">
        <v>289.2665542877732</v>
      </c>
    </row>
    <row r="1482" spans="1:11" x14ac:dyDescent="0.25">
      <c r="A1482" t="s">
        <v>130</v>
      </c>
      <c r="B1482" t="s">
        <v>43</v>
      </c>
      <c r="C1482" t="s">
        <v>75</v>
      </c>
      <c r="D1482">
        <v>2019</v>
      </c>
      <c r="E1482" t="s">
        <v>121</v>
      </c>
      <c r="F1482" t="s">
        <v>110</v>
      </c>
      <c r="G1482" t="s">
        <v>52</v>
      </c>
      <c r="H1482">
        <v>113.84906495358277</v>
      </c>
      <c r="I1482">
        <v>1298.1652025027952</v>
      </c>
      <c r="J1482">
        <v>215.66341848867819</v>
      </c>
      <c r="K1482">
        <v>215.66341848867819</v>
      </c>
    </row>
    <row r="1483" spans="1:11" x14ac:dyDescent="0.25">
      <c r="A1483" t="s">
        <v>130</v>
      </c>
      <c r="B1483" t="s">
        <v>43</v>
      </c>
      <c r="C1483" t="s">
        <v>78</v>
      </c>
      <c r="D1483">
        <v>2019</v>
      </c>
      <c r="E1483" t="s">
        <v>121</v>
      </c>
      <c r="F1483" t="s">
        <v>110</v>
      </c>
      <c r="G1483" t="s">
        <v>78</v>
      </c>
      <c r="H1483">
        <v>2.6697948822619382</v>
      </c>
      <c r="I1483">
        <v>106.52481580225134</v>
      </c>
      <c r="J1483">
        <v>0</v>
      </c>
      <c r="K1483">
        <v>106.52481580225134</v>
      </c>
    </row>
    <row r="1484" spans="1:11" x14ac:dyDescent="0.25">
      <c r="A1484" t="s">
        <v>130</v>
      </c>
      <c r="B1484" t="s">
        <v>43</v>
      </c>
      <c r="C1484" t="s">
        <v>65</v>
      </c>
      <c r="D1484">
        <v>2019</v>
      </c>
      <c r="E1484" t="s">
        <v>121</v>
      </c>
      <c r="F1484" t="s">
        <v>110</v>
      </c>
      <c r="G1484" t="s">
        <v>65</v>
      </c>
      <c r="H1484">
        <v>8.1439937126999205</v>
      </c>
      <c r="I1484">
        <v>158.5099264081594</v>
      </c>
      <c r="J1484">
        <v>0</v>
      </c>
      <c r="K1484">
        <v>158.5099264081594</v>
      </c>
    </row>
    <row r="1485" spans="1:11" x14ac:dyDescent="0.25">
      <c r="A1485" t="s">
        <v>130</v>
      </c>
      <c r="B1485" t="s">
        <v>43</v>
      </c>
      <c r="C1485" t="s">
        <v>120</v>
      </c>
      <c r="D1485">
        <v>2019</v>
      </c>
      <c r="E1485" t="s">
        <v>121</v>
      </c>
      <c r="F1485" t="s">
        <v>110</v>
      </c>
      <c r="G1485" t="s">
        <v>53</v>
      </c>
      <c r="H1485">
        <v>311.25083330735572</v>
      </c>
      <c r="I1485">
        <v>6009.0085878318096</v>
      </c>
      <c r="J1485">
        <v>0</v>
      </c>
      <c r="K1485">
        <v>6009.0085878318096</v>
      </c>
    </row>
    <row r="1486" spans="1:11" x14ac:dyDescent="0.25">
      <c r="A1486" t="s">
        <v>130</v>
      </c>
      <c r="B1486" t="s">
        <v>43</v>
      </c>
      <c r="C1486" t="s">
        <v>29</v>
      </c>
      <c r="D1486">
        <v>2030</v>
      </c>
      <c r="E1486" t="s">
        <v>121</v>
      </c>
      <c r="F1486" t="s">
        <v>110</v>
      </c>
      <c r="G1486" t="s">
        <v>52</v>
      </c>
      <c r="H1486">
        <v>252.54660423967633</v>
      </c>
      <c r="I1486">
        <v>1660.5898905854829</v>
      </c>
      <c r="J1486">
        <v>538.86141949498926</v>
      </c>
      <c r="K1486">
        <v>538.86141949498926</v>
      </c>
    </row>
    <row r="1487" spans="1:11" x14ac:dyDescent="0.25">
      <c r="A1487" t="s">
        <v>130</v>
      </c>
      <c r="B1487" t="s">
        <v>43</v>
      </c>
      <c r="C1487" t="s">
        <v>34</v>
      </c>
      <c r="D1487">
        <v>2030</v>
      </c>
      <c r="E1487" t="s">
        <v>121</v>
      </c>
      <c r="F1487" t="s">
        <v>110</v>
      </c>
      <c r="G1487" t="s">
        <v>52</v>
      </c>
      <c r="H1487">
        <v>4.5870791299379068</v>
      </c>
      <c r="I1487">
        <v>14.129488102365134</v>
      </c>
      <c r="J1487">
        <v>4.1703586787936713</v>
      </c>
      <c r="K1487">
        <v>4.1703586787936713</v>
      </c>
    </row>
    <row r="1488" spans="1:11" x14ac:dyDescent="0.25">
      <c r="A1488" t="s">
        <v>130</v>
      </c>
      <c r="B1488" t="s">
        <v>43</v>
      </c>
      <c r="C1488" t="s">
        <v>72</v>
      </c>
      <c r="D1488">
        <v>2030</v>
      </c>
      <c r="E1488" t="s">
        <v>121</v>
      </c>
      <c r="F1488" t="s">
        <v>110</v>
      </c>
      <c r="G1488" t="s">
        <v>52</v>
      </c>
      <c r="H1488">
        <v>22.406808213133761</v>
      </c>
      <c r="I1488">
        <v>75.914266226097183</v>
      </c>
      <c r="J1488">
        <v>40.310475366057602</v>
      </c>
      <c r="K1488">
        <v>40.310475366057602</v>
      </c>
    </row>
    <row r="1489" spans="1:11" x14ac:dyDescent="0.25">
      <c r="A1489" t="s">
        <v>130</v>
      </c>
      <c r="B1489" t="s">
        <v>43</v>
      </c>
      <c r="C1489" t="s">
        <v>53</v>
      </c>
      <c r="D1489">
        <v>2030</v>
      </c>
      <c r="E1489" t="s">
        <v>121</v>
      </c>
      <c r="F1489" t="s">
        <v>110</v>
      </c>
      <c r="G1489" t="s">
        <v>53</v>
      </c>
      <c r="H1489">
        <v>164.65835427785956</v>
      </c>
      <c r="I1489">
        <v>8922.0195128799915</v>
      </c>
      <c r="J1489">
        <v>0</v>
      </c>
      <c r="K1489">
        <v>8922.0195128799915</v>
      </c>
    </row>
    <row r="1490" spans="1:11" x14ac:dyDescent="0.25">
      <c r="A1490" t="s">
        <v>130</v>
      </c>
      <c r="B1490" t="s">
        <v>43</v>
      </c>
      <c r="C1490" t="s">
        <v>30</v>
      </c>
      <c r="D1490">
        <v>2030</v>
      </c>
      <c r="E1490" t="s">
        <v>121</v>
      </c>
      <c r="F1490" t="s">
        <v>110</v>
      </c>
      <c r="G1490" t="s">
        <v>30</v>
      </c>
      <c r="H1490">
        <v>0.7749808310286167</v>
      </c>
      <c r="I1490">
        <v>12.832520090587346</v>
      </c>
      <c r="J1490">
        <v>0</v>
      </c>
      <c r="K1490">
        <v>12.832520090587346</v>
      </c>
    </row>
    <row r="1491" spans="1:11" x14ac:dyDescent="0.25">
      <c r="A1491" t="s">
        <v>130</v>
      </c>
      <c r="B1491" t="s">
        <v>43</v>
      </c>
      <c r="C1491" t="s">
        <v>31</v>
      </c>
      <c r="D1491">
        <v>2030</v>
      </c>
      <c r="E1491" t="s">
        <v>121</v>
      </c>
      <c r="F1491" t="s">
        <v>110</v>
      </c>
      <c r="G1491" t="s">
        <v>31</v>
      </c>
      <c r="H1491">
        <v>4.4172982876675793</v>
      </c>
      <c r="I1491">
        <v>149.71009194378786</v>
      </c>
      <c r="J1491">
        <v>0</v>
      </c>
      <c r="K1491">
        <v>149.71009194378786</v>
      </c>
    </row>
    <row r="1492" spans="1:11" x14ac:dyDescent="0.25">
      <c r="A1492" t="s">
        <v>130</v>
      </c>
      <c r="B1492" t="s">
        <v>43</v>
      </c>
      <c r="C1492" t="s">
        <v>55</v>
      </c>
      <c r="D1492">
        <v>2030</v>
      </c>
      <c r="E1492" t="s">
        <v>121</v>
      </c>
      <c r="F1492" t="s">
        <v>110</v>
      </c>
      <c r="G1492" t="s">
        <v>55</v>
      </c>
      <c r="H1492">
        <v>5.0868970898945518</v>
      </c>
      <c r="I1492">
        <v>329.8368368715519</v>
      </c>
      <c r="J1492">
        <v>0</v>
      </c>
      <c r="K1492">
        <v>329.8368368715519</v>
      </c>
    </row>
    <row r="1493" spans="1:11" x14ac:dyDescent="0.25">
      <c r="A1493" t="s">
        <v>130</v>
      </c>
      <c r="B1493" t="s">
        <v>43</v>
      </c>
      <c r="C1493" t="s">
        <v>54</v>
      </c>
      <c r="D1493">
        <v>2030</v>
      </c>
      <c r="E1493" t="s">
        <v>121</v>
      </c>
      <c r="F1493" t="s">
        <v>110</v>
      </c>
      <c r="G1493" t="s">
        <v>54</v>
      </c>
      <c r="H1493">
        <v>5.2248919480326963</v>
      </c>
      <c r="I1493">
        <v>270.23465098525884</v>
      </c>
      <c r="J1493">
        <v>0</v>
      </c>
      <c r="K1493">
        <v>270.23465098525884</v>
      </c>
    </row>
    <row r="1494" spans="1:11" x14ac:dyDescent="0.25">
      <c r="A1494" t="s">
        <v>130</v>
      </c>
      <c r="B1494" t="s">
        <v>43</v>
      </c>
      <c r="C1494" t="s">
        <v>41</v>
      </c>
      <c r="D1494">
        <v>2030</v>
      </c>
      <c r="E1494" t="s">
        <v>121</v>
      </c>
      <c r="F1494" t="s">
        <v>110</v>
      </c>
      <c r="G1494" t="s">
        <v>41</v>
      </c>
      <c r="H1494">
        <v>1.8959851334853384</v>
      </c>
      <c r="I1494">
        <v>12.845337199065836</v>
      </c>
      <c r="J1494">
        <v>0</v>
      </c>
      <c r="K1494">
        <v>12.845337199065836</v>
      </c>
    </row>
    <row r="1495" spans="1:11" x14ac:dyDescent="0.25">
      <c r="A1495" t="s">
        <v>130</v>
      </c>
      <c r="B1495" t="s">
        <v>43</v>
      </c>
      <c r="C1495" t="s">
        <v>80</v>
      </c>
      <c r="D1495">
        <v>2030</v>
      </c>
      <c r="E1495" t="s">
        <v>121</v>
      </c>
      <c r="F1495" t="s">
        <v>110</v>
      </c>
      <c r="G1495" t="s">
        <v>80</v>
      </c>
      <c r="H1495">
        <v>13.538253428057727</v>
      </c>
      <c r="I1495">
        <v>321.90125740485024</v>
      </c>
      <c r="J1495">
        <v>0</v>
      </c>
      <c r="K1495">
        <v>321.90125740485024</v>
      </c>
    </row>
    <row r="1496" spans="1:11" x14ac:dyDescent="0.25">
      <c r="A1496" t="s">
        <v>130</v>
      </c>
      <c r="B1496" t="s">
        <v>43</v>
      </c>
      <c r="C1496" t="s">
        <v>75</v>
      </c>
      <c r="D1496">
        <v>2030</v>
      </c>
      <c r="E1496" t="s">
        <v>121</v>
      </c>
      <c r="F1496" t="s">
        <v>110</v>
      </c>
      <c r="G1496" t="s">
        <v>52</v>
      </c>
      <c r="H1496">
        <v>126.69337889117246</v>
      </c>
      <c r="I1496">
        <v>1444.6226320003389</v>
      </c>
      <c r="J1496">
        <v>238.59910659816725</v>
      </c>
      <c r="K1496">
        <v>238.59910659816725</v>
      </c>
    </row>
    <row r="1497" spans="1:11" x14ac:dyDescent="0.25">
      <c r="A1497" t="s">
        <v>130</v>
      </c>
      <c r="B1497" t="s">
        <v>43</v>
      </c>
      <c r="C1497" t="s">
        <v>78</v>
      </c>
      <c r="D1497">
        <v>2030</v>
      </c>
      <c r="E1497" t="s">
        <v>121</v>
      </c>
      <c r="F1497" t="s">
        <v>110</v>
      </c>
      <c r="G1497" t="s">
        <v>78</v>
      </c>
      <c r="H1497">
        <v>2.9709979148096681</v>
      </c>
      <c r="I1497">
        <v>118.54281680090574</v>
      </c>
      <c r="J1497">
        <v>0</v>
      </c>
      <c r="K1497">
        <v>118.54281680090574</v>
      </c>
    </row>
    <row r="1498" spans="1:11" x14ac:dyDescent="0.25">
      <c r="A1498" t="s">
        <v>130</v>
      </c>
      <c r="B1498" t="s">
        <v>43</v>
      </c>
      <c r="C1498" t="s">
        <v>65</v>
      </c>
      <c r="D1498">
        <v>2030</v>
      </c>
      <c r="E1498" t="s">
        <v>121</v>
      </c>
      <c r="F1498" t="s">
        <v>110</v>
      </c>
      <c r="G1498" t="s">
        <v>65</v>
      </c>
      <c r="H1498">
        <v>9.0627892425035448</v>
      </c>
      <c r="I1498">
        <v>176.39282476872751</v>
      </c>
      <c r="J1498">
        <v>0</v>
      </c>
      <c r="K1498">
        <v>176.39282476872751</v>
      </c>
    </row>
    <row r="1499" spans="1:11" x14ac:dyDescent="0.25">
      <c r="A1499" t="s">
        <v>130</v>
      </c>
      <c r="B1499" t="s">
        <v>43</v>
      </c>
      <c r="C1499" t="s">
        <v>120</v>
      </c>
      <c r="D1499">
        <v>2030</v>
      </c>
      <c r="E1499" t="s">
        <v>121</v>
      </c>
      <c r="F1499" t="s">
        <v>110</v>
      </c>
      <c r="G1499" t="s">
        <v>53</v>
      </c>
      <c r="H1499">
        <v>315.17066941348531</v>
      </c>
      <c r="I1499">
        <v>6084.6849436967468</v>
      </c>
      <c r="J1499">
        <v>0</v>
      </c>
      <c r="K1499">
        <v>6084.6849436967468</v>
      </c>
    </row>
    <row r="1500" spans="1:11" x14ac:dyDescent="0.25">
      <c r="A1500" t="s">
        <v>130</v>
      </c>
      <c r="B1500" t="s">
        <v>43</v>
      </c>
      <c r="C1500" t="s">
        <v>29</v>
      </c>
      <c r="D1500">
        <v>2050</v>
      </c>
      <c r="E1500" t="s">
        <v>121</v>
      </c>
      <c r="F1500" t="s">
        <v>110</v>
      </c>
      <c r="G1500" t="s">
        <v>52</v>
      </c>
      <c r="H1500">
        <v>327.37522771809893</v>
      </c>
      <c r="I1500">
        <v>2152.6165248330335</v>
      </c>
      <c r="J1500">
        <v>698.52406230831946</v>
      </c>
      <c r="K1500">
        <v>698.52406230831946</v>
      </c>
    </row>
    <row r="1501" spans="1:11" x14ac:dyDescent="0.25">
      <c r="A1501" t="s">
        <v>130</v>
      </c>
      <c r="B1501" t="s">
        <v>43</v>
      </c>
      <c r="C1501" t="s">
        <v>34</v>
      </c>
      <c r="D1501">
        <v>2050</v>
      </c>
      <c r="E1501" t="s">
        <v>121</v>
      </c>
      <c r="F1501" t="s">
        <v>110</v>
      </c>
      <c r="G1501" t="s">
        <v>52</v>
      </c>
      <c r="H1501">
        <v>5.9462136869565443</v>
      </c>
      <c r="I1501">
        <v>18.316003095658502</v>
      </c>
      <c r="J1501">
        <v>5.4060205095473508</v>
      </c>
      <c r="K1501">
        <v>5.4060205095473508</v>
      </c>
    </row>
    <row r="1502" spans="1:11" x14ac:dyDescent="0.25">
      <c r="A1502" t="s">
        <v>130</v>
      </c>
      <c r="B1502" t="s">
        <v>43</v>
      </c>
      <c r="C1502" t="s">
        <v>72</v>
      </c>
      <c r="D1502">
        <v>2050</v>
      </c>
      <c r="E1502" t="s">
        <v>121</v>
      </c>
      <c r="F1502" t="s">
        <v>110</v>
      </c>
      <c r="G1502" t="s">
        <v>52</v>
      </c>
      <c r="H1502">
        <v>29.045862498506725</v>
      </c>
      <c r="I1502">
        <v>98.407382144940797</v>
      </c>
      <c r="J1502">
        <v>52.254319918963553</v>
      </c>
      <c r="K1502">
        <v>52.254319918963553</v>
      </c>
    </row>
    <row r="1503" spans="1:11" x14ac:dyDescent="0.25">
      <c r="A1503" t="s">
        <v>130</v>
      </c>
      <c r="B1503" t="s">
        <v>43</v>
      </c>
      <c r="C1503" t="s">
        <v>53</v>
      </c>
      <c r="D1503">
        <v>2050</v>
      </c>
      <c r="E1503" t="s">
        <v>121</v>
      </c>
      <c r="F1503" t="s">
        <v>110</v>
      </c>
      <c r="G1503" t="s">
        <v>53</v>
      </c>
      <c r="H1503">
        <v>213.44601480463271</v>
      </c>
      <c r="I1503">
        <v>11565.580850029617</v>
      </c>
      <c r="J1503">
        <v>0</v>
      </c>
      <c r="K1503">
        <v>11565.580850029617</v>
      </c>
    </row>
    <row r="1504" spans="1:11" x14ac:dyDescent="0.25">
      <c r="A1504" t="s">
        <v>130</v>
      </c>
      <c r="B1504" t="s">
        <v>43</v>
      </c>
      <c r="C1504" t="s">
        <v>30</v>
      </c>
      <c r="D1504">
        <v>2050</v>
      </c>
      <c r="E1504" t="s">
        <v>121</v>
      </c>
      <c r="F1504" t="s">
        <v>110</v>
      </c>
      <c r="G1504" t="s">
        <v>30</v>
      </c>
      <c r="H1504">
        <v>1.0046047809630216</v>
      </c>
      <c r="I1504">
        <v>16.634748265576192</v>
      </c>
      <c r="J1504">
        <v>0</v>
      </c>
      <c r="K1504">
        <v>16.634748265576192</v>
      </c>
    </row>
    <row r="1505" spans="1:11" x14ac:dyDescent="0.25">
      <c r="A1505" t="s">
        <v>130</v>
      </c>
      <c r="B1505" t="s">
        <v>43</v>
      </c>
      <c r="C1505" t="s">
        <v>31</v>
      </c>
      <c r="D1505">
        <v>2050</v>
      </c>
      <c r="E1505" t="s">
        <v>121</v>
      </c>
      <c r="F1505" t="s">
        <v>110</v>
      </c>
      <c r="G1505" t="s">
        <v>31</v>
      </c>
      <c r="H1505">
        <v>5.7261274099394539</v>
      </c>
      <c r="I1505">
        <v>194.06863770491017</v>
      </c>
      <c r="J1505">
        <v>0</v>
      </c>
      <c r="K1505">
        <v>194.06863770491017</v>
      </c>
    </row>
    <row r="1506" spans="1:11" x14ac:dyDescent="0.25">
      <c r="A1506" t="s">
        <v>130</v>
      </c>
      <c r="B1506" t="s">
        <v>43</v>
      </c>
      <c r="C1506" t="s">
        <v>55</v>
      </c>
      <c r="D1506">
        <v>2050</v>
      </c>
      <c r="E1506" t="s">
        <v>121</v>
      </c>
      <c r="F1506" t="s">
        <v>110</v>
      </c>
      <c r="G1506" t="s">
        <v>55</v>
      </c>
      <c r="H1506">
        <v>6.594125857270714</v>
      </c>
      <c r="I1506">
        <v>427.56627001867832</v>
      </c>
      <c r="J1506">
        <v>0</v>
      </c>
      <c r="K1506">
        <v>427.56627001867832</v>
      </c>
    </row>
    <row r="1507" spans="1:11" x14ac:dyDescent="0.25">
      <c r="A1507" t="s">
        <v>130</v>
      </c>
      <c r="B1507" t="s">
        <v>43</v>
      </c>
      <c r="C1507" t="s">
        <v>54</v>
      </c>
      <c r="D1507">
        <v>2050</v>
      </c>
      <c r="E1507" t="s">
        <v>121</v>
      </c>
      <c r="F1507" t="s">
        <v>110</v>
      </c>
      <c r="G1507" t="s">
        <v>54</v>
      </c>
      <c r="H1507">
        <v>6.7730080807831241</v>
      </c>
      <c r="I1507">
        <v>350.30417720311328</v>
      </c>
      <c r="J1507">
        <v>0</v>
      </c>
      <c r="K1507">
        <v>350.30417720311328</v>
      </c>
    </row>
    <row r="1508" spans="1:11" x14ac:dyDescent="0.25">
      <c r="A1508" t="s">
        <v>130</v>
      </c>
      <c r="B1508" t="s">
        <v>43</v>
      </c>
      <c r="C1508" t="s">
        <v>41</v>
      </c>
      <c r="D1508">
        <v>2050</v>
      </c>
      <c r="E1508" t="s">
        <v>121</v>
      </c>
      <c r="F1508" t="s">
        <v>110</v>
      </c>
      <c r="G1508" t="s">
        <v>41</v>
      </c>
      <c r="H1508">
        <v>2.4577585063698826</v>
      </c>
      <c r="I1508">
        <v>16.65136303582608</v>
      </c>
      <c r="J1508">
        <v>0</v>
      </c>
      <c r="K1508">
        <v>16.65136303582608</v>
      </c>
    </row>
    <row r="1509" spans="1:11" x14ac:dyDescent="0.25">
      <c r="A1509" t="s">
        <v>130</v>
      </c>
      <c r="B1509" t="s">
        <v>43</v>
      </c>
      <c r="C1509" t="s">
        <v>80</v>
      </c>
      <c r="D1509">
        <v>2050</v>
      </c>
      <c r="E1509" t="s">
        <v>121</v>
      </c>
      <c r="F1509" t="s">
        <v>110</v>
      </c>
      <c r="G1509" t="s">
        <v>80</v>
      </c>
      <c r="H1509">
        <v>17.549587777111867</v>
      </c>
      <c r="I1509">
        <v>417.27940774702802</v>
      </c>
      <c r="J1509">
        <v>0</v>
      </c>
      <c r="K1509">
        <v>417.27940774702802</v>
      </c>
    </row>
    <row r="1510" spans="1:11" x14ac:dyDescent="0.25">
      <c r="A1510" t="s">
        <v>130</v>
      </c>
      <c r="B1510" t="s">
        <v>43</v>
      </c>
      <c r="C1510" t="s">
        <v>75</v>
      </c>
      <c r="D1510">
        <v>2050</v>
      </c>
      <c r="E1510" t="s">
        <v>121</v>
      </c>
      <c r="F1510" t="s">
        <v>110</v>
      </c>
      <c r="G1510" t="s">
        <v>52</v>
      </c>
      <c r="H1510">
        <v>164.23215782189024</v>
      </c>
      <c r="I1510">
        <v>1872.6589674078468</v>
      </c>
      <c r="J1510">
        <v>309.29513818280947</v>
      </c>
      <c r="K1510">
        <v>309.29513818280947</v>
      </c>
    </row>
    <row r="1511" spans="1:11" x14ac:dyDescent="0.25">
      <c r="A1511" t="s">
        <v>130</v>
      </c>
      <c r="B1511" t="s">
        <v>43</v>
      </c>
      <c r="C1511" t="s">
        <v>78</v>
      </c>
      <c r="D1511">
        <v>2050</v>
      </c>
      <c r="E1511" t="s">
        <v>121</v>
      </c>
      <c r="F1511" t="s">
        <v>110</v>
      </c>
      <c r="G1511" t="s">
        <v>78</v>
      </c>
      <c r="H1511">
        <v>3.8512935932717913</v>
      </c>
      <c r="I1511">
        <v>153.66661437154448</v>
      </c>
      <c r="J1511">
        <v>0</v>
      </c>
      <c r="K1511">
        <v>153.66661437154448</v>
      </c>
    </row>
    <row r="1512" spans="1:11" x14ac:dyDescent="0.25">
      <c r="A1512" t="s">
        <v>130</v>
      </c>
      <c r="B1512" t="s">
        <v>43</v>
      </c>
      <c r="C1512" t="s">
        <v>65</v>
      </c>
      <c r="D1512">
        <v>2050</v>
      </c>
      <c r="E1512" t="s">
        <v>121</v>
      </c>
      <c r="F1512" t="s">
        <v>110</v>
      </c>
      <c r="G1512" t="s">
        <v>65</v>
      </c>
      <c r="H1512">
        <v>11.748060129171261</v>
      </c>
      <c r="I1512">
        <v>228.65736544094307</v>
      </c>
      <c r="J1512">
        <v>0</v>
      </c>
      <c r="K1512">
        <v>228.65736544094307</v>
      </c>
    </row>
    <row r="1513" spans="1:11" x14ac:dyDescent="0.25">
      <c r="A1513" t="s">
        <v>130</v>
      </c>
      <c r="B1513" t="s">
        <v>43</v>
      </c>
      <c r="C1513" t="s">
        <v>120</v>
      </c>
      <c r="D1513">
        <v>2050</v>
      </c>
      <c r="E1513" t="s">
        <v>121</v>
      </c>
      <c r="F1513" t="s">
        <v>110</v>
      </c>
      <c r="G1513" t="s">
        <v>53</v>
      </c>
      <c r="H1513">
        <v>408.55457146192538</v>
      </c>
      <c r="I1513">
        <v>7887.5545566439314</v>
      </c>
      <c r="J1513">
        <v>0</v>
      </c>
      <c r="K1513">
        <v>7887.5545566439314</v>
      </c>
    </row>
    <row r="1514" spans="1:11" x14ac:dyDescent="0.25">
      <c r="A1514" t="s">
        <v>143</v>
      </c>
      <c r="B1514" t="s">
        <v>28</v>
      </c>
      <c r="C1514" t="s">
        <v>29</v>
      </c>
      <c r="D1514">
        <v>2019</v>
      </c>
      <c r="E1514" t="s">
        <v>119</v>
      </c>
      <c r="F1514" t="s">
        <v>108</v>
      </c>
      <c r="G1514" t="s">
        <v>52</v>
      </c>
      <c r="H1514">
        <v>853064.00210361299</v>
      </c>
      <c r="I1514">
        <v>5979978.6547463275</v>
      </c>
      <c r="J1514">
        <v>1951850.0829625644</v>
      </c>
      <c r="K1514">
        <v>1951850.0829625644</v>
      </c>
    </row>
    <row r="1515" spans="1:11" x14ac:dyDescent="0.25">
      <c r="A1515" t="s">
        <v>143</v>
      </c>
      <c r="B1515" t="s">
        <v>28</v>
      </c>
      <c r="C1515" t="s">
        <v>34</v>
      </c>
      <c r="D1515">
        <v>2019</v>
      </c>
      <c r="E1515" t="s">
        <v>119</v>
      </c>
      <c r="F1515" t="s">
        <v>108</v>
      </c>
      <c r="G1515" t="s">
        <v>52</v>
      </c>
      <c r="H1515">
        <v>58939.484550716581</v>
      </c>
      <c r="I1515">
        <v>227506.41036576603</v>
      </c>
      <c r="J1515">
        <v>67541.817252888548</v>
      </c>
      <c r="K1515">
        <v>67541.817252888548</v>
      </c>
    </row>
    <row r="1516" spans="1:11" x14ac:dyDescent="0.25">
      <c r="A1516" t="s">
        <v>143</v>
      </c>
      <c r="B1516" t="s">
        <v>28</v>
      </c>
      <c r="C1516" t="s">
        <v>72</v>
      </c>
      <c r="D1516">
        <v>2019</v>
      </c>
      <c r="E1516" t="s">
        <v>119</v>
      </c>
      <c r="F1516" t="s">
        <v>108</v>
      </c>
      <c r="G1516" t="s">
        <v>52</v>
      </c>
      <c r="H1516">
        <v>99115.06241944003</v>
      </c>
      <c r="I1516">
        <v>436106.27464553615</v>
      </c>
      <c r="J1516">
        <v>232926.54181955411</v>
      </c>
      <c r="K1516">
        <v>232926.54181955411</v>
      </c>
    </row>
    <row r="1517" spans="1:11" x14ac:dyDescent="0.25">
      <c r="A1517" t="s">
        <v>143</v>
      </c>
      <c r="B1517" t="s">
        <v>28</v>
      </c>
      <c r="C1517" t="s">
        <v>53</v>
      </c>
      <c r="D1517">
        <v>2019</v>
      </c>
      <c r="E1517" t="s">
        <v>119</v>
      </c>
      <c r="F1517" t="s">
        <v>108</v>
      </c>
      <c r="G1517" t="s">
        <v>53</v>
      </c>
      <c r="H1517">
        <v>188981.25083524975</v>
      </c>
      <c r="I1517">
        <v>9377249.6664450932</v>
      </c>
      <c r="J1517">
        <v>0</v>
      </c>
      <c r="K1517">
        <v>9377249.6664450932</v>
      </c>
    </row>
    <row r="1518" spans="1:11" x14ac:dyDescent="0.25">
      <c r="A1518" t="s">
        <v>143</v>
      </c>
      <c r="B1518" t="s">
        <v>28</v>
      </c>
      <c r="C1518" t="s">
        <v>30</v>
      </c>
      <c r="D1518">
        <v>2019</v>
      </c>
      <c r="E1518" t="s">
        <v>119</v>
      </c>
      <c r="F1518" t="s">
        <v>108</v>
      </c>
      <c r="G1518" t="s">
        <v>30</v>
      </c>
      <c r="H1518">
        <v>7313.1446192208541</v>
      </c>
      <c r="I1518">
        <v>151747.75084883274</v>
      </c>
      <c r="J1518">
        <v>0</v>
      </c>
      <c r="K1518">
        <v>151747.75084883274</v>
      </c>
    </row>
    <row r="1519" spans="1:11" x14ac:dyDescent="0.25">
      <c r="A1519" t="s">
        <v>143</v>
      </c>
      <c r="B1519" t="s">
        <v>28</v>
      </c>
      <c r="C1519" t="s">
        <v>31</v>
      </c>
      <c r="D1519">
        <v>2019</v>
      </c>
      <c r="E1519" t="s">
        <v>119</v>
      </c>
      <c r="F1519" t="s">
        <v>108</v>
      </c>
      <c r="G1519" t="s">
        <v>31</v>
      </c>
      <c r="H1519">
        <v>43565.33101601588</v>
      </c>
      <c r="I1519">
        <v>1850258.7939976689</v>
      </c>
      <c r="J1519">
        <v>0</v>
      </c>
      <c r="K1519">
        <v>1850258.7939976689</v>
      </c>
    </row>
    <row r="1520" spans="1:11" x14ac:dyDescent="0.25">
      <c r="A1520" t="s">
        <v>143</v>
      </c>
      <c r="B1520" t="s">
        <v>28</v>
      </c>
      <c r="C1520" t="s">
        <v>55</v>
      </c>
      <c r="D1520">
        <v>2019</v>
      </c>
      <c r="E1520" t="s">
        <v>119</v>
      </c>
      <c r="F1520" t="s">
        <v>108</v>
      </c>
      <c r="G1520" t="s">
        <v>55</v>
      </c>
      <c r="H1520">
        <v>4252.8843446697592</v>
      </c>
      <c r="I1520">
        <v>345562.72197585326</v>
      </c>
      <c r="J1520">
        <v>0</v>
      </c>
      <c r="K1520">
        <v>345562.72197585326</v>
      </c>
    </row>
    <row r="1521" spans="1:11" x14ac:dyDescent="0.25">
      <c r="A1521" t="s">
        <v>143</v>
      </c>
      <c r="B1521" t="s">
        <v>28</v>
      </c>
      <c r="C1521" t="s">
        <v>54</v>
      </c>
      <c r="D1521">
        <v>2019</v>
      </c>
      <c r="E1521" t="s">
        <v>119</v>
      </c>
      <c r="F1521" t="s">
        <v>108</v>
      </c>
      <c r="G1521" t="s">
        <v>54</v>
      </c>
      <c r="H1521">
        <v>145638.34626271055</v>
      </c>
      <c r="I1521">
        <v>6482362.7921532467</v>
      </c>
      <c r="J1521">
        <v>0</v>
      </c>
      <c r="K1521">
        <v>6482362.7921532467</v>
      </c>
    </row>
    <row r="1522" spans="1:11" x14ac:dyDescent="0.25">
      <c r="A1522" t="s">
        <v>143</v>
      </c>
      <c r="B1522" t="s">
        <v>28</v>
      </c>
      <c r="C1522" t="s">
        <v>41</v>
      </c>
      <c r="D1522">
        <v>2019</v>
      </c>
      <c r="E1522" t="s">
        <v>119</v>
      </c>
      <c r="F1522" t="s">
        <v>108</v>
      </c>
      <c r="G1522" t="s">
        <v>41</v>
      </c>
      <c r="H1522">
        <v>2676.1448409922077</v>
      </c>
      <c r="I1522">
        <v>22720.469700023848</v>
      </c>
      <c r="J1522">
        <v>0</v>
      </c>
      <c r="K1522">
        <v>22720.469700023848</v>
      </c>
    </row>
    <row r="1523" spans="1:11" x14ac:dyDescent="0.25">
      <c r="A1523" t="s">
        <v>143</v>
      </c>
      <c r="B1523" t="s">
        <v>28</v>
      </c>
      <c r="C1523" t="s">
        <v>80</v>
      </c>
      <c r="D1523">
        <v>2019</v>
      </c>
      <c r="E1523" t="s">
        <v>119</v>
      </c>
      <c r="F1523" t="s">
        <v>108</v>
      </c>
      <c r="G1523" t="s">
        <v>80</v>
      </c>
      <c r="H1523">
        <v>47330.033772765404</v>
      </c>
      <c r="I1523">
        <v>1410243.012533868</v>
      </c>
      <c r="J1523">
        <v>0</v>
      </c>
      <c r="K1523">
        <v>1410243.012533868</v>
      </c>
    </row>
    <row r="1524" spans="1:11" x14ac:dyDescent="0.25">
      <c r="A1524" t="s">
        <v>143</v>
      </c>
      <c r="B1524" t="s">
        <v>28</v>
      </c>
      <c r="C1524" t="s">
        <v>75</v>
      </c>
      <c r="D1524">
        <v>2019</v>
      </c>
      <c r="E1524" t="s">
        <v>119</v>
      </c>
      <c r="F1524" t="s">
        <v>108</v>
      </c>
      <c r="G1524" t="s">
        <v>52</v>
      </c>
      <c r="H1524">
        <v>49787.032963432102</v>
      </c>
      <c r="I1524">
        <v>711399.98164280283</v>
      </c>
      <c r="J1524">
        <v>118184.45884859514</v>
      </c>
      <c r="K1524">
        <v>118184.45884859514</v>
      </c>
    </row>
    <row r="1525" spans="1:11" x14ac:dyDescent="0.25">
      <c r="A1525" t="s">
        <v>143</v>
      </c>
      <c r="B1525" t="s">
        <v>28</v>
      </c>
      <c r="C1525" t="s">
        <v>78</v>
      </c>
      <c r="D1525">
        <v>2019</v>
      </c>
      <c r="E1525" t="s">
        <v>119</v>
      </c>
      <c r="F1525" t="s">
        <v>108</v>
      </c>
      <c r="G1525" t="s">
        <v>78</v>
      </c>
      <c r="H1525">
        <v>13422.322311297707</v>
      </c>
      <c r="I1525">
        <v>671116.11556488543</v>
      </c>
      <c r="J1525">
        <v>0</v>
      </c>
      <c r="K1525">
        <v>671116.11556488543</v>
      </c>
    </row>
    <row r="1526" spans="1:11" x14ac:dyDescent="0.25">
      <c r="A1526" t="s">
        <v>143</v>
      </c>
      <c r="B1526" t="s">
        <v>28</v>
      </c>
      <c r="C1526" t="s">
        <v>65</v>
      </c>
      <c r="D1526">
        <v>2019</v>
      </c>
      <c r="E1526" t="s">
        <v>119</v>
      </c>
      <c r="F1526" t="s">
        <v>108</v>
      </c>
      <c r="G1526" t="s">
        <v>65</v>
      </c>
      <c r="H1526">
        <v>4937.1607996010098</v>
      </c>
      <c r="I1526">
        <v>120418.55608782951</v>
      </c>
      <c r="J1526">
        <v>0</v>
      </c>
      <c r="K1526">
        <v>120418.55608782951</v>
      </c>
    </row>
    <row r="1527" spans="1:11" x14ac:dyDescent="0.25">
      <c r="A1527" t="s">
        <v>143</v>
      </c>
      <c r="B1527" t="s">
        <v>28</v>
      </c>
      <c r="C1527" t="s">
        <v>120</v>
      </c>
      <c r="D1527">
        <v>2019</v>
      </c>
      <c r="E1527" t="s">
        <v>119</v>
      </c>
      <c r="F1527" t="s">
        <v>108</v>
      </c>
      <c r="G1527" t="s">
        <v>53</v>
      </c>
      <c r="H1527">
        <v>119003.01274629038</v>
      </c>
      <c r="I1527">
        <v>1641051.5457713446</v>
      </c>
      <c r="J1527">
        <v>0</v>
      </c>
      <c r="K1527">
        <v>1641051.5457713446</v>
      </c>
    </row>
    <row r="1528" spans="1:11" x14ac:dyDescent="0.25">
      <c r="A1528" t="s">
        <v>143</v>
      </c>
      <c r="B1528" t="s">
        <v>28</v>
      </c>
      <c r="C1528" t="s">
        <v>29</v>
      </c>
      <c r="D1528">
        <v>2030</v>
      </c>
      <c r="E1528" t="s">
        <v>119</v>
      </c>
      <c r="F1528" t="s">
        <v>108</v>
      </c>
      <c r="G1528" t="s">
        <v>52</v>
      </c>
      <c r="H1528">
        <v>823750.37397071952</v>
      </c>
      <c r="I1528">
        <v>5774490.1215347433</v>
      </c>
      <c r="J1528">
        <v>1873822.0444380243</v>
      </c>
      <c r="K1528">
        <v>1873822.0444380243</v>
      </c>
    </row>
    <row r="1529" spans="1:11" x14ac:dyDescent="0.25">
      <c r="A1529" t="s">
        <v>143</v>
      </c>
      <c r="B1529" t="s">
        <v>28</v>
      </c>
      <c r="C1529" t="s">
        <v>34</v>
      </c>
      <c r="D1529">
        <v>2030</v>
      </c>
      <c r="E1529" t="s">
        <v>119</v>
      </c>
      <c r="F1529" t="s">
        <v>108</v>
      </c>
      <c r="G1529" t="s">
        <v>52</v>
      </c>
      <c r="H1529">
        <v>56914.161564160306</v>
      </c>
      <c r="I1529">
        <v>219688.66363765878</v>
      </c>
      <c r="J1529">
        <v>64841.735128432192</v>
      </c>
      <c r="K1529">
        <v>64841.735128432192</v>
      </c>
    </row>
    <row r="1530" spans="1:11" x14ac:dyDescent="0.25">
      <c r="A1530" t="s">
        <v>143</v>
      </c>
      <c r="B1530" t="s">
        <v>28</v>
      </c>
      <c r="C1530" t="s">
        <v>72</v>
      </c>
      <c r="D1530">
        <v>2030</v>
      </c>
      <c r="E1530" t="s">
        <v>119</v>
      </c>
      <c r="F1530" t="s">
        <v>108</v>
      </c>
      <c r="G1530" t="s">
        <v>52</v>
      </c>
      <c r="H1530">
        <v>95709.195948732828</v>
      </c>
      <c r="I1530">
        <v>421120.46217442444</v>
      </c>
      <c r="J1530">
        <v>223614.96541461936</v>
      </c>
      <c r="K1530">
        <v>223614.96541461936</v>
      </c>
    </row>
    <row r="1531" spans="1:11" x14ac:dyDescent="0.25">
      <c r="A1531" t="s">
        <v>143</v>
      </c>
      <c r="B1531" t="s">
        <v>28</v>
      </c>
      <c r="C1531" t="s">
        <v>53</v>
      </c>
      <c r="D1531">
        <v>2030</v>
      </c>
      <c r="E1531" t="s">
        <v>119</v>
      </c>
      <c r="F1531" t="s">
        <v>108</v>
      </c>
      <c r="G1531" t="s">
        <v>53</v>
      </c>
      <c r="H1531">
        <v>182487.33467255518</v>
      </c>
      <c r="I1531">
        <v>9055021.5464521889</v>
      </c>
      <c r="J1531">
        <v>0</v>
      </c>
      <c r="K1531">
        <v>9055021.5464521889</v>
      </c>
    </row>
    <row r="1532" spans="1:11" x14ac:dyDescent="0.25">
      <c r="A1532" t="s">
        <v>143</v>
      </c>
      <c r="B1532" t="s">
        <v>28</v>
      </c>
      <c r="C1532" t="s">
        <v>30</v>
      </c>
      <c r="D1532">
        <v>2030</v>
      </c>
      <c r="E1532" t="s">
        <v>119</v>
      </c>
      <c r="F1532" t="s">
        <v>108</v>
      </c>
      <c r="G1532" t="s">
        <v>30</v>
      </c>
      <c r="H1532">
        <v>7061.8448324272804</v>
      </c>
      <c r="I1532">
        <v>146533.28027286608</v>
      </c>
      <c r="J1532">
        <v>0</v>
      </c>
      <c r="K1532">
        <v>146533.28027286608</v>
      </c>
    </row>
    <row r="1533" spans="1:11" x14ac:dyDescent="0.25">
      <c r="A1533" t="s">
        <v>143</v>
      </c>
      <c r="B1533" t="s">
        <v>28</v>
      </c>
      <c r="C1533" t="s">
        <v>31</v>
      </c>
      <c r="D1533">
        <v>2030</v>
      </c>
      <c r="E1533" t="s">
        <v>119</v>
      </c>
      <c r="F1533" t="s">
        <v>108</v>
      </c>
      <c r="G1533" t="s">
        <v>31</v>
      </c>
      <c r="H1533">
        <v>42068.306279606026</v>
      </c>
      <c r="I1533">
        <v>1786678.8069121563</v>
      </c>
      <c r="J1533">
        <v>0</v>
      </c>
      <c r="K1533">
        <v>1786678.8069121563</v>
      </c>
    </row>
    <row r="1534" spans="1:11" x14ac:dyDescent="0.25">
      <c r="A1534" t="s">
        <v>143</v>
      </c>
      <c r="B1534" t="s">
        <v>28</v>
      </c>
      <c r="C1534" t="s">
        <v>55</v>
      </c>
      <c r="D1534">
        <v>2030</v>
      </c>
      <c r="E1534" t="s">
        <v>119</v>
      </c>
      <c r="F1534" t="s">
        <v>108</v>
      </c>
      <c r="G1534" t="s">
        <v>55</v>
      </c>
      <c r="H1534">
        <v>4106.7435277270333</v>
      </c>
      <c r="I1534">
        <v>333688.23529770103</v>
      </c>
      <c r="J1534">
        <v>0</v>
      </c>
      <c r="K1534">
        <v>333688.23529770103</v>
      </c>
    </row>
    <row r="1535" spans="1:11" x14ac:dyDescent="0.25">
      <c r="A1535" t="s">
        <v>143</v>
      </c>
      <c r="B1535" t="s">
        <v>28</v>
      </c>
      <c r="C1535" t="s">
        <v>54</v>
      </c>
      <c r="D1535">
        <v>2030</v>
      </c>
      <c r="E1535" t="s">
        <v>119</v>
      </c>
      <c r="F1535" t="s">
        <v>108</v>
      </c>
      <c r="G1535" t="s">
        <v>54</v>
      </c>
      <c r="H1535">
        <v>140633.81165134837</v>
      </c>
      <c r="I1535">
        <v>6259610.9566015163</v>
      </c>
      <c r="J1535">
        <v>0</v>
      </c>
      <c r="K1535">
        <v>6259610.9566015163</v>
      </c>
    </row>
    <row r="1536" spans="1:11" x14ac:dyDescent="0.25">
      <c r="A1536" t="s">
        <v>143</v>
      </c>
      <c r="B1536" t="s">
        <v>28</v>
      </c>
      <c r="C1536" t="s">
        <v>41</v>
      </c>
      <c r="D1536">
        <v>2030</v>
      </c>
      <c r="E1536" t="s">
        <v>119</v>
      </c>
      <c r="F1536" t="s">
        <v>108</v>
      </c>
      <c r="G1536" t="s">
        <v>41</v>
      </c>
      <c r="H1536">
        <v>2584.1851351493174</v>
      </c>
      <c r="I1536">
        <v>21939.731797417709</v>
      </c>
      <c r="J1536">
        <v>0</v>
      </c>
      <c r="K1536">
        <v>21939.731797417709</v>
      </c>
    </row>
    <row r="1537" spans="1:11" x14ac:dyDescent="0.25">
      <c r="A1537" t="s">
        <v>143</v>
      </c>
      <c r="B1537" t="s">
        <v>28</v>
      </c>
      <c r="C1537" t="s">
        <v>80</v>
      </c>
      <c r="D1537">
        <v>2030</v>
      </c>
      <c r="E1537" t="s">
        <v>119</v>
      </c>
      <c r="F1537" t="s">
        <v>108</v>
      </c>
      <c r="G1537" t="s">
        <v>80</v>
      </c>
      <c r="H1537">
        <v>45703.64348304407</v>
      </c>
      <c r="I1537">
        <v>1361783.1793390682</v>
      </c>
      <c r="J1537">
        <v>0</v>
      </c>
      <c r="K1537">
        <v>1361783.1793390682</v>
      </c>
    </row>
    <row r="1538" spans="1:11" x14ac:dyDescent="0.25">
      <c r="A1538" t="s">
        <v>143</v>
      </c>
      <c r="B1538" t="s">
        <v>28</v>
      </c>
      <c r="C1538" t="s">
        <v>75</v>
      </c>
      <c r="D1538">
        <v>2030</v>
      </c>
      <c r="E1538" t="s">
        <v>119</v>
      </c>
      <c r="F1538" t="s">
        <v>108</v>
      </c>
      <c r="G1538" t="s">
        <v>52</v>
      </c>
      <c r="H1538">
        <v>48076.213415858583</v>
      </c>
      <c r="I1538">
        <v>686954.31934290484</v>
      </c>
      <c r="J1538">
        <v>113459.86366142624</v>
      </c>
      <c r="K1538">
        <v>113459.86366142624</v>
      </c>
    </row>
    <row r="1539" spans="1:11" x14ac:dyDescent="0.25">
      <c r="A1539" t="s">
        <v>143</v>
      </c>
      <c r="B1539" t="s">
        <v>28</v>
      </c>
      <c r="C1539" t="s">
        <v>78</v>
      </c>
      <c r="D1539">
        <v>2030</v>
      </c>
      <c r="E1539" t="s">
        <v>119</v>
      </c>
      <c r="F1539" t="s">
        <v>108</v>
      </c>
      <c r="G1539" t="s">
        <v>78</v>
      </c>
      <c r="H1539">
        <v>12961.094356603833</v>
      </c>
      <c r="I1539">
        <v>648054.71783019172</v>
      </c>
      <c r="J1539">
        <v>0</v>
      </c>
      <c r="K1539">
        <v>648054.71783019172</v>
      </c>
    </row>
    <row r="1540" spans="1:11" x14ac:dyDescent="0.25">
      <c r="A1540" t="s">
        <v>143</v>
      </c>
      <c r="B1540" t="s">
        <v>28</v>
      </c>
      <c r="C1540" t="s">
        <v>65</v>
      </c>
      <c r="D1540">
        <v>2030</v>
      </c>
      <c r="E1540" t="s">
        <v>119</v>
      </c>
      <c r="F1540" t="s">
        <v>108</v>
      </c>
      <c r="G1540" t="s">
        <v>65</v>
      </c>
      <c r="H1540">
        <v>4767.5063594242874</v>
      </c>
      <c r="I1540">
        <v>116280.6429127875</v>
      </c>
      <c r="J1540">
        <v>0</v>
      </c>
      <c r="K1540">
        <v>116280.6429127875</v>
      </c>
    </row>
    <row r="1541" spans="1:11" x14ac:dyDescent="0.25">
      <c r="A1541" t="s">
        <v>143</v>
      </c>
      <c r="B1541" t="s">
        <v>28</v>
      </c>
      <c r="C1541" t="s">
        <v>120</v>
      </c>
      <c r="D1541">
        <v>2030</v>
      </c>
      <c r="E1541" t="s">
        <v>119</v>
      </c>
      <c r="F1541" t="s">
        <v>108</v>
      </c>
      <c r="G1541" t="s">
        <v>53</v>
      </c>
      <c r="H1541">
        <v>114913.74153834289</v>
      </c>
      <c r="I1541">
        <v>1584660.4958137486</v>
      </c>
      <c r="J1541">
        <v>0</v>
      </c>
      <c r="K1541">
        <v>1584660.4958137486</v>
      </c>
    </row>
    <row r="1542" spans="1:11" x14ac:dyDescent="0.25">
      <c r="A1542" t="s">
        <v>143</v>
      </c>
      <c r="B1542" t="s">
        <v>28</v>
      </c>
      <c r="C1542" t="s">
        <v>29</v>
      </c>
      <c r="D1542">
        <v>2050</v>
      </c>
      <c r="E1542" t="s">
        <v>119</v>
      </c>
      <c r="F1542" t="s">
        <v>108</v>
      </c>
      <c r="G1542" t="s">
        <v>52</v>
      </c>
      <c r="H1542">
        <v>770919.64193441265</v>
      </c>
      <c r="I1542">
        <v>5404146.6899602329</v>
      </c>
      <c r="J1542">
        <v>1753645.6008920954</v>
      </c>
      <c r="K1542">
        <v>1753645.6008920954</v>
      </c>
    </row>
    <row r="1543" spans="1:11" x14ac:dyDescent="0.25">
      <c r="A1543" t="s">
        <v>143</v>
      </c>
      <c r="B1543" t="s">
        <v>28</v>
      </c>
      <c r="C1543" t="s">
        <v>34</v>
      </c>
      <c r="D1543">
        <v>2050</v>
      </c>
      <c r="E1543" t="s">
        <v>119</v>
      </c>
      <c r="F1543" t="s">
        <v>108</v>
      </c>
      <c r="G1543" t="s">
        <v>52</v>
      </c>
      <c r="H1543">
        <v>53264.00623351871</v>
      </c>
      <c r="I1543">
        <v>205599.06406138223</v>
      </c>
      <c r="J1543">
        <v>60683.14966178553</v>
      </c>
      <c r="K1543">
        <v>60683.14966178553</v>
      </c>
    </row>
    <row r="1544" spans="1:11" x14ac:dyDescent="0.25">
      <c r="A1544" t="s">
        <v>143</v>
      </c>
      <c r="B1544" t="s">
        <v>28</v>
      </c>
      <c r="C1544" t="s">
        <v>72</v>
      </c>
      <c r="D1544">
        <v>2050</v>
      </c>
      <c r="E1544" t="s">
        <v>119</v>
      </c>
      <c r="F1544" t="s">
        <v>108</v>
      </c>
      <c r="G1544" t="s">
        <v>52</v>
      </c>
      <c r="H1544">
        <v>89570.944550794622</v>
      </c>
      <c r="I1544">
        <v>394112.15602349635</v>
      </c>
      <c r="J1544">
        <v>209273.55484847655</v>
      </c>
      <c r="K1544">
        <v>209273.55484847655</v>
      </c>
    </row>
    <row r="1545" spans="1:11" x14ac:dyDescent="0.25">
      <c r="A1545" t="s">
        <v>143</v>
      </c>
      <c r="B1545" t="s">
        <v>28</v>
      </c>
      <c r="C1545" t="s">
        <v>53</v>
      </c>
      <c r="D1545">
        <v>2050</v>
      </c>
      <c r="E1545" t="s">
        <v>119</v>
      </c>
      <c r="F1545" t="s">
        <v>108</v>
      </c>
      <c r="G1545" t="s">
        <v>53</v>
      </c>
      <c r="H1545">
        <v>170783.61983035918</v>
      </c>
      <c r="I1545">
        <v>8474283.2159824222</v>
      </c>
      <c r="J1545">
        <v>0</v>
      </c>
      <c r="K1545">
        <v>8474283.2159824222</v>
      </c>
    </row>
    <row r="1546" spans="1:11" x14ac:dyDescent="0.25">
      <c r="A1546" t="s">
        <v>143</v>
      </c>
      <c r="B1546" t="s">
        <v>28</v>
      </c>
      <c r="C1546" t="s">
        <v>30</v>
      </c>
      <c r="D1546">
        <v>2050</v>
      </c>
      <c r="E1546" t="s">
        <v>119</v>
      </c>
      <c r="F1546" t="s">
        <v>108</v>
      </c>
      <c r="G1546" t="s">
        <v>30</v>
      </c>
      <c r="H1546">
        <v>6608.9376850525514</v>
      </c>
      <c r="I1546">
        <v>137135.45696484044</v>
      </c>
      <c r="J1546">
        <v>0</v>
      </c>
      <c r="K1546">
        <v>137135.45696484044</v>
      </c>
    </row>
    <row r="1547" spans="1:11" x14ac:dyDescent="0.25">
      <c r="A1547" t="s">
        <v>143</v>
      </c>
      <c r="B1547" t="s">
        <v>28</v>
      </c>
      <c r="C1547" t="s">
        <v>31</v>
      </c>
      <c r="D1547">
        <v>2050</v>
      </c>
      <c r="E1547" t="s">
        <v>119</v>
      </c>
      <c r="F1547" t="s">
        <v>108</v>
      </c>
      <c r="G1547" t="s">
        <v>31</v>
      </c>
      <c r="H1547">
        <v>39370.280898972756</v>
      </c>
      <c r="I1547">
        <v>1672091.2422013455</v>
      </c>
      <c r="J1547">
        <v>0</v>
      </c>
      <c r="K1547">
        <v>1672091.2422013455</v>
      </c>
    </row>
    <row r="1548" spans="1:11" x14ac:dyDescent="0.25">
      <c r="A1548" t="s">
        <v>143</v>
      </c>
      <c r="B1548" t="s">
        <v>28</v>
      </c>
      <c r="C1548" t="s">
        <v>55</v>
      </c>
      <c r="D1548">
        <v>2050</v>
      </c>
      <c r="E1548" t="s">
        <v>119</v>
      </c>
      <c r="F1548" t="s">
        <v>108</v>
      </c>
      <c r="G1548" t="s">
        <v>55</v>
      </c>
      <c r="H1548">
        <v>3843.3600153052266</v>
      </c>
      <c r="I1548">
        <v>312287.34213912912</v>
      </c>
      <c r="J1548">
        <v>0</v>
      </c>
      <c r="K1548">
        <v>312287.34213912912</v>
      </c>
    </row>
    <row r="1549" spans="1:11" x14ac:dyDescent="0.25">
      <c r="A1549" t="s">
        <v>143</v>
      </c>
      <c r="B1549" t="s">
        <v>28</v>
      </c>
      <c r="C1549" t="s">
        <v>54</v>
      </c>
      <c r="D1549">
        <v>2050</v>
      </c>
      <c r="E1549" t="s">
        <v>119</v>
      </c>
      <c r="F1549" t="s">
        <v>108</v>
      </c>
      <c r="G1549" t="s">
        <v>54</v>
      </c>
      <c r="H1549">
        <v>131614.34719540758</v>
      </c>
      <c r="I1549">
        <v>5858154.5936675919</v>
      </c>
      <c r="J1549">
        <v>0</v>
      </c>
      <c r="K1549">
        <v>5858154.5936675919</v>
      </c>
    </row>
    <row r="1550" spans="1:11" x14ac:dyDescent="0.25">
      <c r="A1550" t="s">
        <v>143</v>
      </c>
      <c r="B1550" t="s">
        <v>28</v>
      </c>
      <c r="C1550" t="s">
        <v>41</v>
      </c>
      <c r="D1550">
        <v>2050</v>
      </c>
      <c r="E1550" t="s">
        <v>119</v>
      </c>
      <c r="F1550" t="s">
        <v>108</v>
      </c>
      <c r="G1550" t="s">
        <v>41</v>
      </c>
      <c r="H1550">
        <v>2418.4499844031116</v>
      </c>
      <c r="I1550">
        <v>20532.640367582419</v>
      </c>
      <c r="J1550">
        <v>0</v>
      </c>
      <c r="K1550">
        <v>20532.640367582419</v>
      </c>
    </row>
    <row r="1551" spans="1:11" x14ac:dyDescent="0.25">
      <c r="A1551" t="s">
        <v>143</v>
      </c>
      <c r="B1551" t="s">
        <v>28</v>
      </c>
      <c r="C1551" t="s">
        <v>80</v>
      </c>
      <c r="D1551">
        <v>2050</v>
      </c>
      <c r="E1551" t="s">
        <v>119</v>
      </c>
      <c r="F1551" t="s">
        <v>108</v>
      </c>
      <c r="G1551" t="s">
        <v>80</v>
      </c>
      <c r="H1551">
        <v>42772.467949494108</v>
      </c>
      <c r="I1551">
        <v>1274446.0387288358</v>
      </c>
      <c r="J1551">
        <v>0</v>
      </c>
      <c r="K1551">
        <v>1274446.0387288358</v>
      </c>
    </row>
    <row r="1552" spans="1:11" x14ac:dyDescent="0.25">
      <c r="A1552" t="s">
        <v>143</v>
      </c>
      <c r="B1552" t="s">
        <v>28</v>
      </c>
      <c r="C1552" t="s">
        <v>75</v>
      </c>
      <c r="D1552">
        <v>2050</v>
      </c>
      <c r="E1552" t="s">
        <v>119</v>
      </c>
      <c r="F1552" t="s">
        <v>108</v>
      </c>
      <c r="G1552" t="s">
        <v>52</v>
      </c>
      <c r="H1552">
        <v>44992.874544580809</v>
      </c>
      <c r="I1552">
        <v>642896.91953688243</v>
      </c>
      <c r="J1552">
        <v>106183.18392521072</v>
      </c>
      <c r="K1552">
        <v>106183.18392521072</v>
      </c>
    </row>
    <row r="1553" spans="1:11" x14ac:dyDescent="0.25">
      <c r="A1553" t="s">
        <v>143</v>
      </c>
      <c r="B1553" t="s">
        <v>28</v>
      </c>
      <c r="C1553" t="s">
        <v>78</v>
      </c>
      <c r="D1553">
        <v>2050</v>
      </c>
      <c r="E1553" t="s">
        <v>119</v>
      </c>
      <c r="F1553" t="s">
        <v>108</v>
      </c>
      <c r="G1553" t="s">
        <v>78</v>
      </c>
      <c r="H1553">
        <v>12129.842408819752</v>
      </c>
      <c r="I1553">
        <v>606492.12044098764</v>
      </c>
      <c r="J1553">
        <v>0</v>
      </c>
      <c r="K1553">
        <v>606492.12044098764</v>
      </c>
    </row>
    <row r="1554" spans="1:11" x14ac:dyDescent="0.25">
      <c r="A1554" t="s">
        <v>143</v>
      </c>
      <c r="B1554" t="s">
        <v>28</v>
      </c>
      <c r="C1554" t="s">
        <v>65</v>
      </c>
      <c r="D1554">
        <v>2050</v>
      </c>
      <c r="E1554" t="s">
        <v>119</v>
      </c>
      <c r="F1554" t="s">
        <v>108</v>
      </c>
      <c r="G1554" t="s">
        <v>65</v>
      </c>
      <c r="H1554">
        <v>4461.7452224161889</v>
      </c>
      <c r="I1554">
        <v>108823.05420527291</v>
      </c>
      <c r="J1554">
        <v>0</v>
      </c>
      <c r="K1554">
        <v>108823.05420527291</v>
      </c>
    </row>
    <row r="1555" spans="1:11" x14ac:dyDescent="0.25">
      <c r="A1555" t="s">
        <v>143</v>
      </c>
      <c r="B1555" t="s">
        <v>28</v>
      </c>
      <c r="C1555" t="s">
        <v>120</v>
      </c>
      <c r="D1555">
        <v>2050</v>
      </c>
      <c r="E1555" t="s">
        <v>119</v>
      </c>
      <c r="F1555" t="s">
        <v>108</v>
      </c>
      <c r="G1555" t="s">
        <v>53</v>
      </c>
      <c r="H1555">
        <v>107543.81822378619</v>
      </c>
      <c r="I1555">
        <v>1483029.2533060117</v>
      </c>
      <c r="J1555">
        <v>0</v>
      </c>
      <c r="K1555">
        <v>1483029.2533060117</v>
      </c>
    </row>
    <row r="1556" spans="1:11" x14ac:dyDescent="0.25">
      <c r="A1556" t="s">
        <v>143</v>
      </c>
      <c r="B1556" t="s">
        <v>28</v>
      </c>
      <c r="C1556" t="s">
        <v>29</v>
      </c>
      <c r="D1556">
        <v>2019</v>
      </c>
      <c r="E1556" t="s">
        <v>121</v>
      </c>
      <c r="F1556" t="s">
        <v>108</v>
      </c>
      <c r="G1556" t="s">
        <v>52</v>
      </c>
      <c r="H1556">
        <v>109074.05508995618</v>
      </c>
      <c r="I1556">
        <v>512288.11454099719</v>
      </c>
      <c r="J1556">
        <v>167209.55986589516</v>
      </c>
      <c r="K1556">
        <v>167209.55986589516</v>
      </c>
    </row>
    <row r="1557" spans="1:11" x14ac:dyDescent="0.25">
      <c r="A1557" t="s">
        <v>143</v>
      </c>
      <c r="B1557" t="s">
        <v>28</v>
      </c>
      <c r="C1557" t="s">
        <v>34</v>
      </c>
      <c r="D1557">
        <v>2019</v>
      </c>
      <c r="E1557" t="s">
        <v>121</v>
      </c>
      <c r="F1557" t="s">
        <v>108</v>
      </c>
      <c r="G1557" t="s">
        <v>52</v>
      </c>
      <c r="H1557">
        <v>7536.0917457605292</v>
      </c>
      <c r="I1557">
        <v>16580.909059022317</v>
      </c>
      <c r="J1557">
        <v>4922.5194479169131</v>
      </c>
      <c r="K1557">
        <v>4922.5194479169131</v>
      </c>
    </row>
    <row r="1558" spans="1:11" x14ac:dyDescent="0.25">
      <c r="A1558" t="s">
        <v>143</v>
      </c>
      <c r="B1558" t="s">
        <v>28</v>
      </c>
      <c r="C1558" t="s">
        <v>72</v>
      </c>
      <c r="D1558">
        <v>2019</v>
      </c>
      <c r="E1558" t="s">
        <v>121</v>
      </c>
      <c r="F1558" t="s">
        <v>108</v>
      </c>
      <c r="G1558" t="s">
        <v>52</v>
      </c>
      <c r="H1558">
        <v>12673.001969281737</v>
      </c>
      <c r="I1558">
        <v>30668.664765661812</v>
      </c>
      <c r="J1558">
        <v>16380.287194663799</v>
      </c>
      <c r="K1558">
        <v>16380.287194663799</v>
      </c>
    </row>
    <row r="1559" spans="1:11" x14ac:dyDescent="0.25">
      <c r="A1559" t="s">
        <v>143</v>
      </c>
      <c r="B1559" t="s">
        <v>28</v>
      </c>
      <c r="C1559" t="s">
        <v>53</v>
      </c>
      <c r="D1559">
        <v>2019</v>
      </c>
      <c r="E1559" t="s">
        <v>121</v>
      </c>
      <c r="F1559" t="s">
        <v>108</v>
      </c>
      <c r="G1559" t="s">
        <v>53</v>
      </c>
      <c r="H1559">
        <v>24163.428903039348</v>
      </c>
      <c r="I1559">
        <v>935211.68689167371</v>
      </c>
      <c r="J1559">
        <v>0</v>
      </c>
      <c r="K1559">
        <v>935211.68689167371</v>
      </c>
    </row>
    <row r="1560" spans="1:11" x14ac:dyDescent="0.25">
      <c r="A1560" t="s">
        <v>143</v>
      </c>
      <c r="B1560" t="s">
        <v>28</v>
      </c>
      <c r="C1560" t="s">
        <v>30</v>
      </c>
      <c r="D1560">
        <v>2019</v>
      </c>
      <c r="E1560" t="s">
        <v>121</v>
      </c>
      <c r="F1560" t="s">
        <v>108</v>
      </c>
      <c r="G1560" t="s">
        <v>30</v>
      </c>
      <c r="H1560">
        <v>935.06974518991217</v>
      </c>
      <c r="I1560">
        <v>11059.537411233687</v>
      </c>
      <c r="J1560">
        <v>0</v>
      </c>
      <c r="K1560">
        <v>11059.537411233687</v>
      </c>
    </row>
    <row r="1561" spans="1:11" x14ac:dyDescent="0.25">
      <c r="A1561" t="s">
        <v>143</v>
      </c>
      <c r="B1561" t="s">
        <v>28</v>
      </c>
      <c r="C1561" t="s">
        <v>31</v>
      </c>
      <c r="D1561">
        <v>2019</v>
      </c>
      <c r="E1561" t="s">
        <v>121</v>
      </c>
      <c r="F1561" t="s">
        <v>108</v>
      </c>
      <c r="G1561" t="s">
        <v>31</v>
      </c>
      <c r="H1561">
        <v>5570.3291939822529</v>
      </c>
      <c r="I1561">
        <v>134848.82799393893</v>
      </c>
      <c r="J1561">
        <v>0</v>
      </c>
      <c r="K1561">
        <v>134848.82799393893</v>
      </c>
    </row>
    <row r="1562" spans="1:11" x14ac:dyDescent="0.25">
      <c r="A1562" t="s">
        <v>143</v>
      </c>
      <c r="B1562" t="s">
        <v>28</v>
      </c>
      <c r="C1562" t="s">
        <v>55</v>
      </c>
      <c r="D1562">
        <v>2019</v>
      </c>
      <c r="E1562" t="s">
        <v>121</v>
      </c>
      <c r="F1562" t="s">
        <v>108</v>
      </c>
      <c r="G1562" t="s">
        <v>55</v>
      </c>
      <c r="H1562">
        <v>543.78023238328944</v>
      </c>
      <c r="I1562">
        <v>25184.978559760264</v>
      </c>
      <c r="J1562">
        <v>0</v>
      </c>
      <c r="K1562">
        <v>25184.978559760264</v>
      </c>
    </row>
    <row r="1563" spans="1:11" x14ac:dyDescent="0.25">
      <c r="A1563" t="s">
        <v>143</v>
      </c>
      <c r="B1563" t="s">
        <v>28</v>
      </c>
      <c r="C1563" t="s">
        <v>54</v>
      </c>
      <c r="D1563">
        <v>2019</v>
      </c>
      <c r="E1563" t="s">
        <v>121</v>
      </c>
      <c r="F1563" t="s">
        <v>108</v>
      </c>
      <c r="G1563" t="s">
        <v>54</v>
      </c>
      <c r="H1563">
        <v>18621.539490936779</v>
      </c>
      <c r="I1563">
        <v>687941.11987552466</v>
      </c>
      <c r="J1563">
        <v>0</v>
      </c>
      <c r="K1563">
        <v>687941.11987552466</v>
      </c>
    </row>
    <row r="1564" spans="1:11" x14ac:dyDescent="0.25">
      <c r="A1564" t="s">
        <v>143</v>
      </c>
      <c r="B1564" t="s">
        <v>28</v>
      </c>
      <c r="C1564" t="s">
        <v>41</v>
      </c>
      <c r="D1564">
        <v>2019</v>
      </c>
      <c r="E1564" t="s">
        <v>121</v>
      </c>
      <c r="F1564" t="s">
        <v>108</v>
      </c>
      <c r="G1564" t="s">
        <v>41</v>
      </c>
      <c r="H1564">
        <v>342.17593181200988</v>
      </c>
      <c r="I1564">
        <v>1655.8919868178593</v>
      </c>
      <c r="J1564">
        <v>0</v>
      </c>
      <c r="K1564">
        <v>1655.8919868178593</v>
      </c>
    </row>
    <row r="1565" spans="1:11" x14ac:dyDescent="0.25">
      <c r="A1565" t="s">
        <v>143</v>
      </c>
      <c r="B1565" t="s">
        <v>28</v>
      </c>
      <c r="C1565" t="s">
        <v>80</v>
      </c>
      <c r="D1565">
        <v>2019</v>
      </c>
      <c r="E1565" t="s">
        <v>121</v>
      </c>
      <c r="F1565" t="s">
        <v>108</v>
      </c>
      <c r="G1565" t="s">
        <v>80</v>
      </c>
      <c r="H1565">
        <v>6051.6897892885954</v>
      </c>
      <c r="I1565">
        <v>102780.0100417052</v>
      </c>
      <c r="J1565">
        <v>0</v>
      </c>
      <c r="K1565">
        <v>102780.0100417052</v>
      </c>
    </row>
    <row r="1566" spans="1:11" x14ac:dyDescent="0.25">
      <c r="A1566" t="s">
        <v>143</v>
      </c>
      <c r="B1566" t="s">
        <v>28</v>
      </c>
      <c r="C1566" t="s">
        <v>75</v>
      </c>
      <c r="D1566">
        <v>2019</v>
      </c>
      <c r="E1566" t="s">
        <v>121</v>
      </c>
      <c r="F1566" t="s">
        <v>108</v>
      </c>
      <c r="G1566" t="s">
        <v>52</v>
      </c>
      <c r="H1566">
        <v>6365.8454264012817</v>
      </c>
      <c r="I1566">
        <v>51847.586981155291</v>
      </c>
      <c r="J1566">
        <v>8613.4090077190758</v>
      </c>
      <c r="K1566">
        <v>8613.4090077190758</v>
      </c>
    </row>
    <row r="1567" spans="1:11" x14ac:dyDescent="0.25">
      <c r="A1567" t="s">
        <v>143</v>
      </c>
      <c r="B1567" t="s">
        <v>28</v>
      </c>
      <c r="C1567" t="s">
        <v>78</v>
      </c>
      <c r="D1567">
        <v>2019</v>
      </c>
      <c r="E1567" t="s">
        <v>121</v>
      </c>
      <c r="F1567" t="s">
        <v>108</v>
      </c>
      <c r="G1567" t="s">
        <v>78</v>
      </c>
      <c r="H1567">
        <v>1716.1984559275936</v>
      </c>
      <c r="I1567">
        <v>48911.655993936416</v>
      </c>
      <c r="J1567">
        <v>0</v>
      </c>
      <c r="K1567">
        <v>48911.655993936416</v>
      </c>
    </row>
    <row r="1568" spans="1:11" x14ac:dyDescent="0.25">
      <c r="A1568" t="s">
        <v>143</v>
      </c>
      <c r="B1568" t="s">
        <v>28</v>
      </c>
      <c r="C1568" t="s">
        <v>65</v>
      </c>
      <c r="D1568">
        <v>2019</v>
      </c>
      <c r="E1568" t="s">
        <v>121</v>
      </c>
      <c r="F1568" t="s">
        <v>108</v>
      </c>
      <c r="G1568" t="s">
        <v>65</v>
      </c>
      <c r="H1568">
        <v>631.27285609954106</v>
      </c>
      <c r="I1568">
        <v>8776.2323896765465</v>
      </c>
      <c r="J1568">
        <v>0</v>
      </c>
      <c r="K1568">
        <v>8776.2323896765465</v>
      </c>
    </row>
    <row r="1569" spans="1:11" x14ac:dyDescent="0.25">
      <c r="A1569" t="s">
        <v>143</v>
      </c>
      <c r="B1569" t="s">
        <v>28</v>
      </c>
      <c r="C1569" t="s">
        <v>120</v>
      </c>
      <c r="D1569">
        <v>2019</v>
      </c>
      <c r="E1569" t="s">
        <v>121</v>
      </c>
      <c r="F1569" t="s">
        <v>108</v>
      </c>
      <c r="G1569" t="s">
        <v>53</v>
      </c>
      <c r="H1569">
        <v>15215.905414073572</v>
      </c>
      <c r="I1569">
        <v>209827.33566007458</v>
      </c>
      <c r="J1569">
        <v>0</v>
      </c>
      <c r="K1569">
        <v>209827.33566007458</v>
      </c>
    </row>
    <row r="1570" spans="1:11" x14ac:dyDescent="0.25">
      <c r="A1570" t="s">
        <v>143</v>
      </c>
      <c r="B1570" t="s">
        <v>28</v>
      </c>
      <c r="C1570" t="s">
        <v>29</v>
      </c>
      <c r="D1570">
        <v>2030</v>
      </c>
      <c r="E1570" t="s">
        <v>121</v>
      </c>
      <c r="F1570" t="s">
        <v>108</v>
      </c>
      <c r="G1570" t="s">
        <v>52</v>
      </c>
      <c r="H1570">
        <v>128562.19709369613</v>
      </c>
      <c r="I1570">
        <v>603818.07108996273</v>
      </c>
      <c r="J1570">
        <v>195938.96406869288</v>
      </c>
      <c r="K1570">
        <v>195938.96406869288</v>
      </c>
    </row>
    <row r="1571" spans="1:11" x14ac:dyDescent="0.25">
      <c r="A1571" t="s">
        <v>143</v>
      </c>
      <c r="B1571" t="s">
        <v>28</v>
      </c>
      <c r="C1571" t="s">
        <v>34</v>
      </c>
      <c r="D1571">
        <v>2030</v>
      </c>
      <c r="E1571" t="s">
        <v>121</v>
      </c>
      <c r="F1571" t="s">
        <v>108</v>
      </c>
      <c r="G1571" t="s">
        <v>52</v>
      </c>
      <c r="H1571">
        <v>8882.5570071232869</v>
      </c>
      <c r="I1571">
        <v>19543.401927072653</v>
      </c>
      <c r="J1571">
        <v>5768.2907724079287</v>
      </c>
      <c r="K1571">
        <v>5768.2907724079287</v>
      </c>
    </row>
    <row r="1572" spans="1:11" x14ac:dyDescent="0.25">
      <c r="A1572" t="s">
        <v>143</v>
      </c>
      <c r="B1572" t="s">
        <v>28</v>
      </c>
      <c r="C1572" t="s">
        <v>72</v>
      </c>
      <c r="D1572">
        <v>2030</v>
      </c>
      <c r="E1572" t="s">
        <v>121</v>
      </c>
      <c r="F1572" t="s">
        <v>108</v>
      </c>
      <c r="G1572" t="s">
        <v>52</v>
      </c>
      <c r="H1572">
        <v>14937.273356160618</v>
      </c>
      <c r="I1572">
        <v>36148.201521908697</v>
      </c>
      <c r="J1572">
        <v>19194.69500813352</v>
      </c>
      <c r="K1572">
        <v>19194.69500813352</v>
      </c>
    </row>
    <row r="1573" spans="1:11" x14ac:dyDescent="0.25">
      <c r="A1573" t="s">
        <v>143</v>
      </c>
      <c r="B1573" t="s">
        <v>28</v>
      </c>
      <c r="C1573" t="s">
        <v>53</v>
      </c>
      <c r="D1573">
        <v>2030</v>
      </c>
      <c r="E1573" t="s">
        <v>121</v>
      </c>
      <c r="F1573" t="s">
        <v>108</v>
      </c>
      <c r="G1573" t="s">
        <v>53</v>
      </c>
      <c r="H1573">
        <v>28480.682289936361</v>
      </c>
      <c r="I1573">
        <v>1102304.9350767811</v>
      </c>
      <c r="J1573">
        <v>0</v>
      </c>
      <c r="K1573">
        <v>1102304.9350767811</v>
      </c>
    </row>
    <row r="1574" spans="1:11" x14ac:dyDescent="0.25">
      <c r="A1574" t="s">
        <v>143</v>
      </c>
      <c r="B1574" t="s">
        <v>28</v>
      </c>
      <c r="C1574" t="s">
        <v>30</v>
      </c>
      <c r="D1574">
        <v>2030</v>
      </c>
      <c r="E1574" t="s">
        <v>121</v>
      </c>
      <c r="F1574" t="s">
        <v>108</v>
      </c>
      <c r="G1574" t="s">
        <v>30</v>
      </c>
      <c r="H1574">
        <v>1102.1376328065699</v>
      </c>
      <c r="I1574">
        <v>13035.532852019704</v>
      </c>
      <c r="J1574">
        <v>0</v>
      </c>
      <c r="K1574">
        <v>13035.532852019704</v>
      </c>
    </row>
    <row r="1575" spans="1:11" x14ac:dyDescent="0.25">
      <c r="A1575" t="s">
        <v>143</v>
      </c>
      <c r="B1575" t="s">
        <v>28</v>
      </c>
      <c r="C1575" t="s">
        <v>31</v>
      </c>
      <c r="D1575">
        <v>2030</v>
      </c>
      <c r="E1575" t="s">
        <v>121</v>
      </c>
      <c r="F1575" t="s">
        <v>108</v>
      </c>
      <c r="G1575" t="s">
        <v>31</v>
      </c>
      <c r="H1575">
        <v>6565.5738124240625</v>
      </c>
      <c r="I1575">
        <v>158942.12045305254</v>
      </c>
      <c r="J1575">
        <v>0</v>
      </c>
      <c r="K1575">
        <v>158942.12045305254</v>
      </c>
    </row>
    <row r="1576" spans="1:11" x14ac:dyDescent="0.25">
      <c r="A1576" t="s">
        <v>143</v>
      </c>
      <c r="B1576" t="s">
        <v>28</v>
      </c>
      <c r="C1576" t="s">
        <v>55</v>
      </c>
      <c r="D1576">
        <v>2030</v>
      </c>
      <c r="E1576" t="s">
        <v>121</v>
      </c>
      <c r="F1576" t="s">
        <v>108</v>
      </c>
      <c r="G1576" t="s">
        <v>55</v>
      </c>
      <c r="H1576">
        <v>640.93685114814969</v>
      </c>
      <c r="I1576">
        <v>29684.751105385072</v>
      </c>
      <c r="J1576">
        <v>0</v>
      </c>
      <c r="K1576">
        <v>29684.751105385072</v>
      </c>
    </row>
    <row r="1577" spans="1:11" x14ac:dyDescent="0.25">
      <c r="A1577" t="s">
        <v>143</v>
      </c>
      <c r="B1577" t="s">
        <v>28</v>
      </c>
      <c r="C1577" t="s">
        <v>54</v>
      </c>
      <c r="D1577">
        <v>2030</v>
      </c>
      <c r="E1577" t="s">
        <v>121</v>
      </c>
      <c r="F1577" t="s">
        <v>108</v>
      </c>
      <c r="G1577" t="s">
        <v>54</v>
      </c>
      <c r="H1577">
        <v>21948.629564083272</v>
      </c>
      <c r="I1577">
        <v>810854.80657479749</v>
      </c>
      <c r="J1577">
        <v>0</v>
      </c>
      <c r="K1577">
        <v>810854.80657479749</v>
      </c>
    </row>
    <row r="1578" spans="1:11" x14ac:dyDescent="0.25">
      <c r="A1578" t="s">
        <v>143</v>
      </c>
      <c r="B1578" t="s">
        <v>28</v>
      </c>
      <c r="C1578" t="s">
        <v>41</v>
      </c>
      <c r="D1578">
        <v>2030</v>
      </c>
      <c r="E1578" t="s">
        <v>121</v>
      </c>
      <c r="F1578" t="s">
        <v>108</v>
      </c>
      <c r="G1578" t="s">
        <v>41</v>
      </c>
      <c r="H1578">
        <v>403.3121309192577</v>
      </c>
      <c r="I1578">
        <v>1951.7483951575637</v>
      </c>
      <c r="J1578">
        <v>0</v>
      </c>
      <c r="K1578">
        <v>1951.7483951575637</v>
      </c>
    </row>
    <row r="1579" spans="1:11" x14ac:dyDescent="0.25">
      <c r="A1579" t="s">
        <v>143</v>
      </c>
      <c r="B1579" t="s">
        <v>28</v>
      </c>
      <c r="C1579" t="s">
        <v>80</v>
      </c>
      <c r="D1579">
        <v>2030</v>
      </c>
      <c r="E1579" t="s">
        <v>121</v>
      </c>
      <c r="F1579" t="s">
        <v>108</v>
      </c>
      <c r="G1579" t="s">
        <v>80</v>
      </c>
      <c r="H1579">
        <v>7132.9385782785548</v>
      </c>
      <c r="I1579">
        <v>121143.60190767782</v>
      </c>
      <c r="J1579">
        <v>0</v>
      </c>
      <c r="K1579">
        <v>121143.60190767782</v>
      </c>
    </row>
    <row r="1580" spans="1:11" x14ac:dyDescent="0.25">
      <c r="A1580" t="s">
        <v>143</v>
      </c>
      <c r="B1580" t="s">
        <v>28</v>
      </c>
      <c r="C1580" t="s">
        <v>75</v>
      </c>
      <c r="D1580">
        <v>2030</v>
      </c>
      <c r="E1580" t="s">
        <v>121</v>
      </c>
      <c r="F1580" t="s">
        <v>108</v>
      </c>
      <c r="G1580" t="s">
        <v>52</v>
      </c>
      <c r="H1580">
        <v>7503.2240591224381</v>
      </c>
      <c r="I1580">
        <v>61111.138582007545</v>
      </c>
      <c r="J1580">
        <v>10093.337004331503</v>
      </c>
      <c r="K1580">
        <v>10093.337004331503</v>
      </c>
    </row>
    <row r="1581" spans="1:11" x14ac:dyDescent="0.25">
      <c r="A1581" t="s">
        <v>143</v>
      </c>
      <c r="B1581" t="s">
        <v>28</v>
      </c>
      <c r="C1581" t="s">
        <v>78</v>
      </c>
      <c r="D1581">
        <v>2030</v>
      </c>
      <c r="E1581" t="s">
        <v>121</v>
      </c>
      <c r="F1581" t="s">
        <v>108</v>
      </c>
      <c r="G1581" t="s">
        <v>78</v>
      </c>
      <c r="H1581">
        <v>2022.8297550768989</v>
      </c>
      <c r="I1581">
        <v>57650.648019691616</v>
      </c>
      <c r="J1581">
        <v>0</v>
      </c>
      <c r="K1581">
        <v>57650.648019691616</v>
      </c>
    </row>
    <row r="1582" spans="1:11" x14ac:dyDescent="0.25">
      <c r="A1582" t="s">
        <v>143</v>
      </c>
      <c r="B1582" t="s">
        <v>28</v>
      </c>
      <c r="C1582" t="s">
        <v>65</v>
      </c>
      <c r="D1582">
        <v>2030</v>
      </c>
      <c r="E1582" t="s">
        <v>121</v>
      </c>
      <c r="F1582" t="s">
        <v>108</v>
      </c>
      <c r="G1582" t="s">
        <v>65</v>
      </c>
      <c r="H1582">
        <v>744.06168615292358</v>
      </c>
      <c r="I1582">
        <v>10344.272222126012</v>
      </c>
      <c r="J1582">
        <v>0</v>
      </c>
      <c r="K1582">
        <v>10344.272222126012</v>
      </c>
    </row>
    <row r="1583" spans="1:11" x14ac:dyDescent="0.25">
      <c r="A1583" t="s">
        <v>143</v>
      </c>
      <c r="B1583" t="s">
        <v>28</v>
      </c>
      <c r="C1583" t="s">
        <v>120</v>
      </c>
      <c r="D1583">
        <v>2030</v>
      </c>
      <c r="E1583" t="s">
        <v>121</v>
      </c>
      <c r="F1583" t="s">
        <v>108</v>
      </c>
      <c r="G1583" t="s">
        <v>53</v>
      </c>
      <c r="H1583">
        <v>17934.514575348316</v>
      </c>
      <c r="I1583">
        <v>247316.95599405328</v>
      </c>
      <c r="J1583">
        <v>0</v>
      </c>
      <c r="K1583">
        <v>247316.95599405328</v>
      </c>
    </row>
    <row r="1584" spans="1:11" x14ac:dyDescent="0.25">
      <c r="A1584" t="s">
        <v>143</v>
      </c>
      <c r="B1584" t="s">
        <v>28</v>
      </c>
      <c r="C1584" t="s">
        <v>29</v>
      </c>
      <c r="D1584">
        <v>2050</v>
      </c>
      <c r="E1584" t="s">
        <v>121</v>
      </c>
      <c r="F1584" t="s">
        <v>108</v>
      </c>
      <c r="G1584" t="s">
        <v>52</v>
      </c>
      <c r="H1584">
        <v>163528.40889517844</v>
      </c>
      <c r="I1584">
        <v>768043.87805798464</v>
      </c>
      <c r="J1584">
        <v>249230.23842981603</v>
      </c>
      <c r="K1584">
        <v>249230.23842981603</v>
      </c>
    </row>
    <row r="1585" spans="1:11" x14ac:dyDescent="0.25">
      <c r="A1585" t="s">
        <v>143</v>
      </c>
      <c r="B1585" t="s">
        <v>28</v>
      </c>
      <c r="C1585" t="s">
        <v>34</v>
      </c>
      <c r="D1585">
        <v>2050</v>
      </c>
      <c r="E1585" t="s">
        <v>121</v>
      </c>
      <c r="F1585" t="s">
        <v>108</v>
      </c>
      <c r="G1585" t="s">
        <v>52</v>
      </c>
      <c r="H1585">
        <v>11298.425564685787</v>
      </c>
      <c r="I1585">
        <v>24858.79592742167</v>
      </c>
      <c r="J1585">
        <v>7337.1444591067957</v>
      </c>
      <c r="K1585">
        <v>7337.1444591067957</v>
      </c>
    </row>
    <row r="1586" spans="1:11" x14ac:dyDescent="0.25">
      <c r="A1586" t="s">
        <v>143</v>
      </c>
      <c r="B1586" t="s">
        <v>28</v>
      </c>
      <c r="C1586" t="s">
        <v>72</v>
      </c>
      <c r="D1586">
        <v>2050</v>
      </c>
      <c r="E1586" t="s">
        <v>121</v>
      </c>
      <c r="F1586" t="s">
        <v>108</v>
      </c>
      <c r="G1586" t="s">
        <v>52</v>
      </c>
      <c r="H1586">
        <v>18999.897328956435</v>
      </c>
      <c r="I1586">
        <v>45979.751536074575</v>
      </c>
      <c r="J1586">
        <v>24415.2480656556</v>
      </c>
      <c r="K1586">
        <v>24415.2480656556</v>
      </c>
    </row>
    <row r="1587" spans="1:11" x14ac:dyDescent="0.25">
      <c r="A1587" t="s">
        <v>143</v>
      </c>
      <c r="B1587" t="s">
        <v>28</v>
      </c>
      <c r="C1587" t="s">
        <v>53</v>
      </c>
      <c r="D1587">
        <v>2050</v>
      </c>
      <c r="E1587" t="s">
        <v>121</v>
      </c>
      <c r="F1587" t="s">
        <v>108</v>
      </c>
      <c r="G1587" t="s">
        <v>53</v>
      </c>
      <c r="H1587">
        <v>36226.828448864071</v>
      </c>
      <c r="I1587">
        <v>1402108.6775534553</v>
      </c>
      <c r="J1587">
        <v>0</v>
      </c>
      <c r="K1587">
        <v>1402108.6775534553</v>
      </c>
    </row>
    <row r="1588" spans="1:11" x14ac:dyDescent="0.25">
      <c r="A1588" t="s">
        <v>143</v>
      </c>
      <c r="B1588" t="s">
        <v>28</v>
      </c>
      <c r="C1588" t="s">
        <v>30</v>
      </c>
      <c r="D1588">
        <v>2050</v>
      </c>
      <c r="E1588" t="s">
        <v>121</v>
      </c>
      <c r="F1588" t="s">
        <v>108</v>
      </c>
      <c r="G1588" t="s">
        <v>30</v>
      </c>
      <c r="H1588">
        <v>1401.8958725869049</v>
      </c>
      <c r="I1588">
        <v>16580.923433021617</v>
      </c>
      <c r="J1588">
        <v>0</v>
      </c>
      <c r="K1588">
        <v>16580.923433021617</v>
      </c>
    </row>
    <row r="1589" spans="1:11" x14ac:dyDescent="0.25">
      <c r="A1589" t="s">
        <v>143</v>
      </c>
      <c r="B1589" t="s">
        <v>28</v>
      </c>
      <c r="C1589" t="s">
        <v>31</v>
      </c>
      <c r="D1589">
        <v>2050</v>
      </c>
      <c r="E1589" t="s">
        <v>121</v>
      </c>
      <c r="F1589" t="s">
        <v>108</v>
      </c>
      <c r="G1589" t="s">
        <v>31</v>
      </c>
      <c r="H1589">
        <v>8351.2717058427061</v>
      </c>
      <c r="I1589">
        <v>202171.03201161724</v>
      </c>
      <c r="J1589">
        <v>0</v>
      </c>
      <c r="K1589">
        <v>202171.03201161724</v>
      </c>
    </row>
    <row r="1590" spans="1:11" x14ac:dyDescent="0.25">
      <c r="A1590" t="s">
        <v>143</v>
      </c>
      <c r="B1590" t="s">
        <v>28</v>
      </c>
      <c r="C1590" t="s">
        <v>55</v>
      </c>
      <c r="D1590">
        <v>2050</v>
      </c>
      <c r="E1590" t="s">
        <v>121</v>
      </c>
      <c r="F1590" t="s">
        <v>108</v>
      </c>
      <c r="G1590" t="s">
        <v>55</v>
      </c>
      <c r="H1590">
        <v>815.25818506474513</v>
      </c>
      <c r="I1590">
        <v>37758.378640458337</v>
      </c>
      <c r="J1590">
        <v>0</v>
      </c>
      <c r="K1590">
        <v>37758.378640458337</v>
      </c>
    </row>
    <row r="1591" spans="1:11" x14ac:dyDescent="0.25">
      <c r="A1591" t="s">
        <v>143</v>
      </c>
      <c r="B1591" t="s">
        <v>28</v>
      </c>
      <c r="C1591" t="s">
        <v>54</v>
      </c>
      <c r="D1591">
        <v>2050</v>
      </c>
      <c r="E1591" t="s">
        <v>121</v>
      </c>
      <c r="F1591" t="s">
        <v>108</v>
      </c>
      <c r="G1591" t="s">
        <v>54</v>
      </c>
      <c r="H1591">
        <v>27918.194859631913</v>
      </c>
      <c r="I1591">
        <v>1031390.2481578398</v>
      </c>
      <c r="J1591">
        <v>0</v>
      </c>
      <c r="K1591">
        <v>1031390.2481578398</v>
      </c>
    </row>
    <row r="1592" spans="1:11" x14ac:dyDescent="0.25">
      <c r="A1592" t="s">
        <v>143</v>
      </c>
      <c r="B1592" t="s">
        <v>28</v>
      </c>
      <c r="C1592" t="s">
        <v>41</v>
      </c>
      <c r="D1592">
        <v>2050</v>
      </c>
      <c r="E1592" t="s">
        <v>121</v>
      </c>
      <c r="F1592" t="s">
        <v>108</v>
      </c>
      <c r="G1592" t="s">
        <v>41</v>
      </c>
      <c r="H1592">
        <v>513.00454214611455</v>
      </c>
      <c r="I1592">
        <v>2482.5828808076922</v>
      </c>
      <c r="J1592">
        <v>0</v>
      </c>
      <c r="K1592">
        <v>2482.5828808076922</v>
      </c>
    </row>
    <row r="1593" spans="1:11" x14ac:dyDescent="0.25">
      <c r="A1593" t="s">
        <v>143</v>
      </c>
      <c r="B1593" t="s">
        <v>28</v>
      </c>
      <c r="C1593" t="s">
        <v>80</v>
      </c>
      <c r="D1593">
        <v>2050</v>
      </c>
      <c r="E1593" t="s">
        <v>121</v>
      </c>
      <c r="F1593" t="s">
        <v>108</v>
      </c>
      <c r="G1593" t="s">
        <v>80</v>
      </c>
      <c r="H1593">
        <v>9072.9477468623863</v>
      </c>
      <c r="I1593">
        <v>154092.11195539558</v>
      </c>
      <c r="J1593">
        <v>0</v>
      </c>
      <c r="K1593">
        <v>154092.11195539558</v>
      </c>
    </row>
    <row r="1594" spans="1:11" x14ac:dyDescent="0.25">
      <c r="A1594" t="s">
        <v>143</v>
      </c>
      <c r="B1594" t="s">
        <v>28</v>
      </c>
      <c r="C1594" t="s">
        <v>75</v>
      </c>
      <c r="D1594">
        <v>2050</v>
      </c>
      <c r="E1594" t="s">
        <v>121</v>
      </c>
      <c r="F1594" t="s">
        <v>108</v>
      </c>
      <c r="G1594" t="s">
        <v>52</v>
      </c>
      <c r="H1594">
        <v>9543.9430852141104</v>
      </c>
      <c r="I1594">
        <v>77732.082089459407</v>
      </c>
      <c r="J1594">
        <v>12838.51223823002</v>
      </c>
      <c r="K1594">
        <v>12838.51223823002</v>
      </c>
    </row>
    <row r="1595" spans="1:11" x14ac:dyDescent="0.25">
      <c r="A1595" t="s">
        <v>143</v>
      </c>
      <c r="B1595" t="s">
        <v>28</v>
      </c>
      <c r="C1595" t="s">
        <v>78</v>
      </c>
      <c r="D1595">
        <v>2050</v>
      </c>
      <c r="E1595" t="s">
        <v>121</v>
      </c>
      <c r="F1595" t="s">
        <v>108</v>
      </c>
      <c r="G1595" t="s">
        <v>78</v>
      </c>
      <c r="H1595">
        <v>2572.9968745981287</v>
      </c>
      <c r="I1595">
        <v>73330.410926046665</v>
      </c>
      <c r="J1595">
        <v>0</v>
      </c>
      <c r="K1595">
        <v>73330.410926046665</v>
      </c>
    </row>
    <row r="1596" spans="1:11" x14ac:dyDescent="0.25">
      <c r="A1596" t="s">
        <v>143</v>
      </c>
      <c r="B1596" t="s">
        <v>28</v>
      </c>
      <c r="C1596" t="s">
        <v>65</v>
      </c>
      <c r="D1596">
        <v>2050</v>
      </c>
      <c r="E1596" t="s">
        <v>121</v>
      </c>
      <c r="F1596" t="s">
        <v>108</v>
      </c>
      <c r="G1596" t="s">
        <v>65</v>
      </c>
      <c r="H1596">
        <v>946.43080475494912</v>
      </c>
      <c r="I1596">
        <v>13157.696553910268</v>
      </c>
      <c r="J1596">
        <v>0</v>
      </c>
      <c r="K1596">
        <v>13157.696553910268</v>
      </c>
    </row>
    <row r="1597" spans="1:11" x14ac:dyDescent="0.25">
      <c r="A1597" t="s">
        <v>143</v>
      </c>
      <c r="B1597" t="s">
        <v>28</v>
      </c>
      <c r="C1597" t="s">
        <v>120</v>
      </c>
      <c r="D1597">
        <v>2050</v>
      </c>
      <c r="E1597" t="s">
        <v>121</v>
      </c>
      <c r="F1597" t="s">
        <v>108</v>
      </c>
      <c r="G1597" t="s">
        <v>53</v>
      </c>
      <c r="H1597">
        <v>22812.325077772828</v>
      </c>
      <c r="I1597">
        <v>314581.96282248734</v>
      </c>
      <c r="J1597">
        <v>0</v>
      </c>
      <c r="K1597">
        <v>314581.96282248734</v>
      </c>
    </row>
    <row r="1598" spans="1:11" x14ac:dyDescent="0.25">
      <c r="A1598" t="s">
        <v>143</v>
      </c>
      <c r="B1598" t="s">
        <v>28</v>
      </c>
      <c r="C1598" t="s">
        <v>29</v>
      </c>
      <c r="D1598">
        <v>2019</v>
      </c>
      <c r="E1598" t="s">
        <v>119</v>
      </c>
      <c r="F1598" t="s">
        <v>109</v>
      </c>
      <c r="G1598" t="s">
        <v>52</v>
      </c>
      <c r="H1598">
        <v>23536.994348302134</v>
      </c>
      <c r="I1598">
        <v>197993.19645791754</v>
      </c>
      <c r="J1598">
        <v>64624.484340873154</v>
      </c>
      <c r="K1598">
        <v>64624.484340873154</v>
      </c>
    </row>
    <row r="1599" spans="1:11" x14ac:dyDescent="0.25">
      <c r="A1599" t="s">
        <v>143</v>
      </c>
      <c r="B1599" t="s">
        <v>28</v>
      </c>
      <c r="C1599" t="s">
        <v>34</v>
      </c>
      <c r="D1599">
        <v>2019</v>
      </c>
      <c r="E1599" t="s">
        <v>119</v>
      </c>
      <c r="F1599" t="s">
        <v>109</v>
      </c>
      <c r="G1599" t="s">
        <v>52</v>
      </c>
      <c r="H1599">
        <v>2017.6900814622547</v>
      </c>
      <c r="I1599">
        <v>9345.9404573331649</v>
      </c>
      <c r="J1599">
        <v>2774.6110600167958</v>
      </c>
      <c r="K1599">
        <v>2774.6110600167958</v>
      </c>
    </row>
    <row r="1600" spans="1:11" x14ac:dyDescent="0.25">
      <c r="A1600" t="s">
        <v>143</v>
      </c>
      <c r="B1600" t="s">
        <v>28</v>
      </c>
      <c r="C1600" t="s">
        <v>72</v>
      </c>
      <c r="D1600">
        <v>2019</v>
      </c>
      <c r="E1600" t="s">
        <v>119</v>
      </c>
      <c r="F1600" t="s">
        <v>109</v>
      </c>
      <c r="G1600" t="s">
        <v>52</v>
      </c>
      <c r="H1600">
        <v>2160.5082355894242</v>
      </c>
      <c r="I1600">
        <v>11407.483483912161</v>
      </c>
      <c r="J1600">
        <v>6092.7939661749042</v>
      </c>
      <c r="K1600">
        <v>6092.7939661749042</v>
      </c>
    </row>
    <row r="1601" spans="1:11" x14ac:dyDescent="0.25">
      <c r="A1601" t="s">
        <v>143</v>
      </c>
      <c r="B1601" t="s">
        <v>28</v>
      </c>
      <c r="C1601" t="s">
        <v>53</v>
      </c>
      <c r="D1601">
        <v>2019</v>
      </c>
      <c r="E1601" t="s">
        <v>119</v>
      </c>
      <c r="F1601" t="s">
        <v>109</v>
      </c>
      <c r="G1601" t="s">
        <v>53</v>
      </c>
      <c r="H1601">
        <v>19937.932611161701</v>
      </c>
      <c r="I1601">
        <v>1187184.2593990124</v>
      </c>
      <c r="J1601">
        <v>0</v>
      </c>
      <c r="K1601">
        <v>1187184.2593990124</v>
      </c>
    </row>
    <row r="1602" spans="1:11" x14ac:dyDescent="0.25">
      <c r="A1602" t="s">
        <v>143</v>
      </c>
      <c r="B1602" t="s">
        <v>28</v>
      </c>
      <c r="C1602" t="s">
        <v>30</v>
      </c>
      <c r="D1602">
        <v>2019</v>
      </c>
      <c r="E1602" t="s">
        <v>119</v>
      </c>
      <c r="F1602" t="s">
        <v>109</v>
      </c>
      <c r="G1602" t="s">
        <v>30</v>
      </c>
      <c r="H1602">
        <v>93.250460767730289</v>
      </c>
      <c r="I1602">
        <v>2321.9364731164837</v>
      </c>
      <c r="J1602">
        <v>0</v>
      </c>
      <c r="K1602">
        <v>2321.9364731164837</v>
      </c>
    </row>
    <row r="1603" spans="1:11" x14ac:dyDescent="0.25">
      <c r="A1603" t="s">
        <v>143</v>
      </c>
      <c r="B1603" t="s">
        <v>28</v>
      </c>
      <c r="C1603" t="s">
        <v>31</v>
      </c>
      <c r="D1603">
        <v>2019</v>
      </c>
      <c r="E1603" t="s">
        <v>119</v>
      </c>
      <c r="F1603" t="s">
        <v>109</v>
      </c>
      <c r="G1603" t="s">
        <v>31</v>
      </c>
      <c r="H1603">
        <v>1472.183079133998</v>
      </c>
      <c r="I1603">
        <v>75029.927467991118</v>
      </c>
      <c r="J1603">
        <v>0</v>
      </c>
      <c r="K1603">
        <v>75029.927467991118</v>
      </c>
    </row>
    <row r="1604" spans="1:11" x14ac:dyDescent="0.25">
      <c r="A1604" t="s">
        <v>143</v>
      </c>
      <c r="B1604" t="s">
        <v>28</v>
      </c>
      <c r="C1604" t="s">
        <v>55</v>
      </c>
      <c r="D1604">
        <v>2019</v>
      </c>
      <c r="E1604" t="s">
        <v>119</v>
      </c>
      <c r="F1604" t="s">
        <v>109</v>
      </c>
      <c r="G1604" t="s">
        <v>55</v>
      </c>
      <c r="H1604">
        <v>38.623193326213141</v>
      </c>
      <c r="I1604">
        <v>3765.9342889773907</v>
      </c>
      <c r="J1604">
        <v>0</v>
      </c>
      <c r="K1604">
        <v>3765.9342889773907</v>
      </c>
    </row>
    <row r="1605" spans="1:11" x14ac:dyDescent="0.25">
      <c r="A1605" t="s">
        <v>143</v>
      </c>
      <c r="B1605" t="s">
        <v>28</v>
      </c>
      <c r="C1605" t="s">
        <v>54</v>
      </c>
      <c r="D1605">
        <v>2019</v>
      </c>
      <c r="E1605" t="s">
        <v>119</v>
      </c>
      <c r="F1605" t="s">
        <v>109</v>
      </c>
      <c r="G1605" t="s">
        <v>54</v>
      </c>
      <c r="H1605">
        <v>4985.6738479275327</v>
      </c>
      <c r="I1605">
        <v>266294.8115655054</v>
      </c>
      <c r="J1605">
        <v>0</v>
      </c>
      <c r="K1605">
        <v>266294.8115655054</v>
      </c>
    </row>
    <row r="1606" spans="1:11" x14ac:dyDescent="0.25">
      <c r="A1606" t="s">
        <v>143</v>
      </c>
      <c r="B1606" t="s">
        <v>28</v>
      </c>
      <c r="C1606" t="s">
        <v>41</v>
      </c>
      <c r="D1606">
        <v>2019</v>
      </c>
      <c r="E1606" t="s">
        <v>119</v>
      </c>
      <c r="F1606" t="s">
        <v>109</v>
      </c>
      <c r="G1606" t="s">
        <v>41</v>
      </c>
      <c r="H1606">
        <v>84.935239958799571</v>
      </c>
      <c r="I1606">
        <v>865.32022470025004</v>
      </c>
      <c r="J1606">
        <v>0</v>
      </c>
      <c r="K1606">
        <v>865.32022470025004</v>
      </c>
    </row>
    <row r="1607" spans="1:11" x14ac:dyDescent="0.25">
      <c r="A1607" t="s">
        <v>143</v>
      </c>
      <c r="B1607" t="s">
        <v>28</v>
      </c>
      <c r="C1607" t="s">
        <v>80</v>
      </c>
      <c r="D1607">
        <v>2019</v>
      </c>
      <c r="E1607" t="s">
        <v>119</v>
      </c>
      <c r="F1607" t="s">
        <v>109</v>
      </c>
      <c r="G1607" t="s">
        <v>80</v>
      </c>
      <c r="H1607">
        <v>1502.156278752635</v>
      </c>
      <c r="I1607">
        <v>53709.79634661704</v>
      </c>
      <c r="J1607">
        <v>0</v>
      </c>
      <c r="K1607">
        <v>53709.79634661704</v>
      </c>
    </row>
    <row r="1608" spans="1:11" x14ac:dyDescent="0.25">
      <c r="A1608" t="s">
        <v>143</v>
      </c>
      <c r="B1608" t="s">
        <v>28</v>
      </c>
      <c r="C1608" t="s">
        <v>75</v>
      </c>
      <c r="D1608">
        <v>2019</v>
      </c>
      <c r="E1608" t="s">
        <v>119</v>
      </c>
      <c r="F1608" t="s">
        <v>109</v>
      </c>
      <c r="G1608" t="s">
        <v>52</v>
      </c>
      <c r="H1608">
        <v>3707.7646805966074</v>
      </c>
      <c r="I1608">
        <v>63575.679900016141</v>
      </c>
      <c r="J1608">
        <v>10561.790158560274</v>
      </c>
      <c r="K1608">
        <v>10561.790158560274</v>
      </c>
    </row>
    <row r="1609" spans="1:11" x14ac:dyDescent="0.25">
      <c r="A1609" t="s">
        <v>143</v>
      </c>
      <c r="B1609" t="s">
        <v>28</v>
      </c>
      <c r="C1609" t="s">
        <v>78</v>
      </c>
      <c r="D1609">
        <v>2019</v>
      </c>
      <c r="E1609" t="s">
        <v>119</v>
      </c>
      <c r="F1609" t="s">
        <v>109</v>
      </c>
      <c r="G1609" t="s">
        <v>78</v>
      </c>
      <c r="H1609">
        <v>425.99643668454917</v>
      </c>
      <c r="I1609">
        <v>25559.786201072948</v>
      </c>
      <c r="J1609">
        <v>0</v>
      </c>
      <c r="K1609">
        <v>25559.786201072948</v>
      </c>
    </row>
    <row r="1610" spans="1:11" x14ac:dyDescent="0.25">
      <c r="A1610" t="s">
        <v>143</v>
      </c>
      <c r="B1610" t="s">
        <v>28</v>
      </c>
      <c r="C1610" t="s">
        <v>65</v>
      </c>
      <c r="D1610">
        <v>2019</v>
      </c>
      <c r="E1610" t="s">
        <v>119</v>
      </c>
      <c r="F1610" t="s">
        <v>109</v>
      </c>
      <c r="G1610" t="s">
        <v>65</v>
      </c>
      <c r="H1610">
        <v>699.64323170301793</v>
      </c>
      <c r="I1610">
        <v>20477.362879112719</v>
      </c>
      <c r="J1610">
        <v>0</v>
      </c>
      <c r="K1610">
        <v>20477.362879112719</v>
      </c>
    </row>
    <row r="1611" spans="1:11" x14ac:dyDescent="0.25">
      <c r="A1611" t="s">
        <v>143</v>
      </c>
      <c r="B1611" t="s">
        <v>28</v>
      </c>
      <c r="C1611" t="s">
        <v>120</v>
      </c>
      <c r="D1611">
        <v>2019</v>
      </c>
      <c r="E1611" t="s">
        <v>119</v>
      </c>
      <c r="F1611" t="s">
        <v>109</v>
      </c>
      <c r="G1611" t="s">
        <v>53</v>
      </c>
      <c r="H1611">
        <v>19775.461430434403</v>
      </c>
      <c r="I1611">
        <v>327244.33575082856</v>
      </c>
      <c r="J1611">
        <v>0</v>
      </c>
      <c r="K1611">
        <v>327244.33575082856</v>
      </c>
    </row>
    <row r="1612" spans="1:11" x14ac:dyDescent="0.25">
      <c r="A1612" t="s">
        <v>143</v>
      </c>
      <c r="B1612" t="s">
        <v>28</v>
      </c>
      <c r="C1612" t="s">
        <v>29</v>
      </c>
      <c r="D1612">
        <v>2030</v>
      </c>
      <c r="E1612" t="s">
        <v>119</v>
      </c>
      <c r="F1612" t="s">
        <v>109</v>
      </c>
      <c r="G1612" t="s">
        <v>52</v>
      </c>
      <c r="H1612">
        <v>21249.096650527637</v>
      </c>
      <c r="I1612">
        <v>178747.40102423847</v>
      </c>
      <c r="J1612">
        <v>58003.531632365382</v>
      </c>
      <c r="K1612">
        <v>58003.531632365382</v>
      </c>
    </row>
    <row r="1613" spans="1:11" x14ac:dyDescent="0.25">
      <c r="A1613" t="s">
        <v>143</v>
      </c>
      <c r="B1613" t="s">
        <v>28</v>
      </c>
      <c r="C1613" t="s">
        <v>34</v>
      </c>
      <c r="D1613">
        <v>2030</v>
      </c>
      <c r="E1613" t="s">
        <v>119</v>
      </c>
      <c r="F1613" t="s">
        <v>109</v>
      </c>
      <c r="G1613" t="s">
        <v>52</v>
      </c>
      <c r="H1613">
        <v>1821.561874780974</v>
      </c>
      <c r="I1613">
        <v>8437.4746039854726</v>
      </c>
      <c r="J1613">
        <v>2490.3446739830588</v>
      </c>
      <c r="K1613">
        <v>2490.3446739830588</v>
      </c>
    </row>
    <row r="1614" spans="1:11" x14ac:dyDescent="0.25">
      <c r="A1614" t="s">
        <v>143</v>
      </c>
      <c r="B1614" t="s">
        <v>28</v>
      </c>
      <c r="C1614" t="s">
        <v>72</v>
      </c>
      <c r="D1614">
        <v>2030</v>
      </c>
      <c r="E1614" t="s">
        <v>119</v>
      </c>
      <c r="F1614" t="s">
        <v>109</v>
      </c>
      <c r="G1614" t="s">
        <v>52</v>
      </c>
      <c r="H1614">
        <v>1950.4974863373875</v>
      </c>
      <c r="I1614">
        <v>10298.626727861405</v>
      </c>
      <c r="J1614">
        <v>5468.5707924944063</v>
      </c>
      <c r="K1614">
        <v>5468.5707924944063</v>
      </c>
    </row>
    <row r="1615" spans="1:11" x14ac:dyDescent="0.25">
      <c r="A1615" t="s">
        <v>143</v>
      </c>
      <c r="B1615" t="s">
        <v>28</v>
      </c>
      <c r="C1615" t="s">
        <v>53</v>
      </c>
      <c r="D1615">
        <v>2030</v>
      </c>
      <c r="E1615" t="s">
        <v>119</v>
      </c>
      <c r="F1615" t="s">
        <v>109</v>
      </c>
      <c r="G1615" t="s">
        <v>53</v>
      </c>
      <c r="H1615">
        <v>17999.879287766547</v>
      </c>
      <c r="I1615">
        <v>1071784.8123107711</v>
      </c>
      <c r="J1615">
        <v>0</v>
      </c>
      <c r="K1615">
        <v>1071784.8123107711</v>
      </c>
    </row>
    <row r="1616" spans="1:11" x14ac:dyDescent="0.25">
      <c r="A1616" t="s">
        <v>143</v>
      </c>
      <c r="B1616" t="s">
        <v>28</v>
      </c>
      <c r="C1616" t="s">
        <v>30</v>
      </c>
      <c r="D1616">
        <v>2030</v>
      </c>
      <c r="E1616" t="s">
        <v>119</v>
      </c>
      <c r="F1616" t="s">
        <v>109</v>
      </c>
      <c r="G1616" t="s">
        <v>30</v>
      </c>
      <c r="H1616">
        <v>84.186112476280258</v>
      </c>
      <c r="I1616">
        <v>2096.2342006593785</v>
      </c>
      <c r="J1616">
        <v>0</v>
      </c>
      <c r="K1616">
        <v>2096.2342006593785</v>
      </c>
    </row>
    <row r="1617" spans="1:11" x14ac:dyDescent="0.25">
      <c r="A1617" t="s">
        <v>143</v>
      </c>
      <c r="B1617" t="s">
        <v>28</v>
      </c>
      <c r="C1617" t="s">
        <v>31</v>
      </c>
      <c r="D1617">
        <v>2030</v>
      </c>
      <c r="E1617" t="s">
        <v>119</v>
      </c>
      <c r="F1617" t="s">
        <v>109</v>
      </c>
      <c r="G1617" t="s">
        <v>31</v>
      </c>
      <c r="H1617">
        <v>1329.0805135468072</v>
      </c>
      <c r="I1617">
        <v>67736.693855493475</v>
      </c>
      <c r="J1617">
        <v>0</v>
      </c>
      <c r="K1617">
        <v>67736.693855493475</v>
      </c>
    </row>
    <row r="1618" spans="1:11" x14ac:dyDescent="0.25">
      <c r="A1618" t="s">
        <v>143</v>
      </c>
      <c r="B1618" t="s">
        <v>28</v>
      </c>
      <c r="C1618" t="s">
        <v>55</v>
      </c>
      <c r="D1618">
        <v>2030</v>
      </c>
      <c r="E1618" t="s">
        <v>119</v>
      </c>
      <c r="F1618" t="s">
        <v>109</v>
      </c>
      <c r="G1618" t="s">
        <v>55</v>
      </c>
      <c r="H1618">
        <v>34.868851808171492</v>
      </c>
      <c r="I1618">
        <v>3399.8691804839214</v>
      </c>
      <c r="J1618">
        <v>0</v>
      </c>
      <c r="K1618">
        <v>3399.8691804839214</v>
      </c>
    </row>
    <row r="1619" spans="1:11" x14ac:dyDescent="0.25">
      <c r="A1619" t="s">
        <v>143</v>
      </c>
      <c r="B1619" t="s">
        <v>28</v>
      </c>
      <c r="C1619" t="s">
        <v>54</v>
      </c>
      <c r="D1619">
        <v>2030</v>
      </c>
      <c r="E1619" t="s">
        <v>119</v>
      </c>
      <c r="F1619" t="s">
        <v>109</v>
      </c>
      <c r="G1619" t="s">
        <v>54</v>
      </c>
      <c r="H1619">
        <v>4501.0447763591501</v>
      </c>
      <c r="I1619">
        <v>240409.80359489494</v>
      </c>
      <c r="J1619">
        <v>0</v>
      </c>
      <c r="K1619">
        <v>240409.80359489494</v>
      </c>
    </row>
    <row r="1620" spans="1:11" x14ac:dyDescent="0.25">
      <c r="A1620" t="s">
        <v>143</v>
      </c>
      <c r="B1620" t="s">
        <v>28</v>
      </c>
      <c r="C1620" t="s">
        <v>41</v>
      </c>
      <c r="D1620">
        <v>2030</v>
      </c>
      <c r="E1620" t="s">
        <v>119</v>
      </c>
      <c r="F1620" t="s">
        <v>109</v>
      </c>
      <c r="G1620" t="s">
        <v>41</v>
      </c>
      <c r="H1620">
        <v>76.679167110837156</v>
      </c>
      <c r="I1620">
        <v>781.20735452520898</v>
      </c>
      <c r="J1620">
        <v>0</v>
      </c>
      <c r="K1620">
        <v>781.20735452520898</v>
      </c>
    </row>
    <row r="1621" spans="1:11" x14ac:dyDescent="0.25">
      <c r="A1621" t="s">
        <v>143</v>
      </c>
      <c r="B1621" t="s">
        <v>28</v>
      </c>
      <c r="C1621" t="s">
        <v>80</v>
      </c>
      <c r="D1621">
        <v>2030</v>
      </c>
      <c r="E1621" t="s">
        <v>119</v>
      </c>
      <c r="F1621" t="s">
        <v>109</v>
      </c>
      <c r="G1621" t="s">
        <v>80</v>
      </c>
      <c r="H1621">
        <v>1356.1401884652369</v>
      </c>
      <c r="I1621">
        <v>48488.971733629587</v>
      </c>
      <c r="J1621">
        <v>0</v>
      </c>
      <c r="K1621">
        <v>48488.971733629587</v>
      </c>
    </row>
    <row r="1622" spans="1:11" x14ac:dyDescent="0.25">
      <c r="A1622" t="s">
        <v>143</v>
      </c>
      <c r="B1622" t="s">
        <v>28</v>
      </c>
      <c r="C1622" t="s">
        <v>75</v>
      </c>
      <c r="D1622">
        <v>2030</v>
      </c>
      <c r="E1622" t="s">
        <v>119</v>
      </c>
      <c r="F1622" t="s">
        <v>109</v>
      </c>
      <c r="G1622" t="s">
        <v>52</v>
      </c>
      <c r="H1622">
        <v>3347.3539097439348</v>
      </c>
      <c r="I1622">
        <v>57395.848714893385</v>
      </c>
      <c r="J1622">
        <v>9479.7062723948238</v>
      </c>
      <c r="K1622">
        <v>9479.7062723948238</v>
      </c>
    </row>
    <row r="1623" spans="1:11" x14ac:dyDescent="0.25">
      <c r="A1623" t="s">
        <v>143</v>
      </c>
      <c r="B1623" t="s">
        <v>28</v>
      </c>
      <c r="C1623" t="s">
        <v>78</v>
      </c>
      <c r="D1623">
        <v>2030</v>
      </c>
      <c r="E1623" t="s">
        <v>119</v>
      </c>
      <c r="F1623" t="s">
        <v>109</v>
      </c>
      <c r="G1623" t="s">
        <v>78</v>
      </c>
      <c r="H1623">
        <v>384.58773970616767</v>
      </c>
      <c r="I1623">
        <v>23075.26438237006</v>
      </c>
      <c r="J1623">
        <v>0</v>
      </c>
      <c r="K1623">
        <v>23075.26438237006</v>
      </c>
    </row>
    <row r="1624" spans="1:11" x14ac:dyDescent="0.25">
      <c r="A1624" t="s">
        <v>143</v>
      </c>
      <c r="B1624" t="s">
        <v>28</v>
      </c>
      <c r="C1624" t="s">
        <v>65</v>
      </c>
      <c r="D1624">
        <v>2030</v>
      </c>
      <c r="E1624" t="s">
        <v>119</v>
      </c>
      <c r="F1624" t="s">
        <v>109</v>
      </c>
      <c r="G1624" t="s">
        <v>65</v>
      </c>
      <c r="H1624">
        <v>631.63488214957056</v>
      </c>
      <c r="I1624">
        <v>18486.874599499628</v>
      </c>
      <c r="J1624">
        <v>0</v>
      </c>
      <c r="K1624">
        <v>18486.874599499628</v>
      </c>
    </row>
    <row r="1625" spans="1:11" x14ac:dyDescent="0.25">
      <c r="A1625" t="s">
        <v>143</v>
      </c>
      <c r="B1625" t="s">
        <v>28</v>
      </c>
      <c r="C1625" t="s">
        <v>120</v>
      </c>
      <c r="D1625">
        <v>2030</v>
      </c>
      <c r="E1625" t="s">
        <v>119</v>
      </c>
      <c r="F1625" t="s">
        <v>109</v>
      </c>
      <c r="G1625" t="s">
        <v>53</v>
      </c>
      <c r="H1625">
        <v>17853.201008836309</v>
      </c>
      <c r="I1625">
        <v>295434.77029422327</v>
      </c>
      <c r="J1625">
        <v>0</v>
      </c>
      <c r="K1625">
        <v>295434.77029422327</v>
      </c>
    </row>
    <row r="1626" spans="1:11" x14ac:dyDescent="0.25">
      <c r="A1626" t="s">
        <v>143</v>
      </c>
      <c r="B1626" t="s">
        <v>28</v>
      </c>
      <c r="C1626" t="s">
        <v>29</v>
      </c>
      <c r="D1626">
        <v>2050</v>
      </c>
      <c r="E1626" t="s">
        <v>119</v>
      </c>
      <c r="F1626" t="s">
        <v>109</v>
      </c>
      <c r="G1626" t="s">
        <v>52</v>
      </c>
      <c r="H1626">
        <v>20266.479464376069</v>
      </c>
      <c r="I1626">
        <v>170481.62525433148</v>
      </c>
      <c r="J1626">
        <v>55321.287395030566</v>
      </c>
      <c r="K1626">
        <v>55321.287395030566</v>
      </c>
    </row>
    <row r="1627" spans="1:11" x14ac:dyDescent="0.25">
      <c r="A1627" t="s">
        <v>143</v>
      </c>
      <c r="B1627" t="s">
        <v>28</v>
      </c>
      <c r="C1627" t="s">
        <v>34</v>
      </c>
      <c r="D1627">
        <v>2050</v>
      </c>
      <c r="E1627" t="s">
        <v>119</v>
      </c>
      <c r="F1627" t="s">
        <v>109</v>
      </c>
      <c r="G1627" t="s">
        <v>52</v>
      </c>
      <c r="H1627">
        <v>1737.3277996465938</v>
      </c>
      <c r="I1627">
        <v>8047.3023679630242</v>
      </c>
      <c r="J1627">
        <v>2375.184226631241</v>
      </c>
      <c r="K1627">
        <v>2375.184226631241</v>
      </c>
    </row>
    <row r="1628" spans="1:11" x14ac:dyDescent="0.25">
      <c r="A1628" t="s">
        <v>143</v>
      </c>
      <c r="B1628" t="s">
        <v>28</v>
      </c>
      <c r="C1628" t="s">
        <v>72</v>
      </c>
      <c r="D1628">
        <v>2050</v>
      </c>
      <c r="E1628" t="s">
        <v>119</v>
      </c>
      <c r="F1628" t="s">
        <v>109</v>
      </c>
      <c r="G1628" t="s">
        <v>52</v>
      </c>
      <c r="H1628">
        <v>1860.3010707842134</v>
      </c>
      <c r="I1628">
        <v>9822.3896537406454</v>
      </c>
      <c r="J1628">
        <v>5215.6889061362835</v>
      </c>
      <c r="K1628">
        <v>5215.6889061362835</v>
      </c>
    </row>
    <row r="1629" spans="1:11" x14ac:dyDescent="0.25">
      <c r="A1629" t="s">
        <v>143</v>
      </c>
      <c r="B1629" t="s">
        <v>28</v>
      </c>
      <c r="C1629" t="s">
        <v>53</v>
      </c>
      <c r="D1629">
        <v>2050</v>
      </c>
      <c r="E1629" t="s">
        <v>119</v>
      </c>
      <c r="F1629" t="s">
        <v>109</v>
      </c>
      <c r="G1629" t="s">
        <v>53</v>
      </c>
      <c r="H1629">
        <v>17167.514927638611</v>
      </c>
      <c r="I1629">
        <v>1022222.5088513135</v>
      </c>
      <c r="J1629">
        <v>0</v>
      </c>
      <c r="K1629">
        <v>1022222.5088513135</v>
      </c>
    </row>
    <row r="1630" spans="1:11" x14ac:dyDescent="0.25">
      <c r="A1630" t="s">
        <v>143</v>
      </c>
      <c r="B1630" t="s">
        <v>28</v>
      </c>
      <c r="C1630" t="s">
        <v>30</v>
      </c>
      <c r="D1630">
        <v>2050</v>
      </c>
      <c r="E1630" t="s">
        <v>119</v>
      </c>
      <c r="F1630" t="s">
        <v>109</v>
      </c>
      <c r="G1630" t="s">
        <v>30</v>
      </c>
      <c r="H1630">
        <v>80.293113055411794</v>
      </c>
      <c r="I1630">
        <v>1999.2985150797538</v>
      </c>
      <c r="J1630">
        <v>0</v>
      </c>
      <c r="K1630">
        <v>1999.2985150797538</v>
      </c>
    </row>
    <row r="1631" spans="1:11" x14ac:dyDescent="0.25">
      <c r="A1631" t="s">
        <v>143</v>
      </c>
      <c r="B1631" t="s">
        <v>28</v>
      </c>
      <c r="C1631" t="s">
        <v>31</v>
      </c>
      <c r="D1631">
        <v>2050</v>
      </c>
      <c r="E1631" t="s">
        <v>119</v>
      </c>
      <c r="F1631" t="s">
        <v>109</v>
      </c>
      <c r="G1631" t="s">
        <v>31</v>
      </c>
      <c r="H1631">
        <v>1267.6201429781686</v>
      </c>
      <c r="I1631">
        <v>64604.361191655618</v>
      </c>
      <c r="J1631">
        <v>0</v>
      </c>
      <c r="K1631">
        <v>64604.361191655618</v>
      </c>
    </row>
    <row r="1632" spans="1:11" x14ac:dyDescent="0.25">
      <c r="A1632" t="s">
        <v>143</v>
      </c>
      <c r="B1632" t="s">
        <v>28</v>
      </c>
      <c r="C1632" t="s">
        <v>55</v>
      </c>
      <c r="D1632">
        <v>2050</v>
      </c>
      <c r="E1632" t="s">
        <v>119</v>
      </c>
      <c r="F1632" t="s">
        <v>109</v>
      </c>
      <c r="G1632" t="s">
        <v>55</v>
      </c>
      <c r="H1632">
        <v>33.25641935461443</v>
      </c>
      <c r="I1632">
        <v>3242.6497964153004</v>
      </c>
      <c r="J1632">
        <v>0</v>
      </c>
      <c r="K1632">
        <v>3242.6497964153004</v>
      </c>
    </row>
    <row r="1633" spans="1:11" x14ac:dyDescent="0.25">
      <c r="A1633" t="s">
        <v>143</v>
      </c>
      <c r="B1633" t="s">
        <v>28</v>
      </c>
      <c r="C1633" t="s">
        <v>54</v>
      </c>
      <c r="D1633">
        <v>2050</v>
      </c>
      <c r="E1633" t="s">
        <v>119</v>
      </c>
      <c r="F1633" t="s">
        <v>109</v>
      </c>
      <c r="G1633" t="s">
        <v>54</v>
      </c>
      <c r="H1633">
        <v>4292.903977452369</v>
      </c>
      <c r="I1633">
        <v>229292.58724368596</v>
      </c>
      <c r="J1633">
        <v>0</v>
      </c>
      <c r="K1633">
        <v>229292.58724368596</v>
      </c>
    </row>
    <row r="1634" spans="1:11" x14ac:dyDescent="0.25">
      <c r="A1634" t="s">
        <v>143</v>
      </c>
      <c r="B1634" t="s">
        <v>28</v>
      </c>
      <c r="C1634" t="s">
        <v>41</v>
      </c>
      <c r="D1634">
        <v>2050</v>
      </c>
      <c r="E1634" t="s">
        <v>119</v>
      </c>
      <c r="F1634" t="s">
        <v>109</v>
      </c>
      <c r="G1634" t="s">
        <v>41</v>
      </c>
      <c r="H1634">
        <v>73.133309672185732</v>
      </c>
      <c r="I1634">
        <v>745.08215894022828</v>
      </c>
      <c r="J1634">
        <v>0</v>
      </c>
      <c r="K1634">
        <v>745.08215894022828</v>
      </c>
    </row>
    <row r="1635" spans="1:11" x14ac:dyDescent="0.25">
      <c r="A1635" t="s">
        <v>143</v>
      </c>
      <c r="B1635" t="s">
        <v>28</v>
      </c>
      <c r="C1635" t="s">
        <v>80</v>
      </c>
      <c r="D1635">
        <v>2050</v>
      </c>
      <c r="E1635" t="s">
        <v>119</v>
      </c>
      <c r="F1635" t="s">
        <v>109</v>
      </c>
      <c r="G1635" t="s">
        <v>80</v>
      </c>
      <c r="H1635">
        <v>1293.4285034495033</v>
      </c>
      <c r="I1635">
        <v>46246.707144791224</v>
      </c>
      <c r="J1635">
        <v>0</v>
      </c>
      <c r="K1635">
        <v>46246.707144791224</v>
      </c>
    </row>
    <row r="1636" spans="1:11" x14ac:dyDescent="0.25">
      <c r="A1636" t="s">
        <v>143</v>
      </c>
      <c r="B1636" t="s">
        <v>28</v>
      </c>
      <c r="C1636" t="s">
        <v>75</v>
      </c>
      <c r="D1636">
        <v>2050</v>
      </c>
      <c r="E1636" t="s">
        <v>119</v>
      </c>
      <c r="F1636" t="s">
        <v>109</v>
      </c>
      <c r="G1636" t="s">
        <v>52</v>
      </c>
      <c r="H1636">
        <v>3192.5629775014409</v>
      </c>
      <c r="I1636">
        <v>54741.705421719133</v>
      </c>
      <c r="J1636">
        <v>9041.3383522840795</v>
      </c>
      <c r="K1636">
        <v>9041.3383522840795</v>
      </c>
    </row>
    <row r="1637" spans="1:11" x14ac:dyDescent="0.25">
      <c r="A1637" t="s">
        <v>143</v>
      </c>
      <c r="B1637" t="s">
        <v>28</v>
      </c>
      <c r="C1637" t="s">
        <v>78</v>
      </c>
      <c r="D1637">
        <v>2050</v>
      </c>
      <c r="E1637" t="s">
        <v>119</v>
      </c>
      <c r="F1637" t="s">
        <v>109</v>
      </c>
      <c r="G1637" t="s">
        <v>78</v>
      </c>
      <c r="H1637">
        <v>366.8033355579056</v>
      </c>
      <c r="I1637">
        <v>22008.20013347434</v>
      </c>
      <c r="J1637">
        <v>0</v>
      </c>
      <c r="K1637">
        <v>22008.20013347434</v>
      </c>
    </row>
    <row r="1638" spans="1:11" x14ac:dyDescent="0.25">
      <c r="A1638" t="s">
        <v>143</v>
      </c>
      <c r="B1638" t="s">
        <v>28</v>
      </c>
      <c r="C1638" t="s">
        <v>65</v>
      </c>
      <c r="D1638">
        <v>2050</v>
      </c>
      <c r="E1638" t="s">
        <v>119</v>
      </c>
      <c r="F1638" t="s">
        <v>109</v>
      </c>
      <c r="G1638" t="s">
        <v>65</v>
      </c>
      <c r="H1638">
        <v>602.42633268600662</v>
      </c>
      <c r="I1638">
        <v>17631.990224956291</v>
      </c>
      <c r="J1638">
        <v>0</v>
      </c>
      <c r="K1638">
        <v>17631.990224956291</v>
      </c>
    </row>
    <row r="1639" spans="1:11" x14ac:dyDescent="0.25">
      <c r="A1639" t="s">
        <v>143</v>
      </c>
      <c r="B1639" t="s">
        <v>28</v>
      </c>
      <c r="C1639" t="s">
        <v>120</v>
      </c>
      <c r="D1639">
        <v>2050</v>
      </c>
      <c r="E1639" t="s">
        <v>119</v>
      </c>
      <c r="F1639" t="s">
        <v>109</v>
      </c>
      <c r="G1639" t="s">
        <v>53</v>
      </c>
      <c r="H1639">
        <v>17027.619459294743</v>
      </c>
      <c r="I1639">
        <v>281773.04681240948</v>
      </c>
      <c r="J1639">
        <v>0</v>
      </c>
      <c r="K1639">
        <v>281773.04681240948</v>
      </c>
    </row>
    <row r="1640" spans="1:11" x14ac:dyDescent="0.25">
      <c r="A1640" t="s">
        <v>143</v>
      </c>
      <c r="B1640" t="s">
        <v>28</v>
      </c>
      <c r="C1640" t="s">
        <v>29</v>
      </c>
      <c r="D1640">
        <v>2019</v>
      </c>
      <c r="E1640" t="s">
        <v>121</v>
      </c>
      <c r="F1640" t="s">
        <v>109</v>
      </c>
      <c r="G1640" t="s">
        <v>52</v>
      </c>
      <c r="H1640">
        <v>3009.4757390628633</v>
      </c>
      <c r="I1640">
        <v>16961.525644387857</v>
      </c>
      <c r="J1640">
        <v>5536.1995665140876</v>
      </c>
      <c r="K1640">
        <v>5536.1995665140876</v>
      </c>
    </row>
    <row r="1641" spans="1:11" x14ac:dyDescent="0.25">
      <c r="A1641" t="s">
        <v>143</v>
      </c>
      <c r="B1641" t="s">
        <v>28</v>
      </c>
      <c r="C1641" t="s">
        <v>34</v>
      </c>
      <c r="D1641">
        <v>2019</v>
      </c>
      <c r="E1641" t="s">
        <v>121</v>
      </c>
      <c r="F1641" t="s">
        <v>109</v>
      </c>
      <c r="G1641" t="s">
        <v>52</v>
      </c>
      <c r="H1641">
        <v>257.98490917114276</v>
      </c>
      <c r="I1641">
        <v>681.14207659001795</v>
      </c>
      <c r="J1641">
        <v>202.21660385890681</v>
      </c>
      <c r="K1641">
        <v>202.21660385890681</v>
      </c>
    </row>
    <row r="1642" spans="1:11" x14ac:dyDescent="0.25">
      <c r="A1642" t="s">
        <v>143</v>
      </c>
      <c r="B1642" t="s">
        <v>28</v>
      </c>
      <c r="C1642" t="s">
        <v>72</v>
      </c>
      <c r="D1642">
        <v>2019</v>
      </c>
      <c r="E1642" t="s">
        <v>121</v>
      </c>
      <c r="F1642" t="s">
        <v>109</v>
      </c>
      <c r="G1642" t="s">
        <v>52</v>
      </c>
      <c r="H1642">
        <v>276.24585462505803</v>
      </c>
      <c r="I1642">
        <v>802.21796183116862</v>
      </c>
      <c r="J1642">
        <v>428.46862450383645</v>
      </c>
      <c r="K1642">
        <v>428.46862450383645</v>
      </c>
    </row>
    <row r="1643" spans="1:11" x14ac:dyDescent="0.25">
      <c r="A1643" t="s">
        <v>143</v>
      </c>
      <c r="B1643" t="s">
        <v>28</v>
      </c>
      <c r="C1643" t="s">
        <v>53</v>
      </c>
      <c r="D1643">
        <v>2019</v>
      </c>
      <c r="E1643" t="s">
        <v>121</v>
      </c>
      <c r="F1643" t="s">
        <v>109</v>
      </c>
      <c r="G1643" t="s">
        <v>53</v>
      </c>
      <c r="H1643">
        <v>2549.2942553512476</v>
      </c>
      <c r="I1643">
        <v>118400.23816969505</v>
      </c>
      <c r="J1643">
        <v>0</v>
      </c>
      <c r="K1643">
        <v>118400.23816969505</v>
      </c>
    </row>
    <row r="1644" spans="1:11" x14ac:dyDescent="0.25">
      <c r="A1644" t="s">
        <v>143</v>
      </c>
      <c r="B1644" t="s">
        <v>28</v>
      </c>
      <c r="C1644" t="s">
        <v>30</v>
      </c>
      <c r="D1644">
        <v>2019</v>
      </c>
      <c r="E1644" t="s">
        <v>121</v>
      </c>
      <c r="F1644" t="s">
        <v>109</v>
      </c>
      <c r="G1644" t="s">
        <v>30</v>
      </c>
      <c r="H1644">
        <v>11.923145121422927</v>
      </c>
      <c r="I1644">
        <v>169.22519870835558</v>
      </c>
      <c r="J1644">
        <v>0</v>
      </c>
      <c r="K1644">
        <v>169.22519870835558</v>
      </c>
    </row>
    <row r="1645" spans="1:11" x14ac:dyDescent="0.25">
      <c r="A1645" t="s">
        <v>143</v>
      </c>
      <c r="B1645" t="s">
        <v>28</v>
      </c>
      <c r="C1645" t="s">
        <v>31</v>
      </c>
      <c r="D1645">
        <v>2019</v>
      </c>
      <c r="E1645" t="s">
        <v>121</v>
      </c>
      <c r="F1645" t="s">
        <v>109</v>
      </c>
      <c r="G1645" t="s">
        <v>31</v>
      </c>
      <c r="H1645">
        <v>188.23555780104221</v>
      </c>
      <c r="I1645">
        <v>5468.260881316256</v>
      </c>
      <c r="J1645">
        <v>0</v>
      </c>
      <c r="K1645">
        <v>5468.260881316256</v>
      </c>
    </row>
    <row r="1646" spans="1:11" x14ac:dyDescent="0.25">
      <c r="A1646" t="s">
        <v>143</v>
      </c>
      <c r="B1646" t="s">
        <v>28</v>
      </c>
      <c r="C1646" t="s">
        <v>55</v>
      </c>
      <c r="D1646">
        <v>2019</v>
      </c>
      <c r="E1646" t="s">
        <v>121</v>
      </c>
      <c r="F1646" t="s">
        <v>109</v>
      </c>
      <c r="G1646" t="s">
        <v>55</v>
      </c>
      <c r="H1646">
        <v>4.9384199851650941</v>
      </c>
      <c r="I1646">
        <v>274.46529470267632</v>
      </c>
      <c r="J1646">
        <v>0</v>
      </c>
      <c r="K1646">
        <v>274.46529470267632</v>
      </c>
    </row>
    <row r="1647" spans="1:11" x14ac:dyDescent="0.25">
      <c r="A1647" t="s">
        <v>143</v>
      </c>
      <c r="B1647" t="s">
        <v>28</v>
      </c>
      <c r="C1647" t="s">
        <v>54</v>
      </c>
      <c r="D1647">
        <v>2019</v>
      </c>
      <c r="E1647" t="s">
        <v>121</v>
      </c>
      <c r="F1647" t="s">
        <v>109</v>
      </c>
      <c r="G1647" t="s">
        <v>54</v>
      </c>
      <c r="H1647">
        <v>637.47580792109272</v>
      </c>
      <c r="I1647">
        <v>28260.552017725568</v>
      </c>
      <c r="J1647">
        <v>0</v>
      </c>
      <c r="K1647">
        <v>28260.552017725568</v>
      </c>
    </row>
    <row r="1648" spans="1:11" x14ac:dyDescent="0.25">
      <c r="A1648" t="s">
        <v>143</v>
      </c>
      <c r="B1648" t="s">
        <v>28</v>
      </c>
      <c r="C1648" t="s">
        <v>41</v>
      </c>
      <c r="D1648">
        <v>2019</v>
      </c>
      <c r="E1648" t="s">
        <v>121</v>
      </c>
      <c r="F1648" t="s">
        <v>109</v>
      </c>
      <c r="G1648" t="s">
        <v>41</v>
      </c>
      <c r="H1648">
        <v>10.859948397188985</v>
      </c>
      <c r="I1648">
        <v>63.065457934219978</v>
      </c>
      <c r="J1648">
        <v>0</v>
      </c>
      <c r="K1648">
        <v>63.065457934219978</v>
      </c>
    </row>
    <row r="1649" spans="1:11" x14ac:dyDescent="0.25">
      <c r="A1649" t="s">
        <v>143</v>
      </c>
      <c r="B1649" t="s">
        <v>28</v>
      </c>
      <c r="C1649" t="s">
        <v>80</v>
      </c>
      <c r="D1649">
        <v>2019</v>
      </c>
      <c r="E1649" t="s">
        <v>121</v>
      </c>
      <c r="F1649" t="s">
        <v>109</v>
      </c>
      <c r="G1649" t="s">
        <v>80</v>
      </c>
      <c r="H1649">
        <v>192.06797649221136</v>
      </c>
      <c r="I1649">
        <v>3914.4270588688119</v>
      </c>
      <c r="J1649">
        <v>0</v>
      </c>
      <c r="K1649">
        <v>3914.4270588688119</v>
      </c>
    </row>
    <row r="1650" spans="1:11" x14ac:dyDescent="0.25">
      <c r="A1650" t="s">
        <v>143</v>
      </c>
      <c r="B1650" t="s">
        <v>28</v>
      </c>
      <c r="C1650" t="s">
        <v>75</v>
      </c>
      <c r="D1650">
        <v>2019</v>
      </c>
      <c r="E1650" t="s">
        <v>121</v>
      </c>
      <c r="F1650" t="s">
        <v>109</v>
      </c>
      <c r="G1650" t="s">
        <v>52</v>
      </c>
      <c r="H1650">
        <v>474.0804066690265</v>
      </c>
      <c r="I1650">
        <v>4633.4631410733318</v>
      </c>
      <c r="J1650">
        <v>769.75449543603963</v>
      </c>
      <c r="K1650">
        <v>769.75449543603963</v>
      </c>
    </row>
    <row r="1651" spans="1:11" x14ac:dyDescent="0.25">
      <c r="A1651" t="s">
        <v>143</v>
      </c>
      <c r="B1651" t="s">
        <v>28</v>
      </c>
      <c r="C1651" t="s">
        <v>78</v>
      </c>
      <c r="D1651">
        <v>2019</v>
      </c>
      <c r="E1651" t="s">
        <v>121</v>
      </c>
      <c r="F1651" t="s">
        <v>109</v>
      </c>
      <c r="G1651" t="s">
        <v>78</v>
      </c>
      <c r="H1651">
        <v>54.468549473984133</v>
      </c>
      <c r="I1651">
        <v>1862.824392010257</v>
      </c>
      <c r="J1651">
        <v>0</v>
      </c>
      <c r="K1651">
        <v>1862.824392010257</v>
      </c>
    </row>
    <row r="1652" spans="1:11" x14ac:dyDescent="0.25">
      <c r="A1652" t="s">
        <v>143</v>
      </c>
      <c r="B1652" t="s">
        <v>28</v>
      </c>
      <c r="C1652" t="s">
        <v>65</v>
      </c>
      <c r="D1652">
        <v>2019</v>
      </c>
      <c r="E1652" t="s">
        <v>121</v>
      </c>
      <c r="F1652" t="s">
        <v>109</v>
      </c>
      <c r="G1652" t="s">
        <v>65</v>
      </c>
      <c r="H1652">
        <v>89.457443063950791</v>
      </c>
      <c r="I1652">
        <v>1492.4119769693252</v>
      </c>
      <c r="J1652">
        <v>0</v>
      </c>
      <c r="K1652">
        <v>1492.4119769693252</v>
      </c>
    </row>
    <row r="1653" spans="1:11" x14ac:dyDescent="0.25">
      <c r="A1653" t="s">
        <v>143</v>
      </c>
      <c r="B1653" t="s">
        <v>28</v>
      </c>
      <c r="C1653" t="s">
        <v>120</v>
      </c>
      <c r="D1653">
        <v>2019</v>
      </c>
      <c r="E1653" t="s">
        <v>121</v>
      </c>
      <c r="F1653" t="s">
        <v>109</v>
      </c>
      <c r="G1653" t="s">
        <v>53</v>
      </c>
      <c r="H1653">
        <v>2528.5204441559808</v>
      </c>
      <c r="I1653">
        <v>41841.956309893176</v>
      </c>
      <c r="J1653">
        <v>0</v>
      </c>
      <c r="K1653">
        <v>41841.956309893176</v>
      </c>
    </row>
    <row r="1654" spans="1:11" x14ac:dyDescent="0.25">
      <c r="A1654" t="s">
        <v>143</v>
      </c>
      <c r="B1654" t="s">
        <v>28</v>
      </c>
      <c r="C1654" t="s">
        <v>29</v>
      </c>
      <c r="D1654">
        <v>2030</v>
      </c>
      <c r="E1654" t="s">
        <v>121</v>
      </c>
      <c r="F1654" t="s">
        <v>109</v>
      </c>
      <c r="G1654" t="s">
        <v>52</v>
      </c>
      <c r="H1654">
        <v>3316.333003261539</v>
      </c>
      <c r="I1654">
        <v>18690.985459702162</v>
      </c>
      <c r="J1654">
        <v>6065.2247816733534</v>
      </c>
      <c r="K1654">
        <v>6065.2247816733534</v>
      </c>
    </row>
    <row r="1655" spans="1:11" x14ac:dyDescent="0.25">
      <c r="A1655" t="s">
        <v>143</v>
      </c>
      <c r="B1655" t="s">
        <v>28</v>
      </c>
      <c r="C1655" t="s">
        <v>34</v>
      </c>
      <c r="D1655">
        <v>2030</v>
      </c>
      <c r="E1655" t="s">
        <v>121</v>
      </c>
      <c r="F1655" t="s">
        <v>109</v>
      </c>
      <c r="G1655" t="s">
        <v>52</v>
      </c>
      <c r="H1655">
        <v>284.29000357853357</v>
      </c>
      <c r="I1655">
        <v>750.59383904818742</v>
      </c>
      <c r="J1655">
        <v>221.5399105930594</v>
      </c>
      <c r="K1655">
        <v>221.5399105930594</v>
      </c>
    </row>
    <row r="1656" spans="1:11" x14ac:dyDescent="0.25">
      <c r="A1656" t="s">
        <v>143</v>
      </c>
      <c r="B1656" t="s">
        <v>28</v>
      </c>
      <c r="C1656" t="s">
        <v>72</v>
      </c>
      <c r="D1656">
        <v>2030</v>
      </c>
      <c r="E1656" t="s">
        <v>121</v>
      </c>
      <c r="F1656" t="s">
        <v>109</v>
      </c>
      <c r="G1656" t="s">
        <v>52</v>
      </c>
      <c r="H1656">
        <v>304.4129024919622</v>
      </c>
      <c r="I1656">
        <v>884.01506883665832</v>
      </c>
      <c r="J1656">
        <v>469.41200155226556</v>
      </c>
      <c r="K1656">
        <v>469.41200155226556</v>
      </c>
    </row>
    <row r="1657" spans="1:11" x14ac:dyDescent="0.25">
      <c r="A1657" t="s">
        <v>143</v>
      </c>
      <c r="B1657" t="s">
        <v>28</v>
      </c>
      <c r="C1657" t="s">
        <v>53</v>
      </c>
      <c r="D1657">
        <v>2030</v>
      </c>
      <c r="E1657" t="s">
        <v>121</v>
      </c>
      <c r="F1657" t="s">
        <v>109</v>
      </c>
      <c r="G1657" t="s">
        <v>53</v>
      </c>
      <c r="H1657">
        <v>2809.229715431773</v>
      </c>
      <c r="I1657">
        <v>130472.76385702222</v>
      </c>
      <c r="J1657">
        <v>0</v>
      </c>
      <c r="K1657">
        <v>130472.76385702222</v>
      </c>
    </row>
    <row r="1658" spans="1:11" x14ac:dyDescent="0.25">
      <c r="A1658" t="s">
        <v>143</v>
      </c>
      <c r="B1658" t="s">
        <v>28</v>
      </c>
      <c r="C1658" t="s">
        <v>30</v>
      </c>
      <c r="D1658">
        <v>2030</v>
      </c>
      <c r="E1658" t="s">
        <v>121</v>
      </c>
      <c r="F1658" t="s">
        <v>109</v>
      </c>
      <c r="G1658" t="s">
        <v>30</v>
      </c>
      <c r="H1658">
        <v>13.138873045431023</v>
      </c>
      <c r="I1658">
        <v>186.48002513380249</v>
      </c>
      <c r="J1658">
        <v>0</v>
      </c>
      <c r="K1658">
        <v>186.48002513380249</v>
      </c>
    </row>
    <row r="1659" spans="1:11" x14ac:dyDescent="0.25">
      <c r="A1659" t="s">
        <v>143</v>
      </c>
      <c r="B1659" t="s">
        <v>28</v>
      </c>
      <c r="C1659" t="s">
        <v>31</v>
      </c>
      <c r="D1659">
        <v>2030</v>
      </c>
      <c r="E1659" t="s">
        <v>121</v>
      </c>
      <c r="F1659" t="s">
        <v>109</v>
      </c>
      <c r="G1659" t="s">
        <v>31</v>
      </c>
      <c r="H1659">
        <v>207.42875066915491</v>
      </c>
      <c r="I1659">
        <v>6025.82496205806</v>
      </c>
      <c r="J1659">
        <v>0</v>
      </c>
      <c r="K1659">
        <v>6025.82496205806</v>
      </c>
    </row>
    <row r="1660" spans="1:11" x14ac:dyDescent="0.25">
      <c r="A1660" t="s">
        <v>143</v>
      </c>
      <c r="B1660" t="s">
        <v>28</v>
      </c>
      <c r="C1660" t="s">
        <v>55</v>
      </c>
      <c r="D1660">
        <v>2030</v>
      </c>
      <c r="E1660" t="s">
        <v>121</v>
      </c>
      <c r="F1660" t="s">
        <v>109</v>
      </c>
      <c r="G1660" t="s">
        <v>55</v>
      </c>
      <c r="H1660">
        <v>5.4419595307550885</v>
      </c>
      <c r="I1660">
        <v>302.45079010200891</v>
      </c>
      <c r="J1660">
        <v>0</v>
      </c>
      <c r="K1660">
        <v>302.45079010200891</v>
      </c>
    </row>
    <row r="1661" spans="1:11" x14ac:dyDescent="0.25">
      <c r="A1661" t="s">
        <v>143</v>
      </c>
      <c r="B1661" t="s">
        <v>28</v>
      </c>
      <c r="C1661" t="s">
        <v>54</v>
      </c>
      <c r="D1661">
        <v>2030</v>
      </c>
      <c r="E1661" t="s">
        <v>121</v>
      </c>
      <c r="F1661" t="s">
        <v>109</v>
      </c>
      <c r="G1661" t="s">
        <v>54</v>
      </c>
      <c r="H1661">
        <v>702.47519631038767</v>
      </c>
      <c r="I1661">
        <v>31142.102303824257</v>
      </c>
      <c r="J1661">
        <v>0</v>
      </c>
      <c r="K1661">
        <v>31142.102303824257</v>
      </c>
    </row>
    <row r="1662" spans="1:11" x14ac:dyDescent="0.25">
      <c r="A1662" t="s">
        <v>143</v>
      </c>
      <c r="B1662" t="s">
        <v>28</v>
      </c>
      <c r="C1662" t="s">
        <v>41</v>
      </c>
      <c r="D1662">
        <v>2030</v>
      </c>
      <c r="E1662" t="s">
        <v>121</v>
      </c>
      <c r="F1662" t="s">
        <v>109</v>
      </c>
      <c r="G1662" t="s">
        <v>41</v>
      </c>
      <c r="H1662">
        <v>11.967268855448575</v>
      </c>
      <c r="I1662">
        <v>69.495845006606757</v>
      </c>
      <c r="J1662">
        <v>0</v>
      </c>
      <c r="K1662">
        <v>69.495845006606757</v>
      </c>
    </row>
    <row r="1663" spans="1:11" x14ac:dyDescent="0.25">
      <c r="A1663" t="s">
        <v>143</v>
      </c>
      <c r="B1663" t="s">
        <v>28</v>
      </c>
      <c r="C1663" t="s">
        <v>80</v>
      </c>
      <c r="D1663">
        <v>2030</v>
      </c>
      <c r="E1663" t="s">
        <v>121</v>
      </c>
      <c r="F1663" t="s">
        <v>109</v>
      </c>
      <c r="G1663" t="s">
        <v>80</v>
      </c>
      <c r="H1663">
        <v>211.65193692810058</v>
      </c>
      <c r="I1663">
        <v>4313.5565027778002</v>
      </c>
      <c r="J1663">
        <v>0</v>
      </c>
      <c r="K1663">
        <v>4313.5565027778002</v>
      </c>
    </row>
    <row r="1664" spans="1:11" x14ac:dyDescent="0.25">
      <c r="A1664" t="s">
        <v>143</v>
      </c>
      <c r="B1664" t="s">
        <v>28</v>
      </c>
      <c r="C1664" t="s">
        <v>75</v>
      </c>
      <c r="D1664">
        <v>2030</v>
      </c>
      <c r="E1664" t="s">
        <v>121</v>
      </c>
      <c r="F1664" t="s">
        <v>109</v>
      </c>
      <c r="G1664" t="s">
        <v>52</v>
      </c>
      <c r="H1664">
        <v>522.41939631841763</v>
      </c>
      <c r="I1664">
        <v>5105.9081602439846</v>
      </c>
      <c r="J1664">
        <v>843.31028631304218</v>
      </c>
      <c r="K1664">
        <v>843.31028631304218</v>
      </c>
    </row>
    <row r="1665" spans="1:11" x14ac:dyDescent="0.25">
      <c r="A1665" t="s">
        <v>143</v>
      </c>
      <c r="B1665" t="s">
        <v>28</v>
      </c>
      <c r="C1665" t="s">
        <v>78</v>
      </c>
      <c r="D1665">
        <v>2030</v>
      </c>
      <c r="E1665" t="s">
        <v>121</v>
      </c>
      <c r="F1665" t="s">
        <v>109</v>
      </c>
      <c r="G1665" t="s">
        <v>78</v>
      </c>
      <c r="H1665">
        <v>60.022364000384563</v>
      </c>
      <c r="I1665">
        <v>2052.7648488131522</v>
      </c>
      <c r="J1665">
        <v>0</v>
      </c>
      <c r="K1665">
        <v>2052.7648488131522</v>
      </c>
    </row>
    <row r="1666" spans="1:11" x14ac:dyDescent="0.25">
      <c r="A1666" t="s">
        <v>143</v>
      </c>
      <c r="B1666" t="s">
        <v>28</v>
      </c>
      <c r="C1666" t="s">
        <v>65</v>
      </c>
      <c r="D1666">
        <v>2030</v>
      </c>
      <c r="E1666" t="s">
        <v>121</v>
      </c>
      <c r="F1666" t="s">
        <v>109</v>
      </c>
      <c r="G1666" t="s">
        <v>65</v>
      </c>
      <c r="H1666">
        <v>98.578854439528371</v>
      </c>
      <c r="I1666">
        <v>1644.5838155277415</v>
      </c>
      <c r="J1666">
        <v>0</v>
      </c>
      <c r="K1666">
        <v>1644.5838155277415</v>
      </c>
    </row>
    <row r="1667" spans="1:11" x14ac:dyDescent="0.25">
      <c r="A1667" t="s">
        <v>143</v>
      </c>
      <c r="B1667" t="s">
        <v>28</v>
      </c>
      <c r="C1667" t="s">
        <v>120</v>
      </c>
      <c r="D1667">
        <v>2030</v>
      </c>
      <c r="E1667" t="s">
        <v>121</v>
      </c>
      <c r="F1667" t="s">
        <v>109</v>
      </c>
      <c r="G1667" t="s">
        <v>53</v>
      </c>
      <c r="H1667">
        <v>2786.3377297027769</v>
      </c>
      <c r="I1667">
        <v>46108.316751121551</v>
      </c>
      <c r="J1667">
        <v>0</v>
      </c>
      <c r="K1667">
        <v>46108.316751121551</v>
      </c>
    </row>
    <row r="1668" spans="1:11" x14ac:dyDescent="0.25">
      <c r="A1668" t="s">
        <v>143</v>
      </c>
      <c r="B1668" t="s">
        <v>28</v>
      </c>
      <c r="C1668" t="s">
        <v>29</v>
      </c>
      <c r="D1668">
        <v>2050</v>
      </c>
      <c r="E1668" t="s">
        <v>121</v>
      </c>
      <c r="F1668" t="s">
        <v>109</v>
      </c>
      <c r="G1668" t="s">
        <v>52</v>
      </c>
      <c r="H1668">
        <v>4298.9501894131054</v>
      </c>
      <c r="I1668">
        <v>24229.05522553984</v>
      </c>
      <c r="J1668">
        <v>7862.3284206876779</v>
      </c>
      <c r="K1668">
        <v>7862.3284206876779</v>
      </c>
    </row>
    <row r="1669" spans="1:11" x14ac:dyDescent="0.25">
      <c r="A1669" t="s">
        <v>143</v>
      </c>
      <c r="B1669" t="s">
        <v>28</v>
      </c>
      <c r="C1669" t="s">
        <v>34</v>
      </c>
      <c r="D1669">
        <v>2050</v>
      </c>
      <c r="E1669" t="s">
        <v>121</v>
      </c>
      <c r="F1669" t="s">
        <v>109</v>
      </c>
      <c r="G1669" t="s">
        <v>52</v>
      </c>
      <c r="H1669">
        <v>368.52407871291382</v>
      </c>
      <c r="I1669">
        <v>972.99201358098344</v>
      </c>
      <c r="J1669">
        <v>287.18136558359549</v>
      </c>
      <c r="K1669">
        <v>287.18136558359549</v>
      </c>
    </row>
    <row r="1670" spans="1:11" x14ac:dyDescent="0.25">
      <c r="A1670" t="s">
        <v>143</v>
      </c>
      <c r="B1670" t="s">
        <v>28</v>
      </c>
      <c r="C1670" t="s">
        <v>72</v>
      </c>
      <c r="D1670">
        <v>2050</v>
      </c>
      <c r="E1670" t="s">
        <v>121</v>
      </c>
      <c r="F1670" t="s">
        <v>109</v>
      </c>
      <c r="G1670" t="s">
        <v>52</v>
      </c>
      <c r="H1670">
        <v>394.60931804513621</v>
      </c>
      <c r="I1670">
        <v>1145.9454596030757</v>
      </c>
      <c r="J1670">
        <v>608.49703904923308</v>
      </c>
      <c r="K1670">
        <v>608.49703904923308</v>
      </c>
    </row>
    <row r="1671" spans="1:11" x14ac:dyDescent="0.25">
      <c r="A1671" t="s">
        <v>143</v>
      </c>
      <c r="B1671" t="s">
        <v>28</v>
      </c>
      <c r="C1671" t="s">
        <v>53</v>
      </c>
      <c r="D1671">
        <v>2050</v>
      </c>
      <c r="E1671" t="s">
        <v>121</v>
      </c>
      <c r="F1671" t="s">
        <v>109</v>
      </c>
      <c r="G1671" t="s">
        <v>53</v>
      </c>
      <c r="H1671">
        <v>3641.5940755597057</v>
      </c>
      <c r="I1671">
        <v>169131.36055539915</v>
      </c>
      <c r="J1671">
        <v>0</v>
      </c>
      <c r="K1671">
        <v>169131.36055539915</v>
      </c>
    </row>
    <row r="1672" spans="1:11" x14ac:dyDescent="0.25">
      <c r="A1672" t="s">
        <v>143</v>
      </c>
      <c r="B1672" t="s">
        <v>28</v>
      </c>
      <c r="C1672" t="s">
        <v>30</v>
      </c>
      <c r="D1672">
        <v>2050</v>
      </c>
      <c r="E1672" t="s">
        <v>121</v>
      </c>
      <c r="F1672" t="s">
        <v>109</v>
      </c>
      <c r="G1672" t="s">
        <v>30</v>
      </c>
      <c r="H1672">
        <v>17.031872466299472</v>
      </c>
      <c r="I1672">
        <v>241.7333659141884</v>
      </c>
      <c r="J1672">
        <v>0</v>
      </c>
      <c r="K1672">
        <v>241.7333659141884</v>
      </c>
    </row>
    <row r="1673" spans="1:11" x14ac:dyDescent="0.25">
      <c r="A1673" t="s">
        <v>143</v>
      </c>
      <c r="B1673" t="s">
        <v>28</v>
      </c>
      <c r="C1673" t="s">
        <v>31</v>
      </c>
      <c r="D1673">
        <v>2050</v>
      </c>
      <c r="E1673" t="s">
        <v>121</v>
      </c>
      <c r="F1673" t="s">
        <v>109</v>
      </c>
      <c r="G1673" t="s">
        <v>31</v>
      </c>
      <c r="H1673">
        <v>268.88912123779335</v>
      </c>
      <c r="I1673">
        <v>7811.2545804456331</v>
      </c>
      <c r="J1673">
        <v>0</v>
      </c>
      <c r="K1673">
        <v>7811.2545804456331</v>
      </c>
    </row>
    <row r="1674" spans="1:11" x14ac:dyDescent="0.25">
      <c r="A1674" t="s">
        <v>143</v>
      </c>
      <c r="B1674" t="s">
        <v>28</v>
      </c>
      <c r="C1674" t="s">
        <v>55</v>
      </c>
      <c r="D1674">
        <v>2050</v>
      </c>
      <c r="E1674" t="s">
        <v>121</v>
      </c>
      <c r="F1674" t="s">
        <v>109</v>
      </c>
      <c r="G1674" t="s">
        <v>55</v>
      </c>
      <c r="H1674">
        <v>7.0543919843121516</v>
      </c>
      <c r="I1674">
        <v>392.06583902112266</v>
      </c>
      <c r="J1674">
        <v>0</v>
      </c>
      <c r="K1674">
        <v>392.06583902112266</v>
      </c>
    </row>
    <row r="1675" spans="1:11" x14ac:dyDescent="0.25">
      <c r="A1675" t="s">
        <v>143</v>
      </c>
      <c r="B1675" t="s">
        <v>28</v>
      </c>
      <c r="C1675" t="s">
        <v>54</v>
      </c>
      <c r="D1675">
        <v>2050</v>
      </c>
      <c r="E1675" t="s">
        <v>121</v>
      </c>
      <c r="F1675" t="s">
        <v>109</v>
      </c>
      <c r="G1675" t="s">
        <v>54</v>
      </c>
      <c r="H1675">
        <v>910.61599521716903</v>
      </c>
      <c r="I1675">
        <v>40369.391875327732</v>
      </c>
      <c r="J1675">
        <v>0</v>
      </c>
      <c r="K1675">
        <v>40369.391875327732</v>
      </c>
    </row>
    <row r="1676" spans="1:11" x14ac:dyDescent="0.25">
      <c r="A1676" t="s">
        <v>143</v>
      </c>
      <c r="B1676" t="s">
        <v>28</v>
      </c>
      <c r="C1676" t="s">
        <v>41</v>
      </c>
      <c r="D1676">
        <v>2050</v>
      </c>
      <c r="E1676" t="s">
        <v>121</v>
      </c>
      <c r="F1676" t="s">
        <v>109</v>
      </c>
      <c r="G1676" t="s">
        <v>41</v>
      </c>
      <c r="H1676">
        <v>15.513126294100001</v>
      </c>
      <c r="I1676">
        <v>90.087206490045759</v>
      </c>
      <c r="J1676">
        <v>0</v>
      </c>
      <c r="K1676">
        <v>90.087206490045759</v>
      </c>
    </row>
    <row r="1677" spans="1:11" x14ac:dyDescent="0.25">
      <c r="A1677" t="s">
        <v>143</v>
      </c>
      <c r="B1677" t="s">
        <v>28</v>
      </c>
      <c r="C1677" t="s">
        <v>80</v>
      </c>
      <c r="D1677">
        <v>2050</v>
      </c>
      <c r="E1677" t="s">
        <v>121</v>
      </c>
      <c r="F1677" t="s">
        <v>109</v>
      </c>
      <c r="G1677" t="s">
        <v>80</v>
      </c>
      <c r="H1677">
        <v>274.36362194383406</v>
      </c>
      <c r="I1677">
        <v>5591.6473184156675</v>
      </c>
      <c r="J1677">
        <v>0</v>
      </c>
      <c r="K1677">
        <v>5591.6473184156675</v>
      </c>
    </row>
    <row r="1678" spans="1:11" x14ac:dyDescent="0.25">
      <c r="A1678" t="s">
        <v>143</v>
      </c>
      <c r="B1678" t="s">
        <v>28</v>
      </c>
      <c r="C1678" t="s">
        <v>75</v>
      </c>
      <c r="D1678">
        <v>2050</v>
      </c>
      <c r="E1678" t="s">
        <v>121</v>
      </c>
      <c r="F1678" t="s">
        <v>109</v>
      </c>
      <c r="G1678" t="s">
        <v>52</v>
      </c>
      <c r="H1678">
        <v>677.21032856091165</v>
      </c>
      <c r="I1678">
        <v>6618.7698373533121</v>
      </c>
      <c r="J1678">
        <v>1093.1800007761658</v>
      </c>
      <c r="K1678">
        <v>1093.1800007761658</v>
      </c>
    </row>
    <row r="1679" spans="1:11" x14ac:dyDescent="0.25">
      <c r="A1679" t="s">
        <v>143</v>
      </c>
      <c r="B1679" t="s">
        <v>28</v>
      </c>
      <c r="C1679" t="s">
        <v>78</v>
      </c>
      <c r="D1679">
        <v>2050</v>
      </c>
      <c r="E1679" t="s">
        <v>121</v>
      </c>
      <c r="F1679" t="s">
        <v>109</v>
      </c>
      <c r="G1679" t="s">
        <v>78</v>
      </c>
      <c r="H1679">
        <v>77.80676814864664</v>
      </c>
      <c r="I1679">
        <v>2660.9914706837153</v>
      </c>
      <c r="J1679">
        <v>0</v>
      </c>
      <c r="K1679">
        <v>2660.9914706837153</v>
      </c>
    </row>
    <row r="1680" spans="1:11" x14ac:dyDescent="0.25">
      <c r="A1680" t="s">
        <v>143</v>
      </c>
      <c r="B1680" t="s">
        <v>28</v>
      </c>
      <c r="C1680" t="s">
        <v>65</v>
      </c>
      <c r="D1680">
        <v>2050</v>
      </c>
      <c r="E1680" t="s">
        <v>121</v>
      </c>
      <c r="F1680" t="s">
        <v>109</v>
      </c>
      <c r="G1680" t="s">
        <v>65</v>
      </c>
      <c r="H1680">
        <v>127.78740390309231</v>
      </c>
      <c r="I1680">
        <v>2131.8679090174423</v>
      </c>
      <c r="J1680">
        <v>0</v>
      </c>
      <c r="K1680">
        <v>2131.8679090174423</v>
      </c>
    </row>
    <row r="1681" spans="1:11" x14ac:dyDescent="0.25">
      <c r="A1681" t="s">
        <v>143</v>
      </c>
      <c r="B1681" t="s">
        <v>28</v>
      </c>
      <c r="C1681" t="s">
        <v>120</v>
      </c>
      <c r="D1681">
        <v>2050</v>
      </c>
      <c r="E1681" t="s">
        <v>121</v>
      </c>
      <c r="F1681" t="s">
        <v>109</v>
      </c>
      <c r="G1681" t="s">
        <v>53</v>
      </c>
      <c r="H1681">
        <v>3611.9192792443396</v>
      </c>
      <c r="I1681">
        <v>59770.040232935331</v>
      </c>
      <c r="J1681">
        <v>0</v>
      </c>
      <c r="K1681">
        <v>59770.040232935331</v>
      </c>
    </row>
    <row r="1682" spans="1:11" x14ac:dyDescent="0.25">
      <c r="A1682" t="s">
        <v>143</v>
      </c>
      <c r="B1682" t="s">
        <v>28</v>
      </c>
      <c r="C1682" t="s">
        <v>29</v>
      </c>
      <c r="D1682">
        <v>2019</v>
      </c>
      <c r="E1682" t="s">
        <v>119</v>
      </c>
      <c r="F1682" t="s">
        <v>110</v>
      </c>
      <c r="G1682" t="s">
        <v>52</v>
      </c>
      <c r="H1682">
        <v>11897.853201235472</v>
      </c>
      <c r="I1682">
        <v>116765.53131692491</v>
      </c>
      <c r="J1682">
        <v>38111.977508016003</v>
      </c>
      <c r="K1682">
        <v>38111.977508016003</v>
      </c>
    </row>
    <row r="1683" spans="1:11" x14ac:dyDescent="0.25">
      <c r="A1683" t="s">
        <v>143</v>
      </c>
      <c r="B1683" t="s">
        <v>28</v>
      </c>
      <c r="C1683" t="s">
        <v>34</v>
      </c>
      <c r="D1683">
        <v>2019</v>
      </c>
      <c r="E1683" t="s">
        <v>119</v>
      </c>
      <c r="F1683" t="s">
        <v>110</v>
      </c>
      <c r="G1683" t="s">
        <v>52</v>
      </c>
      <c r="H1683">
        <v>685.06913436036109</v>
      </c>
      <c r="I1683">
        <v>3702.113602083391</v>
      </c>
      <c r="J1683">
        <v>1099.0788345670951</v>
      </c>
      <c r="K1683">
        <v>1099.0788345670951</v>
      </c>
    </row>
    <row r="1684" spans="1:11" x14ac:dyDescent="0.25">
      <c r="A1684" t="s">
        <v>143</v>
      </c>
      <c r="B1684" t="s">
        <v>28</v>
      </c>
      <c r="C1684" t="s">
        <v>72</v>
      </c>
      <c r="D1684">
        <v>2019</v>
      </c>
      <c r="E1684" t="s">
        <v>119</v>
      </c>
      <c r="F1684" t="s">
        <v>110</v>
      </c>
      <c r="G1684" t="s">
        <v>52</v>
      </c>
      <c r="H1684">
        <v>887.13350750082327</v>
      </c>
      <c r="I1684">
        <v>5464.7424062050713</v>
      </c>
      <c r="J1684">
        <v>2918.7462428661602</v>
      </c>
      <c r="K1684">
        <v>2918.7462428661602</v>
      </c>
    </row>
    <row r="1685" spans="1:11" x14ac:dyDescent="0.25">
      <c r="A1685" t="s">
        <v>143</v>
      </c>
      <c r="B1685" t="s">
        <v>28</v>
      </c>
      <c r="C1685" t="s">
        <v>53</v>
      </c>
      <c r="D1685">
        <v>2019</v>
      </c>
      <c r="E1685" t="s">
        <v>119</v>
      </c>
      <c r="F1685" t="s">
        <v>110</v>
      </c>
      <c r="G1685" t="s">
        <v>53</v>
      </c>
      <c r="H1685">
        <v>20460.09912171523</v>
      </c>
      <c r="I1685">
        <v>1421322.1657873136</v>
      </c>
      <c r="J1685">
        <v>0</v>
      </c>
      <c r="K1685">
        <v>1421322.1657873136</v>
      </c>
    </row>
    <row r="1686" spans="1:11" x14ac:dyDescent="0.25">
      <c r="A1686" t="s">
        <v>143</v>
      </c>
      <c r="B1686" t="s">
        <v>28</v>
      </c>
      <c r="C1686" t="s">
        <v>30</v>
      </c>
      <c r="D1686">
        <v>2019</v>
      </c>
      <c r="E1686" t="s">
        <v>119</v>
      </c>
      <c r="F1686" t="s">
        <v>110</v>
      </c>
      <c r="G1686" t="s">
        <v>30</v>
      </c>
      <c r="H1686">
        <v>23.781029114723999</v>
      </c>
      <c r="I1686">
        <v>690.83889578273215</v>
      </c>
      <c r="J1686">
        <v>0</v>
      </c>
      <c r="K1686">
        <v>690.83889578273215</v>
      </c>
    </row>
    <row r="1687" spans="1:11" x14ac:dyDescent="0.25">
      <c r="A1687" t="s">
        <v>143</v>
      </c>
      <c r="B1687" t="s">
        <v>28</v>
      </c>
      <c r="C1687" t="s">
        <v>31</v>
      </c>
      <c r="D1687">
        <v>2019</v>
      </c>
      <c r="E1687" t="s">
        <v>119</v>
      </c>
      <c r="F1687" t="s">
        <v>110</v>
      </c>
      <c r="G1687" t="s">
        <v>31</v>
      </c>
      <c r="H1687">
        <v>1258.7368446928817</v>
      </c>
      <c r="I1687">
        <v>74843.560387776015</v>
      </c>
      <c r="J1687">
        <v>0</v>
      </c>
      <c r="K1687">
        <v>74843.560387776015</v>
      </c>
    </row>
    <row r="1688" spans="1:11" x14ac:dyDescent="0.25">
      <c r="A1688" t="s">
        <v>143</v>
      </c>
      <c r="B1688" t="s">
        <v>28</v>
      </c>
      <c r="C1688" t="s">
        <v>55</v>
      </c>
      <c r="D1688">
        <v>2019</v>
      </c>
      <c r="E1688" t="s">
        <v>119</v>
      </c>
      <c r="F1688" t="s">
        <v>110</v>
      </c>
      <c r="G1688" t="s">
        <v>55</v>
      </c>
      <c r="H1688">
        <v>13.612059153984784</v>
      </c>
      <c r="I1688">
        <v>1548.442836537469</v>
      </c>
      <c r="J1688">
        <v>0</v>
      </c>
      <c r="K1688">
        <v>1548.442836537469</v>
      </c>
    </row>
    <row r="1689" spans="1:11" x14ac:dyDescent="0.25">
      <c r="A1689" t="s">
        <v>143</v>
      </c>
      <c r="B1689" t="s">
        <v>28</v>
      </c>
      <c r="C1689" t="s">
        <v>54</v>
      </c>
      <c r="D1689">
        <v>2019</v>
      </c>
      <c r="E1689" t="s">
        <v>119</v>
      </c>
      <c r="F1689" t="s">
        <v>110</v>
      </c>
      <c r="G1689" t="s">
        <v>54</v>
      </c>
      <c r="H1689">
        <v>1692.7928122278877</v>
      </c>
      <c r="I1689">
        <v>105484.6913011686</v>
      </c>
      <c r="J1689">
        <v>0</v>
      </c>
      <c r="K1689">
        <v>105484.6913011686</v>
      </c>
    </row>
    <row r="1690" spans="1:11" x14ac:dyDescent="0.25">
      <c r="A1690" t="s">
        <v>143</v>
      </c>
      <c r="B1690" t="s">
        <v>28</v>
      </c>
      <c r="C1690" t="s">
        <v>41</v>
      </c>
      <c r="D1690">
        <v>2019</v>
      </c>
      <c r="E1690" t="s">
        <v>119</v>
      </c>
      <c r="F1690" t="s">
        <v>110</v>
      </c>
      <c r="G1690" t="s">
        <v>41</v>
      </c>
      <c r="H1690">
        <v>48.510297939945318</v>
      </c>
      <c r="I1690">
        <v>576.59340131419003</v>
      </c>
      <c r="J1690">
        <v>0</v>
      </c>
      <c r="K1690">
        <v>576.59340131419003</v>
      </c>
    </row>
    <row r="1691" spans="1:11" x14ac:dyDescent="0.25">
      <c r="A1691" t="s">
        <v>143</v>
      </c>
      <c r="B1691" t="s">
        <v>28</v>
      </c>
      <c r="C1691" t="s">
        <v>80</v>
      </c>
      <c r="D1691">
        <v>2019</v>
      </c>
      <c r="E1691" t="s">
        <v>119</v>
      </c>
      <c r="F1691" t="s">
        <v>110</v>
      </c>
      <c r="G1691" t="s">
        <v>80</v>
      </c>
      <c r="H1691">
        <v>857.94834593977373</v>
      </c>
      <c r="I1691">
        <v>35788.732627988727</v>
      </c>
      <c r="J1691">
        <v>0</v>
      </c>
      <c r="K1691">
        <v>35788.732627988727</v>
      </c>
    </row>
    <row r="1692" spans="1:11" x14ac:dyDescent="0.25">
      <c r="A1692" t="s">
        <v>143</v>
      </c>
      <c r="B1692" t="s">
        <v>28</v>
      </c>
      <c r="C1692" t="s">
        <v>75</v>
      </c>
      <c r="D1692">
        <v>2019</v>
      </c>
      <c r="E1692" t="s">
        <v>119</v>
      </c>
      <c r="F1692" t="s">
        <v>110</v>
      </c>
      <c r="G1692" t="s">
        <v>52</v>
      </c>
      <c r="H1692">
        <v>2729.7047934959128</v>
      </c>
      <c r="I1692">
        <v>54606.120392299723</v>
      </c>
      <c r="J1692">
        <v>9071.6825343208366</v>
      </c>
      <c r="K1692">
        <v>9071.6825343208366</v>
      </c>
    </row>
    <row r="1693" spans="1:11" x14ac:dyDescent="0.25">
      <c r="A1693" t="s">
        <v>143</v>
      </c>
      <c r="B1693" t="s">
        <v>28</v>
      </c>
      <c r="C1693" t="s">
        <v>78</v>
      </c>
      <c r="D1693">
        <v>2019</v>
      </c>
      <c r="E1693" t="s">
        <v>119</v>
      </c>
      <c r="F1693" t="s">
        <v>110</v>
      </c>
      <c r="G1693" t="s">
        <v>78</v>
      </c>
      <c r="H1693">
        <v>243.3055357816946</v>
      </c>
      <c r="I1693">
        <v>17031.387504718623</v>
      </c>
      <c r="J1693">
        <v>0</v>
      </c>
      <c r="K1693">
        <v>17031.387504718623</v>
      </c>
    </row>
    <row r="1694" spans="1:11" x14ac:dyDescent="0.25">
      <c r="A1694" t="s">
        <v>143</v>
      </c>
      <c r="B1694" t="s">
        <v>28</v>
      </c>
      <c r="C1694" t="s">
        <v>65</v>
      </c>
      <c r="D1694">
        <v>2019</v>
      </c>
      <c r="E1694" t="s">
        <v>119</v>
      </c>
      <c r="F1694" t="s">
        <v>110</v>
      </c>
      <c r="G1694" t="s">
        <v>65</v>
      </c>
      <c r="H1694">
        <v>574.32851892788028</v>
      </c>
      <c r="I1694">
        <v>19611.217719488595</v>
      </c>
      <c r="J1694">
        <v>0</v>
      </c>
      <c r="K1694">
        <v>19611.217719488595</v>
      </c>
    </row>
    <row r="1695" spans="1:11" x14ac:dyDescent="0.25">
      <c r="A1695" t="s">
        <v>143</v>
      </c>
      <c r="B1695" t="s">
        <v>28</v>
      </c>
      <c r="C1695" t="s">
        <v>120</v>
      </c>
      <c r="D1695">
        <v>2019</v>
      </c>
      <c r="E1695" t="s">
        <v>119</v>
      </c>
      <c r="F1695" t="s">
        <v>110</v>
      </c>
      <c r="G1695" t="s">
        <v>53</v>
      </c>
      <c r="H1695">
        <v>21241.691978712064</v>
      </c>
      <c r="I1695">
        <v>410092.10534101515</v>
      </c>
      <c r="J1695">
        <v>0</v>
      </c>
      <c r="K1695">
        <v>410092.10534101515</v>
      </c>
    </row>
    <row r="1696" spans="1:11" x14ac:dyDescent="0.25">
      <c r="A1696" t="s">
        <v>143</v>
      </c>
      <c r="B1696" t="s">
        <v>28</v>
      </c>
      <c r="C1696" t="s">
        <v>29</v>
      </c>
      <c r="D1696">
        <v>2030</v>
      </c>
      <c r="E1696" t="s">
        <v>119</v>
      </c>
      <c r="F1696" t="s">
        <v>110</v>
      </c>
      <c r="G1696" t="s">
        <v>52</v>
      </c>
      <c r="H1696">
        <v>10494.747555877077</v>
      </c>
      <c r="I1696">
        <v>102995.45251337762</v>
      </c>
      <c r="J1696">
        <v>33422.024340591037</v>
      </c>
      <c r="K1696">
        <v>33422.024340591037</v>
      </c>
    </row>
    <row r="1697" spans="1:11" x14ac:dyDescent="0.25">
      <c r="A1697" t="s">
        <v>143</v>
      </c>
      <c r="B1697" t="s">
        <v>28</v>
      </c>
      <c r="C1697" t="s">
        <v>34</v>
      </c>
      <c r="D1697">
        <v>2030</v>
      </c>
      <c r="E1697" t="s">
        <v>119</v>
      </c>
      <c r="F1697" t="s">
        <v>110</v>
      </c>
      <c r="G1697" t="s">
        <v>52</v>
      </c>
      <c r="H1697">
        <v>604.279402496633</v>
      </c>
      <c r="I1697">
        <v>3265.5258910918051</v>
      </c>
      <c r="J1697">
        <v>963.82927265854437</v>
      </c>
      <c r="K1697">
        <v>963.82927265854437</v>
      </c>
    </row>
    <row r="1698" spans="1:11" x14ac:dyDescent="0.25">
      <c r="A1698" t="s">
        <v>143</v>
      </c>
      <c r="B1698" t="s">
        <v>28</v>
      </c>
      <c r="C1698" t="s">
        <v>72</v>
      </c>
      <c r="D1698">
        <v>2030</v>
      </c>
      <c r="E1698" t="s">
        <v>119</v>
      </c>
      <c r="F1698" t="s">
        <v>110</v>
      </c>
      <c r="G1698" t="s">
        <v>52</v>
      </c>
      <c r="H1698">
        <v>782.5144630809657</v>
      </c>
      <c r="I1698">
        <v>4820.2890925787488</v>
      </c>
      <c r="J1698">
        <v>2559.5735081593152</v>
      </c>
      <c r="K1698">
        <v>2559.5735081593152</v>
      </c>
    </row>
    <row r="1699" spans="1:11" x14ac:dyDescent="0.25">
      <c r="A1699" t="s">
        <v>143</v>
      </c>
      <c r="B1699" t="s">
        <v>28</v>
      </c>
      <c r="C1699" t="s">
        <v>53</v>
      </c>
      <c r="D1699">
        <v>2030</v>
      </c>
      <c r="E1699" t="s">
        <v>119</v>
      </c>
      <c r="F1699" t="s">
        <v>110</v>
      </c>
      <c r="G1699" t="s">
        <v>53</v>
      </c>
      <c r="H1699">
        <v>18047.25370357795</v>
      </c>
      <c r="I1699">
        <v>1253706.6202801529</v>
      </c>
      <c r="J1699">
        <v>0</v>
      </c>
      <c r="K1699">
        <v>1253706.6202801529</v>
      </c>
    </row>
    <row r="1700" spans="1:11" x14ac:dyDescent="0.25">
      <c r="A1700" t="s">
        <v>143</v>
      </c>
      <c r="B1700" t="s">
        <v>28</v>
      </c>
      <c r="C1700" t="s">
        <v>30</v>
      </c>
      <c r="D1700">
        <v>2030</v>
      </c>
      <c r="E1700" t="s">
        <v>119</v>
      </c>
      <c r="F1700" t="s">
        <v>110</v>
      </c>
      <c r="G1700" t="s">
        <v>30</v>
      </c>
      <c r="H1700">
        <v>20.976548706457006</v>
      </c>
      <c r="I1700">
        <v>609.36873992257597</v>
      </c>
      <c r="J1700">
        <v>0</v>
      </c>
      <c r="K1700">
        <v>609.36873992257597</v>
      </c>
    </row>
    <row r="1701" spans="1:11" x14ac:dyDescent="0.25">
      <c r="A1701" t="s">
        <v>143</v>
      </c>
      <c r="B1701" t="s">
        <v>28</v>
      </c>
      <c r="C1701" t="s">
        <v>31</v>
      </c>
      <c r="D1701">
        <v>2030</v>
      </c>
      <c r="E1701" t="s">
        <v>119</v>
      </c>
      <c r="F1701" t="s">
        <v>110</v>
      </c>
      <c r="G1701" t="s">
        <v>31</v>
      </c>
      <c r="H1701">
        <v>1110.2948742854976</v>
      </c>
      <c r="I1701">
        <v>66017.310784368063</v>
      </c>
      <c r="J1701">
        <v>0</v>
      </c>
      <c r="K1701">
        <v>66017.310784368063</v>
      </c>
    </row>
    <row r="1702" spans="1:11" x14ac:dyDescent="0.25">
      <c r="A1702" t="s">
        <v>143</v>
      </c>
      <c r="B1702" t="s">
        <v>28</v>
      </c>
      <c r="C1702" t="s">
        <v>55</v>
      </c>
      <c r="D1702">
        <v>2030</v>
      </c>
      <c r="E1702" t="s">
        <v>119</v>
      </c>
      <c r="F1702" t="s">
        <v>110</v>
      </c>
      <c r="G1702" t="s">
        <v>55</v>
      </c>
      <c r="H1702">
        <v>12.006798379551526</v>
      </c>
      <c r="I1702">
        <v>1365.8360377550734</v>
      </c>
      <c r="J1702">
        <v>0</v>
      </c>
      <c r="K1702">
        <v>1365.8360377550734</v>
      </c>
    </row>
    <row r="1703" spans="1:11" x14ac:dyDescent="0.25">
      <c r="A1703" t="s">
        <v>143</v>
      </c>
      <c r="B1703" t="s">
        <v>28</v>
      </c>
      <c r="C1703" t="s">
        <v>54</v>
      </c>
      <c r="D1703">
        <v>2030</v>
      </c>
      <c r="E1703" t="s">
        <v>119</v>
      </c>
      <c r="F1703" t="s">
        <v>110</v>
      </c>
      <c r="G1703" t="s">
        <v>54</v>
      </c>
      <c r="H1703">
        <v>1493.1629200879825</v>
      </c>
      <c r="I1703">
        <v>93044.95420236254</v>
      </c>
      <c r="J1703">
        <v>0</v>
      </c>
      <c r="K1703">
        <v>93044.95420236254</v>
      </c>
    </row>
    <row r="1704" spans="1:11" x14ac:dyDescent="0.25">
      <c r="A1704" t="s">
        <v>143</v>
      </c>
      <c r="B1704" t="s">
        <v>28</v>
      </c>
      <c r="C1704" t="s">
        <v>41</v>
      </c>
      <c r="D1704">
        <v>2030</v>
      </c>
      <c r="E1704" t="s">
        <v>119</v>
      </c>
      <c r="F1704" t="s">
        <v>110</v>
      </c>
      <c r="G1704" t="s">
        <v>41</v>
      </c>
      <c r="H1704">
        <v>42.789511866497449</v>
      </c>
      <c r="I1704">
        <v>508.5961380451887</v>
      </c>
      <c r="J1704">
        <v>0</v>
      </c>
      <c r="K1704">
        <v>508.5961380451887</v>
      </c>
    </row>
    <row r="1705" spans="1:11" x14ac:dyDescent="0.25">
      <c r="A1705" t="s">
        <v>143</v>
      </c>
      <c r="B1705" t="s">
        <v>28</v>
      </c>
      <c r="C1705" t="s">
        <v>80</v>
      </c>
      <c r="D1705">
        <v>2030</v>
      </c>
      <c r="E1705" t="s">
        <v>119</v>
      </c>
      <c r="F1705" t="s">
        <v>110</v>
      </c>
      <c r="G1705" t="s">
        <v>80</v>
      </c>
      <c r="H1705">
        <v>756.77108755092502</v>
      </c>
      <c r="I1705">
        <v>31568.192002614502</v>
      </c>
      <c r="J1705">
        <v>0</v>
      </c>
      <c r="K1705">
        <v>31568.192002614502</v>
      </c>
    </row>
    <row r="1706" spans="1:11" x14ac:dyDescent="0.25">
      <c r="A1706" t="s">
        <v>143</v>
      </c>
      <c r="B1706" t="s">
        <v>28</v>
      </c>
      <c r="C1706" t="s">
        <v>75</v>
      </c>
      <c r="D1706">
        <v>2030</v>
      </c>
      <c r="E1706" t="s">
        <v>119</v>
      </c>
      <c r="F1706" t="s">
        <v>110</v>
      </c>
      <c r="G1706" t="s">
        <v>52</v>
      </c>
      <c r="H1706">
        <v>2407.7925845338555</v>
      </c>
      <c r="I1706">
        <v>48166.458169403915</v>
      </c>
      <c r="J1706">
        <v>7955.3466992998583</v>
      </c>
      <c r="K1706">
        <v>7955.3466992998583</v>
      </c>
    </row>
    <row r="1707" spans="1:11" x14ac:dyDescent="0.25">
      <c r="A1707" t="s">
        <v>143</v>
      </c>
      <c r="B1707" t="s">
        <v>28</v>
      </c>
      <c r="C1707" t="s">
        <v>78</v>
      </c>
      <c r="D1707">
        <v>2030</v>
      </c>
      <c r="E1707" t="s">
        <v>119</v>
      </c>
      <c r="F1707" t="s">
        <v>110</v>
      </c>
      <c r="G1707" t="s">
        <v>78</v>
      </c>
      <c r="H1707">
        <v>214.61268127859856</v>
      </c>
      <c r="I1707">
        <v>15022.887689501898</v>
      </c>
      <c r="J1707">
        <v>0</v>
      </c>
      <c r="K1707">
        <v>15022.887689501898</v>
      </c>
    </row>
    <row r="1708" spans="1:11" x14ac:dyDescent="0.25">
      <c r="A1708" t="s">
        <v>143</v>
      </c>
      <c r="B1708" t="s">
        <v>28</v>
      </c>
      <c r="C1708" t="s">
        <v>65</v>
      </c>
      <c r="D1708">
        <v>2030</v>
      </c>
      <c r="E1708" t="s">
        <v>119</v>
      </c>
      <c r="F1708" t="s">
        <v>110</v>
      </c>
      <c r="G1708" t="s">
        <v>65</v>
      </c>
      <c r="H1708">
        <v>506.59835168103979</v>
      </c>
      <c r="I1708">
        <v>17298.4803013038</v>
      </c>
      <c r="J1708">
        <v>0</v>
      </c>
      <c r="K1708">
        <v>17298.4803013038</v>
      </c>
    </row>
    <row r="1709" spans="1:11" x14ac:dyDescent="0.25">
      <c r="A1709" t="s">
        <v>143</v>
      </c>
      <c r="B1709" t="s">
        <v>28</v>
      </c>
      <c r="C1709" t="s">
        <v>120</v>
      </c>
      <c r="D1709">
        <v>2030</v>
      </c>
      <c r="E1709" t="s">
        <v>119</v>
      </c>
      <c r="F1709" t="s">
        <v>110</v>
      </c>
      <c r="G1709" t="s">
        <v>53</v>
      </c>
      <c r="H1709">
        <v>18736.673852484033</v>
      </c>
      <c r="I1709">
        <v>361730.22539605678</v>
      </c>
      <c r="J1709">
        <v>0</v>
      </c>
      <c r="K1709">
        <v>361730.22539605678</v>
      </c>
    </row>
    <row r="1710" spans="1:11" x14ac:dyDescent="0.25">
      <c r="A1710" t="s">
        <v>143</v>
      </c>
      <c r="B1710" t="s">
        <v>28</v>
      </c>
      <c r="C1710" t="s">
        <v>29</v>
      </c>
      <c r="D1710">
        <v>2050</v>
      </c>
      <c r="E1710" t="s">
        <v>119</v>
      </c>
      <c r="F1710" t="s">
        <v>110</v>
      </c>
      <c r="G1710" t="s">
        <v>52</v>
      </c>
      <c r="H1710">
        <v>10009.441310518599</v>
      </c>
      <c r="I1710">
        <v>98232.657021429521</v>
      </c>
      <c r="J1710">
        <v>31876.497203453881</v>
      </c>
      <c r="K1710">
        <v>31876.497203453881</v>
      </c>
    </row>
    <row r="1711" spans="1:11" x14ac:dyDescent="0.25">
      <c r="A1711" t="s">
        <v>143</v>
      </c>
      <c r="B1711" t="s">
        <v>28</v>
      </c>
      <c r="C1711" t="s">
        <v>34</v>
      </c>
      <c r="D1711">
        <v>2050</v>
      </c>
      <c r="E1711" t="s">
        <v>119</v>
      </c>
      <c r="F1711" t="s">
        <v>110</v>
      </c>
      <c r="G1711" t="s">
        <v>52</v>
      </c>
      <c r="H1711">
        <v>576.33584631181759</v>
      </c>
      <c r="I1711">
        <v>3114.5189134690627</v>
      </c>
      <c r="J1711">
        <v>919.25913288242691</v>
      </c>
      <c r="K1711">
        <v>919.25913288242691</v>
      </c>
    </row>
    <row r="1712" spans="1:11" x14ac:dyDescent="0.25">
      <c r="A1712" t="s">
        <v>143</v>
      </c>
      <c r="B1712" t="s">
        <v>28</v>
      </c>
      <c r="C1712" t="s">
        <v>72</v>
      </c>
      <c r="D1712">
        <v>2050</v>
      </c>
      <c r="E1712" t="s">
        <v>119</v>
      </c>
      <c r="F1712" t="s">
        <v>110</v>
      </c>
      <c r="G1712" t="s">
        <v>52</v>
      </c>
      <c r="H1712">
        <v>746.32882316970711</v>
      </c>
      <c r="I1712">
        <v>4597.3855507253957</v>
      </c>
      <c r="J1712">
        <v>2441.2117274351849</v>
      </c>
      <c r="K1712">
        <v>2441.2117274351849</v>
      </c>
    </row>
    <row r="1713" spans="1:11" x14ac:dyDescent="0.25">
      <c r="A1713" t="s">
        <v>143</v>
      </c>
      <c r="B1713" t="s">
        <v>28</v>
      </c>
      <c r="C1713" t="s">
        <v>53</v>
      </c>
      <c r="D1713">
        <v>2050</v>
      </c>
      <c r="E1713" t="s">
        <v>119</v>
      </c>
      <c r="F1713" t="s">
        <v>110</v>
      </c>
      <c r="G1713" t="s">
        <v>53</v>
      </c>
      <c r="H1713">
        <v>17212.698619019429</v>
      </c>
      <c r="I1713">
        <v>1195731.7476660416</v>
      </c>
      <c r="J1713">
        <v>0</v>
      </c>
      <c r="K1713">
        <v>1195731.7476660416</v>
      </c>
    </row>
    <row r="1714" spans="1:11" x14ac:dyDescent="0.25">
      <c r="A1714" t="s">
        <v>143</v>
      </c>
      <c r="B1714" t="s">
        <v>28</v>
      </c>
      <c r="C1714" t="s">
        <v>30</v>
      </c>
      <c r="D1714">
        <v>2050</v>
      </c>
      <c r="E1714" t="s">
        <v>119</v>
      </c>
      <c r="F1714" t="s">
        <v>110</v>
      </c>
      <c r="G1714" t="s">
        <v>30</v>
      </c>
      <c r="H1714">
        <v>20.00653489344165</v>
      </c>
      <c r="I1714">
        <v>581.18983865448001</v>
      </c>
      <c r="J1714">
        <v>0</v>
      </c>
      <c r="K1714">
        <v>581.18983865448001</v>
      </c>
    </row>
    <row r="1715" spans="1:11" x14ac:dyDescent="0.25">
      <c r="A1715" t="s">
        <v>143</v>
      </c>
      <c r="B1715" t="s">
        <v>28</v>
      </c>
      <c r="C1715" t="s">
        <v>31</v>
      </c>
      <c r="D1715">
        <v>2050</v>
      </c>
      <c r="E1715" t="s">
        <v>119</v>
      </c>
      <c r="F1715" t="s">
        <v>110</v>
      </c>
      <c r="G1715" t="s">
        <v>31</v>
      </c>
      <c r="H1715">
        <v>1058.9517587116018</v>
      </c>
      <c r="I1715">
        <v>62964.487164281672</v>
      </c>
      <c r="J1715">
        <v>0</v>
      </c>
      <c r="K1715">
        <v>62964.487164281672</v>
      </c>
    </row>
    <row r="1716" spans="1:11" x14ac:dyDescent="0.25">
      <c r="A1716" t="s">
        <v>143</v>
      </c>
      <c r="B1716" t="s">
        <v>28</v>
      </c>
      <c r="C1716" t="s">
        <v>55</v>
      </c>
      <c r="D1716">
        <v>2050</v>
      </c>
      <c r="E1716" t="s">
        <v>119</v>
      </c>
      <c r="F1716" t="s">
        <v>110</v>
      </c>
      <c r="G1716" t="s">
        <v>55</v>
      </c>
      <c r="H1716">
        <v>11.451570708820819</v>
      </c>
      <c r="I1716">
        <v>1302.6759897663992</v>
      </c>
      <c r="J1716">
        <v>0</v>
      </c>
      <c r="K1716">
        <v>1302.6759897663992</v>
      </c>
    </row>
    <row r="1717" spans="1:11" x14ac:dyDescent="0.25">
      <c r="A1717" t="s">
        <v>143</v>
      </c>
      <c r="B1717" t="s">
        <v>28</v>
      </c>
      <c r="C1717" t="s">
        <v>54</v>
      </c>
      <c r="D1717">
        <v>2050</v>
      </c>
      <c r="E1717" t="s">
        <v>119</v>
      </c>
      <c r="F1717" t="s">
        <v>110</v>
      </c>
      <c r="G1717" t="s">
        <v>54</v>
      </c>
      <c r="H1717">
        <v>1424.1149237833358</v>
      </c>
      <c r="I1717">
        <v>88742.297360634795</v>
      </c>
      <c r="J1717">
        <v>0</v>
      </c>
      <c r="K1717">
        <v>88742.297360634795</v>
      </c>
    </row>
    <row r="1718" spans="1:11" x14ac:dyDescent="0.25">
      <c r="A1718" t="s">
        <v>143</v>
      </c>
      <c r="B1718" t="s">
        <v>28</v>
      </c>
      <c r="C1718" t="s">
        <v>41</v>
      </c>
      <c r="D1718">
        <v>2050</v>
      </c>
      <c r="E1718" t="s">
        <v>119</v>
      </c>
      <c r="F1718" t="s">
        <v>110</v>
      </c>
      <c r="G1718" t="s">
        <v>41</v>
      </c>
      <c r="H1718">
        <v>40.810806115445544</v>
      </c>
      <c r="I1718">
        <v>485.07724148818579</v>
      </c>
      <c r="J1718">
        <v>0</v>
      </c>
      <c r="K1718">
        <v>485.07724148818579</v>
      </c>
    </row>
    <row r="1719" spans="1:11" x14ac:dyDescent="0.25">
      <c r="A1719" t="s">
        <v>143</v>
      </c>
      <c r="B1719" t="s">
        <v>28</v>
      </c>
      <c r="C1719" t="s">
        <v>80</v>
      </c>
      <c r="D1719">
        <v>2050</v>
      </c>
      <c r="E1719" t="s">
        <v>119</v>
      </c>
      <c r="F1719" t="s">
        <v>110</v>
      </c>
      <c r="G1719" t="s">
        <v>80</v>
      </c>
      <c r="H1719">
        <v>721.77589275088224</v>
      </c>
      <c r="I1719">
        <v>30108.391216366432</v>
      </c>
      <c r="J1719">
        <v>0</v>
      </c>
      <c r="K1719">
        <v>30108.391216366432</v>
      </c>
    </row>
    <row r="1720" spans="1:11" x14ac:dyDescent="0.25">
      <c r="A1720" t="s">
        <v>143</v>
      </c>
      <c r="B1720" t="s">
        <v>28</v>
      </c>
      <c r="C1720" t="s">
        <v>75</v>
      </c>
      <c r="D1720">
        <v>2050</v>
      </c>
      <c r="E1720" t="s">
        <v>119</v>
      </c>
      <c r="F1720" t="s">
        <v>110</v>
      </c>
      <c r="G1720" t="s">
        <v>52</v>
      </c>
      <c r="H1720">
        <v>2296.4495748444288</v>
      </c>
      <c r="I1720">
        <v>45939.10750261067</v>
      </c>
      <c r="J1720">
        <v>7587.4693952859907</v>
      </c>
      <c r="K1720">
        <v>7587.4693952859907</v>
      </c>
    </row>
    <row r="1721" spans="1:11" x14ac:dyDescent="0.25">
      <c r="A1721" t="s">
        <v>143</v>
      </c>
      <c r="B1721" t="s">
        <v>28</v>
      </c>
      <c r="C1721" t="s">
        <v>78</v>
      </c>
      <c r="D1721">
        <v>2050</v>
      </c>
      <c r="E1721" t="s">
        <v>119</v>
      </c>
      <c r="F1721" t="s">
        <v>110</v>
      </c>
      <c r="G1721" t="s">
        <v>78</v>
      </c>
      <c r="H1721">
        <v>204.6883954391258</v>
      </c>
      <c r="I1721">
        <v>14328.187680738807</v>
      </c>
      <c r="J1721">
        <v>0</v>
      </c>
      <c r="K1721">
        <v>14328.187680738807</v>
      </c>
    </row>
    <row r="1722" spans="1:11" x14ac:dyDescent="0.25">
      <c r="A1722" t="s">
        <v>143</v>
      </c>
      <c r="B1722" t="s">
        <v>28</v>
      </c>
      <c r="C1722" t="s">
        <v>65</v>
      </c>
      <c r="D1722">
        <v>2050</v>
      </c>
      <c r="E1722" t="s">
        <v>119</v>
      </c>
      <c r="F1722" t="s">
        <v>110</v>
      </c>
      <c r="G1722" t="s">
        <v>65</v>
      </c>
      <c r="H1722">
        <v>483.1718383085061</v>
      </c>
      <c r="I1722">
        <v>16498.550576388014</v>
      </c>
      <c r="J1722">
        <v>0</v>
      </c>
      <c r="K1722">
        <v>16498.550576388014</v>
      </c>
    </row>
    <row r="1723" spans="1:11" x14ac:dyDescent="0.25">
      <c r="A1723" t="s">
        <v>143</v>
      </c>
      <c r="B1723" t="s">
        <v>28</v>
      </c>
      <c r="C1723" t="s">
        <v>120</v>
      </c>
      <c r="D1723">
        <v>2050</v>
      </c>
      <c r="E1723" t="s">
        <v>119</v>
      </c>
      <c r="F1723" t="s">
        <v>110</v>
      </c>
      <c r="G1723" t="s">
        <v>53</v>
      </c>
      <c r="H1723">
        <v>17870.23806739807</v>
      </c>
      <c r="I1723">
        <v>345002.81612918718</v>
      </c>
      <c r="J1723">
        <v>0</v>
      </c>
      <c r="K1723">
        <v>345002.81612918718</v>
      </c>
    </row>
    <row r="1724" spans="1:11" x14ac:dyDescent="0.25">
      <c r="A1724" t="s">
        <v>143</v>
      </c>
      <c r="B1724" t="s">
        <v>28</v>
      </c>
      <c r="C1724" t="s">
        <v>29</v>
      </c>
      <c r="D1724">
        <v>2019</v>
      </c>
      <c r="E1724" t="s">
        <v>121</v>
      </c>
      <c r="F1724" t="s">
        <v>110</v>
      </c>
      <c r="G1724" t="s">
        <v>52</v>
      </c>
      <c r="H1724">
        <v>1521.2775270361781</v>
      </c>
      <c r="I1724">
        <v>10002.977825723145</v>
      </c>
      <c r="J1724">
        <v>3264.9469548714701</v>
      </c>
      <c r="K1724">
        <v>3264.9469548714701</v>
      </c>
    </row>
    <row r="1725" spans="1:11" x14ac:dyDescent="0.25">
      <c r="A1725" t="s">
        <v>143</v>
      </c>
      <c r="B1725" t="s">
        <v>28</v>
      </c>
      <c r="C1725" t="s">
        <v>34</v>
      </c>
      <c r="D1725">
        <v>2019</v>
      </c>
      <c r="E1725" t="s">
        <v>121</v>
      </c>
      <c r="F1725" t="s">
        <v>110</v>
      </c>
      <c r="G1725" t="s">
        <v>52</v>
      </c>
      <c r="H1725">
        <v>87.593976908399355</v>
      </c>
      <c r="I1725">
        <v>269.81397519140432</v>
      </c>
      <c r="J1725">
        <v>80.102033939855289</v>
      </c>
      <c r="K1725">
        <v>80.102033939855289</v>
      </c>
    </row>
    <row r="1726" spans="1:11" x14ac:dyDescent="0.25">
      <c r="A1726" t="s">
        <v>143</v>
      </c>
      <c r="B1726" t="s">
        <v>28</v>
      </c>
      <c r="C1726" t="s">
        <v>72</v>
      </c>
      <c r="D1726">
        <v>2019</v>
      </c>
      <c r="E1726" t="s">
        <v>121</v>
      </c>
      <c r="F1726" t="s">
        <v>110</v>
      </c>
      <c r="G1726" t="s">
        <v>52</v>
      </c>
      <c r="H1726">
        <v>113.43023364094317</v>
      </c>
      <c r="I1726">
        <v>384.3016315755155</v>
      </c>
      <c r="J1726">
        <v>205.25742293264076</v>
      </c>
      <c r="K1726">
        <v>205.25742293264076</v>
      </c>
    </row>
    <row r="1727" spans="1:11" x14ac:dyDescent="0.25">
      <c r="A1727" t="s">
        <v>143</v>
      </c>
      <c r="B1727" t="s">
        <v>28</v>
      </c>
      <c r="C1727" t="s">
        <v>53</v>
      </c>
      <c r="D1727">
        <v>2019</v>
      </c>
      <c r="E1727" t="s">
        <v>121</v>
      </c>
      <c r="F1727" t="s">
        <v>110</v>
      </c>
      <c r="G1727" t="s">
        <v>53</v>
      </c>
      <c r="H1727">
        <v>2616.0592560989035</v>
      </c>
      <c r="I1727">
        <v>141751.27543408933</v>
      </c>
      <c r="J1727">
        <v>0</v>
      </c>
      <c r="K1727">
        <v>141751.27543408933</v>
      </c>
    </row>
    <row r="1728" spans="1:11" x14ac:dyDescent="0.25">
      <c r="A1728" t="s">
        <v>143</v>
      </c>
      <c r="B1728" t="s">
        <v>28</v>
      </c>
      <c r="C1728" t="s">
        <v>30</v>
      </c>
      <c r="D1728">
        <v>2019</v>
      </c>
      <c r="E1728" t="s">
        <v>121</v>
      </c>
      <c r="F1728" t="s">
        <v>110</v>
      </c>
      <c r="G1728" t="s">
        <v>30</v>
      </c>
      <c r="H1728">
        <v>3.0406783938354529</v>
      </c>
      <c r="I1728">
        <v>50.34907318432434</v>
      </c>
      <c r="J1728">
        <v>0</v>
      </c>
      <c r="K1728">
        <v>50.34907318432434</v>
      </c>
    </row>
    <row r="1729" spans="1:11" x14ac:dyDescent="0.25">
      <c r="A1729" t="s">
        <v>143</v>
      </c>
      <c r="B1729" t="s">
        <v>28</v>
      </c>
      <c r="C1729" t="s">
        <v>31</v>
      </c>
      <c r="D1729">
        <v>2019</v>
      </c>
      <c r="E1729" t="s">
        <v>121</v>
      </c>
      <c r="F1729" t="s">
        <v>110</v>
      </c>
      <c r="G1729" t="s">
        <v>31</v>
      </c>
      <c r="H1729">
        <v>160.94399904722869</v>
      </c>
      <c r="I1729">
        <v>5454.6782503755512</v>
      </c>
      <c r="J1729">
        <v>0</v>
      </c>
      <c r="K1729">
        <v>5454.6782503755512</v>
      </c>
    </row>
    <row r="1730" spans="1:11" x14ac:dyDescent="0.25">
      <c r="A1730" t="s">
        <v>143</v>
      </c>
      <c r="B1730" t="s">
        <v>28</v>
      </c>
      <c r="C1730" t="s">
        <v>55</v>
      </c>
      <c r="D1730">
        <v>2019</v>
      </c>
      <c r="E1730" t="s">
        <v>121</v>
      </c>
      <c r="F1730" t="s">
        <v>110</v>
      </c>
      <c r="G1730" t="s">
        <v>55</v>
      </c>
      <c r="H1730">
        <v>1.7404584959489884</v>
      </c>
      <c r="I1730">
        <v>112.85216014109164</v>
      </c>
      <c r="J1730">
        <v>0</v>
      </c>
      <c r="K1730">
        <v>112.85216014109164</v>
      </c>
    </row>
    <row r="1731" spans="1:11" x14ac:dyDescent="0.25">
      <c r="A1731" t="s">
        <v>143</v>
      </c>
      <c r="B1731" t="s">
        <v>28</v>
      </c>
      <c r="C1731" t="s">
        <v>54</v>
      </c>
      <c r="D1731">
        <v>2019</v>
      </c>
      <c r="E1731" t="s">
        <v>121</v>
      </c>
      <c r="F1731" t="s">
        <v>110</v>
      </c>
      <c r="G1731" t="s">
        <v>54</v>
      </c>
      <c r="H1731">
        <v>216.44305234016915</v>
      </c>
      <c r="I1731">
        <v>11194.568861726002</v>
      </c>
      <c r="J1731">
        <v>0</v>
      </c>
      <c r="K1731">
        <v>11194.568861726002</v>
      </c>
    </row>
    <row r="1732" spans="1:11" x14ac:dyDescent="0.25">
      <c r="A1732" t="s">
        <v>143</v>
      </c>
      <c r="B1732" t="s">
        <v>28</v>
      </c>
      <c r="C1732" t="s">
        <v>41</v>
      </c>
      <c r="D1732">
        <v>2019</v>
      </c>
      <c r="E1732" t="s">
        <v>121</v>
      </c>
      <c r="F1732" t="s">
        <v>110</v>
      </c>
      <c r="G1732" t="s">
        <v>41</v>
      </c>
      <c r="H1732">
        <v>6.2026001529591133</v>
      </c>
      <c r="I1732">
        <v>42.022740088301049</v>
      </c>
      <c r="J1732">
        <v>0</v>
      </c>
      <c r="K1732">
        <v>42.022740088301049</v>
      </c>
    </row>
    <row r="1733" spans="1:11" x14ac:dyDescent="0.25">
      <c r="A1733" t="s">
        <v>143</v>
      </c>
      <c r="B1733" t="s">
        <v>28</v>
      </c>
      <c r="C1733" t="s">
        <v>80</v>
      </c>
      <c r="D1733">
        <v>2019</v>
      </c>
      <c r="E1733" t="s">
        <v>121</v>
      </c>
      <c r="F1733" t="s">
        <v>110</v>
      </c>
      <c r="G1733" t="s">
        <v>80</v>
      </c>
      <c r="H1733">
        <v>109.69857468913038</v>
      </c>
      <c r="I1733">
        <v>2608.3208824239755</v>
      </c>
      <c r="J1733">
        <v>0</v>
      </c>
      <c r="K1733">
        <v>2608.3208824239755</v>
      </c>
    </row>
    <row r="1734" spans="1:11" x14ac:dyDescent="0.25">
      <c r="A1734" t="s">
        <v>143</v>
      </c>
      <c r="B1734" t="s">
        <v>28</v>
      </c>
      <c r="C1734" t="s">
        <v>75</v>
      </c>
      <c r="D1734">
        <v>2019</v>
      </c>
      <c r="E1734" t="s">
        <v>121</v>
      </c>
      <c r="F1734" t="s">
        <v>110</v>
      </c>
      <c r="G1734" t="s">
        <v>52</v>
      </c>
      <c r="H1734">
        <v>349.0241884441013</v>
      </c>
      <c r="I1734">
        <v>3979.7521082376879</v>
      </c>
      <c r="J1734">
        <v>661.15386758582895</v>
      </c>
      <c r="K1734">
        <v>661.15386758582895</v>
      </c>
    </row>
    <row r="1735" spans="1:11" x14ac:dyDescent="0.25">
      <c r="A1735" t="s">
        <v>143</v>
      </c>
      <c r="B1735" t="s">
        <v>28</v>
      </c>
      <c r="C1735" t="s">
        <v>78</v>
      </c>
      <c r="D1735">
        <v>2019</v>
      </c>
      <c r="E1735" t="s">
        <v>121</v>
      </c>
      <c r="F1735" t="s">
        <v>110</v>
      </c>
      <c r="G1735" t="s">
        <v>78</v>
      </c>
      <c r="H1735">
        <v>31.109414238675758</v>
      </c>
      <c r="I1735">
        <v>1241.2656281231625</v>
      </c>
      <c r="J1735">
        <v>0</v>
      </c>
      <c r="K1735">
        <v>1241.2656281231625</v>
      </c>
    </row>
    <row r="1736" spans="1:11" x14ac:dyDescent="0.25">
      <c r="A1736" t="s">
        <v>143</v>
      </c>
      <c r="B1736" t="s">
        <v>28</v>
      </c>
      <c r="C1736" t="s">
        <v>65</v>
      </c>
      <c r="D1736">
        <v>2019</v>
      </c>
      <c r="E1736" t="s">
        <v>121</v>
      </c>
      <c r="F1736" t="s">
        <v>110</v>
      </c>
      <c r="G1736" t="s">
        <v>65</v>
      </c>
      <c r="H1736">
        <v>73.434514126483776</v>
      </c>
      <c r="I1736">
        <v>1429.2863969008304</v>
      </c>
      <c r="J1736">
        <v>0</v>
      </c>
      <c r="K1736">
        <v>1429.2863969008304</v>
      </c>
    </row>
    <row r="1737" spans="1:11" x14ac:dyDescent="0.25">
      <c r="A1737" t="s">
        <v>143</v>
      </c>
      <c r="B1737" t="s">
        <v>28</v>
      </c>
      <c r="C1737" t="s">
        <v>120</v>
      </c>
      <c r="D1737">
        <v>2019</v>
      </c>
      <c r="E1737" t="s">
        <v>121</v>
      </c>
      <c r="F1737" t="s">
        <v>110</v>
      </c>
      <c r="G1737" t="s">
        <v>53</v>
      </c>
      <c r="H1737">
        <v>2715.9949023479103</v>
      </c>
      <c r="I1737">
        <v>52434.997584728757</v>
      </c>
      <c r="J1737">
        <v>0</v>
      </c>
      <c r="K1737">
        <v>52434.997584728757</v>
      </c>
    </row>
    <row r="1738" spans="1:11" x14ac:dyDescent="0.25">
      <c r="A1738" t="s">
        <v>143</v>
      </c>
      <c r="B1738" t="s">
        <v>28</v>
      </c>
      <c r="C1738" t="s">
        <v>29</v>
      </c>
      <c r="D1738">
        <v>2030</v>
      </c>
      <c r="E1738" t="s">
        <v>121</v>
      </c>
      <c r="F1738" t="s">
        <v>110</v>
      </c>
      <c r="G1738" t="s">
        <v>52</v>
      </c>
      <c r="H1738">
        <v>1637.9085780848618</v>
      </c>
      <c r="I1738">
        <v>10769.871306167639</v>
      </c>
      <c r="J1738">
        <v>3494.8232388513989</v>
      </c>
      <c r="K1738">
        <v>3494.8232388513989</v>
      </c>
    </row>
    <row r="1739" spans="1:11" x14ac:dyDescent="0.25">
      <c r="A1739" t="s">
        <v>143</v>
      </c>
      <c r="B1739" t="s">
        <v>28</v>
      </c>
      <c r="C1739" t="s">
        <v>34</v>
      </c>
      <c r="D1739">
        <v>2030</v>
      </c>
      <c r="E1739" t="s">
        <v>121</v>
      </c>
      <c r="F1739" t="s">
        <v>110</v>
      </c>
      <c r="G1739" t="s">
        <v>52</v>
      </c>
      <c r="H1739">
        <v>94.309502123751969</v>
      </c>
      <c r="I1739">
        <v>290.49967320175068</v>
      </c>
      <c r="J1739">
        <v>85.741806394306337</v>
      </c>
      <c r="K1739">
        <v>85.741806394306337</v>
      </c>
    </row>
    <row r="1740" spans="1:11" x14ac:dyDescent="0.25">
      <c r="A1740" t="s">
        <v>143</v>
      </c>
      <c r="B1740" t="s">
        <v>28</v>
      </c>
      <c r="C1740" t="s">
        <v>72</v>
      </c>
      <c r="D1740">
        <v>2030</v>
      </c>
      <c r="E1740" t="s">
        <v>121</v>
      </c>
      <c r="F1740" t="s">
        <v>110</v>
      </c>
      <c r="G1740" t="s">
        <v>52</v>
      </c>
      <c r="H1740">
        <v>122.12653470049754</v>
      </c>
      <c r="I1740">
        <v>413.76469956528575</v>
      </c>
      <c r="J1740">
        <v>219.70905546916671</v>
      </c>
      <c r="K1740">
        <v>219.70905546916671</v>
      </c>
    </row>
    <row r="1741" spans="1:11" x14ac:dyDescent="0.25">
      <c r="A1741" t="s">
        <v>143</v>
      </c>
      <c r="B1741" t="s">
        <v>28</v>
      </c>
      <c r="C1741" t="s">
        <v>53</v>
      </c>
      <c r="D1741">
        <v>2030</v>
      </c>
      <c r="E1741" t="s">
        <v>121</v>
      </c>
      <c r="F1741" t="s">
        <v>110</v>
      </c>
      <c r="G1741" t="s">
        <v>53</v>
      </c>
      <c r="H1741">
        <v>2816.6234103849979</v>
      </c>
      <c r="I1741">
        <v>152618.85215664754</v>
      </c>
      <c r="J1741">
        <v>0</v>
      </c>
      <c r="K1741">
        <v>152618.85215664754</v>
      </c>
    </row>
    <row r="1742" spans="1:11" x14ac:dyDescent="0.25">
      <c r="A1742" t="s">
        <v>143</v>
      </c>
      <c r="B1742" t="s">
        <v>28</v>
      </c>
      <c r="C1742" t="s">
        <v>30</v>
      </c>
      <c r="D1742">
        <v>2030</v>
      </c>
      <c r="E1742" t="s">
        <v>121</v>
      </c>
      <c r="F1742" t="s">
        <v>110</v>
      </c>
      <c r="G1742" t="s">
        <v>30</v>
      </c>
      <c r="H1742">
        <v>3.2737966189268159</v>
      </c>
      <c r="I1742">
        <v>54.209161314499674</v>
      </c>
      <c r="J1742">
        <v>0</v>
      </c>
      <c r="K1742">
        <v>54.209161314499674</v>
      </c>
    </row>
    <row r="1743" spans="1:11" x14ac:dyDescent="0.25">
      <c r="A1743" t="s">
        <v>143</v>
      </c>
      <c r="B1743" t="s">
        <v>28</v>
      </c>
      <c r="C1743" t="s">
        <v>31</v>
      </c>
      <c r="D1743">
        <v>2030</v>
      </c>
      <c r="E1743" t="s">
        <v>121</v>
      </c>
      <c r="F1743" t="s">
        <v>110</v>
      </c>
      <c r="G1743" t="s">
        <v>31</v>
      </c>
      <c r="H1743">
        <v>173.28301506189848</v>
      </c>
      <c r="I1743">
        <v>5872.8694391411809</v>
      </c>
      <c r="J1743">
        <v>0</v>
      </c>
      <c r="K1743">
        <v>5872.8694391411809</v>
      </c>
    </row>
    <row r="1744" spans="1:11" x14ac:dyDescent="0.25">
      <c r="A1744" t="s">
        <v>143</v>
      </c>
      <c r="B1744" t="s">
        <v>28</v>
      </c>
      <c r="C1744" t="s">
        <v>55</v>
      </c>
      <c r="D1744">
        <v>2030</v>
      </c>
      <c r="E1744" t="s">
        <v>121</v>
      </c>
      <c r="F1744" t="s">
        <v>110</v>
      </c>
      <c r="G1744" t="s">
        <v>55</v>
      </c>
      <c r="H1744">
        <v>1.8738933887161342</v>
      </c>
      <c r="I1744">
        <v>121.50414231821139</v>
      </c>
      <c r="J1744">
        <v>0</v>
      </c>
      <c r="K1744">
        <v>121.50414231821139</v>
      </c>
    </row>
    <row r="1745" spans="1:11" x14ac:dyDescent="0.25">
      <c r="A1745" t="s">
        <v>143</v>
      </c>
      <c r="B1745" t="s">
        <v>28</v>
      </c>
      <c r="C1745" t="s">
        <v>54</v>
      </c>
      <c r="D1745">
        <v>2030</v>
      </c>
      <c r="E1745" t="s">
        <v>121</v>
      </c>
      <c r="F1745" t="s">
        <v>110</v>
      </c>
      <c r="G1745" t="s">
        <v>54</v>
      </c>
      <c r="H1745">
        <v>233.03698752818224</v>
      </c>
      <c r="I1745">
        <v>12052.817477889854</v>
      </c>
      <c r="J1745">
        <v>0</v>
      </c>
      <c r="K1745">
        <v>12052.817477889854</v>
      </c>
    </row>
    <row r="1746" spans="1:11" x14ac:dyDescent="0.25">
      <c r="A1746" t="s">
        <v>143</v>
      </c>
      <c r="B1746" t="s">
        <v>28</v>
      </c>
      <c r="C1746" t="s">
        <v>41</v>
      </c>
      <c r="D1746">
        <v>2030</v>
      </c>
      <c r="E1746" t="s">
        <v>121</v>
      </c>
      <c r="F1746" t="s">
        <v>110</v>
      </c>
      <c r="G1746" t="s">
        <v>41</v>
      </c>
      <c r="H1746">
        <v>6.6781319098001797</v>
      </c>
      <c r="I1746">
        <v>45.24447725153442</v>
      </c>
      <c r="J1746">
        <v>0</v>
      </c>
      <c r="K1746">
        <v>45.24447725153442</v>
      </c>
    </row>
    <row r="1747" spans="1:11" x14ac:dyDescent="0.25">
      <c r="A1747" t="s">
        <v>143</v>
      </c>
      <c r="B1747" t="s">
        <v>28</v>
      </c>
      <c r="C1747" t="s">
        <v>80</v>
      </c>
      <c r="D1747">
        <v>2030</v>
      </c>
      <c r="E1747" t="s">
        <v>121</v>
      </c>
      <c r="F1747" t="s">
        <v>110</v>
      </c>
      <c r="G1747" t="s">
        <v>80</v>
      </c>
      <c r="H1747">
        <v>118.10878245014437</v>
      </c>
      <c r="I1747">
        <v>2808.291762544723</v>
      </c>
      <c r="J1747">
        <v>0</v>
      </c>
      <c r="K1747">
        <v>2808.291762544723</v>
      </c>
    </row>
    <row r="1748" spans="1:11" x14ac:dyDescent="0.25">
      <c r="A1748" t="s">
        <v>143</v>
      </c>
      <c r="B1748" t="s">
        <v>28</v>
      </c>
      <c r="C1748" t="s">
        <v>75</v>
      </c>
      <c r="D1748">
        <v>2030</v>
      </c>
      <c r="E1748" t="s">
        <v>121</v>
      </c>
      <c r="F1748" t="s">
        <v>110</v>
      </c>
      <c r="G1748" t="s">
        <v>52</v>
      </c>
      <c r="H1748">
        <v>375.78265770181565</v>
      </c>
      <c r="I1748">
        <v>4284.8658452435047</v>
      </c>
      <c r="J1748">
        <v>707.70396359667529</v>
      </c>
      <c r="K1748">
        <v>707.70396359667529</v>
      </c>
    </row>
    <row r="1749" spans="1:11" x14ac:dyDescent="0.25">
      <c r="A1749" t="s">
        <v>143</v>
      </c>
      <c r="B1749" t="s">
        <v>28</v>
      </c>
      <c r="C1749" t="s">
        <v>78</v>
      </c>
      <c r="D1749">
        <v>2030</v>
      </c>
      <c r="E1749" t="s">
        <v>121</v>
      </c>
      <c r="F1749" t="s">
        <v>110</v>
      </c>
      <c r="G1749" t="s">
        <v>78</v>
      </c>
      <c r="H1749">
        <v>33.494464708220583</v>
      </c>
      <c r="I1749">
        <v>1336.4291418580012</v>
      </c>
      <c r="J1749">
        <v>0</v>
      </c>
      <c r="K1749">
        <v>1336.4291418580012</v>
      </c>
    </row>
    <row r="1750" spans="1:11" x14ac:dyDescent="0.25">
      <c r="A1750" t="s">
        <v>143</v>
      </c>
      <c r="B1750" t="s">
        <v>28</v>
      </c>
      <c r="C1750" t="s">
        <v>65</v>
      </c>
      <c r="D1750">
        <v>2030</v>
      </c>
      <c r="E1750" t="s">
        <v>121</v>
      </c>
      <c r="F1750" t="s">
        <v>110</v>
      </c>
      <c r="G1750" t="s">
        <v>65</v>
      </c>
      <c r="H1750">
        <v>79.064482632301008</v>
      </c>
      <c r="I1750">
        <v>1538.8648083067364</v>
      </c>
      <c r="J1750">
        <v>0</v>
      </c>
      <c r="K1750">
        <v>1538.8648083067364</v>
      </c>
    </row>
    <row r="1751" spans="1:11" x14ac:dyDescent="0.25">
      <c r="A1751" t="s">
        <v>143</v>
      </c>
      <c r="B1751" t="s">
        <v>28</v>
      </c>
      <c r="C1751" t="s">
        <v>120</v>
      </c>
      <c r="D1751">
        <v>2030</v>
      </c>
      <c r="E1751" t="s">
        <v>121</v>
      </c>
      <c r="F1751" t="s">
        <v>110</v>
      </c>
      <c r="G1751" t="s">
        <v>53</v>
      </c>
      <c r="H1751">
        <v>2924.2207746651384</v>
      </c>
      <c r="I1751">
        <v>56455.006275685155</v>
      </c>
      <c r="J1751">
        <v>0</v>
      </c>
      <c r="K1751">
        <v>56455.006275685155</v>
      </c>
    </row>
    <row r="1752" spans="1:11" x14ac:dyDescent="0.25">
      <c r="A1752" t="s">
        <v>143</v>
      </c>
      <c r="B1752" t="s">
        <v>28</v>
      </c>
      <c r="C1752" t="s">
        <v>29</v>
      </c>
      <c r="D1752">
        <v>2050</v>
      </c>
      <c r="E1752" t="s">
        <v>121</v>
      </c>
      <c r="F1752" t="s">
        <v>110</v>
      </c>
      <c r="G1752" t="s">
        <v>52</v>
      </c>
      <c r="H1752">
        <v>2123.2148234433389</v>
      </c>
      <c r="I1752">
        <v>13960.944285772861</v>
      </c>
      <c r="J1752">
        <v>4530.3264207332932</v>
      </c>
      <c r="K1752">
        <v>4530.3264207332932</v>
      </c>
    </row>
    <row r="1753" spans="1:11" x14ac:dyDescent="0.25">
      <c r="A1753" t="s">
        <v>143</v>
      </c>
      <c r="B1753" t="s">
        <v>28</v>
      </c>
      <c r="C1753" t="s">
        <v>34</v>
      </c>
      <c r="D1753">
        <v>2050</v>
      </c>
      <c r="E1753" t="s">
        <v>121</v>
      </c>
      <c r="F1753" t="s">
        <v>110</v>
      </c>
      <c r="G1753" t="s">
        <v>52</v>
      </c>
      <c r="H1753">
        <v>122.25305830856736</v>
      </c>
      <c r="I1753">
        <v>376.57365044671383</v>
      </c>
      <c r="J1753">
        <v>111.14678606669341</v>
      </c>
      <c r="K1753">
        <v>111.14678606669341</v>
      </c>
    </row>
    <row r="1754" spans="1:11" x14ac:dyDescent="0.25">
      <c r="A1754" t="s">
        <v>143</v>
      </c>
      <c r="B1754" t="s">
        <v>28</v>
      </c>
      <c r="C1754" t="s">
        <v>72</v>
      </c>
      <c r="D1754">
        <v>2050</v>
      </c>
      <c r="E1754" t="s">
        <v>121</v>
      </c>
      <c r="F1754" t="s">
        <v>110</v>
      </c>
      <c r="G1754" t="s">
        <v>52</v>
      </c>
      <c r="H1754">
        <v>158.31217461175603</v>
      </c>
      <c r="I1754">
        <v>536.36164758462951</v>
      </c>
      <c r="J1754">
        <v>284.80803486743827</v>
      </c>
      <c r="K1754">
        <v>284.80803486743827</v>
      </c>
    </row>
    <row r="1755" spans="1:11" x14ac:dyDescent="0.25">
      <c r="A1755" t="s">
        <v>143</v>
      </c>
      <c r="B1755" t="s">
        <v>28</v>
      </c>
      <c r="C1755" t="s">
        <v>53</v>
      </c>
      <c r="D1755">
        <v>2050</v>
      </c>
      <c r="E1755" t="s">
        <v>121</v>
      </c>
      <c r="F1755" t="s">
        <v>110</v>
      </c>
      <c r="G1755" t="s">
        <v>53</v>
      </c>
      <c r="H1755">
        <v>3651.178494943515</v>
      </c>
      <c r="I1755">
        <v>197839.25279565417</v>
      </c>
      <c r="J1755">
        <v>0</v>
      </c>
      <c r="K1755">
        <v>197839.25279565417</v>
      </c>
    </row>
    <row r="1756" spans="1:11" x14ac:dyDescent="0.25">
      <c r="A1756" t="s">
        <v>143</v>
      </c>
      <c r="B1756" t="s">
        <v>28</v>
      </c>
      <c r="C1756" t="s">
        <v>30</v>
      </c>
      <c r="D1756">
        <v>2050</v>
      </c>
      <c r="E1756" t="s">
        <v>121</v>
      </c>
      <c r="F1756" t="s">
        <v>110</v>
      </c>
      <c r="G1756" t="s">
        <v>30</v>
      </c>
      <c r="H1756">
        <v>4.2438104319421681</v>
      </c>
      <c r="I1756">
        <v>70.27113503731438</v>
      </c>
      <c r="J1756">
        <v>0</v>
      </c>
      <c r="K1756">
        <v>70.27113503731438</v>
      </c>
    </row>
    <row r="1757" spans="1:11" x14ac:dyDescent="0.25">
      <c r="A1757" t="s">
        <v>143</v>
      </c>
      <c r="B1757" t="s">
        <v>28</v>
      </c>
      <c r="C1757" t="s">
        <v>31</v>
      </c>
      <c r="D1757">
        <v>2050</v>
      </c>
      <c r="E1757" t="s">
        <v>121</v>
      </c>
      <c r="F1757" t="s">
        <v>110</v>
      </c>
      <c r="G1757" t="s">
        <v>31</v>
      </c>
      <c r="H1757">
        <v>224.62613063579431</v>
      </c>
      <c r="I1757">
        <v>7612.9789025904211</v>
      </c>
      <c r="J1757">
        <v>0</v>
      </c>
      <c r="K1757">
        <v>7612.9789025904211</v>
      </c>
    </row>
    <row r="1758" spans="1:11" x14ac:dyDescent="0.25">
      <c r="A1758" t="s">
        <v>143</v>
      </c>
      <c r="B1758" t="s">
        <v>28</v>
      </c>
      <c r="C1758" t="s">
        <v>55</v>
      </c>
      <c r="D1758">
        <v>2050</v>
      </c>
      <c r="E1758" t="s">
        <v>121</v>
      </c>
      <c r="F1758" t="s">
        <v>110</v>
      </c>
      <c r="G1758" t="s">
        <v>55</v>
      </c>
      <c r="H1758">
        <v>2.4291210594468406</v>
      </c>
      <c r="I1758">
        <v>157.50536967175552</v>
      </c>
      <c r="J1758">
        <v>0</v>
      </c>
      <c r="K1758">
        <v>157.50536967175552</v>
      </c>
    </row>
    <row r="1759" spans="1:11" x14ac:dyDescent="0.25">
      <c r="A1759" t="s">
        <v>143</v>
      </c>
      <c r="B1759" t="s">
        <v>28</v>
      </c>
      <c r="C1759" t="s">
        <v>54</v>
      </c>
      <c r="D1759">
        <v>2050</v>
      </c>
      <c r="E1759" t="s">
        <v>121</v>
      </c>
      <c r="F1759" t="s">
        <v>110</v>
      </c>
      <c r="G1759" t="s">
        <v>54</v>
      </c>
      <c r="H1759">
        <v>302.08498383282881</v>
      </c>
      <c r="I1759">
        <v>15624.022656523883</v>
      </c>
      <c r="J1759">
        <v>0</v>
      </c>
      <c r="K1759">
        <v>15624.022656523883</v>
      </c>
    </row>
    <row r="1760" spans="1:11" x14ac:dyDescent="0.25">
      <c r="A1760" t="s">
        <v>143</v>
      </c>
      <c r="B1760" t="s">
        <v>28</v>
      </c>
      <c r="C1760" t="s">
        <v>41</v>
      </c>
      <c r="D1760">
        <v>2050</v>
      </c>
      <c r="E1760" t="s">
        <v>121</v>
      </c>
      <c r="F1760" t="s">
        <v>110</v>
      </c>
      <c r="G1760" t="s">
        <v>41</v>
      </c>
      <c r="H1760">
        <v>8.6568376608520836</v>
      </c>
      <c r="I1760">
        <v>58.650248289026081</v>
      </c>
      <c r="J1760">
        <v>0</v>
      </c>
      <c r="K1760">
        <v>58.650248289026081</v>
      </c>
    </row>
    <row r="1761" spans="1:11" x14ac:dyDescent="0.25">
      <c r="A1761" t="s">
        <v>143</v>
      </c>
      <c r="B1761" t="s">
        <v>28</v>
      </c>
      <c r="C1761" t="s">
        <v>80</v>
      </c>
      <c r="D1761">
        <v>2050</v>
      </c>
      <c r="E1761" t="s">
        <v>121</v>
      </c>
      <c r="F1761" t="s">
        <v>110</v>
      </c>
      <c r="G1761" t="s">
        <v>80</v>
      </c>
      <c r="H1761">
        <v>153.10397725018711</v>
      </c>
      <c r="I1761">
        <v>3640.3782107061229</v>
      </c>
      <c r="J1761">
        <v>0</v>
      </c>
      <c r="K1761">
        <v>3640.3782107061229</v>
      </c>
    </row>
    <row r="1762" spans="1:11" x14ac:dyDescent="0.25">
      <c r="A1762" t="s">
        <v>143</v>
      </c>
      <c r="B1762" t="s">
        <v>28</v>
      </c>
      <c r="C1762" t="s">
        <v>75</v>
      </c>
      <c r="D1762">
        <v>2050</v>
      </c>
      <c r="E1762" t="s">
        <v>121</v>
      </c>
      <c r="F1762" t="s">
        <v>110</v>
      </c>
      <c r="G1762" t="s">
        <v>52</v>
      </c>
      <c r="H1762">
        <v>487.12566739124247</v>
      </c>
      <c r="I1762">
        <v>5554.4557253156536</v>
      </c>
      <c r="J1762">
        <v>917.39402688457892</v>
      </c>
      <c r="K1762">
        <v>917.39402688457892</v>
      </c>
    </row>
    <row r="1763" spans="1:11" x14ac:dyDescent="0.25">
      <c r="A1763" t="s">
        <v>143</v>
      </c>
      <c r="B1763" t="s">
        <v>28</v>
      </c>
      <c r="C1763" t="s">
        <v>78</v>
      </c>
      <c r="D1763">
        <v>2050</v>
      </c>
      <c r="E1763" t="s">
        <v>121</v>
      </c>
      <c r="F1763" t="s">
        <v>110</v>
      </c>
      <c r="G1763" t="s">
        <v>78</v>
      </c>
      <c r="H1763">
        <v>43.41875054769335</v>
      </c>
      <c r="I1763">
        <v>1732.4081468529648</v>
      </c>
      <c r="J1763">
        <v>0</v>
      </c>
      <c r="K1763">
        <v>1732.4081468529648</v>
      </c>
    </row>
    <row r="1764" spans="1:11" x14ac:dyDescent="0.25">
      <c r="A1764" t="s">
        <v>143</v>
      </c>
      <c r="B1764" t="s">
        <v>28</v>
      </c>
      <c r="C1764" t="s">
        <v>65</v>
      </c>
      <c r="D1764">
        <v>2050</v>
      </c>
      <c r="E1764" t="s">
        <v>121</v>
      </c>
      <c r="F1764" t="s">
        <v>110</v>
      </c>
      <c r="G1764" t="s">
        <v>65</v>
      </c>
      <c r="H1764">
        <v>102.49099600483463</v>
      </c>
      <c r="I1764">
        <v>1994.8247515087323</v>
      </c>
      <c r="J1764">
        <v>0</v>
      </c>
      <c r="K1764">
        <v>1994.8247515087323</v>
      </c>
    </row>
    <row r="1765" spans="1:11" x14ac:dyDescent="0.25">
      <c r="A1765" t="s">
        <v>143</v>
      </c>
      <c r="B1765" t="s">
        <v>28</v>
      </c>
      <c r="C1765" t="s">
        <v>120</v>
      </c>
      <c r="D1765">
        <v>2050</v>
      </c>
      <c r="E1765" t="s">
        <v>121</v>
      </c>
      <c r="F1765" t="s">
        <v>110</v>
      </c>
      <c r="G1765" t="s">
        <v>53</v>
      </c>
      <c r="H1765">
        <v>3790.6565597511053</v>
      </c>
      <c r="I1765">
        <v>73182.415542554852</v>
      </c>
      <c r="J1765">
        <v>0</v>
      </c>
      <c r="K1765">
        <v>73182.415542554852</v>
      </c>
    </row>
    <row r="1766" spans="1:11" x14ac:dyDescent="0.25">
      <c r="A1766" t="s">
        <v>143</v>
      </c>
      <c r="B1766" t="s">
        <v>43</v>
      </c>
      <c r="C1766" t="s">
        <v>29</v>
      </c>
      <c r="D1766">
        <v>2019</v>
      </c>
      <c r="E1766" t="s">
        <v>119</v>
      </c>
      <c r="F1766" t="s">
        <v>108</v>
      </c>
      <c r="G1766" t="s">
        <v>52</v>
      </c>
      <c r="H1766">
        <v>292562.01681062597</v>
      </c>
      <c r="I1766">
        <v>2050859.7378424881</v>
      </c>
      <c r="J1766">
        <v>669395.49128244352</v>
      </c>
      <c r="K1766">
        <v>669395.49128244352</v>
      </c>
    </row>
    <row r="1767" spans="1:11" x14ac:dyDescent="0.25">
      <c r="A1767" t="s">
        <v>143</v>
      </c>
      <c r="B1767" t="s">
        <v>43</v>
      </c>
      <c r="C1767" t="s">
        <v>34</v>
      </c>
      <c r="D1767">
        <v>2019</v>
      </c>
      <c r="E1767" t="s">
        <v>119</v>
      </c>
      <c r="F1767" t="s">
        <v>108</v>
      </c>
      <c r="G1767" t="s">
        <v>52</v>
      </c>
      <c r="H1767">
        <v>6376.3414137528825</v>
      </c>
      <c r="I1767">
        <v>24612.677857086128</v>
      </c>
      <c r="J1767">
        <v>7306.9808769558722</v>
      </c>
      <c r="K1767">
        <v>7306.9808769558722</v>
      </c>
    </row>
    <row r="1768" spans="1:11" x14ac:dyDescent="0.25">
      <c r="A1768" t="s">
        <v>143</v>
      </c>
      <c r="B1768" t="s">
        <v>43</v>
      </c>
      <c r="C1768" t="s">
        <v>72</v>
      </c>
      <c r="D1768">
        <v>2019</v>
      </c>
      <c r="E1768" t="s">
        <v>119</v>
      </c>
      <c r="F1768" t="s">
        <v>108</v>
      </c>
      <c r="G1768" t="s">
        <v>52</v>
      </c>
      <c r="H1768">
        <v>40447.722327584328</v>
      </c>
      <c r="I1768">
        <v>177969.97824137105</v>
      </c>
      <c r="J1768">
        <v>95054.655228607488</v>
      </c>
      <c r="K1768">
        <v>95054.655228607488</v>
      </c>
    </row>
    <row r="1769" spans="1:11" x14ac:dyDescent="0.25">
      <c r="A1769" t="s">
        <v>143</v>
      </c>
      <c r="B1769" t="s">
        <v>43</v>
      </c>
      <c r="C1769" t="s">
        <v>53</v>
      </c>
      <c r="D1769">
        <v>2019</v>
      </c>
      <c r="E1769" t="s">
        <v>119</v>
      </c>
      <c r="F1769" t="s">
        <v>108</v>
      </c>
      <c r="G1769" t="s">
        <v>53</v>
      </c>
      <c r="H1769">
        <v>24572.998517620537</v>
      </c>
      <c r="I1769">
        <v>1219312.186444331</v>
      </c>
      <c r="J1769">
        <v>0</v>
      </c>
      <c r="K1769">
        <v>1219312.186444331</v>
      </c>
    </row>
    <row r="1770" spans="1:11" x14ac:dyDescent="0.25">
      <c r="A1770" t="s">
        <v>143</v>
      </c>
      <c r="B1770" t="s">
        <v>43</v>
      </c>
      <c r="C1770" t="s">
        <v>30</v>
      </c>
      <c r="D1770">
        <v>2019</v>
      </c>
      <c r="E1770" t="s">
        <v>119</v>
      </c>
      <c r="F1770" t="s">
        <v>108</v>
      </c>
      <c r="G1770" t="s">
        <v>30</v>
      </c>
      <c r="H1770">
        <v>3850.5952952805674</v>
      </c>
      <c r="I1770">
        <v>79899.852377071773</v>
      </c>
      <c r="J1770">
        <v>0</v>
      </c>
      <c r="K1770">
        <v>79899.852377071773</v>
      </c>
    </row>
    <row r="1771" spans="1:11" x14ac:dyDescent="0.25">
      <c r="A1771" t="s">
        <v>143</v>
      </c>
      <c r="B1771" t="s">
        <v>43</v>
      </c>
      <c r="C1771" t="s">
        <v>31</v>
      </c>
      <c r="D1771">
        <v>2019</v>
      </c>
      <c r="E1771" t="s">
        <v>119</v>
      </c>
      <c r="F1771" t="s">
        <v>108</v>
      </c>
      <c r="G1771" t="s">
        <v>31</v>
      </c>
      <c r="H1771">
        <v>2470.1663355738019</v>
      </c>
      <c r="I1771">
        <v>104910.18611455506</v>
      </c>
      <c r="J1771">
        <v>0</v>
      </c>
      <c r="K1771">
        <v>104910.18611455506</v>
      </c>
    </row>
    <row r="1772" spans="1:11" x14ac:dyDescent="0.25">
      <c r="A1772" t="s">
        <v>143</v>
      </c>
      <c r="B1772" t="s">
        <v>43</v>
      </c>
      <c r="C1772" t="s">
        <v>55</v>
      </c>
      <c r="D1772">
        <v>2019</v>
      </c>
      <c r="E1772" t="s">
        <v>119</v>
      </c>
      <c r="F1772" t="s">
        <v>108</v>
      </c>
      <c r="G1772" t="s">
        <v>55</v>
      </c>
      <c r="H1772">
        <v>25678.880997566026</v>
      </c>
      <c r="I1772">
        <v>2086504.8977723797</v>
      </c>
      <c r="J1772">
        <v>0</v>
      </c>
      <c r="K1772">
        <v>2086504.8977723797</v>
      </c>
    </row>
    <row r="1773" spans="1:11" x14ac:dyDescent="0.25">
      <c r="A1773" t="s">
        <v>143</v>
      </c>
      <c r="B1773" t="s">
        <v>43</v>
      </c>
      <c r="C1773" t="s">
        <v>54</v>
      </c>
      <c r="D1773">
        <v>2019</v>
      </c>
      <c r="E1773" t="s">
        <v>119</v>
      </c>
      <c r="F1773" t="s">
        <v>108</v>
      </c>
      <c r="G1773" t="s">
        <v>54</v>
      </c>
      <c r="H1773">
        <v>7262.9431424427694</v>
      </c>
      <c r="I1773">
        <v>323273.59927012771</v>
      </c>
      <c r="J1773">
        <v>0</v>
      </c>
      <c r="K1773">
        <v>323273.59927012771</v>
      </c>
    </row>
    <row r="1774" spans="1:11" x14ac:dyDescent="0.25">
      <c r="A1774" t="s">
        <v>143</v>
      </c>
      <c r="B1774" t="s">
        <v>43</v>
      </c>
      <c r="C1774" t="s">
        <v>41</v>
      </c>
      <c r="D1774">
        <v>2019</v>
      </c>
      <c r="E1774" t="s">
        <v>119</v>
      </c>
      <c r="F1774" t="s">
        <v>108</v>
      </c>
      <c r="G1774" t="s">
        <v>41</v>
      </c>
      <c r="H1774">
        <v>1689.9505584470551</v>
      </c>
      <c r="I1774">
        <v>14347.680241215501</v>
      </c>
      <c r="J1774">
        <v>0</v>
      </c>
      <c r="K1774">
        <v>14347.680241215501</v>
      </c>
    </row>
    <row r="1775" spans="1:11" x14ac:dyDescent="0.25">
      <c r="A1775" t="s">
        <v>143</v>
      </c>
      <c r="B1775" t="s">
        <v>43</v>
      </c>
      <c r="C1775" t="s">
        <v>80</v>
      </c>
      <c r="D1775">
        <v>2019</v>
      </c>
      <c r="E1775" t="s">
        <v>119</v>
      </c>
      <c r="F1775" t="s">
        <v>108</v>
      </c>
      <c r="G1775" t="s">
        <v>80</v>
      </c>
      <c r="H1775">
        <v>12067.066633104925</v>
      </c>
      <c r="I1775">
        <v>359549.63570951426</v>
      </c>
      <c r="J1775">
        <v>0</v>
      </c>
      <c r="K1775">
        <v>359549.63570951426</v>
      </c>
    </row>
    <row r="1776" spans="1:11" x14ac:dyDescent="0.25">
      <c r="A1776" t="s">
        <v>143</v>
      </c>
      <c r="B1776" t="s">
        <v>43</v>
      </c>
      <c r="C1776" t="s">
        <v>75</v>
      </c>
      <c r="D1776">
        <v>2019</v>
      </c>
      <c r="E1776" t="s">
        <v>119</v>
      </c>
      <c r="F1776" t="s">
        <v>108</v>
      </c>
      <c r="G1776" t="s">
        <v>52</v>
      </c>
      <c r="H1776">
        <v>37335.148248827281</v>
      </c>
      <c r="I1776">
        <v>533476.73476254696</v>
      </c>
      <c r="J1776">
        <v>88626.174913066206</v>
      </c>
      <c r="K1776">
        <v>88626.174913066206</v>
      </c>
    </row>
    <row r="1777" spans="1:11" x14ac:dyDescent="0.25">
      <c r="A1777" t="s">
        <v>143</v>
      </c>
      <c r="B1777" t="s">
        <v>43</v>
      </c>
      <c r="C1777" t="s">
        <v>78</v>
      </c>
      <c r="D1777">
        <v>2019</v>
      </c>
      <c r="E1777" t="s">
        <v>119</v>
      </c>
      <c r="F1777" t="s">
        <v>108</v>
      </c>
      <c r="G1777" t="s">
        <v>78</v>
      </c>
      <c r="H1777">
        <v>2648.1429081925139</v>
      </c>
      <c r="I1777">
        <v>132407.14540962569</v>
      </c>
      <c r="J1777">
        <v>0</v>
      </c>
      <c r="K1777">
        <v>132407.14540962569</v>
      </c>
    </row>
    <row r="1778" spans="1:11" x14ac:dyDescent="0.25">
      <c r="A1778" t="s">
        <v>143</v>
      </c>
      <c r="B1778" t="s">
        <v>43</v>
      </c>
      <c r="C1778" t="s">
        <v>65</v>
      </c>
      <c r="D1778">
        <v>2019</v>
      </c>
      <c r="E1778" t="s">
        <v>119</v>
      </c>
      <c r="F1778" t="s">
        <v>108</v>
      </c>
      <c r="G1778" t="s">
        <v>65</v>
      </c>
      <c r="H1778">
        <v>1258.7577822820135</v>
      </c>
      <c r="I1778">
        <v>30701.40932395155</v>
      </c>
      <c r="J1778">
        <v>0</v>
      </c>
      <c r="K1778">
        <v>30701.40932395155</v>
      </c>
    </row>
    <row r="1779" spans="1:11" x14ac:dyDescent="0.25">
      <c r="A1779" t="s">
        <v>143</v>
      </c>
      <c r="B1779" t="s">
        <v>43</v>
      </c>
      <c r="C1779" t="s">
        <v>120</v>
      </c>
      <c r="D1779">
        <v>2019</v>
      </c>
      <c r="E1779" t="s">
        <v>119</v>
      </c>
      <c r="F1779" t="s">
        <v>108</v>
      </c>
      <c r="G1779" t="s">
        <v>53</v>
      </c>
      <c r="H1779">
        <v>31352.142273239417</v>
      </c>
      <c r="I1779">
        <v>432346.04194797156</v>
      </c>
      <c r="J1779">
        <v>0</v>
      </c>
      <c r="K1779">
        <v>432346.04194797156</v>
      </c>
    </row>
    <row r="1780" spans="1:11" x14ac:dyDescent="0.25">
      <c r="A1780" t="s">
        <v>143</v>
      </c>
      <c r="B1780" t="s">
        <v>43</v>
      </c>
      <c r="C1780" t="s">
        <v>29</v>
      </c>
      <c r="D1780">
        <v>2030</v>
      </c>
      <c r="E1780" t="s">
        <v>119</v>
      </c>
      <c r="F1780" t="s">
        <v>108</v>
      </c>
      <c r="G1780" t="s">
        <v>52</v>
      </c>
      <c r="H1780">
        <v>284372.46181096468</v>
      </c>
      <c r="I1780">
        <v>1993450.9572948625</v>
      </c>
      <c r="J1780">
        <v>646874.83564218285</v>
      </c>
      <c r="K1780">
        <v>646874.83564218285</v>
      </c>
    </row>
    <row r="1781" spans="1:11" x14ac:dyDescent="0.25">
      <c r="A1781" t="s">
        <v>143</v>
      </c>
      <c r="B1781" t="s">
        <v>43</v>
      </c>
      <c r="C1781" t="s">
        <v>34</v>
      </c>
      <c r="D1781">
        <v>2030</v>
      </c>
      <c r="E1781" t="s">
        <v>119</v>
      </c>
      <c r="F1781" t="s">
        <v>108</v>
      </c>
      <c r="G1781" t="s">
        <v>52</v>
      </c>
      <c r="H1781">
        <v>6197.8513989730473</v>
      </c>
      <c r="I1781">
        <v>23923.706400035964</v>
      </c>
      <c r="J1781">
        <v>7061.1501203360021</v>
      </c>
      <c r="K1781">
        <v>7061.1501203360021</v>
      </c>
    </row>
    <row r="1782" spans="1:11" x14ac:dyDescent="0.25">
      <c r="A1782" t="s">
        <v>143</v>
      </c>
      <c r="B1782" t="s">
        <v>43</v>
      </c>
      <c r="C1782" t="s">
        <v>72</v>
      </c>
      <c r="D1782">
        <v>2030</v>
      </c>
      <c r="E1782" t="s">
        <v>119</v>
      </c>
      <c r="F1782" t="s">
        <v>108</v>
      </c>
      <c r="G1782" t="s">
        <v>52</v>
      </c>
      <c r="H1782">
        <v>39315.487698414414</v>
      </c>
      <c r="I1782">
        <v>172988.14587302343</v>
      </c>
      <c r="J1782">
        <v>91856.705458575452</v>
      </c>
      <c r="K1782">
        <v>91856.705458575452</v>
      </c>
    </row>
    <row r="1783" spans="1:11" x14ac:dyDescent="0.25">
      <c r="A1783" t="s">
        <v>143</v>
      </c>
      <c r="B1783" t="s">
        <v>43</v>
      </c>
      <c r="C1783" t="s">
        <v>53</v>
      </c>
      <c r="D1783">
        <v>2030</v>
      </c>
      <c r="E1783" t="s">
        <v>119</v>
      </c>
      <c r="F1783" t="s">
        <v>108</v>
      </c>
      <c r="G1783" t="s">
        <v>53</v>
      </c>
      <c r="H1783">
        <v>23885.137786208805</v>
      </c>
      <c r="I1783">
        <v>1185180.5369516809</v>
      </c>
      <c r="J1783">
        <v>0</v>
      </c>
      <c r="K1783">
        <v>1185180.5369516809</v>
      </c>
    </row>
    <row r="1784" spans="1:11" x14ac:dyDescent="0.25">
      <c r="A1784" t="s">
        <v>143</v>
      </c>
      <c r="B1784" t="s">
        <v>43</v>
      </c>
      <c r="C1784" t="s">
        <v>30</v>
      </c>
      <c r="D1784">
        <v>2030</v>
      </c>
      <c r="E1784" t="s">
        <v>119</v>
      </c>
      <c r="F1784" t="s">
        <v>108</v>
      </c>
      <c r="G1784" t="s">
        <v>30</v>
      </c>
      <c r="H1784">
        <v>3742.8073387443319</v>
      </c>
      <c r="I1784">
        <v>77663.252278944885</v>
      </c>
      <c r="J1784">
        <v>0</v>
      </c>
      <c r="K1784">
        <v>77663.252278944885</v>
      </c>
    </row>
    <row r="1785" spans="1:11" x14ac:dyDescent="0.25">
      <c r="A1785" t="s">
        <v>143</v>
      </c>
      <c r="B1785" t="s">
        <v>43</v>
      </c>
      <c r="C1785" t="s">
        <v>31</v>
      </c>
      <c r="D1785">
        <v>2030</v>
      </c>
      <c r="E1785" t="s">
        <v>119</v>
      </c>
      <c r="F1785" t="s">
        <v>108</v>
      </c>
      <c r="G1785" t="s">
        <v>31</v>
      </c>
      <c r="H1785">
        <v>2401.0200968240606</v>
      </c>
      <c r="I1785">
        <v>101973.48315982398</v>
      </c>
      <c r="J1785">
        <v>0</v>
      </c>
      <c r="K1785">
        <v>101973.48315982398</v>
      </c>
    </row>
    <row r="1786" spans="1:11" x14ac:dyDescent="0.25">
      <c r="A1786" t="s">
        <v>143</v>
      </c>
      <c r="B1786" t="s">
        <v>43</v>
      </c>
      <c r="C1786" t="s">
        <v>55</v>
      </c>
      <c r="D1786">
        <v>2030</v>
      </c>
      <c r="E1786" t="s">
        <v>119</v>
      </c>
      <c r="F1786" t="s">
        <v>108</v>
      </c>
      <c r="G1786" t="s">
        <v>55</v>
      </c>
      <c r="H1786">
        <v>24960.063802661847</v>
      </c>
      <c r="I1786">
        <v>2028098.3185327027</v>
      </c>
      <c r="J1786">
        <v>0</v>
      </c>
      <c r="K1786">
        <v>2028098.3185327027</v>
      </c>
    </row>
    <row r="1787" spans="1:11" x14ac:dyDescent="0.25">
      <c r="A1787" t="s">
        <v>143</v>
      </c>
      <c r="B1787" t="s">
        <v>43</v>
      </c>
      <c r="C1787" t="s">
        <v>54</v>
      </c>
      <c r="D1787">
        <v>2030</v>
      </c>
      <c r="E1787" t="s">
        <v>119</v>
      </c>
      <c r="F1787" t="s">
        <v>108</v>
      </c>
      <c r="G1787" t="s">
        <v>54</v>
      </c>
      <c r="H1787">
        <v>7059.6348901519423</v>
      </c>
      <c r="I1787">
        <v>314224.34896066296</v>
      </c>
      <c r="J1787">
        <v>0</v>
      </c>
      <c r="K1787">
        <v>314224.34896066296</v>
      </c>
    </row>
    <row r="1788" spans="1:11" x14ac:dyDescent="0.25">
      <c r="A1788" t="s">
        <v>143</v>
      </c>
      <c r="B1788" t="s">
        <v>43</v>
      </c>
      <c r="C1788" t="s">
        <v>41</v>
      </c>
      <c r="D1788">
        <v>2030</v>
      </c>
      <c r="E1788" t="s">
        <v>119</v>
      </c>
      <c r="F1788" t="s">
        <v>108</v>
      </c>
      <c r="G1788" t="s">
        <v>41</v>
      </c>
      <c r="H1788">
        <v>1642.6445438249691</v>
      </c>
      <c r="I1788">
        <v>13946.052177073991</v>
      </c>
      <c r="J1788">
        <v>0</v>
      </c>
      <c r="K1788">
        <v>13946.052177073991</v>
      </c>
    </row>
    <row r="1789" spans="1:11" x14ac:dyDescent="0.25">
      <c r="A1789" t="s">
        <v>143</v>
      </c>
      <c r="B1789" t="s">
        <v>43</v>
      </c>
      <c r="C1789" t="s">
        <v>80</v>
      </c>
      <c r="D1789">
        <v>2030</v>
      </c>
      <c r="E1789" t="s">
        <v>119</v>
      </c>
      <c r="F1789" t="s">
        <v>108</v>
      </c>
      <c r="G1789" t="s">
        <v>80</v>
      </c>
      <c r="H1789">
        <v>11729.278744732668</v>
      </c>
      <c r="I1789">
        <v>349484.92686982499</v>
      </c>
      <c r="J1789">
        <v>0</v>
      </c>
      <c r="K1789">
        <v>349484.92686982499</v>
      </c>
    </row>
    <row r="1790" spans="1:11" x14ac:dyDescent="0.25">
      <c r="A1790" t="s">
        <v>143</v>
      </c>
      <c r="B1790" t="s">
        <v>43</v>
      </c>
      <c r="C1790" t="s">
        <v>75</v>
      </c>
      <c r="D1790">
        <v>2030</v>
      </c>
      <c r="E1790" t="s">
        <v>119</v>
      </c>
      <c r="F1790" t="s">
        <v>108</v>
      </c>
      <c r="G1790" t="s">
        <v>52</v>
      </c>
      <c r="H1790">
        <v>36290.042485141646</v>
      </c>
      <c r="I1790">
        <v>518543.36402629869</v>
      </c>
      <c r="J1790">
        <v>85644.500264934293</v>
      </c>
      <c r="K1790">
        <v>85644.500264934293</v>
      </c>
    </row>
    <row r="1791" spans="1:11" x14ac:dyDescent="0.25">
      <c r="A1791" t="s">
        <v>143</v>
      </c>
      <c r="B1791" t="s">
        <v>43</v>
      </c>
      <c r="C1791" t="s">
        <v>78</v>
      </c>
      <c r="D1791">
        <v>2030</v>
      </c>
      <c r="E1791" t="s">
        <v>119</v>
      </c>
      <c r="F1791" t="s">
        <v>108</v>
      </c>
      <c r="G1791" t="s">
        <v>78</v>
      </c>
      <c r="H1791">
        <v>2574.0146524810302</v>
      </c>
      <c r="I1791">
        <v>128700.73262405151</v>
      </c>
      <c r="J1791">
        <v>0</v>
      </c>
      <c r="K1791">
        <v>128700.73262405151</v>
      </c>
    </row>
    <row r="1792" spans="1:11" x14ac:dyDescent="0.25">
      <c r="A1792" t="s">
        <v>143</v>
      </c>
      <c r="B1792" t="s">
        <v>43</v>
      </c>
      <c r="C1792" t="s">
        <v>65</v>
      </c>
      <c r="D1792">
        <v>2030</v>
      </c>
      <c r="E1792" t="s">
        <v>119</v>
      </c>
      <c r="F1792" t="s">
        <v>108</v>
      </c>
      <c r="G1792" t="s">
        <v>65</v>
      </c>
      <c r="H1792">
        <v>1223.5219502296152</v>
      </c>
      <c r="I1792">
        <v>29841.998786088181</v>
      </c>
      <c r="J1792">
        <v>0</v>
      </c>
      <c r="K1792">
        <v>29841.998786088181</v>
      </c>
    </row>
    <row r="1793" spans="1:11" x14ac:dyDescent="0.25">
      <c r="A1793" t="s">
        <v>143</v>
      </c>
      <c r="B1793" t="s">
        <v>43</v>
      </c>
      <c r="C1793" t="s">
        <v>120</v>
      </c>
      <c r="D1793">
        <v>2030</v>
      </c>
      <c r="E1793" t="s">
        <v>119</v>
      </c>
      <c r="F1793" t="s">
        <v>108</v>
      </c>
      <c r="G1793" t="s">
        <v>53</v>
      </c>
      <c r="H1793">
        <v>30474.516064946976</v>
      </c>
      <c r="I1793">
        <v>420243.57653561886</v>
      </c>
      <c r="J1793">
        <v>0</v>
      </c>
      <c r="K1793">
        <v>420243.57653561886</v>
      </c>
    </row>
    <row r="1794" spans="1:11" x14ac:dyDescent="0.25">
      <c r="A1794" t="s">
        <v>143</v>
      </c>
      <c r="B1794" t="s">
        <v>43</v>
      </c>
      <c r="C1794" t="s">
        <v>29</v>
      </c>
      <c r="D1794">
        <v>2050</v>
      </c>
      <c r="E1794" t="s">
        <v>119</v>
      </c>
      <c r="F1794" t="s">
        <v>108</v>
      </c>
      <c r="G1794" t="s">
        <v>52</v>
      </c>
      <c r="H1794">
        <v>269399.56788001256</v>
      </c>
      <c r="I1794">
        <v>1888490.9708388881</v>
      </c>
      <c r="J1794">
        <v>612815.32003721921</v>
      </c>
      <c r="K1794">
        <v>612815.32003721921</v>
      </c>
    </row>
    <row r="1795" spans="1:11" x14ac:dyDescent="0.25">
      <c r="A1795" t="s">
        <v>143</v>
      </c>
      <c r="B1795" t="s">
        <v>43</v>
      </c>
      <c r="C1795" t="s">
        <v>34</v>
      </c>
      <c r="D1795">
        <v>2050</v>
      </c>
      <c r="E1795" t="s">
        <v>119</v>
      </c>
      <c r="F1795" t="s">
        <v>108</v>
      </c>
      <c r="G1795" t="s">
        <v>52</v>
      </c>
      <c r="H1795">
        <v>5871.5196191458026</v>
      </c>
      <c r="I1795">
        <v>22664.065729902799</v>
      </c>
      <c r="J1795">
        <v>6689.3635868966203</v>
      </c>
      <c r="K1795">
        <v>6689.3635868966203</v>
      </c>
    </row>
    <row r="1796" spans="1:11" x14ac:dyDescent="0.25">
      <c r="A1796" t="s">
        <v>143</v>
      </c>
      <c r="B1796" t="s">
        <v>43</v>
      </c>
      <c r="C1796" t="s">
        <v>72</v>
      </c>
      <c r="D1796">
        <v>2050</v>
      </c>
      <c r="E1796" t="s">
        <v>119</v>
      </c>
      <c r="F1796" t="s">
        <v>108</v>
      </c>
      <c r="G1796" t="s">
        <v>52</v>
      </c>
      <c r="H1796">
        <v>37245.432731055007</v>
      </c>
      <c r="I1796">
        <v>163879.90401664205</v>
      </c>
      <c r="J1796">
        <v>87020.229032836913</v>
      </c>
      <c r="K1796">
        <v>87020.229032836913</v>
      </c>
    </row>
    <row r="1797" spans="1:11" x14ac:dyDescent="0.25">
      <c r="A1797" t="s">
        <v>143</v>
      </c>
      <c r="B1797" t="s">
        <v>43</v>
      </c>
      <c r="C1797" t="s">
        <v>53</v>
      </c>
      <c r="D1797">
        <v>2050</v>
      </c>
      <c r="E1797" t="s">
        <v>119</v>
      </c>
      <c r="F1797" t="s">
        <v>108</v>
      </c>
      <c r="G1797" t="s">
        <v>53</v>
      </c>
      <c r="H1797">
        <v>22627.527846337711</v>
      </c>
      <c r="I1797">
        <v>1122777.9317352772</v>
      </c>
      <c r="J1797">
        <v>0</v>
      </c>
      <c r="K1797">
        <v>1122777.9317352772</v>
      </c>
    </row>
    <row r="1798" spans="1:11" x14ac:dyDescent="0.25">
      <c r="A1798" t="s">
        <v>143</v>
      </c>
      <c r="B1798" t="s">
        <v>43</v>
      </c>
      <c r="C1798" t="s">
        <v>30</v>
      </c>
      <c r="D1798">
        <v>2050</v>
      </c>
      <c r="E1798" t="s">
        <v>119</v>
      </c>
      <c r="F1798" t="s">
        <v>108</v>
      </c>
      <c r="G1798" t="s">
        <v>30</v>
      </c>
      <c r="H1798">
        <v>3545.7395322129769</v>
      </c>
      <c r="I1798">
        <v>73574.095293419276</v>
      </c>
      <c r="J1798">
        <v>0</v>
      </c>
      <c r="K1798">
        <v>73574.095293419276</v>
      </c>
    </row>
    <row r="1799" spans="1:11" x14ac:dyDescent="0.25">
      <c r="A1799" t="s">
        <v>143</v>
      </c>
      <c r="B1799" t="s">
        <v>43</v>
      </c>
      <c r="C1799" t="s">
        <v>31</v>
      </c>
      <c r="D1799">
        <v>2050</v>
      </c>
      <c r="E1799" t="s">
        <v>119</v>
      </c>
      <c r="F1799" t="s">
        <v>108</v>
      </c>
      <c r="G1799" t="s">
        <v>31</v>
      </c>
      <c r="H1799">
        <v>2274.6006151102201</v>
      </c>
      <c r="I1799">
        <v>96604.334060792258</v>
      </c>
      <c r="J1799">
        <v>0</v>
      </c>
      <c r="K1799">
        <v>96604.334060792258</v>
      </c>
    </row>
    <row r="1800" spans="1:11" x14ac:dyDescent="0.25">
      <c r="A1800" t="s">
        <v>143</v>
      </c>
      <c r="B1800" t="s">
        <v>43</v>
      </c>
      <c r="C1800" t="s">
        <v>55</v>
      </c>
      <c r="D1800">
        <v>2050</v>
      </c>
      <c r="E1800" t="s">
        <v>119</v>
      </c>
      <c r="F1800" t="s">
        <v>108</v>
      </c>
      <c r="G1800" t="s">
        <v>55</v>
      </c>
      <c r="H1800">
        <v>23645.856423202276</v>
      </c>
      <c r="I1800">
        <v>1921314.0651927341</v>
      </c>
      <c r="J1800">
        <v>0</v>
      </c>
      <c r="K1800">
        <v>1921314.0651927341</v>
      </c>
    </row>
    <row r="1801" spans="1:11" x14ac:dyDescent="0.25">
      <c r="A1801" t="s">
        <v>143</v>
      </c>
      <c r="B1801" t="s">
        <v>43</v>
      </c>
      <c r="C1801" t="s">
        <v>54</v>
      </c>
      <c r="D1801">
        <v>2050</v>
      </c>
      <c r="E1801" t="s">
        <v>119</v>
      </c>
      <c r="F1801" t="s">
        <v>108</v>
      </c>
      <c r="G1801" t="s">
        <v>54</v>
      </c>
      <c r="H1801">
        <v>6687.9281372253527</v>
      </c>
      <c r="I1801">
        <v>297679.68138790049</v>
      </c>
      <c r="J1801">
        <v>0</v>
      </c>
      <c r="K1801">
        <v>297679.68138790049</v>
      </c>
    </row>
    <row r="1802" spans="1:11" x14ac:dyDescent="0.25">
      <c r="A1802" t="s">
        <v>143</v>
      </c>
      <c r="B1802" t="s">
        <v>43</v>
      </c>
      <c r="C1802" t="s">
        <v>41</v>
      </c>
      <c r="D1802">
        <v>2050</v>
      </c>
      <c r="E1802" t="s">
        <v>119</v>
      </c>
      <c r="F1802" t="s">
        <v>108</v>
      </c>
      <c r="G1802" t="s">
        <v>41</v>
      </c>
      <c r="H1802">
        <v>1556.1553586052762</v>
      </c>
      <c r="I1802">
        <v>13211.758994558797</v>
      </c>
      <c r="J1802">
        <v>0</v>
      </c>
      <c r="K1802">
        <v>13211.758994558797</v>
      </c>
    </row>
    <row r="1803" spans="1:11" x14ac:dyDescent="0.25">
      <c r="A1803" t="s">
        <v>143</v>
      </c>
      <c r="B1803" t="s">
        <v>43</v>
      </c>
      <c r="C1803" t="s">
        <v>80</v>
      </c>
      <c r="D1803">
        <v>2050</v>
      </c>
      <c r="E1803" t="s">
        <v>119</v>
      </c>
      <c r="F1803" t="s">
        <v>108</v>
      </c>
      <c r="G1803" t="s">
        <v>80</v>
      </c>
      <c r="H1803">
        <v>11111.704013997321</v>
      </c>
      <c r="I1803">
        <v>331083.70508075121</v>
      </c>
      <c r="J1803">
        <v>0</v>
      </c>
      <c r="K1803">
        <v>331083.70508075121</v>
      </c>
    </row>
    <row r="1804" spans="1:11" x14ac:dyDescent="0.25">
      <c r="A1804" t="s">
        <v>143</v>
      </c>
      <c r="B1804" t="s">
        <v>43</v>
      </c>
      <c r="C1804" t="s">
        <v>75</v>
      </c>
      <c r="D1804">
        <v>2050</v>
      </c>
      <c r="E1804" t="s">
        <v>119</v>
      </c>
      <c r="F1804" t="s">
        <v>108</v>
      </c>
      <c r="G1804" t="s">
        <v>52</v>
      </c>
      <c r="H1804">
        <v>34379.284483401752</v>
      </c>
      <c r="I1804">
        <v>491240.80899434892</v>
      </c>
      <c r="J1804">
        <v>81135.111380828137</v>
      </c>
      <c r="K1804">
        <v>81135.111380828137</v>
      </c>
    </row>
    <row r="1805" spans="1:11" x14ac:dyDescent="0.25">
      <c r="A1805" t="s">
        <v>143</v>
      </c>
      <c r="B1805" t="s">
        <v>43</v>
      </c>
      <c r="C1805" t="s">
        <v>78</v>
      </c>
      <c r="D1805">
        <v>2050</v>
      </c>
      <c r="E1805" t="s">
        <v>119</v>
      </c>
      <c r="F1805" t="s">
        <v>108</v>
      </c>
      <c r="G1805" t="s">
        <v>78</v>
      </c>
      <c r="H1805">
        <v>2438.4865914202696</v>
      </c>
      <c r="I1805">
        <v>121924.32957101348</v>
      </c>
      <c r="J1805">
        <v>0</v>
      </c>
      <c r="K1805">
        <v>121924.32957101348</v>
      </c>
    </row>
    <row r="1806" spans="1:11" x14ac:dyDescent="0.25">
      <c r="A1806" t="s">
        <v>143</v>
      </c>
      <c r="B1806" t="s">
        <v>43</v>
      </c>
      <c r="C1806" t="s">
        <v>65</v>
      </c>
      <c r="D1806">
        <v>2050</v>
      </c>
      <c r="E1806" t="s">
        <v>119</v>
      </c>
      <c r="F1806" t="s">
        <v>108</v>
      </c>
      <c r="G1806" t="s">
        <v>65</v>
      </c>
      <c r="H1806">
        <v>1159.1005774063997</v>
      </c>
      <c r="I1806">
        <v>28270.745790399997</v>
      </c>
      <c r="J1806">
        <v>0</v>
      </c>
      <c r="K1806">
        <v>28270.745790399997</v>
      </c>
    </row>
    <row r="1807" spans="1:11" x14ac:dyDescent="0.25">
      <c r="A1807" t="s">
        <v>143</v>
      </c>
      <c r="B1807" t="s">
        <v>43</v>
      </c>
      <c r="C1807" t="s">
        <v>120</v>
      </c>
      <c r="D1807">
        <v>2050</v>
      </c>
      <c r="E1807" t="s">
        <v>119</v>
      </c>
      <c r="F1807" t="s">
        <v>108</v>
      </c>
      <c r="G1807" t="s">
        <v>53</v>
      </c>
      <c r="H1807">
        <v>28869.959513543392</v>
      </c>
      <c r="I1807">
        <v>398116.7416917634</v>
      </c>
      <c r="J1807">
        <v>0</v>
      </c>
      <c r="K1807">
        <v>398116.7416917634</v>
      </c>
    </row>
    <row r="1808" spans="1:11" x14ac:dyDescent="0.25">
      <c r="A1808" t="s">
        <v>143</v>
      </c>
      <c r="B1808" t="s">
        <v>43</v>
      </c>
      <c r="C1808" t="s">
        <v>29</v>
      </c>
      <c r="D1808">
        <v>2019</v>
      </c>
      <c r="E1808" t="s">
        <v>121</v>
      </c>
      <c r="F1808" t="s">
        <v>108</v>
      </c>
      <c r="G1808" t="s">
        <v>52</v>
      </c>
      <c r="H1808">
        <v>37407.422491325582</v>
      </c>
      <c r="I1808">
        <v>175691.44121500885</v>
      </c>
      <c r="J1808">
        <v>57345.247183975873</v>
      </c>
      <c r="K1808">
        <v>57345.247183975873</v>
      </c>
    </row>
    <row r="1809" spans="1:11" x14ac:dyDescent="0.25">
      <c r="A1809" t="s">
        <v>143</v>
      </c>
      <c r="B1809" t="s">
        <v>43</v>
      </c>
      <c r="C1809" t="s">
        <v>34</v>
      </c>
      <c r="D1809">
        <v>2019</v>
      </c>
      <c r="E1809" t="s">
        <v>121</v>
      </c>
      <c r="F1809" t="s">
        <v>108</v>
      </c>
      <c r="G1809" t="s">
        <v>52</v>
      </c>
      <c r="H1809">
        <v>815.28866875287099</v>
      </c>
      <c r="I1809">
        <v>1793.798128990067</v>
      </c>
      <c r="J1809">
        <v>532.54053466904622</v>
      </c>
      <c r="K1809">
        <v>532.54053466904622</v>
      </c>
    </row>
    <row r="1810" spans="1:11" x14ac:dyDescent="0.25">
      <c r="A1810" t="s">
        <v>143</v>
      </c>
      <c r="B1810" t="s">
        <v>43</v>
      </c>
      <c r="C1810" t="s">
        <v>72</v>
      </c>
      <c r="D1810">
        <v>2019</v>
      </c>
      <c r="E1810" t="s">
        <v>121</v>
      </c>
      <c r="F1810" t="s">
        <v>108</v>
      </c>
      <c r="G1810" t="s">
        <v>52</v>
      </c>
      <c r="H1810">
        <v>5171.7070261351</v>
      </c>
      <c r="I1810">
        <v>12515.531003246942</v>
      </c>
      <c r="J1810">
        <v>6684.6076864892093</v>
      </c>
      <c r="K1810">
        <v>6684.6076864892093</v>
      </c>
    </row>
    <row r="1811" spans="1:11" x14ac:dyDescent="0.25">
      <c r="A1811" t="s">
        <v>143</v>
      </c>
      <c r="B1811" t="s">
        <v>43</v>
      </c>
      <c r="C1811" t="s">
        <v>53</v>
      </c>
      <c r="D1811">
        <v>2019</v>
      </c>
      <c r="E1811" t="s">
        <v>121</v>
      </c>
      <c r="F1811" t="s">
        <v>108</v>
      </c>
      <c r="G1811" t="s">
        <v>53</v>
      </c>
      <c r="H1811">
        <v>3141.9408009562312</v>
      </c>
      <c r="I1811">
        <v>121604.41998388959</v>
      </c>
      <c r="J1811">
        <v>0</v>
      </c>
      <c r="K1811">
        <v>121604.41998388959</v>
      </c>
    </row>
    <row r="1812" spans="1:11" x14ac:dyDescent="0.25">
      <c r="A1812" t="s">
        <v>143</v>
      </c>
      <c r="B1812" t="s">
        <v>43</v>
      </c>
      <c r="C1812" t="s">
        <v>30</v>
      </c>
      <c r="D1812">
        <v>2019</v>
      </c>
      <c r="E1812" t="s">
        <v>121</v>
      </c>
      <c r="F1812" t="s">
        <v>108</v>
      </c>
      <c r="G1812" t="s">
        <v>30</v>
      </c>
      <c r="H1812">
        <v>492.34294534860186</v>
      </c>
      <c r="I1812">
        <v>5823.1861861105881</v>
      </c>
      <c r="J1812">
        <v>0</v>
      </c>
      <c r="K1812">
        <v>5823.1861861105881</v>
      </c>
    </row>
    <row r="1813" spans="1:11" x14ac:dyDescent="0.25">
      <c r="A1813" t="s">
        <v>143</v>
      </c>
      <c r="B1813" t="s">
        <v>43</v>
      </c>
      <c r="C1813" t="s">
        <v>31</v>
      </c>
      <c r="D1813">
        <v>2019</v>
      </c>
      <c r="E1813" t="s">
        <v>121</v>
      </c>
      <c r="F1813" t="s">
        <v>108</v>
      </c>
      <c r="G1813" t="s">
        <v>31</v>
      </c>
      <c r="H1813">
        <v>315.83920819930114</v>
      </c>
      <c r="I1813">
        <v>7645.9658984285725</v>
      </c>
      <c r="J1813">
        <v>0</v>
      </c>
      <c r="K1813">
        <v>7645.9658984285725</v>
      </c>
    </row>
    <row r="1814" spans="1:11" x14ac:dyDescent="0.25">
      <c r="A1814" t="s">
        <v>143</v>
      </c>
      <c r="B1814" t="s">
        <v>43</v>
      </c>
      <c r="C1814" t="s">
        <v>55</v>
      </c>
      <c r="D1814">
        <v>2019</v>
      </c>
      <c r="E1814" t="s">
        <v>121</v>
      </c>
      <c r="F1814" t="s">
        <v>108</v>
      </c>
      <c r="G1814" t="s">
        <v>55</v>
      </c>
      <c r="H1814">
        <v>3283.3406094619722</v>
      </c>
      <c r="I1814">
        <v>152066.69520013814</v>
      </c>
      <c r="J1814">
        <v>0</v>
      </c>
      <c r="K1814">
        <v>152066.69520013814</v>
      </c>
    </row>
    <row r="1815" spans="1:11" x14ac:dyDescent="0.25">
      <c r="A1815" t="s">
        <v>143</v>
      </c>
      <c r="B1815" t="s">
        <v>43</v>
      </c>
      <c r="C1815" t="s">
        <v>54</v>
      </c>
      <c r="D1815">
        <v>2019</v>
      </c>
      <c r="E1815" t="s">
        <v>121</v>
      </c>
      <c r="F1815" t="s">
        <v>108</v>
      </c>
      <c r="G1815" t="s">
        <v>54</v>
      </c>
      <c r="H1815">
        <v>928.65090834978378</v>
      </c>
      <c r="I1815">
        <v>34307.429102438567</v>
      </c>
      <c r="J1815">
        <v>0</v>
      </c>
      <c r="K1815">
        <v>34307.429102438567</v>
      </c>
    </row>
    <row r="1816" spans="1:11" x14ac:dyDescent="0.25">
      <c r="A1816" t="s">
        <v>143</v>
      </c>
      <c r="B1816" t="s">
        <v>43</v>
      </c>
      <c r="C1816" t="s">
        <v>41</v>
      </c>
      <c r="D1816">
        <v>2019</v>
      </c>
      <c r="E1816" t="s">
        <v>121</v>
      </c>
      <c r="F1816" t="s">
        <v>108</v>
      </c>
      <c r="G1816" t="s">
        <v>41</v>
      </c>
      <c r="H1816">
        <v>216.07963746777307</v>
      </c>
      <c r="I1816">
        <v>1045.6741895977943</v>
      </c>
      <c r="J1816">
        <v>0</v>
      </c>
      <c r="K1816">
        <v>1045.6741895977943</v>
      </c>
    </row>
    <row r="1817" spans="1:11" x14ac:dyDescent="0.25">
      <c r="A1817" t="s">
        <v>143</v>
      </c>
      <c r="B1817" t="s">
        <v>43</v>
      </c>
      <c r="C1817" t="s">
        <v>80</v>
      </c>
      <c r="D1817">
        <v>2019</v>
      </c>
      <c r="E1817" t="s">
        <v>121</v>
      </c>
      <c r="F1817" t="s">
        <v>108</v>
      </c>
      <c r="G1817" t="s">
        <v>80</v>
      </c>
      <c r="H1817">
        <v>1542.9134126721628</v>
      </c>
      <c r="I1817">
        <v>26204.359702741538</v>
      </c>
      <c r="J1817">
        <v>0</v>
      </c>
      <c r="K1817">
        <v>26204.359702741538</v>
      </c>
    </row>
    <row r="1818" spans="1:11" x14ac:dyDescent="0.25">
      <c r="A1818" t="s">
        <v>143</v>
      </c>
      <c r="B1818" t="s">
        <v>43</v>
      </c>
      <c r="C1818" t="s">
        <v>75</v>
      </c>
      <c r="D1818">
        <v>2019</v>
      </c>
      <c r="E1818" t="s">
        <v>121</v>
      </c>
      <c r="F1818" t="s">
        <v>108</v>
      </c>
      <c r="G1818" t="s">
        <v>52</v>
      </c>
      <c r="H1818">
        <v>4773.7285911047593</v>
      </c>
      <c r="I1818">
        <v>38880.351590888582</v>
      </c>
      <c r="J1818">
        <v>6459.1698498517526</v>
      </c>
      <c r="K1818">
        <v>6459.1698498517526</v>
      </c>
    </row>
    <row r="1819" spans="1:11" x14ac:dyDescent="0.25">
      <c r="A1819" t="s">
        <v>143</v>
      </c>
      <c r="B1819" t="s">
        <v>43</v>
      </c>
      <c r="C1819" t="s">
        <v>78</v>
      </c>
      <c r="D1819">
        <v>2019</v>
      </c>
      <c r="E1819" t="s">
        <v>121</v>
      </c>
      <c r="F1819" t="s">
        <v>108</v>
      </c>
      <c r="G1819" t="s">
        <v>78</v>
      </c>
      <c r="H1819">
        <v>338.59556228136813</v>
      </c>
      <c r="I1819">
        <v>9649.9735250189897</v>
      </c>
      <c r="J1819">
        <v>0</v>
      </c>
      <c r="K1819">
        <v>9649.9735250189897</v>
      </c>
    </row>
    <row r="1820" spans="1:11" x14ac:dyDescent="0.25">
      <c r="A1820" t="s">
        <v>143</v>
      </c>
      <c r="B1820" t="s">
        <v>43</v>
      </c>
      <c r="C1820" t="s">
        <v>65</v>
      </c>
      <c r="D1820">
        <v>2019</v>
      </c>
      <c r="E1820" t="s">
        <v>121</v>
      </c>
      <c r="F1820" t="s">
        <v>108</v>
      </c>
      <c r="G1820" t="s">
        <v>65</v>
      </c>
      <c r="H1820">
        <v>160.94667615908057</v>
      </c>
      <c r="I1820">
        <v>2237.5513514799004</v>
      </c>
      <c r="J1820">
        <v>0</v>
      </c>
      <c r="K1820">
        <v>2237.5513514799004</v>
      </c>
    </row>
    <row r="1821" spans="1:11" x14ac:dyDescent="0.25">
      <c r="A1821" t="s">
        <v>143</v>
      </c>
      <c r="B1821" t="s">
        <v>43</v>
      </c>
      <c r="C1821" t="s">
        <v>120</v>
      </c>
      <c r="D1821">
        <v>2019</v>
      </c>
      <c r="E1821" t="s">
        <v>121</v>
      </c>
      <c r="F1821" t="s">
        <v>108</v>
      </c>
      <c r="G1821" t="s">
        <v>53</v>
      </c>
      <c r="H1821">
        <v>4008.7323870971445</v>
      </c>
      <c r="I1821">
        <v>55280.419618069631</v>
      </c>
      <c r="J1821">
        <v>0</v>
      </c>
      <c r="K1821">
        <v>55280.419618069631</v>
      </c>
    </row>
    <row r="1822" spans="1:11" x14ac:dyDescent="0.25">
      <c r="A1822" t="s">
        <v>143</v>
      </c>
      <c r="B1822" t="s">
        <v>43</v>
      </c>
      <c r="C1822" t="s">
        <v>29</v>
      </c>
      <c r="D1822">
        <v>2030</v>
      </c>
      <c r="E1822" t="s">
        <v>121</v>
      </c>
      <c r="F1822" t="s">
        <v>108</v>
      </c>
      <c r="G1822" t="s">
        <v>52</v>
      </c>
      <c r="H1822">
        <v>44381.829299977158</v>
      </c>
      <c r="I1822">
        <v>208448.13767320273</v>
      </c>
      <c r="J1822">
        <v>67641.420674954294</v>
      </c>
      <c r="K1822">
        <v>67641.420674954294</v>
      </c>
    </row>
    <row r="1823" spans="1:11" x14ac:dyDescent="0.25">
      <c r="A1823" t="s">
        <v>143</v>
      </c>
      <c r="B1823" t="s">
        <v>43</v>
      </c>
      <c r="C1823" t="s">
        <v>34</v>
      </c>
      <c r="D1823">
        <v>2030</v>
      </c>
      <c r="E1823" t="s">
        <v>121</v>
      </c>
      <c r="F1823" t="s">
        <v>108</v>
      </c>
      <c r="G1823" t="s">
        <v>52</v>
      </c>
      <c r="H1823">
        <v>967.29472700735414</v>
      </c>
      <c r="I1823">
        <v>2128.2418583615804</v>
      </c>
      <c r="J1823">
        <v>628.15664943335878</v>
      </c>
      <c r="K1823">
        <v>628.15664943335878</v>
      </c>
    </row>
    <row r="1824" spans="1:11" x14ac:dyDescent="0.25">
      <c r="A1824" t="s">
        <v>143</v>
      </c>
      <c r="B1824" t="s">
        <v>43</v>
      </c>
      <c r="C1824" t="s">
        <v>72</v>
      </c>
      <c r="D1824">
        <v>2030</v>
      </c>
      <c r="E1824" t="s">
        <v>121</v>
      </c>
      <c r="F1824" t="s">
        <v>108</v>
      </c>
      <c r="G1824" t="s">
        <v>52</v>
      </c>
      <c r="H1824">
        <v>6135.9431668045636</v>
      </c>
      <c r="I1824">
        <v>14848.982463667046</v>
      </c>
      <c r="J1824">
        <v>7884.8096882072023</v>
      </c>
      <c r="K1824">
        <v>7884.8096882072023</v>
      </c>
    </row>
    <row r="1825" spans="1:11" x14ac:dyDescent="0.25">
      <c r="A1825" t="s">
        <v>143</v>
      </c>
      <c r="B1825" t="s">
        <v>43</v>
      </c>
      <c r="C1825" t="s">
        <v>53</v>
      </c>
      <c r="D1825">
        <v>2030</v>
      </c>
      <c r="E1825" t="s">
        <v>121</v>
      </c>
      <c r="F1825" t="s">
        <v>108</v>
      </c>
      <c r="G1825" t="s">
        <v>53</v>
      </c>
      <c r="H1825">
        <v>3727.7382672117792</v>
      </c>
      <c r="I1825">
        <v>144276.89079885781</v>
      </c>
      <c r="J1825">
        <v>0</v>
      </c>
      <c r="K1825">
        <v>144276.89079885781</v>
      </c>
    </row>
    <row r="1826" spans="1:11" x14ac:dyDescent="0.25">
      <c r="A1826" t="s">
        <v>143</v>
      </c>
      <c r="B1826" t="s">
        <v>43</v>
      </c>
      <c r="C1826" t="s">
        <v>30</v>
      </c>
      <c r="D1826">
        <v>2030</v>
      </c>
      <c r="E1826" t="s">
        <v>121</v>
      </c>
      <c r="F1826" t="s">
        <v>108</v>
      </c>
      <c r="G1826" t="s">
        <v>30</v>
      </c>
      <c r="H1826">
        <v>584.13756153813279</v>
      </c>
      <c r="I1826">
        <v>6908.8870090922646</v>
      </c>
      <c r="J1826">
        <v>0</v>
      </c>
      <c r="K1826">
        <v>6908.8870090922646</v>
      </c>
    </row>
    <row r="1827" spans="1:11" x14ac:dyDescent="0.25">
      <c r="A1827" t="s">
        <v>143</v>
      </c>
      <c r="B1827" t="s">
        <v>43</v>
      </c>
      <c r="C1827" t="s">
        <v>31</v>
      </c>
      <c r="D1827">
        <v>2030</v>
      </c>
      <c r="E1827" t="s">
        <v>121</v>
      </c>
      <c r="F1827" t="s">
        <v>108</v>
      </c>
      <c r="G1827" t="s">
        <v>31</v>
      </c>
      <c r="H1827">
        <v>374.72567985115398</v>
      </c>
      <c r="I1827">
        <v>9071.5139065300064</v>
      </c>
      <c r="J1827">
        <v>0</v>
      </c>
      <c r="K1827">
        <v>9071.5139065300064</v>
      </c>
    </row>
    <row r="1828" spans="1:11" x14ac:dyDescent="0.25">
      <c r="A1828" t="s">
        <v>143</v>
      </c>
      <c r="B1828" t="s">
        <v>43</v>
      </c>
      <c r="C1828" t="s">
        <v>55</v>
      </c>
      <c r="D1828">
        <v>2030</v>
      </c>
      <c r="E1828" t="s">
        <v>121</v>
      </c>
      <c r="F1828" t="s">
        <v>108</v>
      </c>
      <c r="G1828" t="s">
        <v>55</v>
      </c>
      <c r="H1828">
        <v>3895.5012871206354</v>
      </c>
      <c r="I1828">
        <v>180418.68856773584</v>
      </c>
      <c r="J1828">
        <v>0</v>
      </c>
      <c r="K1828">
        <v>180418.68856773584</v>
      </c>
    </row>
    <row r="1829" spans="1:11" x14ac:dyDescent="0.25">
      <c r="A1829" t="s">
        <v>143</v>
      </c>
      <c r="B1829" t="s">
        <v>43</v>
      </c>
      <c r="C1829" t="s">
        <v>54</v>
      </c>
      <c r="D1829">
        <v>2030</v>
      </c>
      <c r="E1829" t="s">
        <v>121</v>
      </c>
      <c r="F1829" t="s">
        <v>108</v>
      </c>
      <c r="G1829" t="s">
        <v>54</v>
      </c>
      <c r="H1829">
        <v>1101.7927285208236</v>
      </c>
      <c r="I1829">
        <v>40703.859307563347</v>
      </c>
      <c r="J1829">
        <v>0</v>
      </c>
      <c r="K1829">
        <v>40703.859307563347</v>
      </c>
    </row>
    <row r="1830" spans="1:11" x14ac:dyDescent="0.25">
      <c r="A1830" t="s">
        <v>143</v>
      </c>
      <c r="B1830" t="s">
        <v>43</v>
      </c>
      <c r="C1830" t="s">
        <v>41</v>
      </c>
      <c r="D1830">
        <v>2030</v>
      </c>
      <c r="E1830" t="s">
        <v>121</v>
      </c>
      <c r="F1830" t="s">
        <v>108</v>
      </c>
      <c r="G1830" t="s">
        <v>41</v>
      </c>
      <c r="H1830">
        <v>256.36648949869465</v>
      </c>
      <c r="I1830">
        <v>1240.6343526310329</v>
      </c>
      <c r="J1830">
        <v>0</v>
      </c>
      <c r="K1830">
        <v>1240.6343526310329</v>
      </c>
    </row>
    <row r="1831" spans="1:11" x14ac:dyDescent="0.25">
      <c r="A1831" t="s">
        <v>143</v>
      </c>
      <c r="B1831" t="s">
        <v>43</v>
      </c>
      <c r="C1831" t="s">
        <v>80</v>
      </c>
      <c r="D1831">
        <v>2030</v>
      </c>
      <c r="E1831" t="s">
        <v>121</v>
      </c>
      <c r="F1831" t="s">
        <v>108</v>
      </c>
      <c r="G1831" t="s">
        <v>80</v>
      </c>
      <c r="H1831">
        <v>1830.5810757675265</v>
      </c>
      <c r="I1831">
        <v>31090.017482812756</v>
      </c>
      <c r="J1831">
        <v>0</v>
      </c>
      <c r="K1831">
        <v>31090.017482812756</v>
      </c>
    </row>
    <row r="1832" spans="1:11" x14ac:dyDescent="0.25">
      <c r="A1832" t="s">
        <v>143</v>
      </c>
      <c r="B1832" t="s">
        <v>43</v>
      </c>
      <c r="C1832" t="s">
        <v>75</v>
      </c>
      <c r="D1832">
        <v>2030</v>
      </c>
      <c r="E1832" t="s">
        <v>121</v>
      </c>
      <c r="F1832" t="s">
        <v>108</v>
      </c>
      <c r="G1832" t="s">
        <v>52</v>
      </c>
      <c r="H1832">
        <v>5663.7638560625701</v>
      </c>
      <c r="I1832">
        <v>46129.377874940677</v>
      </c>
      <c r="J1832">
        <v>7618.895139175369</v>
      </c>
      <c r="K1832">
        <v>7618.895139175369</v>
      </c>
    </row>
    <row r="1833" spans="1:11" x14ac:dyDescent="0.25">
      <c r="A1833" t="s">
        <v>143</v>
      </c>
      <c r="B1833" t="s">
        <v>43</v>
      </c>
      <c r="C1833" t="s">
        <v>78</v>
      </c>
      <c r="D1833">
        <v>2030</v>
      </c>
      <c r="E1833" t="s">
        <v>121</v>
      </c>
      <c r="F1833" t="s">
        <v>108</v>
      </c>
      <c r="G1833" t="s">
        <v>78</v>
      </c>
      <c r="H1833">
        <v>401.72483015599897</v>
      </c>
      <c r="I1833">
        <v>11449.157659445971</v>
      </c>
      <c r="J1833">
        <v>0</v>
      </c>
      <c r="K1833">
        <v>11449.157659445971</v>
      </c>
    </row>
    <row r="1834" spans="1:11" x14ac:dyDescent="0.25">
      <c r="A1834" t="s">
        <v>143</v>
      </c>
      <c r="B1834" t="s">
        <v>43</v>
      </c>
      <c r="C1834" t="s">
        <v>65</v>
      </c>
      <c r="D1834">
        <v>2030</v>
      </c>
      <c r="E1834" t="s">
        <v>121</v>
      </c>
      <c r="F1834" t="s">
        <v>108</v>
      </c>
      <c r="G1834" t="s">
        <v>65</v>
      </c>
      <c r="H1834">
        <v>190.95429281040239</v>
      </c>
      <c r="I1834">
        <v>2654.7304122421797</v>
      </c>
      <c r="J1834">
        <v>0</v>
      </c>
      <c r="K1834">
        <v>2654.7304122421797</v>
      </c>
    </row>
    <row r="1835" spans="1:11" x14ac:dyDescent="0.25">
      <c r="A1835" t="s">
        <v>143</v>
      </c>
      <c r="B1835" t="s">
        <v>43</v>
      </c>
      <c r="C1835" t="s">
        <v>120</v>
      </c>
      <c r="D1835">
        <v>2030</v>
      </c>
      <c r="E1835" t="s">
        <v>121</v>
      </c>
      <c r="F1835" t="s">
        <v>108</v>
      </c>
      <c r="G1835" t="s">
        <v>53</v>
      </c>
      <c r="H1835">
        <v>4756.138345396349</v>
      </c>
      <c r="I1835">
        <v>65587.147783015665</v>
      </c>
      <c r="J1835">
        <v>0</v>
      </c>
      <c r="K1835">
        <v>65587.147783015665</v>
      </c>
    </row>
    <row r="1836" spans="1:11" x14ac:dyDescent="0.25">
      <c r="A1836" t="s">
        <v>143</v>
      </c>
      <c r="B1836" t="s">
        <v>43</v>
      </c>
      <c r="C1836" t="s">
        <v>29</v>
      </c>
      <c r="D1836">
        <v>2050</v>
      </c>
      <c r="E1836" t="s">
        <v>121</v>
      </c>
      <c r="F1836" t="s">
        <v>108</v>
      </c>
      <c r="G1836" t="s">
        <v>52</v>
      </c>
      <c r="H1836">
        <v>57145.362883639027</v>
      </c>
      <c r="I1836">
        <v>268394.62585558742</v>
      </c>
      <c r="J1836">
        <v>87094.056090138125</v>
      </c>
      <c r="K1836">
        <v>87094.056090138125</v>
      </c>
    </row>
    <row r="1837" spans="1:11" x14ac:dyDescent="0.25">
      <c r="A1837" t="s">
        <v>143</v>
      </c>
      <c r="B1837" t="s">
        <v>43</v>
      </c>
      <c r="C1837" t="s">
        <v>34</v>
      </c>
      <c r="D1837">
        <v>2050</v>
      </c>
      <c r="E1837" t="s">
        <v>121</v>
      </c>
      <c r="F1837" t="s">
        <v>108</v>
      </c>
      <c r="G1837" t="s">
        <v>52</v>
      </c>
      <c r="H1837">
        <v>1245.4738586066856</v>
      </c>
      <c r="I1837">
        <v>2740.2915837064297</v>
      </c>
      <c r="J1837">
        <v>808.80487005204611</v>
      </c>
      <c r="K1837">
        <v>808.80487005204611</v>
      </c>
    </row>
    <row r="1838" spans="1:11" x14ac:dyDescent="0.25">
      <c r="A1838" t="s">
        <v>143</v>
      </c>
      <c r="B1838" t="s">
        <v>43</v>
      </c>
      <c r="C1838" t="s">
        <v>72</v>
      </c>
      <c r="D1838">
        <v>2050</v>
      </c>
      <c r="E1838" t="s">
        <v>121</v>
      </c>
      <c r="F1838" t="s">
        <v>108</v>
      </c>
      <c r="G1838" t="s">
        <v>52</v>
      </c>
      <c r="H1838">
        <v>7900.5463368904539</v>
      </c>
      <c r="I1838">
        <v>19119.322135274899</v>
      </c>
      <c r="J1838">
        <v>10152.360053830971</v>
      </c>
      <c r="K1838">
        <v>10152.360053830971</v>
      </c>
    </row>
    <row r="1839" spans="1:11" x14ac:dyDescent="0.25">
      <c r="A1839" t="s">
        <v>143</v>
      </c>
      <c r="B1839" t="s">
        <v>43</v>
      </c>
      <c r="C1839" t="s">
        <v>53</v>
      </c>
      <c r="D1839">
        <v>2050</v>
      </c>
      <c r="E1839" t="s">
        <v>121</v>
      </c>
      <c r="F1839" t="s">
        <v>108</v>
      </c>
      <c r="G1839" t="s">
        <v>53</v>
      </c>
      <c r="H1839">
        <v>4799.7786340716357</v>
      </c>
      <c r="I1839">
        <v>185768.71234165499</v>
      </c>
      <c r="J1839">
        <v>0</v>
      </c>
      <c r="K1839">
        <v>185768.71234165499</v>
      </c>
    </row>
    <row r="1840" spans="1:11" x14ac:dyDescent="0.25">
      <c r="A1840" t="s">
        <v>143</v>
      </c>
      <c r="B1840" t="s">
        <v>43</v>
      </c>
      <c r="C1840" t="s">
        <v>30</v>
      </c>
      <c r="D1840">
        <v>2050</v>
      </c>
      <c r="E1840" t="s">
        <v>121</v>
      </c>
      <c r="F1840" t="s">
        <v>108</v>
      </c>
      <c r="G1840" t="s">
        <v>30</v>
      </c>
      <c r="H1840">
        <v>752.12656743911634</v>
      </c>
      <c r="I1840">
        <v>8895.7769763861488</v>
      </c>
      <c r="J1840">
        <v>0</v>
      </c>
      <c r="K1840">
        <v>8895.7769763861488</v>
      </c>
    </row>
    <row r="1841" spans="1:11" x14ac:dyDescent="0.25">
      <c r="A1841" t="s">
        <v>143</v>
      </c>
      <c r="B1841" t="s">
        <v>43</v>
      </c>
      <c r="C1841" t="s">
        <v>31</v>
      </c>
      <c r="D1841">
        <v>2050</v>
      </c>
      <c r="E1841" t="s">
        <v>121</v>
      </c>
      <c r="F1841" t="s">
        <v>108</v>
      </c>
      <c r="G1841" t="s">
        <v>31</v>
      </c>
      <c r="H1841">
        <v>482.49103956883454</v>
      </c>
      <c r="I1841">
        <v>11680.342209168517</v>
      </c>
      <c r="J1841">
        <v>0</v>
      </c>
      <c r="K1841">
        <v>11680.342209168517</v>
      </c>
    </row>
    <row r="1842" spans="1:11" x14ac:dyDescent="0.25">
      <c r="A1842" t="s">
        <v>143</v>
      </c>
      <c r="B1842" t="s">
        <v>43</v>
      </c>
      <c r="C1842" t="s">
        <v>55</v>
      </c>
      <c r="D1842">
        <v>2050</v>
      </c>
      <c r="E1842" t="s">
        <v>121</v>
      </c>
      <c r="F1842" t="s">
        <v>108</v>
      </c>
      <c r="G1842" t="s">
        <v>55</v>
      </c>
      <c r="H1842">
        <v>5015.7877261338162</v>
      </c>
      <c r="I1842">
        <v>232304.33697330329</v>
      </c>
      <c r="J1842">
        <v>0</v>
      </c>
      <c r="K1842">
        <v>232304.33697330329</v>
      </c>
    </row>
    <row r="1843" spans="1:11" x14ac:dyDescent="0.25">
      <c r="A1843" t="s">
        <v>143</v>
      </c>
      <c r="B1843" t="s">
        <v>43</v>
      </c>
      <c r="C1843" t="s">
        <v>54</v>
      </c>
      <c r="D1843">
        <v>2050</v>
      </c>
      <c r="E1843" t="s">
        <v>121</v>
      </c>
      <c r="F1843" t="s">
        <v>108</v>
      </c>
      <c r="G1843" t="s">
        <v>54</v>
      </c>
      <c r="H1843">
        <v>1418.6514230478022</v>
      </c>
      <c r="I1843">
        <v>52409.665117081866</v>
      </c>
      <c r="J1843">
        <v>0</v>
      </c>
      <c r="K1843">
        <v>52409.665117081866</v>
      </c>
    </row>
    <row r="1844" spans="1:11" x14ac:dyDescent="0.25">
      <c r="A1844" t="s">
        <v>143</v>
      </c>
      <c r="B1844" t="s">
        <v>43</v>
      </c>
      <c r="C1844" t="s">
        <v>41</v>
      </c>
      <c r="D1844">
        <v>2050</v>
      </c>
      <c r="E1844" t="s">
        <v>121</v>
      </c>
      <c r="F1844" t="s">
        <v>108</v>
      </c>
      <c r="G1844" t="s">
        <v>41</v>
      </c>
      <c r="H1844">
        <v>330.09356091627075</v>
      </c>
      <c r="I1844">
        <v>1597.421769342109</v>
      </c>
      <c r="J1844">
        <v>0</v>
      </c>
      <c r="K1844">
        <v>1597.421769342109</v>
      </c>
    </row>
    <row r="1845" spans="1:11" x14ac:dyDescent="0.25">
      <c r="A1845" t="s">
        <v>143</v>
      </c>
      <c r="B1845" t="s">
        <v>43</v>
      </c>
      <c r="C1845" t="s">
        <v>80</v>
      </c>
      <c r="D1845">
        <v>2050</v>
      </c>
      <c r="E1845" t="s">
        <v>121</v>
      </c>
      <c r="F1845" t="s">
        <v>108</v>
      </c>
      <c r="G1845" t="s">
        <v>80</v>
      </c>
      <c r="H1845">
        <v>2357.0281241812504</v>
      </c>
      <c r="I1845">
        <v>40031.029796127194</v>
      </c>
      <c r="J1845">
        <v>0</v>
      </c>
      <c r="K1845">
        <v>40031.029796127194</v>
      </c>
    </row>
    <row r="1846" spans="1:11" x14ac:dyDescent="0.25">
      <c r="A1846" t="s">
        <v>143</v>
      </c>
      <c r="B1846" t="s">
        <v>43</v>
      </c>
      <c r="C1846" t="s">
        <v>75</v>
      </c>
      <c r="D1846">
        <v>2050</v>
      </c>
      <c r="E1846" t="s">
        <v>121</v>
      </c>
      <c r="F1846" t="s">
        <v>108</v>
      </c>
      <c r="G1846" t="s">
        <v>52</v>
      </c>
      <c r="H1846">
        <v>7292.5754964791595</v>
      </c>
      <c r="I1846">
        <v>59395.479632953095</v>
      </c>
      <c r="J1846">
        <v>9809.9725578637645</v>
      </c>
      <c r="K1846">
        <v>9809.9725578637645</v>
      </c>
    </row>
    <row r="1847" spans="1:11" x14ac:dyDescent="0.25">
      <c r="A1847" t="s">
        <v>143</v>
      </c>
      <c r="B1847" t="s">
        <v>43</v>
      </c>
      <c r="C1847" t="s">
        <v>78</v>
      </c>
      <c r="D1847">
        <v>2050</v>
      </c>
      <c r="E1847" t="s">
        <v>121</v>
      </c>
      <c r="F1847" t="s">
        <v>108</v>
      </c>
      <c r="G1847" t="s">
        <v>78</v>
      </c>
      <c r="H1847">
        <v>517.25473151339054</v>
      </c>
      <c r="I1847">
        <v>14741.759848131631</v>
      </c>
      <c r="J1847">
        <v>0</v>
      </c>
      <c r="K1847">
        <v>14741.759848131631</v>
      </c>
    </row>
    <row r="1848" spans="1:11" x14ac:dyDescent="0.25">
      <c r="A1848" t="s">
        <v>143</v>
      </c>
      <c r="B1848" t="s">
        <v>43</v>
      </c>
      <c r="C1848" t="s">
        <v>65</v>
      </c>
      <c r="D1848">
        <v>2050</v>
      </c>
      <c r="E1848" t="s">
        <v>121</v>
      </c>
      <c r="F1848" t="s">
        <v>108</v>
      </c>
      <c r="G1848" t="s">
        <v>65</v>
      </c>
      <c r="H1848">
        <v>245.86981944984234</v>
      </c>
      <c r="I1848">
        <v>3418.1901728392713</v>
      </c>
      <c r="J1848">
        <v>0</v>
      </c>
      <c r="K1848">
        <v>3418.1901728392713</v>
      </c>
    </row>
    <row r="1849" spans="1:11" x14ac:dyDescent="0.25">
      <c r="A1849" t="s">
        <v>143</v>
      </c>
      <c r="B1849" t="s">
        <v>43</v>
      </c>
      <c r="C1849" t="s">
        <v>120</v>
      </c>
      <c r="D1849">
        <v>2050</v>
      </c>
      <c r="E1849" t="s">
        <v>121</v>
      </c>
      <c r="F1849" t="s">
        <v>108</v>
      </c>
      <c r="G1849" t="s">
        <v>53</v>
      </c>
      <c r="H1849">
        <v>6123.9308059031428</v>
      </c>
      <c r="I1849">
        <v>84449.00581340435</v>
      </c>
      <c r="J1849">
        <v>0</v>
      </c>
      <c r="K1849">
        <v>84449.00581340435</v>
      </c>
    </row>
    <row r="1850" spans="1:11" x14ac:dyDescent="0.25">
      <c r="A1850" t="s">
        <v>143</v>
      </c>
      <c r="B1850" t="s">
        <v>43</v>
      </c>
      <c r="C1850" t="s">
        <v>29</v>
      </c>
      <c r="D1850">
        <v>2019</v>
      </c>
      <c r="E1850" t="s">
        <v>119</v>
      </c>
      <c r="F1850" t="s">
        <v>109</v>
      </c>
      <c r="G1850" t="s">
        <v>52</v>
      </c>
      <c r="H1850">
        <v>3321.6653666372972</v>
      </c>
      <c r="I1850">
        <v>27941.849064152946</v>
      </c>
      <c r="J1850">
        <v>9120.1496799168599</v>
      </c>
      <c r="K1850">
        <v>9120.1496799168599</v>
      </c>
    </row>
    <row r="1851" spans="1:11" x14ac:dyDescent="0.25">
      <c r="A1851" t="s">
        <v>143</v>
      </c>
      <c r="B1851" t="s">
        <v>43</v>
      </c>
      <c r="C1851" t="s">
        <v>34</v>
      </c>
      <c r="D1851">
        <v>2019</v>
      </c>
      <c r="E1851" t="s">
        <v>119</v>
      </c>
      <c r="F1851" t="s">
        <v>109</v>
      </c>
      <c r="G1851" t="s">
        <v>52</v>
      </c>
      <c r="H1851">
        <v>89.823141135380936</v>
      </c>
      <c r="I1851">
        <v>416.06078973908456</v>
      </c>
      <c r="J1851">
        <v>123.51960448705798</v>
      </c>
      <c r="K1851">
        <v>123.51960448705798</v>
      </c>
    </row>
    <row r="1852" spans="1:11" x14ac:dyDescent="0.25">
      <c r="A1852" t="s">
        <v>143</v>
      </c>
      <c r="B1852" t="s">
        <v>43</v>
      </c>
      <c r="C1852" t="s">
        <v>72</v>
      </c>
      <c r="D1852">
        <v>2019</v>
      </c>
      <c r="E1852" t="s">
        <v>119</v>
      </c>
      <c r="F1852" t="s">
        <v>109</v>
      </c>
      <c r="G1852" t="s">
        <v>52</v>
      </c>
      <c r="H1852">
        <v>362.80969861856295</v>
      </c>
      <c r="I1852">
        <v>1915.6352087060125</v>
      </c>
      <c r="J1852">
        <v>1023.1503431459249</v>
      </c>
      <c r="K1852">
        <v>1023.1503431459249</v>
      </c>
    </row>
    <row r="1853" spans="1:11" x14ac:dyDescent="0.25">
      <c r="A1853" t="s">
        <v>143</v>
      </c>
      <c r="B1853" t="s">
        <v>43</v>
      </c>
      <c r="C1853" t="s">
        <v>53</v>
      </c>
      <c r="D1853">
        <v>2019</v>
      </c>
      <c r="E1853" t="s">
        <v>119</v>
      </c>
      <c r="F1853" t="s">
        <v>109</v>
      </c>
      <c r="G1853" t="s">
        <v>53</v>
      </c>
      <c r="H1853">
        <v>1066.8125324809869</v>
      </c>
      <c r="I1853">
        <v>63522.285434047895</v>
      </c>
      <c r="J1853">
        <v>0</v>
      </c>
      <c r="K1853">
        <v>63522.285434047895</v>
      </c>
    </row>
    <row r="1854" spans="1:11" x14ac:dyDescent="0.25">
      <c r="A1854" t="s">
        <v>143</v>
      </c>
      <c r="B1854" t="s">
        <v>43</v>
      </c>
      <c r="C1854" t="s">
        <v>30</v>
      </c>
      <c r="D1854">
        <v>2019</v>
      </c>
      <c r="E1854" t="s">
        <v>119</v>
      </c>
      <c r="F1854" t="s">
        <v>109</v>
      </c>
      <c r="G1854" t="s">
        <v>30</v>
      </c>
      <c r="H1854">
        <v>20.204274039436456</v>
      </c>
      <c r="I1854">
        <v>503.08642358196778</v>
      </c>
      <c r="J1854">
        <v>0</v>
      </c>
      <c r="K1854">
        <v>503.08642358196778</v>
      </c>
    </row>
    <row r="1855" spans="1:11" x14ac:dyDescent="0.25">
      <c r="A1855" t="s">
        <v>143</v>
      </c>
      <c r="B1855" t="s">
        <v>43</v>
      </c>
      <c r="C1855" t="s">
        <v>31</v>
      </c>
      <c r="D1855">
        <v>2019</v>
      </c>
      <c r="E1855" t="s">
        <v>119</v>
      </c>
      <c r="F1855" t="s">
        <v>109</v>
      </c>
      <c r="G1855" t="s">
        <v>31</v>
      </c>
      <c r="H1855">
        <v>34.349115010819808</v>
      </c>
      <c r="I1855">
        <v>1750.6053726466705</v>
      </c>
      <c r="J1855">
        <v>0</v>
      </c>
      <c r="K1855">
        <v>1750.6053726466705</v>
      </c>
    </row>
    <row r="1856" spans="1:11" x14ac:dyDescent="0.25">
      <c r="A1856" t="s">
        <v>143</v>
      </c>
      <c r="B1856" t="s">
        <v>43</v>
      </c>
      <c r="C1856" t="s">
        <v>55</v>
      </c>
      <c r="D1856">
        <v>2019</v>
      </c>
      <c r="E1856" t="s">
        <v>119</v>
      </c>
      <c r="F1856" t="s">
        <v>109</v>
      </c>
      <c r="G1856" t="s">
        <v>55</v>
      </c>
      <c r="H1856">
        <v>95.964200645574223</v>
      </c>
      <c r="I1856">
        <v>9356.9392533941373</v>
      </c>
      <c r="J1856">
        <v>0</v>
      </c>
      <c r="K1856">
        <v>9356.9392533941373</v>
      </c>
    </row>
    <row r="1857" spans="1:11" x14ac:dyDescent="0.25">
      <c r="A1857" t="s">
        <v>143</v>
      </c>
      <c r="B1857" t="s">
        <v>43</v>
      </c>
      <c r="C1857" t="s">
        <v>54</v>
      </c>
      <c r="D1857">
        <v>2019</v>
      </c>
      <c r="E1857" t="s">
        <v>119</v>
      </c>
      <c r="F1857" t="s">
        <v>109</v>
      </c>
      <c r="G1857" t="s">
        <v>54</v>
      </c>
      <c r="H1857">
        <v>102.31264680005847</v>
      </c>
      <c r="I1857">
        <v>5464.7230908847232</v>
      </c>
      <c r="J1857">
        <v>0</v>
      </c>
      <c r="K1857">
        <v>5464.7230908847232</v>
      </c>
    </row>
    <row r="1858" spans="1:11" x14ac:dyDescent="0.25">
      <c r="A1858" t="s">
        <v>143</v>
      </c>
      <c r="B1858" t="s">
        <v>43</v>
      </c>
      <c r="C1858" t="s">
        <v>41</v>
      </c>
      <c r="D1858">
        <v>2019</v>
      </c>
      <c r="E1858" t="s">
        <v>119</v>
      </c>
      <c r="F1858" t="s">
        <v>109</v>
      </c>
      <c r="G1858" t="s">
        <v>41</v>
      </c>
      <c r="H1858">
        <v>22.070941108444988</v>
      </c>
      <c r="I1858">
        <v>224.85874801283754</v>
      </c>
      <c r="J1858">
        <v>0</v>
      </c>
      <c r="K1858">
        <v>224.85874801283754</v>
      </c>
    </row>
    <row r="1859" spans="1:11" x14ac:dyDescent="0.25">
      <c r="A1859" t="s">
        <v>143</v>
      </c>
      <c r="B1859" t="s">
        <v>43</v>
      </c>
      <c r="C1859" t="s">
        <v>80</v>
      </c>
      <c r="D1859">
        <v>2019</v>
      </c>
      <c r="E1859" t="s">
        <v>119</v>
      </c>
      <c r="F1859" t="s">
        <v>109</v>
      </c>
      <c r="G1859" t="s">
        <v>80</v>
      </c>
      <c r="H1859">
        <v>157.59722417896069</v>
      </c>
      <c r="I1859">
        <v>5634.9095864199417</v>
      </c>
      <c r="J1859">
        <v>0</v>
      </c>
      <c r="K1859">
        <v>5634.9095864199417</v>
      </c>
    </row>
    <row r="1860" spans="1:11" x14ac:dyDescent="0.25">
      <c r="A1860" t="s">
        <v>143</v>
      </c>
      <c r="B1860" t="s">
        <v>43</v>
      </c>
      <c r="C1860" t="s">
        <v>75</v>
      </c>
      <c r="D1860">
        <v>2019</v>
      </c>
      <c r="E1860" t="s">
        <v>119</v>
      </c>
      <c r="F1860" t="s">
        <v>109</v>
      </c>
      <c r="G1860" t="s">
        <v>52</v>
      </c>
      <c r="H1860">
        <v>1144.1483740031422</v>
      </c>
      <c r="I1860">
        <v>19618.292165198385</v>
      </c>
      <c r="J1860">
        <v>3259.1752922503906</v>
      </c>
      <c r="K1860">
        <v>3259.1752922503906</v>
      </c>
    </row>
    <row r="1861" spans="1:11" x14ac:dyDescent="0.25">
      <c r="A1861" t="s">
        <v>143</v>
      </c>
      <c r="B1861" t="s">
        <v>43</v>
      </c>
      <c r="C1861" t="s">
        <v>78</v>
      </c>
      <c r="D1861">
        <v>2019</v>
      </c>
      <c r="E1861" t="s">
        <v>119</v>
      </c>
      <c r="F1861" t="s">
        <v>109</v>
      </c>
      <c r="G1861" t="s">
        <v>78</v>
      </c>
      <c r="H1861">
        <v>34.585039119234281</v>
      </c>
      <c r="I1861">
        <v>2075.102347154057</v>
      </c>
      <c r="J1861">
        <v>0</v>
      </c>
      <c r="K1861">
        <v>2075.102347154057</v>
      </c>
    </row>
    <row r="1862" spans="1:11" x14ac:dyDescent="0.25">
      <c r="A1862" t="s">
        <v>143</v>
      </c>
      <c r="B1862" t="s">
        <v>43</v>
      </c>
      <c r="C1862" t="s">
        <v>65</v>
      </c>
      <c r="D1862">
        <v>2019</v>
      </c>
      <c r="E1862" t="s">
        <v>119</v>
      </c>
      <c r="F1862" t="s">
        <v>109</v>
      </c>
      <c r="G1862" t="s">
        <v>65</v>
      </c>
      <c r="H1862">
        <v>73.402370173862749</v>
      </c>
      <c r="I1862">
        <v>2148.3620538691534</v>
      </c>
      <c r="J1862">
        <v>0</v>
      </c>
      <c r="K1862">
        <v>2148.3620538691534</v>
      </c>
    </row>
    <row r="1863" spans="1:11" x14ac:dyDescent="0.25">
      <c r="A1863" t="s">
        <v>143</v>
      </c>
      <c r="B1863" t="s">
        <v>43</v>
      </c>
      <c r="C1863" t="s">
        <v>120</v>
      </c>
      <c r="D1863">
        <v>2019</v>
      </c>
      <c r="E1863" t="s">
        <v>119</v>
      </c>
      <c r="F1863" t="s">
        <v>109</v>
      </c>
      <c r="G1863" t="s">
        <v>53</v>
      </c>
      <c r="H1863">
        <v>2143.8995874286088</v>
      </c>
      <c r="I1863">
        <v>35477.25037276862</v>
      </c>
      <c r="J1863">
        <v>0</v>
      </c>
      <c r="K1863">
        <v>35477.25037276862</v>
      </c>
    </row>
    <row r="1864" spans="1:11" x14ac:dyDescent="0.25">
      <c r="A1864" t="s">
        <v>143</v>
      </c>
      <c r="B1864" t="s">
        <v>43</v>
      </c>
      <c r="C1864" t="s">
        <v>29</v>
      </c>
      <c r="D1864">
        <v>2030</v>
      </c>
      <c r="E1864" t="s">
        <v>119</v>
      </c>
      <c r="F1864" t="s">
        <v>109</v>
      </c>
      <c r="G1864" t="s">
        <v>52</v>
      </c>
      <c r="H1864">
        <v>3004.5351617033111</v>
      </c>
      <c r="I1864">
        <v>25274.149780248252</v>
      </c>
      <c r="J1864">
        <v>8201.4616036905572</v>
      </c>
      <c r="K1864">
        <v>8201.4616036905572</v>
      </c>
    </row>
    <row r="1865" spans="1:11" x14ac:dyDescent="0.25">
      <c r="A1865" t="s">
        <v>143</v>
      </c>
      <c r="B1865" t="s">
        <v>43</v>
      </c>
      <c r="C1865" t="s">
        <v>34</v>
      </c>
      <c r="D1865">
        <v>2030</v>
      </c>
      <c r="E1865" t="s">
        <v>119</v>
      </c>
      <c r="F1865" t="s">
        <v>109</v>
      </c>
      <c r="G1865" t="s">
        <v>52</v>
      </c>
      <c r="H1865">
        <v>81.247433467117162</v>
      </c>
      <c r="I1865">
        <v>376.33811181968667</v>
      </c>
      <c r="J1865">
        <v>111.07726616970228</v>
      </c>
      <c r="K1865">
        <v>111.07726616970228</v>
      </c>
    </row>
    <row r="1866" spans="1:11" x14ac:dyDescent="0.25">
      <c r="A1866" t="s">
        <v>143</v>
      </c>
      <c r="B1866" t="s">
        <v>43</v>
      </c>
      <c r="C1866" t="s">
        <v>72</v>
      </c>
      <c r="D1866">
        <v>2030</v>
      </c>
      <c r="E1866" t="s">
        <v>119</v>
      </c>
      <c r="F1866" t="s">
        <v>109</v>
      </c>
      <c r="G1866" t="s">
        <v>52</v>
      </c>
      <c r="H1866">
        <v>328.17107570651984</v>
      </c>
      <c r="I1866">
        <v>1732.7432797304245</v>
      </c>
      <c r="J1866">
        <v>920.08668153685562</v>
      </c>
      <c r="K1866">
        <v>920.08668153685562</v>
      </c>
    </row>
    <row r="1867" spans="1:11" x14ac:dyDescent="0.25">
      <c r="A1867" t="s">
        <v>143</v>
      </c>
      <c r="B1867" t="s">
        <v>43</v>
      </c>
      <c r="C1867" t="s">
        <v>53</v>
      </c>
      <c r="D1867">
        <v>2030</v>
      </c>
      <c r="E1867" t="s">
        <v>119</v>
      </c>
      <c r="F1867" t="s">
        <v>109</v>
      </c>
      <c r="G1867" t="s">
        <v>53</v>
      </c>
      <c r="H1867">
        <v>964.96046741449936</v>
      </c>
      <c r="I1867">
        <v>57457.606071728951</v>
      </c>
      <c r="J1867">
        <v>0</v>
      </c>
      <c r="K1867">
        <v>57457.606071728951</v>
      </c>
    </row>
    <row r="1868" spans="1:11" x14ac:dyDescent="0.25">
      <c r="A1868" t="s">
        <v>143</v>
      </c>
      <c r="B1868" t="s">
        <v>43</v>
      </c>
      <c r="C1868" t="s">
        <v>30</v>
      </c>
      <c r="D1868">
        <v>2030</v>
      </c>
      <c r="E1868" t="s">
        <v>119</v>
      </c>
      <c r="F1868" t="s">
        <v>109</v>
      </c>
      <c r="G1868" t="s">
        <v>30</v>
      </c>
      <c r="H1868">
        <v>18.275306229787574</v>
      </c>
      <c r="I1868">
        <v>455.05512512171066</v>
      </c>
      <c r="J1868">
        <v>0</v>
      </c>
      <c r="K1868">
        <v>455.05512512171066</v>
      </c>
    </row>
    <row r="1869" spans="1:11" x14ac:dyDescent="0.25">
      <c r="A1869" t="s">
        <v>143</v>
      </c>
      <c r="B1869" t="s">
        <v>43</v>
      </c>
      <c r="C1869" t="s">
        <v>31</v>
      </c>
      <c r="D1869">
        <v>2030</v>
      </c>
      <c r="E1869" t="s">
        <v>119</v>
      </c>
      <c r="F1869" t="s">
        <v>109</v>
      </c>
      <c r="G1869" t="s">
        <v>31</v>
      </c>
      <c r="H1869">
        <v>31.069693190641079</v>
      </c>
      <c r="I1869">
        <v>1583.4693793096885</v>
      </c>
      <c r="J1869">
        <v>0</v>
      </c>
      <c r="K1869">
        <v>1583.4693793096885</v>
      </c>
    </row>
    <row r="1870" spans="1:11" x14ac:dyDescent="0.25">
      <c r="A1870" t="s">
        <v>143</v>
      </c>
      <c r="B1870" t="s">
        <v>43</v>
      </c>
      <c r="C1870" t="s">
        <v>55</v>
      </c>
      <c r="D1870">
        <v>2030</v>
      </c>
      <c r="E1870" t="s">
        <v>119</v>
      </c>
      <c r="F1870" t="s">
        <v>109</v>
      </c>
      <c r="G1870" t="s">
        <v>55</v>
      </c>
      <c r="H1870">
        <v>86.80218603605735</v>
      </c>
      <c r="I1870">
        <v>8463.6018050202292</v>
      </c>
      <c r="J1870">
        <v>0</v>
      </c>
      <c r="K1870">
        <v>8463.6018050202292</v>
      </c>
    </row>
    <row r="1871" spans="1:11" x14ac:dyDescent="0.25">
      <c r="A1871" t="s">
        <v>143</v>
      </c>
      <c r="B1871" t="s">
        <v>43</v>
      </c>
      <c r="C1871" t="s">
        <v>54</v>
      </c>
      <c r="D1871">
        <v>2030</v>
      </c>
      <c r="E1871" t="s">
        <v>119</v>
      </c>
      <c r="F1871" t="s">
        <v>109</v>
      </c>
      <c r="G1871" t="s">
        <v>54</v>
      </c>
      <c r="H1871">
        <v>92.544525371292039</v>
      </c>
      <c r="I1871">
        <v>4942.9881891314508</v>
      </c>
      <c r="J1871">
        <v>0</v>
      </c>
      <c r="K1871">
        <v>4942.9881891314508</v>
      </c>
    </row>
    <row r="1872" spans="1:11" x14ac:dyDescent="0.25">
      <c r="A1872" t="s">
        <v>143</v>
      </c>
      <c r="B1872" t="s">
        <v>43</v>
      </c>
      <c r="C1872" t="s">
        <v>41</v>
      </c>
      <c r="D1872">
        <v>2030</v>
      </c>
      <c r="E1872" t="s">
        <v>119</v>
      </c>
      <c r="F1872" t="s">
        <v>109</v>
      </c>
      <c r="G1872" t="s">
        <v>41</v>
      </c>
      <c r="H1872">
        <v>19.963756517514042</v>
      </c>
      <c r="I1872">
        <v>203.39075140043306</v>
      </c>
      <c r="J1872">
        <v>0</v>
      </c>
      <c r="K1872">
        <v>203.39075140043306</v>
      </c>
    </row>
    <row r="1873" spans="1:11" x14ac:dyDescent="0.25">
      <c r="A1873" t="s">
        <v>143</v>
      </c>
      <c r="B1873" t="s">
        <v>43</v>
      </c>
      <c r="C1873" t="s">
        <v>80</v>
      </c>
      <c r="D1873">
        <v>2030</v>
      </c>
      <c r="E1873" t="s">
        <v>119</v>
      </c>
      <c r="F1873" t="s">
        <v>109</v>
      </c>
      <c r="G1873" t="s">
        <v>80</v>
      </c>
      <c r="H1873">
        <v>142.55090419053352</v>
      </c>
      <c r="I1873">
        <v>5096.9264259624179</v>
      </c>
      <c r="J1873">
        <v>0</v>
      </c>
      <c r="K1873">
        <v>5096.9264259624179</v>
      </c>
    </row>
    <row r="1874" spans="1:11" x14ac:dyDescent="0.25">
      <c r="A1874" t="s">
        <v>143</v>
      </c>
      <c r="B1874" t="s">
        <v>43</v>
      </c>
      <c r="C1874" t="s">
        <v>75</v>
      </c>
      <c r="D1874">
        <v>2030</v>
      </c>
      <c r="E1874" t="s">
        <v>119</v>
      </c>
      <c r="F1874" t="s">
        <v>109</v>
      </c>
      <c r="G1874" t="s">
        <v>52</v>
      </c>
      <c r="H1874">
        <v>1034.9128044099805</v>
      </c>
      <c r="I1874">
        <v>17745.269952517581</v>
      </c>
      <c r="J1874">
        <v>2930.8730620890651</v>
      </c>
      <c r="K1874">
        <v>2930.8730620890651</v>
      </c>
    </row>
    <row r="1875" spans="1:11" x14ac:dyDescent="0.25">
      <c r="A1875" t="s">
        <v>143</v>
      </c>
      <c r="B1875" t="s">
        <v>43</v>
      </c>
      <c r="C1875" t="s">
        <v>78</v>
      </c>
      <c r="D1875">
        <v>2030</v>
      </c>
      <c r="E1875" t="s">
        <v>119</v>
      </c>
      <c r="F1875" t="s">
        <v>109</v>
      </c>
      <c r="G1875" t="s">
        <v>78</v>
      </c>
      <c r="H1875">
        <v>31.283092856466656</v>
      </c>
      <c r="I1875">
        <v>1876.9855713879997</v>
      </c>
      <c r="J1875">
        <v>0</v>
      </c>
      <c r="K1875">
        <v>1876.9855713879997</v>
      </c>
    </row>
    <row r="1876" spans="1:11" x14ac:dyDescent="0.25">
      <c r="A1876" t="s">
        <v>143</v>
      </c>
      <c r="B1876" t="s">
        <v>43</v>
      </c>
      <c r="C1876" t="s">
        <v>65</v>
      </c>
      <c r="D1876">
        <v>2030</v>
      </c>
      <c r="E1876" t="s">
        <v>119</v>
      </c>
      <c r="F1876" t="s">
        <v>109</v>
      </c>
      <c r="G1876" t="s">
        <v>65</v>
      </c>
      <c r="H1876">
        <v>66.394406960686013</v>
      </c>
      <c r="I1876">
        <v>1943.2509354347128</v>
      </c>
      <c r="J1876">
        <v>0</v>
      </c>
      <c r="K1876">
        <v>1943.2509354347128</v>
      </c>
    </row>
    <row r="1877" spans="1:11" x14ac:dyDescent="0.25">
      <c r="A1877" t="s">
        <v>143</v>
      </c>
      <c r="B1877" t="s">
        <v>43</v>
      </c>
      <c r="C1877" t="s">
        <v>120</v>
      </c>
      <c r="D1877">
        <v>2030</v>
      </c>
      <c r="E1877" t="s">
        <v>119</v>
      </c>
      <c r="F1877" t="s">
        <v>109</v>
      </c>
      <c r="G1877" t="s">
        <v>53</v>
      </c>
      <c r="H1877">
        <v>1924.2067363305678</v>
      </c>
      <c r="I1877">
        <v>31841.773072798231</v>
      </c>
      <c r="J1877">
        <v>0</v>
      </c>
      <c r="K1877">
        <v>31841.773072798231</v>
      </c>
    </row>
    <row r="1878" spans="1:11" x14ac:dyDescent="0.25">
      <c r="A1878" t="s">
        <v>143</v>
      </c>
      <c r="B1878" t="s">
        <v>43</v>
      </c>
      <c r="C1878" t="s">
        <v>29</v>
      </c>
      <c r="D1878">
        <v>2050</v>
      </c>
      <c r="E1878" t="s">
        <v>119</v>
      </c>
      <c r="F1878" t="s">
        <v>109</v>
      </c>
      <c r="G1878" t="s">
        <v>52</v>
      </c>
      <c r="H1878">
        <v>2865.5971195436209</v>
      </c>
      <c r="I1878">
        <v>24105.402969600938</v>
      </c>
      <c r="J1878">
        <v>7822.2032636355034</v>
      </c>
      <c r="K1878">
        <v>7822.2032636355034</v>
      </c>
    </row>
    <row r="1879" spans="1:11" x14ac:dyDescent="0.25">
      <c r="A1879" t="s">
        <v>143</v>
      </c>
      <c r="B1879" t="s">
        <v>43</v>
      </c>
      <c r="C1879" t="s">
        <v>34</v>
      </c>
      <c r="D1879">
        <v>2050</v>
      </c>
      <c r="E1879" t="s">
        <v>119</v>
      </c>
      <c r="F1879" t="s">
        <v>109</v>
      </c>
      <c r="G1879" t="s">
        <v>52</v>
      </c>
      <c r="H1879">
        <v>77.490326717192659</v>
      </c>
      <c r="I1879">
        <v>358.93519335403641</v>
      </c>
      <c r="J1879">
        <v>105.94074519075649</v>
      </c>
      <c r="K1879">
        <v>105.94074519075649</v>
      </c>
    </row>
    <row r="1880" spans="1:11" x14ac:dyDescent="0.25">
      <c r="A1880" t="s">
        <v>143</v>
      </c>
      <c r="B1880" t="s">
        <v>43</v>
      </c>
      <c r="C1880" t="s">
        <v>72</v>
      </c>
      <c r="D1880">
        <v>2050</v>
      </c>
      <c r="E1880" t="s">
        <v>119</v>
      </c>
      <c r="F1880" t="s">
        <v>109</v>
      </c>
      <c r="G1880" t="s">
        <v>52</v>
      </c>
      <c r="H1880">
        <v>312.99553463338594</v>
      </c>
      <c r="I1880">
        <v>1652.6164228642779</v>
      </c>
      <c r="J1880">
        <v>877.5393205409315</v>
      </c>
      <c r="K1880">
        <v>877.5393205409315</v>
      </c>
    </row>
    <row r="1881" spans="1:11" x14ac:dyDescent="0.25">
      <c r="A1881" t="s">
        <v>143</v>
      </c>
      <c r="B1881" t="s">
        <v>43</v>
      </c>
      <c r="C1881" t="s">
        <v>53</v>
      </c>
      <c r="D1881">
        <v>2050</v>
      </c>
      <c r="E1881" t="s">
        <v>119</v>
      </c>
      <c r="F1881" t="s">
        <v>109</v>
      </c>
      <c r="G1881" t="s">
        <v>53</v>
      </c>
      <c r="H1881">
        <v>920.3380180542913</v>
      </c>
      <c r="I1881">
        <v>54800.606947024717</v>
      </c>
      <c r="J1881">
        <v>0</v>
      </c>
      <c r="K1881">
        <v>54800.606947024717</v>
      </c>
    </row>
    <row r="1882" spans="1:11" x14ac:dyDescent="0.25">
      <c r="A1882" t="s">
        <v>143</v>
      </c>
      <c r="B1882" t="s">
        <v>43</v>
      </c>
      <c r="C1882" t="s">
        <v>30</v>
      </c>
      <c r="D1882">
        <v>2050</v>
      </c>
      <c r="E1882" t="s">
        <v>119</v>
      </c>
      <c r="F1882" t="s">
        <v>109</v>
      </c>
      <c r="G1882" t="s">
        <v>30</v>
      </c>
      <c r="H1882">
        <v>17.430205363670229</v>
      </c>
      <c r="I1882">
        <v>434.01211355538874</v>
      </c>
      <c r="J1882">
        <v>0</v>
      </c>
      <c r="K1882">
        <v>434.01211355538874</v>
      </c>
    </row>
    <row r="1883" spans="1:11" x14ac:dyDescent="0.25">
      <c r="A1883" t="s">
        <v>143</v>
      </c>
      <c r="B1883" t="s">
        <v>43</v>
      </c>
      <c r="C1883" t="s">
        <v>31</v>
      </c>
      <c r="D1883">
        <v>2050</v>
      </c>
      <c r="E1883" t="s">
        <v>119</v>
      </c>
      <c r="F1883" t="s">
        <v>109</v>
      </c>
      <c r="G1883" t="s">
        <v>31</v>
      </c>
      <c r="H1883">
        <v>29.632944372576752</v>
      </c>
      <c r="I1883">
        <v>1510.2453617693561</v>
      </c>
      <c r="J1883">
        <v>0</v>
      </c>
      <c r="K1883">
        <v>1510.2453617693561</v>
      </c>
    </row>
    <row r="1884" spans="1:11" x14ac:dyDescent="0.25">
      <c r="A1884" t="s">
        <v>143</v>
      </c>
      <c r="B1884" t="s">
        <v>43</v>
      </c>
      <c r="C1884" t="s">
        <v>55</v>
      </c>
      <c r="D1884">
        <v>2050</v>
      </c>
      <c r="E1884" t="s">
        <v>119</v>
      </c>
      <c r="F1884" t="s">
        <v>109</v>
      </c>
      <c r="G1884" t="s">
        <v>55</v>
      </c>
      <c r="H1884">
        <v>82.788212115314806</v>
      </c>
      <c r="I1884">
        <v>8072.2213747302758</v>
      </c>
      <c r="J1884">
        <v>0</v>
      </c>
      <c r="K1884">
        <v>8072.2213747302758</v>
      </c>
    </row>
    <row r="1885" spans="1:11" x14ac:dyDescent="0.25">
      <c r="A1885" t="s">
        <v>143</v>
      </c>
      <c r="B1885" t="s">
        <v>43</v>
      </c>
      <c r="C1885" t="s">
        <v>54</v>
      </c>
      <c r="D1885">
        <v>2050</v>
      </c>
      <c r="E1885" t="s">
        <v>119</v>
      </c>
      <c r="F1885" t="s">
        <v>109</v>
      </c>
      <c r="G1885" t="s">
        <v>54</v>
      </c>
      <c r="H1885">
        <v>88.265009747186056</v>
      </c>
      <c r="I1885">
        <v>4714.4107006167014</v>
      </c>
      <c r="J1885">
        <v>0</v>
      </c>
      <c r="K1885">
        <v>4714.4107006167014</v>
      </c>
    </row>
    <row r="1886" spans="1:11" x14ac:dyDescent="0.25">
      <c r="A1886" t="s">
        <v>143</v>
      </c>
      <c r="B1886" t="s">
        <v>43</v>
      </c>
      <c r="C1886" t="s">
        <v>41</v>
      </c>
      <c r="D1886">
        <v>2050</v>
      </c>
      <c r="E1886" t="s">
        <v>119</v>
      </c>
      <c r="F1886" t="s">
        <v>109</v>
      </c>
      <c r="G1886" t="s">
        <v>41</v>
      </c>
      <c r="H1886">
        <v>19.040577025374667</v>
      </c>
      <c r="I1886">
        <v>193.98539873451713</v>
      </c>
      <c r="J1886">
        <v>0</v>
      </c>
      <c r="K1886">
        <v>193.98539873451713</v>
      </c>
    </row>
    <row r="1887" spans="1:11" x14ac:dyDescent="0.25">
      <c r="A1887" t="s">
        <v>143</v>
      </c>
      <c r="B1887" t="s">
        <v>43</v>
      </c>
      <c r="C1887" t="s">
        <v>80</v>
      </c>
      <c r="D1887">
        <v>2050</v>
      </c>
      <c r="E1887" t="s">
        <v>119</v>
      </c>
      <c r="F1887" t="s">
        <v>109</v>
      </c>
      <c r="G1887" t="s">
        <v>80</v>
      </c>
      <c r="H1887">
        <v>135.9589548638036</v>
      </c>
      <c r="I1887">
        <v>4861.2304062647327</v>
      </c>
      <c r="J1887">
        <v>0</v>
      </c>
      <c r="K1887">
        <v>4861.2304062647327</v>
      </c>
    </row>
    <row r="1888" spans="1:11" x14ac:dyDescent="0.25">
      <c r="A1888" t="s">
        <v>143</v>
      </c>
      <c r="B1888" t="s">
        <v>43</v>
      </c>
      <c r="C1888" t="s">
        <v>75</v>
      </c>
      <c r="D1888">
        <v>2050</v>
      </c>
      <c r="E1888" t="s">
        <v>119</v>
      </c>
      <c r="F1888" t="s">
        <v>109</v>
      </c>
      <c r="G1888" t="s">
        <v>52</v>
      </c>
      <c r="H1888">
        <v>987.0555648996924</v>
      </c>
      <c r="I1888">
        <v>16924.679434482088</v>
      </c>
      <c r="J1888">
        <v>2795.3413597959288</v>
      </c>
      <c r="K1888">
        <v>2795.3413597959288</v>
      </c>
    </row>
    <row r="1889" spans="1:11" x14ac:dyDescent="0.25">
      <c r="A1889" t="s">
        <v>143</v>
      </c>
      <c r="B1889" t="s">
        <v>43</v>
      </c>
      <c r="C1889" t="s">
        <v>78</v>
      </c>
      <c r="D1889">
        <v>2050</v>
      </c>
      <c r="E1889" t="s">
        <v>119</v>
      </c>
      <c r="F1889" t="s">
        <v>109</v>
      </c>
      <c r="G1889" t="s">
        <v>78</v>
      </c>
      <c r="H1889">
        <v>29.836475845762994</v>
      </c>
      <c r="I1889">
        <v>1790.1885507457796</v>
      </c>
      <c r="J1889">
        <v>0</v>
      </c>
      <c r="K1889">
        <v>1790.1885507457796</v>
      </c>
    </row>
    <row r="1890" spans="1:11" x14ac:dyDescent="0.25">
      <c r="A1890" t="s">
        <v>143</v>
      </c>
      <c r="B1890" t="s">
        <v>43</v>
      </c>
      <c r="C1890" t="s">
        <v>65</v>
      </c>
      <c r="D1890">
        <v>2050</v>
      </c>
      <c r="E1890" t="s">
        <v>119</v>
      </c>
      <c r="F1890" t="s">
        <v>109</v>
      </c>
      <c r="G1890" t="s">
        <v>65</v>
      </c>
      <c r="H1890">
        <v>63.324145367128274</v>
      </c>
      <c r="I1890">
        <v>1853.3896205013152</v>
      </c>
      <c r="J1890">
        <v>0</v>
      </c>
      <c r="K1890">
        <v>1853.3896205013152</v>
      </c>
    </row>
    <row r="1891" spans="1:11" x14ac:dyDescent="0.25">
      <c r="A1891" t="s">
        <v>143</v>
      </c>
      <c r="B1891" t="s">
        <v>43</v>
      </c>
      <c r="C1891" t="s">
        <v>120</v>
      </c>
      <c r="D1891">
        <v>2050</v>
      </c>
      <c r="E1891" t="s">
        <v>119</v>
      </c>
      <c r="F1891" t="s">
        <v>109</v>
      </c>
      <c r="G1891" t="s">
        <v>53</v>
      </c>
      <c r="H1891">
        <v>1835.2260780031424</v>
      </c>
      <c r="I1891">
        <v>30369.321138796004</v>
      </c>
      <c r="J1891">
        <v>0</v>
      </c>
      <c r="K1891">
        <v>30369.321138796004</v>
      </c>
    </row>
    <row r="1892" spans="1:11" x14ac:dyDescent="0.25">
      <c r="A1892" t="s">
        <v>143</v>
      </c>
      <c r="B1892" t="s">
        <v>43</v>
      </c>
      <c r="C1892" t="s">
        <v>29</v>
      </c>
      <c r="D1892">
        <v>2019</v>
      </c>
      <c r="E1892" t="s">
        <v>121</v>
      </c>
      <c r="F1892" t="s">
        <v>109</v>
      </c>
      <c r="G1892" t="s">
        <v>52</v>
      </c>
      <c r="H1892">
        <v>424.7131637222576</v>
      </c>
      <c r="I1892">
        <v>2393.7003792651931</v>
      </c>
      <c r="J1892">
        <v>781.29781954121086</v>
      </c>
      <c r="K1892">
        <v>781.29781954121086</v>
      </c>
    </row>
    <row r="1893" spans="1:11" x14ac:dyDescent="0.25">
      <c r="A1893" t="s">
        <v>143</v>
      </c>
      <c r="B1893" t="s">
        <v>43</v>
      </c>
      <c r="C1893" t="s">
        <v>34</v>
      </c>
      <c r="D1893">
        <v>2019</v>
      </c>
      <c r="E1893" t="s">
        <v>121</v>
      </c>
      <c r="F1893" t="s">
        <v>109</v>
      </c>
      <c r="G1893" t="s">
        <v>52</v>
      </c>
      <c r="H1893">
        <v>11.484922843296186</v>
      </c>
      <c r="I1893">
        <v>30.322952687784319</v>
      </c>
      <c r="J1893">
        <v>9.0022400938663694</v>
      </c>
      <c r="K1893">
        <v>9.0022400938663694</v>
      </c>
    </row>
    <row r="1894" spans="1:11" x14ac:dyDescent="0.25">
      <c r="A1894" t="s">
        <v>143</v>
      </c>
      <c r="B1894" t="s">
        <v>43</v>
      </c>
      <c r="C1894" t="s">
        <v>72</v>
      </c>
      <c r="D1894">
        <v>2019</v>
      </c>
      <c r="E1894" t="s">
        <v>121</v>
      </c>
      <c r="F1894" t="s">
        <v>109</v>
      </c>
      <c r="G1894" t="s">
        <v>52</v>
      </c>
      <c r="H1894">
        <v>46.389397462214085</v>
      </c>
      <c r="I1894">
        <v>134.71481023026973</v>
      </c>
      <c r="J1894">
        <v>71.951853718038222</v>
      </c>
      <c r="K1894">
        <v>71.951853718038222</v>
      </c>
    </row>
    <row r="1895" spans="1:11" x14ac:dyDescent="0.25">
      <c r="A1895" t="s">
        <v>143</v>
      </c>
      <c r="B1895" t="s">
        <v>43</v>
      </c>
      <c r="C1895" t="s">
        <v>53</v>
      </c>
      <c r="D1895">
        <v>2019</v>
      </c>
      <c r="E1895" t="s">
        <v>121</v>
      </c>
      <c r="F1895" t="s">
        <v>109</v>
      </c>
      <c r="G1895" t="s">
        <v>53</v>
      </c>
      <c r="H1895">
        <v>136.4042658599414</v>
      </c>
      <c r="I1895">
        <v>6335.2033729641935</v>
      </c>
      <c r="J1895">
        <v>0</v>
      </c>
      <c r="K1895">
        <v>6335.2033729641935</v>
      </c>
    </row>
    <row r="1896" spans="1:11" x14ac:dyDescent="0.25">
      <c r="A1896" t="s">
        <v>143</v>
      </c>
      <c r="B1896" t="s">
        <v>43</v>
      </c>
      <c r="C1896" t="s">
        <v>30</v>
      </c>
      <c r="D1896">
        <v>2019</v>
      </c>
      <c r="E1896" t="s">
        <v>121</v>
      </c>
      <c r="F1896" t="s">
        <v>109</v>
      </c>
      <c r="G1896" t="s">
        <v>30</v>
      </c>
      <c r="H1896">
        <v>2.5833490736869646</v>
      </c>
      <c r="I1896">
        <v>36.665473402839091</v>
      </c>
      <c r="J1896">
        <v>0</v>
      </c>
      <c r="K1896">
        <v>36.665473402839091</v>
      </c>
    </row>
    <row r="1897" spans="1:11" x14ac:dyDescent="0.25">
      <c r="A1897" t="s">
        <v>143</v>
      </c>
      <c r="B1897" t="s">
        <v>43</v>
      </c>
      <c r="C1897" t="s">
        <v>31</v>
      </c>
      <c r="D1897">
        <v>2019</v>
      </c>
      <c r="E1897" t="s">
        <v>121</v>
      </c>
      <c r="F1897" t="s">
        <v>109</v>
      </c>
      <c r="G1897" t="s">
        <v>31</v>
      </c>
      <c r="H1897">
        <v>4.3919298595914027</v>
      </c>
      <c r="I1897">
        <v>127.58598070016447</v>
      </c>
      <c r="J1897">
        <v>0</v>
      </c>
      <c r="K1897">
        <v>127.58598070016447</v>
      </c>
    </row>
    <row r="1898" spans="1:11" x14ac:dyDescent="0.25">
      <c r="A1898" t="s">
        <v>143</v>
      </c>
      <c r="B1898" t="s">
        <v>43</v>
      </c>
      <c r="C1898" t="s">
        <v>55</v>
      </c>
      <c r="D1898">
        <v>2019</v>
      </c>
      <c r="E1898" t="s">
        <v>121</v>
      </c>
      <c r="F1898" t="s">
        <v>109</v>
      </c>
      <c r="G1898" t="s">
        <v>55</v>
      </c>
      <c r="H1898">
        <v>12.270128011576354</v>
      </c>
      <c r="I1898">
        <v>681.94368054022107</v>
      </c>
      <c r="J1898">
        <v>0</v>
      </c>
      <c r="K1898">
        <v>681.94368054022107</v>
      </c>
    </row>
    <row r="1899" spans="1:11" x14ac:dyDescent="0.25">
      <c r="A1899" t="s">
        <v>143</v>
      </c>
      <c r="B1899" t="s">
        <v>43</v>
      </c>
      <c r="C1899" t="s">
        <v>54</v>
      </c>
      <c r="D1899">
        <v>2019</v>
      </c>
      <c r="E1899" t="s">
        <v>121</v>
      </c>
      <c r="F1899" t="s">
        <v>109</v>
      </c>
      <c r="G1899" t="s">
        <v>54</v>
      </c>
      <c r="H1899">
        <v>13.0818499502378</v>
      </c>
      <c r="I1899">
        <v>579.94404871994413</v>
      </c>
      <c r="J1899">
        <v>0</v>
      </c>
      <c r="K1899">
        <v>579.94404871994413</v>
      </c>
    </row>
    <row r="1900" spans="1:11" x14ac:dyDescent="0.25">
      <c r="A1900" t="s">
        <v>143</v>
      </c>
      <c r="B1900" t="s">
        <v>43</v>
      </c>
      <c r="C1900" t="s">
        <v>41</v>
      </c>
      <c r="D1900">
        <v>2019</v>
      </c>
      <c r="E1900" t="s">
        <v>121</v>
      </c>
      <c r="F1900" t="s">
        <v>109</v>
      </c>
      <c r="G1900" t="s">
        <v>41</v>
      </c>
      <c r="H1900">
        <v>2.8220239517940748</v>
      </c>
      <c r="I1900">
        <v>16.38794461190048</v>
      </c>
      <c r="J1900">
        <v>0</v>
      </c>
      <c r="K1900">
        <v>16.38794461190048</v>
      </c>
    </row>
    <row r="1901" spans="1:11" x14ac:dyDescent="0.25">
      <c r="A1901" t="s">
        <v>143</v>
      </c>
      <c r="B1901" t="s">
        <v>43</v>
      </c>
      <c r="C1901" t="s">
        <v>80</v>
      </c>
      <c r="D1901">
        <v>2019</v>
      </c>
      <c r="E1901" t="s">
        <v>121</v>
      </c>
      <c r="F1901" t="s">
        <v>109</v>
      </c>
      <c r="G1901" t="s">
        <v>80</v>
      </c>
      <c r="H1901">
        <v>20.15061973044347</v>
      </c>
      <c r="I1901">
        <v>410.6782013659747</v>
      </c>
      <c r="J1901">
        <v>0</v>
      </c>
      <c r="K1901">
        <v>410.6782013659747</v>
      </c>
    </row>
    <row r="1902" spans="1:11" x14ac:dyDescent="0.25">
      <c r="A1902" t="s">
        <v>143</v>
      </c>
      <c r="B1902" t="s">
        <v>43</v>
      </c>
      <c r="C1902" t="s">
        <v>75</v>
      </c>
      <c r="D1902">
        <v>2019</v>
      </c>
      <c r="E1902" t="s">
        <v>121</v>
      </c>
      <c r="F1902" t="s">
        <v>109</v>
      </c>
      <c r="G1902" t="s">
        <v>52</v>
      </c>
      <c r="H1902">
        <v>146.29254366537521</v>
      </c>
      <c r="I1902">
        <v>1429.8019900252987</v>
      </c>
      <c r="J1902">
        <v>237.5321602645615</v>
      </c>
      <c r="K1902">
        <v>237.5321602645615</v>
      </c>
    </row>
    <row r="1903" spans="1:11" x14ac:dyDescent="0.25">
      <c r="A1903" t="s">
        <v>143</v>
      </c>
      <c r="B1903" t="s">
        <v>43</v>
      </c>
      <c r="C1903" t="s">
        <v>78</v>
      </c>
      <c r="D1903">
        <v>2019</v>
      </c>
      <c r="E1903" t="s">
        <v>121</v>
      </c>
      <c r="F1903" t="s">
        <v>109</v>
      </c>
      <c r="G1903" t="s">
        <v>78</v>
      </c>
      <c r="H1903">
        <v>4.4220954733493292</v>
      </c>
      <c r="I1903">
        <v>151.23566518854705</v>
      </c>
      <c r="J1903">
        <v>0</v>
      </c>
      <c r="K1903">
        <v>151.23566518854705</v>
      </c>
    </row>
    <row r="1904" spans="1:11" x14ac:dyDescent="0.25">
      <c r="A1904" t="s">
        <v>143</v>
      </c>
      <c r="B1904" t="s">
        <v>43</v>
      </c>
      <c r="C1904" t="s">
        <v>65</v>
      </c>
      <c r="D1904">
        <v>2019</v>
      </c>
      <c r="E1904" t="s">
        <v>121</v>
      </c>
      <c r="F1904" t="s">
        <v>109</v>
      </c>
      <c r="G1904" t="s">
        <v>65</v>
      </c>
      <c r="H1904">
        <v>9.3853382024492209</v>
      </c>
      <c r="I1904">
        <v>156.57491049939676</v>
      </c>
      <c r="J1904">
        <v>0</v>
      </c>
      <c r="K1904">
        <v>156.57491049939676</v>
      </c>
    </row>
    <row r="1905" spans="1:11" x14ac:dyDescent="0.25">
      <c r="A1905" t="s">
        <v>143</v>
      </c>
      <c r="B1905" t="s">
        <v>43</v>
      </c>
      <c r="C1905" t="s">
        <v>120</v>
      </c>
      <c r="D1905">
        <v>2019</v>
      </c>
      <c r="E1905" t="s">
        <v>121</v>
      </c>
      <c r="F1905" t="s">
        <v>109</v>
      </c>
      <c r="G1905" t="s">
        <v>53</v>
      </c>
      <c r="H1905">
        <v>274.12224772100956</v>
      </c>
      <c r="I1905">
        <v>4536.1749552872661</v>
      </c>
      <c r="J1905">
        <v>0</v>
      </c>
      <c r="K1905">
        <v>4536.1749552872661</v>
      </c>
    </row>
    <row r="1906" spans="1:11" x14ac:dyDescent="0.25">
      <c r="A1906" t="s">
        <v>143</v>
      </c>
      <c r="B1906" t="s">
        <v>43</v>
      </c>
      <c r="C1906" t="s">
        <v>29</v>
      </c>
      <c r="D1906">
        <v>2030</v>
      </c>
      <c r="E1906" t="s">
        <v>121</v>
      </c>
      <c r="F1906" t="s">
        <v>109</v>
      </c>
      <c r="G1906" t="s">
        <v>52</v>
      </c>
      <c r="H1906">
        <v>468.91589228895612</v>
      </c>
      <c r="I1906">
        <v>2642.828725576248</v>
      </c>
      <c r="J1906">
        <v>857.59792144949267</v>
      </c>
      <c r="K1906">
        <v>857.59792144949267</v>
      </c>
    </row>
    <row r="1907" spans="1:11" x14ac:dyDescent="0.25">
      <c r="A1907" t="s">
        <v>143</v>
      </c>
      <c r="B1907" t="s">
        <v>43</v>
      </c>
      <c r="C1907" t="s">
        <v>34</v>
      </c>
      <c r="D1907">
        <v>2030</v>
      </c>
      <c r="E1907" t="s">
        <v>121</v>
      </c>
      <c r="F1907" t="s">
        <v>109</v>
      </c>
      <c r="G1907" t="s">
        <v>52</v>
      </c>
      <c r="H1907">
        <v>12.680235280995165</v>
      </c>
      <c r="I1907">
        <v>33.478864398294675</v>
      </c>
      <c r="J1907">
        <v>9.8813822332469243</v>
      </c>
      <c r="K1907">
        <v>9.8813822332469243</v>
      </c>
    </row>
    <row r="1908" spans="1:11" x14ac:dyDescent="0.25">
      <c r="A1908" t="s">
        <v>143</v>
      </c>
      <c r="B1908" t="s">
        <v>43</v>
      </c>
      <c r="C1908" t="s">
        <v>72</v>
      </c>
      <c r="D1908">
        <v>2030</v>
      </c>
      <c r="E1908" t="s">
        <v>121</v>
      </c>
      <c r="F1908" t="s">
        <v>109</v>
      </c>
      <c r="G1908" t="s">
        <v>52</v>
      </c>
      <c r="H1908">
        <v>51.217451121826805</v>
      </c>
      <c r="I1908">
        <v>148.73547805778509</v>
      </c>
      <c r="J1908">
        <v>78.978538848683883</v>
      </c>
      <c r="K1908">
        <v>78.978538848683883</v>
      </c>
    </row>
    <row r="1909" spans="1:11" x14ac:dyDescent="0.25">
      <c r="A1909" t="s">
        <v>143</v>
      </c>
      <c r="B1909" t="s">
        <v>43</v>
      </c>
      <c r="C1909" t="s">
        <v>53</v>
      </c>
      <c r="D1909">
        <v>2030</v>
      </c>
      <c r="E1909" t="s">
        <v>121</v>
      </c>
      <c r="F1909" t="s">
        <v>109</v>
      </c>
      <c r="G1909" t="s">
        <v>53</v>
      </c>
      <c r="H1909">
        <v>150.60076659070219</v>
      </c>
      <c r="I1909">
        <v>6994.5501957838824</v>
      </c>
      <c r="J1909">
        <v>0</v>
      </c>
      <c r="K1909">
        <v>6994.5501957838824</v>
      </c>
    </row>
    <row r="1910" spans="1:11" x14ac:dyDescent="0.25">
      <c r="A1910" t="s">
        <v>143</v>
      </c>
      <c r="B1910" t="s">
        <v>43</v>
      </c>
      <c r="C1910" t="s">
        <v>30</v>
      </c>
      <c r="D1910">
        <v>2030</v>
      </c>
      <c r="E1910" t="s">
        <v>121</v>
      </c>
      <c r="F1910" t="s">
        <v>109</v>
      </c>
      <c r="G1910" t="s">
        <v>30</v>
      </c>
      <c r="H1910">
        <v>2.8522154231460375</v>
      </c>
      <c r="I1910">
        <v>40.481493500711707</v>
      </c>
      <c r="J1910">
        <v>0</v>
      </c>
      <c r="K1910">
        <v>40.481493500711707</v>
      </c>
    </row>
    <row r="1911" spans="1:11" x14ac:dyDescent="0.25">
      <c r="A1911" t="s">
        <v>143</v>
      </c>
      <c r="B1911" t="s">
        <v>43</v>
      </c>
      <c r="C1911" t="s">
        <v>31</v>
      </c>
      <c r="D1911">
        <v>2030</v>
      </c>
      <c r="E1911" t="s">
        <v>121</v>
      </c>
      <c r="F1911" t="s">
        <v>109</v>
      </c>
      <c r="G1911" t="s">
        <v>31</v>
      </c>
      <c r="H1911">
        <v>4.8490272609671052</v>
      </c>
      <c r="I1911">
        <v>140.86470374321448</v>
      </c>
      <c r="J1911">
        <v>0</v>
      </c>
      <c r="K1911">
        <v>140.86470374321448</v>
      </c>
    </row>
    <row r="1912" spans="1:11" x14ac:dyDescent="0.25">
      <c r="A1912" t="s">
        <v>143</v>
      </c>
      <c r="B1912" t="s">
        <v>43</v>
      </c>
      <c r="C1912" t="s">
        <v>55</v>
      </c>
      <c r="D1912">
        <v>2030</v>
      </c>
      <c r="E1912" t="s">
        <v>121</v>
      </c>
      <c r="F1912" t="s">
        <v>109</v>
      </c>
      <c r="G1912" t="s">
        <v>55</v>
      </c>
      <c r="H1912">
        <v>13.547161982506061</v>
      </c>
      <c r="I1912">
        <v>752.91810277029674</v>
      </c>
      <c r="J1912">
        <v>0</v>
      </c>
      <c r="K1912">
        <v>752.91810277029674</v>
      </c>
    </row>
    <row r="1913" spans="1:11" x14ac:dyDescent="0.25">
      <c r="A1913" t="s">
        <v>143</v>
      </c>
      <c r="B1913" t="s">
        <v>43</v>
      </c>
      <c r="C1913" t="s">
        <v>54</v>
      </c>
      <c r="D1913">
        <v>2030</v>
      </c>
      <c r="E1913" t="s">
        <v>121</v>
      </c>
      <c r="F1913" t="s">
        <v>109</v>
      </c>
      <c r="G1913" t="s">
        <v>54</v>
      </c>
      <c r="H1913">
        <v>14.443365231357719</v>
      </c>
      <c r="I1913">
        <v>640.30268970194118</v>
      </c>
      <c r="J1913">
        <v>0</v>
      </c>
      <c r="K1913">
        <v>640.30268970194118</v>
      </c>
    </row>
    <row r="1914" spans="1:11" x14ac:dyDescent="0.25">
      <c r="A1914" t="s">
        <v>143</v>
      </c>
      <c r="B1914" t="s">
        <v>43</v>
      </c>
      <c r="C1914" t="s">
        <v>41</v>
      </c>
      <c r="D1914">
        <v>2030</v>
      </c>
      <c r="E1914" t="s">
        <v>121</v>
      </c>
      <c r="F1914" t="s">
        <v>109</v>
      </c>
      <c r="G1914" t="s">
        <v>41</v>
      </c>
      <c r="H1914">
        <v>3.1157307859704</v>
      </c>
      <c r="I1914">
        <v>18.093547191055869</v>
      </c>
      <c r="J1914">
        <v>0</v>
      </c>
      <c r="K1914">
        <v>18.093547191055869</v>
      </c>
    </row>
    <row r="1915" spans="1:11" x14ac:dyDescent="0.25">
      <c r="A1915" t="s">
        <v>143</v>
      </c>
      <c r="B1915" t="s">
        <v>43</v>
      </c>
      <c r="C1915" t="s">
        <v>80</v>
      </c>
      <c r="D1915">
        <v>2030</v>
      </c>
      <c r="E1915" t="s">
        <v>121</v>
      </c>
      <c r="F1915" t="s">
        <v>109</v>
      </c>
      <c r="G1915" t="s">
        <v>80</v>
      </c>
      <c r="H1915">
        <v>22.247828977713322</v>
      </c>
      <c r="I1915">
        <v>453.42021789341965</v>
      </c>
      <c r="J1915">
        <v>0</v>
      </c>
      <c r="K1915">
        <v>453.42021789341965</v>
      </c>
    </row>
    <row r="1916" spans="1:11" x14ac:dyDescent="0.25">
      <c r="A1916" t="s">
        <v>143</v>
      </c>
      <c r="B1916" t="s">
        <v>43</v>
      </c>
      <c r="C1916" t="s">
        <v>75</v>
      </c>
      <c r="D1916">
        <v>2030</v>
      </c>
      <c r="E1916" t="s">
        <v>121</v>
      </c>
      <c r="F1916" t="s">
        <v>109</v>
      </c>
      <c r="G1916" t="s">
        <v>52</v>
      </c>
      <c r="H1916">
        <v>161.51818334722239</v>
      </c>
      <c r="I1916">
        <v>1578.6110090707834</v>
      </c>
      <c r="J1916">
        <v>260.72911228642022</v>
      </c>
      <c r="K1916">
        <v>260.72911228642022</v>
      </c>
    </row>
    <row r="1917" spans="1:11" x14ac:dyDescent="0.25">
      <c r="A1917" t="s">
        <v>143</v>
      </c>
      <c r="B1917" t="s">
        <v>43</v>
      </c>
      <c r="C1917" t="s">
        <v>78</v>
      </c>
      <c r="D1917">
        <v>2030</v>
      </c>
      <c r="E1917" t="s">
        <v>121</v>
      </c>
      <c r="F1917" t="s">
        <v>109</v>
      </c>
      <c r="G1917" t="s">
        <v>78</v>
      </c>
      <c r="H1917">
        <v>4.8823324111248541</v>
      </c>
      <c r="I1917">
        <v>166.97576846046999</v>
      </c>
      <c r="J1917">
        <v>0</v>
      </c>
      <c r="K1917">
        <v>166.97576846046999</v>
      </c>
    </row>
    <row r="1918" spans="1:11" x14ac:dyDescent="0.25">
      <c r="A1918" t="s">
        <v>143</v>
      </c>
      <c r="B1918" t="s">
        <v>43</v>
      </c>
      <c r="C1918" t="s">
        <v>65</v>
      </c>
      <c r="D1918">
        <v>2030</v>
      </c>
      <c r="E1918" t="s">
        <v>121</v>
      </c>
      <c r="F1918" t="s">
        <v>109</v>
      </c>
      <c r="G1918" t="s">
        <v>65</v>
      </c>
      <c r="H1918">
        <v>10.362132878257356</v>
      </c>
      <c r="I1918">
        <v>172.87070460312273</v>
      </c>
      <c r="J1918">
        <v>0</v>
      </c>
      <c r="K1918">
        <v>172.87070460312273</v>
      </c>
    </row>
    <row r="1919" spans="1:11" x14ac:dyDescent="0.25">
      <c r="A1919" t="s">
        <v>143</v>
      </c>
      <c r="B1919" t="s">
        <v>43</v>
      </c>
      <c r="C1919" t="s">
        <v>120</v>
      </c>
      <c r="D1919">
        <v>2030</v>
      </c>
      <c r="E1919" t="s">
        <v>121</v>
      </c>
      <c r="F1919" t="s">
        <v>109</v>
      </c>
      <c r="G1919" t="s">
        <v>53</v>
      </c>
      <c r="H1919">
        <v>300.30972185505971</v>
      </c>
      <c r="I1919">
        <v>4969.5252772575286</v>
      </c>
      <c r="J1919">
        <v>0</v>
      </c>
      <c r="K1919">
        <v>4969.5252772575286</v>
      </c>
    </row>
    <row r="1920" spans="1:11" x14ac:dyDescent="0.25">
      <c r="A1920" t="s">
        <v>143</v>
      </c>
      <c r="B1920" t="s">
        <v>43</v>
      </c>
      <c r="C1920" t="s">
        <v>29</v>
      </c>
      <c r="D1920">
        <v>2050</v>
      </c>
      <c r="E1920" t="s">
        <v>121</v>
      </c>
      <c r="F1920" t="s">
        <v>109</v>
      </c>
      <c r="G1920" t="s">
        <v>52</v>
      </c>
      <c r="H1920">
        <v>607.85393444864678</v>
      </c>
      <c r="I1920">
        <v>3425.8890887099515</v>
      </c>
      <c r="J1920">
        <v>1111.7010092863791</v>
      </c>
      <c r="K1920">
        <v>1111.7010092863791</v>
      </c>
    </row>
    <row r="1921" spans="1:11" x14ac:dyDescent="0.25">
      <c r="A1921" t="s">
        <v>143</v>
      </c>
      <c r="B1921" t="s">
        <v>43</v>
      </c>
      <c r="C1921" t="s">
        <v>34</v>
      </c>
      <c r="D1921">
        <v>2050</v>
      </c>
      <c r="E1921" t="s">
        <v>121</v>
      </c>
      <c r="F1921" t="s">
        <v>109</v>
      </c>
      <c r="G1921" t="s">
        <v>52</v>
      </c>
      <c r="H1921">
        <v>16.437342030919655</v>
      </c>
      <c r="I1921">
        <v>43.398527923715307</v>
      </c>
      <c r="J1921">
        <v>12.809199191246012</v>
      </c>
      <c r="K1921">
        <v>12.809199191246012</v>
      </c>
    </row>
    <row r="1922" spans="1:11" x14ac:dyDescent="0.25">
      <c r="A1922" t="s">
        <v>143</v>
      </c>
      <c r="B1922" t="s">
        <v>43</v>
      </c>
      <c r="C1922" t="s">
        <v>72</v>
      </c>
      <c r="D1922">
        <v>2050</v>
      </c>
      <c r="E1922" t="s">
        <v>121</v>
      </c>
      <c r="F1922" t="s">
        <v>109</v>
      </c>
      <c r="G1922" t="s">
        <v>52</v>
      </c>
      <c r="H1922">
        <v>66.392992194960655</v>
      </c>
      <c r="I1922">
        <v>192.80524933416578</v>
      </c>
      <c r="J1922">
        <v>102.37958739644202</v>
      </c>
      <c r="K1922">
        <v>102.37958739644202</v>
      </c>
    </row>
    <row r="1923" spans="1:11" x14ac:dyDescent="0.25">
      <c r="A1923" t="s">
        <v>143</v>
      </c>
      <c r="B1923" t="s">
        <v>43</v>
      </c>
      <c r="C1923" t="s">
        <v>53</v>
      </c>
      <c r="D1923">
        <v>2050</v>
      </c>
      <c r="E1923" t="s">
        <v>121</v>
      </c>
      <c r="F1923" t="s">
        <v>109</v>
      </c>
      <c r="G1923" t="s">
        <v>53</v>
      </c>
      <c r="H1923">
        <v>195.22321595091026</v>
      </c>
      <c r="I1923">
        <v>9067.0095130531809</v>
      </c>
      <c r="J1923">
        <v>0</v>
      </c>
      <c r="K1923">
        <v>9067.0095130531809</v>
      </c>
    </row>
    <row r="1924" spans="1:11" x14ac:dyDescent="0.25">
      <c r="A1924" t="s">
        <v>143</v>
      </c>
      <c r="B1924" t="s">
        <v>43</v>
      </c>
      <c r="C1924" t="s">
        <v>30</v>
      </c>
      <c r="D1924">
        <v>2050</v>
      </c>
      <c r="E1924" t="s">
        <v>121</v>
      </c>
      <c r="F1924" t="s">
        <v>109</v>
      </c>
      <c r="G1924" t="s">
        <v>30</v>
      </c>
      <c r="H1924">
        <v>3.697316289263382</v>
      </c>
      <c r="I1924">
        <v>52.476010093515178</v>
      </c>
      <c r="J1924">
        <v>0</v>
      </c>
      <c r="K1924">
        <v>52.476010093515178</v>
      </c>
    </row>
    <row r="1925" spans="1:11" x14ac:dyDescent="0.25">
      <c r="A1925" t="s">
        <v>143</v>
      </c>
      <c r="B1925" t="s">
        <v>43</v>
      </c>
      <c r="C1925" t="s">
        <v>31</v>
      </c>
      <c r="D1925">
        <v>2050</v>
      </c>
      <c r="E1925" t="s">
        <v>121</v>
      </c>
      <c r="F1925" t="s">
        <v>109</v>
      </c>
      <c r="G1925" t="s">
        <v>31</v>
      </c>
      <c r="H1925">
        <v>6.2857760790314314</v>
      </c>
      <c r="I1925">
        <v>182.60239374120394</v>
      </c>
      <c r="J1925">
        <v>0</v>
      </c>
      <c r="K1925">
        <v>182.60239374120394</v>
      </c>
    </row>
    <row r="1926" spans="1:11" x14ac:dyDescent="0.25">
      <c r="A1926" t="s">
        <v>143</v>
      </c>
      <c r="B1926" t="s">
        <v>43</v>
      </c>
      <c r="C1926" t="s">
        <v>55</v>
      </c>
      <c r="D1926">
        <v>2050</v>
      </c>
      <c r="E1926" t="s">
        <v>121</v>
      </c>
      <c r="F1926" t="s">
        <v>109</v>
      </c>
      <c r="G1926" t="s">
        <v>55</v>
      </c>
      <c r="H1926">
        <v>17.561135903248598</v>
      </c>
      <c r="I1926">
        <v>976.00494803557001</v>
      </c>
      <c r="J1926">
        <v>0</v>
      </c>
      <c r="K1926">
        <v>976.00494803557001</v>
      </c>
    </row>
    <row r="1927" spans="1:11" x14ac:dyDescent="0.25">
      <c r="A1927" t="s">
        <v>143</v>
      </c>
      <c r="B1927" t="s">
        <v>43</v>
      </c>
      <c r="C1927" t="s">
        <v>54</v>
      </c>
      <c r="D1927">
        <v>2050</v>
      </c>
      <c r="E1927" t="s">
        <v>121</v>
      </c>
      <c r="F1927" t="s">
        <v>109</v>
      </c>
      <c r="G1927" t="s">
        <v>54</v>
      </c>
      <c r="H1927">
        <v>18.722880855463707</v>
      </c>
      <c r="I1927">
        <v>830.02200516918299</v>
      </c>
      <c r="J1927">
        <v>0</v>
      </c>
      <c r="K1927">
        <v>830.02200516918299</v>
      </c>
    </row>
    <row r="1928" spans="1:11" x14ac:dyDescent="0.25">
      <c r="A1928" t="s">
        <v>143</v>
      </c>
      <c r="B1928" t="s">
        <v>43</v>
      </c>
      <c r="C1928" t="s">
        <v>41</v>
      </c>
      <c r="D1928">
        <v>2050</v>
      </c>
      <c r="E1928" t="s">
        <v>121</v>
      </c>
      <c r="F1928" t="s">
        <v>109</v>
      </c>
      <c r="G1928" t="s">
        <v>41</v>
      </c>
      <c r="H1928">
        <v>4.0389102781097774</v>
      </c>
      <c r="I1928">
        <v>23.454598210627974</v>
      </c>
      <c r="J1928">
        <v>0</v>
      </c>
      <c r="K1928">
        <v>23.454598210627974</v>
      </c>
    </row>
    <row r="1929" spans="1:11" x14ac:dyDescent="0.25">
      <c r="A1929" t="s">
        <v>143</v>
      </c>
      <c r="B1929" t="s">
        <v>43</v>
      </c>
      <c r="C1929" t="s">
        <v>80</v>
      </c>
      <c r="D1929">
        <v>2050</v>
      </c>
      <c r="E1929" t="s">
        <v>121</v>
      </c>
      <c r="F1929" t="s">
        <v>109</v>
      </c>
      <c r="G1929" t="s">
        <v>80</v>
      </c>
      <c r="H1929">
        <v>28.839778304443193</v>
      </c>
      <c r="I1929">
        <v>587.76694912109951</v>
      </c>
      <c r="J1929">
        <v>0</v>
      </c>
      <c r="K1929">
        <v>587.76694912109951</v>
      </c>
    </row>
    <row r="1930" spans="1:11" x14ac:dyDescent="0.25">
      <c r="A1930" t="s">
        <v>143</v>
      </c>
      <c r="B1930" t="s">
        <v>43</v>
      </c>
      <c r="C1930" t="s">
        <v>75</v>
      </c>
      <c r="D1930">
        <v>2050</v>
      </c>
      <c r="E1930" t="s">
        <v>121</v>
      </c>
      <c r="F1930" t="s">
        <v>109</v>
      </c>
      <c r="G1930" t="s">
        <v>52</v>
      </c>
      <c r="H1930">
        <v>209.3754228575105</v>
      </c>
      <c r="I1930">
        <v>2046.3476043510154</v>
      </c>
      <c r="J1930">
        <v>337.98218259350773</v>
      </c>
      <c r="K1930">
        <v>337.98218259350773</v>
      </c>
    </row>
    <row r="1931" spans="1:11" x14ac:dyDescent="0.25">
      <c r="A1931" t="s">
        <v>143</v>
      </c>
      <c r="B1931" t="s">
        <v>43</v>
      </c>
      <c r="C1931" t="s">
        <v>78</v>
      </c>
      <c r="D1931">
        <v>2050</v>
      </c>
      <c r="E1931" t="s">
        <v>121</v>
      </c>
      <c r="F1931" t="s">
        <v>109</v>
      </c>
      <c r="G1931" t="s">
        <v>78</v>
      </c>
      <c r="H1931">
        <v>6.3289494218285141</v>
      </c>
      <c r="I1931">
        <v>216.45007022653519</v>
      </c>
      <c r="J1931">
        <v>0</v>
      </c>
      <c r="K1931">
        <v>216.45007022653519</v>
      </c>
    </row>
    <row r="1932" spans="1:11" x14ac:dyDescent="0.25">
      <c r="A1932" t="s">
        <v>143</v>
      </c>
      <c r="B1932" t="s">
        <v>43</v>
      </c>
      <c r="C1932" t="s">
        <v>65</v>
      </c>
      <c r="D1932">
        <v>2050</v>
      </c>
      <c r="E1932" t="s">
        <v>121</v>
      </c>
      <c r="F1932" t="s">
        <v>109</v>
      </c>
      <c r="G1932" t="s">
        <v>65</v>
      </c>
      <c r="H1932">
        <v>13.432394471815089</v>
      </c>
      <c r="I1932">
        <v>224.09165411515903</v>
      </c>
      <c r="J1932">
        <v>0</v>
      </c>
      <c r="K1932">
        <v>224.09165411515903</v>
      </c>
    </row>
    <row r="1933" spans="1:11" x14ac:dyDescent="0.25">
      <c r="A1933" t="s">
        <v>143</v>
      </c>
      <c r="B1933" t="s">
        <v>43</v>
      </c>
      <c r="C1933" t="s">
        <v>120</v>
      </c>
      <c r="D1933">
        <v>2050</v>
      </c>
      <c r="E1933" t="s">
        <v>121</v>
      </c>
      <c r="F1933" t="s">
        <v>109</v>
      </c>
      <c r="G1933" t="s">
        <v>53</v>
      </c>
      <c r="H1933">
        <v>389.29038018248474</v>
      </c>
      <c r="I1933">
        <v>6441.9772112597584</v>
      </c>
      <c r="J1933">
        <v>0</v>
      </c>
      <c r="K1933">
        <v>6441.9772112597584</v>
      </c>
    </row>
    <row r="1934" spans="1:11" x14ac:dyDescent="0.25">
      <c r="A1934" t="s">
        <v>143</v>
      </c>
      <c r="B1934" t="s">
        <v>43</v>
      </c>
      <c r="C1934" t="s">
        <v>29</v>
      </c>
      <c r="D1934">
        <v>2019</v>
      </c>
      <c r="E1934" t="s">
        <v>119</v>
      </c>
      <c r="F1934" t="s">
        <v>110</v>
      </c>
      <c r="G1934" t="s">
        <v>52</v>
      </c>
      <c r="H1934">
        <v>1774.9136894308049</v>
      </c>
      <c r="I1934">
        <v>17419.002948073918</v>
      </c>
      <c r="J1934">
        <v>5685.5190147439571</v>
      </c>
      <c r="K1934">
        <v>5685.5190147439571</v>
      </c>
    </row>
    <row r="1935" spans="1:11" x14ac:dyDescent="0.25">
      <c r="A1935" t="s">
        <v>143</v>
      </c>
      <c r="B1935" t="s">
        <v>43</v>
      </c>
      <c r="C1935" t="s">
        <v>34</v>
      </c>
      <c r="D1935">
        <v>2019</v>
      </c>
      <c r="E1935" t="s">
        <v>119</v>
      </c>
      <c r="F1935" t="s">
        <v>110</v>
      </c>
      <c r="G1935" t="s">
        <v>52</v>
      </c>
      <c r="H1935">
        <v>32.238285550267712</v>
      </c>
      <c r="I1935">
        <v>174.21569511364672</v>
      </c>
      <c r="J1935">
        <v>51.720936667380549</v>
      </c>
      <c r="K1935">
        <v>51.720936667380549</v>
      </c>
    </row>
    <row r="1936" spans="1:11" x14ac:dyDescent="0.25">
      <c r="A1936" t="s">
        <v>143</v>
      </c>
      <c r="B1936" t="s">
        <v>43</v>
      </c>
      <c r="C1936" t="s">
        <v>72</v>
      </c>
      <c r="D1936">
        <v>2019</v>
      </c>
      <c r="E1936" t="s">
        <v>119</v>
      </c>
      <c r="F1936" t="s">
        <v>110</v>
      </c>
      <c r="G1936" t="s">
        <v>52</v>
      </c>
      <c r="H1936">
        <v>157.47648143468331</v>
      </c>
      <c r="I1936">
        <v>970.05512563764921</v>
      </c>
      <c r="J1936">
        <v>518.11129287869664</v>
      </c>
      <c r="K1936">
        <v>518.11129287869664</v>
      </c>
    </row>
    <row r="1937" spans="1:11" x14ac:dyDescent="0.25">
      <c r="A1937" t="s">
        <v>143</v>
      </c>
      <c r="B1937" t="s">
        <v>43</v>
      </c>
      <c r="C1937" t="s">
        <v>53</v>
      </c>
      <c r="D1937">
        <v>2019</v>
      </c>
      <c r="E1937" t="s">
        <v>119</v>
      </c>
      <c r="F1937" t="s">
        <v>110</v>
      </c>
      <c r="G1937" t="s">
        <v>53</v>
      </c>
      <c r="H1937">
        <v>1157.2294466868368</v>
      </c>
      <c r="I1937">
        <v>80390.415202441189</v>
      </c>
      <c r="J1937">
        <v>0</v>
      </c>
      <c r="K1937">
        <v>80390.415202441189</v>
      </c>
    </row>
    <row r="1938" spans="1:11" x14ac:dyDescent="0.25">
      <c r="A1938" t="s">
        <v>143</v>
      </c>
      <c r="B1938" t="s">
        <v>43</v>
      </c>
      <c r="C1938" t="s">
        <v>30</v>
      </c>
      <c r="D1938">
        <v>2019</v>
      </c>
      <c r="E1938" t="s">
        <v>119</v>
      </c>
      <c r="F1938" t="s">
        <v>110</v>
      </c>
      <c r="G1938" t="s">
        <v>30</v>
      </c>
      <c r="H1938">
        <v>5.4466148542378683</v>
      </c>
      <c r="I1938">
        <v>158.22416151561006</v>
      </c>
      <c r="J1938">
        <v>0</v>
      </c>
      <c r="K1938">
        <v>158.22416151561006</v>
      </c>
    </row>
    <row r="1939" spans="1:11" x14ac:dyDescent="0.25">
      <c r="A1939" t="s">
        <v>143</v>
      </c>
      <c r="B1939" t="s">
        <v>43</v>
      </c>
      <c r="C1939" t="s">
        <v>31</v>
      </c>
      <c r="D1939">
        <v>2019</v>
      </c>
      <c r="E1939" t="s">
        <v>119</v>
      </c>
      <c r="F1939" t="s">
        <v>110</v>
      </c>
      <c r="G1939" t="s">
        <v>31</v>
      </c>
      <c r="H1939">
        <v>31.045054930295858</v>
      </c>
      <c r="I1939">
        <v>1845.915969818406</v>
      </c>
      <c r="J1939">
        <v>0</v>
      </c>
      <c r="K1939">
        <v>1845.915969818406</v>
      </c>
    </row>
    <row r="1940" spans="1:11" x14ac:dyDescent="0.25">
      <c r="A1940" t="s">
        <v>143</v>
      </c>
      <c r="B1940" t="s">
        <v>43</v>
      </c>
      <c r="C1940" t="s">
        <v>55</v>
      </c>
      <c r="D1940">
        <v>2019</v>
      </c>
      <c r="E1940" t="s">
        <v>119</v>
      </c>
      <c r="F1940" t="s">
        <v>110</v>
      </c>
      <c r="G1940" t="s">
        <v>55</v>
      </c>
      <c r="H1940">
        <v>35.751038145066026</v>
      </c>
      <c r="I1940">
        <v>4066.8673481557489</v>
      </c>
      <c r="J1940">
        <v>0</v>
      </c>
      <c r="K1940">
        <v>4066.8673481557489</v>
      </c>
    </row>
    <row r="1941" spans="1:11" x14ac:dyDescent="0.25">
      <c r="A1941" t="s">
        <v>143</v>
      </c>
      <c r="B1941" t="s">
        <v>43</v>
      </c>
      <c r="C1941" t="s">
        <v>54</v>
      </c>
      <c r="D1941">
        <v>2019</v>
      </c>
      <c r="E1941" t="s">
        <v>119</v>
      </c>
      <c r="F1941" t="s">
        <v>110</v>
      </c>
      <c r="G1941" t="s">
        <v>54</v>
      </c>
      <c r="H1941">
        <v>36.720874835279488</v>
      </c>
      <c r="I1941">
        <v>2288.2245944856063</v>
      </c>
      <c r="J1941">
        <v>0</v>
      </c>
      <c r="K1941">
        <v>2288.2245944856063</v>
      </c>
    </row>
    <row r="1942" spans="1:11" x14ac:dyDescent="0.25">
      <c r="A1942" t="s">
        <v>143</v>
      </c>
      <c r="B1942" t="s">
        <v>43</v>
      </c>
      <c r="C1942" t="s">
        <v>41</v>
      </c>
      <c r="D1942">
        <v>2019</v>
      </c>
      <c r="E1942" t="s">
        <v>119</v>
      </c>
      <c r="F1942" t="s">
        <v>110</v>
      </c>
      <c r="G1942" t="s">
        <v>41</v>
      </c>
      <c r="H1942">
        <v>13.325104800010324</v>
      </c>
      <c r="I1942">
        <v>158.38219565292275</v>
      </c>
      <c r="J1942">
        <v>0</v>
      </c>
      <c r="K1942">
        <v>158.38219565292275</v>
      </c>
    </row>
    <row r="1943" spans="1:11" x14ac:dyDescent="0.25">
      <c r="A1943" t="s">
        <v>143</v>
      </c>
      <c r="B1943" t="s">
        <v>43</v>
      </c>
      <c r="C1943" t="s">
        <v>80</v>
      </c>
      <c r="D1943">
        <v>2019</v>
      </c>
      <c r="E1943" t="s">
        <v>119</v>
      </c>
      <c r="F1943" t="s">
        <v>110</v>
      </c>
      <c r="G1943" t="s">
        <v>80</v>
      </c>
      <c r="H1943">
        <v>95.147711103802934</v>
      </c>
      <c r="I1943">
        <v>3969.0221549750004</v>
      </c>
      <c r="J1943">
        <v>0</v>
      </c>
      <c r="K1943">
        <v>3969.0221549750004</v>
      </c>
    </row>
    <row r="1944" spans="1:11" x14ac:dyDescent="0.25">
      <c r="A1944" t="s">
        <v>143</v>
      </c>
      <c r="B1944" t="s">
        <v>43</v>
      </c>
      <c r="C1944" t="s">
        <v>75</v>
      </c>
      <c r="D1944">
        <v>2019</v>
      </c>
      <c r="E1944" t="s">
        <v>119</v>
      </c>
      <c r="F1944" t="s">
        <v>110</v>
      </c>
      <c r="G1944" t="s">
        <v>52</v>
      </c>
      <c r="H1944">
        <v>890.40917113569958</v>
      </c>
      <c r="I1944">
        <v>17812.105731467855</v>
      </c>
      <c r="J1944">
        <v>2959.1146066186934</v>
      </c>
      <c r="K1944">
        <v>2959.1146066186934</v>
      </c>
    </row>
    <row r="1945" spans="1:11" x14ac:dyDescent="0.25">
      <c r="A1945" t="s">
        <v>143</v>
      </c>
      <c r="B1945" t="s">
        <v>43</v>
      </c>
      <c r="C1945" t="s">
        <v>78</v>
      </c>
      <c r="D1945">
        <v>2019</v>
      </c>
      <c r="E1945" t="s">
        <v>119</v>
      </c>
      <c r="F1945" t="s">
        <v>110</v>
      </c>
      <c r="G1945" t="s">
        <v>78</v>
      </c>
      <c r="H1945">
        <v>20.880363393290878</v>
      </c>
      <c r="I1945">
        <v>1461.6254375303615</v>
      </c>
      <c r="J1945">
        <v>0</v>
      </c>
      <c r="K1945">
        <v>1461.6254375303615</v>
      </c>
    </row>
    <row r="1946" spans="1:11" x14ac:dyDescent="0.25">
      <c r="A1946" t="s">
        <v>143</v>
      </c>
      <c r="B1946" t="s">
        <v>43</v>
      </c>
      <c r="C1946" t="s">
        <v>65</v>
      </c>
      <c r="D1946">
        <v>2019</v>
      </c>
      <c r="E1946" t="s">
        <v>119</v>
      </c>
      <c r="F1946" t="s">
        <v>110</v>
      </c>
      <c r="G1946" t="s">
        <v>65</v>
      </c>
      <c r="H1946">
        <v>63.693862522419288</v>
      </c>
      <c r="I1946">
        <v>2174.912378814317</v>
      </c>
      <c r="J1946">
        <v>0</v>
      </c>
      <c r="K1946">
        <v>2174.912378814317</v>
      </c>
    </row>
    <row r="1947" spans="1:11" x14ac:dyDescent="0.25">
      <c r="A1947" t="s">
        <v>143</v>
      </c>
      <c r="B1947" t="s">
        <v>43</v>
      </c>
      <c r="C1947" t="s">
        <v>120</v>
      </c>
      <c r="D1947">
        <v>2019</v>
      </c>
      <c r="E1947" t="s">
        <v>119</v>
      </c>
      <c r="F1947" t="s">
        <v>110</v>
      </c>
      <c r="G1947" t="s">
        <v>53</v>
      </c>
      <c r="H1947">
        <v>2434.2808314981853</v>
      </c>
      <c r="I1947">
        <v>46996.225732903964</v>
      </c>
      <c r="J1947">
        <v>0</v>
      </c>
      <c r="K1947">
        <v>46996.225732903964</v>
      </c>
    </row>
    <row r="1948" spans="1:11" x14ac:dyDescent="0.25">
      <c r="A1948" t="s">
        <v>143</v>
      </c>
      <c r="B1948" t="s">
        <v>43</v>
      </c>
      <c r="C1948" t="s">
        <v>29</v>
      </c>
      <c r="D1948">
        <v>2030</v>
      </c>
      <c r="E1948" t="s">
        <v>119</v>
      </c>
      <c r="F1948" t="s">
        <v>110</v>
      </c>
      <c r="G1948" t="s">
        <v>52</v>
      </c>
      <c r="H1948">
        <v>1618.1689827208891</v>
      </c>
      <c r="I1948">
        <v>15880.710396422801</v>
      </c>
      <c r="J1948">
        <v>5153.2905236391998</v>
      </c>
      <c r="K1948">
        <v>5153.2905236391998</v>
      </c>
    </row>
    <row r="1949" spans="1:11" x14ac:dyDescent="0.25">
      <c r="A1949" t="s">
        <v>143</v>
      </c>
      <c r="B1949" t="s">
        <v>43</v>
      </c>
      <c r="C1949" t="s">
        <v>34</v>
      </c>
      <c r="D1949">
        <v>2030</v>
      </c>
      <c r="E1949" t="s">
        <v>119</v>
      </c>
      <c r="F1949" t="s">
        <v>110</v>
      </c>
      <c r="G1949" t="s">
        <v>52</v>
      </c>
      <c r="H1949">
        <v>29.391284795528069</v>
      </c>
      <c r="I1949">
        <v>158.8305030350337</v>
      </c>
      <c r="J1949">
        <v>46.879275596576036</v>
      </c>
      <c r="K1949">
        <v>46.879275596576036</v>
      </c>
    </row>
    <row r="1950" spans="1:11" x14ac:dyDescent="0.25">
      <c r="A1950" t="s">
        <v>143</v>
      </c>
      <c r="B1950" t="s">
        <v>43</v>
      </c>
      <c r="C1950" t="s">
        <v>72</v>
      </c>
      <c r="D1950">
        <v>2030</v>
      </c>
      <c r="E1950" t="s">
        <v>119</v>
      </c>
      <c r="F1950" t="s">
        <v>110</v>
      </c>
      <c r="G1950" t="s">
        <v>52</v>
      </c>
      <c r="H1950">
        <v>143.56954892119037</v>
      </c>
      <c r="I1950">
        <v>884.38842135453274</v>
      </c>
      <c r="J1950">
        <v>469.61025173925685</v>
      </c>
      <c r="K1950">
        <v>469.61025173925685</v>
      </c>
    </row>
    <row r="1951" spans="1:11" x14ac:dyDescent="0.25">
      <c r="A1951" t="s">
        <v>143</v>
      </c>
      <c r="B1951" t="s">
        <v>43</v>
      </c>
      <c r="C1951" t="s">
        <v>53</v>
      </c>
      <c r="D1951">
        <v>2030</v>
      </c>
      <c r="E1951" t="s">
        <v>119</v>
      </c>
      <c r="F1951" t="s">
        <v>110</v>
      </c>
      <c r="G1951" t="s">
        <v>53</v>
      </c>
      <c r="H1951">
        <v>1055.0331588914703</v>
      </c>
      <c r="I1951">
        <v>73291.04348187265</v>
      </c>
      <c r="J1951">
        <v>0</v>
      </c>
      <c r="K1951">
        <v>73291.04348187265</v>
      </c>
    </row>
    <row r="1952" spans="1:11" x14ac:dyDescent="0.25">
      <c r="A1952" t="s">
        <v>143</v>
      </c>
      <c r="B1952" t="s">
        <v>43</v>
      </c>
      <c r="C1952" t="s">
        <v>30</v>
      </c>
      <c r="D1952">
        <v>2030</v>
      </c>
      <c r="E1952" t="s">
        <v>119</v>
      </c>
      <c r="F1952" t="s">
        <v>110</v>
      </c>
      <c r="G1952" t="s">
        <v>30</v>
      </c>
      <c r="H1952">
        <v>4.9656179173315067</v>
      </c>
      <c r="I1952">
        <v>144.25120049848027</v>
      </c>
      <c r="J1952">
        <v>0</v>
      </c>
      <c r="K1952">
        <v>144.25120049848027</v>
      </c>
    </row>
    <row r="1953" spans="1:11" x14ac:dyDescent="0.25">
      <c r="A1953" t="s">
        <v>143</v>
      </c>
      <c r="B1953" t="s">
        <v>43</v>
      </c>
      <c r="C1953" t="s">
        <v>31</v>
      </c>
      <c r="D1953">
        <v>2030</v>
      </c>
      <c r="E1953" t="s">
        <v>119</v>
      </c>
      <c r="F1953" t="s">
        <v>110</v>
      </c>
      <c r="G1953" t="s">
        <v>31</v>
      </c>
      <c r="H1953">
        <v>28.303429769129298</v>
      </c>
      <c r="I1953">
        <v>1682.9009685688955</v>
      </c>
      <c r="J1953">
        <v>0</v>
      </c>
      <c r="K1953">
        <v>1682.9009685688955</v>
      </c>
    </row>
    <row r="1954" spans="1:11" x14ac:dyDescent="0.25">
      <c r="A1954" t="s">
        <v>143</v>
      </c>
      <c r="B1954" t="s">
        <v>43</v>
      </c>
      <c r="C1954" t="s">
        <v>55</v>
      </c>
      <c r="D1954">
        <v>2030</v>
      </c>
      <c r="E1954" t="s">
        <v>119</v>
      </c>
      <c r="F1954" t="s">
        <v>110</v>
      </c>
      <c r="G1954" t="s">
        <v>55</v>
      </c>
      <c r="H1954">
        <v>32.593822094509534</v>
      </c>
      <c r="I1954">
        <v>3707.7175294852809</v>
      </c>
      <c r="J1954">
        <v>0</v>
      </c>
      <c r="K1954">
        <v>3707.7175294852809</v>
      </c>
    </row>
    <row r="1955" spans="1:11" x14ac:dyDescent="0.25">
      <c r="A1955" t="s">
        <v>143</v>
      </c>
      <c r="B1955" t="s">
        <v>43</v>
      </c>
      <c r="C1955" t="s">
        <v>54</v>
      </c>
      <c r="D1955">
        <v>2030</v>
      </c>
      <c r="E1955" t="s">
        <v>119</v>
      </c>
      <c r="F1955" t="s">
        <v>110</v>
      </c>
      <c r="G1955" t="s">
        <v>54</v>
      </c>
      <c r="H1955">
        <v>33.478011370728012</v>
      </c>
      <c r="I1955">
        <v>2086.1488005555452</v>
      </c>
      <c r="J1955">
        <v>0</v>
      </c>
      <c r="K1955">
        <v>2086.1488005555452</v>
      </c>
    </row>
    <row r="1956" spans="1:11" x14ac:dyDescent="0.25">
      <c r="A1956" t="s">
        <v>143</v>
      </c>
      <c r="B1956" t="s">
        <v>43</v>
      </c>
      <c r="C1956" t="s">
        <v>41</v>
      </c>
      <c r="D1956">
        <v>2030</v>
      </c>
      <c r="E1956" t="s">
        <v>119</v>
      </c>
      <c r="F1956" t="s">
        <v>110</v>
      </c>
      <c r="G1956" t="s">
        <v>41</v>
      </c>
      <c r="H1956">
        <v>12.148349188628277</v>
      </c>
      <c r="I1956">
        <v>144.3952784560357</v>
      </c>
      <c r="J1956">
        <v>0</v>
      </c>
      <c r="K1956">
        <v>144.3952784560357</v>
      </c>
    </row>
    <row r="1957" spans="1:11" x14ac:dyDescent="0.25">
      <c r="A1957" t="s">
        <v>143</v>
      </c>
      <c r="B1957" t="s">
        <v>43</v>
      </c>
      <c r="C1957" t="s">
        <v>80</v>
      </c>
      <c r="D1957">
        <v>2030</v>
      </c>
      <c r="E1957" t="s">
        <v>119</v>
      </c>
      <c r="F1957" t="s">
        <v>110</v>
      </c>
      <c r="G1957" t="s">
        <v>80</v>
      </c>
      <c r="H1957">
        <v>86.745105298295798</v>
      </c>
      <c r="I1957">
        <v>3618.5131599115721</v>
      </c>
      <c r="J1957">
        <v>0</v>
      </c>
      <c r="K1957">
        <v>3618.5131599115721</v>
      </c>
    </row>
    <row r="1958" spans="1:11" x14ac:dyDescent="0.25">
      <c r="A1958" t="s">
        <v>143</v>
      </c>
      <c r="B1958" t="s">
        <v>43</v>
      </c>
      <c r="C1958" t="s">
        <v>75</v>
      </c>
      <c r="D1958">
        <v>2030</v>
      </c>
      <c r="E1958" t="s">
        <v>119</v>
      </c>
      <c r="F1958" t="s">
        <v>110</v>
      </c>
      <c r="G1958" t="s">
        <v>52</v>
      </c>
      <c r="H1958">
        <v>811.77609437677165</v>
      </c>
      <c r="I1958">
        <v>16239.097812609396</v>
      </c>
      <c r="J1958">
        <v>2682.1082158208537</v>
      </c>
      <c r="K1958">
        <v>2682.1082158208537</v>
      </c>
    </row>
    <row r="1959" spans="1:11" x14ac:dyDescent="0.25">
      <c r="A1959" t="s">
        <v>143</v>
      </c>
      <c r="B1959" t="s">
        <v>43</v>
      </c>
      <c r="C1959" t="s">
        <v>78</v>
      </c>
      <c r="D1959">
        <v>2030</v>
      </c>
      <c r="E1959" t="s">
        <v>119</v>
      </c>
      <c r="F1959" t="s">
        <v>110</v>
      </c>
      <c r="G1959" t="s">
        <v>78</v>
      </c>
      <c r="H1959">
        <v>19.036394046743428</v>
      </c>
      <c r="I1959">
        <v>1332.5475832720401</v>
      </c>
      <c r="J1959">
        <v>0</v>
      </c>
      <c r="K1959">
        <v>1332.5475832720401</v>
      </c>
    </row>
    <row r="1960" spans="1:11" x14ac:dyDescent="0.25">
      <c r="A1960" t="s">
        <v>143</v>
      </c>
      <c r="B1960" t="s">
        <v>43</v>
      </c>
      <c r="C1960" t="s">
        <v>65</v>
      </c>
      <c r="D1960">
        <v>2030</v>
      </c>
      <c r="E1960" t="s">
        <v>119</v>
      </c>
      <c r="F1960" t="s">
        <v>110</v>
      </c>
      <c r="G1960" t="s">
        <v>65</v>
      </c>
      <c r="H1960">
        <v>58.068982924189378</v>
      </c>
      <c r="I1960">
        <v>1982.843319362564</v>
      </c>
      <c r="J1960">
        <v>0</v>
      </c>
      <c r="K1960">
        <v>1982.843319362564</v>
      </c>
    </row>
    <row r="1961" spans="1:11" x14ac:dyDescent="0.25">
      <c r="A1961" t="s">
        <v>143</v>
      </c>
      <c r="B1961" t="s">
        <v>43</v>
      </c>
      <c r="C1961" t="s">
        <v>120</v>
      </c>
      <c r="D1961">
        <v>2030</v>
      </c>
      <c r="E1961" t="s">
        <v>119</v>
      </c>
      <c r="F1961" t="s">
        <v>110</v>
      </c>
      <c r="G1961" t="s">
        <v>53</v>
      </c>
      <c r="H1961">
        <v>2019.4268817975167</v>
      </c>
      <c r="I1961">
        <v>38987.055379982856</v>
      </c>
      <c r="J1961">
        <v>0</v>
      </c>
      <c r="K1961">
        <v>38987.055379982856</v>
      </c>
    </row>
    <row r="1962" spans="1:11" x14ac:dyDescent="0.25">
      <c r="A1962" t="s">
        <v>143</v>
      </c>
      <c r="B1962" t="s">
        <v>43</v>
      </c>
      <c r="C1962" t="s">
        <v>29</v>
      </c>
      <c r="D1962">
        <v>2050</v>
      </c>
      <c r="E1962" t="s">
        <v>119</v>
      </c>
      <c r="F1962" t="s">
        <v>110</v>
      </c>
      <c r="G1962" t="s">
        <v>52</v>
      </c>
      <c r="H1962">
        <v>1543.3403592424663</v>
      </c>
      <c r="I1962">
        <v>15146.342285605564</v>
      </c>
      <c r="J1962">
        <v>4914.9880716790058</v>
      </c>
      <c r="K1962">
        <v>4914.9880716790058</v>
      </c>
    </row>
    <row r="1963" spans="1:11" x14ac:dyDescent="0.25">
      <c r="A1963" t="s">
        <v>143</v>
      </c>
      <c r="B1963" t="s">
        <v>43</v>
      </c>
      <c r="C1963" t="s">
        <v>34</v>
      </c>
      <c r="D1963">
        <v>2050</v>
      </c>
      <c r="E1963" t="s">
        <v>119</v>
      </c>
      <c r="F1963" t="s">
        <v>110</v>
      </c>
      <c r="G1963" t="s">
        <v>52</v>
      </c>
      <c r="H1963">
        <v>28.032150238509427</v>
      </c>
      <c r="I1963">
        <v>151.48573988890496</v>
      </c>
      <c r="J1963">
        <v>44.711447823323965</v>
      </c>
      <c r="K1963">
        <v>44.711447823323965</v>
      </c>
    </row>
    <row r="1964" spans="1:11" x14ac:dyDescent="0.25">
      <c r="A1964" t="s">
        <v>143</v>
      </c>
      <c r="B1964" t="s">
        <v>43</v>
      </c>
      <c r="C1964" t="s">
        <v>72</v>
      </c>
      <c r="D1964">
        <v>2050</v>
      </c>
      <c r="E1964" t="s">
        <v>119</v>
      </c>
      <c r="F1964" t="s">
        <v>110</v>
      </c>
      <c r="G1964" t="s">
        <v>52</v>
      </c>
      <c r="H1964">
        <v>136.93049463581738</v>
      </c>
      <c r="I1964">
        <v>843.49184695663507</v>
      </c>
      <c r="J1964">
        <v>447.89417073397317</v>
      </c>
      <c r="K1964">
        <v>447.89417073397317</v>
      </c>
    </row>
    <row r="1965" spans="1:11" x14ac:dyDescent="0.25">
      <c r="A1965" t="s">
        <v>143</v>
      </c>
      <c r="B1965" t="s">
        <v>43</v>
      </c>
      <c r="C1965" t="s">
        <v>53</v>
      </c>
      <c r="D1965">
        <v>2050</v>
      </c>
      <c r="E1965" t="s">
        <v>119</v>
      </c>
      <c r="F1965" t="s">
        <v>110</v>
      </c>
      <c r="G1965" t="s">
        <v>53</v>
      </c>
      <c r="H1965">
        <v>1006.2454983646971</v>
      </c>
      <c r="I1965">
        <v>69901.862280398782</v>
      </c>
      <c r="J1965">
        <v>0</v>
      </c>
      <c r="K1965">
        <v>69901.862280398782</v>
      </c>
    </row>
    <row r="1966" spans="1:11" x14ac:dyDescent="0.25">
      <c r="A1966" t="s">
        <v>143</v>
      </c>
      <c r="B1966" t="s">
        <v>43</v>
      </c>
      <c r="C1966" t="s">
        <v>30</v>
      </c>
      <c r="D1966">
        <v>2050</v>
      </c>
      <c r="E1966" t="s">
        <v>119</v>
      </c>
      <c r="F1966" t="s">
        <v>110</v>
      </c>
      <c r="G1966" t="s">
        <v>30</v>
      </c>
      <c r="H1966">
        <v>4.7359939673971017</v>
      </c>
      <c r="I1966">
        <v>137.5806247528858</v>
      </c>
      <c r="J1966">
        <v>0</v>
      </c>
      <c r="K1966">
        <v>137.5806247528858</v>
      </c>
    </row>
    <row r="1967" spans="1:11" x14ac:dyDescent="0.25">
      <c r="A1967" t="s">
        <v>143</v>
      </c>
      <c r="B1967" t="s">
        <v>43</v>
      </c>
      <c r="C1967" t="s">
        <v>31</v>
      </c>
      <c r="D1967">
        <v>2050</v>
      </c>
      <c r="E1967" t="s">
        <v>119</v>
      </c>
      <c r="F1967" t="s">
        <v>110</v>
      </c>
      <c r="G1967" t="s">
        <v>31</v>
      </c>
      <c r="H1967">
        <v>26.994600646857421</v>
      </c>
      <c r="I1967">
        <v>1605.078958461663</v>
      </c>
      <c r="J1967">
        <v>0</v>
      </c>
      <c r="K1967">
        <v>1605.078958461663</v>
      </c>
    </row>
    <row r="1968" spans="1:11" x14ac:dyDescent="0.25">
      <c r="A1968" t="s">
        <v>143</v>
      </c>
      <c r="B1968" t="s">
        <v>43</v>
      </c>
      <c r="C1968" t="s">
        <v>55</v>
      </c>
      <c r="D1968">
        <v>2050</v>
      </c>
      <c r="E1968" t="s">
        <v>119</v>
      </c>
      <c r="F1968" t="s">
        <v>110</v>
      </c>
      <c r="G1968" t="s">
        <v>55</v>
      </c>
      <c r="H1968">
        <v>31.086593327133372</v>
      </c>
      <c r="I1968">
        <v>3536.2623836131297</v>
      </c>
      <c r="J1968">
        <v>0</v>
      </c>
      <c r="K1968">
        <v>3536.2623836131297</v>
      </c>
    </row>
    <row r="1969" spans="1:11" x14ac:dyDescent="0.25">
      <c r="A1969" t="s">
        <v>143</v>
      </c>
      <c r="B1969" t="s">
        <v>43</v>
      </c>
      <c r="C1969" t="s">
        <v>54</v>
      </c>
      <c r="D1969">
        <v>2050</v>
      </c>
      <c r="E1969" t="s">
        <v>119</v>
      </c>
      <c r="F1969" t="s">
        <v>110</v>
      </c>
      <c r="G1969" t="s">
        <v>54</v>
      </c>
      <c r="H1969">
        <v>31.92989523797759</v>
      </c>
      <c r="I1969">
        <v>1989.6794918593355</v>
      </c>
      <c r="J1969">
        <v>0</v>
      </c>
      <c r="K1969">
        <v>1989.6794918593355</v>
      </c>
    </row>
    <row r="1970" spans="1:11" x14ac:dyDescent="0.25">
      <c r="A1970" t="s">
        <v>143</v>
      </c>
      <c r="B1970" t="s">
        <v>43</v>
      </c>
      <c r="C1970" t="s">
        <v>41</v>
      </c>
      <c r="D1970">
        <v>2050</v>
      </c>
      <c r="E1970" t="s">
        <v>119</v>
      </c>
      <c r="F1970" t="s">
        <v>110</v>
      </c>
      <c r="G1970" t="s">
        <v>41</v>
      </c>
      <c r="H1970">
        <v>11.586575815743734</v>
      </c>
      <c r="I1970">
        <v>137.71804014593005</v>
      </c>
      <c r="J1970">
        <v>0</v>
      </c>
      <c r="K1970">
        <v>137.71804014593005</v>
      </c>
    </row>
    <row r="1971" spans="1:11" x14ac:dyDescent="0.25">
      <c r="A1971" t="s">
        <v>143</v>
      </c>
      <c r="B1971" t="s">
        <v>43</v>
      </c>
      <c r="C1971" t="s">
        <v>80</v>
      </c>
      <c r="D1971">
        <v>2050</v>
      </c>
      <c r="E1971" t="s">
        <v>119</v>
      </c>
      <c r="F1971" t="s">
        <v>110</v>
      </c>
      <c r="G1971" t="s">
        <v>80</v>
      </c>
      <c r="H1971">
        <v>82.733770949241659</v>
      </c>
      <c r="I1971">
        <v>3451.1830715919614</v>
      </c>
      <c r="J1971">
        <v>0</v>
      </c>
      <c r="K1971">
        <v>3451.1830715919614</v>
      </c>
    </row>
    <row r="1972" spans="1:11" x14ac:dyDescent="0.25">
      <c r="A1972" t="s">
        <v>143</v>
      </c>
      <c r="B1972" t="s">
        <v>43</v>
      </c>
      <c r="C1972" t="s">
        <v>75</v>
      </c>
      <c r="D1972">
        <v>2050</v>
      </c>
      <c r="E1972" t="s">
        <v>119</v>
      </c>
      <c r="F1972" t="s">
        <v>110</v>
      </c>
      <c r="G1972" t="s">
        <v>52</v>
      </c>
      <c r="H1972">
        <v>774.23731544605391</v>
      </c>
      <c r="I1972">
        <v>15488.156873297978</v>
      </c>
      <c r="J1972">
        <v>2558.0800902337614</v>
      </c>
      <c r="K1972">
        <v>2558.0800902337614</v>
      </c>
    </row>
    <row r="1973" spans="1:11" x14ac:dyDescent="0.25">
      <c r="A1973" t="s">
        <v>143</v>
      </c>
      <c r="B1973" t="s">
        <v>43</v>
      </c>
      <c r="C1973" t="s">
        <v>78</v>
      </c>
      <c r="D1973">
        <v>2050</v>
      </c>
      <c r="E1973" t="s">
        <v>119</v>
      </c>
      <c r="F1973" t="s">
        <v>110</v>
      </c>
      <c r="G1973" t="s">
        <v>78</v>
      </c>
      <c r="H1973">
        <v>18.156098368281306</v>
      </c>
      <c r="I1973">
        <v>1270.9268857796915</v>
      </c>
      <c r="J1973">
        <v>0</v>
      </c>
      <c r="K1973">
        <v>1270.9268857796915</v>
      </c>
    </row>
    <row r="1974" spans="1:11" x14ac:dyDescent="0.25">
      <c r="A1974" t="s">
        <v>143</v>
      </c>
      <c r="B1974" t="s">
        <v>43</v>
      </c>
      <c r="C1974" t="s">
        <v>65</v>
      </c>
      <c r="D1974">
        <v>2050</v>
      </c>
      <c r="E1974" t="s">
        <v>119</v>
      </c>
      <c r="F1974" t="s">
        <v>110</v>
      </c>
      <c r="G1974" t="s">
        <v>65</v>
      </c>
      <c r="H1974">
        <v>55.383712037521661</v>
      </c>
      <c r="I1974">
        <v>1891.1511427446421</v>
      </c>
      <c r="J1974">
        <v>0</v>
      </c>
      <c r="K1974">
        <v>1891.1511427446421</v>
      </c>
    </row>
    <row r="1975" spans="1:11" x14ac:dyDescent="0.25">
      <c r="A1975" t="s">
        <v>143</v>
      </c>
      <c r="B1975" t="s">
        <v>43</v>
      </c>
      <c r="C1975" t="s">
        <v>120</v>
      </c>
      <c r="D1975">
        <v>2050</v>
      </c>
      <c r="E1975" t="s">
        <v>119</v>
      </c>
      <c r="F1975" t="s">
        <v>110</v>
      </c>
      <c r="G1975" t="s">
        <v>53</v>
      </c>
      <c r="H1975">
        <v>1926.0429797490767</v>
      </c>
      <c r="I1975">
        <v>37184.185767035677</v>
      </c>
      <c r="J1975">
        <v>0</v>
      </c>
      <c r="K1975">
        <v>37184.185767035677</v>
      </c>
    </row>
    <row r="1976" spans="1:11" x14ac:dyDescent="0.25">
      <c r="A1976" t="s">
        <v>143</v>
      </c>
      <c r="B1976" t="s">
        <v>43</v>
      </c>
      <c r="C1976" t="s">
        <v>29</v>
      </c>
      <c r="D1976">
        <v>2019</v>
      </c>
      <c r="E1976" t="s">
        <v>121</v>
      </c>
      <c r="F1976" t="s">
        <v>110</v>
      </c>
      <c r="G1976" t="s">
        <v>52</v>
      </c>
      <c r="H1976">
        <v>226.94315205364711</v>
      </c>
      <c r="I1976">
        <v>1492.2374631505099</v>
      </c>
      <c r="J1976">
        <v>487.06257737866866</v>
      </c>
      <c r="K1976">
        <v>487.06257737866866</v>
      </c>
    </row>
    <row r="1977" spans="1:11" x14ac:dyDescent="0.25">
      <c r="A1977" t="s">
        <v>143</v>
      </c>
      <c r="B1977" t="s">
        <v>43</v>
      </c>
      <c r="C1977" t="s">
        <v>34</v>
      </c>
      <c r="D1977">
        <v>2019</v>
      </c>
      <c r="E1977" t="s">
        <v>121</v>
      </c>
      <c r="F1977" t="s">
        <v>110</v>
      </c>
      <c r="G1977" t="s">
        <v>52</v>
      </c>
      <c r="H1977">
        <v>4.1220360083703804</v>
      </c>
      <c r="I1977">
        <v>12.697025075863115</v>
      </c>
      <c r="J1977">
        <v>3.7694768510062779</v>
      </c>
      <c r="K1977">
        <v>3.7694768510062779</v>
      </c>
    </row>
    <row r="1978" spans="1:11" x14ac:dyDescent="0.25">
      <c r="A1978" t="s">
        <v>143</v>
      </c>
      <c r="B1978" t="s">
        <v>43</v>
      </c>
      <c r="C1978" t="s">
        <v>72</v>
      </c>
      <c r="D1978">
        <v>2019</v>
      </c>
      <c r="E1978" t="s">
        <v>121</v>
      </c>
      <c r="F1978" t="s">
        <v>110</v>
      </c>
      <c r="G1978" t="s">
        <v>52</v>
      </c>
      <c r="H1978">
        <v>20.135181380321381</v>
      </c>
      <c r="I1978">
        <v>68.217994516528833</v>
      </c>
      <c r="J1978">
        <v>36.435571961250645</v>
      </c>
      <c r="K1978">
        <v>36.435571961250645</v>
      </c>
    </row>
    <row r="1979" spans="1:11" x14ac:dyDescent="0.25">
      <c r="A1979" t="s">
        <v>143</v>
      </c>
      <c r="B1979" t="s">
        <v>43</v>
      </c>
      <c r="C1979" t="s">
        <v>53</v>
      </c>
      <c r="D1979">
        <v>2019</v>
      </c>
      <c r="E1979" t="s">
        <v>121</v>
      </c>
      <c r="F1979" t="s">
        <v>110</v>
      </c>
      <c r="G1979" t="s">
        <v>53</v>
      </c>
      <c r="H1979">
        <v>147.96510942716867</v>
      </c>
      <c r="I1979">
        <v>8017.4953729155113</v>
      </c>
      <c r="J1979">
        <v>0</v>
      </c>
      <c r="K1979">
        <v>8017.4953729155113</v>
      </c>
    </row>
    <row r="1980" spans="1:11" x14ac:dyDescent="0.25">
      <c r="A1980" t="s">
        <v>143</v>
      </c>
      <c r="B1980" t="s">
        <v>43</v>
      </c>
      <c r="C1980" t="s">
        <v>30</v>
      </c>
      <c r="D1980">
        <v>2019</v>
      </c>
      <c r="E1980" t="s">
        <v>121</v>
      </c>
      <c r="F1980" t="s">
        <v>110</v>
      </c>
      <c r="G1980" t="s">
        <v>30</v>
      </c>
      <c r="H1980">
        <v>0.69641242298342532</v>
      </c>
      <c r="I1980">
        <v>11.531545105971047</v>
      </c>
      <c r="J1980">
        <v>0</v>
      </c>
      <c r="K1980">
        <v>11.531545105971047</v>
      </c>
    </row>
    <row r="1981" spans="1:11" x14ac:dyDescent="0.25">
      <c r="A1981" t="s">
        <v>143</v>
      </c>
      <c r="B1981" t="s">
        <v>43</v>
      </c>
      <c r="C1981" t="s">
        <v>31</v>
      </c>
      <c r="D1981">
        <v>2019</v>
      </c>
      <c r="E1981" t="s">
        <v>121</v>
      </c>
      <c r="F1981" t="s">
        <v>110</v>
      </c>
      <c r="G1981" t="s">
        <v>31</v>
      </c>
      <c r="H1981">
        <v>3.9694677344109963</v>
      </c>
      <c r="I1981">
        <v>134.53231835071648</v>
      </c>
      <c r="J1981">
        <v>0</v>
      </c>
      <c r="K1981">
        <v>134.53231835071648</v>
      </c>
    </row>
    <row r="1982" spans="1:11" x14ac:dyDescent="0.25">
      <c r="A1982" t="s">
        <v>143</v>
      </c>
      <c r="B1982" t="s">
        <v>43</v>
      </c>
      <c r="C1982" t="s">
        <v>55</v>
      </c>
      <c r="D1982">
        <v>2019</v>
      </c>
      <c r="E1982" t="s">
        <v>121</v>
      </c>
      <c r="F1982" t="s">
        <v>110</v>
      </c>
      <c r="G1982" t="s">
        <v>55</v>
      </c>
      <c r="H1982">
        <v>4.5711818744455988</v>
      </c>
      <c r="I1982">
        <v>296.39761599009711</v>
      </c>
      <c r="J1982">
        <v>0</v>
      </c>
      <c r="K1982">
        <v>296.39761599009711</v>
      </c>
    </row>
    <row r="1983" spans="1:11" x14ac:dyDescent="0.25">
      <c r="A1983" t="s">
        <v>143</v>
      </c>
      <c r="B1983" t="s">
        <v>43</v>
      </c>
      <c r="C1983" t="s">
        <v>54</v>
      </c>
      <c r="D1983">
        <v>2019</v>
      </c>
      <c r="E1983" t="s">
        <v>121</v>
      </c>
      <c r="F1983" t="s">
        <v>110</v>
      </c>
      <c r="G1983" t="s">
        <v>54</v>
      </c>
      <c r="H1983">
        <v>4.6951866622642671</v>
      </c>
      <c r="I1983">
        <v>242.83796518803848</v>
      </c>
      <c r="J1983">
        <v>0</v>
      </c>
      <c r="K1983">
        <v>242.83796518803848</v>
      </c>
    </row>
    <row r="1984" spans="1:11" x14ac:dyDescent="0.25">
      <c r="A1984" t="s">
        <v>143</v>
      </c>
      <c r="B1984" t="s">
        <v>43</v>
      </c>
      <c r="C1984" t="s">
        <v>41</v>
      </c>
      <c r="D1984">
        <v>2019</v>
      </c>
      <c r="E1984" t="s">
        <v>121</v>
      </c>
      <c r="F1984" t="s">
        <v>110</v>
      </c>
      <c r="G1984" t="s">
        <v>41</v>
      </c>
      <c r="H1984">
        <v>1.7037680777194875</v>
      </c>
      <c r="I1984">
        <v>11.543062801911082</v>
      </c>
      <c r="J1984">
        <v>0</v>
      </c>
      <c r="K1984">
        <v>11.543062801911082</v>
      </c>
    </row>
    <row r="1985" spans="1:11" x14ac:dyDescent="0.25">
      <c r="A1985" t="s">
        <v>143</v>
      </c>
      <c r="B1985" t="s">
        <v>43</v>
      </c>
      <c r="C1985" t="s">
        <v>80</v>
      </c>
      <c r="D1985">
        <v>2019</v>
      </c>
      <c r="E1985" t="s">
        <v>121</v>
      </c>
      <c r="F1985" t="s">
        <v>110</v>
      </c>
      <c r="G1985" t="s">
        <v>80</v>
      </c>
      <c r="H1985">
        <v>12.1657304223686</v>
      </c>
      <c r="I1985">
        <v>289.2665542877732</v>
      </c>
      <c r="J1985">
        <v>0</v>
      </c>
      <c r="K1985">
        <v>289.2665542877732</v>
      </c>
    </row>
    <row r="1986" spans="1:11" x14ac:dyDescent="0.25">
      <c r="A1986" t="s">
        <v>143</v>
      </c>
      <c r="B1986" t="s">
        <v>43</v>
      </c>
      <c r="C1986" t="s">
        <v>75</v>
      </c>
      <c r="D1986">
        <v>2019</v>
      </c>
      <c r="E1986" t="s">
        <v>121</v>
      </c>
      <c r="F1986" t="s">
        <v>110</v>
      </c>
      <c r="G1986" t="s">
        <v>52</v>
      </c>
      <c r="H1986">
        <v>113.84906495358277</v>
      </c>
      <c r="I1986">
        <v>1298.1652025027952</v>
      </c>
      <c r="J1986">
        <v>215.66341848867819</v>
      </c>
      <c r="K1986">
        <v>215.66341848867819</v>
      </c>
    </row>
    <row r="1987" spans="1:11" x14ac:dyDescent="0.25">
      <c r="A1987" t="s">
        <v>143</v>
      </c>
      <c r="B1987" t="s">
        <v>43</v>
      </c>
      <c r="C1987" t="s">
        <v>78</v>
      </c>
      <c r="D1987">
        <v>2019</v>
      </c>
      <c r="E1987" t="s">
        <v>121</v>
      </c>
      <c r="F1987" t="s">
        <v>110</v>
      </c>
      <c r="G1987" t="s">
        <v>78</v>
      </c>
      <c r="H1987">
        <v>2.6697948822619382</v>
      </c>
      <c r="I1987">
        <v>106.52481580225134</v>
      </c>
      <c r="J1987">
        <v>0</v>
      </c>
      <c r="K1987">
        <v>106.52481580225134</v>
      </c>
    </row>
    <row r="1988" spans="1:11" x14ac:dyDescent="0.25">
      <c r="A1988" t="s">
        <v>143</v>
      </c>
      <c r="B1988" t="s">
        <v>43</v>
      </c>
      <c r="C1988" t="s">
        <v>65</v>
      </c>
      <c r="D1988">
        <v>2019</v>
      </c>
      <c r="E1988" t="s">
        <v>121</v>
      </c>
      <c r="F1988" t="s">
        <v>110</v>
      </c>
      <c r="G1988" t="s">
        <v>65</v>
      </c>
      <c r="H1988">
        <v>8.1439937126999205</v>
      </c>
      <c r="I1988">
        <v>158.5099264081594</v>
      </c>
      <c r="J1988">
        <v>0</v>
      </c>
      <c r="K1988">
        <v>158.5099264081594</v>
      </c>
    </row>
    <row r="1989" spans="1:11" x14ac:dyDescent="0.25">
      <c r="A1989" t="s">
        <v>143</v>
      </c>
      <c r="B1989" t="s">
        <v>43</v>
      </c>
      <c r="C1989" t="s">
        <v>120</v>
      </c>
      <c r="D1989">
        <v>2019</v>
      </c>
      <c r="E1989" t="s">
        <v>121</v>
      </c>
      <c r="F1989" t="s">
        <v>110</v>
      </c>
      <c r="G1989" t="s">
        <v>53</v>
      </c>
      <c r="H1989">
        <v>311.25083330735572</v>
      </c>
      <c r="I1989">
        <v>6009.0085878318096</v>
      </c>
      <c r="J1989">
        <v>0</v>
      </c>
      <c r="K1989">
        <v>6009.0085878318096</v>
      </c>
    </row>
    <row r="1990" spans="1:11" x14ac:dyDescent="0.25">
      <c r="A1990" t="s">
        <v>143</v>
      </c>
      <c r="B1990" t="s">
        <v>43</v>
      </c>
      <c r="C1990" t="s">
        <v>29</v>
      </c>
      <c r="D1990">
        <v>2030</v>
      </c>
      <c r="E1990" t="s">
        <v>121</v>
      </c>
      <c r="F1990" t="s">
        <v>110</v>
      </c>
      <c r="G1990" t="s">
        <v>52</v>
      </c>
      <c r="H1990">
        <v>252.54660423967633</v>
      </c>
      <c r="I1990">
        <v>1660.5898905854829</v>
      </c>
      <c r="J1990">
        <v>538.86141949498926</v>
      </c>
      <c r="K1990">
        <v>538.86141949498926</v>
      </c>
    </row>
    <row r="1991" spans="1:11" x14ac:dyDescent="0.25">
      <c r="A1991" t="s">
        <v>143</v>
      </c>
      <c r="B1991" t="s">
        <v>43</v>
      </c>
      <c r="C1991" t="s">
        <v>34</v>
      </c>
      <c r="D1991">
        <v>2030</v>
      </c>
      <c r="E1991" t="s">
        <v>121</v>
      </c>
      <c r="F1991" t="s">
        <v>110</v>
      </c>
      <c r="G1991" t="s">
        <v>52</v>
      </c>
      <c r="H1991">
        <v>4.5870791299379068</v>
      </c>
      <c r="I1991">
        <v>14.129488102365134</v>
      </c>
      <c r="J1991">
        <v>4.1703586787936713</v>
      </c>
      <c r="K1991">
        <v>4.1703586787936713</v>
      </c>
    </row>
    <row r="1992" spans="1:11" x14ac:dyDescent="0.25">
      <c r="A1992" t="s">
        <v>143</v>
      </c>
      <c r="B1992" t="s">
        <v>43</v>
      </c>
      <c r="C1992" t="s">
        <v>72</v>
      </c>
      <c r="D1992">
        <v>2030</v>
      </c>
      <c r="E1992" t="s">
        <v>121</v>
      </c>
      <c r="F1992" t="s">
        <v>110</v>
      </c>
      <c r="G1992" t="s">
        <v>52</v>
      </c>
      <c r="H1992">
        <v>22.406808213133761</v>
      </c>
      <c r="I1992">
        <v>75.914266226097183</v>
      </c>
      <c r="J1992">
        <v>40.310475366057602</v>
      </c>
      <c r="K1992">
        <v>40.310475366057602</v>
      </c>
    </row>
    <row r="1993" spans="1:11" x14ac:dyDescent="0.25">
      <c r="A1993" t="s">
        <v>143</v>
      </c>
      <c r="B1993" t="s">
        <v>43</v>
      </c>
      <c r="C1993" t="s">
        <v>53</v>
      </c>
      <c r="D1993">
        <v>2030</v>
      </c>
      <c r="E1993" t="s">
        <v>121</v>
      </c>
      <c r="F1993" t="s">
        <v>110</v>
      </c>
      <c r="G1993" t="s">
        <v>53</v>
      </c>
      <c r="H1993">
        <v>164.65835427785956</v>
      </c>
      <c r="I1993">
        <v>8922.0195128799915</v>
      </c>
      <c r="J1993">
        <v>0</v>
      </c>
      <c r="K1993">
        <v>8922.0195128799915</v>
      </c>
    </row>
    <row r="1994" spans="1:11" x14ac:dyDescent="0.25">
      <c r="A1994" t="s">
        <v>143</v>
      </c>
      <c r="B1994" t="s">
        <v>43</v>
      </c>
      <c r="C1994" t="s">
        <v>30</v>
      </c>
      <c r="D1994">
        <v>2030</v>
      </c>
      <c r="E1994" t="s">
        <v>121</v>
      </c>
      <c r="F1994" t="s">
        <v>110</v>
      </c>
      <c r="G1994" t="s">
        <v>30</v>
      </c>
      <c r="H1994">
        <v>0.7749808310286167</v>
      </c>
      <c r="I1994">
        <v>12.832520090587346</v>
      </c>
      <c r="J1994">
        <v>0</v>
      </c>
      <c r="K1994">
        <v>12.832520090587346</v>
      </c>
    </row>
    <row r="1995" spans="1:11" x14ac:dyDescent="0.25">
      <c r="A1995" t="s">
        <v>143</v>
      </c>
      <c r="B1995" t="s">
        <v>43</v>
      </c>
      <c r="C1995" t="s">
        <v>31</v>
      </c>
      <c r="D1995">
        <v>2030</v>
      </c>
      <c r="E1995" t="s">
        <v>121</v>
      </c>
      <c r="F1995" t="s">
        <v>110</v>
      </c>
      <c r="G1995" t="s">
        <v>31</v>
      </c>
      <c r="H1995">
        <v>4.4172982876675793</v>
      </c>
      <c r="I1995">
        <v>149.71009194378786</v>
      </c>
      <c r="J1995">
        <v>0</v>
      </c>
      <c r="K1995">
        <v>149.71009194378786</v>
      </c>
    </row>
    <row r="1996" spans="1:11" x14ac:dyDescent="0.25">
      <c r="A1996" t="s">
        <v>143</v>
      </c>
      <c r="B1996" t="s">
        <v>43</v>
      </c>
      <c r="C1996" t="s">
        <v>55</v>
      </c>
      <c r="D1996">
        <v>2030</v>
      </c>
      <c r="E1996" t="s">
        <v>121</v>
      </c>
      <c r="F1996" t="s">
        <v>110</v>
      </c>
      <c r="G1996" t="s">
        <v>55</v>
      </c>
      <c r="H1996">
        <v>5.0868970898945518</v>
      </c>
      <c r="I1996">
        <v>329.8368368715519</v>
      </c>
      <c r="J1996">
        <v>0</v>
      </c>
      <c r="K1996">
        <v>329.8368368715519</v>
      </c>
    </row>
    <row r="1997" spans="1:11" x14ac:dyDescent="0.25">
      <c r="A1997" t="s">
        <v>143</v>
      </c>
      <c r="B1997" t="s">
        <v>43</v>
      </c>
      <c r="C1997" t="s">
        <v>54</v>
      </c>
      <c r="D1997">
        <v>2030</v>
      </c>
      <c r="E1997" t="s">
        <v>121</v>
      </c>
      <c r="F1997" t="s">
        <v>110</v>
      </c>
      <c r="G1997" t="s">
        <v>54</v>
      </c>
      <c r="H1997">
        <v>5.2248919480326963</v>
      </c>
      <c r="I1997">
        <v>270.23465098525884</v>
      </c>
      <c r="J1997">
        <v>0</v>
      </c>
      <c r="K1997">
        <v>270.23465098525884</v>
      </c>
    </row>
    <row r="1998" spans="1:11" x14ac:dyDescent="0.25">
      <c r="A1998" t="s">
        <v>143</v>
      </c>
      <c r="B1998" t="s">
        <v>43</v>
      </c>
      <c r="C1998" t="s">
        <v>41</v>
      </c>
      <c r="D1998">
        <v>2030</v>
      </c>
      <c r="E1998" t="s">
        <v>121</v>
      </c>
      <c r="F1998" t="s">
        <v>110</v>
      </c>
      <c r="G1998" t="s">
        <v>41</v>
      </c>
      <c r="H1998">
        <v>1.8959851334853384</v>
      </c>
      <c r="I1998">
        <v>12.845337199065836</v>
      </c>
      <c r="J1998">
        <v>0</v>
      </c>
      <c r="K1998">
        <v>12.845337199065836</v>
      </c>
    </row>
    <row r="1999" spans="1:11" x14ac:dyDescent="0.25">
      <c r="A1999" t="s">
        <v>143</v>
      </c>
      <c r="B1999" t="s">
        <v>43</v>
      </c>
      <c r="C1999" t="s">
        <v>80</v>
      </c>
      <c r="D1999">
        <v>2030</v>
      </c>
      <c r="E1999" t="s">
        <v>121</v>
      </c>
      <c r="F1999" t="s">
        <v>110</v>
      </c>
      <c r="G1999" t="s">
        <v>80</v>
      </c>
      <c r="H1999">
        <v>13.538253428057727</v>
      </c>
      <c r="I1999">
        <v>321.90125740485024</v>
      </c>
      <c r="J1999">
        <v>0</v>
      </c>
      <c r="K1999">
        <v>321.90125740485024</v>
      </c>
    </row>
    <row r="2000" spans="1:11" x14ac:dyDescent="0.25">
      <c r="A2000" t="s">
        <v>143</v>
      </c>
      <c r="B2000" t="s">
        <v>43</v>
      </c>
      <c r="C2000" t="s">
        <v>75</v>
      </c>
      <c r="D2000">
        <v>2030</v>
      </c>
      <c r="E2000" t="s">
        <v>121</v>
      </c>
      <c r="F2000" t="s">
        <v>110</v>
      </c>
      <c r="G2000" t="s">
        <v>52</v>
      </c>
      <c r="H2000">
        <v>126.69337889117246</v>
      </c>
      <c r="I2000">
        <v>1444.6226320003389</v>
      </c>
      <c r="J2000">
        <v>238.59910659816725</v>
      </c>
      <c r="K2000">
        <v>238.59910659816725</v>
      </c>
    </row>
    <row r="2001" spans="1:11" x14ac:dyDescent="0.25">
      <c r="A2001" t="s">
        <v>143</v>
      </c>
      <c r="B2001" t="s">
        <v>43</v>
      </c>
      <c r="C2001" t="s">
        <v>78</v>
      </c>
      <c r="D2001">
        <v>2030</v>
      </c>
      <c r="E2001" t="s">
        <v>121</v>
      </c>
      <c r="F2001" t="s">
        <v>110</v>
      </c>
      <c r="G2001" t="s">
        <v>78</v>
      </c>
      <c r="H2001">
        <v>2.9709979148096681</v>
      </c>
      <c r="I2001">
        <v>118.54281680090574</v>
      </c>
      <c r="J2001">
        <v>0</v>
      </c>
      <c r="K2001">
        <v>118.54281680090574</v>
      </c>
    </row>
    <row r="2002" spans="1:11" x14ac:dyDescent="0.25">
      <c r="A2002" t="s">
        <v>143</v>
      </c>
      <c r="B2002" t="s">
        <v>43</v>
      </c>
      <c r="C2002" t="s">
        <v>65</v>
      </c>
      <c r="D2002">
        <v>2030</v>
      </c>
      <c r="E2002" t="s">
        <v>121</v>
      </c>
      <c r="F2002" t="s">
        <v>110</v>
      </c>
      <c r="G2002" t="s">
        <v>65</v>
      </c>
      <c r="H2002">
        <v>9.0627892425035448</v>
      </c>
      <c r="I2002">
        <v>176.39282476872751</v>
      </c>
      <c r="J2002">
        <v>0</v>
      </c>
      <c r="K2002">
        <v>176.39282476872751</v>
      </c>
    </row>
    <row r="2003" spans="1:11" x14ac:dyDescent="0.25">
      <c r="A2003" t="s">
        <v>143</v>
      </c>
      <c r="B2003" t="s">
        <v>43</v>
      </c>
      <c r="C2003" t="s">
        <v>120</v>
      </c>
      <c r="D2003">
        <v>2030</v>
      </c>
      <c r="E2003" t="s">
        <v>121</v>
      </c>
      <c r="F2003" t="s">
        <v>110</v>
      </c>
      <c r="G2003" t="s">
        <v>53</v>
      </c>
      <c r="H2003">
        <v>315.17066941348531</v>
      </c>
      <c r="I2003">
        <v>6084.6849436967468</v>
      </c>
      <c r="J2003">
        <v>0</v>
      </c>
      <c r="K2003">
        <v>6084.6849436967468</v>
      </c>
    </row>
    <row r="2004" spans="1:11" x14ac:dyDescent="0.25">
      <c r="A2004" t="s">
        <v>143</v>
      </c>
      <c r="B2004" t="s">
        <v>43</v>
      </c>
      <c r="C2004" t="s">
        <v>29</v>
      </c>
      <c r="D2004">
        <v>2050</v>
      </c>
      <c r="E2004" t="s">
        <v>121</v>
      </c>
      <c r="F2004" t="s">
        <v>110</v>
      </c>
      <c r="G2004" t="s">
        <v>52</v>
      </c>
      <c r="H2004">
        <v>327.37522771809893</v>
      </c>
      <c r="I2004">
        <v>2152.6165248330335</v>
      </c>
      <c r="J2004">
        <v>698.52406230831946</v>
      </c>
      <c r="K2004">
        <v>698.52406230831946</v>
      </c>
    </row>
    <row r="2005" spans="1:11" x14ac:dyDescent="0.25">
      <c r="A2005" t="s">
        <v>143</v>
      </c>
      <c r="B2005" t="s">
        <v>43</v>
      </c>
      <c r="C2005" t="s">
        <v>34</v>
      </c>
      <c r="D2005">
        <v>2050</v>
      </c>
      <c r="E2005" t="s">
        <v>121</v>
      </c>
      <c r="F2005" t="s">
        <v>110</v>
      </c>
      <c r="G2005" t="s">
        <v>52</v>
      </c>
      <c r="H2005">
        <v>5.9462136869565443</v>
      </c>
      <c r="I2005">
        <v>18.316003095658502</v>
      </c>
      <c r="J2005">
        <v>5.4060205095473508</v>
      </c>
      <c r="K2005">
        <v>5.4060205095473508</v>
      </c>
    </row>
    <row r="2006" spans="1:11" x14ac:dyDescent="0.25">
      <c r="A2006" t="s">
        <v>143</v>
      </c>
      <c r="B2006" t="s">
        <v>43</v>
      </c>
      <c r="C2006" t="s">
        <v>72</v>
      </c>
      <c r="D2006">
        <v>2050</v>
      </c>
      <c r="E2006" t="s">
        <v>121</v>
      </c>
      <c r="F2006" t="s">
        <v>110</v>
      </c>
      <c r="G2006" t="s">
        <v>52</v>
      </c>
      <c r="H2006">
        <v>29.045862498506725</v>
      </c>
      <c r="I2006">
        <v>98.407382144940797</v>
      </c>
      <c r="J2006">
        <v>52.254319918963553</v>
      </c>
      <c r="K2006">
        <v>52.254319918963553</v>
      </c>
    </row>
    <row r="2007" spans="1:11" x14ac:dyDescent="0.25">
      <c r="A2007" t="s">
        <v>143</v>
      </c>
      <c r="B2007" t="s">
        <v>43</v>
      </c>
      <c r="C2007" t="s">
        <v>53</v>
      </c>
      <c r="D2007">
        <v>2050</v>
      </c>
      <c r="E2007" t="s">
        <v>121</v>
      </c>
      <c r="F2007" t="s">
        <v>110</v>
      </c>
      <c r="G2007" t="s">
        <v>53</v>
      </c>
      <c r="H2007">
        <v>213.44601480463271</v>
      </c>
      <c r="I2007">
        <v>11565.580850029617</v>
      </c>
      <c r="J2007">
        <v>0</v>
      </c>
      <c r="K2007">
        <v>11565.580850029617</v>
      </c>
    </row>
    <row r="2008" spans="1:11" x14ac:dyDescent="0.25">
      <c r="A2008" t="s">
        <v>143</v>
      </c>
      <c r="B2008" t="s">
        <v>43</v>
      </c>
      <c r="C2008" t="s">
        <v>30</v>
      </c>
      <c r="D2008">
        <v>2050</v>
      </c>
      <c r="E2008" t="s">
        <v>121</v>
      </c>
      <c r="F2008" t="s">
        <v>110</v>
      </c>
      <c r="G2008" t="s">
        <v>30</v>
      </c>
      <c r="H2008">
        <v>1.0046047809630216</v>
      </c>
      <c r="I2008">
        <v>16.634748265576192</v>
      </c>
      <c r="J2008">
        <v>0</v>
      </c>
      <c r="K2008">
        <v>16.634748265576192</v>
      </c>
    </row>
    <row r="2009" spans="1:11" x14ac:dyDescent="0.25">
      <c r="A2009" t="s">
        <v>143</v>
      </c>
      <c r="B2009" t="s">
        <v>43</v>
      </c>
      <c r="C2009" t="s">
        <v>31</v>
      </c>
      <c r="D2009">
        <v>2050</v>
      </c>
      <c r="E2009" t="s">
        <v>121</v>
      </c>
      <c r="F2009" t="s">
        <v>110</v>
      </c>
      <c r="G2009" t="s">
        <v>31</v>
      </c>
      <c r="H2009">
        <v>5.7261274099394539</v>
      </c>
      <c r="I2009">
        <v>194.06863770491017</v>
      </c>
      <c r="J2009">
        <v>0</v>
      </c>
      <c r="K2009">
        <v>194.06863770491017</v>
      </c>
    </row>
    <row r="2010" spans="1:11" x14ac:dyDescent="0.25">
      <c r="A2010" t="s">
        <v>143</v>
      </c>
      <c r="B2010" t="s">
        <v>43</v>
      </c>
      <c r="C2010" t="s">
        <v>55</v>
      </c>
      <c r="D2010">
        <v>2050</v>
      </c>
      <c r="E2010" t="s">
        <v>121</v>
      </c>
      <c r="F2010" t="s">
        <v>110</v>
      </c>
      <c r="G2010" t="s">
        <v>55</v>
      </c>
      <c r="H2010">
        <v>6.594125857270714</v>
      </c>
      <c r="I2010">
        <v>427.56627001867832</v>
      </c>
      <c r="J2010">
        <v>0</v>
      </c>
      <c r="K2010">
        <v>427.56627001867832</v>
      </c>
    </row>
    <row r="2011" spans="1:11" x14ac:dyDescent="0.25">
      <c r="A2011" t="s">
        <v>143</v>
      </c>
      <c r="B2011" t="s">
        <v>43</v>
      </c>
      <c r="C2011" t="s">
        <v>54</v>
      </c>
      <c r="D2011">
        <v>2050</v>
      </c>
      <c r="E2011" t="s">
        <v>121</v>
      </c>
      <c r="F2011" t="s">
        <v>110</v>
      </c>
      <c r="G2011" t="s">
        <v>54</v>
      </c>
      <c r="H2011">
        <v>6.7730080807831241</v>
      </c>
      <c r="I2011">
        <v>350.30417720311328</v>
      </c>
      <c r="J2011">
        <v>0</v>
      </c>
      <c r="K2011">
        <v>350.30417720311328</v>
      </c>
    </row>
    <row r="2012" spans="1:11" x14ac:dyDescent="0.25">
      <c r="A2012" t="s">
        <v>143</v>
      </c>
      <c r="B2012" t="s">
        <v>43</v>
      </c>
      <c r="C2012" t="s">
        <v>41</v>
      </c>
      <c r="D2012">
        <v>2050</v>
      </c>
      <c r="E2012" t="s">
        <v>121</v>
      </c>
      <c r="F2012" t="s">
        <v>110</v>
      </c>
      <c r="G2012" t="s">
        <v>41</v>
      </c>
      <c r="H2012">
        <v>2.4577585063698826</v>
      </c>
      <c r="I2012">
        <v>16.65136303582608</v>
      </c>
      <c r="J2012">
        <v>0</v>
      </c>
      <c r="K2012">
        <v>16.65136303582608</v>
      </c>
    </row>
    <row r="2013" spans="1:11" x14ac:dyDescent="0.25">
      <c r="A2013" t="s">
        <v>143</v>
      </c>
      <c r="B2013" t="s">
        <v>43</v>
      </c>
      <c r="C2013" t="s">
        <v>80</v>
      </c>
      <c r="D2013">
        <v>2050</v>
      </c>
      <c r="E2013" t="s">
        <v>121</v>
      </c>
      <c r="F2013" t="s">
        <v>110</v>
      </c>
      <c r="G2013" t="s">
        <v>80</v>
      </c>
      <c r="H2013">
        <v>17.549587777111867</v>
      </c>
      <c r="I2013">
        <v>417.27940774702802</v>
      </c>
      <c r="J2013">
        <v>0</v>
      </c>
      <c r="K2013">
        <v>417.27940774702802</v>
      </c>
    </row>
    <row r="2014" spans="1:11" x14ac:dyDescent="0.25">
      <c r="A2014" t="s">
        <v>143</v>
      </c>
      <c r="B2014" t="s">
        <v>43</v>
      </c>
      <c r="C2014" t="s">
        <v>75</v>
      </c>
      <c r="D2014">
        <v>2050</v>
      </c>
      <c r="E2014" t="s">
        <v>121</v>
      </c>
      <c r="F2014" t="s">
        <v>110</v>
      </c>
      <c r="G2014" t="s">
        <v>52</v>
      </c>
      <c r="H2014">
        <v>164.23215782189024</v>
      </c>
      <c r="I2014">
        <v>1872.6589674078468</v>
      </c>
      <c r="J2014">
        <v>309.29513818280947</v>
      </c>
      <c r="K2014">
        <v>309.29513818280947</v>
      </c>
    </row>
    <row r="2015" spans="1:11" x14ac:dyDescent="0.25">
      <c r="A2015" t="s">
        <v>143</v>
      </c>
      <c r="B2015" t="s">
        <v>43</v>
      </c>
      <c r="C2015" t="s">
        <v>78</v>
      </c>
      <c r="D2015">
        <v>2050</v>
      </c>
      <c r="E2015" t="s">
        <v>121</v>
      </c>
      <c r="F2015" t="s">
        <v>110</v>
      </c>
      <c r="G2015" t="s">
        <v>78</v>
      </c>
      <c r="H2015">
        <v>3.8512935932717913</v>
      </c>
      <c r="I2015">
        <v>153.66661437154448</v>
      </c>
      <c r="J2015">
        <v>0</v>
      </c>
      <c r="K2015">
        <v>153.66661437154448</v>
      </c>
    </row>
    <row r="2016" spans="1:11" x14ac:dyDescent="0.25">
      <c r="A2016" t="s">
        <v>143</v>
      </c>
      <c r="B2016" t="s">
        <v>43</v>
      </c>
      <c r="C2016" t="s">
        <v>65</v>
      </c>
      <c r="D2016">
        <v>2050</v>
      </c>
      <c r="E2016" t="s">
        <v>121</v>
      </c>
      <c r="F2016" t="s">
        <v>110</v>
      </c>
      <c r="G2016" t="s">
        <v>65</v>
      </c>
      <c r="H2016">
        <v>11.748060129171261</v>
      </c>
      <c r="I2016">
        <v>228.65736544094307</v>
      </c>
      <c r="J2016">
        <v>0</v>
      </c>
      <c r="K2016">
        <v>228.65736544094307</v>
      </c>
    </row>
    <row r="2017" spans="1:11" x14ac:dyDescent="0.25">
      <c r="A2017" t="s">
        <v>143</v>
      </c>
      <c r="B2017" t="s">
        <v>43</v>
      </c>
      <c r="C2017" t="s">
        <v>120</v>
      </c>
      <c r="D2017">
        <v>2050</v>
      </c>
      <c r="E2017" t="s">
        <v>121</v>
      </c>
      <c r="F2017" t="s">
        <v>110</v>
      </c>
      <c r="G2017" t="s">
        <v>53</v>
      </c>
      <c r="H2017">
        <v>408.55457146192538</v>
      </c>
      <c r="I2017">
        <v>7887.5545566439314</v>
      </c>
      <c r="J2017">
        <v>0</v>
      </c>
      <c r="K2017">
        <v>7887.5545566439314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85BF17F-53BE-4F97-B53E-A394EC6270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B2AC3E6-D299-46CA-94BE-D18A7271988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E92DC80-5F30-4296-8E5E-3B472FECDF0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</vt:i4>
      </vt:variant>
    </vt:vector>
  </HeadingPairs>
  <TitlesOfParts>
    <vt:vector size="19" baseType="lpstr">
      <vt:lpstr>Scenarier</vt:lpstr>
      <vt:lpstr>Resume</vt:lpstr>
      <vt:lpstr>Arealanvendelse pivot</vt:lpstr>
      <vt:lpstr>Arealanvendelse pivot 2019</vt:lpstr>
      <vt:lpstr>Arealanvendelse landbrug pivot</vt:lpstr>
      <vt:lpstr>Arealanvendelse landbrug p2019</vt:lpstr>
      <vt:lpstr>CO2e-udledning pivot</vt:lpstr>
      <vt:lpstr>CO2e-udledning pivot 2019</vt:lpstr>
      <vt:lpstr>Potentiale PJ</vt:lpstr>
      <vt:lpstr>Potentiale PJ 2019</vt:lpstr>
      <vt:lpstr>Potentiale TS</vt:lpstr>
      <vt:lpstr>Potentiale TS 2019</vt:lpstr>
      <vt:lpstr>Import</vt:lpstr>
      <vt:lpstr>Forbrug af biomasse</vt:lpstr>
      <vt:lpstr>Produktion &amp; forbrug</vt:lpstr>
      <vt:lpstr>CO2e-udledning</vt:lpstr>
      <vt:lpstr>Arealanvendelse</vt:lpstr>
      <vt:lpstr>Arealanvendelse - landbrug</vt:lpstr>
      <vt:lpstr>Scenarienavne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Græsted Jensen</dc:creator>
  <cp:lastModifiedBy>Ida Græsted Jensen</cp:lastModifiedBy>
  <dcterms:created xsi:type="dcterms:W3CDTF">2021-03-22T13:09:58Z</dcterms:created>
  <dcterms:modified xsi:type="dcterms:W3CDTF">2021-09-10T10:09:44Z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116141021251678</vt:r8>
  </property>
</Properties>
</file>