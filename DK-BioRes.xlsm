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20B3637A-4288-4F57-87CB-104030F65B00}" xr6:coauthVersionLast="47" xr6:coauthVersionMax="47" xr10:uidLastSave="{00000000-0000-0000-0000-000000000000}"/>
  <bookViews>
    <workbookView xWindow="-96" yWindow="-96" windowWidth="23232" windowHeight="12552" tabRatio="808" firstSheet="6" activeTab="7" xr2:uid="{0ECD63C7-4316-418A-98B6-67CF8B6BB705}"/>
  </bookViews>
  <sheets>
    <sheet name="Overblik" sheetId="1" r:id="rId1"/>
    <sheet name="Processer - data" sheetId="20" r:id="rId2"/>
    <sheet name="Processer &amp; råvarer" sheetId="29" r:id="rId3"/>
    <sheet name="Procesdata (baggrund)" sheetId="37" r:id="rId4"/>
    <sheet name="Arealanvendelse" sheetId="26" r:id="rId5"/>
    <sheet name="Jordbundstypefordeling" sheetId="21" r:id="rId6"/>
    <sheet name="Afgrødefordeling" sheetId="28" r:id="rId7"/>
    <sheet name="Afgrødefordeling - jordtype" sheetId="38" r:id="rId8"/>
    <sheet name="Afgrødedata" sheetId="9" r:id="rId9"/>
    <sheet name="Foder" sheetId="32" r:id="rId10"/>
    <sheet name="Dyrehold" sheetId="24" r:id="rId11"/>
    <sheet name="Hugst" sheetId="34" r:id="rId12"/>
    <sheet name="Kulstofoptag, skov" sheetId="19" r:id="rId13"/>
    <sheet name="Befolkningstal" sheetId="7" r:id="rId14"/>
    <sheet name="Produktion af spildevand" sheetId="8" r:id="rId15"/>
    <sheet name="Affald" sheetId="18" r:id="rId16"/>
    <sheet name="Biogasudbytte" sheetId="22" r:id="rId17"/>
    <sheet name="Energiindhold" sheetId="33" r:id="rId18"/>
    <sheet name="Tørstofindhold" sheetId="36" r:id="rId19"/>
  </sheets>
  <definedNames>
    <definedName name="_xlnm._FilterDatabase" localSheetId="1" hidden="1">'Processer - data'!$A$2:$O$475</definedName>
    <definedName name="_xlnm._FilterDatabase" localSheetId="2" hidden="1">'Processer &amp; råvarer'!$E$1:$E$98</definedName>
    <definedName name="_xlnm._FilterDatabase" localSheetId="18" hidden="1">Tørstofindhold!$A$1:$B$25</definedName>
    <definedName name="Afgrøder">Overblik!$D$17</definedName>
    <definedName name="År1">Overblik!$D$23</definedName>
    <definedName name="År2">Overblik!$D$24</definedName>
    <definedName name="År3">Overblik!$D$25</definedName>
    <definedName name="Basisår">Overblik!$D$23</definedName>
    <definedName name="Bebyg">Overblik!$D$16</definedName>
    <definedName name="IKareal">Overblik!$D$20</definedName>
    <definedName name="Jordbund1">Overblik!$D$11</definedName>
    <definedName name="NaturAreal">Overblik!$D$19</definedName>
    <definedName name="Organ12">Overblik!$D$13</definedName>
    <definedName name="Organ6">Overblik!$D$12</definedName>
    <definedName name="SkovAreal">Overblik!$D$18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5" i="38" l="1"/>
  <c r="Z5" i="38"/>
  <c r="AA5" i="38"/>
  <c r="Y6" i="38"/>
  <c r="Z6" i="38"/>
  <c r="AA6" i="38"/>
  <c r="Y7" i="38"/>
  <c r="Z7" i="38"/>
  <c r="AA7" i="38"/>
  <c r="Y8" i="38"/>
  <c r="Z8" i="38"/>
  <c r="AA8" i="38"/>
  <c r="Y9" i="38"/>
  <c r="Z9" i="38"/>
  <c r="AA9" i="38"/>
  <c r="Y10" i="38"/>
  <c r="Z10" i="38"/>
  <c r="AA10" i="38"/>
  <c r="Y11" i="38"/>
  <c r="Z11" i="38"/>
  <c r="AA11" i="38"/>
  <c r="Y12" i="38"/>
  <c r="Z12" i="38"/>
  <c r="AA12" i="38"/>
  <c r="Y13" i="38"/>
  <c r="Z13" i="38"/>
  <c r="AA13" i="38"/>
  <c r="Y14" i="38"/>
  <c r="Z14" i="38"/>
  <c r="AA14" i="38"/>
  <c r="Y15" i="38"/>
  <c r="Z15" i="38"/>
  <c r="AA15" i="38"/>
  <c r="Y16" i="38"/>
  <c r="Z16" i="38"/>
  <c r="AA16" i="38"/>
  <c r="Y17" i="38"/>
  <c r="Z17" i="38"/>
  <c r="AA17" i="38"/>
  <c r="Z4" i="38"/>
  <c r="AA4" i="38"/>
  <c r="Y4" i="38"/>
  <c r="T5" i="38"/>
  <c r="U5" i="38"/>
  <c r="V5" i="38"/>
  <c r="W5" i="38"/>
  <c r="T6" i="38"/>
  <c r="U6" i="38"/>
  <c r="V6" i="38"/>
  <c r="W6" i="38"/>
  <c r="T7" i="38"/>
  <c r="U7" i="38"/>
  <c r="V7" i="38"/>
  <c r="W7" i="38"/>
  <c r="T8" i="38"/>
  <c r="U8" i="38"/>
  <c r="V8" i="38"/>
  <c r="W8" i="38"/>
  <c r="T9" i="38"/>
  <c r="U9" i="38"/>
  <c r="V9" i="38"/>
  <c r="W9" i="38"/>
  <c r="T10" i="38"/>
  <c r="U10" i="38"/>
  <c r="V10" i="38"/>
  <c r="W10" i="38"/>
  <c r="T11" i="38"/>
  <c r="U11" i="38"/>
  <c r="V11" i="38"/>
  <c r="W11" i="38"/>
  <c r="T12" i="38"/>
  <c r="U12" i="38"/>
  <c r="V12" i="38"/>
  <c r="W12" i="38"/>
  <c r="T13" i="38"/>
  <c r="U13" i="38"/>
  <c r="V13" i="38"/>
  <c r="W13" i="38"/>
  <c r="T14" i="38"/>
  <c r="U14" i="38"/>
  <c r="V14" i="38"/>
  <c r="W14" i="38"/>
  <c r="T15" i="38"/>
  <c r="U15" i="38"/>
  <c r="V15" i="38"/>
  <c r="W15" i="38"/>
  <c r="T16" i="38"/>
  <c r="U16" i="38"/>
  <c r="V16" i="38"/>
  <c r="W16" i="38"/>
  <c r="T17" i="38"/>
  <c r="U17" i="38"/>
  <c r="V17" i="38"/>
  <c r="W17" i="38"/>
  <c r="U4" i="38"/>
  <c r="V4" i="38"/>
  <c r="W4" i="38"/>
  <c r="T4" i="38"/>
  <c r="AA3" i="38"/>
  <c r="Z3" i="38"/>
  <c r="Y3" i="38"/>
  <c r="W3" i="38"/>
  <c r="V3" i="38"/>
  <c r="U3" i="38"/>
  <c r="G4" i="38"/>
  <c r="C4" i="38"/>
  <c r="B2" i="18" l="1" a="1"/>
  <c r="D2" i="18" a="1"/>
  <c r="C2" i="18" a="1"/>
  <c r="C2" i="18" l="1"/>
  <c r="C4" i="18" s="1"/>
  <c r="D2" i="18"/>
  <c r="D4" i="18" s="1"/>
  <c r="B2" i="18"/>
  <c r="B4" i="18" s="1"/>
  <c r="B4" i="8" l="1"/>
  <c r="D3" i="21"/>
  <c r="C3" i="21"/>
  <c r="B8" i="1" a="1"/>
  <c r="B8" i="1" l="1"/>
  <c r="B24" i="38"/>
  <c r="C24" i="38"/>
  <c r="D24" i="38"/>
  <c r="B34" i="38"/>
  <c r="D4" i="38"/>
  <c r="D21" i="38"/>
  <c r="C21" i="38"/>
  <c r="G38" i="38"/>
  <c r="H465" i="20"/>
  <c r="I465" i="20"/>
  <c r="J465" i="20"/>
  <c r="H466" i="20"/>
  <c r="I466" i="20"/>
  <c r="J466" i="20"/>
  <c r="C9" i="33"/>
  <c r="C8" i="33"/>
  <c r="D23" i="37"/>
  <c r="I23" i="37" s="1"/>
  <c r="D24" i="37"/>
  <c r="D22" i="37"/>
  <c r="I22" i="37" s="1"/>
  <c r="I24" i="37"/>
  <c r="G465" i="20"/>
  <c r="G466" i="20"/>
  <c r="E465" i="20"/>
  <c r="E466" i="20"/>
  <c r="B17" i="37" l="1"/>
  <c r="H475" i="20" s="1"/>
  <c r="B16" i="37"/>
  <c r="H474" i="20"/>
  <c r="H473" i="20"/>
  <c r="H22" i="37"/>
  <c r="B15" i="37"/>
  <c r="D21" i="37"/>
  <c r="I475" i="20" l="1"/>
  <c r="J475" i="20" s="1"/>
  <c r="I474" i="20"/>
  <c r="J474" i="20" s="1"/>
  <c r="G475" i="20"/>
  <c r="E475" i="20"/>
  <c r="G474" i="20"/>
  <c r="E474" i="20"/>
  <c r="I473" i="20"/>
  <c r="J473" i="20" s="1"/>
  <c r="G473" i="20"/>
  <c r="E473" i="20"/>
  <c r="C20" i="34"/>
  <c r="K21" i="34"/>
  <c r="D2" i="19"/>
  <c r="D50" i="9" l="1"/>
  <c r="D51" i="9"/>
  <c r="D52" i="9"/>
  <c r="D49" i="9"/>
  <c r="U8" i="24"/>
  <c r="J439" i="20" s="1"/>
  <c r="U13" i="24"/>
  <c r="N7" i="24"/>
  <c r="C66" i="9"/>
  <c r="I437" i="20" s="1"/>
  <c r="C64" i="9"/>
  <c r="I439" i="20" s="1"/>
  <c r="E439" i="20"/>
  <c r="G439" i="20"/>
  <c r="E437" i="20"/>
  <c r="G437" i="20"/>
  <c r="G9" i="8"/>
  <c r="B9" i="8"/>
  <c r="C6" i="18"/>
  <c r="D6" i="18"/>
  <c r="B6" i="18"/>
  <c r="J437" i="20" l="1"/>
  <c r="H437" i="20"/>
  <c r="H439" i="20"/>
  <c r="G33" i="9"/>
  <c r="H33" i="9"/>
  <c r="B56" i="9"/>
  <c r="D47" i="9" l="1"/>
  <c r="N9" i="24"/>
  <c r="N5" i="24"/>
  <c r="M5" i="24" s="1"/>
  <c r="J57" i="9"/>
  <c r="D45" i="9" s="1"/>
  <c r="G45" i="9" l="1"/>
  <c r="D43" i="9"/>
  <c r="C39" i="9"/>
  <c r="D39" i="9"/>
  <c r="E39" i="9"/>
  <c r="F39" i="9"/>
  <c r="C38" i="9"/>
  <c r="D16" i="32" l="1"/>
  <c r="E16" i="32" s="1"/>
  <c r="I6" i="20"/>
  <c r="J6" i="20"/>
  <c r="H6" i="20"/>
  <c r="B5" i="18"/>
  <c r="D1" i="18"/>
  <c r="C1" i="18"/>
  <c r="B1" i="18"/>
  <c r="I406" i="20"/>
  <c r="J406" i="20"/>
  <c r="H406" i="20"/>
  <c r="E406" i="20"/>
  <c r="G406" i="20"/>
  <c r="E20" i="18"/>
  <c r="C3" i="18"/>
  <c r="D3" i="18"/>
  <c r="B3" i="18"/>
  <c r="H417" i="20"/>
  <c r="H413" i="20"/>
  <c r="H409" i="20"/>
  <c r="E6" i="20"/>
  <c r="G6" i="20"/>
  <c r="B7" i="18" l="1"/>
  <c r="I10" i="24" l="1"/>
  <c r="H6" i="24"/>
  <c r="I5" i="37"/>
  <c r="K26" i="34"/>
  <c r="L26" i="34"/>
  <c r="M26" i="34"/>
  <c r="N26" i="34"/>
  <c r="O26" i="34"/>
  <c r="L25" i="34"/>
  <c r="M25" i="34"/>
  <c r="N25" i="34"/>
  <c r="O25" i="34"/>
  <c r="K25" i="34"/>
  <c r="L22" i="34"/>
  <c r="M22" i="34"/>
  <c r="N22" i="34"/>
  <c r="O22" i="34"/>
  <c r="L23" i="34"/>
  <c r="M23" i="34"/>
  <c r="N23" i="34"/>
  <c r="O23" i="34"/>
  <c r="K23" i="34"/>
  <c r="K22" i="34"/>
  <c r="L24" i="34"/>
  <c r="D24" i="34"/>
  <c r="D28" i="34"/>
  <c r="M24" i="34"/>
  <c r="E24" i="34"/>
  <c r="E28" i="34"/>
  <c r="N24" i="34"/>
  <c r="F24" i="34"/>
  <c r="F28" i="34"/>
  <c r="O24" i="34"/>
  <c r="G24" i="34"/>
  <c r="G28" i="34"/>
  <c r="D26" i="34"/>
  <c r="E26" i="34"/>
  <c r="F26" i="34"/>
  <c r="G26" i="34"/>
  <c r="K24" i="34"/>
  <c r="C24" i="34"/>
  <c r="C28" i="34"/>
  <c r="C26" i="34"/>
  <c r="B5" i="7"/>
  <c r="B6" i="7"/>
  <c r="B4" i="7"/>
  <c r="C5" i="7"/>
  <c r="C6" i="7"/>
  <c r="C4" i="7"/>
  <c r="B22" i="7"/>
  <c r="C22" i="7"/>
  <c r="D22" i="7"/>
  <c r="E22" i="7"/>
  <c r="F22" i="7"/>
  <c r="B23" i="7"/>
  <c r="C23" i="7"/>
  <c r="D23" i="7"/>
  <c r="E23" i="7"/>
  <c r="F23" i="7"/>
  <c r="B24" i="7"/>
  <c r="C24" i="7"/>
  <c r="D24" i="7"/>
  <c r="E24" i="7"/>
  <c r="F24" i="7"/>
  <c r="D5" i="7"/>
  <c r="B20" i="7"/>
  <c r="C20" i="7"/>
  <c r="D20" i="7"/>
  <c r="E20" i="7"/>
  <c r="F20" i="7"/>
  <c r="B21" i="7"/>
  <c r="C21" i="7"/>
  <c r="D21" i="7"/>
  <c r="E21" i="7"/>
  <c r="F21" i="7"/>
  <c r="D6" i="7"/>
  <c r="D4" i="7"/>
  <c r="B6" i="21"/>
  <c r="B7" i="21"/>
  <c r="C6" i="21"/>
  <c r="C4" i="21"/>
  <c r="C5" i="21"/>
  <c r="C7" i="21"/>
  <c r="C8" i="21"/>
  <c r="D7" i="21" s="1"/>
  <c r="D6" i="21"/>
  <c r="G4" i="21" s="1"/>
  <c r="B15" i="26"/>
  <c r="B16" i="26"/>
  <c r="B17" i="26"/>
  <c r="B18" i="26"/>
  <c r="B19" i="26"/>
  <c r="B20" i="26"/>
  <c r="B21" i="26"/>
  <c r="B22" i="26"/>
  <c r="E15" i="26" a="1"/>
  <c r="E16" i="26" a="1"/>
  <c r="E17" i="26" a="1"/>
  <c r="E18" i="26" a="1"/>
  <c r="E19" i="26" a="1"/>
  <c r="E20" i="26" a="1"/>
  <c r="E21" i="26" a="1"/>
  <c r="E22" i="26" a="1"/>
  <c r="E15" i="26"/>
  <c r="E16" i="26"/>
  <c r="E17" i="26"/>
  <c r="E18" i="26"/>
  <c r="E19" i="26"/>
  <c r="E20" i="26"/>
  <c r="E21" i="26"/>
  <c r="E22" i="26"/>
  <c r="C19" i="26"/>
  <c r="L4" i="34"/>
  <c r="M4" i="34"/>
  <c r="H4" i="34"/>
  <c r="G4" i="34"/>
  <c r="G5" i="34"/>
  <c r="J11" i="20"/>
  <c r="J12" i="20"/>
  <c r="H6" i="34"/>
  <c r="D5" i="19"/>
  <c r="E5" i="19"/>
  <c r="F5" i="19"/>
  <c r="G5" i="19"/>
  <c r="H2" i="19"/>
  <c r="H3" i="19"/>
  <c r="H4" i="19"/>
  <c r="H5" i="19"/>
  <c r="H6" i="19"/>
  <c r="H7" i="19"/>
  <c r="H8" i="19"/>
  <c r="H9" i="19"/>
  <c r="H10" i="19"/>
  <c r="H11" i="19"/>
  <c r="H12" i="19"/>
  <c r="H13" i="19"/>
  <c r="C19" i="34"/>
  <c r="C22" i="34"/>
  <c r="C6" i="34"/>
  <c r="J14" i="20"/>
  <c r="C7" i="34"/>
  <c r="J15" i="20"/>
  <c r="D19" i="34"/>
  <c r="L21" i="34"/>
  <c r="D22" i="34"/>
  <c r="D20" i="34"/>
  <c r="D6" i="34"/>
  <c r="J17" i="20"/>
  <c r="D7" i="34"/>
  <c r="J18" i="20"/>
  <c r="E19" i="34"/>
  <c r="M21" i="34"/>
  <c r="E22" i="34"/>
  <c r="E20" i="34"/>
  <c r="E6" i="34"/>
  <c r="J20" i="20"/>
  <c r="E7" i="34"/>
  <c r="J21" i="20"/>
  <c r="F19" i="34"/>
  <c r="N21" i="34"/>
  <c r="F22" i="34"/>
  <c r="F20" i="34"/>
  <c r="F6" i="34"/>
  <c r="J23" i="20"/>
  <c r="F7" i="34"/>
  <c r="J24" i="20"/>
  <c r="H8" i="34"/>
  <c r="D7" i="19"/>
  <c r="E7" i="19"/>
  <c r="F7" i="19"/>
  <c r="G7" i="19"/>
  <c r="C21" i="34"/>
  <c r="C8" i="34"/>
  <c r="J26" i="20"/>
  <c r="C9" i="34"/>
  <c r="J27" i="20"/>
  <c r="D21" i="34"/>
  <c r="D8" i="34"/>
  <c r="J29" i="20"/>
  <c r="D9" i="34"/>
  <c r="J30" i="20"/>
  <c r="E21" i="34"/>
  <c r="E8" i="34"/>
  <c r="J32" i="20"/>
  <c r="E9" i="34"/>
  <c r="J33" i="20"/>
  <c r="F21" i="34"/>
  <c r="F8" i="34"/>
  <c r="J35" i="20"/>
  <c r="F9" i="34"/>
  <c r="J36" i="20"/>
  <c r="H10" i="34"/>
  <c r="D9" i="19"/>
  <c r="E9" i="19"/>
  <c r="F9" i="19"/>
  <c r="G9" i="19"/>
  <c r="C23" i="34"/>
  <c r="C10" i="34"/>
  <c r="J38" i="20"/>
  <c r="C11" i="34"/>
  <c r="J39" i="20"/>
  <c r="D23" i="34"/>
  <c r="D10" i="34"/>
  <c r="J41" i="20"/>
  <c r="D11" i="34"/>
  <c r="J42" i="20"/>
  <c r="E23" i="34"/>
  <c r="E10" i="34"/>
  <c r="J44" i="20"/>
  <c r="E11" i="34"/>
  <c r="J45" i="20"/>
  <c r="F23" i="34"/>
  <c r="F10" i="34"/>
  <c r="J47" i="20"/>
  <c r="F11" i="34"/>
  <c r="J48" i="20"/>
  <c r="H12" i="34"/>
  <c r="D11" i="19"/>
  <c r="E11" i="19"/>
  <c r="F11" i="19"/>
  <c r="G11" i="19"/>
  <c r="C25" i="34"/>
  <c r="C12" i="34"/>
  <c r="J50" i="20"/>
  <c r="C13" i="34"/>
  <c r="J51" i="20"/>
  <c r="D25" i="34"/>
  <c r="D12" i="34"/>
  <c r="J53" i="20"/>
  <c r="D13" i="34"/>
  <c r="J54" i="20"/>
  <c r="E25" i="34"/>
  <c r="E12" i="34"/>
  <c r="J56" i="20"/>
  <c r="E13" i="34"/>
  <c r="J57" i="20"/>
  <c r="F25" i="34"/>
  <c r="F12" i="34"/>
  <c r="J59" i="20"/>
  <c r="F13" i="34"/>
  <c r="J60" i="20"/>
  <c r="H14" i="34"/>
  <c r="D13" i="19"/>
  <c r="E13" i="19"/>
  <c r="F13" i="19"/>
  <c r="G13" i="19"/>
  <c r="C27" i="34"/>
  <c r="C14" i="34"/>
  <c r="J62" i="20"/>
  <c r="C15" i="34"/>
  <c r="J63" i="20"/>
  <c r="D27" i="34"/>
  <c r="D14" i="34"/>
  <c r="J65" i="20"/>
  <c r="D15" i="34"/>
  <c r="J66" i="20"/>
  <c r="E27" i="34"/>
  <c r="E14" i="34"/>
  <c r="J68" i="20"/>
  <c r="E15" i="34"/>
  <c r="J69" i="20"/>
  <c r="F27" i="34"/>
  <c r="F14" i="34"/>
  <c r="J71" i="20"/>
  <c r="F15" i="34"/>
  <c r="J72" i="20"/>
  <c r="D19" i="26" a="1"/>
  <c r="D19" i="26"/>
  <c r="D4" i="21"/>
  <c r="D5" i="21"/>
  <c r="D18" i="26" a="1"/>
  <c r="D18" i="26"/>
  <c r="H11" i="20"/>
  <c r="H12" i="20"/>
  <c r="H14" i="20"/>
  <c r="H15" i="20"/>
  <c r="H17" i="20"/>
  <c r="H18" i="20"/>
  <c r="H20" i="20"/>
  <c r="H21" i="20"/>
  <c r="H23" i="20"/>
  <c r="H24" i="20"/>
  <c r="H26" i="20"/>
  <c r="H27" i="20"/>
  <c r="H29" i="20"/>
  <c r="H30" i="20"/>
  <c r="H32" i="20"/>
  <c r="H33" i="20"/>
  <c r="H35" i="20"/>
  <c r="H36" i="20"/>
  <c r="H38" i="20"/>
  <c r="H39" i="20"/>
  <c r="H41" i="20"/>
  <c r="H42" i="20"/>
  <c r="H44" i="20"/>
  <c r="H45" i="20"/>
  <c r="H47" i="20"/>
  <c r="H48" i="20"/>
  <c r="H50" i="20"/>
  <c r="H51" i="20"/>
  <c r="H53" i="20"/>
  <c r="H54" i="20"/>
  <c r="H56" i="20"/>
  <c r="H57" i="20"/>
  <c r="H59" i="20"/>
  <c r="H60" i="20"/>
  <c r="H62" i="20"/>
  <c r="H63" i="20"/>
  <c r="H65" i="20"/>
  <c r="H66" i="20"/>
  <c r="H68" i="20"/>
  <c r="H69" i="20"/>
  <c r="H71" i="20"/>
  <c r="H72" i="20"/>
  <c r="I11" i="20"/>
  <c r="I12" i="20"/>
  <c r="I14" i="20"/>
  <c r="I15" i="20"/>
  <c r="I17" i="20"/>
  <c r="I18" i="20"/>
  <c r="I20" i="20"/>
  <c r="I21" i="20"/>
  <c r="I23" i="20"/>
  <c r="I24" i="20"/>
  <c r="I26" i="20"/>
  <c r="I27" i="20"/>
  <c r="I29" i="20"/>
  <c r="I30" i="20"/>
  <c r="I32" i="20"/>
  <c r="I33" i="20"/>
  <c r="I35" i="20"/>
  <c r="I36" i="20"/>
  <c r="I38" i="20"/>
  <c r="I39" i="20"/>
  <c r="I41" i="20"/>
  <c r="I42" i="20"/>
  <c r="I44" i="20"/>
  <c r="I45" i="20"/>
  <c r="I47" i="20"/>
  <c r="I48" i="20"/>
  <c r="I50" i="20"/>
  <c r="I51" i="20"/>
  <c r="I53" i="20"/>
  <c r="I54" i="20"/>
  <c r="I56" i="20"/>
  <c r="I57" i="20"/>
  <c r="I59" i="20"/>
  <c r="I60" i="20"/>
  <c r="I62" i="20"/>
  <c r="I63" i="20"/>
  <c r="I65" i="20"/>
  <c r="I66" i="20"/>
  <c r="I68" i="20"/>
  <c r="I69" i="20"/>
  <c r="I71" i="20"/>
  <c r="I72" i="20"/>
  <c r="G3" i="38"/>
  <c r="H3" i="38"/>
  <c r="I3" i="38"/>
  <c r="P3" i="38"/>
  <c r="Q3" i="38"/>
  <c r="R3" i="38"/>
  <c r="C120" i="20"/>
  <c r="A5" i="9" a="1"/>
  <c r="C121" i="20"/>
  <c r="C5" i="9"/>
  <c r="C122" i="20"/>
  <c r="G3" i="9"/>
  <c r="G4" i="9" s="1"/>
  <c r="C123" i="20"/>
  <c r="J3" i="9"/>
  <c r="J4" i="9" s="1"/>
  <c r="G39" i="9"/>
  <c r="H3" i="9"/>
  <c r="H4" i="9" s="1"/>
  <c r="I3" i="9"/>
  <c r="I4" i="9" s="1"/>
  <c r="C124" i="20"/>
  <c r="C125" i="20"/>
  <c r="C126" i="20"/>
  <c r="H5" i="9"/>
  <c r="C127" i="20"/>
  <c r="K3" i="9"/>
  <c r="K4" i="9" s="1"/>
  <c r="C128" i="20"/>
  <c r="C129" i="20"/>
  <c r="C130" i="20"/>
  <c r="C131" i="20"/>
  <c r="L3" i="9"/>
  <c r="L4" i="9" s="1"/>
  <c r="C132" i="20"/>
  <c r="C133" i="20"/>
  <c r="C134" i="20"/>
  <c r="C135" i="20"/>
  <c r="C136" i="20"/>
  <c r="C137" i="20"/>
  <c r="C138" i="20"/>
  <c r="C139" i="20"/>
  <c r="C140" i="20"/>
  <c r="C141" i="20"/>
  <c r="C142" i="20"/>
  <c r="C143" i="20"/>
  <c r="C144" i="20"/>
  <c r="C145" i="20"/>
  <c r="C146" i="20"/>
  <c r="C147" i="20"/>
  <c r="C148" i="20"/>
  <c r="H9" i="9"/>
  <c r="C149" i="20"/>
  <c r="C150" i="20"/>
  <c r="C151" i="20"/>
  <c r="C152" i="20"/>
  <c r="C153" i="20"/>
  <c r="C154" i="20"/>
  <c r="C155" i="20"/>
  <c r="C156" i="20"/>
  <c r="C157" i="20"/>
  <c r="C158" i="20"/>
  <c r="C159" i="20"/>
  <c r="C160" i="20"/>
  <c r="C161" i="20"/>
  <c r="M9" i="9"/>
  <c r="H162" i="20" s="1"/>
  <c r="H163" i="20"/>
  <c r="C168" i="20"/>
  <c r="B10" i="9"/>
  <c r="C169" i="20"/>
  <c r="C170" i="20"/>
  <c r="C171" i="20"/>
  <c r="C172" i="20"/>
  <c r="H10" i="9"/>
  <c r="C173" i="20"/>
  <c r="C174" i="20"/>
  <c r="C175" i="20"/>
  <c r="C176" i="20"/>
  <c r="C177" i="20"/>
  <c r="C178" i="20"/>
  <c r="C179" i="20"/>
  <c r="C180" i="20"/>
  <c r="C181" i="20"/>
  <c r="C182" i="20"/>
  <c r="C183" i="20"/>
  <c r="C184" i="20"/>
  <c r="C185" i="20"/>
  <c r="C186" i="20"/>
  <c r="C187" i="20"/>
  <c r="C188" i="20"/>
  <c r="C189" i="20"/>
  <c r="C190" i="20"/>
  <c r="H8" i="9"/>
  <c r="C191" i="20"/>
  <c r="C192" i="20"/>
  <c r="C193" i="20"/>
  <c r="C194" i="20"/>
  <c r="C195" i="20"/>
  <c r="C196" i="20"/>
  <c r="C197" i="20"/>
  <c r="C198" i="20"/>
  <c r="C199" i="20"/>
  <c r="C200" i="20"/>
  <c r="C201" i="20"/>
  <c r="C202" i="20"/>
  <c r="C203" i="20"/>
  <c r="C204" i="20"/>
  <c r="C205" i="20"/>
  <c r="C206" i="20"/>
  <c r="C207" i="20"/>
  <c r="C208" i="20"/>
  <c r="C209" i="20"/>
  <c r="C210" i="20"/>
  <c r="H6" i="9"/>
  <c r="C211" i="20"/>
  <c r="C212" i="20"/>
  <c r="C213" i="20"/>
  <c r="C214" i="20"/>
  <c r="C215" i="20"/>
  <c r="C216" i="20"/>
  <c r="C217" i="20"/>
  <c r="C218" i="20"/>
  <c r="C219" i="20"/>
  <c r="C220" i="20"/>
  <c r="C221" i="20"/>
  <c r="C222" i="20"/>
  <c r="C223" i="20"/>
  <c r="C224" i="20"/>
  <c r="C225" i="20"/>
  <c r="C226" i="20"/>
  <c r="C227" i="20"/>
  <c r="C228" i="20"/>
  <c r="B11" i="9"/>
  <c r="C229" i="20"/>
  <c r="C230" i="20"/>
  <c r="C231" i="20"/>
  <c r="C232" i="20"/>
  <c r="H11" i="9"/>
  <c r="C233" i="20"/>
  <c r="C234" i="20"/>
  <c r="C235" i="20"/>
  <c r="C236" i="20"/>
  <c r="C237" i="20"/>
  <c r="C238" i="20"/>
  <c r="C239" i="20"/>
  <c r="C240" i="20"/>
  <c r="C241" i="20"/>
  <c r="C242" i="20"/>
  <c r="C243" i="20"/>
  <c r="C244" i="20"/>
  <c r="C245" i="20"/>
  <c r="C246" i="20"/>
  <c r="C247" i="20"/>
  <c r="C248" i="20"/>
  <c r="H39" i="9"/>
  <c r="C249" i="20"/>
  <c r="C250" i="20"/>
  <c r="H13" i="9"/>
  <c r="C251" i="20"/>
  <c r="C252" i="20"/>
  <c r="C253" i="20"/>
  <c r="C254" i="20"/>
  <c r="C255" i="20"/>
  <c r="C256" i="20"/>
  <c r="C257" i="20"/>
  <c r="C258" i="20"/>
  <c r="C259" i="20"/>
  <c r="C260" i="20"/>
  <c r="C261" i="20"/>
  <c r="C262" i="20"/>
  <c r="C263" i="20"/>
  <c r="C264" i="20"/>
  <c r="B15" i="9"/>
  <c r="C265" i="20"/>
  <c r="G14" i="9"/>
  <c r="C266" i="20"/>
  <c r="C267" i="20"/>
  <c r="C268" i="20"/>
  <c r="I14" i="9"/>
  <c r="C269" i="20"/>
  <c r="C270" i="20"/>
  <c r="C271" i="20"/>
  <c r="C272" i="20"/>
  <c r="C273" i="20"/>
  <c r="C274" i="20"/>
  <c r="C275" i="20"/>
  <c r="C276" i="20"/>
  <c r="C277" i="20"/>
  <c r="C278" i="20"/>
  <c r="C279" i="20"/>
  <c r="C280" i="20"/>
  <c r="C281" i="20"/>
  <c r="C282" i="20"/>
  <c r="C283" i="20"/>
  <c r="C284" i="20"/>
  <c r="C285" i="20"/>
  <c r="C286" i="20"/>
  <c r="H12" i="9"/>
  <c r="C287" i="20"/>
  <c r="C288" i="20"/>
  <c r="C289" i="20"/>
  <c r="C290" i="20"/>
  <c r="C291" i="20"/>
  <c r="C292" i="20"/>
  <c r="C293" i="20"/>
  <c r="C294" i="20"/>
  <c r="C295" i="20"/>
  <c r="C296" i="20"/>
  <c r="C297" i="20"/>
  <c r="C298" i="20"/>
  <c r="C299" i="20"/>
  <c r="C300" i="20"/>
  <c r="C301" i="20"/>
  <c r="C7" i="9"/>
  <c r="C302" i="20"/>
  <c r="C303" i="20"/>
  <c r="C304" i="20"/>
  <c r="C305" i="20"/>
  <c r="C306" i="20"/>
  <c r="H7" i="9"/>
  <c r="C307" i="20"/>
  <c r="C308" i="20"/>
  <c r="C309" i="20"/>
  <c r="C310" i="20"/>
  <c r="C311" i="20"/>
  <c r="C312" i="20"/>
  <c r="C313" i="20"/>
  <c r="C314" i="20"/>
  <c r="C315" i="20"/>
  <c r="C316" i="20"/>
  <c r="C317" i="20"/>
  <c r="C318" i="20"/>
  <c r="C319" i="20"/>
  <c r="C320" i="20"/>
  <c r="C321" i="20"/>
  <c r="C322" i="20"/>
  <c r="C323" i="20"/>
  <c r="C324" i="20"/>
  <c r="C325" i="20"/>
  <c r="C326" i="20"/>
  <c r="C327" i="20"/>
  <c r="C328" i="20"/>
  <c r="C329" i="20"/>
  <c r="C330" i="20"/>
  <c r="H15" i="9"/>
  <c r="C331" i="20"/>
  <c r="C332" i="20"/>
  <c r="C333" i="20"/>
  <c r="C334" i="20"/>
  <c r="C335" i="20"/>
  <c r="C336" i="20"/>
  <c r="C337" i="20"/>
  <c r="C338" i="20"/>
  <c r="C339" i="20"/>
  <c r="C340" i="20"/>
  <c r="C341" i="20"/>
  <c r="C342" i="20"/>
  <c r="C343" i="20"/>
  <c r="C344" i="20"/>
  <c r="C345" i="20"/>
  <c r="C346" i="20"/>
  <c r="C347" i="20"/>
  <c r="C348" i="20"/>
  <c r="C349" i="20"/>
  <c r="C350" i="20"/>
  <c r="C351" i="20"/>
  <c r="C352" i="20"/>
  <c r="H16" i="9"/>
  <c r="C353" i="20"/>
  <c r="C354" i="20"/>
  <c r="C355" i="20"/>
  <c r="C356" i="20"/>
  <c r="C357" i="20"/>
  <c r="C358" i="20"/>
  <c r="C359" i="20"/>
  <c r="C360" i="20"/>
  <c r="C361" i="20"/>
  <c r="C362" i="20"/>
  <c r="C363" i="20"/>
  <c r="C364" i="20"/>
  <c r="C365" i="20"/>
  <c r="C366" i="20"/>
  <c r="B17" i="9"/>
  <c r="C367" i="20"/>
  <c r="C368" i="20"/>
  <c r="C369" i="20"/>
  <c r="C370" i="20"/>
  <c r="H17" i="9"/>
  <c r="C371" i="20"/>
  <c r="C372" i="20"/>
  <c r="C373" i="20"/>
  <c r="C374" i="20"/>
  <c r="C375" i="20"/>
  <c r="C376" i="20"/>
  <c r="C377" i="20"/>
  <c r="C378" i="20"/>
  <c r="C379" i="20"/>
  <c r="C380" i="20"/>
  <c r="C381" i="20"/>
  <c r="C382" i="20"/>
  <c r="C383" i="20"/>
  <c r="C384" i="20"/>
  <c r="C385" i="20"/>
  <c r="C386" i="20"/>
  <c r="C387" i="20"/>
  <c r="C388" i="20"/>
  <c r="H18" i="9"/>
  <c r="C389" i="20"/>
  <c r="C390" i="20"/>
  <c r="C391" i="20"/>
  <c r="C392" i="20"/>
  <c r="C393" i="20"/>
  <c r="C394" i="20"/>
  <c r="C395" i="20"/>
  <c r="C396" i="20"/>
  <c r="C397" i="20"/>
  <c r="C398" i="20"/>
  <c r="C399" i="20"/>
  <c r="C400" i="20"/>
  <c r="C401" i="20"/>
  <c r="H2" i="20"/>
  <c r="B3" i="7"/>
  <c r="C3" i="7"/>
  <c r="D3" i="7"/>
  <c r="I163" i="20"/>
  <c r="I2" i="20"/>
  <c r="J163" i="20"/>
  <c r="J2" i="20"/>
  <c r="D15" i="26" a="1"/>
  <c r="D15" i="26"/>
  <c r="D16" i="26" a="1"/>
  <c r="D16" i="26"/>
  <c r="D17" i="26" a="1"/>
  <c r="D20" i="26" a="1"/>
  <c r="D21" i="26" a="1"/>
  <c r="D22" i="26" a="1"/>
  <c r="D17" i="26"/>
  <c r="D20" i="26"/>
  <c r="D21" i="26"/>
  <c r="D22" i="26"/>
  <c r="I2" i="19"/>
  <c r="H13" i="20"/>
  <c r="D4" i="19"/>
  <c r="H16" i="20"/>
  <c r="E4" i="19"/>
  <c r="H19" i="20"/>
  <c r="F4" i="19"/>
  <c r="H22" i="20"/>
  <c r="G4" i="19"/>
  <c r="H25" i="20"/>
  <c r="D6" i="19"/>
  <c r="H28" i="20"/>
  <c r="E6" i="19"/>
  <c r="H31" i="20"/>
  <c r="F6" i="19"/>
  <c r="H34" i="20"/>
  <c r="G6" i="19"/>
  <c r="H37" i="20"/>
  <c r="D8" i="19"/>
  <c r="H40" i="20"/>
  <c r="E8" i="19"/>
  <c r="H43" i="20"/>
  <c r="F8" i="19"/>
  <c r="H46" i="20"/>
  <c r="G8" i="19"/>
  <c r="H49" i="20"/>
  <c r="D10" i="19"/>
  <c r="H52" i="20"/>
  <c r="E10" i="19"/>
  <c r="H55" i="20"/>
  <c r="F10" i="19"/>
  <c r="H58" i="20"/>
  <c r="G10" i="19"/>
  <c r="H61" i="20"/>
  <c r="D12" i="19"/>
  <c r="H64" i="20"/>
  <c r="E12" i="19"/>
  <c r="H67" i="20"/>
  <c r="F12" i="19"/>
  <c r="H70" i="20"/>
  <c r="I13" i="20"/>
  <c r="I16" i="20"/>
  <c r="I19" i="20"/>
  <c r="I22" i="20"/>
  <c r="I25" i="20"/>
  <c r="I28" i="20"/>
  <c r="I31" i="20"/>
  <c r="I34" i="20"/>
  <c r="I37" i="20"/>
  <c r="I40" i="20"/>
  <c r="I43" i="20"/>
  <c r="I46" i="20"/>
  <c r="I49" i="20"/>
  <c r="I52" i="20"/>
  <c r="I55" i="20"/>
  <c r="I58" i="20"/>
  <c r="I61" i="20"/>
  <c r="I64" i="20"/>
  <c r="I67" i="20"/>
  <c r="I70" i="20"/>
  <c r="J13" i="20"/>
  <c r="J16" i="20"/>
  <c r="J19" i="20"/>
  <c r="J22" i="20"/>
  <c r="J25" i="20"/>
  <c r="J28" i="20"/>
  <c r="J31" i="20"/>
  <c r="J34" i="20"/>
  <c r="J37" i="20"/>
  <c r="J40" i="20"/>
  <c r="J43" i="20"/>
  <c r="J46" i="20"/>
  <c r="J49" i="20"/>
  <c r="J52" i="20"/>
  <c r="J55" i="20"/>
  <c r="J58" i="20"/>
  <c r="J61" i="20"/>
  <c r="J64" i="20"/>
  <c r="J67" i="20"/>
  <c r="J70" i="20"/>
  <c r="B12" i="37"/>
  <c r="B11" i="37"/>
  <c r="B10" i="37"/>
  <c r="D3" i="32"/>
  <c r="L19" i="28"/>
  <c r="M19" i="28"/>
  <c r="N19" i="28"/>
  <c r="O19" i="28"/>
  <c r="P19" i="28"/>
  <c r="E14" i="28"/>
  <c r="E11" i="28"/>
  <c r="D2" i="28"/>
  <c r="G2" i="28"/>
  <c r="H2" i="28"/>
  <c r="I2" i="28"/>
  <c r="G3" i="28"/>
  <c r="H3" i="28"/>
  <c r="I3" i="28"/>
  <c r="G4" i="28"/>
  <c r="H4" i="28"/>
  <c r="I4" i="28"/>
  <c r="G5" i="28"/>
  <c r="H5" i="28"/>
  <c r="I5" i="28"/>
  <c r="G6" i="28"/>
  <c r="H6" i="28"/>
  <c r="I6" i="28"/>
  <c r="G7" i="28"/>
  <c r="H7" i="28"/>
  <c r="I7" i="28"/>
  <c r="G8" i="28"/>
  <c r="H8" i="28"/>
  <c r="I8" i="28"/>
  <c r="G9" i="28"/>
  <c r="H9" i="28"/>
  <c r="I9" i="28"/>
  <c r="G10" i="28"/>
  <c r="H10" i="28"/>
  <c r="I10" i="28"/>
  <c r="G14" i="28"/>
  <c r="G11" i="28"/>
  <c r="H14" i="28"/>
  <c r="H11" i="28"/>
  <c r="I14" i="28"/>
  <c r="I11" i="28"/>
  <c r="G12" i="28"/>
  <c r="H12" i="28"/>
  <c r="I12" i="28"/>
  <c r="G13" i="28"/>
  <c r="H13" i="28"/>
  <c r="I13" i="28"/>
  <c r="G15" i="28"/>
  <c r="H15" i="28"/>
  <c r="I15" i="28"/>
  <c r="E2" i="28"/>
  <c r="F2" i="28"/>
  <c r="E3" i="28"/>
  <c r="F3" i="28"/>
  <c r="E4" i="28"/>
  <c r="F4" i="28"/>
  <c r="E5" i="28"/>
  <c r="F5" i="28"/>
  <c r="E6" i="28"/>
  <c r="F6" i="28"/>
  <c r="E7" i="28"/>
  <c r="F7" i="28"/>
  <c r="E8" i="28"/>
  <c r="F8" i="28"/>
  <c r="E9" i="28"/>
  <c r="F9" i="28"/>
  <c r="E10" i="28"/>
  <c r="F10" i="28"/>
  <c r="F14" i="28"/>
  <c r="F11" i="28"/>
  <c r="E12" i="28"/>
  <c r="F12" i="28"/>
  <c r="E13" i="28"/>
  <c r="F13" i="28"/>
  <c r="E15" i="28"/>
  <c r="F15" i="28"/>
  <c r="D3" i="28"/>
  <c r="D4" i="28"/>
  <c r="D5" i="28"/>
  <c r="D6" i="28"/>
  <c r="D7" i="28"/>
  <c r="D8" i="28"/>
  <c r="D9" i="28"/>
  <c r="D10" i="28"/>
  <c r="D11" i="28"/>
  <c r="D12" i="28"/>
  <c r="D13" i="28"/>
  <c r="D15" i="28"/>
  <c r="D16" i="28"/>
  <c r="K17" i="38"/>
  <c r="D34" i="38"/>
  <c r="E34" i="38"/>
  <c r="C34" i="38"/>
  <c r="K4" i="38"/>
  <c r="B21" i="38"/>
  <c r="E21" i="38" s="1"/>
  <c r="K5" i="38"/>
  <c r="D22" i="38"/>
  <c r="B22" i="38"/>
  <c r="E22" i="38" s="1"/>
  <c r="F22" i="38" s="1"/>
  <c r="C5" i="38" s="1"/>
  <c r="C22" i="38"/>
  <c r="K6" i="38"/>
  <c r="D23" i="38"/>
  <c r="B23" i="38"/>
  <c r="C23" i="38"/>
  <c r="E23" i="38"/>
  <c r="F23" i="38" s="1"/>
  <c r="K7" i="38"/>
  <c r="E24" i="38"/>
  <c r="K8" i="38"/>
  <c r="D25" i="38"/>
  <c r="B25" i="38"/>
  <c r="C25" i="38"/>
  <c r="E25" i="38"/>
  <c r="H25" i="38" s="1"/>
  <c r="K9" i="38"/>
  <c r="D26" i="38"/>
  <c r="H26" i="38" s="1"/>
  <c r="B26" i="38"/>
  <c r="F26" i="38" s="1"/>
  <c r="L9" i="38" s="1"/>
  <c r="C26" i="38"/>
  <c r="E26" i="38"/>
  <c r="K10" i="38"/>
  <c r="D27" i="38"/>
  <c r="B27" i="38"/>
  <c r="E27" i="38" s="1"/>
  <c r="C27" i="38"/>
  <c r="K11" i="38"/>
  <c r="D28" i="38"/>
  <c r="B28" i="38"/>
  <c r="E28" i="38" s="1"/>
  <c r="C28" i="38"/>
  <c r="K12" i="38"/>
  <c r="D29" i="38"/>
  <c r="B29" i="38"/>
  <c r="C29" i="38"/>
  <c r="K13" i="38"/>
  <c r="D30" i="38"/>
  <c r="B30" i="38"/>
  <c r="C30" i="38"/>
  <c r="E30" i="38" s="1"/>
  <c r="K14" i="38"/>
  <c r="D31" i="38"/>
  <c r="B31" i="38"/>
  <c r="C31" i="38"/>
  <c r="E31" i="38" s="1"/>
  <c r="K15" i="38"/>
  <c r="N15" i="38" s="1"/>
  <c r="D32" i="38"/>
  <c r="H32" i="38" s="1"/>
  <c r="E15" i="38" s="1"/>
  <c r="B32" i="38"/>
  <c r="F32" i="38" s="1"/>
  <c r="L15" i="38" s="1"/>
  <c r="C32" i="38"/>
  <c r="E32" i="38" s="1"/>
  <c r="G32" i="38" s="1"/>
  <c r="M15" i="38" s="1"/>
  <c r="K16" i="38"/>
  <c r="D33" i="38"/>
  <c r="B33" i="38"/>
  <c r="E33" i="38" s="1"/>
  <c r="C33" i="38"/>
  <c r="G23" i="38"/>
  <c r="M6" i="38"/>
  <c r="G25" i="38"/>
  <c r="M8" i="38" s="1"/>
  <c r="G26" i="38"/>
  <c r="M9" i="38" s="1"/>
  <c r="B17" i="38"/>
  <c r="B4" i="38"/>
  <c r="B5" i="38"/>
  <c r="B6" i="38"/>
  <c r="B7" i="38"/>
  <c r="B8" i="38"/>
  <c r="B9" i="38"/>
  <c r="D9" i="38" s="1"/>
  <c r="B10" i="38"/>
  <c r="B11" i="38"/>
  <c r="B12" i="38"/>
  <c r="B13" i="38"/>
  <c r="B14" i="38"/>
  <c r="B15" i="38"/>
  <c r="D15" i="38" s="1"/>
  <c r="B16" i="38"/>
  <c r="D6" i="38"/>
  <c r="D8" i="38"/>
  <c r="D4" i="37"/>
  <c r="D3" i="37"/>
  <c r="B5" i="37"/>
  <c r="D5" i="37"/>
  <c r="D6" i="37"/>
  <c r="E4" i="37"/>
  <c r="H469" i="20"/>
  <c r="I469" i="20" s="1"/>
  <c r="E3" i="37"/>
  <c r="H468" i="20"/>
  <c r="I468" i="20" s="1"/>
  <c r="J468" i="20" s="1"/>
  <c r="G4" i="37"/>
  <c r="B13" i="32"/>
  <c r="C13" i="32"/>
  <c r="H429" i="20"/>
  <c r="B15" i="32"/>
  <c r="C15" i="32"/>
  <c r="C14" i="32"/>
  <c r="H430" i="20"/>
  <c r="F25" i="38"/>
  <c r="C8" i="38" s="1"/>
  <c r="L8" i="38"/>
  <c r="D15" i="24"/>
  <c r="D17" i="24"/>
  <c r="C15" i="24"/>
  <c r="C17" i="24"/>
  <c r="E15" i="24"/>
  <c r="E17" i="24"/>
  <c r="L5" i="24"/>
  <c r="J79" i="20" s="1"/>
  <c r="L6" i="24"/>
  <c r="H86" i="20" s="1"/>
  <c r="L7" i="24"/>
  <c r="I94" i="20" s="1"/>
  <c r="L8" i="24"/>
  <c r="I102" i="20" s="1"/>
  <c r="H13" i="24"/>
  <c r="H5" i="24" s="1"/>
  <c r="H15" i="24"/>
  <c r="J5" i="24"/>
  <c r="I5" i="24" s="1"/>
  <c r="I6" i="24"/>
  <c r="F6" i="24" s="1"/>
  <c r="I82" i="20" s="1"/>
  <c r="C5" i="24"/>
  <c r="I78" i="20"/>
  <c r="I80" i="20"/>
  <c r="I81" i="20"/>
  <c r="G6" i="24"/>
  <c r="H83" i="20" s="1"/>
  <c r="C6" i="24"/>
  <c r="I85" i="20"/>
  <c r="N6" i="24"/>
  <c r="M6" i="24" s="1"/>
  <c r="J7" i="24"/>
  <c r="M15" i="24" s="1"/>
  <c r="I8" i="24"/>
  <c r="C7" i="24"/>
  <c r="I93" i="20"/>
  <c r="H8" i="24"/>
  <c r="I96" i="20"/>
  <c r="F8" i="24"/>
  <c r="I97" i="20"/>
  <c r="G8" i="24"/>
  <c r="I98" i="20"/>
  <c r="D8" i="24"/>
  <c r="I99" i="20"/>
  <c r="C8" i="24"/>
  <c r="I101" i="20" s="1"/>
  <c r="J9" i="24"/>
  <c r="K9" i="24" s="1"/>
  <c r="J108" i="20" s="1"/>
  <c r="C9" i="24"/>
  <c r="H109" i="20" s="1"/>
  <c r="L9" i="24"/>
  <c r="I110" i="20" s="1"/>
  <c r="M9" i="24"/>
  <c r="J111" i="20" s="1"/>
  <c r="H10" i="24"/>
  <c r="I112" i="20"/>
  <c r="F10" i="24"/>
  <c r="I113" i="20"/>
  <c r="G10" i="24"/>
  <c r="H114" i="20" s="1"/>
  <c r="E10" i="24"/>
  <c r="I115" i="20" s="1"/>
  <c r="K10" i="24"/>
  <c r="I116" i="20" s="1"/>
  <c r="C10" i="24"/>
  <c r="I117" i="20"/>
  <c r="L10" i="24"/>
  <c r="I118" i="20"/>
  <c r="N10" i="24"/>
  <c r="M10" i="24" s="1"/>
  <c r="H407" i="20"/>
  <c r="H405" i="20"/>
  <c r="I407" i="20"/>
  <c r="D2" i="32"/>
  <c r="D4" i="32"/>
  <c r="D5" i="32"/>
  <c r="D6" i="32"/>
  <c r="D7" i="32"/>
  <c r="D8" i="32"/>
  <c r="D9" i="32"/>
  <c r="D10" i="32"/>
  <c r="D11" i="32"/>
  <c r="D12" i="32"/>
  <c r="D13" i="32"/>
  <c r="D15" i="32"/>
  <c r="E2" i="32"/>
  <c r="B2" i="32"/>
  <c r="C2" i="32"/>
  <c r="I418" i="20"/>
  <c r="E3" i="32"/>
  <c r="B3" i="32"/>
  <c r="C3" i="32"/>
  <c r="I419" i="20"/>
  <c r="E4" i="32"/>
  <c r="C4" i="32"/>
  <c r="I420" i="20"/>
  <c r="E5" i="32"/>
  <c r="B5" i="32"/>
  <c r="C5" i="32"/>
  <c r="I421" i="20"/>
  <c r="E6" i="32"/>
  <c r="B6" i="32"/>
  <c r="C6" i="32"/>
  <c r="I422" i="20"/>
  <c r="E7" i="32"/>
  <c r="B7" i="32"/>
  <c r="C7" i="32"/>
  <c r="I423" i="20"/>
  <c r="E8" i="32"/>
  <c r="B8" i="32"/>
  <c r="C8" i="32"/>
  <c r="I424" i="20"/>
  <c r="E9" i="32"/>
  <c r="C9" i="32"/>
  <c r="I425" i="20"/>
  <c r="E10" i="32"/>
  <c r="C10" i="32"/>
  <c r="I426" i="20"/>
  <c r="E11" i="32"/>
  <c r="B11" i="32"/>
  <c r="C11" i="32"/>
  <c r="I427" i="20"/>
  <c r="E12" i="32"/>
  <c r="B12" i="32"/>
  <c r="C12" i="32"/>
  <c r="I428" i="20"/>
  <c r="E13" i="32"/>
  <c r="I429" i="20"/>
  <c r="I430" i="20"/>
  <c r="E15" i="32"/>
  <c r="I431" i="20"/>
  <c r="B16" i="32"/>
  <c r="C16" i="32"/>
  <c r="I432" i="20"/>
  <c r="I434" i="20"/>
  <c r="I435" i="20"/>
  <c r="I436" i="20"/>
  <c r="I438" i="20"/>
  <c r="I440" i="20"/>
  <c r="I441" i="20"/>
  <c r="I442" i="20"/>
  <c r="I443" i="20"/>
  <c r="I444" i="20"/>
  <c r="H78" i="20"/>
  <c r="H80" i="20"/>
  <c r="H81" i="20"/>
  <c r="H82" i="20"/>
  <c r="H85" i="20"/>
  <c r="H93" i="20"/>
  <c r="H96" i="20"/>
  <c r="H97" i="20"/>
  <c r="H98" i="20"/>
  <c r="H99" i="20"/>
  <c r="H101" i="20"/>
  <c r="H108" i="20"/>
  <c r="H110" i="20"/>
  <c r="H112" i="20"/>
  <c r="H113" i="20"/>
  <c r="H115" i="20"/>
  <c r="H117" i="20"/>
  <c r="H118" i="20"/>
  <c r="H418" i="20"/>
  <c r="H419" i="20"/>
  <c r="H420" i="20"/>
  <c r="H421" i="20"/>
  <c r="H422" i="20"/>
  <c r="H423" i="20"/>
  <c r="H424" i="20"/>
  <c r="H425" i="20"/>
  <c r="H426" i="20"/>
  <c r="H427" i="20"/>
  <c r="H428" i="20"/>
  <c r="H431" i="20"/>
  <c r="H432" i="20"/>
  <c r="H433" i="20"/>
  <c r="H434" i="20"/>
  <c r="H435" i="20"/>
  <c r="H436" i="20"/>
  <c r="H438" i="20"/>
  <c r="H440" i="20"/>
  <c r="H441" i="20"/>
  <c r="H442" i="20"/>
  <c r="H443" i="20"/>
  <c r="H444" i="20"/>
  <c r="H446" i="20"/>
  <c r="H447" i="20"/>
  <c r="H448" i="20"/>
  <c r="E5" i="37"/>
  <c r="H470" i="20"/>
  <c r="I470" i="20" s="1"/>
  <c r="J470" i="20" s="1"/>
  <c r="B16" i="22"/>
  <c r="H449" i="20"/>
  <c r="H450" i="20"/>
  <c r="H451" i="20"/>
  <c r="J86" i="20"/>
  <c r="J78" i="20"/>
  <c r="J80" i="20"/>
  <c r="J81" i="20"/>
  <c r="J83" i="20"/>
  <c r="J85" i="20"/>
  <c r="J93" i="20"/>
  <c r="J96" i="20"/>
  <c r="J97" i="20"/>
  <c r="J98" i="20"/>
  <c r="J99" i="20"/>
  <c r="J101" i="20"/>
  <c r="J109" i="20"/>
  <c r="J112" i="20"/>
  <c r="J113" i="20"/>
  <c r="J114" i="20"/>
  <c r="J117" i="20"/>
  <c r="J118" i="20"/>
  <c r="J407" i="20"/>
  <c r="J418" i="20"/>
  <c r="J419" i="20"/>
  <c r="J420" i="20"/>
  <c r="J421" i="20"/>
  <c r="J422" i="20"/>
  <c r="J423" i="20"/>
  <c r="J424" i="20"/>
  <c r="J425" i="20"/>
  <c r="J426" i="20"/>
  <c r="J427" i="20"/>
  <c r="J428" i="20"/>
  <c r="J429" i="20"/>
  <c r="J430" i="20"/>
  <c r="J431" i="20"/>
  <c r="J432" i="20"/>
  <c r="J434" i="20"/>
  <c r="J435" i="20"/>
  <c r="J436" i="20"/>
  <c r="J438" i="20"/>
  <c r="J440" i="20"/>
  <c r="J441" i="20"/>
  <c r="J442" i="20"/>
  <c r="J443" i="20"/>
  <c r="J444" i="20"/>
  <c r="J445" i="20"/>
  <c r="J446" i="20"/>
  <c r="J447" i="20"/>
  <c r="J448" i="20"/>
  <c r="J449" i="20"/>
  <c r="J450" i="20"/>
  <c r="J451" i="20"/>
  <c r="J433" i="20"/>
  <c r="I445" i="20"/>
  <c r="I446" i="20"/>
  <c r="I447" i="20"/>
  <c r="I448" i="20"/>
  <c r="I449" i="20"/>
  <c r="I450" i="20"/>
  <c r="I451" i="20"/>
  <c r="I433" i="20"/>
  <c r="I405" i="20"/>
  <c r="J405" i="20"/>
  <c r="B27" i="33"/>
  <c r="E27" i="33"/>
  <c r="D27" i="33"/>
  <c r="C2" i="33" s="1"/>
  <c r="B17" i="33"/>
  <c r="B19" i="33" s="1"/>
  <c r="C4" i="33"/>
  <c r="C18" i="33" s="1"/>
  <c r="C19" i="33" s="1"/>
  <c r="C3" i="33"/>
  <c r="I460" i="20" s="1"/>
  <c r="H460" i="20"/>
  <c r="B23" i="33"/>
  <c r="B24" i="33" s="1"/>
  <c r="D24" i="33" s="1"/>
  <c r="I461" i="20"/>
  <c r="J460" i="20"/>
  <c r="H20" i="38"/>
  <c r="G20" i="38"/>
  <c r="F20" i="38"/>
  <c r="D20" i="38"/>
  <c r="C20" i="38"/>
  <c r="B20" i="38"/>
  <c r="N3" i="38"/>
  <c r="M3" i="38"/>
  <c r="L3" i="38"/>
  <c r="E3" i="38"/>
  <c r="D3" i="38"/>
  <c r="C3" i="38"/>
  <c r="D37" i="38"/>
  <c r="C37" i="38"/>
  <c r="F37" i="38"/>
  <c r="E37" i="38"/>
  <c r="E61" i="38"/>
  <c r="F61" i="38"/>
  <c r="H61" i="38" s="1"/>
  <c r="C61" i="38"/>
  <c r="G61" i="38" s="1"/>
  <c r="D61" i="38"/>
  <c r="H60" i="38"/>
  <c r="G60" i="38"/>
  <c r="H59" i="38"/>
  <c r="G59" i="38"/>
  <c r="H58" i="38"/>
  <c r="G58" i="38"/>
  <c r="H57" i="38"/>
  <c r="G57" i="38"/>
  <c r="H56" i="38"/>
  <c r="G56" i="38"/>
  <c r="H55" i="38"/>
  <c r="G55" i="38"/>
  <c r="H54" i="38"/>
  <c r="G54" i="38"/>
  <c r="H53" i="38"/>
  <c r="G53" i="38"/>
  <c r="H52" i="38"/>
  <c r="G52" i="38"/>
  <c r="H51" i="38"/>
  <c r="G51" i="38"/>
  <c r="H50" i="38"/>
  <c r="G50" i="38"/>
  <c r="H49" i="38"/>
  <c r="G49" i="38"/>
  <c r="H48" i="38"/>
  <c r="G48" i="38"/>
  <c r="H47" i="38"/>
  <c r="G47" i="38"/>
  <c r="H46" i="38"/>
  <c r="G46" i="38"/>
  <c r="H45" i="38"/>
  <c r="G45" i="38"/>
  <c r="H44" i="38"/>
  <c r="G44" i="38"/>
  <c r="H43" i="38"/>
  <c r="G43" i="38"/>
  <c r="H42" i="38"/>
  <c r="G42" i="38"/>
  <c r="H41" i="38"/>
  <c r="G41" i="38"/>
  <c r="H40" i="38"/>
  <c r="G40" i="38"/>
  <c r="H39" i="38"/>
  <c r="G39" i="38"/>
  <c r="H38" i="38"/>
  <c r="J7" i="20"/>
  <c r="I7" i="20"/>
  <c r="H7" i="20"/>
  <c r="H8" i="20" s="1"/>
  <c r="J9" i="20"/>
  <c r="I9" i="20"/>
  <c r="B19" i="36"/>
  <c r="B20" i="36"/>
  <c r="I472" i="20"/>
  <c r="J472" i="20" s="1"/>
  <c r="G472" i="20"/>
  <c r="E472" i="20"/>
  <c r="I471" i="20"/>
  <c r="J471" i="20" s="1"/>
  <c r="G471" i="20"/>
  <c r="E471" i="20"/>
  <c r="E205" i="20"/>
  <c r="E209" i="20"/>
  <c r="E221" i="20"/>
  <c r="E213" i="20"/>
  <c r="E217" i="20"/>
  <c r="E225" i="20"/>
  <c r="G225" i="20"/>
  <c r="G221" i="20"/>
  <c r="G217" i="20"/>
  <c r="G213" i="20"/>
  <c r="G209" i="20"/>
  <c r="G205" i="20"/>
  <c r="B3" i="36"/>
  <c r="C16" i="22"/>
  <c r="B4" i="36"/>
  <c r="B5" i="36"/>
  <c r="B6" i="36"/>
  <c r="B7" i="36"/>
  <c r="B8" i="36"/>
  <c r="B9" i="36"/>
  <c r="B10" i="36"/>
  <c r="B11" i="36"/>
  <c r="B12" i="36"/>
  <c r="B13" i="36"/>
  <c r="B14" i="36"/>
  <c r="B15" i="36"/>
  <c r="B16" i="36"/>
  <c r="J4" i="36"/>
  <c r="B17" i="36"/>
  <c r="B18" i="36"/>
  <c r="B21" i="36"/>
  <c r="B22" i="36"/>
  <c r="B23" i="36"/>
  <c r="B24" i="36"/>
  <c r="B2" i="36"/>
  <c r="J8" i="36"/>
  <c r="B25" i="36"/>
  <c r="C5" i="18"/>
  <c r="D5" i="18"/>
  <c r="J5" i="20" s="1"/>
  <c r="O21" i="34"/>
  <c r="G22" i="34"/>
  <c r="B8" i="8"/>
  <c r="B27" i="8"/>
  <c r="B28" i="8"/>
  <c r="B30" i="8"/>
  <c r="C4" i="8"/>
  <c r="I3" i="20" s="1"/>
  <c r="H3" i="20"/>
  <c r="N16" i="8"/>
  <c r="N17" i="8"/>
  <c r="N18" i="8"/>
  <c r="N19" i="8"/>
  <c r="N20" i="8"/>
  <c r="N15" i="8"/>
  <c r="D3" i="8"/>
  <c r="C3" i="8"/>
  <c r="B3" i="8"/>
  <c r="D4" i="8"/>
  <c r="J3" i="20"/>
  <c r="N21" i="8"/>
  <c r="E449" i="20"/>
  <c r="G449" i="20"/>
  <c r="E6" i="37"/>
  <c r="C6" i="37"/>
  <c r="E429" i="20"/>
  <c r="G429" i="20"/>
  <c r="E430" i="20"/>
  <c r="G430" i="20"/>
  <c r="E469" i="20"/>
  <c r="G469" i="20"/>
  <c r="E470" i="20"/>
  <c r="G470" i="20"/>
  <c r="G468" i="20"/>
  <c r="E468" i="20"/>
  <c r="G3" i="37"/>
  <c r="B14" i="32"/>
  <c r="M24" i="24"/>
  <c r="N23" i="24"/>
  <c r="P23" i="24" s="1"/>
  <c r="M23" i="24"/>
  <c r="O23" i="24" s="1"/>
  <c r="Q23" i="24" s="1"/>
  <c r="N22" i="24"/>
  <c r="P22" i="24"/>
  <c r="M22" i="24"/>
  <c r="N21" i="24"/>
  <c r="P21" i="24" s="1"/>
  <c r="M21" i="24"/>
  <c r="N20" i="24"/>
  <c r="P20" i="24"/>
  <c r="M20" i="24"/>
  <c r="O22" i="24"/>
  <c r="Q22" i="24" s="1"/>
  <c r="O20" i="24"/>
  <c r="G20" i="34"/>
  <c r="G19" i="34"/>
  <c r="G23" i="34"/>
  <c r="G27" i="34"/>
  <c r="G21" i="34"/>
  <c r="G12" i="19"/>
  <c r="H73" i="20"/>
  <c r="J73" i="20"/>
  <c r="I73" i="20"/>
  <c r="I13" i="19"/>
  <c r="I12" i="19"/>
  <c r="I11" i="19"/>
  <c r="I10" i="19"/>
  <c r="I9" i="19"/>
  <c r="I8" i="19"/>
  <c r="I6" i="19"/>
  <c r="I7" i="19"/>
  <c r="I5" i="19"/>
  <c r="D3" i="19"/>
  <c r="E3" i="19"/>
  <c r="F3" i="19"/>
  <c r="G3" i="19"/>
  <c r="I3" i="19"/>
  <c r="E2" i="19"/>
  <c r="F2" i="19"/>
  <c r="G2" i="19"/>
  <c r="I4" i="19"/>
  <c r="G11" i="20"/>
  <c r="E12" i="20"/>
  <c r="G12" i="20"/>
  <c r="E13" i="20"/>
  <c r="G13" i="20"/>
  <c r="E14" i="20"/>
  <c r="G14" i="20"/>
  <c r="E15" i="20"/>
  <c r="G15" i="20"/>
  <c r="E16" i="20"/>
  <c r="G16" i="20"/>
  <c r="E17" i="20"/>
  <c r="G17" i="20"/>
  <c r="E18" i="20"/>
  <c r="G18" i="20"/>
  <c r="E19" i="20"/>
  <c r="G19" i="20"/>
  <c r="E20" i="20"/>
  <c r="G20" i="20"/>
  <c r="E21" i="20"/>
  <c r="G21" i="20"/>
  <c r="E22" i="20"/>
  <c r="G22" i="20"/>
  <c r="E23" i="20"/>
  <c r="G23" i="20"/>
  <c r="E24" i="20"/>
  <c r="G24" i="20"/>
  <c r="E25" i="20"/>
  <c r="G25" i="20"/>
  <c r="E26" i="20"/>
  <c r="G26" i="20"/>
  <c r="E27" i="20"/>
  <c r="G27" i="20"/>
  <c r="E28" i="20"/>
  <c r="G28" i="20"/>
  <c r="E29" i="20"/>
  <c r="G29" i="20"/>
  <c r="E30" i="20"/>
  <c r="G30" i="20"/>
  <c r="E31" i="20"/>
  <c r="G31" i="20"/>
  <c r="E32" i="20"/>
  <c r="G32" i="20"/>
  <c r="E33" i="20"/>
  <c r="G33" i="20"/>
  <c r="E34" i="20"/>
  <c r="G34" i="20"/>
  <c r="E35" i="20"/>
  <c r="G35" i="20"/>
  <c r="E36" i="20"/>
  <c r="G36" i="20"/>
  <c r="E37" i="20"/>
  <c r="G37" i="20"/>
  <c r="E38" i="20"/>
  <c r="G38" i="20"/>
  <c r="E39" i="20"/>
  <c r="G39" i="20"/>
  <c r="E40" i="20"/>
  <c r="G40" i="20"/>
  <c r="E41" i="20"/>
  <c r="G41" i="20"/>
  <c r="E42" i="20"/>
  <c r="G42" i="20"/>
  <c r="E43" i="20"/>
  <c r="G43" i="20"/>
  <c r="E44" i="20"/>
  <c r="G44" i="20"/>
  <c r="E45" i="20"/>
  <c r="G45" i="20"/>
  <c r="E46" i="20"/>
  <c r="G46" i="20"/>
  <c r="E47" i="20"/>
  <c r="G47" i="20"/>
  <c r="E48" i="20"/>
  <c r="G48" i="20"/>
  <c r="E49" i="20"/>
  <c r="G49" i="20"/>
  <c r="E50" i="20"/>
  <c r="G50" i="20"/>
  <c r="E51" i="20"/>
  <c r="G51" i="20"/>
  <c r="E52" i="20"/>
  <c r="G52" i="20"/>
  <c r="E53" i="20"/>
  <c r="G53" i="20"/>
  <c r="E54" i="20"/>
  <c r="G54" i="20"/>
  <c r="E55" i="20"/>
  <c r="G55" i="20"/>
  <c r="E56" i="20"/>
  <c r="G56" i="20"/>
  <c r="E57" i="20"/>
  <c r="G57" i="20"/>
  <c r="E58" i="20"/>
  <c r="G58" i="20"/>
  <c r="E59" i="20"/>
  <c r="G59" i="20"/>
  <c r="E60" i="20"/>
  <c r="G60" i="20"/>
  <c r="E61" i="20"/>
  <c r="G61" i="20"/>
  <c r="E62" i="20"/>
  <c r="G62" i="20"/>
  <c r="E63" i="20"/>
  <c r="G63" i="20"/>
  <c r="E64" i="20"/>
  <c r="G64" i="20"/>
  <c r="E65" i="20"/>
  <c r="G65" i="20"/>
  <c r="E66" i="20"/>
  <c r="G66" i="20"/>
  <c r="E67" i="20"/>
  <c r="G67" i="20"/>
  <c r="E68" i="20"/>
  <c r="G68" i="20"/>
  <c r="E69" i="20"/>
  <c r="G69" i="20"/>
  <c r="E70" i="20"/>
  <c r="G70" i="20"/>
  <c r="E71" i="20"/>
  <c r="G71" i="20"/>
  <c r="E72" i="20"/>
  <c r="G72" i="20"/>
  <c r="E73" i="20"/>
  <c r="G73" i="20"/>
  <c r="E3" i="20"/>
  <c r="E4" i="20"/>
  <c r="E5" i="20"/>
  <c r="E7" i="20"/>
  <c r="E8" i="20"/>
  <c r="E9" i="20"/>
  <c r="E10" i="20"/>
  <c r="E11" i="20"/>
  <c r="E74" i="20"/>
  <c r="E75" i="20"/>
  <c r="E76" i="20"/>
  <c r="E77" i="20"/>
  <c r="E78" i="20"/>
  <c r="E79" i="20"/>
  <c r="E80" i="20"/>
  <c r="E81" i="20"/>
  <c r="E82" i="20"/>
  <c r="E83" i="20"/>
  <c r="E84" i="20"/>
  <c r="E85" i="20"/>
  <c r="E86" i="20"/>
  <c r="E87" i="20"/>
  <c r="E88" i="20"/>
  <c r="E89" i="20"/>
  <c r="E90" i="20"/>
  <c r="E91" i="20"/>
  <c r="E92" i="20"/>
  <c r="E93" i="20"/>
  <c r="E94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E206" i="20"/>
  <c r="E207" i="20"/>
  <c r="E208" i="20"/>
  <c r="E210" i="20"/>
  <c r="E211" i="20"/>
  <c r="E212" i="20"/>
  <c r="E214" i="20"/>
  <c r="E215" i="20"/>
  <c r="E216" i="20"/>
  <c r="E218" i="20"/>
  <c r="E219" i="20"/>
  <c r="E220" i="20"/>
  <c r="E222" i="20"/>
  <c r="E223" i="20"/>
  <c r="E224" i="20"/>
  <c r="E226" i="20"/>
  <c r="E227" i="20"/>
  <c r="E228" i="20"/>
  <c r="E229" i="20"/>
  <c r="E230" i="20"/>
  <c r="E231" i="20"/>
  <c r="E232" i="20"/>
  <c r="E233" i="20"/>
  <c r="E234" i="20"/>
  <c r="E235" i="20"/>
  <c r="E236" i="20"/>
  <c r="E237" i="20"/>
  <c r="E238" i="20"/>
  <c r="E239" i="20"/>
  <c r="E240" i="20"/>
  <c r="E241" i="20"/>
  <c r="E242" i="20"/>
  <c r="E243" i="20"/>
  <c r="E244" i="20"/>
  <c r="E245" i="20"/>
  <c r="E246" i="20"/>
  <c r="E247" i="20"/>
  <c r="E248" i="20"/>
  <c r="E249" i="20"/>
  <c r="E250" i="20"/>
  <c r="E251" i="20"/>
  <c r="E252" i="20"/>
  <c r="E253" i="20"/>
  <c r="E254" i="20"/>
  <c r="E255" i="20"/>
  <c r="E256" i="20"/>
  <c r="E257" i="20"/>
  <c r="E258" i="20"/>
  <c r="E259" i="20"/>
  <c r="E260" i="20"/>
  <c r="E261" i="20"/>
  <c r="E262" i="20"/>
  <c r="E263" i="20"/>
  <c r="E264" i="20"/>
  <c r="E265" i="20"/>
  <c r="E266" i="20"/>
  <c r="E267" i="20"/>
  <c r="E268" i="20"/>
  <c r="E269" i="20"/>
  <c r="E270" i="20"/>
  <c r="E271" i="20"/>
  <c r="E272" i="20"/>
  <c r="E273" i="20"/>
  <c r="E274" i="20"/>
  <c r="E275" i="20"/>
  <c r="E276" i="20"/>
  <c r="E277" i="20"/>
  <c r="E278" i="20"/>
  <c r="E279" i="20"/>
  <c r="E280" i="20"/>
  <c r="E281" i="20"/>
  <c r="E282" i="20"/>
  <c r="E283" i="20"/>
  <c r="E284" i="20"/>
  <c r="E285" i="20"/>
  <c r="E286" i="20"/>
  <c r="E287" i="20"/>
  <c r="E288" i="20"/>
  <c r="E289" i="20"/>
  <c r="E290" i="20"/>
  <c r="E291" i="20"/>
  <c r="E292" i="20"/>
  <c r="E293" i="20"/>
  <c r="E294" i="20"/>
  <c r="E295" i="20"/>
  <c r="E296" i="20"/>
  <c r="E297" i="20"/>
  <c r="E298" i="20"/>
  <c r="E299" i="20"/>
  <c r="E300" i="20"/>
  <c r="E301" i="20"/>
  <c r="E302" i="20"/>
  <c r="E303" i="20"/>
  <c r="E304" i="20"/>
  <c r="E305" i="20"/>
  <c r="E306" i="20"/>
  <c r="E307" i="20"/>
  <c r="E308" i="20"/>
  <c r="E309" i="20"/>
  <c r="E310" i="20"/>
  <c r="E311" i="20"/>
  <c r="E312" i="20"/>
  <c r="E313" i="20"/>
  <c r="E314" i="20"/>
  <c r="E315" i="20"/>
  <c r="E316" i="20"/>
  <c r="E317" i="20"/>
  <c r="E318" i="20"/>
  <c r="E319" i="20"/>
  <c r="E320" i="20"/>
  <c r="E321" i="20"/>
  <c r="E322" i="20"/>
  <c r="E323" i="20"/>
  <c r="E324" i="20"/>
  <c r="E325" i="20"/>
  <c r="E326" i="20"/>
  <c r="E327" i="20"/>
  <c r="E328" i="20"/>
  <c r="E329" i="20"/>
  <c r="E330" i="20"/>
  <c r="E331" i="20"/>
  <c r="E332" i="20"/>
  <c r="E333" i="20"/>
  <c r="E334" i="20"/>
  <c r="E335" i="20"/>
  <c r="E336" i="20"/>
  <c r="E337" i="20"/>
  <c r="E338" i="20"/>
  <c r="E339" i="20"/>
  <c r="E340" i="20"/>
  <c r="E341" i="20"/>
  <c r="E342" i="20"/>
  <c r="E343" i="20"/>
  <c r="E344" i="20"/>
  <c r="E345" i="20"/>
  <c r="E346" i="20"/>
  <c r="E347" i="20"/>
  <c r="E348" i="20"/>
  <c r="E349" i="20"/>
  <c r="E350" i="20"/>
  <c r="E351" i="20"/>
  <c r="E352" i="20"/>
  <c r="E353" i="20"/>
  <c r="E354" i="20"/>
  <c r="E355" i="20"/>
  <c r="E356" i="20"/>
  <c r="E357" i="20"/>
  <c r="E358" i="20"/>
  <c r="E359" i="20"/>
  <c r="E360" i="20"/>
  <c r="E361" i="20"/>
  <c r="E362" i="20"/>
  <c r="E363" i="20"/>
  <c r="E364" i="20"/>
  <c r="E365" i="20"/>
  <c r="E366" i="20"/>
  <c r="E367" i="20"/>
  <c r="E368" i="20"/>
  <c r="E369" i="20"/>
  <c r="E370" i="20"/>
  <c r="E371" i="20"/>
  <c r="E372" i="20"/>
  <c r="E373" i="20"/>
  <c r="E374" i="20"/>
  <c r="E375" i="20"/>
  <c r="E376" i="20"/>
  <c r="E377" i="20"/>
  <c r="E378" i="20"/>
  <c r="E379" i="20"/>
  <c r="E380" i="20"/>
  <c r="E381" i="20"/>
  <c r="E382" i="20"/>
  <c r="E383" i="20"/>
  <c r="E384" i="20"/>
  <c r="E385" i="20"/>
  <c r="E386" i="20"/>
  <c r="E387" i="20"/>
  <c r="E388" i="20"/>
  <c r="E389" i="20"/>
  <c r="E390" i="20"/>
  <c r="E391" i="20"/>
  <c r="E392" i="20"/>
  <c r="E393" i="20"/>
  <c r="E394" i="20"/>
  <c r="E395" i="20"/>
  <c r="E396" i="20"/>
  <c r="E397" i="20"/>
  <c r="E398" i="20"/>
  <c r="E399" i="20"/>
  <c r="E400" i="20"/>
  <c r="E401" i="20"/>
  <c r="E402" i="20"/>
  <c r="E403" i="20"/>
  <c r="E404" i="20"/>
  <c r="E405" i="20"/>
  <c r="E407" i="20"/>
  <c r="E408" i="20"/>
  <c r="E409" i="20"/>
  <c r="E410" i="20"/>
  <c r="E411" i="20"/>
  <c r="E412" i="20"/>
  <c r="E413" i="20"/>
  <c r="E414" i="20"/>
  <c r="E415" i="20"/>
  <c r="E416" i="20"/>
  <c r="E417" i="20"/>
  <c r="E418" i="20"/>
  <c r="E419" i="20"/>
  <c r="E420" i="20"/>
  <c r="E421" i="20"/>
  <c r="E422" i="20"/>
  <c r="E423" i="20"/>
  <c r="E424" i="20"/>
  <c r="E425" i="20"/>
  <c r="E426" i="20"/>
  <c r="E427" i="20"/>
  <c r="E428" i="20"/>
  <c r="E431" i="20"/>
  <c r="E432" i="20"/>
  <c r="E433" i="20"/>
  <c r="E434" i="20"/>
  <c r="E435" i="20"/>
  <c r="E436" i="20"/>
  <c r="E438" i="20"/>
  <c r="E440" i="20"/>
  <c r="E441" i="20"/>
  <c r="E442" i="20"/>
  <c r="E443" i="20"/>
  <c r="E444" i="20"/>
  <c r="E445" i="20"/>
  <c r="E446" i="20"/>
  <c r="E447" i="20"/>
  <c r="E448" i="20"/>
  <c r="E450" i="20"/>
  <c r="E451" i="20"/>
  <c r="E452" i="20"/>
  <c r="E453" i="20"/>
  <c r="E454" i="20"/>
  <c r="E455" i="20"/>
  <c r="E456" i="20"/>
  <c r="E457" i="20"/>
  <c r="E458" i="20"/>
  <c r="E459" i="20"/>
  <c r="E460" i="20"/>
  <c r="E461" i="20"/>
  <c r="E462" i="20"/>
  <c r="E463" i="20"/>
  <c r="E464" i="20"/>
  <c r="E467" i="20"/>
  <c r="H9" i="20"/>
  <c r="G120" i="20"/>
  <c r="G122" i="20"/>
  <c r="G123" i="20"/>
  <c r="G124" i="20"/>
  <c r="G126" i="20"/>
  <c r="G127" i="20"/>
  <c r="G128" i="20"/>
  <c r="G130" i="20"/>
  <c r="G131" i="20"/>
  <c r="G132" i="20"/>
  <c r="G134" i="20"/>
  <c r="G135" i="20"/>
  <c r="G136" i="20"/>
  <c r="G138" i="20"/>
  <c r="G139" i="20"/>
  <c r="G140" i="20"/>
  <c r="G142" i="20"/>
  <c r="G143" i="20"/>
  <c r="G144" i="20"/>
  <c r="G145" i="20"/>
  <c r="G146" i="20"/>
  <c r="G147" i="20"/>
  <c r="G148" i="20"/>
  <c r="G149" i="20"/>
  <c r="G150" i="20"/>
  <c r="G151" i="20"/>
  <c r="G152" i="20"/>
  <c r="G153" i="20"/>
  <c r="G154" i="20"/>
  <c r="G155" i="20"/>
  <c r="G156" i="20"/>
  <c r="G157" i="20"/>
  <c r="G158" i="20"/>
  <c r="G159" i="20"/>
  <c r="G160" i="20"/>
  <c r="G161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3" i="20"/>
  <c r="G184" i="20"/>
  <c r="G185" i="20"/>
  <c r="G186" i="20"/>
  <c r="G187" i="20"/>
  <c r="G188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G206" i="20"/>
  <c r="G207" i="20"/>
  <c r="G208" i="20"/>
  <c r="G210" i="20"/>
  <c r="G211" i="20"/>
  <c r="G212" i="20"/>
  <c r="G214" i="20"/>
  <c r="G215" i="20"/>
  <c r="G216" i="20"/>
  <c r="G218" i="20"/>
  <c r="G219" i="20"/>
  <c r="G220" i="20"/>
  <c r="G222" i="20"/>
  <c r="G223" i="20"/>
  <c r="G224" i="20"/>
  <c r="G226" i="20"/>
  <c r="G227" i="20"/>
  <c r="G228" i="20"/>
  <c r="G229" i="20"/>
  <c r="G230" i="20"/>
  <c r="G231" i="20"/>
  <c r="G232" i="20"/>
  <c r="G233" i="20"/>
  <c r="G234" i="20"/>
  <c r="G235" i="20"/>
  <c r="G236" i="20"/>
  <c r="G237" i="20"/>
  <c r="G238" i="20"/>
  <c r="G239" i="20"/>
  <c r="G240" i="20"/>
  <c r="G241" i="20"/>
  <c r="G242" i="20"/>
  <c r="G243" i="20"/>
  <c r="G244" i="20"/>
  <c r="G245" i="20"/>
  <c r="G246" i="20"/>
  <c r="G247" i="20"/>
  <c r="G248" i="20"/>
  <c r="G249" i="20"/>
  <c r="G250" i="20"/>
  <c r="G251" i="20"/>
  <c r="G252" i="20"/>
  <c r="G253" i="20"/>
  <c r="G254" i="20"/>
  <c r="G255" i="20"/>
  <c r="G256" i="20"/>
  <c r="G257" i="20"/>
  <c r="G258" i="20"/>
  <c r="G259" i="20"/>
  <c r="G260" i="20"/>
  <c r="G261" i="20"/>
  <c r="G262" i="20"/>
  <c r="G263" i="20"/>
  <c r="G264" i="20"/>
  <c r="G265" i="20"/>
  <c r="G266" i="20"/>
  <c r="G267" i="20"/>
  <c r="G268" i="20"/>
  <c r="G269" i="20"/>
  <c r="G270" i="20"/>
  <c r="G271" i="20"/>
  <c r="G272" i="20"/>
  <c r="G273" i="20"/>
  <c r="G274" i="20"/>
  <c r="G275" i="20"/>
  <c r="G276" i="20"/>
  <c r="G277" i="20"/>
  <c r="G278" i="20"/>
  <c r="G279" i="20"/>
  <c r="G280" i="20"/>
  <c r="G281" i="20"/>
  <c r="G282" i="20"/>
  <c r="G283" i="20"/>
  <c r="G284" i="20"/>
  <c r="G285" i="20"/>
  <c r="G286" i="20"/>
  <c r="G287" i="20"/>
  <c r="G288" i="20"/>
  <c r="G289" i="20"/>
  <c r="G290" i="20"/>
  <c r="G291" i="20"/>
  <c r="G292" i="20"/>
  <c r="G293" i="20"/>
  <c r="G294" i="20"/>
  <c r="G295" i="20"/>
  <c r="G296" i="20"/>
  <c r="G297" i="20"/>
  <c r="G298" i="20"/>
  <c r="G299" i="20"/>
  <c r="G300" i="20"/>
  <c r="G302" i="20"/>
  <c r="G303" i="20"/>
  <c r="G304" i="20"/>
  <c r="G306" i="20"/>
  <c r="G307" i="20"/>
  <c r="G308" i="20"/>
  <c r="G310" i="20"/>
  <c r="G311" i="20"/>
  <c r="G312" i="20"/>
  <c r="G314" i="20"/>
  <c r="G315" i="20"/>
  <c r="G316" i="20"/>
  <c r="G318" i="20"/>
  <c r="G319" i="20"/>
  <c r="G320" i="20"/>
  <c r="G322" i="20"/>
  <c r="G323" i="20"/>
  <c r="G324" i="20"/>
  <c r="G326" i="20"/>
  <c r="G327" i="20"/>
  <c r="G328" i="20"/>
  <c r="G330" i="20"/>
  <c r="G331" i="20"/>
  <c r="G332" i="20"/>
  <c r="G334" i="20"/>
  <c r="G335" i="20"/>
  <c r="G336" i="20"/>
  <c r="G338" i="20"/>
  <c r="G339" i="20"/>
  <c r="G340" i="20"/>
  <c r="G342" i="20"/>
  <c r="G343" i="20"/>
  <c r="G344" i="20"/>
  <c r="G346" i="20"/>
  <c r="G347" i="20"/>
  <c r="G348" i="20"/>
  <c r="G349" i="20"/>
  <c r="G350" i="20"/>
  <c r="G351" i="20"/>
  <c r="G352" i="20"/>
  <c r="G353" i="20"/>
  <c r="G354" i="20"/>
  <c r="G355" i="20"/>
  <c r="G356" i="20"/>
  <c r="G357" i="20"/>
  <c r="G358" i="20"/>
  <c r="G359" i="20"/>
  <c r="G360" i="20"/>
  <c r="G361" i="20"/>
  <c r="G362" i="20"/>
  <c r="G363" i="20"/>
  <c r="G364" i="20"/>
  <c r="G365" i="20"/>
  <c r="G366" i="20"/>
  <c r="G367" i="20"/>
  <c r="G368" i="20"/>
  <c r="G369" i="20"/>
  <c r="G370" i="20"/>
  <c r="G371" i="20"/>
  <c r="G372" i="20"/>
  <c r="G373" i="20"/>
  <c r="G374" i="20"/>
  <c r="G375" i="20"/>
  <c r="G376" i="20"/>
  <c r="G377" i="20"/>
  <c r="G378" i="20"/>
  <c r="G379" i="20"/>
  <c r="G380" i="20"/>
  <c r="G381" i="20"/>
  <c r="G382" i="20"/>
  <c r="G383" i="20"/>
  <c r="G384" i="20"/>
  <c r="G385" i="20"/>
  <c r="G386" i="20"/>
  <c r="G387" i="20"/>
  <c r="G388" i="20"/>
  <c r="G389" i="20"/>
  <c r="G390" i="20"/>
  <c r="G391" i="20"/>
  <c r="G392" i="20"/>
  <c r="G393" i="20"/>
  <c r="G394" i="20"/>
  <c r="G395" i="20"/>
  <c r="G396" i="20"/>
  <c r="G397" i="20"/>
  <c r="G398" i="20"/>
  <c r="G399" i="20"/>
  <c r="G400" i="20"/>
  <c r="G401" i="20"/>
  <c r="H408" i="20"/>
  <c r="H410" i="20"/>
  <c r="H411" i="20"/>
  <c r="H412" i="20"/>
  <c r="H414" i="20"/>
  <c r="H415" i="20"/>
  <c r="H416" i="20"/>
  <c r="I8" i="20"/>
  <c r="I408" i="20"/>
  <c r="I409" i="20"/>
  <c r="I410" i="20"/>
  <c r="I411" i="20"/>
  <c r="I412" i="20"/>
  <c r="I413" i="20"/>
  <c r="I414" i="20"/>
  <c r="I415" i="20"/>
  <c r="I416" i="20"/>
  <c r="I417" i="20"/>
  <c r="J408" i="20"/>
  <c r="J409" i="20"/>
  <c r="J410" i="20"/>
  <c r="J411" i="20"/>
  <c r="J412" i="20"/>
  <c r="J413" i="20"/>
  <c r="J414" i="20"/>
  <c r="J415" i="20"/>
  <c r="J416" i="20"/>
  <c r="J417" i="20"/>
  <c r="H445" i="20"/>
  <c r="H453" i="20"/>
  <c r="I453" i="20" s="1"/>
  <c r="H454" i="20"/>
  <c r="I454" i="20" s="1"/>
  <c r="J454" i="20" s="1"/>
  <c r="H455" i="20"/>
  <c r="I455" i="20" s="1"/>
  <c r="J455" i="20" s="1"/>
  <c r="I456" i="20"/>
  <c r="J456" i="20" s="1"/>
  <c r="I452" i="20"/>
  <c r="H457" i="20"/>
  <c r="I457" i="20" s="1"/>
  <c r="J457" i="20" s="1"/>
  <c r="I458" i="20"/>
  <c r="J458" i="20" s="1"/>
  <c r="J452" i="20"/>
  <c r="G467" i="20"/>
  <c r="G464" i="20"/>
  <c r="G463" i="20"/>
  <c r="G462" i="20"/>
  <c r="G461" i="20"/>
  <c r="G460" i="20"/>
  <c r="G459" i="20"/>
  <c r="G458" i="20"/>
  <c r="G457" i="20"/>
  <c r="G456" i="20"/>
  <c r="G455" i="20"/>
  <c r="G454" i="20"/>
  <c r="G453" i="20"/>
  <c r="G452" i="20"/>
  <c r="G451" i="20"/>
  <c r="G450" i="20"/>
  <c r="G448" i="20"/>
  <c r="G447" i="20"/>
  <c r="G446" i="20"/>
  <c r="G445" i="20"/>
  <c r="G444" i="20"/>
  <c r="G443" i="20"/>
  <c r="G442" i="20"/>
  <c r="G441" i="20"/>
  <c r="G440" i="20"/>
  <c r="G438" i="20"/>
  <c r="G436" i="20"/>
  <c r="G435" i="20"/>
  <c r="G434" i="20"/>
  <c r="G433" i="20"/>
  <c r="G432" i="20"/>
  <c r="G431" i="20"/>
  <c r="G428" i="20"/>
  <c r="G427" i="20"/>
  <c r="G426" i="20"/>
  <c r="G425" i="20"/>
  <c r="G424" i="20"/>
  <c r="G423" i="20"/>
  <c r="G422" i="20"/>
  <c r="G421" i="20"/>
  <c r="G420" i="20"/>
  <c r="G419" i="20"/>
  <c r="G418" i="20"/>
  <c r="G417" i="20"/>
  <c r="G416" i="20"/>
  <c r="G415" i="20"/>
  <c r="G414" i="20"/>
  <c r="G413" i="20"/>
  <c r="G412" i="20"/>
  <c r="G411" i="20"/>
  <c r="G410" i="20"/>
  <c r="G409" i="20"/>
  <c r="G408" i="20"/>
  <c r="G407" i="20"/>
  <c r="G405" i="20"/>
  <c r="G404" i="20"/>
  <c r="G403" i="20"/>
  <c r="G402" i="20"/>
  <c r="G345" i="20"/>
  <c r="G341" i="20"/>
  <c r="G337" i="20"/>
  <c r="G333" i="20"/>
  <c r="G329" i="20"/>
  <c r="G325" i="20"/>
  <c r="G321" i="20"/>
  <c r="G317" i="20"/>
  <c r="G313" i="20"/>
  <c r="G309" i="20"/>
  <c r="G305" i="20"/>
  <c r="G301" i="20"/>
  <c r="G167" i="20"/>
  <c r="G166" i="20"/>
  <c r="G165" i="20"/>
  <c r="G164" i="20"/>
  <c r="G163" i="20"/>
  <c r="G162" i="20"/>
  <c r="G141" i="20"/>
  <c r="G137" i="20"/>
  <c r="G133" i="20"/>
  <c r="G129" i="20"/>
  <c r="G125" i="20"/>
  <c r="G121" i="20"/>
  <c r="G119" i="20"/>
  <c r="G118" i="20"/>
  <c r="G117" i="20"/>
  <c r="G116" i="20"/>
  <c r="G115" i="20"/>
  <c r="G114" i="20"/>
  <c r="G113" i="20"/>
  <c r="G112" i="20"/>
  <c r="G111" i="20"/>
  <c r="G110" i="20"/>
  <c r="G109" i="20"/>
  <c r="G108" i="20"/>
  <c r="G107" i="20"/>
  <c r="G106" i="20"/>
  <c r="G105" i="20"/>
  <c r="G104" i="20"/>
  <c r="G103" i="20"/>
  <c r="G102" i="20"/>
  <c r="G101" i="20"/>
  <c r="G100" i="20"/>
  <c r="G99" i="20"/>
  <c r="G98" i="20"/>
  <c r="G97" i="20"/>
  <c r="G96" i="20"/>
  <c r="G95" i="20"/>
  <c r="G94" i="20"/>
  <c r="G93" i="20"/>
  <c r="G92" i="20"/>
  <c r="G91" i="20"/>
  <c r="G90" i="20"/>
  <c r="G89" i="20"/>
  <c r="G88" i="20"/>
  <c r="G87" i="20"/>
  <c r="G86" i="20"/>
  <c r="G85" i="20"/>
  <c r="G84" i="20"/>
  <c r="G83" i="20"/>
  <c r="G82" i="20"/>
  <c r="G81" i="20"/>
  <c r="G80" i="20"/>
  <c r="G79" i="20"/>
  <c r="G78" i="20"/>
  <c r="G77" i="20"/>
  <c r="G76" i="20"/>
  <c r="G75" i="20"/>
  <c r="G74" i="20"/>
  <c r="G10" i="20"/>
  <c r="G9" i="20"/>
  <c r="G8" i="20"/>
  <c r="G7" i="20"/>
  <c r="G5" i="20"/>
  <c r="G4" i="20"/>
  <c r="G3" i="20"/>
  <c r="G63" i="32"/>
  <c r="G62" i="32"/>
  <c r="G61" i="32"/>
  <c r="G60" i="32"/>
  <c r="G59" i="32"/>
  <c r="G58" i="32"/>
  <c r="G57" i="32"/>
  <c r="G56" i="32"/>
  <c r="G55" i="32"/>
  <c r="G54" i="32"/>
  <c r="G53" i="32"/>
  <c r="G52" i="32"/>
  <c r="G51" i="32"/>
  <c r="G50" i="32"/>
  <c r="G49" i="32"/>
  <c r="G48" i="32"/>
  <c r="G47" i="32"/>
  <c r="G46" i="32"/>
  <c r="G45" i="32"/>
  <c r="G44" i="32"/>
  <c r="G43" i="32"/>
  <c r="G42" i="32"/>
  <c r="G41" i="32"/>
  <c r="G40" i="32"/>
  <c r="G39" i="32"/>
  <c r="G38" i="32"/>
  <c r="G37" i="32"/>
  <c r="G36" i="32"/>
  <c r="G35" i="32"/>
  <c r="G34" i="32"/>
  <c r="G33" i="32"/>
  <c r="G32" i="32"/>
  <c r="G31" i="32"/>
  <c r="G30" i="32"/>
  <c r="G29" i="32"/>
  <c r="G28" i="32"/>
  <c r="G27" i="32"/>
  <c r="G26" i="32"/>
  <c r="G25" i="32"/>
  <c r="G24" i="32"/>
  <c r="G23" i="32"/>
  <c r="G22" i="32"/>
  <c r="G21" i="32"/>
  <c r="H452" i="20"/>
  <c r="H29" i="9"/>
  <c r="G29" i="9"/>
  <c r="F29" i="9"/>
  <c r="E29" i="9"/>
  <c r="D29" i="9"/>
  <c r="C29" i="9"/>
  <c r="H38" i="9"/>
  <c r="G38" i="9"/>
  <c r="D40" i="9"/>
  <c r="E40" i="9"/>
  <c r="F40" i="9"/>
  <c r="C40" i="9"/>
  <c r="D38" i="9"/>
  <c r="E38" i="9"/>
  <c r="F38" i="9"/>
  <c r="R3" i="32"/>
  <c r="R4" i="32"/>
  <c r="R5" i="32"/>
  <c r="R6" i="32"/>
  <c r="R7" i="32"/>
  <c r="R8" i="32"/>
  <c r="R9" i="32"/>
  <c r="Q9" i="32"/>
  <c r="Q8" i="32"/>
  <c r="Q7" i="32"/>
  <c r="Q6" i="32"/>
  <c r="Q4" i="32"/>
  <c r="Q3" i="32"/>
  <c r="Q5" i="32"/>
  <c r="K22" i="32"/>
  <c r="K23" i="32"/>
  <c r="K24" i="32"/>
  <c r="K25" i="32"/>
  <c r="K26" i="32"/>
  <c r="K27" i="32"/>
  <c r="K28" i="32"/>
  <c r="K29" i="32"/>
  <c r="K30" i="32"/>
  <c r="K31" i="32"/>
  <c r="K32" i="32"/>
  <c r="K33" i="32"/>
  <c r="K34" i="32"/>
  <c r="K35" i="32"/>
  <c r="K36" i="32"/>
  <c r="K37" i="32"/>
  <c r="K38" i="32"/>
  <c r="K39" i="32"/>
  <c r="K40" i="32"/>
  <c r="K41" i="32"/>
  <c r="K42" i="32"/>
  <c r="K43" i="32"/>
  <c r="K44" i="32"/>
  <c r="K45" i="32"/>
  <c r="K46" i="32"/>
  <c r="K47" i="32"/>
  <c r="K48" i="32"/>
  <c r="K49" i="32"/>
  <c r="K50" i="32"/>
  <c r="K51" i="32"/>
  <c r="K52" i="32"/>
  <c r="K53" i="32"/>
  <c r="K54" i="32"/>
  <c r="K55" i="32"/>
  <c r="K56" i="32"/>
  <c r="K57" i="32"/>
  <c r="K58" i="32"/>
  <c r="K59" i="32"/>
  <c r="K60" i="32"/>
  <c r="K61" i="32"/>
  <c r="K62" i="32"/>
  <c r="K63" i="32"/>
  <c r="K21" i="32"/>
  <c r="G37" i="9"/>
  <c r="G40" i="9" s="1"/>
  <c r="H37" i="9"/>
  <c r="H40" i="9" s="1"/>
  <c r="C10" i="33"/>
  <c r="I467" i="20" s="1"/>
  <c r="I5" i="20"/>
  <c r="H14" i="24"/>
  <c r="I14" i="24" s="1"/>
  <c r="A9" i="26"/>
  <c r="A8" i="26"/>
  <c r="A7" i="26"/>
  <c r="A10" i="26"/>
  <c r="A11" i="26"/>
  <c r="C15" i="26"/>
  <c r="C16" i="26"/>
  <c r="C17" i="26"/>
  <c r="C18" i="26"/>
  <c r="C20" i="26"/>
  <c r="C21" i="26"/>
  <c r="C22" i="26"/>
  <c r="C23" i="26"/>
  <c r="B8" i="26"/>
  <c r="C8" i="26"/>
  <c r="B9" i="26"/>
  <c r="C9" i="26"/>
  <c r="B11" i="26"/>
  <c r="C11" i="26"/>
  <c r="A16" i="21"/>
  <c r="A15" i="21"/>
  <c r="B5" i="21"/>
  <c r="B4" i="21"/>
  <c r="B3" i="21"/>
  <c r="B8" i="21"/>
  <c r="J5" i="32"/>
  <c r="Q20" i="24"/>
  <c r="B7" i="26"/>
  <c r="D23" i="26"/>
  <c r="B3" i="26"/>
  <c r="C10" i="26"/>
  <c r="C7" i="26"/>
  <c r="E23" i="26"/>
  <c r="C3" i="26"/>
  <c r="B10" i="26"/>
  <c r="J467" i="20"/>
  <c r="J4" i="32"/>
  <c r="J3" i="32"/>
  <c r="H5" i="20"/>
  <c r="G25" i="34"/>
  <c r="J453" i="20" l="1"/>
  <c r="D8" i="21"/>
  <c r="F4" i="21"/>
  <c r="H34" i="38"/>
  <c r="E17" i="38" s="1"/>
  <c r="G22" i="38"/>
  <c r="D10" i="38"/>
  <c r="F30" i="38"/>
  <c r="H30" i="38"/>
  <c r="N13" i="38" s="1"/>
  <c r="G33" i="38"/>
  <c r="F33" i="38"/>
  <c r="L16" i="38" s="1"/>
  <c r="G27" i="38"/>
  <c r="F27" i="38"/>
  <c r="L10" i="38" s="1"/>
  <c r="H22" i="38"/>
  <c r="E5" i="38" s="1"/>
  <c r="H33" i="38"/>
  <c r="N16" i="38" s="1"/>
  <c r="H27" i="38"/>
  <c r="L5" i="38"/>
  <c r="H21" i="38"/>
  <c r="N4" i="38" s="1"/>
  <c r="G21" i="38"/>
  <c r="M4" i="38" s="1"/>
  <c r="F21" i="38"/>
  <c r="L4" i="38" s="1"/>
  <c r="M16" i="38"/>
  <c r="M13" i="38"/>
  <c r="F24" i="38"/>
  <c r="G24" i="38"/>
  <c r="D7" i="38" s="1"/>
  <c r="F29" i="38"/>
  <c r="M7" i="38"/>
  <c r="D16" i="38"/>
  <c r="C6" i="38"/>
  <c r="L6" i="38"/>
  <c r="G34" i="38"/>
  <c r="F34" i="38"/>
  <c r="C17" i="38" s="1"/>
  <c r="N9" i="38"/>
  <c r="E9" i="38"/>
  <c r="F31" i="38"/>
  <c r="H31" i="38"/>
  <c r="E14" i="38" s="1"/>
  <c r="G31" i="38"/>
  <c r="L17" i="38"/>
  <c r="E13" i="38"/>
  <c r="H28" i="38"/>
  <c r="G28" i="38"/>
  <c r="F28" i="38"/>
  <c r="N8" i="38"/>
  <c r="E8" i="38"/>
  <c r="E10" i="38"/>
  <c r="G30" i="38"/>
  <c r="D13" i="38" s="1"/>
  <c r="C16" i="38"/>
  <c r="C10" i="38"/>
  <c r="H24" i="38"/>
  <c r="N7" i="38" s="1"/>
  <c r="N17" i="38"/>
  <c r="C15" i="38"/>
  <c r="C9" i="38"/>
  <c r="E29" i="38"/>
  <c r="G29" i="38" s="1"/>
  <c r="N10" i="38"/>
  <c r="M10" i="38"/>
  <c r="H23" i="38"/>
  <c r="I459" i="20"/>
  <c r="H459" i="20"/>
  <c r="J459" i="20"/>
  <c r="J461" i="20"/>
  <c r="H467" i="20"/>
  <c r="H461" i="20"/>
  <c r="D19" i="33"/>
  <c r="C5" i="33" s="1"/>
  <c r="J8" i="20"/>
  <c r="H77" i="29"/>
  <c r="H78" i="29"/>
  <c r="H404" i="20"/>
  <c r="K5" i="24"/>
  <c r="G5" i="24"/>
  <c r="F5" i="24"/>
  <c r="N8" i="24"/>
  <c r="M8" i="24" s="1"/>
  <c r="M7" i="24"/>
  <c r="I95" i="20" s="1"/>
  <c r="J74" i="20"/>
  <c r="I74" i="20"/>
  <c r="H74" i="20"/>
  <c r="J115" i="20"/>
  <c r="J82" i="20"/>
  <c r="H111" i="20"/>
  <c r="H94" i="20"/>
  <c r="H79" i="20"/>
  <c r="I109" i="20"/>
  <c r="I86" i="20"/>
  <c r="D16" i="24"/>
  <c r="I108" i="20"/>
  <c r="I83" i="20"/>
  <c r="I79" i="20"/>
  <c r="D14" i="24"/>
  <c r="O21" i="24"/>
  <c r="J110" i="20"/>
  <c r="I9" i="24"/>
  <c r="E16" i="24"/>
  <c r="H102" i="20"/>
  <c r="E14" i="24"/>
  <c r="I7" i="24"/>
  <c r="J102" i="20"/>
  <c r="J94" i="20"/>
  <c r="C16" i="24"/>
  <c r="C14" i="24"/>
  <c r="I119" i="20"/>
  <c r="J119" i="20"/>
  <c r="H119" i="20"/>
  <c r="I111" i="20"/>
  <c r="H95" i="20"/>
  <c r="J95" i="20"/>
  <c r="H87" i="20"/>
  <c r="J87" i="20"/>
  <c r="I87" i="20"/>
  <c r="K11" i="9"/>
  <c r="K17" i="9"/>
  <c r="J14" i="9"/>
  <c r="L11" i="9"/>
  <c r="L17" i="9"/>
  <c r="J15" i="9"/>
  <c r="K16" i="9"/>
  <c r="K6" i="9"/>
  <c r="K12" i="9"/>
  <c r="K18" i="9"/>
  <c r="J16" i="9"/>
  <c r="L6" i="9"/>
  <c r="L12" i="9"/>
  <c r="H290" i="20" s="1"/>
  <c r="L18" i="9"/>
  <c r="J17" i="9"/>
  <c r="J12" i="9"/>
  <c r="K7" i="9"/>
  <c r="K13" i="9"/>
  <c r="H251" i="20" s="1"/>
  <c r="J6" i="9"/>
  <c r="J18" i="9"/>
  <c r="L7" i="9"/>
  <c r="L13" i="9"/>
  <c r="J7" i="9"/>
  <c r="K8" i="9"/>
  <c r="K14" i="9"/>
  <c r="J8" i="9"/>
  <c r="L8" i="9"/>
  <c r="L14" i="9"/>
  <c r="J9" i="9"/>
  <c r="K9" i="9"/>
  <c r="K15" i="9"/>
  <c r="J10" i="9"/>
  <c r="L9" i="9"/>
  <c r="H152" i="20" s="1"/>
  <c r="L15" i="9"/>
  <c r="J11" i="9"/>
  <c r="I230" i="20" s="1"/>
  <c r="K10" i="9"/>
  <c r="L10" i="9"/>
  <c r="L16" i="9"/>
  <c r="J13" i="9"/>
  <c r="I162" i="20"/>
  <c r="B14" i="9"/>
  <c r="J276" i="20" s="1"/>
  <c r="J162" i="20"/>
  <c r="H14" i="9"/>
  <c r="A5" i="9"/>
  <c r="J5" i="9" s="1"/>
  <c r="H116" i="20"/>
  <c r="J116" i="20"/>
  <c r="H87" i="29"/>
  <c r="I361" i="20"/>
  <c r="H175" i="20"/>
  <c r="H64" i="29"/>
  <c r="C7" i="33"/>
  <c r="C6" i="33"/>
  <c r="H14" i="29"/>
  <c r="H2" i="29"/>
  <c r="H91" i="29"/>
  <c r="H97" i="29"/>
  <c r="H57" i="29"/>
  <c r="H45" i="29"/>
  <c r="H12" i="29"/>
  <c r="H21" i="29"/>
  <c r="H43" i="29"/>
  <c r="H19" i="29"/>
  <c r="H7" i="29"/>
  <c r="H24" i="29"/>
  <c r="H73" i="29"/>
  <c r="H71" i="29"/>
  <c r="H9" i="29"/>
  <c r="H66" i="29"/>
  <c r="H61" i="29"/>
  <c r="H42" i="29"/>
  <c r="H23" i="29"/>
  <c r="H84" i="29"/>
  <c r="H49" i="29"/>
  <c r="H11" i="29"/>
  <c r="H94" i="29"/>
  <c r="H30" i="29"/>
  <c r="H17" i="29"/>
  <c r="H37" i="29"/>
  <c r="H33" i="29"/>
  <c r="H26" i="29"/>
  <c r="H65" i="29"/>
  <c r="H56" i="29"/>
  <c r="H25" i="29"/>
  <c r="H58" i="29"/>
  <c r="H20" i="29"/>
  <c r="H13" i="29"/>
  <c r="H34" i="29"/>
  <c r="H8" i="29"/>
  <c r="H5" i="29"/>
  <c r="H72" i="29"/>
  <c r="H22" i="29"/>
  <c r="H93" i="29"/>
  <c r="H90" i="29"/>
  <c r="H70" i="29"/>
  <c r="H48" i="29"/>
  <c r="H76" i="29"/>
  <c r="H96" i="29"/>
  <c r="H81" i="29"/>
  <c r="H36" i="29"/>
  <c r="H95" i="29"/>
  <c r="H67" i="29"/>
  <c r="I462" i="20"/>
  <c r="J462" i="20"/>
  <c r="H462" i="20"/>
  <c r="H59" i="29"/>
  <c r="H55" i="29"/>
  <c r="H38" i="29"/>
  <c r="H50" i="29"/>
  <c r="H62" i="29"/>
  <c r="H85" i="29"/>
  <c r="H88" i="29"/>
  <c r="H3" i="29"/>
  <c r="H15" i="29"/>
  <c r="H27" i="29"/>
  <c r="H39" i="29"/>
  <c r="H83" i="29"/>
  <c r="H47" i="29"/>
  <c r="H98" i="29"/>
  <c r="H4" i="29"/>
  <c r="H53" i="29"/>
  <c r="H60" i="29"/>
  <c r="H46" i="29"/>
  <c r="H68" i="29"/>
  <c r="H54" i="29"/>
  <c r="H52" i="29"/>
  <c r="H40" i="29"/>
  <c r="H16" i="29"/>
  <c r="J469" i="20"/>
  <c r="H18" i="29"/>
  <c r="H63" i="29"/>
  <c r="H6" i="29"/>
  <c r="H51" i="29"/>
  <c r="H44" i="29"/>
  <c r="H92" i="29"/>
  <c r="H41" i="29"/>
  <c r="H89" i="29"/>
  <c r="H86" i="29"/>
  <c r="H35" i="29"/>
  <c r="H69" i="29"/>
  <c r="H32" i="29"/>
  <c r="H80" i="29"/>
  <c r="H29" i="29"/>
  <c r="H75" i="29"/>
  <c r="I379" i="20"/>
  <c r="I283" i="20"/>
  <c r="I235" i="20"/>
  <c r="J141" i="20"/>
  <c r="I256" i="20"/>
  <c r="I208" i="20"/>
  <c r="I363" i="20"/>
  <c r="J235" i="20"/>
  <c r="I313" i="20"/>
  <c r="I157" i="20"/>
  <c r="J341" i="20"/>
  <c r="H10" i="29"/>
  <c r="H82" i="29"/>
  <c r="H31" i="29"/>
  <c r="H79" i="29"/>
  <c r="H28" i="29"/>
  <c r="H74" i="29"/>
  <c r="J292" i="20"/>
  <c r="J208" i="20"/>
  <c r="I395" i="20"/>
  <c r="I298" i="20"/>
  <c r="J266" i="20"/>
  <c r="J230" i="20"/>
  <c r="I357" i="20"/>
  <c r="I213" i="20"/>
  <c r="J181" i="20"/>
  <c r="F9" i="24"/>
  <c r="I114" i="20"/>
  <c r="E9" i="24"/>
  <c r="I404" i="20" l="1"/>
  <c r="E7" i="38"/>
  <c r="P8" i="38"/>
  <c r="P9" i="38"/>
  <c r="N14" i="38"/>
  <c r="H29" i="38"/>
  <c r="C7" i="38"/>
  <c r="L7" i="38"/>
  <c r="P10" i="38" s="1"/>
  <c r="L14" i="38"/>
  <c r="C14" i="38"/>
  <c r="D12" i="38"/>
  <c r="M12" i="38"/>
  <c r="E16" i="38"/>
  <c r="N5" i="38"/>
  <c r="L11" i="38"/>
  <c r="C11" i="38"/>
  <c r="D11" i="38"/>
  <c r="H11" i="38" s="1"/>
  <c r="M11" i="38"/>
  <c r="E4" i="38"/>
  <c r="E11" i="38"/>
  <c r="N11" i="38"/>
  <c r="N6" i="38"/>
  <c r="E6" i="38"/>
  <c r="C12" i="38"/>
  <c r="L12" i="38"/>
  <c r="P12" i="38" s="1"/>
  <c r="C13" i="38"/>
  <c r="L13" i="38"/>
  <c r="H7" i="38"/>
  <c r="P5" i="38"/>
  <c r="H10" i="38"/>
  <c r="M14" i="38"/>
  <c r="Q14" i="38" s="1"/>
  <c r="D14" i="38"/>
  <c r="D17" i="38"/>
  <c r="M17" i="38"/>
  <c r="Q13" i="38" s="1"/>
  <c r="D5" i="38"/>
  <c r="M5" i="38"/>
  <c r="Q16" i="38" s="1"/>
  <c r="H287" i="20"/>
  <c r="I386" i="20"/>
  <c r="I225" i="20"/>
  <c r="J308" i="20"/>
  <c r="O9" i="9"/>
  <c r="H164" i="20" s="1"/>
  <c r="I276" i="20"/>
  <c r="I266" i="20"/>
  <c r="J197" i="20"/>
  <c r="J401" i="20"/>
  <c r="J256" i="20"/>
  <c r="J282" i="20"/>
  <c r="I390" i="20"/>
  <c r="I308" i="20"/>
  <c r="J175" i="20"/>
  <c r="I347" i="20"/>
  <c r="G9" i="24"/>
  <c r="H9" i="24"/>
  <c r="K7" i="24"/>
  <c r="H7" i="24"/>
  <c r="F7" i="24"/>
  <c r="G7" i="24"/>
  <c r="D7" i="24"/>
  <c r="O24" i="24"/>
  <c r="Q24" i="24" s="1"/>
  <c r="Q21" i="24"/>
  <c r="J103" i="20"/>
  <c r="I103" i="20"/>
  <c r="H103" i="20"/>
  <c r="J75" i="20"/>
  <c r="H75" i="20"/>
  <c r="I75" i="20"/>
  <c r="I76" i="20"/>
  <c r="J76" i="20"/>
  <c r="H76" i="20"/>
  <c r="K6" i="24"/>
  <c r="I77" i="20"/>
  <c r="H77" i="20"/>
  <c r="J77" i="20"/>
  <c r="I307" i="20"/>
  <c r="J253" i="20"/>
  <c r="K5" i="9"/>
  <c r="L5" i="9"/>
  <c r="J152" i="20"/>
  <c r="I152" i="20"/>
  <c r="J157" i="20"/>
  <c r="I262" i="20"/>
  <c r="I181" i="20"/>
  <c r="J187" i="20"/>
  <c r="I292" i="20"/>
  <c r="I375" i="20"/>
  <c r="J147" i="20"/>
  <c r="J319" i="20"/>
  <c r="H294" i="20"/>
  <c r="J325" i="20"/>
  <c r="J219" i="20"/>
  <c r="I373" i="20"/>
  <c r="J379" i="20"/>
  <c r="J225" i="20"/>
  <c r="H395" i="20"/>
  <c r="H221" i="20"/>
  <c r="J373" i="20"/>
  <c r="J303" i="20"/>
  <c r="I385" i="20"/>
  <c r="I147" i="20"/>
  <c r="J357" i="20"/>
  <c r="J385" i="20"/>
  <c r="J363" i="20"/>
  <c r="J246" i="20"/>
  <c r="I219" i="20"/>
  <c r="I401" i="20"/>
  <c r="H148" i="20"/>
  <c r="J313" i="20"/>
  <c r="I325" i="20"/>
  <c r="J213" i="20"/>
  <c r="I141" i="20"/>
  <c r="I287" i="20"/>
  <c r="I240" i="20"/>
  <c r="J270" i="20"/>
  <c r="I303" i="20"/>
  <c r="I187" i="20"/>
  <c r="I296" i="20"/>
  <c r="I251" i="20"/>
  <c r="I257" i="20"/>
  <c r="H240" i="20"/>
  <c r="I392" i="20"/>
  <c r="J371" i="20"/>
  <c r="H341" i="20"/>
  <c r="J278" i="20"/>
  <c r="H228" i="20"/>
  <c r="J326" i="20"/>
  <c r="J226" i="20"/>
  <c r="H161" i="20"/>
  <c r="I126" i="20"/>
  <c r="I242" i="20"/>
  <c r="I265" i="20"/>
  <c r="H389" i="20"/>
  <c r="J397" i="20"/>
  <c r="H390" i="20"/>
  <c r="I203" i="20"/>
  <c r="H292" i="20"/>
  <c r="H187" i="20"/>
  <c r="I173" i="20"/>
  <c r="H401" i="20"/>
  <c r="I269" i="20"/>
  <c r="H309" i="20"/>
  <c r="H343" i="20"/>
  <c r="J307" i="20"/>
  <c r="H354" i="20"/>
  <c r="J400" i="20"/>
  <c r="H190" i="20"/>
  <c r="H337" i="20"/>
  <c r="H229" i="20"/>
  <c r="H191" i="20"/>
  <c r="H122" i="20"/>
  <c r="H314" i="20"/>
  <c r="H241" i="20"/>
  <c r="H184" i="20"/>
  <c r="H185" i="20"/>
  <c r="H141" i="20"/>
  <c r="H342" i="20"/>
  <c r="H235" i="20"/>
  <c r="H196" i="20"/>
  <c r="H120" i="20"/>
  <c r="H375" i="20"/>
  <c r="H293" i="20"/>
  <c r="J242" i="20"/>
  <c r="I160" i="20"/>
  <c r="J364" i="20"/>
  <c r="J158" i="20"/>
  <c r="H275" i="20"/>
  <c r="J169" i="20"/>
  <c r="I211" i="20"/>
  <c r="H260" i="20"/>
  <c r="J223" i="20"/>
  <c r="I239" i="20"/>
  <c r="J334" i="20"/>
  <c r="I350" i="20"/>
  <c r="H307" i="20"/>
  <c r="J206" i="20"/>
  <c r="I194" i="20"/>
  <c r="J277" i="20"/>
  <c r="I206" i="20"/>
  <c r="J302" i="20"/>
  <c r="I306" i="20"/>
  <c r="J274" i="20"/>
  <c r="I359" i="20"/>
  <c r="J368" i="20"/>
  <c r="I274" i="20"/>
  <c r="H154" i="20"/>
  <c r="J188" i="20"/>
  <c r="I148" i="20"/>
  <c r="J214" i="20"/>
  <c r="I244" i="20"/>
  <c r="H199" i="20"/>
  <c r="H345" i="20"/>
  <c r="H254" i="20"/>
  <c r="H201" i="20"/>
  <c r="H124" i="20"/>
  <c r="H322" i="20"/>
  <c r="H256" i="20"/>
  <c r="H203" i="20"/>
  <c r="H204" i="20"/>
  <c r="I175" i="20"/>
  <c r="H350" i="20"/>
  <c r="H266" i="20"/>
  <c r="H207" i="20"/>
  <c r="H169" i="20"/>
  <c r="H385" i="20"/>
  <c r="H311" i="20"/>
  <c r="J227" i="20"/>
  <c r="I145" i="20"/>
  <c r="J350" i="20"/>
  <c r="H151" i="20"/>
  <c r="J142" i="20"/>
  <c r="I197" i="20"/>
  <c r="H158" i="20"/>
  <c r="J182" i="20"/>
  <c r="I210" i="20"/>
  <c r="J306" i="20"/>
  <c r="I310" i="20"/>
  <c r="H265" i="20"/>
  <c r="J193" i="20"/>
  <c r="I154" i="20"/>
  <c r="J262" i="20"/>
  <c r="I193" i="20"/>
  <c r="J289" i="20"/>
  <c r="I277" i="20"/>
  <c r="J260" i="20"/>
  <c r="I290" i="20"/>
  <c r="J342" i="20"/>
  <c r="I260" i="20"/>
  <c r="J173" i="20"/>
  <c r="H377" i="20"/>
  <c r="J200" i="20"/>
  <c r="I229" i="20"/>
  <c r="H209" i="20"/>
  <c r="H361" i="20"/>
  <c r="H263" i="20"/>
  <c r="H220" i="20"/>
  <c r="H147" i="20"/>
  <c r="H331" i="20"/>
  <c r="H306" i="20"/>
  <c r="H223" i="20"/>
  <c r="H213" i="20"/>
  <c r="H186" i="20"/>
  <c r="H358" i="20"/>
  <c r="H274" i="20"/>
  <c r="H215" i="20"/>
  <c r="H178" i="20"/>
  <c r="H328" i="20"/>
  <c r="J199" i="20"/>
  <c r="I130" i="20"/>
  <c r="J310" i="20"/>
  <c r="I383" i="20"/>
  <c r="J376" i="20"/>
  <c r="I398" i="20"/>
  <c r="I184" i="20"/>
  <c r="H142" i="20"/>
  <c r="J155" i="20"/>
  <c r="I196" i="20"/>
  <c r="J293" i="20"/>
  <c r="I295" i="20"/>
  <c r="H194" i="20"/>
  <c r="J179" i="20"/>
  <c r="J178" i="20"/>
  <c r="I179" i="20"/>
  <c r="J275" i="20"/>
  <c r="I263" i="20"/>
  <c r="J247" i="20"/>
  <c r="I275" i="20"/>
  <c r="J315" i="20"/>
  <c r="I232" i="20"/>
  <c r="J394" i="20"/>
  <c r="J161" i="20"/>
  <c r="H353" i="20"/>
  <c r="J172" i="20"/>
  <c r="I215" i="20"/>
  <c r="H218" i="20"/>
  <c r="H394" i="20"/>
  <c r="H278" i="20"/>
  <c r="H230" i="20"/>
  <c r="H155" i="20"/>
  <c r="H339" i="20"/>
  <c r="H315" i="20"/>
  <c r="H249" i="20"/>
  <c r="H233" i="20"/>
  <c r="H205" i="20"/>
  <c r="H366" i="20"/>
  <c r="H283" i="20"/>
  <c r="H226" i="20"/>
  <c r="H197" i="20"/>
  <c r="H376" i="20"/>
  <c r="J185" i="20"/>
  <c r="H368" i="20"/>
  <c r="J296" i="20"/>
  <c r="I368" i="20"/>
  <c r="J362" i="20"/>
  <c r="I382" i="20"/>
  <c r="I170" i="20"/>
  <c r="J383" i="20"/>
  <c r="I169" i="20"/>
  <c r="J251" i="20"/>
  <c r="I280" i="20"/>
  <c r="H157" i="20"/>
  <c r="J138" i="20"/>
  <c r="H349" i="20"/>
  <c r="J151" i="20"/>
  <c r="I138" i="20"/>
  <c r="J248" i="20"/>
  <c r="I248" i="20"/>
  <c r="J232" i="20"/>
  <c r="I247" i="20"/>
  <c r="J287" i="20"/>
  <c r="I202" i="20"/>
  <c r="J367" i="20"/>
  <c r="J146" i="20"/>
  <c r="H247" i="20"/>
  <c r="J160" i="20"/>
  <c r="I200" i="20"/>
  <c r="H238" i="20"/>
  <c r="H121" i="20"/>
  <c r="H295" i="20"/>
  <c r="H264" i="20"/>
  <c r="H172" i="20"/>
  <c r="H355" i="20"/>
  <c r="H323" i="20"/>
  <c r="H257" i="20"/>
  <c r="H250" i="20"/>
  <c r="H234" i="20"/>
  <c r="H382" i="20"/>
  <c r="H300" i="20"/>
  <c r="H236" i="20"/>
  <c r="H216" i="20"/>
  <c r="H386" i="20"/>
  <c r="J130" i="20"/>
  <c r="H352" i="20"/>
  <c r="J283" i="20"/>
  <c r="I353" i="20"/>
  <c r="J349" i="20"/>
  <c r="I367" i="20"/>
  <c r="I158" i="20"/>
  <c r="J389" i="20"/>
  <c r="I397" i="20"/>
  <c r="I142" i="20"/>
  <c r="J222" i="20"/>
  <c r="I238" i="20"/>
  <c r="H149" i="20"/>
  <c r="I394" i="20"/>
  <c r="H289" i="20"/>
  <c r="I377" i="20"/>
  <c r="H364" i="20"/>
  <c r="J233" i="20"/>
  <c r="I178" i="20"/>
  <c r="J203" i="20"/>
  <c r="I233" i="20"/>
  <c r="J259" i="20"/>
  <c r="I190" i="20"/>
  <c r="J353" i="20"/>
  <c r="I388" i="20"/>
  <c r="J330" i="20"/>
  <c r="J145" i="20"/>
  <c r="I188" i="20"/>
  <c r="H262" i="20"/>
  <c r="H129" i="20"/>
  <c r="H303" i="20"/>
  <c r="H279" i="20"/>
  <c r="H182" i="20"/>
  <c r="H363" i="20"/>
  <c r="H332" i="20"/>
  <c r="H271" i="20"/>
  <c r="H258" i="20"/>
  <c r="H259" i="20"/>
  <c r="H150" i="20"/>
  <c r="H308" i="20"/>
  <c r="H244" i="20"/>
  <c r="H227" i="20"/>
  <c r="H179" i="20"/>
  <c r="J392" i="20"/>
  <c r="I400" i="20"/>
  <c r="H319" i="20"/>
  <c r="J268" i="20"/>
  <c r="I314" i="20"/>
  <c r="J323" i="20"/>
  <c r="I352" i="20"/>
  <c r="J361" i="20"/>
  <c r="I338" i="20"/>
  <c r="J207" i="20"/>
  <c r="I223" i="20"/>
  <c r="H126" i="20"/>
  <c r="I364" i="20"/>
  <c r="H281" i="20"/>
  <c r="I362" i="20"/>
  <c r="H356" i="20"/>
  <c r="J218" i="20"/>
  <c r="I151" i="20"/>
  <c r="J190" i="20"/>
  <c r="I218" i="20"/>
  <c r="J245" i="20"/>
  <c r="I176" i="20"/>
  <c r="J314" i="20"/>
  <c r="I371" i="20"/>
  <c r="J380" i="20"/>
  <c r="H123" i="20"/>
  <c r="J127" i="20"/>
  <c r="I143" i="20"/>
  <c r="I132" i="20"/>
  <c r="I258" i="20"/>
  <c r="I301" i="20"/>
  <c r="I316" i="20"/>
  <c r="I387" i="20"/>
  <c r="J186" i="20"/>
  <c r="J228" i="20"/>
  <c r="J243" i="20"/>
  <c r="J285" i="20"/>
  <c r="J312" i="20"/>
  <c r="J366" i="20"/>
  <c r="J393" i="20"/>
  <c r="H180" i="20"/>
  <c r="H369" i="20"/>
  <c r="H387" i="20"/>
  <c r="I120" i="20"/>
  <c r="I133" i="20"/>
  <c r="I174" i="20"/>
  <c r="I189" i="20"/>
  <c r="I201" i="20"/>
  <c r="I216" i="20"/>
  <c r="I231" i="20"/>
  <c r="I273" i="20"/>
  <c r="I288" i="20"/>
  <c r="I317" i="20"/>
  <c r="J120" i="20"/>
  <c r="J132" i="20"/>
  <c r="J201" i="20"/>
  <c r="J258" i="20"/>
  <c r="J328" i="20"/>
  <c r="J340" i="20"/>
  <c r="J381" i="20"/>
  <c r="J301" i="20"/>
  <c r="H171" i="20"/>
  <c r="H313" i="20"/>
  <c r="H321" i="20"/>
  <c r="I121" i="20"/>
  <c r="I217" i="20"/>
  <c r="I246" i="20"/>
  <c r="I304" i="20"/>
  <c r="I332" i="20"/>
  <c r="I344" i="20"/>
  <c r="I372" i="20"/>
  <c r="J121" i="20"/>
  <c r="J133" i="20"/>
  <c r="J174" i="20"/>
  <c r="J189" i="20"/>
  <c r="J216" i="20"/>
  <c r="J231" i="20"/>
  <c r="J273" i="20"/>
  <c r="J300" i="20"/>
  <c r="J329" i="20"/>
  <c r="J354" i="20"/>
  <c r="J288" i="20"/>
  <c r="H255" i="20"/>
  <c r="H378" i="20"/>
  <c r="I136" i="20"/>
  <c r="I150" i="20"/>
  <c r="I177" i="20"/>
  <c r="I204" i="20"/>
  <c r="I261" i="20"/>
  <c r="I305" i="20"/>
  <c r="I320" i="20"/>
  <c r="I333" i="20"/>
  <c r="I345" i="20"/>
  <c r="J217" i="20"/>
  <c r="J396" i="20"/>
  <c r="H270" i="20"/>
  <c r="H288" i="20"/>
  <c r="H348" i="20"/>
  <c r="I137" i="20"/>
  <c r="I165" i="20"/>
  <c r="I192" i="20"/>
  <c r="I205" i="20"/>
  <c r="I220" i="20"/>
  <c r="I234" i="20"/>
  <c r="I291" i="20"/>
  <c r="I321" i="20"/>
  <c r="I360" i="20"/>
  <c r="J136" i="20"/>
  <c r="J150" i="20"/>
  <c r="J177" i="20"/>
  <c r="J204" i="20"/>
  <c r="J261" i="20"/>
  <c r="J317" i="20"/>
  <c r="J344" i="20"/>
  <c r="J384" i="20"/>
  <c r="J332" i="20"/>
  <c r="H156" i="20"/>
  <c r="H212" i="20"/>
  <c r="H297" i="20"/>
  <c r="H340" i="20"/>
  <c r="I124" i="20"/>
  <c r="I153" i="20"/>
  <c r="I166" i="20"/>
  <c r="I221" i="20"/>
  <c r="I249" i="20"/>
  <c r="I264" i="20"/>
  <c r="I348" i="20"/>
  <c r="I393" i="20"/>
  <c r="J124" i="20"/>
  <c r="J137" i="20"/>
  <c r="J165" i="20"/>
  <c r="J192" i="20"/>
  <c r="J205" i="20"/>
  <c r="J220" i="20"/>
  <c r="J234" i="20"/>
  <c r="J249" i="20"/>
  <c r="J304" i="20"/>
  <c r="J345" i="20"/>
  <c r="H316" i="20"/>
  <c r="H324" i="20"/>
  <c r="H372" i="20"/>
  <c r="I125" i="20"/>
  <c r="I180" i="20"/>
  <c r="I237" i="20"/>
  <c r="I279" i="20"/>
  <c r="I294" i="20"/>
  <c r="I309" i="20"/>
  <c r="I336" i="20"/>
  <c r="I378" i="20"/>
  <c r="J125" i="20"/>
  <c r="J153" i="20"/>
  <c r="J166" i="20"/>
  <c r="J221" i="20"/>
  <c r="J291" i="20"/>
  <c r="J305" i="20"/>
  <c r="J320" i="20"/>
  <c r="J333" i="20"/>
  <c r="J372" i="20"/>
  <c r="J387" i="20"/>
  <c r="J399" i="20"/>
  <c r="H166" i="20"/>
  <c r="H224" i="20"/>
  <c r="I140" i="20"/>
  <c r="I168" i="20"/>
  <c r="I195" i="20"/>
  <c r="I209" i="20"/>
  <c r="I252" i="20"/>
  <c r="I267" i="20"/>
  <c r="I324" i="20"/>
  <c r="I337" i="20"/>
  <c r="I396" i="20"/>
  <c r="J180" i="20"/>
  <c r="J237" i="20"/>
  <c r="J264" i="20"/>
  <c r="J279" i="20"/>
  <c r="J321" i="20"/>
  <c r="J360" i="20"/>
  <c r="H132" i="20"/>
  <c r="H243" i="20"/>
  <c r="I156" i="20"/>
  <c r="I183" i="20"/>
  <c r="I224" i="20"/>
  <c r="I351" i="20"/>
  <c r="I366" i="20"/>
  <c r="I381" i="20"/>
  <c r="J140" i="20"/>
  <c r="J168" i="20"/>
  <c r="J195" i="20"/>
  <c r="J209" i="20"/>
  <c r="J252" i="20"/>
  <c r="J294" i="20"/>
  <c r="J348" i="20"/>
  <c r="J375" i="20"/>
  <c r="H291" i="20"/>
  <c r="I128" i="20"/>
  <c r="I282" i="20"/>
  <c r="I297" i="20"/>
  <c r="I312" i="20"/>
  <c r="J128" i="20"/>
  <c r="J156" i="20"/>
  <c r="J183" i="20"/>
  <c r="J224" i="20"/>
  <c r="J267" i="20"/>
  <c r="J309" i="20"/>
  <c r="J336" i="20"/>
  <c r="J390" i="20"/>
  <c r="J369" i="20"/>
  <c r="H252" i="20"/>
  <c r="I129" i="20"/>
  <c r="I144" i="20"/>
  <c r="I159" i="20"/>
  <c r="I171" i="20"/>
  <c r="I198" i="20"/>
  <c r="I212" i="20"/>
  <c r="I255" i="20"/>
  <c r="I270" i="20"/>
  <c r="I328" i="20"/>
  <c r="I340" i="20"/>
  <c r="I399" i="20"/>
  <c r="J129" i="20"/>
  <c r="J198" i="20"/>
  <c r="J324" i="20"/>
  <c r="J337" i="20"/>
  <c r="H159" i="20"/>
  <c r="H189" i="20"/>
  <c r="H208" i="20"/>
  <c r="H237" i="20"/>
  <c r="H261" i="20"/>
  <c r="H336" i="20"/>
  <c r="H344" i="20"/>
  <c r="H360" i="20"/>
  <c r="H393" i="20"/>
  <c r="I186" i="20"/>
  <c r="I228" i="20"/>
  <c r="I243" i="20"/>
  <c r="I285" i="20"/>
  <c r="I300" i="20"/>
  <c r="I329" i="20"/>
  <c r="I341" i="20"/>
  <c r="I354" i="20"/>
  <c r="I369" i="20"/>
  <c r="I384" i="20"/>
  <c r="J144" i="20"/>
  <c r="J159" i="20"/>
  <c r="J171" i="20"/>
  <c r="J212" i="20"/>
  <c r="J255" i="20"/>
  <c r="J297" i="20"/>
  <c r="J351" i="20"/>
  <c r="J378" i="20"/>
  <c r="J316" i="20"/>
  <c r="H277" i="20"/>
  <c r="H136" i="20"/>
  <c r="H330" i="20"/>
  <c r="H304" i="20"/>
  <c r="H192" i="20"/>
  <c r="H397" i="20"/>
  <c r="H371" i="20"/>
  <c r="H333" i="20"/>
  <c r="H272" i="20"/>
  <c r="H273" i="20"/>
  <c r="H168" i="20"/>
  <c r="H351" i="20"/>
  <c r="H267" i="20"/>
  <c r="H245" i="20"/>
  <c r="H198" i="20"/>
  <c r="J365" i="20"/>
  <c r="I315" i="20"/>
  <c r="J254" i="20"/>
  <c r="I299" i="20"/>
  <c r="J295" i="20"/>
  <c r="I339" i="20"/>
  <c r="H392" i="20"/>
  <c r="J335" i="20"/>
  <c r="I326" i="20"/>
  <c r="H373" i="20"/>
  <c r="J194" i="20"/>
  <c r="I182" i="20"/>
  <c r="J359" i="20"/>
  <c r="I349" i="20"/>
  <c r="H242" i="20"/>
  <c r="I335" i="20"/>
  <c r="H193" i="20"/>
  <c r="J191" i="20"/>
  <c r="I123" i="20"/>
  <c r="J176" i="20"/>
  <c r="I191" i="20"/>
  <c r="J202" i="20"/>
  <c r="I149" i="20"/>
  <c r="J299" i="20"/>
  <c r="I356" i="20"/>
  <c r="J352" i="20"/>
  <c r="I370" i="20"/>
  <c r="I161" i="20"/>
  <c r="H128" i="20"/>
  <c r="H286" i="20"/>
  <c r="H145" i="20"/>
  <c r="H346" i="20"/>
  <c r="H347" i="20"/>
  <c r="H211" i="20"/>
  <c r="H125" i="20"/>
  <c r="H379" i="20"/>
  <c r="H380" i="20"/>
  <c r="H298" i="20"/>
  <c r="H282" i="20"/>
  <c r="H176" i="20"/>
  <c r="H383" i="20"/>
  <c r="H301" i="20"/>
  <c r="H268" i="20"/>
  <c r="H217" i="20"/>
  <c r="J338" i="20"/>
  <c r="I271" i="20"/>
  <c r="H134" i="20"/>
  <c r="J241" i="20"/>
  <c r="I284" i="20"/>
  <c r="J281" i="20"/>
  <c r="I327" i="20"/>
  <c r="H359" i="20"/>
  <c r="J322" i="20"/>
  <c r="I311" i="20"/>
  <c r="H214" i="20"/>
  <c r="J154" i="20"/>
  <c r="I155" i="20"/>
  <c r="J346" i="20"/>
  <c r="I323" i="20"/>
  <c r="J398" i="20"/>
  <c r="I322" i="20"/>
  <c r="J386" i="20"/>
  <c r="J123" i="20"/>
  <c r="H280" i="20"/>
  <c r="J149" i="20"/>
  <c r="I122" i="20"/>
  <c r="J148" i="20"/>
  <c r="I134" i="20"/>
  <c r="J286" i="20"/>
  <c r="I343" i="20"/>
  <c r="J339" i="20"/>
  <c r="I355" i="20"/>
  <c r="I146" i="20"/>
  <c r="H248" i="20"/>
  <c r="J134" i="20"/>
  <c r="H296" i="20"/>
  <c r="I389" i="20"/>
  <c r="H362" i="20"/>
  <c r="J272" i="20"/>
  <c r="I331" i="20"/>
  <c r="J327" i="20"/>
  <c r="I342" i="20"/>
  <c r="H302" i="20"/>
  <c r="H144" i="20"/>
  <c r="H312" i="20"/>
  <c r="H200" i="20"/>
  <c r="H137" i="20"/>
  <c r="H370" i="20"/>
  <c r="H231" i="20"/>
  <c r="H183" i="20"/>
  <c r="H398" i="20"/>
  <c r="H399" i="20"/>
  <c r="H357" i="20"/>
  <c r="H299" i="20"/>
  <c r="H195" i="20"/>
  <c r="H133" i="20"/>
  <c r="H367" i="20"/>
  <c r="H310" i="20"/>
  <c r="H246" i="20"/>
  <c r="J311" i="20"/>
  <c r="I214" i="20"/>
  <c r="J355" i="20"/>
  <c r="J211" i="20"/>
  <c r="I227" i="20"/>
  <c r="J239" i="20"/>
  <c r="I254" i="20"/>
  <c r="H335" i="20"/>
  <c r="J280" i="20"/>
  <c r="I281" i="20"/>
  <c r="J388" i="20"/>
  <c r="J126" i="20"/>
  <c r="H400" i="20"/>
  <c r="J263" i="20"/>
  <c r="I250" i="20"/>
  <c r="J358" i="20"/>
  <c r="I293" i="20"/>
  <c r="J370" i="20"/>
  <c r="I376" i="20"/>
  <c r="H202" i="20"/>
  <c r="J122" i="20"/>
  <c r="H130" i="20"/>
  <c r="I358" i="20"/>
  <c r="H338" i="20"/>
  <c r="J244" i="20"/>
  <c r="I302" i="20"/>
  <c r="J298" i="20"/>
  <c r="I330" i="20"/>
  <c r="H253" i="20"/>
  <c r="H153" i="20"/>
  <c r="H320" i="20"/>
  <c r="H210" i="20"/>
  <c r="H146" i="20"/>
  <c r="H388" i="20"/>
  <c r="J240" i="20"/>
  <c r="H222" i="20"/>
  <c r="H140" i="20"/>
  <c r="H365" i="20"/>
  <c r="H317" i="20"/>
  <c r="H206" i="20"/>
  <c r="H177" i="20"/>
  <c r="H374" i="20"/>
  <c r="I319" i="20"/>
  <c r="H167" i="20"/>
  <c r="I164" i="20"/>
  <c r="J164" i="20"/>
  <c r="I167" i="20"/>
  <c r="J167" i="20"/>
  <c r="H276" i="20"/>
  <c r="J284" i="20"/>
  <c r="I199" i="20"/>
  <c r="J391" i="20"/>
  <c r="J184" i="20"/>
  <c r="I185" i="20"/>
  <c r="J210" i="20"/>
  <c r="I241" i="20"/>
  <c r="H326" i="20"/>
  <c r="J265" i="20"/>
  <c r="I268" i="20"/>
  <c r="J374" i="20"/>
  <c r="I380" i="20"/>
  <c r="H391" i="20"/>
  <c r="J250" i="20"/>
  <c r="I222" i="20"/>
  <c r="J318" i="20"/>
  <c r="I278" i="20"/>
  <c r="J356" i="20"/>
  <c r="I346" i="20"/>
  <c r="H138" i="20"/>
  <c r="I391" i="20"/>
  <c r="J395" i="20"/>
  <c r="I318" i="20"/>
  <c r="H269" i="20"/>
  <c r="J229" i="20"/>
  <c r="I259" i="20"/>
  <c r="J271" i="20"/>
  <c r="I286" i="20"/>
  <c r="H170" i="20"/>
  <c r="H160" i="20"/>
  <c r="H329" i="20"/>
  <c r="H219" i="20"/>
  <c r="H181" i="20"/>
  <c r="H396" i="20"/>
  <c r="H305" i="20"/>
  <c r="H232" i="20"/>
  <c r="H173" i="20"/>
  <c r="H174" i="20"/>
  <c r="H381" i="20"/>
  <c r="H325" i="20"/>
  <c r="H225" i="20"/>
  <c r="H188" i="20"/>
  <c r="H384" i="20"/>
  <c r="H327" i="20"/>
  <c r="H285" i="20"/>
  <c r="J269" i="20"/>
  <c r="I172" i="20"/>
  <c r="J377" i="20"/>
  <c r="J170" i="20"/>
  <c r="H284" i="20"/>
  <c r="J196" i="20"/>
  <c r="I226" i="20"/>
  <c r="H318" i="20"/>
  <c r="J238" i="20"/>
  <c r="I253" i="20"/>
  <c r="J347" i="20"/>
  <c r="I365" i="20"/>
  <c r="H334" i="20"/>
  <c r="J236" i="20"/>
  <c r="I207" i="20"/>
  <c r="J290" i="20"/>
  <c r="I236" i="20"/>
  <c r="J331" i="20"/>
  <c r="I334" i="20"/>
  <c r="J343" i="20"/>
  <c r="I374" i="20"/>
  <c r="J382" i="20"/>
  <c r="I289" i="20"/>
  <c r="H239" i="20"/>
  <c r="J215" i="20"/>
  <c r="I245" i="20"/>
  <c r="J257" i="20"/>
  <c r="I272" i="20"/>
  <c r="H165" i="20"/>
  <c r="H463" i="20"/>
  <c r="I463" i="20"/>
  <c r="J463" i="20"/>
  <c r="H464" i="20"/>
  <c r="I464" i="20"/>
  <c r="J464" i="20"/>
  <c r="J107" i="20"/>
  <c r="I107" i="20"/>
  <c r="H107" i="20"/>
  <c r="I105" i="20"/>
  <c r="J105" i="20"/>
  <c r="H105" i="20"/>
  <c r="J404" i="20" l="1"/>
  <c r="G8" i="38"/>
  <c r="P17" i="38"/>
  <c r="G17" i="38"/>
  <c r="G10" i="38"/>
  <c r="G15" i="38"/>
  <c r="G14" i="38"/>
  <c r="G9" i="38"/>
  <c r="H5" i="38"/>
  <c r="P15" i="38"/>
  <c r="R14" i="38"/>
  <c r="R4" i="38"/>
  <c r="Q12" i="38"/>
  <c r="H17" i="38"/>
  <c r="H12" i="38"/>
  <c r="G7" i="38"/>
  <c r="R8" i="38"/>
  <c r="Q5" i="38"/>
  <c r="H4" i="38"/>
  <c r="H6" i="38"/>
  <c r="H15" i="38"/>
  <c r="H9" i="38"/>
  <c r="H8" i="38"/>
  <c r="P13" i="38"/>
  <c r="G6" i="38"/>
  <c r="G13" i="38"/>
  <c r="P4" i="38"/>
  <c r="Q17" i="38"/>
  <c r="P7" i="38"/>
  <c r="H14" i="38"/>
  <c r="Q10" i="38"/>
  <c r="Q11" i="38"/>
  <c r="G5" i="38"/>
  <c r="P6" i="38"/>
  <c r="H16" i="38"/>
  <c r="R13" i="38"/>
  <c r="Q6" i="38"/>
  <c r="H13" i="38"/>
  <c r="G11" i="38"/>
  <c r="G16" i="38"/>
  <c r="Q15" i="38"/>
  <c r="G12" i="38"/>
  <c r="P11" i="38"/>
  <c r="P16" i="38"/>
  <c r="Q7" i="38"/>
  <c r="Q9" i="38"/>
  <c r="R5" i="38"/>
  <c r="R15" i="38"/>
  <c r="Q8" i="38"/>
  <c r="E12" i="38"/>
  <c r="I12" i="38" s="1"/>
  <c r="N12" i="38"/>
  <c r="R12" i="38" s="1"/>
  <c r="Q4" i="38"/>
  <c r="R6" i="38"/>
  <c r="P14" i="38"/>
  <c r="J91" i="20"/>
  <c r="H91" i="20"/>
  <c r="I91" i="20"/>
  <c r="J90" i="20"/>
  <c r="H90" i="20"/>
  <c r="I90" i="20"/>
  <c r="J89" i="20"/>
  <c r="I89" i="20"/>
  <c r="H89" i="20"/>
  <c r="J84" i="20"/>
  <c r="H84" i="20"/>
  <c r="I84" i="20"/>
  <c r="J88" i="20"/>
  <c r="I88" i="20"/>
  <c r="H88" i="20"/>
  <c r="I92" i="20"/>
  <c r="K8" i="24"/>
  <c r="H92" i="20"/>
  <c r="J92" i="20"/>
  <c r="I104" i="20"/>
  <c r="H104" i="20"/>
  <c r="J104" i="20"/>
  <c r="J106" i="20"/>
  <c r="I106" i="20"/>
  <c r="H106" i="20"/>
  <c r="H143" i="20"/>
  <c r="H139" i="20"/>
  <c r="I127" i="20"/>
  <c r="J143" i="20"/>
  <c r="H131" i="20"/>
  <c r="I131" i="20"/>
  <c r="J139" i="20"/>
  <c r="H127" i="20"/>
  <c r="H135" i="20"/>
  <c r="I135" i="20"/>
  <c r="J135" i="20"/>
  <c r="I139" i="20"/>
  <c r="J131" i="20"/>
  <c r="J4" i="20"/>
  <c r="I4" i="20"/>
  <c r="I14" i="38" l="1"/>
  <c r="I5" i="38"/>
  <c r="I9" i="38"/>
  <c r="I17" i="38"/>
  <c r="I15" i="38"/>
  <c r="I6" i="38"/>
  <c r="I4" i="38"/>
  <c r="R16" i="38"/>
  <c r="I10" i="38"/>
  <c r="I11" i="38"/>
  <c r="R11" i="38"/>
  <c r="I16" i="38"/>
  <c r="I13" i="38"/>
  <c r="R9" i="38"/>
  <c r="R10" i="38"/>
  <c r="I8" i="38"/>
  <c r="R17" i="38"/>
  <c r="R7" i="38"/>
  <c r="I7" i="38"/>
  <c r="H100" i="20"/>
  <c r="J100" i="20"/>
  <c r="I100" i="20"/>
  <c r="H4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14" authorId="0" shapeId="0" xr:uid="{0F608ABC-2E30-439E-B289-9000E2BC05FC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Fra MFVM's projekt om biomasse - data for 2019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2" authorId="0" shapeId="0" xr:uid="{F5E31651-2045-420E-AE45-8F7A19EBDDC6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Befolkningsdiæt*tab/spild hos forbruger*antal indbyggere*antal dage per år*udsorteret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A3" authorId="0" shapeId="0" xr:uid="{B203E67F-B40B-408D-BD7B-AF2DC555D2E0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Jeg har brugt grøftekanter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<sst xmlns="http://schemas.openxmlformats.org/spreadsheetml/2006/main" count="3650" uniqueCount="898">
  <si>
    <t>Den danske bioressource model (DK-BioRes)</t>
  </si>
  <si>
    <t>Scenarie</t>
  </si>
  <si>
    <t>Beskrivelse</t>
  </si>
  <si>
    <t>Foderforbrug/komposition</t>
  </si>
  <si>
    <t>Tab/spild hos forbruger</t>
  </si>
  <si>
    <t>Scenariefilerne inkluderer stilleskruer for modellen. Scenariefilen inkluderer følgende stilleskruer:</t>
  </si>
  <si>
    <t>Brugervejledning</t>
  </si>
  <si>
    <t>Befolkningstal</t>
  </si>
  <si>
    <t>Bioaffaldsmængde</t>
  </si>
  <si>
    <t>Årstal</t>
  </si>
  <si>
    <t>Antal personer</t>
  </si>
  <si>
    <t>Korn</t>
  </si>
  <si>
    <t>Grøntsager</t>
  </si>
  <si>
    <t>Græs</t>
  </si>
  <si>
    <t>Bælgsæd</t>
  </si>
  <si>
    <t>Majs</t>
  </si>
  <si>
    <t>Svin</t>
  </si>
  <si>
    <t>Køer</t>
  </si>
  <si>
    <t>Fjerkræ</t>
  </si>
  <si>
    <t xml:space="preserve"> </t>
  </si>
  <si>
    <t>Processer</t>
  </si>
  <si>
    <t>Spildevandsproduktion</t>
  </si>
  <si>
    <t>Bioaffaldsproduktion</t>
  </si>
  <si>
    <t>Muslingefarm</t>
  </si>
  <si>
    <t>Tangfarm</t>
  </si>
  <si>
    <t>Kornmark</t>
  </si>
  <si>
    <t>Grøntsager på land</t>
  </si>
  <si>
    <t>Grøntsager i drivhus</t>
  </si>
  <si>
    <t>Græsmark</t>
  </si>
  <si>
    <t>Bælgsædsmark</t>
  </si>
  <si>
    <t>Roemark</t>
  </si>
  <si>
    <t>Majsmark</t>
  </si>
  <si>
    <t>Pil- og poppeldyrkning</t>
  </si>
  <si>
    <t>Tømmerproduktion</t>
  </si>
  <si>
    <t>Mejeri</t>
  </si>
  <si>
    <t>Slagteri</t>
  </si>
  <si>
    <t>Biogasanlæg</t>
  </si>
  <si>
    <t>Halm</t>
  </si>
  <si>
    <t>Gylle</t>
  </si>
  <si>
    <t>Dybstrøelse</t>
  </si>
  <si>
    <t>Biomasse</t>
  </si>
  <si>
    <t>Industriaffald</t>
  </si>
  <si>
    <t>Roer</t>
  </si>
  <si>
    <t>Tørstofindhold</t>
  </si>
  <si>
    <t>Ea: Anvendelse af biogas til el- og varmeproduktion</t>
  </si>
  <si>
    <t>Konventionel</t>
  </si>
  <si>
    <t>Økologisk</t>
  </si>
  <si>
    <t>Total areal</t>
  </si>
  <si>
    <t>Areal organogene jorde</t>
  </si>
  <si>
    <t>% af total organogen areal</t>
  </si>
  <si>
    <t>Region Nordjylland</t>
  </si>
  <si>
    <t>Vest</t>
  </si>
  <si>
    <t>Øst</t>
  </si>
  <si>
    <t>Region Midtjylland</t>
  </si>
  <si>
    <t>Region Syddanmark</t>
  </si>
  <si>
    <t>Region Sjælland</t>
  </si>
  <si>
    <t>Region Hovedstaden</t>
  </si>
  <si>
    <t>I alt</t>
  </si>
  <si>
    <t>Fra: "Bestemmelse af drivhusgasemissionen fra lavbundsjorde"</t>
  </si>
  <si>
    <t>Okkerkortlægning: "Jordtyper på lavbund - Opdeling af landbrugsarealer efter jordklasse (FK), georegion, kvartærgeologi og okkerklasse"</t>
  </si>
  <si>
    <t>Omdrift</t>
  </si>
  <si>
    <t>Permanent græs</t>
  </si>
  <si>
    <t>Hektar</t>
  </si>
  <si>
    <t>Tekstur 2014</t>
  </si>
  <si>
    <t>Total</t>
  </si>
  <si>
    <t>DST: AREALDK</t>
  </si>
  <si>
    <t>Hovedafgrøde, hkg/ha</t>
  </si>
  <si>
    <t>Kilde</t>
  </si>
  <si>
    <t>[2] https://www.landbrugsinfo.dk/public/7/0/6/halm_kloevergraes_til_oeko_biogasprod</t>
  </si>
  <si>
    <t>Halm, hkg/ha*</t>
  </si>
  <si>
    <t>Ikke klassificeret</t>
  </si>
  <si>
    <t>Vandløb</t>
  </si>
  <si>
    <t>Søer</t>
  </si>
  <si>
    <t>Søer og vandløb</t>
  </si>
  <si>
    <t>Enge, moser og anden våd natur</t>
  </si>
  <si>
    <t>Heder, klitter og anden tør natur</t>
  </si>
  <si>
    <t>Heder, enge og anden natur (tør og våd)</t>
  </si>
  <si>
    <t>Skov</t>
  </si>
  <si>
    <t>Mark, uden oplysning om afgrødetype</t>
  </si>
  <si>
    <t>Permanent græs og andre ekstensive afgrøder</t>
  </si>
  <si>
    <t>Frugttræer, bærbuske, juletræer og andre permanente afgrøder</t>
  </si>
  <si>
    <t>Korn, rodfrugter og andre midlertidige afgrøder</t>
  </si>
  <si>
    <t>Landbrugsafgrøder</t>
  </si>
  <si>
    <t>Parker, sportsanlæg og andre rekreative områder</t>
  </si>
  <si>
    <t>Råstofindvindingsområder (grusgrave og lign.)</t>
  </si>
  <si>
    <t>Øvrige kunstige overflader</t>
  </si>
  <si>
    <t>Bebyggede områder (mellem/omkring bygninger)</t>
  </si>
  <si>
    <t>Bygninger</t>
  </si>
  <si>
    <t>Bygninger og bebyggede områder</t>
  </si>
  <si>
    <t>Landingsbaner</t>
  </si>
  <si>
    <t>Jernbaner</t>
  </si>
  <si>
    <t>Veje, ubefæstede</t>
  </si>
  <si>
    <t>Veje, befæstede</t>
  </si>
  <si>
    <t>Veje, jernbaner og landingsbaner</t>
  </si>
  <si>
    <t>2018</t>
  </si>
  <si>
    <t>Kvadratkilometer (km2)</t>
  </si>
  <si>
    <t>Ærø</t>
  </si>
  <si>
    <t>Svendborg</t>
  </si>
  <si>
    <t>Odense</t>
  </si>
  <si>
    <t>Nyborg</t>
  </si>
  <si>
    <t>Nordfyns</t>
  </si>
  <si>
    <t>Middelfart</t>
  </si>
  <si>
    <t>Langeland</t>
  </si>
  <si>
    <t>Kerteminde</t>
  </si>
  <si>
    <t>Faaborg-Midtfyn</t>
  </si>
  <si>
    <t>Assens</t>
  </si>
  <si>
    <t>Hele landet, inkl. ikke-matrikuleret areal</t>
  </si>
  <si>
    <t>Enhed: -</t>
  </si>
  <si>
    <t>Areal efter enhed, tid, arealdække og område (AREALDK - DST)</t>
  </si>
  <si>
    <t>Hele landet</t>
  </si>
  <si>
    <t>I modellen</t>
  </si>
  <si>
    <t>Sum</t>
  </si>
  <si>
    <r>
      <t xml:space="preserve">  </t>
    </r>
    <r>
      <rPr>
        <sz val="8"/>
        <color rgb="FF000000"/>
        <rFont val="Arial"/>
        <family val="2"/>
      </rPr>
      <t>Ikke- klassificeret</t>
    </r>
  </si>
  <si>
    <t>Okkerklasse IV</t>
  </si>
  <si>
    <t>Okkerklasse III</t>
  </si>
  <si>
    <t>Okkerklasse II</t>
  </si>
  <si>
    <t>Danmark i alt: Okkerklasse I</t>
  </si>
  <si>
    <t>Ikke- klassificeret</t>
  </si>
  <si>
    <t>Geo-region Øerne: Okkerklasse I</t>
  </si>
  <si>
    <t>Geo-region Østjylland: Okkerklasse I</t>
  </si>
  <si>
    <t>Geo-region Midtjylland syd: Okkerklasse I</t>
  </si>
  <si>
    <t>land:</t>
  </si>
  <si>
    <t>Geo-region Himmerland-Djurs Okkerklasse I</t>
  </si>
  <si>
    <t>Geo-region Vestjylland: Okkerklasse I</t>
  </si>
  <si>
    <t>Geo-region Nordjylland: Okkerklasse I</t>
  </si>
  <si>
    <t>Geo-region Thy: Okkerklasse I</t>
  </si>
  <si>
    <t>8-10</t>
  </si>
  <si>
    <t>5 &amp; 6</t>
  </si>
  <si>
    <t>3 &amp; 4</t>
  </si>
  <si>
    <t>JB nr.:</t>
  </si>
  <si>
    <t>FK8</t>
  </si>
  <si>
    <t>FK7</t>
  </si>
  <si>
    <t>FK6</t>
  </si>
  <si>
    <t>FK5</t>
  </si>
  <si>
    <t>FK4</t>
  </si>
  <si>
    <t>FK3</t>
  </si>
  <si>
    <t>FK2</t>
  </si>
  <si>
    <t>FK1</t>
  </si>
  <si>
    <t>1000 ha Farvekode:</t>
  </si>
  <si>
    <t>Fra: Jordtyper på lavbund - Opdeling af landbrugsarealer efter jordklasse (FK), georegion, kvartærgeologi og okkerklasse</t>
  </si>
  <si>
    <t>..</t>
  </si>
  <si>
    <t>Væksthusareal</t>
  </si>
  <si>
    <t>Samlet braklagt eller udtaget areal</t>
  </si>
  <si>
    <t>Dyrket areal i alt</t>
  </si>
  <si>
    <t>Uden afgrøde</t>
  </si>
  <si>
    <t>Øvrige afgrøder</t>
  </si>
  <si>
    <t>Øvrige</t>
  </si>
  <si>
    <t>Øvrige afgrøder og udyrket mark</t>
  </si>
  <si>
    <t>Juletræer</t>
  </si>
  <si>
    <t>Braklægning med græs</t>
  </si>
  <si>
    <t>Græsarealer uden for omdriften</t>
  </si>
  <si>
    <t>Gartneriprodukter i alt</t>
  </si>
  <si>
    <t>Planteskoleareal</t>
  </si>
  <si>
    <t>Frugt</t>
  </si>
  <si>
    <t>Frugt og bær i alt</t>
  </si>
  <si>
    <t>Anden frugt- og bærart</t>
  </si>
  <si>
    <t>Solbær</t>
  </si>
  <si>
    <t>Kirsebær i alt</t>
  </si>
  <si>
    <t>Sødkirsebær</t>
  </si>
  <si>
    <t>Surkirsebær</t>
  </si>
  <si>
    <t>Jordbær</t>
  </si>
  <si>
    <t>Pærer</t>
  </si>
  <si>
    <t>Æbler</t>
  </si>
  <si>
    <t>Blomsterløg og frilandsblomster</t>
  </si>
  <si>
    <t>Frilandsgrøntsager i alt</t>
  </si>
  <si>
    <t>Ærter til konserves</t>
  </si>
  <si>
    <t>Frilandsgrøntsager (ikke ærter til konserves)</t>
  </si>
  <si>
    <t>Græs og grøntfoder i omdriften i alt</t>
  </si>
  <si>
    <t>Græs- og kløvermark i omdriften</t>
  </si>
  <si>
    <t>Bælgsæd, fodermarvkål og andet grøntfoder</t>
  </si>
  <si>
    <t>Korn og bælgsæd til ensilering (helsæd)</t>
  </si>
  <si>
    <t>Majs til opfodring</t>
  </si>
  <si>
    <t>Lucerne</t>
  </si>
  <si>
    <t>Frø til udsæd</t>
  </si>
  <si>
    <t>Industrifrø i alt</t>
  </si>
  <si>
    <t>Anden industrifrø</t>
  </si>
  <si>
    <t>Hør</t>
  </si>
  <si>
    <t>Raps</t>
  </si>
  <si>
    <t>Raps i alt</t>
  </si>
  <si>
    <t>Vårraps i alt</t>
  </si>
  <si>
    <t>Vårraps, non food</t>
  </si>
  <si>
    <t>Vårraps, ikke non food</t>
  </si>
  <si>
    <t>Vinterraps i alt</t>
  </si>
  <si>
    <t>Vinterraps, non food</t>
  </si>
  <si>
    <t>Vinterraps, ikke non food</t>
  </si>
  <si>
    <t>Rodfrugter i alt</t>
  </si>
  <si>
    <t>Foderroer</t>
  </si>
  <si>
    <t>Sukkerroer til fabrik</t>
  </si>
  <si>
    <t>Kartofler</t>
  </si>
  <si>
    <t>Spisekartofler</t>
  </si>
  <si>
    <t>Kartofler til melproduktion</t>
  </si>
  <si>
    <t>Læggekartofler</t>
  </si>
  <si>
    <t>Bælgsæd til modenhed</t>
  </si>
  <si>
    <t>Korn i alt</t>
  </si>
  <si>
    <t>Triticale og andet korn til modenhed</t>
  </si>
  <si>
    <t>Havre</t>
  </si>
  <si>
    <t>Byg i alt</t>
  </si>
  <si>
    <t>Vårbyg</t>
  </si>
  <si>
    <t>Vinterbyg</t>
  </si>
  <si>
    <t>Rug</t>
  </si>
  <si>
    <t>Hvede i alt</t>
  </si>
  <si>
    <t>Vårhvede</t>
  </si>
  <si>
    <t>Vinterhvede</t>
  </si>
  <si>
    <t>Det dyrkede areal efter enhed, tid, afgrøde og område (AFG07)</t>
  </si>
  <si>
    <t>Navn I model</t>
  </si>
  <si>
    <t>Afgrøde</t>
  </si>
  <si>
    <t xml:space="preserve">Andre dyr </t>
  </si>
  <si>
    <t xml:space="preserve">Bier, antal stader </t>
  </si>
  <si>
    <t xml:space="preserve">Slagtekaniner (5 uger - 6 mdr.) </t>
  </si>
  <si>
    <t xml:space="preserve">Kaniner (moderdyr med afkom, indtil fravænning og avls hanner) </t>
  </si>
  <si>
    <t xml:space="preserve">Struds, voksne årsdyr </t>
  </si>
  <si>
    <t xml:space="preserve">Anden andeproduktion </t>
  </si>
  <si>
    <t xml:space="preserve">Ænder, stk produceret </t>
  </si>
  <si>
    <t xml:space="preserve">Anden gæshold </t>
  </si>
  <si>
    <t xml:space="preserve">Gæs, stk produceret </t>
  </si>
  <si>
    <t xml:space="preserve">Andet kalkunhold </t>
  </si>
  <si>
    <t xml:space="preserve">Kalkuner, tunge hanner, stk </t>
  </si>
  <si>
    <t xml:space="preserve">Kalkuner, tunge hunner, stk </t>
  </si>
  <si>
    <t xml:space="preserve">Andet slagtekyllingehold </t>
  </si>
  <si>
    <t xml:space="preserve">Slagtekyllinger, stk prod. </t>
  </si>
  <si>
    <t xml:space="preserve">Andet fjerkræhold, æg </t>
  </si>
  <si>
    <t xml:space="preserve">Hønnikeopdræt, rugeæg </t>
  </si>
  <si>
    <t xml:space="preserve">Hønnikeopdræt, konsumæg </t>
  </si>
  <si>
    <t xml:space="preserve">Rugeæg (årshøner + haner) </t>
  </si>
  <si>
    <t xml:space="preserve">Høns, konsumæg, årshøner </t>
  </si>
  <si>
    <t xml:space="preserve">Andet hjortedyr </t>
  </si>
  <si>
    <t xml:space="preserve">Dådyr m afkom, årsdyr </t>
  </si>
  <si>
    <t xml:space="preserve">Krondyr m afkom, årsdyr </t>
  </si>
  <si>
    <t xml:space="preserve">Andet svinehold </t>
  </si>
  <si>
    <t xml:space="preserve">Slagtesvin, 31 - 105 kg </t>
  </si>
  <si>
    <t xml:space="preserve">Smågrise, fravænning -31 kg </t>
  </si>
  <si>
    <t xml:space="preserve">Årssøer + smågrise (før fravænning) </t>
  </si>
  <si>
    <t xml:space="preserve">Andet gedehold </t>
  </si>
  <si>
    <t xml:space="preserve">Malkegeder m afkom </t>
  </si>
  <si>
    <t xml:space="preserve">Kødgeder m afkom </t>
  </si>
  <si>
    <t xml:space="preserve">Mohairgeder m afkom </t>
  </si>
  <si>
    <t xml:space="preserve">Andet fårehold </t>
  </si>
  <si>
    <t xml:space="preserve">Moderfår m afkom </t>
  </si>
  <si>
    <t xml:space="preserve">Andet kvæghold </t>
  </si>
  <si>
    <t xml:space="preserve">Ammekøer (400 - 600 kg) </t>
  </si>
  <si>
    <t xml:space="preserve">Ammekøer (under 400 kg) </t>
  </si>
  <si>
    <t xml:space="preserve">Avlstyre, jersey </t>
  </si>
  <si>
    <t xml:space="preserve">Ungtyre, jersey </t>
  </si>
  <si>
    <t xml:space="preserve">Tyrekalve, jersey </t>
  </si>
  <si>
    <t xml:space="preserve">Kvier/stude, jersey </t>
  </si>
  <si>
    <t xml:space="preserve">Småkalve, jersey </t>
  </si>
  <si>
    <t xml:space="preserve">Årsko u opdræt, jersey </t>
  </si>
  <si>
    <t xml:space="preserve">Avlstyre, tung race </t>
  </si>
  <si>
    <t xml:space="preserve">Ungtyre, tung race </t>
  </si>
  <si>
    <t xml:space="preserve">Tyrekalve, tung race </t>
  </si>
  <si>
    <t xml:space="preserve">Kvier/stude, tung race </t>
  </si>
  <si>
    <t xml:space="preserve">Småkalve, tung race </t>
  </si>
  <si>
    <t xml:space="preserve">Årsko u opdræt tung race </t>
  </si>
  <si>
    <t xml:space="preserve">Andet hestehold </t>
  </si>
  <si>
    <t xml:space="preserve">Årsheste (over 700 kg) </t>
  </si>
  <si>
    <t xml:space="preserve">Årsheste (500 - 700 kg) </t>
  </si>
  <si>
    <t xml:space="preserve">Årsheste (300 - 500 kg) </t>
  </si>
  <si>
    <t xml:space="preserve">Årsheste (under 300 kg) </t>
  </si>
  <si>
    <t xml:space="preserve">Nord- jylland </t>
  </si>
  <si>
    <t xml:space="preserve">Midtjylland </t>
  </si>
  <si>
    <t xml:space="preserve">Syddanmark </t>
  </si>
  <si>
    <t xml:space="preserve">Sjælland </t>
  </si>
  <si>
    <t xml:space="preserve">Hoved- staden </t>
  </si>
  <si>
    <t xml:space="preserve">Udv. 2018 til 2019 </t>
  </si>
  <si>
    <t xml:space="preserve">I alt </t>
  </si>
  <si>
    <t xml:space="preserve">Region </t>
  </si>
  <si>
    <t xml:space="preserve">Navn </t>
  </si>
  <si>
    <t xml:space="preserve">Dyrekode </t>
  </si>
  <si>
    <t>Data fra: Statistik over økologiske jordbrugsbedrifter 2019</t>
  </si>
  <si>
    <t>2019</t>
  </si>
  <si>
    <t>Dyr (antal)</t>
  </si>
  <si>
    <t>Fjerkræ i alt</t>
  </si>
  <si>
    <t>Alle bedrifter med svin</t>
  </si>
  <si>
    <t>Alle bedrifter med kvæg</t>
  </si>
  <si>
    <t>Husdyrbestanden efter enhed, tid, område og art (HDYR07)</t>
  </si>
  <si>
    <t>Data på dyrehold</t>
  </si>
  <si>
    <t>Ændring ved OC6</t>
  </si>
  <si>
    <t>Ændring ved OC12</t>
  </si>
  <si>
    <t>Ændring ved økologisk</t>
  </si>
  <si>
    <t>Jordtyper</t>
  </si>
  <si>
    <t>Ikke organogen jord</t>
  </si>
  <si>
    <t>OC6</t>
  </si>
  <si>
    <t>Jord med OC mellem 6-12%</t>
  </si>
  <si>
    <t>OC12</t>
  </si>
  <si>
    <t>Jord med OC over 12%</t>
  </si>
  <si>
    <t>Arealnavne</t>
  </si>
  <si>
    <t>Bebyggelse &amp; infrastruktur</t>
  </si>
  <si>
    <t>Natur</t>
  </si>
  <si>
    <t>Omfordeling af jord</t>
  </si>
  <si>
    <t>Areal til havbrug</t>
  </si>
  <si>
    <t>Økologisk produktion</t>
  </si>
  <si>
    <t>Produktion af husdyr</t>
  </si>
  <si>
    <t>Halmudbytte</t>
  </si>
  <si>
    <t>Halmopsamling</t>
  </si>
  <si>
    <t>Afgrødefordeling på areal</t>
  </si>
  <si>
    <t>Input</t>
  </si>
  <si>
    <t>Output</t>
  </si>
  <si>
    <t>Befolkning</t>
  </si>
  <si>
    <t>Muslingeareal</t>
  </si>
  <si>
    <t>Tangfarmareal</t>
  </si>
  <si>
    <t>Slagtesvin</t>
  </si>
  <si>
    <t>Slagtekøer</t>
  </si>
  <si>
    <t>Råmælk</t>
  </si>
  <si>
    <t>Gødning</t>
  </si>
  <si>
    <t>Kartoffelmark</t>
  </si>
  <si>
    <t>Rapsmark</t>
  </si>
  <si>
    <t>Frøgræsmark</t>
  </si>
  <si>
    <t>Frø</t>
  </si>
  <si>
    <t>Træmaterialer</t>
  </si>
  <si>
    <t>Mejeriprodukter</t>
  </si>
  <si>
    <t>Tang</t>
  </si>
  <si>
    <t>Muslinger</t>
  </si>
  <si>
    <t>Biogas</t>
  </si>
  <si>
    <t>Æg</t>
  </si>
  <si>
    <t>Biogasgylle</t>
  </si>
  <si>
    <t>Enhed</t>
  </si>
  <si>
    <t>Antal</t>
  </si>
  <si>
    <t>Ton</t>
  </si>
  <si>
    <t>Svinekød</t>
  </si>
  <si>
    <t>Oksekød</t>
  </si>
  <si>
    <t>Kunstgødning</t>
  </si>
  <si>
    <t>Outputmængde [outputenhed/inputenhed]</t>
  </si>
  <si>
    <t>Bioaffald</t>
  </si>
  <si>
    <t>Affaldsproduktion efter tid, affaldsfraktion og branche</t>
  </si>
  <si>
    <t>Enhed: ton</t>
  </si>
  <si>
    <t>Husholdninger</t>
  </si>
  <si>
    <t>Brancher i alt</t>
  </si>
  <si>
    <t>Organisk affald</t>
  </si>
  <si>
    <t>Haveaffald</t>
  </si>
  <si>
    <t>Affald01, DST</t>
  </si>
  <si>
    <t>100010 Slagterier</t>
  </si>
  <si>
    <t>100030 Mejerier</t>
  </si>
  <si>
    <t>Grise I alt</t>
  </si>
  <si>
    <t>Eksport af svin</t>
  </si>
  <si>
    <t>STATISTIK 2019, grisekød, Landbrug og fødevarer</t>
  </si>
  <si>
    <t>Kilde:</t>
  </si>
  <si>
    <t>Total dyr</t>
  </si>
  <si>
    <t>Statistik 2019 grisekød, Statistik 2019 okse&amp;kalvekød, L&amp;F, ANI06, DST</t>
  </si>
  <si>
    <t>Proces</t>
  </si>
  <si>
    <t>Pil &amp; poppel</t>
  </si>
  <si>
    <t>Konventionel/økologisk</t>
  </si>
  <si>
    <t>Øvrige total</t>
  </si>
  <si>
    <t>[3] https://sp.landbrugsinfo.dk/Planteavl/Afgroeder/Energiafgroeder/Filer/pl_13_1318_Rapport.pdf</t>
  </si>
  <si>
    <t>FE</t>
  </si>
  <si>
    <t>CO2 - atmosfære</t>
  </si>
  <si>
    <t>t CO2-ækvivalenter</t>
  </si>
  <si>
    <t>Jordbundstype</t>
  </si>
  <si>
    <t>https://orgprints.org/28116/3/28116.pdf</t>
  </si>
  <si>
    <t>Agroland</t>
  </si>
  <si>
    <t>Grisestald</t>
  </si>
  <si>
    <t>Fjerkræbrug</t>
  </si>
  <si>
    <t>Kostald</t>
  </si>
  <si>
    <t>Total til biogas</t>
  </si>
  <si>
    <t>Areal-bælgsæd</t>
  </si>
  <si>
    <t>Areal-frøgræs</t>
  </si>
  <si>
    <t>Areal-græs</t>
  </si>
  <si>
    <t>Areal-grøntsager</t>
  </si>
  <si>
    <t>Areal-kartofler</t>
  </si>
  <si>
    <t>Areal-korn</t>
  </si>
  <si>
    <t>Areal-majs</t>
  </si>
  <si>
    <t>Areal-permanent græs</t>
  </si>
  <si>
    <t>Areal-pil-poppel</t>
  </si>
  <si>
    <t>Areal-raps</t>
  </si>
  <si>
    <t>Areal-roer</t>
  </si>
  <si>
    <t>Slagtefjerkræ</t>
  </si>
  <si>
    <t>Fjerkrækød</t>
  </si>
  <si>
    <t>Vestdanmark</t>
  </si>
  <si>
    <t>Østdanmark</t>
  </si>
  <si>
    <t>Befolkningsfremskrivning 2020 efter alder, område og tid</t>
  </si>
  <si>
    <t>Enhed: antal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</si>
  <si>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</si>
  <si>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</si>
  <si>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</si>
  <si>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</si>
  <si>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</si>
  <si>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</si>
  <si>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</si>
  <si>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</si>
  <si>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</si>
  <si>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</si>
  <si>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</si>
  <si>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</si>
  <si>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</si>
  <si>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</si>
  <si>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</si>
  <si>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</si>
  <si>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</si>
  <si>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</si>
  <si>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</si>
  <si>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</si>
  <si>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</si>
  <si>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</si>
  <si>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</si>
  <si>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</si>
  <si>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</si>
  <si>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</si>
  <si>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Alder i alt</t>
  </si>
  <si>
    <t xml:space="preserve">På grund af afrundinger vil summering af alle aldre i tabellen afvige fra hele regionens eller landsdelens folketal. </t>
  </si>
  <si>
    <t>OBS! Går kun til 2045</t>
  </si>
  <si>
    <t>Folketal den 1. i kvartalet efter køn, tid, område og alder</t>
  </si>
  <si>
    <t>2019K1</t>
  </si>
  <si>
    <t>Fremskrivning baseret på nedenstående tabel</t>
  </si>
  <si>
    <t>Direkte input til model</t>
  </si>
  <si>
    <t>https://pure.au.dk/portal/files/100422687/312_2016_Blaa_biomasse_potentialer_og_udfordringer_for_opdraet_af_muslinger_og_tang.pdf, s. 17</t>
  </si>
  <si>
    <t>Blå biomasse — potentialer og udfordringer for opdræt af muslinger og tang, s. 28 = 933 kg CO2/ha, omregnet til t C/ha</t>
  </si>
  <si>
    <t>Træ til energi</t>
  </si>
  <si>
    <t>FE/kg</t>
  </si>
  <si>
    <t>FE/ton</t>
  </si>
  <si>
    <t>Til energi</t>
  </si>
  <si>
    <t>Energi</t>
  </si>
  <si>
    <t>PJ</t>
  </si>
  <si>
    <t>PJ/ton</t>
  </si>
  <si>
    <t>PJ/m3</t>
  </si>
  <si>
    <t>Energi fra biomasse - Ressourcer og teknologier vurderet i et regionalt perspektiv: https://dcapub.au.dk/djfpdf/djfma134.pdf</t>
  </si>
  <si>
    <t>https://skat.dk/skat.aspx?oid=2603</t>
  </si>
  <si>
    <t>Foderproduktion</t>
  </si>
  <si>
    <t>Foder</t>
  </si>
  <si>
    <t>Resultat</t>
  </si>
  <si>
    <t>Direkte input</t>
  </si>
  <si>
    <t>Overskud</t>
  </si>
  <si>
    <t>kg N</t>
  </si>
  <si>
    <t>Antaget 16% N i gødningen</t>
  </si>
  <si>
    <t>Antagelse</t>
  </si>
  <si>
    <t>Foodwaste primary production</t>
  </si>
  <si>
    <t>Slagteriaffald til foder</t>
  </si>
  <si>
    <t>Slagteriaffald til andet</t>
  </si>
  <si>
    <t>Column1</t>
  </si>
  <si>
    <t>Split: Beslutning og ???</t>
  </si>
  <si>
    <t>Split: Biogasgylle resultat, gylle split med biogas, kunstgødning efterspørgsel?</t>
  </si>
  <si>
    <t>Beslutning og efterspørgsel</t>
  </si>
  <si>
    <t>Mælk til foder</t>
  </si>
  <si>
    <t>Nm3 CH4</t>
  </si>
  <si>
    <t>Emissions from current carbon rich soils per Ha/yr split into wet lands, farm and permanent grass areas</t>
  </si>
  <si>
    <t>Effect from soils</t>
  </si>
  <si>
    <t>Farm land</t>
  </si>
  <si>
    <t>Grass area</t>
  </si>
  <si>
    <t>t CO2e/year/ha</t>
  </si>
  <si>
    <t>LULUCF</t>
  </si>
  <si>
    <t>http://web.agrsci.dk/djfpublikation/djfpdf/DCArapport130.pdf</t>
  </si>
  <si>
    <t>https://dce2.au.dk/pub/SR318.pdf</t>
  </si>
  <si>
    <t>Protein</t>
  </si>
  <si>
    <t>Foderforbruget efter enhed, tid, fodermiddel og oprindelse</t>
  </si>
  <si>
    <t>Vægt (mio. kg)</t>
  </si>
  <si>
    <t>Foderværdi (mio. foderenheder)</t>
  </si>
  <si>
    <t>2018:2019</t>
  </si>
  <si>
    <t>Foderforbrug i alt</t>
  </si>
  <si>
    <t>Kraftfoderforbrug i alt</t>
  </si>
  <si>
    <t>Korn til foder i alt</t>
  </si>
  <si>
    <t>Hvede</t>
  </si>
  <si>
    <t>Byg</t>
  </si>
  <si>
    <t>Havre inkl. blandsæd</t>
  </si>
  <si>
    <t>Triticale</t>
  </si>
  <si>
    <t>Majs, milo, hirse</t>
  </si>
  <si>
    <t>Kornprodukter til foder i alt</t>
  </si>
  <si>
    <t>Hvedeklid</t>
  </si>
  <si>
    <t>Andre kornprodukter</t>
  </si>
  <si>
    <t>Oliekager, -mel og -skrå i alt</t>
  </si>
  <si>
    <t>Solsikkekager</t>
  </si>
  <si>
    <t>Sojakager</t>
  </si>
  <si>
    <t>Rapskager</t>
  </si>
  <si>
    <t>Andre oliekager</t>
  </si>
  <si>
    <t>Lucernemel, græsmel og græspiller</t>
  </si>
  <si>
    <t>Andre vegetabilske foderstoffer i alt</t>
  </si>
  <si>
    <t>Mask, bærme, fodergær og melasse</t>
  </si>
  <si>
    <t>Tapiocamel, citruskvas og guarmel</t>
  </si>
  <si>
    <t>Kød- og benmel og fiskemel i alt</t>
  </si>
  <si>
    <t>Kød- og benmel</t>
  </si>
  <si>
    <t>Fiskemel, -ensilage og -affald</t>
  </si>
  <si>
    <t>Mælk, mælkepulver og valle i alt</t>
  </si>
  <si>
    <t>Sødmælk</t>
  </si>
  <si>
    <t>Skummetmælkspulver</t>
  </si>
  <si>
    <t>Valle, returmælk m.v.</t>
  </si>
  <si>
    <t>Foderfedt</t>
  </si>
  <si>
    <t>Grovfoderforbrug i alt</t>
  </si>
  <si>
    <t>Fabriksroeaffald og pulp</t>
  </si>
  <si>
    <t>Fodersukkerroer og andre rodfrugter</t>
  </si>
  <si>
    <t>Roetop</t>
  </si>
  <si>
    <t>Græs og grøntfoder i alt</t>
  </si>
  <si>
    <t>Majs, ensilage</t>
  </si>
  <si>
    <t>Korn, helsædsensilage</t>
  </si>
  <si>
    <t>Græs og kløver i omdriften</t>
  </si>
  <si>
    <t>Græs og kløver udenfor omdriften</t>
  </si>
  <si>
    <t>Andet grøntfoder</t>
  </si>
  <si>
    <t xml:space="preserve">Tallene for opdelingen på dansk produceret og import er alene vist fra og med 2004/05. Bemærk i øvrigt at tallene for seneste år er foreløbige. </t>
  </si>
  <si>
    <t>DST</t>
  </si>
  <si>
    <t>Dansk produceret</t>
  </si>
  <si>
    <t>Importeret</t>
  </si>
  <si>
    <t>Modelnavn</t>
  </si>
  <si>
    <t>Import</t>
  </si>
  <si>
    <t>Forbrug</t>
  </si>
  <si>
    <t>Kilde, FE/kg</t>
  </si>
  <si>
    <t>%-del</t>
  </si>
  <si>
    <t>Importeret foder</t>
  </si>
  <si>
    <t>Oliekager</t>
  </si>
  <si>
    <t>Fodervægt</t>
  </si>
  <si>
    <t>Vægt</t>
  </si>
  <si>
    <t>Import erstattes med</t>
  </si>
  <si>
    <t>Import af foder</t>
  </si>
  <si>
    <t>Svinegylle</t>
  </si>
  <si>
    <t>Kvæggylle</t>
  </si>
  <si>
    <t>Fjerkrægylle</t>
  </si>
  <si>
    <t>TS indhold</t>
  </si>
  <si>
    <t>Spildevandsslam</t>
  </si>
  <si>
    <t>JB1, Årlig netto-udledning af CO2-ækvivalenter, t CO2 eq /ha/år</t>
  </si>
  <si>
    <t>OC6,  Årlig netto-udledning af CO2-ækvivalenter, t CO2 eq /ha/år</t>
  </si>
  <si>
    <t>OC12,  Årlig netto-udledning af CO2-ækvivalenter, t CO2 eq /ha/år</t>
  </si>
  <si>
    <t>Er fra Landbrugsdelen - Biomasse I 2030 - alle scenarier_udkast_19012021</t>
  </si>
  <si>
    <t>Antaget 41% tørstofindhold</t>
  </si>
  <si>
    <t>BioChain-projektet</t>
  </si>
  <si>
    <t>Væksthus</t>
  </si>
  <si>
    <t>Foodwaste primary production - skaleret op til at nå affaldsmængde i følge DST (se ark bioaffald)</t>
  </si>
  <si>
    <t>Foderenheder</t>
  </si>
  <si>
    <t>Mælk</t>
  </si>
  <si>
    <t>ton/dyr/år</t>
  </si>
  <si>
    <t>Slagtedyr</t>
  </si>
  <si>
    <t>Dyr</t>
  </si>
  <si>
    <t>antal</t>
  </si>
  <si>
    <t>Halmforbrug</t>
  </si>
  <si>
    <t>Pil: 18.4 MJ/kg I følge: https://ens.dk/sites/ens.dk/files/Bioenergi/pilerapport_til_ens.pdf</t>
  </si>
  <si>
    <t>Glycerin</t>
  </si>
  <si>
    <t>Kvælstofnorm, kg N/ha</t>
  </si>
  <si>
    <t>Kvælstofnorm fra https://lbst.dk/fileadmin/user_upload/NaturErhverv/Filer/Landbrug/Goedningsregnskab/Vejledning_om_goedsknings-_og_harmoniregler_2020_2021.pdf, tabel 1+2</t>
  </si>
  <si>
    <t>Udregning: for "Øvrige" er gennemsnittet af søjlen minus græs, for resten er taget et gennemsnit mellem JB1 og OC12</t>
  </si>
  <si>
    <t>Søren Tafdrup</t>
  </si>
  <si>
    <t>Ændring</t>
  </si>
  <si>
    <t>Hovedafgrøde</t>
  </si>
  <si>
    <t>CO2-ækvivalenter</t>
  </si>
  <si>
    <t>Have/parkaffald</t>
  </si>
  <si>
    <t>CO2-udledning, t CO2-ækvivalent per dyr</t>
  </si>
  <si>
    <t>Permanen grass</t>
  </si>
  <si>
    <t>Fra:</t>
  </si>
  <si>
    <t>Mindre CO2 fra nedbrydning</t>
  </si>
  <si>
    <t>Øget metan</t>
  </si>
  <si>
    <t>Mindre lattergas</t>
  </si>
  <si>
    <t>Sparet N-gødning</t>
  </si>
  <si>
    <t>Sparet ammoniakfordampning</t>
  </si>
  <si>
    <t>Reduceret N-udvaskning</t>
  </si>
  <si>
    <t>Reduceret brændstofforbrug</t>
  </si>
  <si>
    <t>Landbrug</t>
  </si>
  <si>
    <t>Fossil energi</t>
  </si>
  <si>
    <t>Særlig udregning for permanent græs</t>
  </si>
  <si>
    <t>Inkluderet i TIMES</t>
  </si>
  <si>
    <t>Biomasser til biogasanlæg - fjerkræ fra Landbrugsstyrelsens gødningsopgørelse</t>
  </si>
  <si>
    <t>JB1 farmland: her er brugt 602 - 794 da de 602 inkluderer emissioner fra ammoniak fordampning og ammoniakemissioner, se s. 76 fra DCA-rapporten</t>
  </si>
  <si>
    <t>Alle tal markeret er fra s. 76 I DCA-rapporten</t>
  </si>
  <si>
    <t>Frugtmark</t>
  </si>
  <si>
    <t>Øvrig mark</t>
  </si>
  <si>
    <t>Areal-frugt</t>
  </si>
  <si>
    <t>Areal-øvrige</t>
  </si>
  <si>
    <t>Areal-juletræer</t>
  </si>
  <si>
    <t>Juletræsmark</t>
  </si>
  <si>
    <t>[1] Danmarks statistik: HST77, 2019 - frø er fra FRO 2019, Frugt+grønt fra GARTN1, Juletræer fra: http://www.skovdyrkerne.dk/dyrkningsinfo/juletraeer-klippegroent/bevoksningspleje/goedskning/, Øvrige som gennemsnit af de ikke-flerårige afgrøder</t>
  </si>
  <si>
    <t>Estimat - baseret på Normtal 2020</t>
  </si>
  <si>
    <t>Træer</t>
  </si>
  <si>
    <t>Skovproduktion</t>
  </si>
  <si>
    <t>Basisskov</t>
  </si>
  <si>
    <t>Skovtype1</t>
  </si>
  <si>
    <t>Skovtype2</t>
  </si>
  <si>
    <t>Skovtype3</t>
  </si>
  <si>
    <t>Skovtype4</t>
  </si>
  <si>
    <t>Skovtype5</t>
  </si>
  <si>
    <t>Areal-skovtype1-10</t>
  </si>
  <si>
    <t>Areal-skovtype1-20</t>
  </si>
  <si>
    <t>Areal-skovtype1-30</t>
  </si>
  <si>
    <t>Areal-skovtype1-40</t>
  </si>
  <si>
    <t>Areal-skovtype2-10</t>
  </si>
  <si>
    <t>Areal-skovtype2-20</t>
  </si>
  <si>
    <t>Areal-skovtype2-30</t>
  </si>
  <si>
    <t>Areal-skovtype2-40</t>
  </si>
  <si>
    <t>Areal-skovtype3-10</t>
  </si>
  <si>
    <t>Areal-skovtype3-20</t>
  </si>
  <si>
    <t>Areal-skovtype3-30</t>
  </si>
  <si>
    <t>Areal-skovtype3-40</t>
  </si>
  <si>
    <t>Areal-skovtype4-10</t>
  </si>
  <si>
    <t>Areal-skovtype4-20</t>
  </si>
  <si>
    <t>Areal-skovtype4-30</t>
  </si>
  <si>
    <t>Areal-skovtype4-40</t>
  </si>
  <si>
    <t>Areal-skovtype5-10</t>
  </si>
  <si>
    <t>Areal-skovtype5-20</t>
  </si>
  <si>
    <t>Areal-skovtype5-30</t>
  </si>
  <si>
    <t>Areal-skovtype5-40</t>
  </si>
  <si>
    <t>Areal-basisskov</t>
  </si>
  <si>
    <r>
      <t xml:space="preserve"> </t>
    </r>
    <r>
      <rPr>
        <sz val="7.5"/>
        <color theme="1"/>
        <rFont val="Calibri"/>
        <family val="2"/>
        <scheme val="minor"/>
      </rPr>
      <t>0-10</t>
    </r>
  </si>
  <si>
    <t xml:space="preserve"> 10-20</t>
  </si>
  <si>
    <t xml:space="preserve"> 20-30</t>
  </si>
  <si>
    <t xml:space="preserve"> 30-40</t>
  </si>
  <si>
    <t xml:space="preserve"> 40-100</t>
  </si>
  <si>
    <t xml:space="preserve"> gns 0-100</t>
  </si>
  <si>
    <t>I: Løv, bøg, høj bonitet, Kulstof i lager (t CO2 eq/ha)</t>
  </si>
  <si>
    <t xml:space="preserve">Ændring i lager (AG+BG+DW+FF+SOM) (t CO2 eq/ha/år) </t>
  </si>
  <si>
    <t xml:space="preserve">Kulstof i høst (t CO2 eq/ha/år) </t>
  </si>
  <si>
    <t xml:space="preserve">I: Løv, bøg, lav bonitet, kulstof i lager (t CO2 eq/ha) </t>
  </si>
  <si>
    <t xml:space="preserve">I: Løv, eg, høj bonitet, kulstof i lager (t CO2 eq/ha) </t>
  </si>
  <si>
    <t xml:space="preserve">I: Løv, eg, lav bonitet, kulstof i lager (t CO2 eq/ha) </t>
  </si>
  <si>
    <t xml:space="preserve">I: Blandet løv med indblanding af nål, høj bonitet, kulstof i lager (t CO2 eq/ha) </t>
  </si>
  <si>
    <t xml:space="preserve">I: Blandet løv med indblanding af nål, lav bonitet, kulstof i lager (t CO2 eq/ha) </t>
  </si>
  <si>
    <t xml:space="preserve">I: Løv, bøg med ekstra brede skovbryn, høj bonitet, kulstof i lager (t CO2 eq/ha) </t>
  </si>
  <si>
    <t xml:space="preserve">I: Løv, bøg med ekstra brede skovbryn, lav bonitet, kulstof i lager (t CO2 eq/ha) </t>
  </si>
  <si>
    <t xml:space="preserve">II: Hurtigvoksende kultur, bøg med poppel, høj bonitet, kulstof i lager (t CO2 eq/ha) </t>
  </si>
  <si>
    <t xml:space="preserve">II: Hurtigvoksende kultur, eg med poppel, lav bonitet, kulstof i lager (t CO2 eq/ha) </t>
  </si>
  <si>
    <t xml:space="preserve">II: Hurtigvoksende kultur, douglasgran med poppel, høj bonitet, kulstof i lager (t CO2 eq/ha) </t>
  </si>
  <si>
    <t>5 8</t>
  </si>
  <si>
    <t xml:space="preserve">II: Hurtigvoksende kultur, rødgran med poppel, lav bonitet, kulstof i lager (t CO2 eq/ha) </t>
  </si>
  <si>
    <t>8 8</t>
  </si>
  <si>
    <t xml:space="preserve">II: Hurtigvoksende kultur, ½ douglasgran og ½ rødgran med lærk, høj bonitet, kulstof i lager (t CO2 eq/ha) </t>
  </si>
  <si>
    <t xml:space="preserve">II: Hurtigvoksende kultur, ½ douglasgran og ½ rødgran med lærk, lav bonitet, kulstof i lager (t CO2 eq/ha) </t>
  </si>
  <si>
    <t xml:space="preserve">III: Naturlig tilgroning, mange frøkilder (20 år), høj bonitet, kulstof i lager (t CO2 eq/ha) </t>
  </si>
  <si>
    <t xml:space="preserve">III: Naturlig tilgroning, få frøkilder (60 år), lav bonitet, kulstof i lager (t CO2 eq/ha) </t>
  </si>
  <si>
    <t xml:space="preserve">III: Naturlig tilgroning, Trædække under 50 % og max 5 m høj, kulstof i lager (t CO2 eq/ha) </t>
  </si>
  <si>
    <t xml:space="preserve">Reference I – NFI skovrejsning siden 1990 - NFAP model, kulstof i lager (t CO2 eq/ha) </t>
  </si>
  <si>
    <t xml:space="preserve">Reference II – NFI naturlig tilgroning siden 1990 - 50 % kronedække, kulstof i lager (t CO2 eq/ha) </t>
  </si>
  <si>
    <t xml:space="preserve">Reference III – Det danske skovareal – samlet ved konstant areal, kulstof i lager (t CO2 eq/ha) </t>
  </si>
  <si>
    <t xml:space="preserve">Reference IV, Suserup skov, urørt skov kulstof i lager (t CO2eq/ha) </t>
  </si>
  <si>
    <t xml:space="preserve">Reference V - Ophør af drift af 150 år gammel bøgeskov, kulstof i lager (t CO2 eq/ha) </t>
  </si>
  <si>
    <t>Reference III – Det danske skovareal</t>
  </si>
  <si>
    <t>I: Blandet løv med indblanding af nål</t>
  </si>
  <si>
    <t>II: Hurtigvoksende kultur, ½ douglasgran og ½ rødgran med lærk</t>
  </si>
  <si>
    <t>-</t>
  </si>
  <si>
    <t>Ændring I lager</t>
  </si>
  <si>
    <t>Kulstof I høst</t>
  </si>
  <si>
    <t>I: Løv, eg eller bøg</t>
  </si>
  <si>
    <t>II: Hurtigvoksende kultur, bøg eller eg med poppel</t>
  </si>
  <si>
    <t>III: Naturlig tilgroning</t>
  </si>
  <si>
    <t>t CO2eq/ha/år</t>
  </si>
  <si>
    <t>Sagsnotat: Kulstof skovrejsning 20200525</t>
  </si>
  <si>
    <t>m3</t>
  </si>
  <si>
    <t>Hugst</t>
  </si>
  <si>
    <t>Nål</t>
  </si>
  <si>
    <t>Løv</t>
  </si>
  <si>
    <t>Blandet</t>
  </si>
  <si>
    <t>Gennemsnit</t>
  </si>
  <si>
    <t>Tab</t>
  </si>
  <si>
    <t>m3/ha</t>
  </si>
  <si>
    <t>Brænde</t>
  </si>
  <si>
    <t>Fra Virkemidler til reduktion af klimagasser I landbruget, s. 95</t>
  </si>
  <si>
    <t>Fra Virkemidler til reduktion af klimagasser I landbruget, s. 94 - OBS: producerede mængder er fra 2015</t>
  </si>
  <si>
    <t>kg CH4 / dairy cow</t>
  </si>
  <si>
    <t>kg CH4/non-dairy</t>
  </si>
  <si>
    <t>kg CH4/swine</t>
  </si>
  <si>
    <t>Haner</t>
  </si>
  <si>
    <t>Kyllinger til tillæg</t>
  </si>
  <si>
    <t>Slagtekyllinger</t>
  </si>
  <si>
    <t>Høner</t>
  </si>
  <si>
    <t>Høns i alt</t>
  </si>
  <si>
    <t>Husdyrbestanden efter enhed, tid, art og område</t>
  </si>
  <si>
    <t xml:space="preserve">I 2012 er der kun vist tal for regioner, ikke landsdele </t>
  </si>
  <si>
    <t>Emissionsfaktor, kg CH4 fra DENMARK’S NATIONAL INVENTORY REPORT 2015 AND 2016</t>
  </si>
  <si>
    <t>kg CO2e</t>
  </si>
  <si>
    <t>CH4 udledning per dyr</t>
  </si>
  <si>
    <t>Økologi effekt</t>
  </si>
  <si>
    <t>Antal kvæg</t>
  </si>
  <si>
    <t>Ikke-malkekvæg</t>
  </si>
  <si>
    <t>Malkekvæg - fra DST</t>
  </si>
  <si>
    <t>DENMARK’S NATIONAL INVENTORY REPORT 2020</t>
  </si>
  <si>
    <t>Gasproduktion per ton [Nm3 CH4/ton]</t>
  </si>
  <si>
    <t>Græsprotein</t>
  </si>
  <si>
    <t>Proteinproces</t>
  </si>
  <si>
    <t>Fiberfraktion</t>
  </si>
  <si>
    <t>0.91 FE/kg TS fra MFVM-projekt</t>
  </si>
  <si>
    <t>1.1 FE/kg TS fra MFVM-projekt</t>
  </si>
  <si>
    <t>Pulp/fiber</t>
  </si>
  <si>
    <t>Brun saft</t>
  </si>
  <si>
    <t>Ton VV</t>
  </si>
  <si>
    <t>FE/kg TS</t>
  </si>
  <si>
    <t>% af VV</t>
  </si>
  <si>
    <t>FE/kg VV</t>
  </si>
  <si>
    <t>Produktion af græsprotein</t>
  </si>
  <si>
    <t>https://pure.au.dk/portal/files/136780099/Levering_Biomasseproduktion_i_Limfjordsopland.pdf</t>
  </si>
  <si>
    <t>Biogasudbytte, nm3 gas/ton TS</t>
  </si>
  <si>
    <t>Efterspørgsel på græsprotein</t>
  </si>
  <si>
    <t>2010</t>
  </si>
  <si>
    <t>2011</t>
  </si>
  <si>
    <t>2012</t>
  </si>
  <si>
    <t>2013</t>
  </si>
  <si>
    <t>2014</t>
  </si>
  <si>
    <t>2015</t>
  </si>
  <si>
    <t>2016</t>
  </si>
  <si>
    <t>2017</t>
  </si>
  <si>
    <t>Spildevandsudledning efter udledning, område, anlægstype og tid</t>
  </si>
  <si>
    <t>Spildevand, 1.000 m3</t>
  </si>
  <si>
    <t>Dambrug</t>
  </si>
  <si>
    <t>Havbrug</t>
  </si>
  <si>
    <t>Industriel udledning</t>
  </si>
  <si>
    <t>Almene renseanlæg</t>
  </si>
  <si>
    <t>Spredt bebyggelse ikke tilsluttet kloakering</t>
  </si>
  <si>
    <t>Regnbetinget udledning</t>
  </si>
  <si>
    <t>Spildevandsslam 2012, miljøministeriet, ton TS</t>
  </si>
  <si>
    <t>EMR</t>
  </si>
  <si>
    <t>Spildevand</t>
  </si>
  <si>
    <t>mio m3/år</t>
  </si>
  <si>
    <t>Biogasproduktion</t>
  </si>
  <si>
    <t>mio m3 biogas/år</t>
  </si>
  <si>
    <t>m3 biogas/m3 spildevand</t>
  </si>
  <si>
    <t>Metanproduktion</t>
  </si>
  <si>
    <t>m3 CH4/m3 spildevand</t>
  </si>
  <si>
    <t>Faktor</t>
  </si>
  <si>
    <t>Antaget spildevandsproduktion</t>
  </si>
  <si>
    <t>Spildevandsslamproduktion</t>
  </si>
  <si>
    <t>1000 m3 spildevand</t>
  </si>
  <si>
    <t>Densitet</t>
  </si>
  <si>
    <t>ton spildevandsslam/m3 spildevand</t>
  </si>
  <si>
    <t>Konvertering af spildevand til spildevandsslam</t>
  </si>
  <si>
    <t>Hugst/areal I DST</t>
  </si>
  <si>
    <t>Multiplikationsfaktor</t>
  </si>
  <si>
    <t>Basisskov:</t>
  </si>
  <si>
    <t>Hugst, skovstatistik</t>
  </si>
  <si>
    <t>Produktion, Energistatistik</t>
  </si>
  <si>
    <t>Energitræ som flis</t>
  </si>
  <si>
    <t>Energitræ som rundtræ</t>
  </si>
  <si>
    <t>Gavntræ som træaffald</t>
  </si>
  <si>
    <t>Organisk affald (inkl. madaffald, ophørt fra 2018)</t>
  </si>
  <si>
    <t>Organisk affald, andet (fra 2018)</t>
  </si>
  <si>
    <t>Madaffald (fra 2018)</t>
  </si>
  <si>
    <t>Madaffald - husholdninger - udregnet fra spild+udsorteret</t>
  </si>
  <si>
    <t>ton/indbygger</t>
  </si>
  <si>
    <t>ton spildevandsslam</t>
  </si>
  <si>
    <t>Organisk affald, DST</t>
  </si>
  <si>
    <t>Fra MFVM projektet</t>
  </si>
  <si>
    <t>https://www.trae.dk/artikel/traearternes-egenskaber-som-braende/</t>
  </si>
  <si>
    <t>Antagelse! Baseret på: https://dcapub.au.dk/djfpublikation/djfpdf/djfhd36.pdf, konventionel svin er skaleret til at passe med halm brugt til energi I HALM01 fra DST</t>
  </si>
  <si>
    <t>Rapskage</t>
  </si>
  <si>
    <t>Rapsolie</t>
  </si>
  <si>
    <t>Rapskageproduktion</t>
  </si>
  <si>
    <t>Model/DST</t>
  </si>
  <si>
    <t>Energistatistik</t>
  </si>
  <si>
    <t>Udregning fra Energistatistik, DST og model (se nedenfor)</t>
  </si>
  <si>
    <t>Udregning fra Energistatistik, model og skovstatistik (se nedenfor)</t>
  </si>
  <si>
    <t>Halm til energi</t>
  </si>
  <si>
    <t>DST, Halm01</t>
  </si>
  <si>
    <t>Halm til biogas</t>
  </si>
  <si>
    <t>2-7 tons ifølge "Blå biomasse — potentialer og udfordringer for opdræt af muslinger og tang", s. 23, antaget stigning op til 5-gange I 2025</t>
  </si>
  <si>
    <t>Mængde divideret med kapacitet fra hhv: https://fiskeristatistik.fiskeristyrelsen.dk/stat/Akvakultur_tab/prod_reg_maengde_19.html og https://fiskeristatistik.fiskeristyrelsen.dk/stat/Akvakultur_tab/kapacitet_19.html</t>
  </si>
  <si>
    <t>Fra opgørelsen nedenfor</t>
  </si>
  <si>
    <t>Procentdel indenfor typen</t>
  </si>
  <si>
    <t>Procentdel * Arealanvendelse DK-BioRes</t>
  </si>
  <si>
    <t>Heraf &gt; 6% C</t>
  </si>
  <si>
    <t>El</t>
  </si>
  <si>
    <t>Elefantgræs</t>
  </si>
  <si>
    <t>Fodersukkerroer</t>
  </si>
  <si>
    <t>græs og kløvermark i omdrift, frø til udsæd</t>
  </si>
  <si>
    <t>Græs uden for omdrift</t>
  </si>
  <si>
    <t>Græsarealer</t>
  </si>
  <si>
    <t>Grøntsager, friland</t>
  </si>
  <si>
    <t>korn (vinter)</t>
  </si>
  <si>
    <t>korn (vår)</t>
  </si>
  <si>
    <t>Lavskov</t>
  </si>
  <si>
    <t>majs</t>
  </si>
  <si>
    <t>MFO - El</t>
  </si>
  <si>
    <t>MFO - Lavskov</t>
  </si>
  <si>
    <t>MFO - Pil</t>
  </si>
  <si>
    <t>MFO - Poppel (0-100 træer pr. ha)</t>
  </si>
  <si>
    <t>Pil</t>
  </si>
  <si>
    <t>Poppel (0-100 træer pr. ha)</t>
  </si>
  <si>
    <t>raps</t>
  </si>
  <si>
    <t>Rørgræs</t>
  </si>
  <si>
    <t>Vådområder med udtagning</t>
  </si>
  <si>
    <t>Procentdel af total areal</t>
  </si>
  <si>
    <t>2019 - Gruppe</t>
  </si>
  <si>
    <t>Andet*</t>
  </si>
  <si>
    <t>Beholdt samme tal fra 2018 - Gruppe</t>
  </si>
  <si>
    <t>Afgrøder på lavbund</t>
  </si>
  <si>
    <t>Retur/produceret</t>
  </si>
  <si>
    <t>Foodwaste primary production + returmælk udregning på Dyrehold-ark</t>
  </si>
  <si>
    <t>Returmælk + mælkepulver til foder (DST - FODER6)</t>
  </si>
  <si>
    <t>Arealanvendelse - land</t>
  </si>
  <si>
    <t>Erstatning af kødforbrug</t>
  </si>
  <si>
    <t>Udsorteringsgrad</t>
  </si>
  <si>
    <t>Undgåeligt madaffald fra service sektor</t>
  </si>
  <si>
    <t>Skovbrug</t>
  </si>
  <si>
    <t>Forbrug af materialer</t>
  </si>
  <si>
    <t>Fordeling af type ny skov der plantes</t>
  </si>
  <si>
    <t>Forbrug af danske materialer, %-del af restprodukter</t>
  </si>
  <si>
    <t>Inputmængder til biogasanlæg</t>
  </si>
  <si>
    <t>Udbyttestigning</t>
  </si>
  <si>
    <t>Organogene jorde til permanent græs</t>
  </si>
  <si>
    <t>2. Tryk "Åben scenarie-fil" og begynd på opbygningen af dit scenarie</t>
  </si>
  <si>
    <t>DK-BioRes er en regnearksmodel beregnet til at bestemme potentialet for bioenergi i Danmark under forskellige forudsætninger for arealanvendelse, landbrugstyper, fødevareforbrug osv.</t>
  </si>
  <si>
    <t>Fra Esben AU - vist nok udtræk fra GLR</t>
  </si>
  <si>
    <t>Arealanvendelse</t>
  </si>
  <si>
    <t>Mejerier</t>
  </si>
  <si>
    <r>
      <t xml:space="preserve">Mælk sendt til mejerier (tal fra </t>
    </r>
    <r>
      <rPr>
        <i/>
        <u/>
        <sz val="11"/>
        <color theme="1"/>
        <rFont val="Calibri"/>
        <family val="2"/>
        <scheme val="minor"/>
      </rPr>
      <t>Dyrehold</t>
    </r>
    <r>
      <rPr>
        <sz val="11"/>
        <color theme="1"/>
        <rFont val="Calibri"/>
        <family val="2"/>
        <scheme val="minor"/>
      </rPr>
      <t xml:space="preserve"> celle D13 og D14):</t>
    </r>
  </si>
  <si>
    <t>Hugst af træbiomasse fra skoven</t>
  </si>
  <si>
    <t>Aldersklasse</t>
  </si>
  <si>
    <t>Fra "Opgradering af biogas til biometan, Et projektsamarbejde med VandCenter Syd, Ejby Mølle Renseanlæg", bachelorprojekt SDU</t>
  </si>
  <si>
    <t>Spildvandslamsproduktion</t>
  </si>
  <si>
    <t>År i modellen</t>
  </si>
  <si>
    <t>JB1-10</t>
  </si>
  <si>
    <t>Råvare</t>
  </si>
  <si>
    <t>Inputtype</t>
  </si>
  <si>
    <t>Arealanvendelse i Danmark</t>
  </si>
  <si>
    <t>Fordeling af total areal</t>
  </si>
  <si>
    <r>
      <t xml:space="preserve">Overføres til </t>
    </r>
    <r>
      <rPr>
        <i/>
        <u/>
        <sz val="11"/>
        <color theme="1"/>
        <rFont val="Calibri"/>
        <family val="2"/>
        <scheme val="minor"/>
      </rPr>
      <t>Processer - data</t>
    </r>
  </si>
  <si>
    <t>FE/dyr/år</t>
  </si>
  <si>
    <t>antal per dyr/år</t>
  </si>
  <si>
    <t>Data fra AGROLAND! Reguleret ned til 77% for at matche DST's opgivede foderforbrug</t>
  </si>
  <si>
    <t>Navn i Danmarks skovstatistik, hugsttabel</t>
  </si>
  <si>
    <t xml:space="preserve">Sortgrp </t>
  </si>
  <si>
    <t xml:space="preserve">dkl75 </t>
  </si>
  <si>
    <t xml:space="preserve">Jylland – løv </t>
  </si>
  <si>
    <t xml:space="preserve">Usew </t>
  </si>
  <si>
    <t xml:space="preserve">Fuel </t>
  </si>
  <si>
    <t xml:space="preserve">Tab </t>
  </si>
  <si>
    <t xml:space="preserve">Jylland – nål </t>
  </si>
  <si>
    <t xml:space="preserve">Øerne – løv </t>
  </si>
  <si>
    <t>dkl15</t>
  </si>
  <si>
    <t>dkl25</t>
  </si>
  <si>
    <t>dkl45</t>
  </si>
  <si>
    <t>dkl55</t>
  </si>
  <si>
    <t>dkl65</t>
  </si>
  <si>
    <t>dkl5</t>
  </si>
  <si>
    <t>dkl35</t>
  </si>
  <si>
    <t>dkl100</t>
  </si>
  <si>
    <t>Sagsnotat: "Kulstofbinding ved skovrejsning 2020"</t>
  </si>
  <si>
    <t>Biogasudbytte Nm3/ton VV</t>
  </si>
  <si>
    <t>Nedre brændværdi</t>
  </si>
  <si>
    <t>DK-BioRes 2019</t>
  </si>
  <si>
    <t>Til biogas, DK-BioRes</t>
  </si>
  <si>
    <t>Have/parkaffald og bioaffald</t>
  </si>
  <si>
    <t>Foderforbrug</t>
  </si>
  <si>
    <t>Eksport</t>
  </si>
  <si>
    <t>% af alle dyr</t>
  </si>
  <si>
    <t>Landbrug (modelresultat)</t>
  </si>
  <si>
    <t>Industriaffald - ikke inkluderede industrier</t>
  </si>
  <si>
    <t>Skaleringsfaktor</t>
  </si>
  <si>
    <t>Total affaldsproduktion (minus organisk industriaffald)</t>
  </si>
  <si>
    <t>Total affald</t>
  </si>
  <si>
    <t>Skaleret til at passe med DST, affald 01 (se bioaffald)</t>
  </si>
  <si>
    <t>Fra: Food Waste in the Danish Primary Production and Food Industry - skaleret op til at passe med DST</t>
  </si>
  <si>
    <t xml:space="preserve">Organisk affald (kun husholdninger) og madaffald (H+B), mængde: </t>
  </si>
  <si>
    <t>Lattergas</t>
  </si>
  <si>
    <t>N-gødning</t>
  </si>
  <si>
    <t>I modellen pt.</t>
  </si>
  <si>
    <t>3.  Agriculture</t>
  </si>
  <si>
    <t>A.  Enteric fermentation</t>
  </si>
  <si>
    <t>B.  Manure management</t>
  </si>
  <si>
    <t>C.  Rice cultivation</t>
  </si>
  <si>
    <t>NO</t>
  </si>
  <si>
    <t>D.  Agricultural soils</t>
  </si>
  <si>
    <t>E.  Prescribed burning of savannas</t>
  </si>
  <si>
    <t>F.  Field burning of agricultural residues</t>
  </si>
  <si>
    <t>G. Liming</t>
  </si>
  <si>
    <t>H. Urea application</t>
  </si>
  <si>
    <t>I.  Other carbon-containing fertilizers</t>
  </si>
  <si>
    <t xml:space="preserve">J.  Other </t>
  </si>
  <si>
    <t>NA</t>
  </si>
  <si>
    <r>
      <t>4. Land use, land-use change and forestry</t>
    </r>
    <r>
      <rPr>
        <b/>
        <vertAlign val="superscript"/>
        <sz val="9"/>
        <rFont val="Times New Roman"/>
        <family val="1"/>
      </rPr>
      <t>(2)</t>
    </r>
  </si>
  <si>
    <t>B.  Cropland</t>
  </si>
  <si>
    <t>CH4 dyr</t>
  </si>
  <si>
    <t>Antal ha 2019</t>
  </si>
  <si>
    <t>Dairy Cattle</t>
  </si>
  <si>
    <t>Non-Dairy Cattle</t>
  </si>
  <si>
    <t>Sheep</t>
  </si>
  <si>
    <t>Other</t>
  </si>
  <si>
    <t>Goats</t>
  </si>
  <si>
    <t>Horses</t>
  </si>
  <si>
    <t>Swine</t>
  </si>
  <si>
    <t>Poultry</t>
  </si>
  <si>
    <t>Fur farming</t>
  </si>
  <si>
    <t>Deer</t>
  </si>
  <si>
    <t>Ostrich</t>
  </si>
  <si>
    <t>Pheasant</t>
  </si>
  <si>
    <t>CH4-manure</t>
  </si>
  <si>
    <t>kg CH4/dyr</t>
  </si>
  <si>
    <t>Slam</t>
  </si>
  <si>
    <t>Cattle - untreated liquid manure</t>
  </si>
  <si>
    <t>Cattle - biogas treated liquid manure</t>
  </si>
  <si>
    <t>Swine - untreated liquid manure</t>
  </si>
  <si>
    <t>Swine - biogas treated liquid manure</t>
  </si>
  <si>
    <t>Fur bearing animals - liquid manure</t>
  </si>
  <si>
    <t>Reduktion ved biogasanlæg</t>
  </si>
  <si>
    <t>MCF</t>
  </si>
  <si>
    <t>DENMARK'S EMISSION INVENTORY, ANNEX 3D</t>
  </si>
  <si>
    <t>Total emissions</t>
  </si>
  <si>
    <t>DNM_2020_1990_15052020_171821: https://cdr.eionet.europa.eu/dk/Air_Emission_Inventories/Submission_UNFCCC/colxtiv9g/envxtiwnw/index_html?&amp;page=2</t>
  </si>
  <si>
    <t>DENMARK'S EMISSION INVENTORY, Annex 3D</t>
  </si>
  <si>
    <t>CO2-emission per ton gylle</t>
  </si>
  <si>
    <t>Pyrolyseproces</t>
  </si>
  <si>
    <t>Beslutning</t>
  </si>
  <si>
    <t>Pyrolysegas</t>
  </si>
  <si>
    <t>CO-reduktion</t>
  </si>
  <si>
    <t>Masse og energibalance pyrolyse af halm (SkyClean)</t>
  </si>
  <si>
    <t>Kg</t>
  </si>
  <si>
    <t>Kg C/ton halm</t>
  </si>
  <si>
    <t>Ton CO2 - atmosfære</t>
  </si>
  <si>
    <t>Molmasse</t>
  </si>
  <si>
    <t>g/mol</t>
  </si>
  <si>
    <t>C</t>
  </si>
  <si>
    <t>O</t>
  </si>
  <si>
    <t>t CO2e</t>
  </si>
  <si>
    <t>ton</t>
  </si>
  <si>
    <t>Pyrolyseolie</t>
  </si>
  <si>
    <t>Fra udregning på procesdata-arket</t>
  </si>
  <si>
    <t>Fra: https://www.stiesdal.com/wp-content/uploads/2021/03/EA-Energianalyse-SkyClean-pyrolyse-af-halm-og-nedmuldning-af-biokul-som-klimavirkemiddel-feb-2021.pdf</t>
  </si>
  <si>
    <t>Egne udregninger</t>
  </si>
  <si>
    <r>
      <t xml:space="preserve">1. En scenariefil vælges nedenfor i celle B7 - scenariefilen skal være placeret i samme folder som denne fil og være </t>
    </r>
    <r>
      <rPr>
        <b/>
        <sz val="11"/>
        <color theme="1"/>
        <rFont val="Calibri"/>
        <family val="2"/>
        <scheme val="minor"/>
      </rPr>
      <t xml:space="preserve">uden </t>
    </r>
    <r>
      <rPr>
        <sz val="11"/>
        <color theme="1"/>
        <rFont val="Calibri"/>
        <family val="2"/>
        <scheme val="minor"/>
      </rPr>
      <t>mellemrum i navnet</t>
    </r>
  </si>
  <si>
    <t>BAU</t>
  </si>
  <si>
    <t>Her trækkes den organiske affald fra 2018 ud, og den udregnede lægges til.</t>
  </si>
  <si>
    <t>Danmark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</si>
</sst>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"/>
    <numFmt numFmtId="167" formatCode="0.0%"/>
    <numFmt numFmtId="168" formatCode="0.0000"/>
    <numFmt numFmtId="169" formatCode="0.000000"/>
    <numFmt numFmtId="170" formatCode="0.0"/>
    <numFmt numFmtId="171" formatCode="0.0000000"/>
    <numFmt numFmtId="172" formatCode="_-* #,##0.00\ _F_-;\-* #,##0.00\ _F_-;_-* &quot;-&quot;??\ _F_-;_-@_-"/>
    <numFmt numFmtId="173" formatCode="#,##0.0000"/>
    <numFmt numFmtId="174" formatCode="0.00000"/>
  </numFmts>
  <fonts count="8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b/>
      <sz val="13"/>
      <color rgb="FF000000"/>
      <name val="Calibri"/>
      <family val="2"/>
    </font>
    <font>
      <sz val="8"/>
      <color rgb="FF000000"/>
      <name val="Arial"/>
      <family val="2"/>
    </font>
    <font>
      <sz val="12"/>
      <color rgb="FF000000"/>
      <name val="Times New Roman"/>
      <family val="1"/>
    </font>
    <font>
      <sz val="8.5"/>
      <color rgb="FF000000"/>
      <name val="Times New Roman"/>
      <family val="1"/>
    </font>
    <font>
      <sz val="9"/>
      <color rgb="FF000000"/>
      <name val="Times New Roman"/>
      <family val="1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9.5"/>
      <color theme="1"/>
      <name val="Calibri"/>
      <family val="2"/>
      <scheme val="minor"/>
    </font>
    <font>
      <sz val="7.5"/>
      <color theme="1"/>
      <name val="Calibri"/>
      <family val="2"/>
      <scheme val="minor"/>
    </font>
    <font>
      <sz val="10"/>
      <name val="Segoe UI"/>
      <family val="2"/>
    </font>
    <font>
      <sz val="10"/>
      <name val="Helvetica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.5"/>
      <color rgb="FF181717"/>
      <name val="Times New Roman"/>
      <family val="1"/>
    </font>
    <font>
      <sz val="7.5"/>
      <color rgb="FF181717"/>
      <name val="Arial"/>
      <family val="2"/>
    </font>
    <font>
      <b/>
      <sz val="7.5"/>
      <color rgb="FF181717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2"/>
      <name val="Times New Roman"/>
      <family val="1"/>
    </font>
    <font>
      <sz val="9"/>
      <color indexed="8"/>
      <name val="Times New Roman"/>
      <family val="1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b/>
      <vertAlign val="superscript"/>
      <sz val="9"/>
      <name val="Times New Roman"/>
      <family val="1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0"/>
      <name val="Arial"/>
      <family val="2"/>
    </font>
    <font>
      <u/>
      <sz val="10"/>
      <color indexed="12"/>
      <name val="Times New Roman"/>
      <family val="1"/>
    </font>
    <font>
      <sz val="11"/>
      <color indexed="8"/>
      <name val="Calibri"/>
      <family val="2"/>
      <charset val="186"/>
    </font>
    <font>
      <sz val="11"/>
      <color indexed="9"/>
      <name val="Calibri"/>
      <family val="2"/>
    </font>
    <font>
      <sz val="11"/>
      <color indexed="9"/>
      <name val="Calibri"/>
      <family val="2"/>
      <charset val="186"/>
    </font>
    <font>
      <b/>
      <sz val="11"/>
      <color indexed="63"/>
      <name val="Calibri"/>
      <family val="2"/>
    </font>
    <font>
      <sz val="11"/>
      <color indexed="20"/>
      <name val="Calibri"/>
      <family val="2"/>
      <charset val="186"/>
    </font>
    <font>
      <b/>
      <sz val="11"/>
      <color indexed="52"/>
      <name val="Calibri"/>
      <family val="2"/>
    </font>
    <font>
      <b/>
      <sz val="11"/>
      <color indexed="52"/>
      <name val="Calibri"/>
      <family val="2"/>
      <charset val="186"/>
    </font>
    <font>
      <b/>
      <sz val="11"/>
      <color indexed="9"/>
      <name val="Calibri"/>
      <family val="2"/>
      <charset val="186"/>
    </font>
    <font>
      <sz val="8"/>
      <name val="Helvetica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i/>
      <sz val="11"/>
      <color indexed="23"/>
      <name val="Calibri"/>
      <family val="2"/>
      <charset val="186"/>
    </font>
    <font>
      <sz val="11"/>
      <color indexed="17"/>
      <name val="Calibri"/>
      <family val="2"/>
      <charset val="186"/>
    </font>
    <font>
      <sz val="11"/>
      <color indexed="17"/>
      <name val="Calibri"/>
      <family val="2"/>
    </font>
    <font>
      <b/>
      <sz val="15"/>
      <color indexed="56"/>
      <name val="Calibri"/>
      <family val="2"/>
      <charset val="186"/>
    </font>
    <font>
      <b/>
      <sz val="13"/>
      <color indexed="56"/>
      <name val="Calibri"/>
      <family val="2"/>
      <charset val="186"/>
    </font>
    <font>
      <b/>
      <sz val="11"/>
      <color indexed="56"/>
      <name val="Calibri"/>
      <family val="2"/>
      <charset val="186"/>
    </font>
    <font>
      <sz val="11"/>
      <color indexed="62"/>
      <name val="Calibri"/>
      <family val="2"/>
      <charset val="186"/>
    </font>
    <font>
      <sz val="11"/>
      <color indexed="52"/>
      <name val="Calibri"/>
      <family val="2"/>
      <charset val="186"/>
    </font>
    <font>
      <sz val="11"/>
      <color indexed="60"/>
      <name val="Calibri"/>
      <family val="2"/>
      <charset val="186"/>
    </font>
    <font>
      <sz val="10"/>
      <name val="Arial"/>
      <family val="2"/>
      <charset val="186"/>
    </font>
    <font>
      <b/>
      <sz val="11"/>
      <color indexed="63"/>
      <name val="Calibri"/>
      <family val="2"/>
      <charset val="186"/>
    </font>
    <font>
      <sz val="11"/>
      <color indexed="20"/>
      <name val="Calibri"/>
      <family val="2"/>
    </font>
    <font>
      <b/>
      <sz val="18"/>
      <color indexed="56"/>
      <name val="Cambria"/>
      <family val="2"/>
      <charset val="186"/>
    </font>
    <font>
      <b/>
      <sz val="11"/>
      <color indexed="8"/>
      <name val="Calibri"/>
      <family val="2"/>
      <charset val="186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  <charset val="186"/>
    </font>
    <font>
      <b/>
      <sz val="11"/>
      <color indexed="9"/>
      <name val="Calibri"/>
      <family val="2"/>
    </font>
    <font>
      <u/>
      <sz val="10"/>
      <color indexed="12"/>
      <name val="Times New Roman"/>
      <family val="1"/>
      <charset val="186"/>
    </font>
    <font>
      <sz val="10"/>
      <name val="Arial"/>
      <family val="2"/>
      <charset val="204"/>
    </font>
    <font>
      <b/>
      <sz val="11"/>
      <color indexed="12"/>
      <name val="Arial"/>
      <family val="2"/>
      <charset val="204"/>
    </font>
    <font>
      <sz val="8"/>
      <name val="Helvetica"/>
      <family val="2"/>
    </font>
    <font>
      <sz val="8.5"/>
      <color theme="1"/>
      <name val="Arial"/>
      <family val="2"/>
    </font>
    <font>
      <sz val="8.5"/>
      <name val="Arial"/>
      <family val="2"/>
    </font>
    <font>
      <sz val="12"/>
      <name val="Arial"/>
      <family val="2"/>
    </font>
  </fonts>
  <fills count="8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41467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rgb="FFFFA07A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BFE9E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rgb="FFFFA07A"/>
      </patternFill>
    </fill>
    <fill>
      <patternFill patternType="solid">
        <fgColor rgb="FFFFA07A"/>
        <bgColor rgb="FFFFA07A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22"/>
        <bgColor indexed="0"/>
      </patternFill>
    </fill>
    <fill>
      <patternFill patternType="solid">
        <fgColor rgb="FFFFC0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darkTrellis"/>
    </fill>
    <fill>
      <patternFill patternType="solid">
        <fgColor rgb="FFFFFFFF"/>
      </patternFill>
    </fill>
    <fill>
      <patternFill patternType="solid">
        <fgColor rgb="FFCCFFFF"/>
      </patternFill>
    </fill>
  </fills>
  <borders count="9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/>
      <bottom style="medium">
        <color rgb="FF003127"/>
      </bottom>
      <diagonal/>
    </border>
    <border>
      <left/>
      <right/>
      <top style="medium">
        <color rgb="FF003127"/>
      </top>
      <bottom style="medium">
        <color rgb="FF003127"/>
      </bottom>
      <diagonal/>
    </border>
    <border>
      <left/>
      <right/>
      <top style="medium">
        <color rgb="FF003127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auto="1"/>
      </left>
      <right/>
      <top style="medium">
        <color indexed="64"/>
      </top>
      <bottom/>
      <diagonal/>
    </border>
    <border>
      <left/>
      <right style="thick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181717"/>
      </left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/>
      <top/>
      <bottom style="medium">
        <color rgb="FF181717"/>
      </bottom>
      <diagonal/>
    </border>
    <border>
      <left/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/>
      <top style="medium">
        <color rgb="FF181717"/>
      </top>
      <bottom style="medium">
        <color rgb="FF181717"/>
      </bottom>
      <diagonal/>
    </border>
    <border>
      <left/>
      <right/>
      <top style="medium">
        <color rgb="FF181717"/>
      </top>
      <bottom style="medium">
        <color rgb="FF181717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rgb="FF000000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947">
    <xf numFmtId="0" fontId="0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7" fillId="0" borderId="0" applyNumberFormat="0" applyBorder="0" applyAlignment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6" fillId="0" borderId="0"/>
    <xf numFmtId="0" fontId="7" fillId="0" borderId="0" applyNumberFormat="0" applyBorder="0" applyAlignment="0"/>
    <xf numFmtId="0" fontId="26" fillId="0" borderId="0"/>
    <xf numFmtId="0" fontId="34" fillId="30" borderId="68" applyNumberFormat="0" applyAlignment="0" applyProtection="0"/>
    <xf numFmtId="0" fontId="38" fillId="0" borderId="0" applyNumberFormat="0" applyFill="0" applyBorder="0" applyAlignment="0" applyProtection="0"/>
    <xf numFmtId="0" fontId="39" fillId="0" borderId="0" applyNumberFormat="0">
      <alignment horizontal="right"/>
    </xf>
    <xf numFmtId="0" fontId="40" fillId="0" borderId="0"/>
    <xf numFmtId="0" fontId="41" fillId="0" borderId="0" applyNumberForma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41">
      <alignment horizontal="right" vertical="center"/>
    </xf>
    <xf numFmtId="0" fontId="40" fillId="0" borderId="0" applyNumberFormat="0" applyFont="0" applyFill="0" applyBorder="0" applyProtection="0">
      <alignment horizontal="left" vertical="center" indent="2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51" borderId="0" applyNumberFormat="0" applyFon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2" fillId="0" borderId="1" applyNumberFormat="0" applyFill="0" applyAlignment="0" applyProtection="0"/>
    <xf numFmtId="0" fontId="39" fillId="0" borderId="72">
      <alignment horizontal="left" vertical="top" wrapText="1"/>
    </xf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0" fillId="0" borderId="16"/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0" borderId="12">
      <alignment horizontal="right" vertical="center"/>
    </xf>
    <xf numFmtId="0" fontId="42" fillId="0" borderId="12">
      <alignment horizontal="right" vertical="center"/>
    </xf>
    <xf numFmtId="4" fontId="40" fillId="0" borderId="0"/>
    <xf numFmtId="0" fontId="39" fillId="52" borderId="11">
      <alignment horizontal="right" vertical="center"/>
    </xf>
    <xf numFmtId="0" fontId="39" fillId="52" borderId="12">
      <alignment horizontal="right" vertical="center"/>
    </xf>
    <xf numFmtId="0" fontId="39" fillId="52" borderId="9">
      <alignment horizontal="right" vertical="center"/>
    </xf>
    <xf numFmtId="4" fontId="39" fillId="52" borderId="43">
      <alignment horizontal="right" vertical="center"/>
    </xf>
    <xf numFmtId="0" fontId="42" fillId="0" borderId="0"/>
    <xf numFmtId="0" fontId="42" fillId="55" borderId="1">
      <alignment horizontal="right" vertical="center"/>
    </xf>
    <xf numFmtId="0" fontId="42" fillId="55" borderId="0" applyBorder="0">
      <alignment horizontal="right" vertical="center"/>
    </xf>
    <xf numFmtId="0" fontId="40" fillId="0" borderId="0"/>
    <xf numFmtId="0" fontId="40" fillId="54" borderId="1"/>
    <xf numFmtId="4" fontId="40" fillId="0" borderId="0"/>
    <xf numFmtId="4" fontId="42" fillId="0" borderId="1" applyFill="0" applyBorder="0" applyProtection="0">
      <alignment horizontal="right" vertical="center"/>
    </xf>
    <xf numFmtId="0" fontId="47" fillId="0" borderId="0" applyNumberFormat="0" applyFill="0" applyBorder="0" applyAlignment="0" applyProtection="0"/>
    <xf numFmtId="0" fontId="42" fillId="0" borderId="0"/>
    <xf numFmtId="4" fontId="40" fillId="0" borderId="0"/>
    <xf numFmtId="4" fontId="40" fillId="0" borderId="0"/>
    <xf numFmtId="0" fontId="6" fillId="0" borderId="0"/>
    <xf numFmtId="0" fontId="42" fillId="51" borderId="1"/>
    <xf numFmtId="0" fontId="39" fillId="52" borderId="43">
      <alignment horizontal="right" vertical="center"/>
    </xf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42" fillId="0" borderId="1" applyNumberFormat="0" applyFill="0" applyAlignment="0" applyProtection="0"/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2" borderId="9">
      <alignment horizontal="right" vertical="center"/>
    </xf>
    <xf numFmtId="0" fontId="46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2"/>
    </xf>
    <xf numFmtId="0" fontId="40" fillId="0" borderId="0" applyNumberFormat="0" applyFont="0" applyFill="0" applyBorder="0" applyProtection="0">
      <alignment horizontal="left" vertical="center" indent="2"/>
    </xf>
    <xf numFmtId="49" fontId="42" fillId="0" borderId="1" applyNumberFormat="0" applyFont="0" applyFill="0" applyBorder="0" applyProtection="0">
      <alignment horizontal="left" vertical="center" indent="2"/>
    </xf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0" fillId="0" borderId="0" applyNumberFormat="0" applyFont="0" applyFill="0" applyBorder="0" applyProtection="0">
      <alignment horizontal="left" vertical="center" indent="5"/>
    </xf>
    <xf numFmtId="49" fontId="42" fillId="0" borderId="9" applyNumberFormat="0" applyFont="0" applyFill="0" applyBorder="0" applyProtection="0">
      <alignment horizontal="left" vertical="center" indent="5"/>
    </xf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41" fillId="55" borderId="0" applyBorder="0" applyAlignment="0"/>
    <xf numFmtId="4" fontId="41" fillId="55" borderId="0" applyBorder="0" applyAlignment="0"/>
    <xf numFmtId="4" fontId="42" fillId="55" borderId="0" applyBorder="0">
      <alignment horizontal="right" vertical="center"/>
    </xf>
    <xf numFmtId="4" fontId="42" fillId="50" borderId="0" applyBorder="0">
      <alignment horizontal="right" vertical="center"/>
    </xf>
    <xf numFmtId="4" fontId="42" fillId="50" borderId="0" applyBorder="0">
      <alignment horizontal="right" vertical="center"/>
    </xf>
    <xf numFmtId="4" fontId="39" fillId="50" borderId="1">
      <alignment horizontal="right" vertical="center"/>
    </xf>
    <xf numFmtId="4" fontId="45" fillId="50" borderId="1">
      <alignment horizontal="right" vertical="center"/>
    </xf>
    <xf numFmtId="4" fontId="39" fillId="52" borderId="1">
      <alignment horizontal="right" vertical="center"/>
    </xf>
    <xf numFmtId="4" fontId="39" fillId="52" borderId="1">
      <alignment horizontal="right" vertical="center"/>
    </xf>
    <xf numFmtId="4" fontId="39" fillId="52" borderId="9">
      <alignment horizontal="right" vertical="center"/>
    </xf>
    <xf numFmtId="4" fontId="39" fillId="52" borderId="43">
      <alignment horizontal="right" vertical="center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52" fillId="57" borderId="0" applyNumberFormat="0" applyBorder="0" applyAlignment="0" applyProtection="0"/>
    <xf numFmtId="4" fontId="41" fillId="0" borderId="4" applyFill="0" applyBorder="0" applyProtection="0">
      <alignment horizontal="right" vertical="center"/>
    </xf>
    <xf numFmtId="0" fontId="54" fillId="74" borderId="75" applyNumberFormat="0" applyAlignment="0" applyProtection="0"/>
    <xf numFmtId="0" fontId="55" fillId="75" borderId="76" applyNumberFormat="0" applyAlignment="0" applyProtection="0"/>
    <xf numFmtId="164" fontId="27" fillId="0" borderId="0" applyFont="0" applyFill="0" applyBorder="0" applyAlignment="0" applyProtection="0"/>
    <xf numFmtId="172" fontId="56" fillId="0" borderId="0" applyFont="0" applyFill="0" applyBorder="0" applyAlignment="0" applyProtection="0"/>
    <xf numFmtId="164" fontId="27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50" borderId="9">
      <alignment horizontal="left" vertical="center"/>
    </xf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2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4" fontId="42" fillId="0" borderId="0" applyBorder="0">
      <alignment horizontal="right" vertical="center"/>
    </xf>
    <xf numFmtId="0" fontId="42" fillId="0" borderId="71">
      <alignment horizontal="right" vertical="center"/>
    </xf>
    <xf numFmtId="4" fontId="42" fillId="0" borderId="1">
      <alignment horizontal="right" vertical="center"/>
    </xf>
    <xf numFmtId="1" fontId="44" fillId="50" borderId="0" applyBorder="0">
      <alignment horizontal="right" vertical="center"/>
    </xf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56" fillId="0" borderId="0"/>
    <xf numFmtId="4" fontId="69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6" fillId="0" borderId="0"/>
    <xf numFmtId="4" fontId="42" fillId="0" borderId="0" applyFill="0" applyBorder="0" applyProtection="0">
      <alignment horizontal="right" vertical="center"/>
    </xf>
    <xf numFmtId="4" fontId="42" fillId="0" borderId="0" applyFill="0" applyBorder="0" applyProtection="0">
      <alignment horizontal="right" vertical="center"/>
    </xf>
    <xf numFmtId="4" fontId="42" fillId="0" borderId="1" applyFill="0" applyBorder="0" applyProtection="0">
      <alignment horizontal="right" vertical="center"/>
    </xf>
    <xf numFmtId="0" fontId="41" fillId="0" borderId="0" applyNumberFormat="0" applyFill="0" applyBorder="0" applyProtection="0">
      <alignment horizontal="left" vertical="center"/>
    </xf>
    <xf numFmtId="49" fontId="41" fillId="0" borderId="1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56" fillId="53" borderId="0" applyNumberFormat="0" applyFont="0" applyBorder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56" fillId="0" borderId="0" applyFont="0" applyFill="0" applyBorder="0" applyAlignment="0" applyProtection="0"/>
    <xf numFmtId="0" fontId="71" fillId="57" borderId="0" applyNumberFormat="0" applyBorder="0" applyAlignment="0" applyProtection="0"/>
    <xf numFmtId="4" fontId="42" fillId="51" borderId="1"/>
    <xf numFmtId="0" fontId="42" fillId="51" borderId="12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74" fillId="0" borderId="0" applyNumberFormat="0" applyFill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0" fillId="0" borderId="0" applyNumberFormat="0" applyFill="0" applyBorder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40" fillId="0" borderId="0" applyNumberFormat="0" applyFon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4" fontId="40" fillId="0" borderId="0"/>
    <xf numFmtId="0" fontId="83" fillId="0" borderId="0"/>
    <xf numFmtId="0" fontId="40" fillId="51" borderId="0" applyNumberFormat="0" applyFont="0" applyBorder="0" applyAlignment="0" applyProtection="0"/>
    <xf numFmtId="0" fontId="47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52" fillId="57" borderId="0" applyNumberFormat="0" applyBorder="0" applyAlignment="0" applyProtection="0"/>
    <xf numFmtId="0" fontId="54" fillId="74" borderId="75" applyNumberFormat="0" applyAlignment="0" applyProtection="0"/>
    <xf numFmtId="0" fontId="55" fillId="75" borderId="76" applyNumberFormat="0" applyAlignment="0" applyProtection="0"/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84" fillId="0" borderId="0">
      <alignment horizontal="left" vertical="center" indent="1"/>
    </xf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0" fillId="0" borderId="0" applyNumberFormat="0" applyFill="0" applyBorder="0" applyAlignment="0" applyProtection="0"/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6" fillId="0" borderId="0"/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4" fillId="30" borderId="68" applyNumberFormat="0" applyAlignment="0" applyProtection="0"/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0" borderId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62" fillId="58" borderId="0" applyNumberFormat="0" applyBorder="0" applyAlignment="0" applyProtection="0"/>
    <xf numFmtId="4" fontId="40" fillId="0" borderId="0"/>
    <xf numFmtId="0" fontId="40" fillId="0" borderId="0"/>
    <xf numFmtId="0" fontId="6" fillId="0" borderId="0"/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0" fontId="71" fillId="57" borderId="0" applyNumberFormat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6" fillId="0" borderId="0"/>
    <xf numFmtId="0" fontId="34" fillId="30" borderId="68" applyNumberFormat="0" applyAlignment="0" applyProtection="0"/>
    <xf numFmtId="0" fontId="27" fillId="56" borderId="0" applyNumberFormat="0" applyBorder="0" applyAlignment="0" applyProtection="0"/>
    <xf numFmtId="0" fontId="27" fillId="57" borderId="0" applyNumberFormat="0" applyBorder="0" applyAlignment="0" applyProtection="0"/>
    <xf numFmtId="0" fontId="27" fillId="58" borderId="0" applyNumberFormat="0" applyBorder="0" applyAlignment="0" applyProtection="0"/>
    <xf numFmtId="0" fontId="27" fillId="59" borderId="0" applyNumberFormat="0" applyBorder="0" applyAlignment="0" applyProtection="0"/>
    <xf numFmtId="0" fontId="27" fillId="60" borderId="0" applyNumberFormat="0" applyBorder="0" applyAlignment="0" applyProtection="0"/>
    <xf numFmtId="0" fontId="27" fillId="61" borderId="0" applyNumberFormat="0" applyBorder="0" applyAlignment="0" applyProtection="0"/>
    <xf numFmtId="0" fontId="27" fillId="62" borderId="0" applyNumberFormat="0" applyBorder="0" applyAlignment="0" applyProtection="0"/>
    <xf numFmtId="0" fontId="27" fillId="63" borderId="0" applyNumberFormat="0" applyBorder="0" applyAlignment="0" applyProtection="0"/>
    <xf numFmtId="0" fontId="27" fillId="64" borderId="0" applyNumberFormat="0" applyBorder="0" applyAlignment="0" applyProtection="0"/>
    <xf numFmtId="0" fontId="27" fillId="59" borderId="0" applyNumberFormat="0" applyBorder="0" applyAlignment="0" applyProtection="0"/>
    <xf numFmtId="0" fontId="27" fillId="62" borderId="0" applyNumberFormat="0" applyBorder="0" applyAlignment="0" applyProtection="0"/>
    <xf numFmtId="0" fontId="27" fillId="65" borderId="0" applyNumberFormat="0" applyBorder="0" applyAlignment="0" applyProtection="0"/>
    <xf numFmtId="0" fontId="49" fillId="66" borderId="0" applyNumberFormat="0" applyBorder="0" applyAlignment="0" applyProtection="0"/>
    <xf numFmtId="0" fontId="49" fillId="63" borderId="0" applyNumberFormat="0" applyBorder="0" applyAlignment="0" applyProtection="0"/>
    <xf numFmtId="0" fontId="49" fillId="64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69" borderId="0" applyNumberFormat="0" applyBorder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59" fillId="0" borderId="0" applyNumberFormat="0" applyFill="0" applyBorder="0" applyAlignment="0" applyProtection="0"/>
    <xf numFmtId="0" fontId="6" fillId="0" borderId="0"/>
    <xf numFmtId="0" fontId="79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49" fontId="42" fillId="0" borderId="1" applyNumberFormat="0" applyFont="0" applyFill="0" applyBorder="0" applyProtection="0">
      <alignment horizontal="left" vertical="center" indent="2"/>
    </xf>
    <xf numFmtId="49" fontId="42" fillId="0" borderId="9" applyNumberFormat="0" applyFont="0" applyFill="0" applyBorder="0" applyProtection="0">
      <alignment horizontal="left" vertical="center" indent="5"/>
    </xf>
    <xf numFmtId="0" fontId="39" fillId="50" borderId="1">
      <alignment horizontal="right" vertical="center"/>
    </xf>
    <xf numFmtId="4" fontId="39" fillId="50" borderId="1">
      <alignment horizontal="right" vertical="center"/>
    </xf>
    <xf numFmtId="0" fontId="45" fillId="50" borderId="1">
      <alignment horizontal="right" vertical="center"/>
    </xf>
    <xf numFmtId="4" fontId="45" fillId="50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172" fontId="85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57" fillId="61" borderId="75" applyNumberFormat="0" applyAlignment="0" applyProtection="0"/>
    <xf numFmtId="0" fontId="42" fillId="0" borderId="1">
      <alignment horizontal="right" vertical="center"/>
    </xf>
    <xf numFmtId="4" fontId="42" fillId="0" borderId="1">
      <alignment horizontal="right" vertical="center"/>
    </xf>
    <xf numFmtId="0" fontId="85" fillId="0" borderId="0"/>
    <xf numFmtId="0" fontId="83" fillId="0" borderId="0"/>
    <xf numFmtId="0" fontId="83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3" fillId="0" borderId="0"/>
    <xf numFmtId="0" fontId="40" fillId="0" borderId="0"/>
    <xf numFmtId="4" fontId="42" fillId="0" borderId="1" applyFill="0" applyBorder="0" applyProtection="0">
      <alignment horizontal="right" vertical="center"/>
    </xf>
    <xf numFmtId="49" fontId="41" fillId="0" borderId="1" applyNumberFormat="0" applyFill="0" applyBorder="0" applyProtection="0">
      <alignment horizontal="left" vertical="center"/>
    </xf>
    <xf numFmtId="0" fontId="42" fillId="0" borderId="1" applyNumberFormat="0" applyFill="0" applyAlignment="0" applyProtection="0"/>
    <xf numFmtId="0" fontId="85" fillId="53" borderId="0" applyNumberFormat="0" applyFont="0" applyBorder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85" fillId="0" borderId="0" applyFont="0" applyFill="0" applyBorder="0" applyAlignment="0" applyProtection="0"/>
    <xf numFmtId="0" fontId="42" fillId="51" borderId="1"/>
    <xf numFmtId="4" fontId="42" fillId="51" borderId="1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0" fillId="0" borderId="0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40" fillId="0" borderId="0"/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4" fillId="74" borderId="75" applyNumberFormat="0" applyAlignment="0" applyProtection="0"/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54" fillId="74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0" fontId="54" fillId="74" borderId="75" applyNumberFormat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66" fillId="61" borderId="75" applyNumberForma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9" fontId="42" fillId="0" borderId="9" applyNumberFormat="0" applyFont="0" applyFill="0" applyBorder="0" applyProtection="0">
      <alignment horizontal="left" vertical="center" indent="5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57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3" applyNumberFormat="0" applyFill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6" fillId="0" borderId="0"/>
    <xf numFmtId="0" fontId="36" fillId="31" borderId="68" applyNumberFormat="0" applyAlignment="0" applyProtection="0"/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6" fillId="47" borderId="0" applyNumberFormat="0" applyBorder="0" applyAlignment="0" applyProtection="0"/>
    <xf numFmtId="0" fontId="6" fillId="38" borderId="0" applyNumberFormat="0" applyBorder="0" applyAlignment="0" applyProtection="0"/>
    <xf numFmtId="0" fontId="35" fillId="31" borderId="69" applyNumberFormat="0" applyAlignment="0" applyProtection="0"/>
    <xf numFmtId="0" fontId="17" fillId="43" borderId="0" applyNumberFormat="0" applyBorder="0" applyAlignment="0" applyProtection="0"/>
    <xf numFmtId="0" fontId="21" fillId="0" borderId="0" applyNumberFormat="0" applyFill="0" applyBorder="0" applyAlignment="0" applyProtection="0"/>
    <xf numFmtId="0" fontId="6" fillId="32" borderId="0" applyNumberFormat="0" applyBorder="0" applyAlignment="0" applyProtection="0"/>
    <xf numFmtId="0" fontId="17" fillId="37" borderId="0" applyNumberFormat="0" applyBorder="0" applyAlignment="0" applyProtection="0"/>
    <xf numFmtId="0" fontId="6" fillId="42" borderId="0" applyNumberFormat="0" applyBorder="0" applyAlignment="0" applyProtection="0"/>
    <xf numFmtId="0" fontId="17" fillId="34" borderId="0" applyNumberFormat="0" applyBorder="0" applyAlignment="0" applyProtection="0"/>
    <xf numFmtId="0" fontId="1" fillId="0" borderId="70" applyNumberFormat="0" applyFill="0" applyAlignment="0" applyProtection="0"/>
    <xf numFmtId="0" fontId="6" fillId="45" borderId="0" applyNumberFormat="0" applyBorder="0" applyAlignment="0" applyProtection="0"/>
    <xf numFmtId="0" fontId="6" fillId="48" borderId="0" applyNumberFormat="0" applyBorder="0" applyAlignment="0" applyProtection="0"/>
    <xf numFmtId="0" fontId="6" fillId="39" borderId="0" applyNumberFormat="0" applyBorder="0" applyAlignment="0" applyProtection="0"/>
    <xf numFmtId="0" fontId="6" fillId="35" borderId="0" applyNumberFormat="0" applyBorder="0" applyAlignment="0" applyProtection="0"/>
    <xf numFmtId="0" fontId="88" fillId="0" borderId="0"/>
    <xf numFmtId="0" fontId="17" fillId="46" borderId="0" applyNumberFormat="0" applyBorder="0" applyAlignment="0" applyProtection="0"/>
    <xf numFmtId="0" fontId="6" fillId="36" borderId="0" applyNumberFormat="0" applyBorder="0" applyAlignment="0" applyProtection="0"/>
    <xf numFmtId="0" fontId="6" fillId="41" borderId="0" applyNumberFormat="0" applyBorder="0" applyAlignment="0" applyProtection="0"/>
    <xf numFmtId="0" fontId="17" fillId="49" borderId="0" applyNumberFormat="0" applyBorder="0" applyAlignment="0" applyProtection="0"/>
    <xf numFmtId="0" fontId="6" fillId="33" borderId="0" applyNumberFormat="0" applyBorder="0" applyAlignment="0" applyProtection="0"/>
    <xf numFmtId="0" fontId="37" fillId="0" borderId="0" applyNumberFormat="0" applyFill="0" applyBorder="0" applyAlignment="0" applyProtection="0"/>
    <xf numFmtId="0" fontId="17" fillId="40" borderId="0" applyNumberFormat="0" applyBorder="0" applyAlignment="0" applyProtection="0"/>
    <xf numFmtId="0" fontId="6" fillId="44" borderId="0" applyNumberFormat="0" applyBorder="0" applyAlignment="0" applyProtection="0"/>
  </cellStyleXfs>
  <cellXfs count="522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3" borderId="0" xfId="0" applyFill="1"/>
    <xf numFmtId="0" fontId="2" fillId="0" borderId="0" xfId="0" applyFont="1"/>
    <xf numFmtId="0" fontId="1" fillId="2" borderId="2" xfId="0" applyFont="1" applyFill="1" applyBorder="1"/>
    <xf numFmtId="0" fontId="0" fillId="2" borderId="5" xfId="0" applyFill="1" applyBorder="1"/>
    <xf numFmtId="0" fontId="0" fillId="2" borderId="0" xfId="0" applyFill="1" applyBorder="1"/>
    <xf numFmtId="0" fontId="0" fillId="2" borderId="1" xfId="0" applyFill="1" applyBorder="1"/>
    <xf numFmtId="9" fontId="0" fillId="0" borderId="0" xfId="0" applyNumberFormat="1"/>
    <xf numFmtId="9" fontId="0" fillId="0" borderId="0" xfId="1" applyFont="1"/>
    <xf numFmtId="0" fontId="8" fillId="2" borderId="6" xfId="3" applyFont="1" applyFill="1" applyBorder="1"/>
    <xf numFmtId="0" fontId="7" fillId="2" borderId="7" xfId="3" applyFill="1" applyBorder="1"/>
    <xf numFmtId="9" fontId="7" fillId="2" borderId="7" xfId="3" applyNumberFormat="1" applyFill="1" applyBorder="1"/>
    <xf numFmtId="9" fontId="7" fillId="2" borderId="8" xfId="3" applyNumberFormat="1" applyFill="1" applyBorder="1"/>
    <xf numFmtId="0" fontId="8" fillId="2" borderId="9" xfId="3" applyFont="1" applyFill="1" applyBorder="1"/>
    <xf numFmtId="0" fontId="8" fillId="2" borderId="1" xfId="3" applyFont="1" applyFill="1" applyBorder="1"/>
    <xf numFmtId="0" fontId="0" fillId="2" borderId="10" xfId="0" applyFill="1" applyBorder="1"/>
    <xf numFmtId="165" fontId="0" fillId="5" borderId="1" xfId="4" applyNumberFormat="1" applyFont="1" applyFill="1" applyBorder="1" applyProtection="1"/>
    <xf numFmtId="165" fontId="7" fillId="6" borderId="1" xfId="3" applyNumberFormat="1" applyFill="1" applyBorder="1"/>
    <xf numFmtId="9" fontId="7" fillId="6" borderId="1" xfId="1" applyFont="1" applyFill="1" applyBorder="1"/>
    <xf numFmtId="9" fontId="0" fillId="6" borderId="0" xfId="0" applyNumberFormat="1" applyFill="1"/>
    <xf numFmtId="9" fontId="0" fillId="6" borderId="10" xfId="0" applyNumberFormat="1" applyFill="1" applyBorder="1"/>
    <xf numFmtId="165" fontId="7" fillId="6" borderId="1" xfId="2" applyNumberFormat="1" applyFont="1" applyFill="1" applyBorder="1"/>
    <xf numFmtId="0" fontId="8" fillId="2" borderId="11" xfId="3" applyFont="1" applyFill="1" applyBorder="1"/>
    <xf numFmtId="165" fontId="0" fillId="5" borderId="12" xfId="4" applyNumberFormat="1" applyFont="1" applyFill="1" applyBorder="1" applyProtection="1"/>
    <xf numFmtId="165" fontId="7" fillId="6" borderId="12" xfId="2" applyNumberFormat="1" applyFont="1" applyFill="1" applyBorder="1"/>
    <xf numFmtId="0" fontId="8" fillId="2" borderId="13" xfId="3" applyFont="1" applyFill="1" applyBorder="1"/>
    <xf numFmtId="165" fontId="0" fillId="5" borderId="4" xfId="4" applyNumberFormat="1" applyFont="1" applyFill="1" applyBorder="1" applyAlignment="1" applyProtection="1">
      <alignment horizontal="center"/>
    </xf>
    <xf numFmtId="165" fontId="0" fillId="6" borderId="4" xfId="4" applyNumberFormat="1" applyFont="1" applyFill="1" applyBorder="1" applyAlignment="1" applyProtection="1">
      <alignment horizontal="center"/>
    </xf>
    <xf numFmtId="9" fontId="0" fillId="6" borderId="4" xfId="1" applyFont="1" applyFill="1" applyBorder="1" applyAlignment="1" applyProtection="1">
      <alignment horizontal="right"/>
    </xf>
    <xf numFmtId="0" fontId="7" fillId="2" borderId="14" xfId="3" applyFill="1" applyBorder="1"/>
    <xf numFmtId="9" fontId="0" fillId="2" borderId="0" xfId="5" applyFont="1" applyFill="1" applyBorder="1" applyProtection="1"/>
    <xf numFmtId="165" fontId="7" fillId="2" borderId="0" xfId="3" applyNumberFormat="1" applyFill="1" applyBorder="1"/>
    <xf numFmtId="0" fontId="7" fillId="2" borderId="0" xfId="3" applyFill="1" applyBorder="1"/>
    <xf numFmtId="0" fontId="7" fillId="2" borderId="10" xfId="3" applyFill="1" applyBorder="1"/>
    <xf numFmtId="0" fontId="7" fillId="7" borderId="14" xfId="3" applyFill="1" applyBorder="1"/>
    <xf numFmtId="0" fontId="7" fillId="5" borderId="14" xfId="3" applyFill="1" applyBorder="1"/>
    <xf numFmtId="0" fontId="7" fillId="6" borderId="14" xfId="3" applyFill="1" applyBorder="1"/>
    <xf numFmtId="0" fontId="0" fillId="2" borderId="9" xfId="0" applyFill="1" applyBorder="1"/>
    <xf numFmtId="0" fontId="0" fillId="2" borderId="14" xfId="0" applyFill="1" applyBorder="1"/>
    <xf numFmtId="0" fontId="7" fillId="2" borderId="1" xfId="3" applyFill="1" applyBorder="1"/>
    <xf numFmtId="0" fontId="0" fillId="7" borderId="1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8" borderId="1" xfId="0" applyFill="1" applyBorder="1"/>
    <xf numFmtId="0" fontId="7" fillId="2" borderId="0" xfId="3" applyFill="1"/>
    <xf numFmtId="0" fontId="7" fillId="10" borderId="16" xfId="3" applyFill="1" applyBorder="1"/>
    <xf numFmtId="0" fontId="7" fillId="10" borderId="16" xfId="3" applyFill="1" applyBorder="1" applyAlignment="1">
      <alignment horizontal="right"/>
    </xf>
    <xf numFmtId="0" fontId="0" fillId="10" borderId="16" xfId="0" applyFill="1" applyBorder="1" applyAlignment="1">
      <alignment horizontal="right"/>
    </xf>
    <xf numFmtId="0" fontId="8" fillId="10" borderId="16" xfId="0" applyFont="1" applyFill="1" applyBorder="1" applyAlignment="1">
      <alignment horizontal="left"/>
    </xf>
    <xf numFmtId="0" fontId="0" fillId="10" borderId="16" xfId="0" applyFill="1" applyBorder="1"/>
    <xf numFmtId="0" fontId="0" fillId="10" borderId="15" xfId="0" applyFill="1" applyBorder="1"/>
    <xf numFmtId="0" fontId="7" fillId="10" borderId="0" xfId="3" applyFill="1" applyBorder="1"/>
    <xf numFmtId="0" fontId="7" fillId="10" borderId="0" xfId="3" applyFill="1" applyBorder="1" applyAlignment="1">
      <alignment horizontal="right"/>
    </xf>
    <xf numFmtId="0" fontId="0" fillId="10" borderId="0" xfId="0" applyFill="1" applyAlignment="1">
      <alignment horizontal="right"/>
    </xf>
    <xf numFmtId="0" fontId="7" fillId="10" borderId="0" xfId="0" applyFont="1" applyFill="1" applyAlignment="1">
      <alignment horizontal="left"/>
    </xf>
    <xf numFmtId="0" fontId="0" fillId="10" borderId="0" xfId="0" applyFill="1"/>
    <xf numFmtId="0" fontId="0" fillId="10" borderId="14" xfId="0" applyFill="1" applyBorder="1"/>
    <xf numFmtId="0" fontId="8" fillId="10" borderId="0" xfId="0" applyFont="1" applyFill="1" applyAlignment="1">
      <alignment horizontal="left"/>
    </xf>
    <xf numFmtId="0" fontId="8" fillId="10" borderId="14" xfId="0" applyFont="1" applyFill="1" applyBorder="1" applyAlignment="1">
      <alignment horizontal="left"/>
    </xf>
    <xf numFmtId="0" fontId="8" fillId="10" borderId="0" xfId="3" applyFont="1" applyFill="1" applyBorder="1" applyAlignment="1">
      <alignment horizontal="left"/>
    </xf>
    <xf numFmtId="0" fontId="9" fillId="10" borderId="14" xfId="0" applyFont="1" applyFill="1" applyBorder="1"/>
    <xf numFmtId="0" fontId="7" fillId="10" borderId="7" xfId="3" applyFill="1" applyBorder="1"/>
    <xf numFmtId="0" fontId="0" fillId="10" borderId="7" xfId="0" applyFill="1" applyBorder="1"/>
    <xf numFmtId="0" fontId="10" fillId="10" borderId="6" xfId="0" applyFont="1" applyFill="1" applyBorder="1"/>
    <xf numFmtId="165" fontId="8" fillId="5" borderId="1" xfId="2" applyNumberFormat="1" applyFont="1" applyFill="1" applyBorder="1" applyAlignment="1" applyProtection="1">
      <alignment horizontal="right"/>
    </xf>
    <xf numFmtId="0" fontId="8" fillId="2" borderId="1" xfId="3" applyFont="1" applyFill="1" applyBorder="1" applyAlignment="1">
      <alignment horizontal="left"/>
    </xf>
    <xf numFmtId="165" fontId="0" fillId="5" borderId="1" xfId="2" applyNumberFormat="1" applyFont="1" applyFill="1" applyBorder="1"/>
    <xf numFmtId="0" fontId="1" fillId="2" borderId="1" xfId="0" applyFont="1" applyFill="1" applyBorder="1"/>
    <xf numFmtId="165" fontId="1" fillId="2" borderId="0" xfId="2" applyNumberFormat="1" applyFont="1" applyFill="1" applyBorder="1"/>
    <xf numFmtId="0" fontId="8" fillId="2" borderId="0" xfId="3" applyFont="1" applyFill="1" applyBorder="1" applyAlignment="1">
      <alignment horizontal="left"/>
    </xf>
    <xf numFmtId="0" fontId="7" fillId="0" borderId="0" xfId="3"/>
    <xf numFmtId="0" fontId="7" fillId="11" borderId="0" xfId="3" applyFill="1"/>
    <xf numFmtId="2" fontId="11" fillId="0" borderId="18" xfId="3" applyNumberFormat="1" applyFont="1" applyBorder="1" applyAlignment="1">
      <alignment horizontal="right" vertical="center" wrapText="1"/>
    </xf>
    <xf numFmtId="2" fontId="11" fillId="11" borderId="19" xfId="3" applyNumberFormat="1" applyFont="1" applyFill="1" applyBorder="1" applyAlignment="1">
      <alignment vertical="center" wrapText="1"/>
    </xf>
    <xf numFmtId="2" fontId="11" fillId="0" borderId="19" xfId="3" applyNumberFormat="1" applyFont="1" applyBorder="1" applyAlignment="1">
      <alignment horizontal="center" vertical="center" wrapText="1"/>
    </xf>
    <xf numFmtId="2" fontId="11" fillId="0" borderId="19" xfId="3" applyNumberFormat="1" applyFont="1" applyBorder="1" applyAlignment="1">
      <alignment vertical="center" wrapText="1"/>
    </xf>
    <xf numFmtId="2" fontId="11" fillId="0" borderId="19" xfId="3" applyNumberFormat="1" applyFont="1" applyBorder="1" applyAlignment="1">
      <alignment horizontal="left" vertical="center" wrapText="1" indent="1"/>
    </xf>
    <xf numFmtId="0" fontId="11" fillId="0" borderId="20" xfId="3" applyFont="1" applyBorder="1" applyAlignment="1">
      <alignment vertical="center" wrapText="1"/>
    </xf>
    <xf numFmtId="0" fontId="12" fillId="0" borderId="20" xfId="3" applyFont="1" applyBorder="1" applyAlignment="1">
      <alignment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2" fontId="11" fillId="11" borderId="0" xfId="3" applyNumberFormat="1" applyFont="1" applyFill="1" applyAlignment="1">
      <alignment vertical="center" wrapText="1"/>
    </xf>
    <xf numFmtId="2" fontId="11" fillId="0" borderId="0" xfId="3" applyNumberFormat="1" applyFont="1" applyAlignment="1">
      <alignment horizontal="center" vertical="center" wrapText="1"/>
    </xf>
    <xf numFmtId="2" fontId="11" fillId="0" borderId="0" xfId="3" applyNumberFormat="1" applyFont="1" applyAlignment="1">
      <alignment horizontal="left" vertical="center" wrapText="1" indent="1"/>
    </xf>
    <xf numFmtId="2" fontId="11" fillId="0" borderId="0" xfId="3" applyNumberFormat="1" applyFont="1" applyAlignment="1">
      <alignment vertical="center" wrapText="1"/>
    </xf>
    <xf numFmtId="0" fontId="11" fillId="0" borderId="22" xfId="3" applyFont="1" applyBorder="1" applyAlignment="1">
      <alignment horizontal="center" vertical="center" wrapText="1"/>
    </xf>
    <xf numFmtId="0" fontId="11" fillId="0" borderId="22" xfId="3" applyFont="1" applyBorder="1" applyAlignment="1">
      <alignment horizontal="justify" vertical="center" wrapText="1"/>
    </xf>
    <xf numFmtId="0" fontId="11" fillId="0" borderId="20" xfId="3" applyFont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0" fontId="11" fillId="0" borderId="22" xfId="3" applyFont="1" applyBorder="1" applyAlignment="1">
      <alignment horizontal="left" vertical="center" wrapText="1" indent="4"/>
    </xf>
    <xf numFmtId="2" fontId="11" fillId="11" borderId="19" xfId="3" applyNumberFormat="1" applyFont="1" applyFill="1" applyBorder="1" applyAlignment="1">
      <alignment horizontal="center" vertical="center" wrapText="1"/>
    </xf>
    <xf numFmtId="0" fontId="12" fillId="0" borderId="18" xfId="3" applyFont="1" applyBorder="1" applyAlignment="1">
      <alignment vertical="center" wrapText="1"/>
    </xf>
    <xf numFmtId="0" fontId="11" fillId="0" borderId="18" xfId="3" applyFont="1" applyBorder="1" applyAlignment="1">
      <alignment vertical="center" wrapText="1"/>
    </xf>
    <xf numFmtId="0" fontId="11" fillId="11" borderId="19" xfId="3" applyFont="1" applyFill="1" applyBorder="1" applyAlignment="1">
      <alignment vertical="center" wrapText="1"/>
    </xf>
    <xf numFmtId="49" fontId="11" fillId="0" borderId="19" xfId="3" applyNumberFormat="1" applyFont="1" applyBorder="1" applyAlignment="1">
      <alignment vertical="center" wrapText="1"/>
    </xf>
    <xf numFmtId="0" fontId="11" fillId="0" borderId="19" xfId="3" applyFont="1" applyBorder="1" applyAlignment="1">
      <alignment vertical="center" wrapText="1"/>
    </xf>
    <xf numFmtId="0" fontId="11" fillId="0" borderId="19" xfId="3" applyFont="1" applyBorder="1" applyAlignment="1">
      <alignment horizontal="left" vertical="center" wrapText="1" indent="2"/>
    </xf>
    <xf numFmtId="0" fontId="11" fillId="0" borderId="20" xfId="3" applyFont="1" applyBorder="1" applyAlignment="1">
      <alignment horizontal="right" vertical="center" wrapText="1"/>
    </xf>
    <xf numFmtId="0" fontId="11" fillId="0" borderId="25" xfId="3" applyFont="1" applyBorder="1" applyAlignment="1">
      <alignment horizontal="left" vertical="center" wrapText="1" indent="1"/>
    </xf>
    <xf numFmtId="0" fontId="11" fillId="0" borderId="25" xfId="3" applyFont="1" applyBorder="1" applyAlignment="1">
      <alignment vertical="center" wrapText="1"/>
    </xf>
    <xf numFmtId="0" fontId="11" fillId="11" borderId="26" xfId="3" applyFont="1" applyFill="1" applyBorder="1" applyAlignment="1">
      <alignment vertical="center" wrapText="1"/>
    </xf>
    <xf numFmtId="0" fontId="11" fillId="0" borderId="26" xfId="3" applyFont="1" applyBorder="1" applyAlignment="1">
      <alignment vertical="center" wrapText="1"/>
    </xf>
    <xf numFmtId="0" fontId="11" fillId="0" borderId="26" xfId="3" applyFont="1" applyBorder="1" applyAlignment="1">
      <alignment horizontal="left" vertical="center" wrapText="1" indent="1"/>
    </xf>
    <xf numFmtId="0" fontId="11" fillId="0" borderId="24" xfId="3" applyFont="1" applyBorder="1" applyAlignment="1">
      <alignment vertical="center" wrapText="1"/>
    </xf>
    <xf numFmtId="0" fontId="7" fillId="0" borderId="0" xfId="3" applyAlignment="1"/>
    <xf numFmtId="0" fontId="7" fillId="12" borderId="1" xfId="3" applyFill="1" applyBorder="1" applyAlignment="1">
      <alignment horizontal="right"/>
    </xf>
    <xf numFmtId="0" fontId="7" fillId="13" borderId="1" xfId="3" applyFill="1" applyBorder="1" applyAlignment="1">
      <alignment horizontal="left"/>
    </xf>
    <xf numFmtId="0" fontId="7" fillId="14" borderId="1" xfId="3" applyFill="1" applyBorder="1" applyAlignment="1">
      <alignment horizontal="left"/>
    </xf>
    <xf numFmtId="0" fontId="7" fillId="14" borderId="1" xfId="3" applyFill="1" applyBorder="1"/>
    <xf numFmtId="0" fontId="7" fillId="14" borderId="1" xfId="3" applyFill="1" applyBorder="1" applyAlignment="1">
      <alignment horizontal="right"/>
    </xf>
    <xf numFmtId="0" fontId="8" fillId="0" borderId="0" xfId="3" applyFont="1" applyAlignment="1">
      <alignment horizontal="right"/>
    </xf>
    <xf numFmtId="0" fontId="8" fillId="14" borderId="1" xfId="3" applyFont="1" applyFill="1" applyBorder="1" applyAlignment="1">
      <alignment horizontal="right"/>
    </xf>
    <xf numFmtId="0" fontId="8" fillId="13" borderId="1" xfId="3" applyFont="1" applyFill="1" applyBorder="1" applyAlignment="1">
      <alignment horizontal="left"/>
    </xf>
    <xf numFmtId="0" fontId="8" fillId="14" borderId="1" xfId="3" applyFont="1" applyFill="1" applyBorder="1" applyAlignment="1">
      <alignment horizontal="left"/>
    </xf>
    <xf numFmtId="0" fontId="7" fillId="13" borderId="1" xfId="3" applyFill="1" applyBorder="1"/>
    <xf numFmtId="0" fontId="9" fillId="14" borderId="1" xfId="3" applyFont="1" applyFill="1" applyBorder="1"/>
    <xf numFmtId="0" fontId="10" fillId="14" borderId="1" xfId="3" applyFont="1" applyFill="1" applyBorder="1"/>
    <xf numFmtId="0" fontId="8" fillId="0" borderId="0" xfId="3" applyFont="1" applyAlignment="1">
      <alignment horizontal="left"/>
    </xf>
    <xf numFmtId="0" fontId="8" fillId="0" borderId="0" xfId="3" applyFont="1"/>
    <xf numFmtId="0" fontId="13" fillId="15" borderId="28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 indent="1"/>
    </xf>
    <xf numFmtId="0" fontId="13" fillId="15" borderId="28" xfId="0" applyFont="1" applyFill="1" applyBorder="1" applyAlignment="1">
      <alignment horizontal="right" vertical="center" wrapText="1" indent="2"/>
    </xf>
    <xf numFmtId="0" fontId="13" fillId="15" borderId="28" xfId="0" applyFont="1" applyFill="1" applyBorder="1" applyAlignment="1">
      <alignment vertical="center" wrapText="1"/>
    </xf>
    <xf numFmtId="0" fontId="13" fillId="15" borderId="29" xfId="0" applyFont="1" applyFill="1" applyBorder="1" applyAlignment="1">
      <alignment horizontal="right" vertical="center" wrapText="1"/>
    </xf>
    <xf numFmtId="0" fontId="13" fillId="15" borderId="29" xfId="0" applyFont="1" applyFill="1" applyBorder="1" applyAlignment="1">
      <alignment horizontal="right" vertical="center" wrapText="1" indent="1"/>
    </xf>
    <xf numFmtId="0" fontId="13" fillId="15" borderId="29" xfId="0" applyFont="1" applyFill="1" applyBorder="1" applyAlignment="1">
      <alignment horizontal="right" vertical="center" wrapText="1" indent="2"/>
    </xf>
    <xf numFmtId="0" fontId="13" fillId="15" borderId="29" xfId="0" applyFont="1" applyFill="1" applyBorder="1" applyAlignment="1">
      <alignment vertical="center" wrapText="1"/>
    </xf>
    <xf numFmtId="0" fontId="13" fillId="15" borderId="0" xfId="0" applyFont="1" applyFill="1" applyAlignment="1">
      <alignment horizontal="right" vertical="center" wrapText="1"/>
    </xf>
    <xf numFmtId="0" fontId="13" fillId="15" borderId="0" xfId="0" applyFont="1" applyFill="1" applyAlignment="1">
      <alignment horizontal="right" vertical="center" wrapText="1" indent="1"/>
    </xf>
    <xf numFmtId="0" fontId="13" fillId="15" borderId="0" xfId="0" applyFont="1" applyFill="1" applyAlignment="1">
      <alignment horizontal="right" vertical="center" wrapText="1" indent="2"/>
    </xf>
    <xf numFmtId="0" fontId="14" fillId="15" borderId="0" xfId="0" applyFont="1" applyFill="1" applyAlignment="1">
      <alignment vertical="center" wrapText="1"/>
    </xf>
    <xf numFmtId="0" fontId="13" fillId="15" borderId="0" xfId="0" applyFont="1" applyFill="1" applyAlignment="1">
      <alignment vertical="center" wrapText="1"/>
    </xf>
    <xf numFmtId="0" fontId="13" fillId="15" borderId="0" xfId="0" applyFont="1" applyFill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4"/>
    </xf>
    <xf numFmtId="0" fontId="13" fillId="15" borderId="28" xfId="0" applyFont="1" applyFill="1" applyBorder="1" applyAlignment="1">
      <alignment horizontal="right" vertical="center" wrapText="1" indent="5"/>
    </xf>
    <xf numFmtId="0" fontId="13" fillId="15" borderId="28" xfId="0" applyFont="1" applyFill="1" applyBorder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6"/>
    </xf>
    <xf numFmtId="0" fontId="13" fillId="15" borderId="28" xfId="0" applyFont="1" applyFill="1" applyBorder="1" applyAlignment="1">
      <alignment horizontal="left" vertical="center" wrapText="1" indent="1"/>
    </xf>
    <xf numFmtId="0" fontId="14" fillId="15" borderId="29" xfId="0" applyFont="1" applyFill="1" applyBorder="1" applyAlignment="1">
      <alignment vertical="center" wrapText="1"/>
    </xf>
    <xf numFmtId="0" fontId="9" fillId="2" borderId="4" xfId="3" applyFont="1" applyFill="1" applyBorder="1"/>
    <xf numFmtId="0" fontId="7" fillId="2" borderId="4" xfId="3" applyFill="1" applyBorder="1"/>
    <xf numFmtId="0" fontId="15" fillId="2" borderId="0" xfId="0" applyFont="1" applyFill="1"/>
    <xf numFmtId="0" fontId="0" fillId="0" borderId="31" xfId="0" applyBorder="1"/>
    <xf numFmtId="0" fontId="0" fillId="0" borderId="32" xfId="0" applyBorder="1"/>
    <xf numFmtId="0" fontId="0" fillId="0" borderId="0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0" xfId="0" applyFill="1" applyBorder="1"/>
    <xf numFmtId="0" fontId="16" fillId="4" borderId="0" xfId="0" applyFont="1" applyFill="1" applyBorder="1"/>
    <xf numFmtId="0" fontId="17" fillId="4" borderId="36" xfId="0" applyFont="1" applyFill="1" applyBorder="1"/>
    <xf numFmtId="0" fontId="16" fillId="4" borderId="6" xfId="0" applyFont="1" applyFill="1" applyBorder="1"/>
    <xf numFmtId="0" fontId="16" fillId="4" borderId="7" xfId="0" applyFont="1" applyFill="1" applyBorder="1"/>
    <xf numFmtId="0" fontId="16" fillId="4" borderId="8" xfId="0" applyFont="1" applyFill="1" applyBorder="1"/>
    <xf numFmtId="0" fontId="16" fillId="4" borderId="14" xfId="0" applyFont="1" applyFill="1" applyBorder="1"/>
    <xf numFmtId="0" fontId="16" fillId="4" borderId="10" xfId="0" applyFont="1" applyFill="1" applyBorder="1"/>
    <xf numFmtId="0" fontId="17" fillId="4" borderId="37" xfId="0" applyFont="1" applyFill="1" applyBorder="1"/>
    <xf numFmtId="0" fontId="0" fillId="0" borderId="38" xfId="0" applyBorder="1"/>
    <xf numFmtId="0" fontId="0" fillId="0" borderId="41" xfId="0" applyBorder="1"/>
    <xf numFmtId="0" fontId="0" fillId="0" borderId="9" xfId="0" applyBorder="1"/>
    <xf numFmtId="9" fontId="0" fillId="0" borderId="0" xfId="0" applyNumberFormat="1" applyBorder="1"/>
    <xf numFmtId="3" fontId="0" fillId="0" borderId="0" xfId="0" applyNumberFormat="1" applyBorder="1"/>
    <xf numFmtId="9" fontId="0" fillId="0" borderId="46" xfId="0" applyNumberFormat="1" applyBorder="1"/>
    <xf numFmtId="3" fontId="0" fillId="0" borderId="47" xfId="0" applyNumberFormat="1" applyBorder="1"/>
    <xf numFmtId="0" fontId="7" fillId="0" borderId="0" xfId="3" applyFill="1" applyProtection="1"/>
    <xf numFmtId="0" fontId="1" fillId="0" borderId="0" xfId="0" applyFont="1"/>
    <xf numFmtId="2" fontId="0" fillId="0" borderId="0" xfId="0" applyNumberFormat="1" applyBorder="1"/>
    <xf numFmtId="0" fontId="19" fillId="2" borderId="0" xfId="6" applyFill="1"/>
    <xf numFmtId="0" fontId="3" fillId="0" borderId="0" xfId="0" applyFont="1" applyFill="1" applyBorder="1"/>
    <xf numFmtId="0" fontId="3" fillId="0" borderId="0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top"/>
    </xf>
    <xf numFmtId="2" fontId="0" fillId="0" borderId="0" xfId="0" applyNumberFormat="1"/>
    <xf numFmtId="2" fontId="0" fillId="0" borderId="38" xfId="0" applyNumberFormat="1" applyBorder="1"/>
    <xf numFmtId="166" fontId="0" fillId="0" borderId="0" xfId="0" applyNumberFormat="1" applyBorder="1"/>
    <xf numFmtId="2" fontId="0" fillId="0" borderId="31" xfId="0" applyNumberFormat="1" applyBorder="1"/>
    <xf numFmtId="2" fontId="0" fillId="0" borderId="34" xfId="0" applyNumberFormat="1" applyBorder="1"/>
    <xf numFmtId="0" fontId="17" fillId="4" borderId="38" xfId="0" applyFont="1" applyFill="1" applyBorder="1"/>
    <xf numFmtId="0" fontId="17" fillId="4" borderId="34" xfId="0" applyFont="1" applyFill="1" applyBorder="1"/>
    <xf numFmtId="0" fontId="17" fillId="4" borderId="31" xfId="0" applyFont="1" applyFill="1" applyBorder="1" applyAlignment="1">
      <alignment horizontal="left" vertical="top"/>
    </xf>
    <xf numFmtId="0" fontId="17" fillId="4" borderId="0" xfId="0" applyFont="1" applyFill="1" applyBorder="1" applyAlignment="1">
      <alignment horizontal="left" vertical="top"/>
    </xf>
    <xf numFmtId="0" fontId="17" fillId="4" borderId="34" xfId="0" applyFont="1" applyFill="1" applyBorder="1" applyAlignment="1">
      <alignment horizontal="left" vertical="top"/>
    </xf>
    <xf numFmtId="0" fontId="17" fillId="4" borderId="31" xfId="0" applyFont="1" applyFill="1" applyBorder="1"/>
    <xf numFmtId="1" fontId="7" fillId="0" borderId="0" xfId="3" applyNumberFormat="1"/>
    <xf numFmtId="0" fontId="17" fillId="4" borderId="0" xfId="0" applyFont="1" applyFill="1" applyBorder="1"/>
    <xf numFmtId="0" fontId="17" fillId="4" borderId="48" xfId="0" applyFont="1" applyFill="1" applyBorder="1" applyAlignment="1">
      <alignment vertical="top"/>
    </xf>
    <xf numFmtId="0" fontId="17" fillId="4" borderId="49" xfId="0" applyFont="1" applyFill="1" applyBorder="1" applyAlignment="1">
      <alignment vertical="top"/>
    </xf>
    <xf numFmtId="0" fontId="17" fillId="4" borderId="36" xfId="0" applyFont="1" applyFill="1" applyBorder="1" applyAlignment="1">
      <alignment vertical="top"/>
    </xf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9" fillId="0" borderId="0" xfId="3" applyFont="1" applyFill="1" applyAlignment="1" applyProtection="1">
      <alignment wrapText="1"/>
    </xf>
    <xf numFmtId="0" fontId="20" fillId="0" borderId="0" xfId="0" applyFont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1" fontId="0" fillId="0" borderId="0" xfId="0" applyNumberFormat="1" applyBorder="1"/>
    <xf numFmtId="0" fontId="0" fillId="0" borderId="34" xfId="0" applyFill="1" applyBorder="1"/>
    <xf numFmtId="168" fontId="0" fillId="0" borderId="0" xfId="0" applyNumberFormat="1" applyBorder="1"/>
    <xf numFmtId="1" fontId="0" fillId="0" borderId="31" xfId="0" applyNumberFormat="1" applyBorder="1"/>
    <xf numFmtId="1" fontId="0" fillId="0" borderId="34" xfId="0" applyNumberFormat="1" applyBorder="1"/>
    <xf numFmtId="0" fontId="19" fillId="0" borderId="0" xfId="6"/>
    <xf numFmtId="0" fontId="3" fillId="0" borderId="6" xfId="0" applyFont="1" applyFill="1" applyBorder="1" applyAlignment="1">
      <alignment horizontal="left" vertical="top"/>
    </xf>
    <xf numFmtId="2" fontId="0" fillId="5" borderId="0" xfId="0" applyNumberFormat="1" applyFill="1" applyBorder="1"/>
    <xf numFmtId="1" fontId="0" fillId="5" borderId="0" xfId="0" applyNumberFormat="1" applyFill="1" applyBorder="1"/>
    <xf numFmtId="2" fontId="0" fillId="17" borderId="31" xfId="0" applyNumberFormat="1" applyFill="1" applyBorder="1"/>
    <xf numFmtId="2" fontId="0" fillId="17" borderId="0" xfId="0" applyNumberFormat="1" applyFill="1" applyBorder="1"/>
    <xf numFmtId="166" fontId="0" fillId="17" borderId="0" xfId="0" applyNumberFormat="1" applyFill="1" applyBorder="1"/>
    <xf numFmtId="0" fontId="0" fillId="0" borderId="0" xfId="0" applyNumberFormat="1"/>
    <xf numFmtId="0" fontId="21" fillId="2" borderId="0" xfId="0" applyFont="1" applyFill="1"/>
    <xf numFmtId="169" fontId="0" fillId="17" borderId="0" xfId="0" applyNumberFormat="1" applyFill="1" applyBorder="1"/>
    <xf numFmtId="0" fontId="10" fillId="0" borderId="0" xfId="0" applyFont="1"/>
    <xf numFmtId="0" fontId="9" fillId="0" borderId="0" xfId="0" applyFont="1"/>
    <xf numFmtId="0" fontId="8" fillId="0" borderId="0" xfId="0" applyFont="1" applyAlignment="1">
      <alignment horizontal="left"/>
    </xf>
    <xf numFmtId="0" fontId="0" fillId="0" borderId="0" xfId="0" applyAlignment="1">
      <alignment horizontal="right"/>
    </xf>
    <xf numFmtId="0" fontId="8" fillId="19" borderId="0" xfId="0" applyFont="1" applyFill="1" applyAlignment="1">
      <alignment horizontal="left"/>
    </xf>
    <xf numFmtId="0" fontId="8" fillId="21" borderId="0" xfId="0" applyFont="1" applyFill="1" applyAlignment="1">
      <alignment horizontal="left"/>
    </xf>
    <xf numFmtId="0" fontId="8" fillId="24" borderId="0" xfId="0" applyFont="1" applyFill="1" applyAlignment="1">
      <alignment horizontal="left"/>
    </xf>
    <xf numFmtId="0" fontId="9" fillId="0" borderId="0" xfId="0" applyFont="1" applyAlignment="1">
      <alignment wrapText="1"/>
    </xf>
    <xf numFmtId="0" fontId="8" fillId="0" borderId="0" xfId="3" applyFont="1" applyFill="1" applyAlignment="1" applyProtection="1">
      <alignment horizontal="left"/>
    </xf>
    <xf numFmtId="0" fontId="8" fillId="0" borderId="0" xfId="3" applyFont="1" applyFill="1" applyAlignment="1" applyProtection="1">
      <alignment horizontal="left"/>
    </xf>
    <xf numFmtId="10" fontId="0" fillId="0" borderId="0" xfId="0" applyNumberFormat="1"/>
    <xf numFmtId="0" fontId="0" fillId="0" borderId="0" xfId="0" applyFill="1"/>
    <xf numFmtId="0" fontId="0" fillId="8" borderId="0" xfId="0" applyFill="1"/>
    <xf numFmtId="0" fontId="0" fillId="25" borderId="1" xfId="0" applyFill="1" applyBorder="1"/>
    <xf numFmtId="0" fontId="0" fillId="25" borderId="0" xfId="0" applyFill="1"/>
    <xf numFmtId="0" fontId="0" fillId="17" borderId="1" xfId="0" applyFill="1" applyBorder="1"/>
    <xf numFmtId="170" fontId="0" fillId="17" borderId="1" xfId="0" applyNumberFormat="1" applyFill="1" applyBorder="1"/>
    <xf numFmtId="0" fontId="0" fillId="17" borderId="0" xfId="0" applyFill="1"/>
    <xf numFmtId="0" fontId="0" fillId="26" borderId="0" xfId="0" applyFill="1"/>
    <xf numFmtId="0" fontId="0" fillId="26" borderId="1" xfId="0" applyFill="1" applyBorder="1"/>
    <xf numFmtId="0" fontId="0" fillId="3" borderId="40" xfId="0" applyFill="1" applyBorder="1" applyAlignment="1">
      <alignment wrapText="1"/>
    </xf>
    <xf numFmtId="0" fontId="0" fillId="3" borderId="41" xfId="0" applyFill="1" applyBorder="1" applyAlignment="1">
      <alignment wrapText="1"/>
    </xf>
    <xf numFmtId="0" fontId="0" fillId="3" borderId="42" xfId="0" applyFill="1" applyBorder="1" applyAlignment="1">
      <alignment wrapText="1"/>
    </xf>
    <xf numFmtId="0" fontId="0" fillId="16" borderId="0" xfId="0" applyFill="1"/>
    <xf numFmtId="170" fontId="0" fillId="16" borderId="1" xfId="0" applyNumberFormat="1" applyFill="1" applyBorder="1"/>
    <xf numFmtId="0" fontId="0" fillId="0" borderId="31" xfId="0" applyFill="1" applyBorder="1"/>
    <xf numFmtId="170" fontId="0" fillId="5" borderId="31" xfId="0" applyNumberFormat="1" applyFill="1" applyBorder="1"/>
    <xf numFmtId="170" fontId="0" fillId="5" borderId="0" xfId="0" applyNumberFormat="1" applyFill="1" applyBorder="1"/>
    <xf numFmtId="2" fontId="0" fillId="17" borderId="1" xfId="0" applyNumberFormat="1" applyFill="1" applyBorder="1"/>
    <xf numFmtId="0" fontId="0" fillId="5" borderId="1" xfId="0" applyFill="1" applyBorder="1"/>
    <xf numFmtId="0" fontId="0" fillId="5" borderId="0" xfId="0" applyFill="1"/>
    <xf numFmtId="0" fontId="0" fillId="0" borderId="51" xfId="0" applyBorder="1"/>
    <xf numFmtId="0" fontId="0" fillId="0" borderId="3" xfId="0" applyBorder="1"/>
    <xf numFmtId="1" fontId="0" fillId="0" borderId="1" xfId="0" applyNumberFormat="1" applyBorder="1"/>
    <xf numFmtId="0" fontId="0" fillId="2" borderId="5" xfId="0" applyFill="1" applyBorder="1" applyAlignment="1">
      <alignment wrapText="1"/>
    </xf>
    <xf numFmtId="0" fontId="0" fillId="3" borderId="1" xfId="0" applyFill="1" applyBorder="1"/>
    <xf numFmtId="1" fontId="0" fillId="13" borderId="1" xfId="0" applyNumberFormat="1" applyFill="1" applyBorder="1"/>
    <xf numFmtId="0" fontId="0" fillId="13" borderId="1" xfId="0" applyFill="1" applyBorder="1"/>
    <xf numFmtId="0" fontId="0" fillId="13" borderId="0" xfId="0" applyFill="1"/>
    <xf numFmtId="0" fontId="0" fillId="11" borderId="33" xfId="0" applyFill="1" applyBorder="1"/>
    <xf numFmtId="0" fontId="0" fillId="0" borderId="0" xfId="0" applyAlignment="1">
      <alignment vertical="center"/>
    </xf>
    <xf numFmtId="0" fontId="0" fillId="9" borderId="1" xfId="0" applyFill="1" applyBorder="1"/>
    <xf numFmtId="2" fontId="0" fillId="0" borderId="31" xfId="0" applyNumberFormat="1" applyFill="1" applyBorder="1"/>
    <xf numFmtId="2" fontId="0" fillId="0" borderId="0" xfId="0" applyNumberFormat="1" applyFill="1" applyBorder="1"/>
    <xf numFmtId="0" fontId="17" fillId="4" borderId="52" xfId="0" applyFont="1" applyFill="1" applyBorder="1"/>
    <xf numFmtId="0" fontId="17" fillId="4" borderId="7" xfId="0" applyFont="1" applyFill="1" applyBorder="1"/>
    <xf numFmtId="0" fontId="0" fillId="0" borderId="7" xfId="0" applyBorder="1"/>
    <xf numFmtId="2" fontId="0" fillId="0" borderId="7" xfId="0" applyNumberFormat="1" applyBorder="1"/>
    <xf numFmtId="0" fontId="0" fillId="0" borderId="53" xfId="0" applyBorder="1"/>
    <xf numFmtId="2" fontId="0" fillId="2" borderId="0" xfId="0" applyNumberFormat="1" applyFill="1"/>
    <xf numFmtId="0" fontId="0" fillId="2" borderId="0" xfId="0" applyFill="1" applyAlignment="1"/>
    <xf numFmtId="0" fontId="0" fillId="0" borderId="1" xfId="0" applyBorder="1"/>
    <xf numFmtId="0" fontId="0" fillId="2" borderId="41" xfId="0" applyFill="1" applyBorder="1"/>
    <xf numFmtId="0" fontId="0" fillId="2" borderId="42" xfId="0" applyFill="1" applyBorder="1"/>
    <xf numFmtId="0" fontId="0" fillId="2" borderId="43" xfId="0" applyFill="1" applyBorder="1"/>
    <xf numFmtId="0" fontId="0" fillId="5" borderId="43" xfId="0" applyFill="1" applyBorder="1"/>
    <xf numFmtId="0" fontId="0" fillId="25" borderId="9" xfId="7" applyFont="1" applyFill="1" applyBorder="1"/>
    <xf numFmtId="0" fontId="0" fillId="25" borderId="1" xfId="7" applyFont="1" applyFill="1" applyBorder="1"/>
    <xf numFmtId="0" fontId="0" fillId="25" borderId="43" xfId="0" applyFill="1" applyBorder="1"/>
    <xf numFmtId="0" fontId="0" fillId="25" borderId="11" xfId="7" applyFont="1" applyFill="1" applyBorder="1"/>
    <xf numFmtId="0" fontId="0" fillId="25" borderId="12" xfId="7" applyFont="1" applyFill="1" applyBorder="1"/>
    <xf numFmtId="0" fontId="0" fillId="25" borderId="12" xfId="0" applyFill="1" applyBorder="1"/>
    <xf numFmtId="0" fontId="0" fillId="25" borderId="54" xfId="0" applyFill="1" applyBorder="1"/>
    <xf numFmtId="0" fontId="0" fillId="25" borderId="40" xfId="7" applyFont="1" applyFill="1" applyBorder="1"/>
    <xf numFmtId="0" fontId="0" fillId="25" borderId="41" xfId="7" applyFont="1" applyFill="1" applyBorder="1"/>
    <xf numFmtId="0" fontId="0" fillId="25" borderId="41" xfId="0" applyFill="1" applyBorder="1"/>
    <xf numFmtId="0" fontId="0" fillId="25" borderId="42" xfId="0" applyFill="1" applyBorder="1"/>
    <xf numFmtId="0" fontId="0" fillId="2" borderId="40" xfId="0" applyFill="1" applyBorder="1"/>
    <xf numFmtId="0" fontId="0" fillId="2" borderId="9" xfId="7" applyFont="1" applyFill="1" applyBorder="1"/>
    <xf numFmtId="0" fontId="0" fillId="2" borderId="1" xfId="7" applyFont="1" applyFill="1" applyBorder="1"/>
    <xf numFmtId="1" fontId="0" fillId="2" borderId="9" xfId="7" applyNumberFormat="1" applyFont="1" applyFill="1" applyBorder="1"/>
    <xf numFmtId="0" fontId="0" fillId="2" borderId="41" xfId="7" applyFont="1" applyFill="1" applyBorder="1" applyAlignment="1"/>
    <xf numFmtId="0" fontId="0" fillId="2" borderId="0" xfId="7" applyFont="1" applyFill="1"/>
    <xf numFmtId="0" fontId="6" fillId="2" borderId="0" xfId="7" applyFill="1"/>
    <xf numFmtId="0" fontId="3" fillId="2" borderId="0" xfId="6" applyFont="1" applyFill="1"/>
    <xf numFmtId="9" fontId="0" fillId="2" borderId="0" xfId="0" applyNumberFormat="1" applyFill="1"/>
    <xf numFmtId="0" fontId="0" fillId="24" borderId="44" xfId="7" applyFont="1" applyFill="1" applyBorder="1"/>
    <xf numFmtId="0" fontId="0" fillId="24" borderId="2" xfId="7" applyFont="1" applyFill="1" applyBorder="1"/>
    <xf numFmtId="0" fontId="0" fillId="24" borderId="2" xfId="0" applyFill="1" applyBorder="1"/>
    <xf numFmtId="0" fontId="0" fillId="24" borderId="45" xfId="0" applyFill="1" applyBorder="1"/>
    <xf numFmtId="2" fontId="0" fillId="0" borderId="34" xfId="0" applyNumberFormat="1" applyFill="1" applyBorder="1"/>
    <xf numFmtId="2" fontId="0" fillId="5" borderId="1" xfId="0" applyNumberFormat="1" applyFill="1" applyBorder="1"/>
    <xf numFmtId="1" fontId="0" fillId="0" borderId="9" xfId="7" applyNumberFormat="1" applyFont="1" applyFill="1" applyBorder="1"/>
    <xf numFmtId="0" fontId="0" fillId="0" borderId="1" xfId="7" applyFont="1" applyFill="1" applyBorder="1"/>
    <xf numFmtId="0" fontId="0" fillId="0" borderId="1" xfId="0" applyFill="1" applyBorder="1"/>
    <xf numFmtId="0" fontId="0" fillId="0" borderId="0" xfId="0" applyBorder="1" applyAlignment="1">
      <alignment vertical="center"/>
    </xf>
    <xf numFmtId="0" fontId="7" fillId="0" borderId="0" xfId="3" applyAlignment="1">
      <alignment horizontal="right"/>
    </xf>
    <xf numFmtId="0" fontId="7" fillId="23" borderId="0" xfId="8" applyFill="1" applyAlignment="1">
      <alignment horizontal="right"/>
    </xf>
    <xf numFmtId="0" fontId="7" fillId="18" borderId="0" xfId="3" applyFill="1" applyAlignment="1">
      <alignment horizontal="right"/>
    </xf>
    <xf numFmtId="0" fontId="7" fillId="0" borderId="0" xfId="8" applyAlignment="1">
      <alignment horizontal="right"/>
    </xf>
    <xf numFmtId="0" fontId="7" fillId="19" borderId="0" xfId="3" applyFill="1" applyAlignment="1">
      <alignment horizontal="right"/>
    </xf>
    <xf numFmtId="0" fontId="7" fillId="20" borderId="0" xfId="3" applyFill="1" applyAlignment="1">
      <alignment horizontal="right"/>
    </xf>
    <xf numFmtId="0" fontId="7" fillId="21" borderId="0" xfId="3" applyFill="1" applyAlignment="1">
      <alignment horizontal="right"/>
    </xf>
    <xf numFmtId="0" fontId="7" fillId="22" borderId="0" xfId="3" applyFill="1" applyAlignment="1">
      <alignment horizontal="right"/>
    </xf>
    <xf numFmtId="0" fontId="7" fillId="23" borderId="0" xfId="3" applyFill="1" applyAlignment="1">
      <alignment horizontal="right"/>
    </xf>
    <xf numFmtId="0" fontId="7" fillId="24" borderId="0" xfId="3" applyFill="1" applyAlignment="1">
      <alignment horizontal="right"/>
    </xf>
    <xf numFmtId="0" fontId="22" fillId="0" borderId="55" xfId="0" applyFont="1" applyBorder="1" applyAlignment="1">
      <alignment vertical="center" wrapText="1"/>
    </xf>
    <xf numFmtId="0" fontId="22" fillId="0" borderId="39" xfId="0" applyFont="1" applyBorder="1" applyAlignment="1">
      <alignment vertical="center" wrapText="1"/>
    </xf>
    <xf numFmtId="0" fontId="23" fillId="0" borderId="39" xfId="0" applyFont="1" applyBorder="1" applyAlignment="1">
      <alignment vertical="center" wrapText="1"/>
    </xf>
    <xf numFmtId="0" fontId="22" fillId="0" borderId="56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170" fontId="0" fillId="0" borderId="0" xfId="0" applyNumberFormat="1" applyBorder="1"/>
    <xf numFmtId="170" fontId="0" fillId="0" borderId="31" xfId="0" applyNumberFormat="1" applyBorder="1"/>
    <xf numFmtId="170" fontId="0" fillId="0" borderId="34" xfId="0" applyNumberFormat="1" applyBorder="1"/>
    <xf numFmtId="0" fontId="23" fillId="0" borderId="0" xfId="0" applyFont="1" applyBorder="1" applyAlignment="1">
      <alignment vertical="center" wrapText="1"/>
    </xf>
    <xf numFmtId="0" fontId="22" fillId="0" borderId="0" xfId="0" applyFont="1" applyBorder="1" applyAlignment="1">
      <alignment vertical="center" wrapText="1"/>
    </xf>
    <xf numFmtId="0" fontId="0" fillId="23" borderId="0" xfId="0" applyFill="1" applyAlignment="1">
      <alignment horizontal="right"/>
    </xf>
    <xf numFmtId="0" fontId="24" fillId="0" borderId="0" xfId="0" applyFont="1"/>
    <xf numFmtId="0" fontId="0" fillId="0" borderId="57" xfId="0" applyFont="1" applyBorder="1"/>
    <xf numFmtId="0" fontId="0" fillId="27" borderId="57" xfId="0" applyFont="1" applyFill="1" applyBorder="1"/>
    <xf numFmtId="9" fontId="0" fillId="2" borderId="1" xfId="0" applyNumberFormat="1" applyFill="1" applyBorder="1"/>
    <xf numFmtId="9" fontId="0" fillId="2" borderId="1" xfId="1" applyFont="1" applyFill="1" applyBorder="1"/>
    <xf numFmtId="164" fontId="0" fillId="0" borderId="0" xfId="0" applyNumberFormat="1"/>
    <xf numFmtId="0" fontId="19" fillId="0" borderId="39" xfId="6" applyBorder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23" borderId="0" xfId="3" applyFill="1" applyAlignment="1" applyProtection="1">
      <alignment horizontal="right"/>
    </xf>
    <xf numFmtId="0" fontId="7" fillId="0" borderId="0" xfId="3" applyFill="1" applyAlignment="1" applyProtection="1">
      <alignment horizontal="right"/>
    </xf>
    <xf numFmtId="165" fontId="0" fillId="0" borderId="0" xfId="2" applyNumberFormat="1" applyFont="1"/>
    <xf numFmtId="165" fontId="0" fillId="8" borderId="0" xfId="0" applyNumberFormat="1" applyFill="1" applyAlignment="1">
      <alignment horizontal="right"/>
    </xf>
    <xf numFmtId="165" fontId="0" fillId="8" borderId="0" xfId="2" applyNumberFormat="1" applyFont="1" applyFill="1"/>
    <xf numFmtId="171" fontId="0" fillId="0" borderId="0" xfId="0" applyNumberFormat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3" fillId="0" borderId="32" xfId="6" applyFont="1" applyBorder="1"/>
    <xf numFmtId="165" fontId="0" fillId="0" borderId="0" xfId="0" applyNumberFormat="1"/>
    <xf numFmtId="0" fontId="27" fillId="28" borderId="1" xfId="9" applyFont="1" applyFill="1" applyBorder="1" applyAlignment="1">
      <alignment horizontal="center"/>
    </xf>
    <xf numFmtId="0" fontId="27" fillId="0" borderId="1" xfId="9" applyFont="1" applyBorder="1" applyAlignment="1">
      <alignment wrapText="1"/>
    </xf>
    <xf numFmtId="165" fontId="27" fillId="0" borderId="1" xfId="2" applyNumberFormat="1" applyFont="1" applyFill="1" applyBorder="1" applyAlignment="1">
      <alignment horizontal="right" wrapText="1"/>
    </xf>
    <xf numFmtId="165" fontId="0" fillId="0" borderId="1" xfId="2" applyNumberFormat="1" applyFont="1" applyBorder="1"/>
    <xf numFmtId="165" fontId="0" fillId="0" borderId="1" xfId="0" applyNumberFormat="1" applyBorder="1"/>
    <xf numFmtId="165" fontId="27" fillId="17" borderId="1" xfId="2" applyNumberFormat="1" applyFont="1" applyFill="1" applyBorder="1" applyAlignment="1">
      <alignment horizontal="right" wrapText="1"/>
    </xf>
    <xf numFmtId="165" fontId="27" fillId="29" borderId="1" xfId="2" applyNumberFormat="1" applyFont="1" applyFill="1" applyBorder="1" applyAlignment="1">
      <alignment horizontal="right" wrapText="1"/>
    </xf>
    <xf numFmtId="165" fontId="0" fillId="29" borderId="1" xfId="0" applyNumberFormat="1" applyFill="1" applyBorder="1"/>
    <xf numFmtId="165" fontId="27" fillId="11" borderId="1" xfId="2" applyNumberFormat="1" applyFont="1" applyFill="1" applyBorder="1" applyAlignment="1">
      <alignment horizontal="right" wrapText="1"/>
    </xf>
    <xf numFmtId="165" fontId="0" fillId="11" borderId="1" xfId="0" applyNumberFormat="1" applyFill="1" applyBorder="1"/>
    <xf numFmtId="0" fontId="28" fillId="0" borderId="1" xfId="0" applyFont="1" applyBorder="1"/>
    <xf numFmtId="165" fontId="28" fillId="0" borderId="1" xfId="2" applyNumberFormat="1" applyFont="1" applyBorder="1"/>
    <xf numFmtId="165" fontId="28" fillId="0" borderId="1" xfId="0" applyNumberFormat="1" applyFont="1" applyBorder="1"/>
    <xf numFmtId="0" fontId="28" fillId="0" borderId="0" xfId="0" applyFont="1"/>
    <xf numFmtId="10" fontId="27" fillId="0" borderId="3" xfId="2" applyNumberFormat="1" applyFont="1" applyFill="1" applyBorder="1" applyAlignment="1">
      <alignment horizontal="right" wrapText="1"/>
    </xf>
    <xf numFmtId="0" fontId="27" fillId="9" borderId="1" xfId="9" applyFont="1" applyFill="1" applyBorder="1" applyAlignment="1">
      <alignment wrapText="1"/>
    </xf>
    <xf numFmtId="165" fontId="27" fillId="9" borderId="1" xfId="2" applyNumberFormat="1" applyFont="1" applyFill="1" applyBorder="1" applyAlignment="1">
      <alignment horizontal="right" wrapText="1"/>
    </xf>
    <xf numFmtId="165" fontId="0" fillId="9" borderId="1" xfId="2" applyNumberFormat="1" applyFont="1" applyFill="1" applyBorder="1"/>
    <xf numFmtId="165" fontId="0" fillId="9" borderId="1" xfId="0" applyNumberFormat="1" applyFill="1" applyBorder="1"/>
    <xf numFmtId="10" fontId="0" fillId="0" borderId="0" xfId="1" applyNumberFormat="1" applyFont="1" applyBorder="1"/>
    <xf numFmtId="0" fontId="1" fillId="0" borderId="0" xfId="0" applyFont="1" applyFill="1" applyBorder="1"/>
    <xf numFmtId="0" fontId="1" fillId="2" borderId="48" xfId="0" applyFont="1" applyFill="1" applyBorder="1"/>
    <xf numFmtId="0" fontId="1" fillId="2" borderId="32" xfId="0" applyFont="1" applyFill="1" applyBorder="1"/>
    <xf numFmtId="0" fontId="0" fillId="2" borderId="49" xfId="0" applyFill="1" applyBorder="1"/>
    <xf numFmtId="0" fontId="0" fillId="2" borderId="33" xfId="0" applyFill="1" applyBorder="1"/>
    <xf numFmtId="0" fontId="1" fillId="2" borderId="49" xfId="0" applyFont="1" applyFill="1" applyBorder="1"/>
    <xf numFmtId="0" fontId="1" fillId="2" borderId="33" xfId="0" applyFont="1" applyFill="1" applyBorder="1"/>
    <xf numFmtId="0" fontId="0" fillId="2" borderId="36" xfId="0" applyFill="1" applyBorder="1"/>
    <xf numFmtId="0" fontId="0" fillId="2" borderId="35" xfId="0" applyFill="1" applyBorder="1"/>
    <xf numFmtId="0" fontId="0" fillId="0" borderId="6" xfId="0" applyBorder="1"/>
    <xf numFmtId="0" fontId="0" fillId="0" borderId="8" xfId="0" applyBorder="1"/>
    <xf numFmtId="0" fontId="0" fillId="0" borderId="14" xfId="0" applyBorder="1"/>
    <xf numFmtId="0" fontId="0" fillId="0" borderId="10" xfId="0" applyBorder="1"/>
    <xf numFmtId="10" fontId="0" fillId="0" borderId="10" xfId="1" applyNumberFormat="1" applyFont="1" applyBorder="1"/>
    <xf numFmtId="0" fontId="0" fillId="0" borderId="15" xfId="0" applyBorder="1"/>
    <xf numFmtId="0" fontId="0" fillId="0" borderId="16" xfId="0" applyBorder="1"/>
    <xf numFmtId="10" fontId="0" fillId="0" borderId="16" xfId="1" applyNumberFormat="1" applyFont="1" applyBorder="1"/>
    <xf numFmtId="10" fontId="0" fillId="0" borderId="17" xfId="1" applyNumberFormat="1" applyFont="1" applyBorder="1"/>
    <xf numFmtId="0" fontId="1" fillId="0" borderId="0" xfId="0" applyFont="1" applyBorder="1"/>
    <xf numFmtId="0" fontId="1" fillId="0" borderId="10" xfId="0" applyFont="1" applyBorder="1"/>
    <xf numFmtId="0" fontId="1" fillId="0" borderId="16" xfId="0" applyFont="1" applyBorder="1"/>
    <xf numFmtId="0" fontId="24" fillId="0" borderId="1" xfId="0" applyFont="1" applyBorder="1"/>
    <xf numFmtId="0" fontId="15" fillId="0" borderId="0" xfId="0" applyFont="1"/>
    <xf numFmtId="9" fontId="0" fillId="0" borderId="1" xfId="1" applyFont="1" applyBorder="1"/>
    <xf numFmtId="170" fontId="0" fillId="0" borderId="1" xfId="0" applyNumberFormat="1" applyBorder="1"/>
    <xf numFmtId="0" fontId="15" fillId="0" borderId="1" xfId="0" applyFont="1" applyBorder="1"/>
    <xf numFmtId="9" fontId="0" fillId="0" borderId="1" xfId="0" applyNumberFormat="1" applyBorder="1"/>
    <xf numFmtId="1" fontId="0" fillId="0" borderId="1" xfId="0" applyNumberFormat="1" applyFill="1" applyBorder="1"/>
    <xf numFmtId="2" fontId="0" fillId="11" borderId="1" xfId="0" applyNumberFormat="1" applyFill="1" applyBorder="1"/>
    <xf numFmtId="9" fontId="0" fillId="11" borderId="1" xfId="0" applyNumberFormat="1" applyFill="1" applyBorder="1"/>
    <xf numFmtId="0" fontId="1" fillId="0" borderId="1" xfId="0" applyFont="1" applyBorder="1"/>
    <xf numFmtId="2" fontId="25" fillId="0" borderId="1" xfId="0" applyNumberFormat="1" applyFont="1" applyBorder="1"/>
    <xf numFmtId="0" fontId="19" fillId="0" borderId="1" xfId="6" applyBorder="1"/>
    <xf numFmtId="171" fontId="0" fillId="0" borderId="1" xfId="0" applyNumberFormat="1" applyBorder="1"/>
    <xf numFmtId="0" fontId="1" fillId="14" borderId="48" xfId="0" applyFont="1" applyFill="1" applyBorder="1"/>
    <xf numFmtId="0" fontId="0" fillId="14" borderId="32" xfId="0" applyFill="1" applyBorder="1"/>
    <xf numFmtId="0" fontId="0" fillId="14" borderId="49" xfId="0" applyFill="1" applyBorder="1"/>
    <xf numFmtId="0" fontId="0" fillId="14" borderId="33" xfId="0" applyFill="1" applyBorder="1"/>
    <xf numFmtId="0" fontId="1" fillId="14" borderId="49" xfId="0" applyFont="1" applyFill="1" applyBorder="1"/>
    <xf numFmtId="0" fontId="0" fillId="14" borderId="36" xfId="0" applyFill="1" applyBorder="1"/>
    <xf numFmtId="0" fontId="0" fillId="14" borderId="35" xfId="0" applyFill="1" applyBorder="1"/>
    <xf numFmtId="9" fontId="7" fillId="5" borderId="1" xfId="1" applyFont="1" applyFill="1" applyBorder="1"/>
    <xf numFmtId="0" fontId="8" fillId="2" borderId="50" xfId="3" applyFont="1" applyFill="1" applyBorder="1" applyAlignment="1">
      <alignment horizontal="left"/>
    </xf>
    <xf numFmtId="0" fontId="8" fillId="2" borderId="60" xfId="3" applyFont="1" applyFill="1" applyBorder="1" applyAlignment="1">
      <alignment horizontal="left"/>
    </xf>
    <xf numFmtId="167" fontId="6" fillId="5" borderId="1" xfId="1" applyNumberFormat="1" applyFont="1" applyFill="1" applyBorder="1"/>
    <xf numFmtId="0" fontId="30" fillId="2" borderId="0" xfId="3" applyFont="1" applyFill="1"/>
    <xf numFmtId="167" fontId="0" fillId="0" borderId="1" xfId="1" applyNumberFormat="1" applyFont="1" applyBorder="1"/>
    <xf numFmtId="0" fontId="0" fillId="14" borderId="1" xfId="0" applyFill="1" applyBorder="1"/>
    <xf numFmtId="0" fontId="0" fillId="14" borderId="0" xfId="0" applyFill="1"/>
    <xf numFmtId="2" fontId="0" fillId="14" borderId="1" xfId="0" applyNumberFormat="1" applyFill="1" applyBorder="1"/>
    <xf numFmtId="0" fontId="7" fillId="13" borderId="1" xfId="3" applyFill="1" applyBorder="1" applyAlignment="1">
      <alignment horizontal="right"/>
    </xf>
    <xf numFmtId="9" fontId="0" fillId="13" borderId="1" xfId="1" applyFont="1" applyFill="1" applyBorder="1"/>
    <xf numFmtId="9" fontId="0" fillId="5" borderId="1" xfId="0" applyNumberFormat="1" applyFill="1" applyBorder="1"/>
    <xf numFmtId="2" fontId="0" fillId="13" borderId="1" xfId="0" applyNumberFormat="1" applyFill="1" applyBorder="1"/>
    <xf numFmtId="170" fontId="0" fillId="13" borderId="1" xfId="0" applyNumberFormat="1" applyFill="1" applyBorder="1"/>
    <xf numFmtId="1" fontId="0" fillId="5" borderId="1" xfId="0" applyNumberFormat="1" applyFill="1" applyBorder="1"/>
    <xf numFmtId="9" fontId="0" fillId="5" borderId="1" xfId="1" applyFont="1" applyFill="1" applyBorder="1"/>
    <xf numFmtId="0" fontId="32" fillId="0" borderId="61" xfId="0" applyFont="1" applyBorder="1" applyAlignment="1">
      <alignment vertical="center" wrapText="1"/>
    </xf>
    <xf numFmtId="0" fontId="32" fillId="0" borderId="62" xfId="0" applyFont="1" applyBorder="1" applyAlignment="1">
      <alignment vertical="center" wrapText="1"/>
    </xf>
    <xf numFmtId="0" fontId="31" fillId="0" borderId="63" xfId="0" applyFont="1" applyBorder="1" applyAlignment="1">
      <alignment vertical="center" wrapText="1"/>
    </xf>
    <xf numFmtId="0" fontId="31" fillId="0" borderId="64" xfId="0" applyFont="1" applyBorder="1" applyAlignment="1">
      <alignment vertical="center" wrapText="1"/>
    </xf>
    <xf numFmtId="0" fontId="32" fillId="0" borderId="65" xfId="0" applyFont="1" applyBorder="1" applyAlignment="1">
      <alignment vertical="center" wrapText="1"/>
    </xf>
    <xf numFmtId="0" fontId="32" fillId="0" borderId="64" xfId="0" applyFont="1" applyBorder="1" applyAlignment="1">
      <alignment horizontal="right" vertical="center" wrapText="1"/>
    </xf>
    <xf numFmtId="10" fontId="0" fillId="0" borderId="0" xfId="0" applyNumberFormat="1" applyBorder="1"/>
    <xf numFmtId="9" fontId="0" fillId="13" borderId="1" xfId="0" applyNumberFormat="1" applyFill="1" applyBorder="1"/>
    <xf numFmtId="0" fontId="17" fillId="4" borderId="49" xfId="0" applyFont="1" applyFill="1" applyBorder="1"/>
    <xf numFmtId="0" fontId="0" fillId="0" borderId="0" xfId="0" applyAlignment="1">
      <alignment horizontal="left" vertical="top" wrapText="1"/>
    </xf>
    <xf numFmtId="168" fontId="0" fillId="17" borderId="0" xfId="0" applyNumberFormat="1" applyFill="1" applyBorder="1"/>
    <xf numFmtId="2" fontId="42" fillId="55" borderId="83" xfId="40" applyNumberFormat="1" applyFont="1" applyFill="1" applyBorder="1" applyAlignment="1" applyProtection="1">
      <alignment horizontal="left" vertical="center" indent="2"/>
    </xf>
    <xf numFmtId="0" fontId="41" fillId="55" borderId="83" xfId="13" applyFont="1" applyFill="1" applyBorder="1" applyAlignment="1"/>
    <xf numFmtId="4" fontId="42" fillId="79" borderId="83" xfId="0" applyNumberFormat="1" applyFont="1" applyFill="1" applyBorder="1" applyAlignment="1">
      <alignment horizontal="right"/>
    </xf>
    <xf numFmtId="2" fontId="42" fillId="80" borderId="83" xfId="0" applyNumberFormat="1" applyFont="1" applyFill="1" applyBorder="1" applyAlignment="1">
      <alignment horizontal="right"/>
    </xf>
    <xf numFmtId="0" fontId="0" fillId="0" borderId="0" xfId="0" applyBorder="1"/>
    <xf numFmtId="0" fontId="87" fillId="0" borderId="16" xfId="0" applyFont="1" applyBorder="1" applyAlignment="1">
      <alignment vertical="top" wrapText="1"/>
    </xf>
    <xf numFmtId="2" fontId="86" fillId="0" borderId="38" xfId="0" applyNumberFormat="1" applyFont="1" applyBorder="1"/>
    <xf numFmtId="0" fontId="0" fillId="0" borderId="16" xfId="0" applyBorder="1"/>
    <xf numFmtId="0" fontId="86" fillId="0" borderId="87" xfId="0" applyFont="1" applyBorder="1" applyAlignment="1">
      <alignment horizontal="right" vertical="center"/>
    </xf>
    <xf numFmtId="2" fontId="86" fillId="0" borderId="0" xfId="0" applyNumberFormat="1" applyFont="1"/>
    <xf numFmtId="0" fontId="87" fillId="0" borderId="0" xfId="0" applyFont="1" applyAlignment="1">
      <alignment vertical="top" wrapText="1"/>
    </xf>
    <xf numFmtId="0" fontId="87" fillId="0" borderId="0" xfId="0" applyFont="1" applyAlignment="1">
      <alignment vertical="top" wrapText="1"/>
    </xf>
    <xf numFmtId="0" fontId="86" fillId="0" borderId="87" xfId="0" applyFont="1" applyBorder="1" applyAlignment="1">
      <alignment horizontal="right" vertical="center"/>
    </xf>
    <xf numFmtId="0" fontId="87" fillId="0" borderId="16" xfId="0" applyFont="1" applyBorder="1" applyAlignment="1">
      <alignment vertical="top" wrapText="1"/>
    </xf>
    <xf numFmtId="168" fontId="86" fillId="0" borderId="0" xfId="0" applyNumberFormat="1" applyFont="1"/>
    <xf numFmtId="0" fontId="87" fillId="0" borderId="38" xfId="0" applyFont="1" applyFill="1" applyBorder="1" applyAlignment="1">
      <alignment vertical="top" wrapText="1"/>
    </xf>
    <xf numFmtId="166" fontId="86" fillId="0" borderId="16" xfId="0" applyNumberFormat="1" applyFont="1" applyBorder="1"/>
    <xf numFmtId="174" fontId="86" fillId="0" borderId="0" xfId="0" applyNumberFormat="1" applyFont="1"/>
    <xf numFmtId="2" fontId="86" fillId="0" borderId="0" xfId="0" applyNumberFormat="1" applyFont="1"/>
    <xf numFmtId="0" fontId="0" fillId="0" borderId="0" xfId="0"/>
    <xf numFmtId="166" fontId="86" fillId="0" borderId="0" xfId="0" applyNumberFormat="1" applyFont="1"/>
    <xf numFmtId="4" fontId="0" fillId="2" borderId="0" xfId="0" applyNumberFormat="1" applyFill="1"/>
    <xf numFmtId="2" fontId="42" fillId="55" borderId="83" xfId="40" applyNumberFormat="1" applyFont="1" applyFill="1" applyBorder="1" applyAlignment="1" applyProtection="1">
      <alignment horizontal="left" vertical="center" indent="2"/>
    </xf>
    <xf numFmtId="0" fontId="41" fillId="55" borderId="83" xfId="161" applyFont="1" applyFill="1" applyBorder="1" applyAlignment="1"/>
    <xf numFmtId="4" fontId="42" fillId="79" borderId="83" xfId="0" applyNumberFormat="1" applyFont="1" applyFill="1" applyBorder="1" applyAlignment="1">
      <alignment horizontal="right"/>
    </xf>
    <xf numFmtId="4" fontId="86" fillId="0" borderId="0" xfId="0" applyNumberFormat="1" applyFont="1" applyAlignment="1">
      <alignment horizontal="right" vertical="center"/>
    </xf>
    <xf numFmtId="4" fontId="86" fillId="0" borderId="16" xfId="0" applyNumberFormat="1" applyFont="1" applyBorder="1" applyAlignment="1">
      <alignment horizontal="right" vertical="center"/>
    </xf>
    <xf numFmtId="0" fontId="86" fillId="0" borderId="87" xfId="0" applyFont="1" applyBorder="1" applyAlignment="1">
      <alignment vertical="center"/>
    </xf>
    <xf numFmtId="0" fontId="86" fillId="0" borderId="0" xfId="0" applyFont="1" applyAlignment="1">
      <alignment vertical="center"/>
    </xf>
    <xf numFmtId="0" fontId="86" fillId="0" borderId="16" xfId="0" applyFont="1" applyBorder="1" applyAlignment="1">
      <alignment vertical="center"/>
    </xf>
    <xf numFmtId="9" fontId="0" fillId="2" borderId="0" xfId="1" applyFont="1" applyFill="1"/>
    <xf numFmtId="2" fontId="0" fillId="11" borderId="0" xfId="0" applyNumberFormat="1" applyFill="1"/>
    <xf numFmtId="0" fontId="0" fillId="0" borderId="37" xfId="0" applyBorder="1"/>
    <xf numFmtId="0" fontId="0" fillId="0" borderId="39" xfId="0" applyBorder="1"/>
    <xf numFmtId="0" fontId="0" fillId="0" borderId="83" xfId="0" applyBorder="1"/>
    <xf numFmtId="0" fontId="0" fillId="0" borderId="4" xfId="0" applyBorder="1"/>
    <xf numFmtId="9" fontId="0" fillId="0" borderId="4" xfId="0" applyNumberFormat="1" applyBorder="1"/>
    <xf numFmtId="0" fontId="0" fillId="0" borderId="88" xfId="0" applyBorder="1"/>
    <xf numFmtId="9" fontId="0" fillId="0" borderId="83" xfId="0" applyNumberFormat="1" applyBorder="1"/>
    <xf numFmtId="10" fontId="0" fillId="0" borderId="83" xfId="0" applyNumberFormat="1" applyBorder="1"/>
    <xf numFmtId="9" fontId="0" fillId="0" borderId="89" xfId="0" applyNumberFormat="1" applyBorder="1"/>
    <xf numFmtId="0" fontId="0" fillId="2" borderId="83" xfId="0" applyFill="1" applyBorder="1"/>
    <xf numFmtId="0" fontId="0" fillId="0" borderId="83" xfId="0" applyFill="1" applyBorder="1"/>
    <xf numFmtId="169" fontId="0" fillId="0" borderId="0" xfId="0" applyNumberFormat="1"/>
    <xf numFmtId="0" fontId="0" fillId="14" borderId="83" xfId="0" applyFill="1" applyBorder="1"/>
    <xf numFmtId="0" fontId="27" fillId="28" borderId="83" xfId="9" applyFont="1" applyFill="1" applyBorder="1" applyAlignment="1">
      <alignment horizontal="center"/>
    </xf>
    <xf numFmtId="0" fontId="27" fillId="9" borderId="83" xfId="9" applyFont="1" applyFill="1" applyBorder="1" applyAlignment="1">
      <alignment wrapText="1"/>
    </xf>
    <xf numFmtId="0" fontId="27" fillId="0" borderId="83" xfId="9" applyFont="1" applyBorder="1" applyAlignment="1">
      <alignment wrapText="1"/>
    </xf>
    <xf numFmtId="0" fontId="28" fillId="0" borderId="83" xfId="0" applyFont="1" applyBorder="1"/>
    <xf numFmtId="0" fontId="0" fillId="2" borderId="0" xfId="0" applyFill="1" applyAlignment="1">
      <alignment horizontal="left" wrapText="1"/>
    </xf>
    <xf numFmtId="0" fontId="2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1" fillId="2" borderId="0" xfId="0" applyFont="1" applyFill="1" applyAlignment="1">
      <alignment horizontal="left"/>
    </xf>
    <xf numFmtId="0" fontId="16" fillId="4" borderId="7" xfId="0" applyFont="1" applyFill="1" applyBorder="1" applyAlignment="1">
      <alignment horizontal="center"/>
    </xf>
    <xf numFmtId="0" fontId="7" fillId="2" borderId="0" xfId="3" applyFill="1" applyBorder="1" applyAlignment="1">
      <alignment horizontal="left"/>
    </xf>
    <xf numFmtId="0" fontId="7" fillId="2" borderId="10" xfId="3" applyFill="1" applyBorder="1" applyAlignment="1">
      <alignment horizontal="left"/>
    </xf>
    <xf numFmtId="0" fontId="7" fillId="2" borderId="0" xfId="3" applyFill="1" applyBorder="1" applyAlignment="1">
      <alignment horizontal="left" wrapText="1"/>
    </xf>
    <xf numFmtId="0" fontId="7" fillId="2" borderId="10" xfId="3" applyFill="1" applyBorder="1" applyAlignment="1">
      <alignment horizontal="left" wrapText="1"/>
    </xf>
    <xf numFmtId="2" fontId="11" fillId="11" borderId="26" xfId="3" applyNumberFormat="1" applyFont="1" applyFill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2" fontId="11" fillId="0" borderId="25" xfId="3" applyNumberFormat="1" applyFont="1" applyBorder="1" applyAlignment="1">
      <alignment horizontal="right"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2" fontId="11" fillId="0" borderId="24" xfId="3" applyNumberFormat="1" applyFont="1" applyBorder="1" applyAlignment="1">
      <alignment horizontal="right" vertical="center" wrapText="1"/>
    </xf>
    <xf numFmtId="2" fontId="11" fillId="0" borderId="22" xfId="3" applyNumberFormat="1" applyFont="1" applyBorder="1" applyAlignment="1">
      <alignment horizontal="right" vertical="center" wrapText="1"/>
    </xf>
    <xf numFmtId="0" fontId="11" fillId="0" borderId="27" xfId="3" applyFont="1" applyBorder="1" applyAlignment="1">
      <alignment horizontal="justify" vertical="center" wrapText="1"/>
    </xf>
    <xf numFmtId="0" fontId="11" fillId="0" borderId="23" xfId="3" applyFont="1" applyBorder="1" applyAlignment="1">
      <alignment horizontal="justify" vertical="center" wrapText="1"/>
    </xf>
    <xf numFmtId="2" fontId="11" fillId="0" borderId="26" xfId="3" applyNumberFormat="1" applyFont="1" applyBorder="1" applyAlignment="1">
      <alignment horizontal="center" vertical="center" wrapText="1"/>
    </xf>
    <xf numFmtId="2" fontId="11" fillId="0" borderId="0" xfId="3" applyNumberFormat="1" applyFont="1" applyAlignment="1">
      <alignment horizontal="center" vertical="center" wrapText="1"/>
    </xf>
    <xf numFmtId="0" fontId="13" fillId="15" borderId="30" xfId="0" applyFont="1" applyFill="1" applyBorder="1" applyAlignment="1">
      <alignment vertical="center" wrapText="1"/>
    </xf>
    <xf numFmtId="0" fontId="13" fillId="15" borderId="28" xfId="0" applyFont="1" applyFill="1" applyBorder="1" applyAlignment="1">
      <alignment vertical="center" wrapText="1"/>
    </xf>
    <xf numFmtId="0" fontId="13" fillId="15" borderId="30" xfId="0" applyFont="1" applyFill="1" applyBorder="1" applyAlignment="1">
      <alignment horizontal="left" vertical="center" wrapText="1" indent="4"/>
    </xf>
    <xf numFmtId="0" fontId="13" fillId="15" borderId="28" xfId="0" applyFont="1" applyFill="1" applyBorder="1" applyAlignment="1">
      <alignment horizontal="left" vertical="center" wrapText="1" indent="4"/>
    </xf>
    <xf numFmtId="0" fontId="13" fillId="15" borderId="30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/>
    </xf>
    <xf numFmtId="0" fontId="10" fillId="2" borderId="0" xfId="3" applyFont="1" applyFill="1" applyBorder="1" applyAlignment="1">
      <alignment horizontal="left"/>
    </xf>
    <xf numFmtId="0" fontId="33" fillId="0" borderId="66" xfId="0" applyFont="1" applyBorder="1" applyAlignment="1">
      <alignment vertical="center" wrapText="1"/>
    </xf>
    <xf numFmtId="0" fontId="33" fillId="0" borderId="67" xfId="0" applyFont="1" applyBorder="1" applyAlignment="1">
      <alignment vertical="center" wrapText="1"/>
    </xf>
    <xf numFmtId="0" fontId="31" fillId="0" borderId="67" xfId="0" applyFont="1" applyBorder="1" applyAlignment="1">
      <alignment vertical="center" wrapText="1"/>
    </xf>
    <xf numFmtId="0" fontId="0" fillId="0" borderId="50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0" xfId="0" applyAlignment="1">
      <alignment horizontal="left" vertical="top" wrapText="1"/>
    </xf>
  </cellXfs>
  <cellStyles count="947">
    <cellStyle name="???????????" xfId="47" xr:uid="{F3D25F78-492D-4148-914C-06714DE39934}"/>
    <cellStyle name="???????_2++" xfId="48" xr:uid="{3119DC2A-767F-42D7-AA5C-5F192148C659}"/>
    <cellStyle name="20 % - Akzent1" xfId="59" hidden="1" xr:uid="{182A99F2-DB38-4E22-B120-9EFA32555CD1}"/>
    <cellStyle name="20 % - Akzent1" xfId="906" hidden="1" xr:uid="{AF097B73-FF56-46BE-9A9B-64E9F65A635E}"/>
    <cellStyle name="20 % - Akzent1" xfId="929" hidden="1" xr:uid="{D81A6AF1-02DF-4D7E-91B3-3F6AAE3845C9}"/>
    <cellStyle name="20 % - Akzent1 2" xfId="381" xr:uid="{E4243072-68AA-4C46-B5DD-94B801CDA2CC}"/>
    <cellStyle name="20 % - Akzent1 3" xfId="251" xr:uid="{960A4BBE-8F3B-4D37-81E3-50DEC833BBEC}"/>
    <cellStyle name="20 % - Akzent2" xfId="62" hidden="1" xr:uid="{02832210-91AC-441B-A013-58C9BFC2E7EA}"/>
    <cellStyle name="20 % - Akzent2" xfId="909" hidden="1" xr:uid="{794433A0-AA54-45C7-8DDE-F484816AB656}"/>
    <cellStyle name="20 % - Akzent2" xfId="937" hidden="1" xr:uid="{4AB25624-5F40-4A22-862A-E4964642DF44}"/>
    <cellStyle name="20 % - Akzent2 2" xfId="382" xr:uid="{5681E1A4-6ECE-4C93-AE9F-F960453CCE22}"/>
    <cellStyle name="20 % - Akzent2 3" xfId="252" xr:uid="{ACB93F03-2F07-40EC-BCE6-676145DF8AF7}"/>
    <cellStyle name="20 % - Akzent3" xfId="65" hidden="1" xr:uid="{45EF6B3E-F75B-488C-8946-D7C91300273B}"/>
    <cellStyle name="20 % - Akzent3" xfId="912" hidden="1" xr:uid="{7F99B06D-6EB8-45F4-B004-4A42B1CCB5D9}"/>
    <cellStyle name="20 % - Akzent3" xfId="925" hidden="1" xr:uid="{B8A06099-869F-4575-A0A8-7ADE5B981EF5}"/>
    <cellStyle name="20 % - Akzent3 2" xfId="383" xr:uid="{ED7FC847-2316-4106-9361-69FBAAB6A838}"/>
    <cellStyle name="20 % - Akzent3 3" xfId="253" xr:uid="{EF8AF284-4D48-4F86-8EFB-96896A71C092}"/>
    <cellStyle name="20 % - Akzent4" xfId="68" hidden="1" xr:uid="{1613A81C-EE48-4088-9EA1-D356F3EDEF99}"/>
    <cellStyle name="20 % - Akzent4" xfId="915" hidden="1" xr:uid="{4BC0876C-0108-48D2-8D9A-09B8646C9A61}"/>
    <cellStyle name="20 % - Akzent4" xfId="941" hidden="1" xr:uid="{9F234EF2-02F0-411C-82F7-703F09378349}"/>
    <cellStyle name="20 % - Akzent4 2" xfId="384" xr:uid="{8669CF5D-DC17-41E1-A62A-432EB4661D3B}"/>
    <cellStyle name="20 % - Akzent4 3" xfId="254" xr:uid="{65C4C734-765A-48FF-8B5E-B682917D38B9}"/>
    <cellStyle name="20 % - Akzent5" xfId="71" hidden="1" xr:uid="{C3E97A36-B3B9-4840-8506-C19125A30170}"/>
    <cellStyle name="20 % - Akzent5" xfId="918" hidden="1" xr:uid="{AE432D87-973C-42DD-AB4B-1107D71123A8}"/>
    <cellStyle name="20 % - Akzent5" xfId="946" hidden="1" xr:uid="{AC8581E5-3D6C-4913-9EA5-5D03D9145232}"/>
    <cellStyle name="20 % - Akzent5 2" xfId="385" xr:uid="{DE4719C4-F46C-4781-B03C-F82D92E6F50B}"/>
    <cellStyle name="20 % - Akzent5 3" xfId="255" xr:uid="{5C3D0B4D-9A99-4124-9EF2-482FDC41EB52}"/>
    <cellStyle name="20 % - Akzent6" xfId="74" hidden="1" xr:uid="{3D500A09-44FD-40DC-BFA9-4391E94DE26D}"/>
    <cellStyle name="20 % - Akzent6" xfId="921" hidden="1" xr:uid="{1CE21C6D-DAA2-45E7-A284-D10B25FC9E78}"/>
    <cellStyle name="20 % - Akzent6" xfId="924" hidden="1" xr:uid="{6EBC91EC-9EA8-4937-BA17-F69D1C7F8D33}"/>
    <cellStyle name="20 % - Akzent6 2" xfId="386" xr:uid="{97FC6E7C-263A-4E0A-B58B-23496D5F8783}"/>
    <cellStyle name="20 % - Akzent6 3" xfId="256" xr:uid="{D53DBE8C-B679-4038-8E8D-47D5CD0CDD2C}"/>
    <cellStyle name="20% - Accent1 2" xfId="88" xr:uid="{0DA90112-1A91-498E-9A51-583AA2FED96D}"/>
    <cellStyle name="20% - Accent1 3" xfId="208" xr:uid="{4562E920-0E0D-448D-957A-8620A0821FC4}"/>
    <cellStyle name="20% - Accent2 2" xfId="89" xr:uid="{1D2D2A09-F201-423F-A9E2-1C1E27A5D45D}"/>
    <cellStyle name="20% - Accent2 3" xfId="209" xr:uid="{59F35958-34A3-466B-BE22-62C8CA3F009E}"/>
    <cellStyle name="20% - Accent3 2" xfId="90" xr:uid="{DB1FF5E6-9CD6-49BD-9C73-3DEAA877142B}"/>
    <cellStyle name="20% - Accent3 3" xfId="210" xr:uid="{6EF42D58-78B6-45F9-9546-E8B4648C2961}"/>
    <cellStyle name="20% - Accent4 2" xfId="91" xr:uid="{00CF7354-7720-4E2C-827A-3CAA6D156A26}"/>
    <cellStyle name="20% - Accent4 3" xfId="211" xr:uid="{20037D54-E062-4637-8ACE-BC01666D2A1C}"/>
    <cellStyle name="20% - Accent5 2" xfId="92" xr:uid="{D7FDB1B4-B908-4CAA-A214-3CF2A3D826A9}"/>
    <cellStyle name="20% - Accent5 3" xfId="212" xr:uid="{1A98EAF4-28AE-4857-85F2-8E795E34D2E7}"/>
    <cellStyle name="20% - Accent6 2" xfId="93" xr:uid="{8A8F4834-CBB4-49B2-A3DA-C4421D05CC05}"/>
    <cellStyle name="20% - Accent6 3" xfId="213" xr:uid="{688A0F1F-6043-496C-8340-C5447382ACBC}"/>
    <cellStyle name="2x indented GHG Textfiels" xfId="17" xr:uid="{DF05A359-579C-4454-8A42-490CF6A9FE75}"/>
    <cellStyle name="2x indented GHG Textfiels 2" xfId="94" xr:uid="{82366469-C55E-43A9-87EB-93B1C7026690}"/>
    <cellStyle name="2x indented GHG Textfiels 2 2" xfId="95" xr:uid="{0B5A586D-F36E-4AF3-91EF-F09AC7AD2C8F}"/>
    <cellStyle name="2x indented GHG Textfiels 3" xfId="96" xr:uid="{54AF0BD4-FF79-4E9A-AFB5-BF4661023B25}"/>
    <cellStyle name="2x indented GHG Textfiels 3 2" xfId="408" xr:uid="{ECA74461-251D-42FD-932D-DE441064454B}"/>
    <cellStyle name="2x indented GHG Textfiels 3 2 2" xfId="538" xr:uid="{15D469B7-5383-4625-B1F2-50C0C3885D07}"/>
    <cellStyle name="2x indented GHG Textfiels 3 2 2 2" xfId="753" xr:uid="{995B3C6A-6AB0-41E3-B5B5-29A1B6EDCE2E}"/>
    <cellStyle name="2x indented GHG Textfiels 3 2 3" xfId="716" xr:uid="{2BAA6BFF-4A5D-42EC-9609-C8B15D748225}"/>
    <cellStyle name="2x indented GHG Textfiels 3 3" xfId="356" xr:uid="{EBE73837-54E2-486A-8BB4-812FFC6E735D}"/>
    <cellStyle name="2x indented GHG Textfiels 3 3 2" xfId="643" xr:uid="{C789FDE7-AC34-418F-B160-EEB704853501}"/>
    <cellStyle name="2x indented GHG Textfiels 3 3 2 2" xfId="858" xr:uid="{B0C718C0-0ADF-45D9-8E99-12E62ABD0E23}"/>
    <cellStyle name="2x indented GHG Textfiels 3 3 3" xfId="645" xr:uid="{71A6445D-FB5D-4F54-9215-8769FFA61836}"/>
    <cellStyle name="2x indented GHG Textfiels 3 3 3 2" xfId="860" xr:uid="{5F9CB24F-A5C6-4EEE-BD9E-91BDC55EB04D}"/>
    <cellStyle name="2x indented GHG Textfiels 3 3 4" xfId="541" xr:uid="{195A415A-7F3E-4A48-875D-1D512FD65BDC}"/>
    <cellStyle name="2x indented GHG Textfiels 3 3 4 2" xfId="756" xr:uid="{4B83BA26-436B-4401-A8C2-252DD1357ACF}"/>
    <cellStyle name="40 % - Akzent1" xfId="60" hidden="1" xr:uid="{D6D32BC2-D438-4660-8242-A2DC3B51CF0E}"/>
    <cellStyle name="40 % - Akzent1" xfId="907" hidden="1" xr:uid="{CDB4DCD0-9BEA-4783-9BD4-E3FF0A72697E}"/>
    <cellStyle name="40 % - Akzent1" xfId="943" hidden="1" xr:uid="{8C9E1AC2-2477-4F69-8682-301337BDB464}"/>
    <cellStyle name="40 % - Akzent1 2" xfId="387" xr:uid="{62EC7D5F-C25D-4D29-BAC1-E2F4E5315E35}"/>
    <cellStyle name="40 % - Akzent1 3" xfId="257" xr:uid="{3ACBF90B-FDCC-4482-9F4F-04BF3AA7F249}"/>
    <cellStyle name="40 % - Akzent2" xfId="63" hidden="1" xr:uid="{99A13848-94ED-4F63-B808-5C78DD4D7302}"/>
    <cellStyle name="40 % - Akzent2" xfId="910" hidden="1" xr:uid="{AFE674D4-B77E-4AB4-B105-21F45260E6E2}"/>
    <cellStyle name="40 % - Akzent2" xfId="940" hidden="1" xr:uid="{D7C758C8-D35C-4A10-AE60-E7679DAE601F}"/>
    <cellStyle name="40 % - Akzent2 2" xfId="388" xr:uid="{764204EF-AD8A-4622-A5B6-017E6BAE7982}"/>
    <cellStyle name="40 % - Akzent2 3" xfId="258" xr:uid="{DF161BAD-A2B3-4E18-8D30-296648149451}"/>
    <cellStyle name="40 % - Akzent3" xfId="66" hidden="1" xr:uid="{B008DF76-C0D1-4338-B973-B084F41F0CF5}"/>
    <cellStyle name="40 % - Akzent3" xfId="913" hidden="1" xr:uid="{AF8EF4F4-78D2-4887-9554-29B5E4020A53}"/>
    <cellStyle name="40 % - Akzent3" xfId="936" hidden="1" xr:uid="{F8D5FF0D-0D78-41FA-96CF-FAC868FFE861}"/>
    <cellStyle name="40 % - Akzent3 2" xfId="389" xr:uid="{C178718D-82A3-4B39-98CB-B00864E1141B}"/>
    <cellStyle name="40 % - Akzent3 3" xfId="259" xr:uid="{C31650E0-41EC-468B-B562-5EA46F18E375}"/>
    <cellStyle name="40 % - Akzent4" xfId="69" hidden="1" xr:uid="{D5712D7A-4E81-484E-B319-6C2D8E2722A7}"/>
    <cellStyle name="40 % - Akzent4" xfId="916" hidden="1" xr:uid="{BDC94200-D99B-4E1B-8D36-7183D5B45A6A}"/>
    <cellStyle name="40 % - Akzent4" xfId="931" hidden="1" xr:uid="{E0A85FE9-612F-49E6-BA13-4EC4A474CB4C}"/>
    <cellStyle name="40 % - Akzent4 2" xfId="390" xr:uid="{E516C83F-A777-45BC-AF67-5460CF74CD25}"/>
    <cellStyle name="40 % - Akzent4 3" xfId="260" xr:uid="{4D425B2B-8756-4EA4-9452-1CEA56CF6B04}"/>
    <cellStyle name="40 % - Akzent5" xfId="72" hidden="1" xr:uid="{74B53D49-F94F-48D4-922A-FF027873796F}"/>
    <cellStyle name="40 % - Akzent5" xfId="919" hidden="1" xr:uid="{1A48CA12-DFE3-4C54-B60B-9ABE1BA50B4A}"/>
    <cellStyle name="40 % - Akzent5" xfId="934" hidden="1" xr:uid="{6E64A6E6-72EB-4594-A51F-D06AE32153B4}"/>
    <cellStyle name="40 % - Akzent5 2" xfId="391" xr:uid="{F41B5D7F-2481-4639-9489-35513C691A52}"/>
    <cellStyle name="40 % - Akzent5 3" xfId="261" xr:uid="{498BD651-2310-4E69-ABB7-199A2F9B56A1}"/>
    <cellStyle name="40 % - Akzent6" xfId="75" hidden="1" xr:uid="{C3915C9D-49EE-4EB5-9C67-901D99D3E041}"/>
    <cellStyle name="40 % - Akzent6" xfId="922" hidden="1" xr:uid="{8125B77D-3E87-42E8-8CEB-C7BDA266A1A9}"/>
    <cellStyle name="40 % - Akzent6" xfId="935" hidden="1" xr:uid="{A3E0F713-01CD-4828-8F3F-97D4E92C6C8A}"/>
    <cellStyle name="40 % - Akzent6 2" xfId="392" xr:uid="{12AF25E3-C044-43A7-9F25-BBD426BB1595}"/>
    <cellStyle name="40 % - Akzent6 3" xfId="262" xr:uid="{2A1A0BEC-E19D-4ACD-A4D7-B46271E29215}"/>
    <cellStyle name="40% - Accent1 2" xfId="97" xr:uid="{F1EA224A-034C-4064-BED1-86511735D339}"/>
    <cellStyle name="40% - Accent1 3" xfId="214" xr:uid="{6371A47A-5ABF-4419-9AB4-2E76B5500DCA}"/>
    <cellStyle name="40% - Accent2 2" xfId="98" xr:uid="{A7B5AC82-DE4D-4D78-93C5-A2A6C6D1F001}"/>
    <cellStyle name="40% - Accent2 3" xfId="215" xr:uid="{BBEDCFFF-BFA7-4CBC-BE97-127D58E9AEB0}"/>
    <cellStyle name="40% - Accent3 2" xfId="99" xr:uid="{9EA8D936-874B-4C5F-998A-A5AE6E2A0244}"/>
    <cellStyle name="40% - Accent3 3" xfId="216" xr:uid="{3714539D-5643-4F57-98EB-6B9E5A844301}"/>
    <cellStyle name="40% - Accent4 2" xfId="100" xr:uid="{B6E6A63F-26ED-40A3-B661-42B69C8CDFC2}"/>
    <cellStyle name="40% - Accent4 3" xfId="217" xr:uid="{DFAA1FDD-4881-4EBB-8965-F6625C2F8621}"/>
    <cellStyle name="40% - Accent5 2" xfId="101" xr:uid="{08E3BD80-8F2C-4AEA-97E5-7BAEC7DB0EA0}"/>
    <cellStyle name="40% - Accent5 3" xfId="218" xr:uid="{6B94C732-37BF-4228-9723-4F1A27DC3383}"/>
    <cellStyle name="40% - Accent6 2" xfId="102" xr:uid="{6CD069E3-F7EF-4F41-81CA-A112DF146689}"/>
    <cellStyle name="40% - Accent6 3" xfId="219" xr:uid="{EBE5B789-5371-464F-AA2D-7A9C48AEC614}"/>
    <cellStyle name="5x indented GHG Textfiels" xfId="21" xr:uid="{D3E2614D-C217-4B63-83A4-EEC780DC562D}"/>
    <cellStyle name="5x indented GHG Textfiels 2" xfId="103" xr:uid="{C8959CFF-C0D1-45B3-9E2C-A950B4FE1417}"/>
    <cellStyle name="5x indented GHG Textfiels 2 2" xfId="104" xr:uid="{FF1FD8FE-1A02-4952-A2B8-24495DBCEC15}"/>
    <cellStyle name="5x indented GHG Textfiels 3" xfId="105" xr:uid="{DD491E6D-3DF8-4B9F-B664-DB8A747FAEE7}"/>
    <cellStyle name="5x indented GHG Textfiels 3 2" xfId="409" xr:uid="{442DB623-03F5-4C92-BF4C-ECFBDF8121C3}"/>
    <cellStyle name="5x indented GHG Textfiels 3 3" xfId="357" xr:uid="{14B00CDD-1226-4E24-945F-19AB0B35BEF0}"/>
    <cellStyle name="5x indented GHG Textfiels 3 3 2" xfId="644" xr:uid="{77002A45-F0A2-4E6D-BF22-17E13A1179A3}"/>
    <cellStyle name="5x indented GHG Textfiels 3 3 2 2" xfId="859" xr:uid="{569D03FA-48BC-4E2C-BEBF-CD1501200093}"/>
    <cellStyle name="5x indented GHG Textfiels 3 3 3" xfId="591" xr:uid="{7CD8F1D1-6FFC-45C6-8B87-5C9769DF1DF3}"/>
    <cellStyle name="5x indented GHG Textfiels 3 3 3 2" xfId="806" xr:uid="{98FE5B9F-A94D-499C-A703-934DC7EF007B}"/>
    <cellStyle name="5x indented GHG Textfiels 3 3 4" xfId="675" xr:uid="{4D62F525-AAC2-4DF2-9384-340CF2F0C9B4}"/>
    <cellStyle name="5x indented GHG Textfiels 3 3 4 2" xfId="890" xr:uid="{4DEB4A04-CC6A-40DA-825B-5C9C709B3E53}"/>
    <cellStyle name="5x indented GHG Textfiels 3 3 5" xfId="712" xr:uid="{32954605-52BD-4667-8640-748A7439B6CF}"/>
    <cellStyle name="5x indented GHG Textfiels_Table 4(II)" xfId="200" xr:uid="{14773490-F44A-47D0-AC32-A5AEA568C0C4}"/>
    <cellStyle name="60 % - Akzent1" xfId="61" hidden="1" xr:uid="{F4CE49CE-59E4-49BE-A530-54E1024CAADF}"/>
    <cellStyle name="60 % - Akzent1" xfId="908" hidden="1" xr:uid="{302763DA-2E3D-4E46-ADFD-AB67D4D98A7D}"/>
    <cellStyle name="60 % - Akzent1" xfId="932" hidden="1" xr:uid="{3FD48970-94C9-4609-B4F0-8440701E74A9}"/>
    <cellStyle name="60 % - Akzent1 2" xfId="393" xr:uid="{AE265A26-56C7-4ECE-8F2E-1D75CD6BE85D}"/>
    <cellStyle name="60 % - Akzent1 3" xfId="263" xr:uid="{8AA6576B-60ED-40AE-9D5F-63DD6EDACC1A}"/>
    <cellStyle name="60 % - Akzent2" xfId="64" hidden="1" xr:uid="{333CBAE6-2D51-4119-AD00-03CDA1E095BB}"/>
    <cellStyle name="60 % - Akzent2" xfId="911" hidden="1" xr:uid="{CDB44FEF-F803-454C-9809-95A160703956}"/>
    <cellStyle name="60 % - Akzent2" xfId="930" hidden="1" xr:uid="{0AD1F54B-A77C-4E59-BD31-DBD212B6E225}"/>
    <cellStyle name="60 % - Akzent2 2" xfId="394" xr:uid="{FDDD3B47-8843-43FB-A5ED-6A787838E4F7}"/>
    <cellStyle name="60 % - Akzent2 3" xfId="264" xr:uid="{7592ECC6-BE89-4E86-B528-5539B82BF5C9}"/>
    <cellStyle name="60 % - Akzent3" xfId="67" hidden="1" xr:uid="{9023FAEF-64F5-4E0F-90CA-ADC5A928E3AE}"/>
    <cellStyle name="60 % - Akzent3" xfId="914" hidden="1" xr:uid="{8DA756FE-2C6D-4DE1-B999-5ED1D67AAEA7}"/>
    <cellStyle name="60 % - Akzent3" xfId="945" hidden="1" xr:uid="{80E1BA52-76B3-4C19-BAE3-8DADEE43135B}"/>
    <cellStyle name="60 % - Akzent3 2" xfId="395" xr:uid="{969CF770-1BB5-437C-A4C9-B5365BDD9D68}"/>
    <cellStyle name="60 % - Akzent3 3" xfId="265" xr:uid="{9F499FD4-3D76-46D8-8E10-E833B17BF481}"/>
    <cellStyle name="60 % - Akzent4" xfId="70" hidden="1" xr:uid="{23056F44-7C63-417E-A111-DEDAD71B6D06}"/>
    <cellStyle name="60 % - Akzent4" xfId="917" hidden="1" xr:uid="{0B8C6977-E709-43B2-966F-90D7E37EB5F4}"/>
    <cellStyle name="60 % - Akzent4" xfId="927" hidden="1" xr:uid="{62422F24-D65B-436E-8B92-9C66A4BEA71C}"/>
    <cellStyle name="60 % - Akzent4 2" xfId="396" xr:uid="{D0CFC498-458B-48E8-AC30-3A2ACC9A5719}"/>
    <cellStyle name="60 % - Akzent4 3" xfId="266" xr:uid="{A499F987-778D-4DB9-B4E1-67479000568A}"/>
    <cellStyle name="60 % - Akzent5" xfId="73" hidden="1" xr:uid="{DC72DF89-88C0-4716-B2CA-247EF0109DDB}"/>
    <cellStyle name="60 % - Akzent5" xfId="920" hidden="1" xr:uid="{99B82A68-047A-49A1-A30B-0C05490DD394}"/>
    <cellStyle name="60 % - Akzent5" xfId="939" hidden="1" xr:uid="{6EEA54C6-5AD5-45D0-855C-44991542CF70}"/>
    <cellStyle name="60 % - Akzent5 2" xfId="397" xr:uid="{3907D1CE-27C3-4C6E-9999-334767B8A63D}"/>
    <cellStyle name="60 % - Akzent5 3" xfId="267" xr:uid="{79C622EF-4BB2-4D35-8DE5-F7959D7EBFBF}"/>
    <cellStyle name="60 % - Akzent6" xfId="76" hidden="1" xr:uid="{87D9A26F-6D7A-419E-99DF-2297B486445E}"/>
    <cellStyle name="60 % - Akzent6" xfId="923" hidden="1" xr:uid="{8D898454-7A73-44A3-9E1A-30C805092A10}"/>
    <cellStyle name="60 % - Akzent6" xfId="942" hidden="1" xr:uid="{BA2F028D-097A-4127-8C3D-DDB51EE76C81}"/>
    <cellStyle name="60 % - Akzent6 2" xfId="398" xr:uid="{7B96763B-93DC-431C-BBBB-10FB7F5F929F}"/>
    <cellStyle name="60 % - Akzent6 3" xfId="268" xr:uid="{607944C3-EB8C-44DF-8652-1CA8DB4548DB}"/>
    <cellStyle name="60% - Accent1 2" xfId="106" xr:uid="{062DB946-4A17-4765-A3F7-9630DFB7670F}"/>
    <cellStyle name="60% - Accent1 3" xfId="220" xr:uid="{C1FB350D-9883-44FD-B732-FA9A22969F97}"/>
    <cellStyle name="60% - Accent2 2" xfId="107" xr:uid="{D8EBC494-01CB-4A19-BFEE-3BBFB5CDC03B}"/>
    <cellStyle name="60% - Accent2 3" xfId="221" xr:uid="{6E32DC7D-3C89-46FF-8FD2-F70895E1BB60}"/>
    <cellStyle name="60% - Accent3 2" xfId="108" xr:uid="{8F7F4010-3CB8-47C7-8340-149A9B6A5986}"/>
    <cellStyle name="60% - Accent3 3" xfId="222" xr:uid="{DEE2F8E8-27BB-49A4-A7C0-BDE992250185}"/>
    <cellStyle name="60% - Accent4 2" xfId="109" xr:uid="{E3A258D1-727E-436E-9A32-5EDF65725AD4}"/>
    <cellStyle name="60% - Accent4 3" xfId="223" xr:uid="{AE10D014-B1C9-406B-ADF4-A2EFDB7321EC}"/>
    <cellStyle name="60% - Accent5 2" xfId="110" xr:uid="{A29D695C-75FF-478C-BAF4-5AA8B3F39452}"/>
    <cellStyle name="60% - Accent5 3" xfId="224" xr:uid="{2B693644-22D4-44CD-9116-8C9435C4163D}"/>
    <cellStyle name="60% - Accent6 2" xfId="111" xr:uid="{E3B5897B-B83D-409D-9DD5-D56825573DD5}"/>
    <cellStyle name="60% - Accent6 3" xfId="225" xr:uid="{1E68D83E-F674-43C5-A6F6-CB49AD962446}"/>
    <cellStyle name="Accent1 2" xfId="112" xr:uid="{32B8C15F-7F80-43B9-B525-E9EFD5B57F54}"/>
    <cellStyle name="Accent1 3" xfId="226" xr:uid="{DF5CA841-9749-4950-9EAA-A181CBD53A69}"/>
    <cellStyle name="Accent1 4" xfId="358" xr:uid="{7B4E9AC6-041B-4D97-A20C-78749ADCCDD2}"/>
    <cellStyle name="Accent2 2" xfId="113" xr:uid="{F2321E26-1A55-4A55-82E3-1F672D2D3346}"/>
    <cellStyle name="Accent2 3" xfId="227" xr:uid="{4935B7DD-9F73-4A65-9FA8-A1C021C2DDD5}"/>
    <cellStyle name="Accent2 4" xfId="359" xr:uid="{BEFF900B-D938-4EB5-99DD-6F6235C7FCCA}"/>
    <cellStyle name="Accent3 2" xfId="114" xr:uid="{97F850D0-2329-4E2E-9206-5BA7AADBFAF0}"/>
    <cellStyle name="Accent3 3" xfId="228" xr:uid="{F01C46B8-3AF2-4E89-8441-66836AD45A42}"/>
    <cellStyle name="Accent3 4" xfId="360" xr:uid="{8258A3D0-753F-4C28-B848-F3789F29AE0B}"/>
    <cellStyle name="Accent4 2" xfId="115" xr:uid="{A1E29106-AEE9-4447-99B5-A11BDCDA6E53}"/>
    <cellStyle name="Accent4 3" xfId="229" xr:uid="{9102FF37-DC3C-4B49-8632-0B4A83057243}"/>
    <cellStyle name="Accent4 4" xfId="361" xr:uid="{B5FBE4FE-3C96-4C25-A1E8-0D3ADA54ADD5}"/>
    <cellStyle name="Accent5 2" xfId="116" xr:uid="{AD3F5617-76C7-4B59-B181-A37271C3CB5C}"/>
    <cellStyle name="Accent5 3" xfId="230" xr:uid="{AC473F61-1A84-43A9-BC64-90FA42278B0E}"/>
    <cellStyle name="Accent5 4" xfId="362" xr:uid="{8EF9DA7F-D761-4751-A67D-A37A77D8F1DA}"/>
    <cellStyle name="Accent6 2" xfId="117" xr:uid="{F9C1ECB1-2490-42D9-A571-B9564C90BF78}"/>
    <cellStyle name="Accent6 3" xfId="231" xr:uid="{D7467D3C-62F6-402D-8D8A-67E644C82473}"/>
    <cellStyle name="Accent6 4" xfId="363" xr:uid="{56714E1C-8671-4479-9395-058D7BA84A2E}"/>
    <cellStyle name="AggblueBoldCels" xfId="118" xr:uid="{79DDACE9-9485-499C-B5FB-26B897557F03}"/>
    <cellStyle name="AggblueBoldCels 2" xfId="119" xr:uid="{DD12609C-10DC-4D08-A1C4-C33601396144}"/>
    <cellStyle name="AggblueCels" xfId="42" xr:uid="{03A1405A-FDE0-43E1-B33E-3B258CE00C72}"/>
    <cellStyle name="AggblueCels 2" xfId="120" xr:uid="{ECEEEB7A-ECF7-4E5E-9C0C-64EC5CD0735F}"/>
    <cellStyle name="AggblueCels_1x" xfId="41" xr:uid="{C9D0009A-B6ED-4BF6-84FF-361D2EC0AD93}"/>
    <cellStyle name="AggBoldCells" xfId="15" xr:uid="{94ECADD0-2073-4D87-AB3F-35277FBEE2ED}"/>
    <cellStyle name="AggBoldCells 2" xfId="121" xr:uid="{DF61FE5B-FDCE-4085-B487-09AC28302B1C}"/>
    <cellStyle name="AggBoldCells 3" xfId="201" xr:uid="{F615CB54-329A-4BA1-BF67-A12981B1F398}"/>
    <cellStyle name="AggBoldCells 4" xfId="352" xr:uid="{C29F875B-1410-4F50-B284-22B700B36B88}"/>
    <cellStyle name="AggCels" xfId="18" xr:uid="{144B9DAC-FF48-4033-8C3E-C3A96702CDAC}"/>
    <cellStyle name="AggCels 2" xfId="122" xr:uid="{2FFDD4D7-2F06-4F71-8AD6-E6F691E10A82}"/>
    <cellStyle name="AggCels 3" xfId="202" xr:uid="{6B72414C-FF50-4D94-BF0E-C2C43DBBF2BF}"/>
    <cellStyle name="AggCels 4" xfId="353" xr:uid="{19B859A4-3FD8-4928-9486-C7BC752C3DBE}"/>
    <cellStyle name="AggCels_T(2)" xfId="16" xr:uid="{0D815932-593E-4032-9B21-66C1275C55E9}"/>
    <cellStyle name="AggGreen" xfId="32" xr:uid="{85EC261B-7263-4CE6-B961-D5E30C16D887}"/>
    <cellStyle name="AggGreen 2" xfId="123" xr:uid="{675BA98D-928D-4516-8BFA-B5CA68EFED36}"/>
    <cellStyle name="AggGreen 2 2" xfId="411" xr:uid="{B6950FD6-6204-4538-8D26-C2CE6A0972FB}"/>
    <cellStyle name="AggGreen 2 2 2" xfId="588" xr:uid="{0396EEE4-21C6-49E7-A281-D7272A6DB811}"/>
    <cellStyle name="AggGreen 2 2 2 2" xfId="803" xr:uid="{7EC5982D-77B7-404B-84BB-45553F9CCAEA}"/>
    <cellStyle name="AggGreen 2 2 3" xfId="718" xr:uid="{D6A05E74-544A-4923-B3D5-C7B679BE427F}"/>
    <cellStyle name="AggGreen 2 3" xfId="270" xr:uid="{A0D3852A-F9CF-4737-B524-922A4F3575DF}"/>
    <cellStyle name="AggGreen 2 3 2" xfId="608" xr:uid="{4E7DA437-C79A-4A93-8A0A-609639CFF2DD}"/>
    <cellStyle name="AggGreen 2 3 2 2" xfId="823" xr:uid="{5B5241B9-01E6-49F1-98AC-74D5966829C7}"/>
    <cellStyle name="AggGreen 2 3 3" xfId="677" xr:uid="{2DA2ED05-FABD-45F4-B16F-291473329B1D}"/>
    <cellStyle name="AggGreen 2 3 3 2" xfId="892" xr:uid="{DB3FD292-C92C-4D7B-BFBA-0525FAAF6B59}"/>
    <cellStyle name="AggGreen 2 3 4" xfId="673" xr:uid="{67D0C4A1-7C07-443B-8CC6-581996709B19}"/>
    <cellStyle name="AggGreen 2 3 4 2" xfId="888" xr:uid="{42578C9F-F141-44E9-837E-E68CE28F4DB8}"/>
    <cellStyle name="AggGreen 3" xfId="410" xr:uid="{5F80FBC7-0E94-4E33-9F7B-05A7B3007EEC}"/>
    <cellStyle name="AggGreen 3 2" xfId="537" xr:uid="{02B99B63-58A7-40E7-BE88-6F5D3786130C}"/>
    <cellStyle name="AggGreen 3 2 2" xfId="752" xr:uid="{F0233182-C105-4D7D-AF6C-7259A284DC60}"/>
    <cellStyle name="AggGreen 3 3" xfId="717" xr:uid="{3442E111-DD0A-4BB2-BDBE-726755AE6BA5}"/>
    <cellStyle name="AggGreen 4" xfId="269" xr:uid="{BB7D0F15-FE9F-4A80-B3F7-5C56076F5094}"/>
    <cellStyle name="AggGreen 4 2" xfId="607" xr:uid="{D480CA50-4732-4D84-8154-8E997116F53C}"/>
    <cellStyle name="AggGreen 4 2 2" xfId="822" xr:uid="{D8D7E4BE-2A78-4298-93A0-57C8B22415A1}"/>
    <cellStyle name="AggGreen 4 3" xfId="522" xr:uid="{F2AFCBE5-0F2D-4F7B-9551-8D3A1A956276}"/>
    <cellStyle name="AggGreen 4 3 2" xfId="737" xr:uid="{6D1C3E36-E059-46A5-B6D9-0362D8FDD798}"/>
    <cellStyle name="AggGreen 4 4" xfId="640" xr:uid="{3398F719-98E2-4804-9289-377F7056583E}"/>
    <cellStyle name="AggGreen 4 4 2" xfId="855" xr:uid="{1C81E8A8-2D20-4F18-871D-96FB1BB8E1F5}"/>
    <cellStyle name="AggGreen 5" xfId="85" xr:uid="{262D39EF-6913-4E42-8FA5-B4444C06E384}"/>
    <cellStyle name="AggGreen_Bbdr" xfId="33" xr:uid="{104757B6-31BB-47F1-BC55-569F14A562DF}"/>
    <cellStyle name="AggGreen12" xfId="30" xr:uid="{057DBCE0-12F1-4F08-8080-C96BAEECCFCC}"/>
    <cellStyle name="AggGreen12 2" xfId="124" xr:uid="{BDB4368D-7246-4BF2-AAE9-31841A27D006}"/>
    <cellStyle name="AggGreen12 2 2" xfId="413" xr:uid="{B126559C-125C-4235-84A9-A1E82A3A37B1}"/>
    <cellStyle name="AggGreen12 2 2 2" xfId="606" xr:uid="{AFA71544-476B-41BB-B605-38AE026F682B}"/>
    <cellStyle name="AggGreen12 2 2 2 2" xfId="821" xr:uid="{2CD5B0A9-6738-4A25-BEA4-7B9714BF12C3}"/>
    <cellStyle name="AggGreen12 2 2 3" xfId="720" xr:uid="{3A80D88C-C79D-49EA-BBDD-7F4E3CB5B661}"/>
    <cellStyle name="AggGreen12 2 3" xfId="272" xr:uid="{93121275-C282-4F0B-8B54-524F0B4F7297}"/>
    <cellStyle name="AggGreen12 2 3 2" xfId="610" xr:uid="{1B237251-41E3-48BD-B60C-19B9E88FDDCD}"/>
    <cellStyle name="AggGreen12 2 3 2 2" xfId="825" xr:uid="{19F57E29-797B-4167-9764-DF1851C929A5}"/>
    <cellStyle name="AggGreen12 2 3 3" xfId="559" xr:uid="{1AAED902-6322-4094-8385-43C0EE34725D}"/>
    <cellStyle name="AggGreen12 2 3 3 2" xfId="774" xr:uid="{26582920-CFEB-4DD2-B40D-265078654BD2}"/>
    <cellStyle name="AggGreen12 2 3 4" xfId="639" xr:uid="{81B23ABF-03DD-440A-B835-ADCC4306C412}"/>
    <cellStyle name="AggGreen12 2 3 4 2" xfId="854" xr:uid="{6DE45F22-0D55-4176-881A-6B1072E7DDAE}"/>
    <cellStyle name="AggGreen12 3" xfId="412" xr:uid="{C7D88A5E-0860-4107-9DC8-05D1ACF9878E}"/>
    <cellStyle name="AggGreen12 3 2" xfId="536" xr:uid="{7B192435-ABEC-4790-8175-14AEF24B85AF}"/>
    <cellStyle name="AggGreen12 3 2 2" xfId="751" xr:uid="{FC02B2D0-E7B8-43F8-A0BA-7BBD96D6B131}"/>
    <cellStyle name="AggGreen12 3 3" xfId="719" xr:uid="{6388CA58-A441-4393-809E-5C3A55CBAE3F}"/>
    <cellStyle name="AggGreen12 4" xfId="271" xr:uid="{985EDE8A-A326-4A2E-9494-3644DE257DF2}"/>
    <cellStyle name="AggGreen12 4 2" xfId="609" xr:uid="{706D0F69-D970-4EA8-BB54-3085D946F656}"/>
    <cellStyle name="AggGreen12 4 2 2" xfId="824" xr:uid="{5CA902BD-53FE-47A1-BCE3-D93D2EA58A94}"/>
    <cellStyle name="AggGreen12 4 3" xfId="661" xr:uid="{A7EA1615-DDDA-407B-AA42-9F687003473E}"/>
    <cellStyle name="AggGreen12 4 3 2" xfId="876" xr:uid="{9777F87A-660E-4D99-A4E0-9AB635092B56}"/>
    <cellStyle name="AggGreen12 4 4" xfId="672" xr:uid="{85576DDB-4638-497B-9BBF-CDB7F1EC204D}"/>
    <cellStyle name="AggGreen12 4 4 2" xfId="887" xr:uid="{6147BD96-2D5B-487D-AAA4-6BB5AD9EF3CE}"/>
    <cellStyle name="AggGreen12 5" xfId="83" xr:uid="{8BBDAFF0-8294-4245-BCD0-3B9EE1D038ED}"/>
    <cellStyle name="AggOrange" xfId="25" xr:uid="{90E7A1C9-54A6-47FF-8C61-DE857137F727}"/>
    <cellStyle name="AggOrange 2" xfId="125" xr:uid="{9F73DD92-396B-490A-BC0E-7A9FBEC29C77}"/>
    <cellStyle name="AggOrange 2 2" xfId="415" xr:uid="{6218941D-F07B-4C5D-BDB4-D08A7CDFAD41}"/>
    <cellStyle name="AggOrange 2 2 2" xfId="535" xr:uid="{103E40BD-7843-4A54-86CE-2F436A86D1F9}"/>
    <cellStyle name="AggOrange 2 2 2 2" xfId="750" xr:uid="{5CD0F47D-A979-4ABE-968D-51C615AC90BF}"/>
    <cellStyle name="AggOrange 2 2 3" xfId="722" xr:uid="{3D540D3B-2CAE-4C49-ADA8-A1B4E1F2EAF9}"/>
    <cellStyle name="AggOrange 2 3" xfId="274" xr:uid="{4893BE6E-2EEF-4BBD-9C16-DA4967F5D9F6}"/>
    <cellStyle name="AggOrange 2 3 2" xfId="612" xr:uid="{70D2D406-6275-4008-8860-A54E14601385}"/>
    <cellStyle name="AggOrange 2 3 2 2" xfId="827" xr:uid="{2D77F8F5-A080-49DB-82C8-AF38A752CAF7}"/>
    <cellStyle name="AggOrange 2 3 3" xfId="519" xr:uid="{F00D7523-24E3-4DE1-A4C4-F31B97F7BF60}"/>
    <cellStyle name="AggOrange 2 3 3 2" xfId="734" xr:uid="{EFEDD490-651B-4D71-BA45-CA25DBE72698}"/>
    <cellStyle name="AggOrange 2 3 4" xfId="534" xr:uid="{016F6193-83CB-4714-835C-84F1D2CF2CCA}"/>
    <cellStyle name="AggOrange 2 3 4 2" xfId="749" xr:uid="{C269BBA6-F844-4EAC-A8AA-0B26716FB3A5}"/>
    <cellStyle name="AggOrange 3" xfId="414" xr:uid="{29F039B9-85F0-4DE7-8AC6-2A5F4652E521}"/>
    <cellStyle name="AggOrange 3 2" xfId="654" xr:uid="{ED5C3E08-D3F9-4CAC-88E6-3CD4189ADEEE}"/>
    <cellStyle name="AggOrange 3 2 2" xfId="869" xr:uid="{1774B9CC-285F-4119-8F5B-6880DA2A9447}"/>
    <cellStyle name="AggOrange 3 3" xfId="721" xr:uid="{43BA3F27-484F-4B5C-958F-C55914EDEC54}"/>
    <cellStyle name="AggOrange 4" xfId="273" xr:uid="{65F0C6EB-8FD0-47B8-89E2-E8878A2CEEEC}"/>
    <cellStyle name="AggOrange 4 2" xfId="611" xr:uid="{5F859B0C-9862-494A-A349-FC8125B5EC50}"/>
    <cellStyle name="AggOrange 4 2 2" xfId="826" xr:uid="{E55ABCC5-C821-4487-B801-7423E4A2D7D5}"/>
    <cellStyle name="AggOrange 4 3" xfId="600" xr:uid="{A346787F-75F4-43E9-ABB0-0547256A3CD6}"/>
    <cellStyle name="AggOrange 4 3 2" xfId="815" xr:uid="{68C95144-0951-482A-95AF-9CBC40736971}"/>
    <cellStyle name="AggOrange 4 4" xfId="574" xr:uid="{29F3D7F2-84C0-4849-989F-9FA1BBFCBE7A}"/>
    <cellStyle name="AggOrange 4 4 2" xfId="789" xr:uid="{213ABB61-BA3D-47E8-A8A0-7C14CB6DA1A8}"/>
    <cellStyle name="AggOrange 5" xfId="79" xr:uid="{48D64F71-57CD-45A5-ABB6-A4A19961DE59}"/>
    <cellStyle name="AggOrange_B_border" xfId="37" xr:uid="{35CCE250-DCF2-4220-AE4D-08CFFAC8BD1C}"/>
    <cellStyle name="AggOrange9" xfId="24" xr:uid="{BCFE76FC-6551-4A52-9115-A363537CB9D1}"/>
    <cellStyle name="AggOrange9 2" xfId="126" xr:uid="{5B2954C8-5049-49FC-8FFC-6C4C97D33C13}"/>
    <cellStyle name="AggOrange9 2 2" xfId="417" xr:uid="{8D341A5A-11E2-45DF-B072-C00D328C9D43}"/>
    <cellStyle name="AggOrange9 2 2 2" xfId="653" xr:uid="{DD706ED6-E739-4320-A12A-D09499323E31}"/>
    <cellStyle name="AggOrange9 2 2 2 2" xfId="868" xr:uid="{AF958CD5-D12C-4064-8C26-75A7F66833C6}"/>
    <cellStyle name="AggOrange9 2 2 3" xfId="724" xr:uid="{23FE80EE-8750-42DC-8411-2E857336BDFB}"/>
    <cellStyle name="AggOrange9 2 3" xfId="276" xr:uid="{AA6A0BB0-218B-4FE8-802F-F75A4B176568}"/>
    <cellStyle name="AggOrange9 2 3 2" xfId="614" xr:uid="{242D1E04-BB16-4A3F-9023-3927E7D117F2}"/>
    <cellStyle name="AggOrange9 2 3 2 2" xfId="829" xr:uid="{F46D8640-58EF-4774-85C0-70B77C027F27}"/>
    <cellStyle name="AggOrange9 2 3 3" xfId="660" xr:uid="{D3B56472-135E-4D89-9C54-D34276B541CE}"/>
    <cellStyle name="AggOrange9 2 3 3 2" xfId="875" xr:uid="{5D41FCAA-6589-4808-A008-D85386D5DFF7}"/>
    <cellStyle name="AggOrange9 2 3 4" xfId="674" xr:uid="{1CC069D7-738B-4782-9245-769AC4DF76E1}"/>
    <cellStyle name="AggOrange9 2 3 4 2" xfId="889" xr:uid="{1A1DB597-F770-4475-85E1-338E110886DE}"/>
    <cellStyle name="AggOrange9 3" xfId="416" xr:uid="{1E990893-C6C4-4C80-ADC2-CB34D14FA854}"/>
    <cellStyle name="AggOrange9 3 2" xfId="605" xr:uid="{37040080-CDC9-45C1-A71F-4276CEC4195B}"/>
    <cellStyle name="AggOrange9 3 2 2" xfId="820" xr:uid="{25620C8D-66B1-4015-97AC-DE6D4EE41907}"/>
    <cellStyle name="AggOrange9 3 3" xfId="723" xr:uid="{9D31D696-DC25-45B6-BFBA-5566D5178AED}"/>
    <cellStyle name="AggOrange9 4" xfId="275" xr:uid="{C54DB4A4-B759-4A02-9D17-22A4BD49C186}"/>
    <cellStyle name="AggOrange9 4 2" xfId="613" xr:uid="{246E1C99-1AD4-4B50-AF77-CC49AABD131E}"/>
    <cellStyle name="AggOrange9 4 2 2" xfId="828" xr:uid="{88437D90-397E-430F-9246-894C80277D97}"/>
    <cellStyle name="AggOrange9 4 3" xfId="558" xr:uid="{B58F3ED5-2683-4E8B-912F-B295171AB9F9}"/>
    <cellStyle name="AggOrange9 4 3 2" xfId="773" xr:uid="{A75D8F32-EF27-43D8-9E74-2999A5B6ED77}"/>
    <cellStyle name="AggOrange9 4 4" xfId="604" xr:uid="{513B8AC5-4E3E-4963-BF78-FD4ECD964D82}"/>
    <cellStyle name="AggOrange9 4 4 2" xfId="819" xr:uid="{51B9C8FA-BB02-49E9-B2CC-1CA0428A71E3}"/>
    <cellStyle name="AggOrange9 5" xfId="78" xr:uid="{CD8E76C2-D265-480F-A26B-57947222DBF4}"/>
    <cellStyle name="AggOrangeLB_2x" xfId="36" xr:uid="{64141D19-AEA1-417F-9877-43172D0EF7DA}"/>
    <cellStyle name="AggOrangeLBorder" xfId="38" xr:uid="{E3D19518-CBEF-4242-B627-5D31FC08C6D2}"/>
    <cellStyle name="AggOrangeLBorder 2" xfId="127" xr:uid="{181B6127-7F12-4777-A2AF-2C67C2BFAD19}"/>
    <cellStyle name="AggOrangeLBorder 2 2" xfId="419" xr:uid="{ADDFBF20-3113-433B-B56C-CE042764D7D3}"/>
    <cellStyle name="AggOrangeLBorder 2 3" xfId="278" xr:uid="{77CF7F8A-BDE8-4AE8-AB2C-8CF1CF8E0580}"/>
    <cellStyle name="AggOrangeLBorder 2 3 2" xfId="616" xr:uid="{DCBBEC9B-B397-48B1-AA62-55C82DEEC937}"/>
    <cellStyle name="AggOrangeLBorder 2 3 2 2" xfId="831" xr:uid="{CFF351A4-03CB-4B76-B0A0-48E71526E21A}"/>
    <cellStyle name="AggOrangeLBorder 2 3 3" xfId="556" xr:uid="{475D0058-EDE9-4550-A282-878B6D3BCEAD}"/>
    <cellStyle name="AggOrangeLBorder 2 3 3 2" xfId="771" xr:uid="{24687681-3DA7-4C62-8A41-5ABB3F8FC87E}"/>
    <cellStyle name="AggOrangeLBorder 2 3 4" xfId="582" xr:uid="{C9449720-6BBE-4F53-8442-E0401AFE4B16}"/>
    <cellStyle name="AggOrangeLBorder 2 3 4 2" xfId="797" xr:uid="{51FD0D9C-4E3C-4027-AA9E-08BCFF0ED0E3}"/>
    <cellStyle name="AggOrangeLBorder 2 3 5" xfId="702" xr:uid="{0E72031E-7DF7-4EC3-9C97-0825DE9EDC6E}"/>
    <cellStyle name="AggOrangeLBorder 3" xfId="418" xr:uid="{B9880D6B-E5F5-4C17-88E6-3A1156522ECE}"/>
    <cellStyle name="AggOrangeLBorder 4" xfId="277" xr:uid="{2A77A7DF-B34E-4F10-B454-C5C029233E58}"/>
    <cellStyle name="AggOrangeLBorder 4 2" xfId="615" xr:uid="{200E0D0A-D3D3-4CE9-9301-D896D0CD6A51}"/>
    <cellStyle name="AggOrangeLBorder 4 2 2" xfId="830" xr:uid="{7D6DA863-7BA0-49F8-A5E3-7303F31116E8}"/>
    <cellStyle name="AggOrangeLBorder 4 3" xfId="557" xr:uid="{0190698D-45F3-4C6A-B55E-196EF53DEA00}"/>
    <cellStyle name="AggOrangeLBorder 4 3 2" xfId="772" xr:uid="{86D96E2B-C613-42A8-A2C6-E17B0FDB5E4E}"/>
    <cellStyle name="AggOrangeLBorder 4 4" xfId="578" xr:uid="{20C523A4-747C-4C9C-884C-D45A5B8A64C1}"/>
    <cellStyle name="AggOrangeLBorder 4 4 2" xfId="793" xr:uid="{FE959E01-95D5-4101-8699-D4B1C9042695}"/>
    <cellStyle name="AggOrangeLBorder 4 5" xfId="701" xr:uid="{1BA71AC4-974E-4D3C-B7A6-53E5AB39D0A5}"/>
    <cellStyle name="AggOrangeLBorder 5" xfId="86" xr:uid="{BF61F273-4E67-4F88-A5C8-74107AE54926}"/>
    <cellStyle name="AggOrangeRBorder" xfId="27" xr:uid="{1F212785-4387-47C5-8728-8B6494544F66}"/>
    <cellStyle name="AggOrangeRBorder 2" xfId="128" xr:uid="{AC070502-244B-4C4F-9477-8FC2B1F248B9}"/>
    <cellStyle name="AggOrangeRBorder 2 2" xfId="421" xr:uid="{27E75B30-F590-4F14-B2A1-817656FB7732}"/>
    <cellStyle name="AggOrangeRBorder 2 2 2" xfId="533" xr:uid="{5B601C78-D7E1-482E-ADD8-A59F259D49C5}"/>
    <cellStyle name="AggOrangeRBorder 2 2 2 2" xfId="748" xr:uid="{76DF189B-78E6-4AA1-B310-204D6DCD55EB}"/>
    <cellStyle name="AggOrangeRBorder 2 3" xfId="280" xr:uid="{60514335-C04B-4297-8D3C-36D7AA192B7D}"/>
    <cellStyle name="AggOrangeRBorder 2 3 2" xfId="618" xr:uid="{6B5DFA8D-5071-4112-82A1-DDE81CCC09FD}"/>
    <cellStyle name="AggOrangeRBorder 2 3 2 2" xfId="833" xr:uid="{D4D8C4A8-A800-400F-989D-1A9170156A28}"/>
    <cellStyle name="AggOrangeRBorder 2 3 3" xfId="594" xr:uid="{871D9C55-9C9B-415A-B9DC-16C6869AD7B5}"/>
    <cellStyle name="AggOrangeRBorder 2 3 3 2" xfId="809" xr:uid="{3DCDA0A4-D03D-49D0-B06A-CC4C7995D47B}"/>
    <cellStyle name="AggOrangeRBorder 2 3 4" xfId="576" xr:uid="{9936CCF5-CB8C-4EA3-BADA-67BF944E7BC2}"/>
    <cellStyle name="AggOrangeRBorder 2 3 4 2" xfId="791" xr:uid="{55EA9331-12ED-4129-89B1-794EF9E6E462}"/>
    <cellStyle name="AggOrangeRBorder 2 3 5" xfId="704" xr:uid="{C87E49AA-AE95-4D89-AAFF-9BE8B2A01EBE}"/>
    <cellStyle name="AggOrangeRBorder 3" xfId="420" xr:uid="{CCAD8CF3-CCF4-42E5-9EDD-4DD6750E5077}"/>
    <cellStyle name="AggOrangeRBorder 3 2" xfId="53" xr:uid="{68D73E87-DE5F-4348-8B6C-B4FFAE552FE5}"/>
    <cellStyle name="AggOrangeRBorder 3 2 2" xfId="652" xr:uid="{88A2EDA4-42DC-4425-A728-C28E9AD5CD96}"/>
    <cellStyle name="AggOrangeRBorder 3 2 3" xfId="867" xr:uid="{EA21BA70-F949-41A3-AFE0-F26D4344768B}"/>
    <cellStyle name="AggOrangeRBorder 4" xfId="279" xr:uid="{DE76F45C-B942-44DF-BB77-291A6205F75E}"/>
    <cellStyle name="AggOrangeRBorder 4 2" xfId="617" xr:uid="{26D56CC3-6070-41FE-B0DB-32ADC7B1D73E}"/>
    <cellStyle name="AggOrangeRBorder 4 2 2" xfId="832" xr:uid="{ABC58C76-B493-4CBF-99AC-D6C5E5AC3C91}"/>
    <cellStyle name="AggOrangeRBorder 4 3" xfId="650" xr:uid="{0197A2A7-A73F-42B4-9BB1-63C00F3F0114}"/>
    <cellStyle name="AggOrangeRBorder 4 3 2" xfId="865" xr:uid="{9817CDCA-7F1B-4861-BEEF-E3A44FF824E6}"/>
    <cellStyle name="AggOrangeRBorder 4 4" xfId="671" xr:uid="{9A6F3CBC-ADD6-4D65-98C2-CAFB483CB9FA}"/>
    <cellStyle name="AggOrangeRBorder 4 4 2" xfId="886" xr:uid="{C2EB7ACB-6DF6-427D-BD0F-9E6871A1C8D9}"/>
    <cellStyle name="AggOrangeRBorder 4 5" xfId="703" xr:uid="{DCAA407E-8AA1-418D-839F-102BB447C6A6}"/>
    <cellStyle name="AggOrangeRBorder 5" xfId="81" xr:uid="{5D840276-141B-4C59-8C5F-3B68325FEF2A}"/>
    <cellStyle name="AggOrangeRBorder_CRFReport-template" xfId="39" xr:uid="{F55BCF37-7CEB-4239-A4B2-A050A66FC447}"/>
    <cellStyle name="Akzent1" xfId="129" xr:uid="{102587AD-8C97-4BF1-ABAF-A5DE7044DA89}"/>
    <cellStyle name="Akzent2" xfId="130" xr:uid="{0073508E-EE9D-4871-B12A-0F181B5CD251}"/>
    <cellStyle name="Akzent3" xfId="131" xr:uid="{641B25B2-A1A1-4F00-8B02-8DBD8D028418}"/>
    <cellStyle name="Akzent4" xfId="132" xr:uid="{17D2E684-C098-444F-A1BF-C4592F3392FA}"/>
    <cellStyle name="Akzent5" xfId="133" xr:uid="{B17E26E5-B8AE-413E-B39E-19929C2A467C}"/>
    <cellStyle name="Akzent6" xfId="134" xr:uid="{B637EE3F-61CA-4B1D-8DA7-F13057412473}"/>
    <cellStyle name="Ausgabe" xfId="54" hidden="1" xr:uid="{5EFD3513-5640-4E35-8F1C-00A3C12A86F6}"/>
    <cellStyle name="Ausgabe" xfId="901" hidden="1" xr:uid="{4465CAC1-543A-429F-84DA-0988494CFB8E}"/>
    <cellStyle name="Ausgabe" xfId="926" hidden="1" xr:uid="{1299C66B-32F5-41EB-89E1-A1D8957759A5}"/>
    <cellStyle name="Ausgabe 2" xfId="399" xr:uid="{1855BE87-E23B-47E0-AD1C-78CB419EB79B}"/>
    <cellStyle name="Ausgabe 2 2" xfId="655" xr:uid="{763DEC45-6EEB-4BC2-B1A0-7EB2F856850C}"/>
    <cellStyle name="Ausgabe 2 2 2" xfId="870" xr:uid="{74A882E2-4801-4577-8644-8EF23C633B7C}"/>
    <cellStyle name="Ausgabe 2 3" xfId="540" xr:uid="{1910CB29-BB18-4AE0-95C7-34BB5B761E55}"/>
    <cellStyle name="Ausgabe 2 3 2" xfId="755" xr:uid="{7FB33CAF-6737-4C77-88A0-DBC8FA189CEF}"/>
    <cellStyle name="Ausgabe 2 4" xfId="713" xr:uid="{CBBCF266-BF68-48B1-8B02-C8EB2C6A3A94}"/>
    <cellStyle name="Ausgabe 3" xfId="291" xr:uid="{4BD0921B-8E9E-4D0F-9424-FE2885FC796C}"/>
    <cellStyle name="Ausgabe 3 2" xfId="627" xr:uid="{C3579101-3F28-4B4C-A0C8-D1836EA7E5CB}"/>
    <cellStyle name="Ausgabe 3 2 2" xfId="842" xr:uid="{C380FAD9-4852-45B1-84D9-3EEE07289006}"/>
    <cellStyle name="Ausgabe 3 3" xfId="546" xr:uid="{86FBD9B2-8197-4201-941E-2B0CEC85BA57}"/>
    <cellStyle name="Ausgabe 3 3 2" xfId="761" xr:uid="{C7C968FB-13AF-46DC-A24E-AD9D0B621B78}"/>
    <cellStyle name="Ausgabe 3 4" xfId="710" xr:uid="{B7E84520-C10E-4315-A105-B2714251B348}"/>
    <cellStyle name="Ausgabe 4" xfId="551" xr:uid="{49DCF775-A442-426E-96EC-79C82FEBA216}"/>
    <cellStyle name="Ausgabe 4 2" xfId="766" xr:uid="{6F4BEF1E-99F8-4509-9297-B548950A9987}"/>
    <cellStyle name="Ausgabe 5" xfId="670" xr:uid="{C4828443-B2D4-4EF9-AD64-9A5C993F5E69}"/>
    <cellStyle name="Ausgabe 5 2" xfId="885" xr:uid="{76C15A78-A7B8-4837-9A23-C59A40C864F9}"/>
    <cellStyle name="Ausgabe 6" xfId="686" xr:uid="{E35826C8-4A5E-4E30-9AA7-71F0F02FE672}"/>
    <cellStyle name="Bad 2" xfId="135" xr:uid="{61960DD6-7F00-48FB-9999-1B84C73B35FF}"/>
    <cellStyle name="Bad 3" xfId="232" xr:uid="{BEE13C21-A0F3-4ED0-A4C6-87BA5CF3A5B8}"/>
    <cellStyle name="Bad 4" xfId="371" xr:uid="{4C8E630C-64E7-47D3-B75A-A51C77361035}"/>
    <cellStyle name="Berechnung" xfId="55" hidden="1" xr:uid="{A4F22810-C808-49F9-AEF4-0D7ADAD970FF}"/>
    <cellStyle name="Berechnung" xfId="902" hidden="1" xr:uid="{2EBA8675-C388-4533-898D-12A8F01A9F98}"/>
    <cellStyle name="Berechnung" xfId="900" hidden="1" xr:uid="{4CE557B2-F230-4AF1-951F-653B71A106E4}"/>
    <cellStyle name="Berechnung 2" xfId="400" xr:uid="{0488430F-B3DC-404C-9C68-3573FA0AC3A2}"/>
    <cellStyle name="Berechnung 2 2" xfId="656" xr:uid="{DBACF808-4DF4-4838-9BD5-8B36B3FD03E2}"/>
    <cellStyle name="Berechnung 2 2 2" xfId="871" xr:uid="{8CF28BE9-1BD0-4D72-AA7D-4469F4D61B6D}"/>
    <cellStyle name="Berechnung 2 3" xfId="521" xr:uid="{50BD83D0-1895-4A0E-8371-B6053A81EA63}"/>
    <cellStyle name="Berechnung 2 3 2" xfId="736" xr:uid="{020D07E4-BB36-435F-990A-F3FAA332E751}"/>
    <cellStyle name="Berechnung 2 4" xfId="577" xr:uid="{CBC6A42F-BA15-4876-BE5D-934194CE457A}"/>
    <cellStyle name="Berechnung 2 4 2" xfId="792" xr:uid="{AAD72413-DE33-4199-B0B1-BC2BDF4B4BF6}"/>
    <cellStyle name="Berechnung 2 5" xfId="714" xr:uid="{9D184B87-5FD6-4314-9BE3-B409F91A7A00}"/>
    <cellStyle name="Berechnung 3" xfId="281" xr:uid="{9AFA54A8-702B-4013-A703-AB6345F6CCBD}"/>
    <cellStyle name="Berechnung 3 2" xfId="619" xr:uid="{517A003F-B173-4623-B41B-81DEA61ED1D6}"/>
    <cellStyle name="Berechnung 3 2 2" xfId="834" xr:uid="{8289FB9F-7C70-416D-B5F2-5164F7F69080}"/>
    <cellStyle name="Berechnung 3 3" xfId="555" xr:uid="{5DBF3126-DE28-4CA3-AB45-BCC6766FAB07}"/>
    <cellStyle name="Berechnung 3 3 2" xfId="770" xr:uid="{205A53C9-A748-470D-82D4-7FB2A940E904}"/>
    <cellStyle name="Berechnung 3 4" xfId="567" xr:uid="{1F27F2F0-0757-4491-B95E-9BA4A73A2EE7}"/>
    <cellStyle name="Berechnung 3 4 2" xfId="782" xr:uid="{662BED7B-F56D-4427-826B-B44475B83FC7}"/>
    <cellStyle name="Berechnung 3 5" xfId="705" xr:uid="{B0DCE107-423D-4389-BA88-FADC17241643}"/>
    <cellStyle name="Berechnung 4" xfId="552" xr:uid="{B8FDF855-1BF2-4C3A-A5EC-4C1F6C567417}"/>
    <cellStyle name="Berechnung 4 2" xfId="767" xr:uid="{D74082C3-C633-4F3D-AE8E-B8845E22979D}"/>
    <cellStyle name="Berechnung 5" xfId="669" xr:uid="{932D3C0E-3883-46F8-982C-3E5E74048351}"/>
    <cellStyle name="Berechnung 5 2" xfId="884" xr:uid="{B1F24BBA-6083-4C32-B49E-0EEC54F0F31E}"/>
    <cellStyle name="Berechnung 6" xfId="681" xr:uid="{D644C7DA-B464-4833-85FE-19560E1988B6}"/>
    <cellStyle name="Berechnung 6 2" xfId="895" xr:uid="{C899BF7C-B2F3-4262-8FBB-308FC9F5740F}"/>
    <cellStyle name="Berechnung 7" xfId="687" xr:uid="{234A3E57-7531-4351-8993-F95DA6FFCBD2}"/>
    <cellStyle name="Bold GHG Numbers (0.00)" xfId="136" xr:uid="{37893CBA-ADD3-4AB3-ADB0-71BC7CB6E47C}"/>
    <cellStyle name="Calculation 2" xfId="137" xr:uid="{722E0B96-E068-4DDF-A541-E39B43657A41}"/>
    <cellStyle name="Calculation 2 2" xfId="554" xr:uid="{0397A6C3-FF28-468F-BB9E-192DCAD99E97}"/>
    <cellStyle name="Calculation 2 2 2" xfId="769" xr:uid="{6FA27F4B-297E-449F-82AF-7449C8F5E169}"/>
    <cellStyle name="Calculation 2 3" xfId="638" xr:uid="{B134E3FA-0F29-4E60-A10E-CC46B6E773BD}"/>
    <cellStyle name="Calculation 2 3 2" xfId="853" xr:uid="{FB16833D-3437-44E1-8080-C4D530FF8D07}"/>
    <cellStyle name="Calculation 2 4" xfId="544" xr:uid="{0CA7615C-7277-4EC4-A6EB-625145FC68CD}"/>
    <cellStyle name="Calculation 2 4 2" xfId="759" xr:uid="{0FFFF784-DC32-4457-ADA4-65D78F1ABBF4}"/>
    <cellStyle name="Calculation 2 5" xfId="688" xr:uid="{1ADD9B27-A165-4FA6-B396-B00BB3A8BB30}"/>
    <cellStyle name="Calculation 3" xfId="233" xr:uid="{1CC525C1-CEBB-4675-999B-3A6597387114}"/>
    <cellStyle name="Calculation 3 2" xfId="593" xr:uid="{F895812E-BC7E-4C12-B68C-C69E3E65BB6A}"/>
    <cellStyle name="Calculation 3 2 2" xfId="808" xr:uid="{2FAC8E42-96EE-497D-8CCD-DF80A3A0174D}"/>
    <cellStyle name="Calculation 3 3" xfId="579" xr:uid="{2DE3B058-F64C-41D5-A429-77EB226F340E}"/>
    <cellStyle name="Calculation 3 3 2" xfId="794" xr:uid="{CF4541AD-5D50-45C7-89BB-C9E89338F46D}"/>
    <cellStyle name="Calculation 3 4" xfId="663" xr:uid="{2148CA88-8C3F-4A22-A903-5445D9AEB958}"/>
    <cellStyle name="Calculation 3 4 2" xfId="878" xr:uid="{9BE2465D-D408-490C-AEA1-2393573CEB9F}"/>
    <cellStyle name="Calculation 3 5" xfId="696" xr:uid="{F2CE43A1-5C7E-4AF7-A367-9A27C3F32605}"/>
    <cellStyle name="Check Cell 2" xfId="138" xr:uid="{8C4203BC-A35A-40DA-A352-A17942B6B13E}"/>
    <cellStyle name="Check Cell 3" xfId="234" xr:uid="{2DCF1B8E-AD53-4328-8E08-9735962F9E5D}"/>
    <cellStyle name="Check Cell 4" xfId="377" xr:uid="{47C1F60C-B917-454F-B024-95F80D529D19}"/>
    <cellStyle name="Comma" xfId="2" builtinId="3"/>
    <cellStyle name="Comma 2" xfId="4" xr:uid="{563EC25D-CC46-4DFA-BE89-C2E187AE42F6}"/>
    <cellStyle name="Comma 2 2" xfId="140" xr:uid="{D35921BA-AF74-48D3-83EE-D0BCC8B2F183}"/>
    <cellStyle name="Comma 2 2 2" xfId="422" xr:uid="{4AE14E2F-1930-4EC4-903C-34EFD2F2209B}"/>
    <cellStyle name="Comma 2 3" xfId="139" xr:uid="{0165BE60-EC2B-457C-A12C-E96B4F7C74EB}"/>
    <cellStyle name="Comma 3" xfId="141" xr:uid="{4197EC6A-A65A-4979-9D14-B5765D530842}"/>
    <cellStyle name="Constants" xfId="12" xr:uid="{167C0A29-8054-41C1-933E-C461D04B1005}"/>
    <cellStyle name="ContentsHyperlink" xfId="250" xr:uid="{8C9E7BE8-535C-4583-8AAD-4DEA2F4946F3}"/>
    <cellStyle name="CustomCellsOrange" xfId="142" xr:uid="{03663E81-D785-4CC5-99B7-2B5958BB44BE}"/>
    <cellStyle name="CustomCellsOrange 2" xfId="423" xr:uid="{9E8B76DF-C7B2-4B90-AA49-5CDBFDB2CD92}"/>
    <cellStyle name="CustomCellsOrange 2 2" xfId="446" xr:uid="{894ED8DC-F77B-4E05-9BE0-31EE9A56B988}"/>
    <cellStyle name="CustomCellsOrange 2 2 2" xfId="516" xr:uid="{DEFC78B3-4A27-44E9-ACE4-C4F4BD57DCED}"/>
    <cellStyle name="CustomCellsOrange 2 2 2 2" xfId="682" xr:uid="{0CB42A7A-BA33-4A74-9D16-8F15ABD3F6AF}"/>
    <cellStyle name="CustomCellsOrange 2 2 2 2 2" xfId="896" xr:uid="{6C973AE5-D43D-4FD4-BEEA-1FBF0AE2680D}"/>
    <cellStyle name="CustomCellsOrange 2 2 3" xfId="665" xr:uid="{229BFE5F-D97F-4DE3-BA34-8F0F0B72AB14}"/>
    <cellStyle name="CustomCellsOrange 2 2 3 2" xfId="880" xr:uid="{092E1D08-73AF-4ECF-AFF5-316EAA3ADF07}"/>
    <cellStyle name="CustomCellsOrange 2 2 4" xfId="583" xr:uid="{E6E6FAB2-5654-43C2-A43D-61A64783E26F}"/>
    <cellStyle name="CustomCellsOrange 2 2 4 2" xfId="798" xr:uid="{A81C52E1-E1C7-4BBD-B473-79CF0F43111A}"/>
    <cellStyle name="CustomCellsOrange 2 2 5" xfId="684" xr:uid="{3C2F92D2-4D4C-4E7F-B49C-2CA41EAE6A35}"/>
    <cellStyle name="CustomCellsOrange 2 2 5 2" xfId="898" xr:uid="{1E6680D2-9F80-44BE-ABA6-7B635C6409FD}"/>
    <cellStyle name="CustomCellsOrange 3" xfId="282" xr:uid="{622C56FB-B9ED-493F-8918-4A3B923D4B83}"/>
    <cellStyle name="CustomCellsOrange 3 2" xfId="620" xr:uid="{7276241E-F695-4A3A-B5A1-1DAFF65D4219}"/>
    <cellStyle name="CustomCellsOrange 3 2 2" xfId="835" xr:uid="{2F453561-966A-4E46-99EA-2CBCFCD7BD4F}"/>
    <cellStyle name="CustomCellsOrange 3 3" xfId="553" xr:uid="{B04B41E1-6C45-48E6-B7DB-C94542030330}"/>
    <cellStyle name="CustomCellsOrange 3 3 2" xfId="768" xr:uid="{9EB61469-AECA-45B3-BF25-1ADA97179A69}"/>
    <cellStyle name="CustomCellsOrange 3 4" xfId="566" xr:uid="{AF0F9C08-ED5F-400B-A294-FB75DB9143C1}"/>
    <cellStyle name="CustomCellsOrange 3 4 2" xfId="781" xr:uid="{6884879B-0904-4670-9CDF-0FF8FE7ACE5D}"/>
    <cellStyle name="CustomCellsOrange 3 5" xfId="706" xr:uid="{D32AB4D9-2EA7-42A5-9545-299FA2059A71}"/>
    <cellStyle name="CustomizationCells" xfId="26" xr:uid="{6FECB62D-B782-4248-B742-33E930D3900E}"/>
    <cellStyle name="CustomizationCells 2" xfId="424" xr:uid="{6A54277B-2F7F-4369-91C2-9CE88AC1ABA7}"/>
    <cellStyle name="CustomizationCells 2 2" xfId="447" xr:uid="{B8666AF7-083B-4E3F-B36B-EB9271795041}"/>
    <cellStyle name="CustomizationCells 2 2 2" xfId="517" xr:uid="{12DE6A17-280D-4351-8D7F-C69F313D767D}"/>
    <cellStyle name="CustomizationCells 2 2 2 2" xfId="683" xr:uid="{1F699197-0487-469B-97C0-F823CD63D65F}"/>
    <cellStyle name="CustomizationCells 2 2 2 2 2" xfId="897" xr:uid="{ABAA9511-E915-4CEC-AAFC-90A94A866D8C}"/>
    <cellStyle name="CustomizationCells 2 2 3" xfId="666" xr:uid="{0B9AB537-45F0-4D1F-A4CB-645A180DDE95}"/>
    <cellStyle name="CustomizationCells 2 2 3 2" xfId="881" xr:uid="{D813F96F-1E98-4553-95DB-A6871D03EF63}"/>
    <cellStyle name="CustomizationCells 2 2 4" xfId="529" xr:uid="{8A421D3C-252F-4ABE-81E3-9172B4341FA9}"/>
    <cellStyle name="CustomizationCells 2 2 4 2" xfId="744" xr:uid="{4D63192F-5C99-4B96-913D-0279DF8CABF8}"/>
    <cellStyle name="CustomizationCells 2 2 5" xfId="685" xr:uid="{AD049B9D-7DAE-426E-85EC-8E66F941826A}"/>
    <cellStyle name="CustomizationCells 2 2 5 2" xfId="899" xr:uid="{2498F7C5-6F40-4A6F-9730-4258E3205785}"/>
    <cellStyle name="CustomizationCells 3" xfId="283" xr:uid="{8FF8D419-166F-4AFB-A45C-5A55AF8E6E29}"/>
    <cellStyle name="CustomizationCells 3 2" xfId="621" xr:uid="{5C4ECA6E-D8A5-4DE5-9D58-566C871CFC69}"/>
    <cellStyle name="CustomizationCells 3 2 2" xfId="836" xr:uid="{6318C58D-F21D-4084-9EB6-88B8F7B0B6F4}"/>
    <cellStyle name="CustomizationCells 3 3" xfId="648" xr:uid="{D8F9ED5E-3165-4669-9061-5294A10070DF}"/>
    <cellStyle name="CustomizationCells 3 3 2" xfId="863" xr:uid="{D4E2C937-5F8F-44DF-90AD-F8EA3B1B6859}"/>
    <cellStyle name="CustomizationCells 3 4" xfId="568" xr:uid="{D087746E-9EC5-49D5-AF9E-2968BA69D68D}"/>
    <cellStyle name="CustomizationCells 3 4 2" xfId="783" xr:uid="{A61E86FA-CD6E-494C-A6EA-BE85804DF3CD}"/>
    <cellStyle name="CustomizationCells 3 5" xfId="707" xr:uid="{655D9459-CE81-4991-A35C-194A8106A13D}"/>
    <cellStyle name="CustomizationCells 4" xfId="80" xr:uid="{A3C8F97B-DD9B-43C6-9EBA-E522A6E59E83}"/>
    <cellStyle name="CustomizationGreenCells" xfId="143" xr:uid="{92DF1596-53AA-4979-9F99-DA786F9815F4}"/>
    <cellStyle name="CustomizationGreenCells 2" xfId="425" xr:uid="{FEFE872B-1EE4-453A-A9C2-6F35331294DC}"/>
    <cellStyle name="CustomizationGreenCells 3" xfId="284" xr:uid="{79FC43ED-9A9D-444F-B112-57B07410BD59}"/>
    <cellStyle name="CustomizationGreenCells 3 2" xfId="622" xr:uid="{837DC728-88E9-4CE7-8A04-C8A470CF1BBD}"/>
    <cellStyle name="CustomizationGreenCells 3 2 2" xfId="837" xr:uid="{EA7E208E-F633-482D-82C9-666CBE4B7781}"/>
    <cellStyle name="CustomizationGreenCells 3 3" xfId="592" xr:uid="{5F31D20E-B37A-44AB-BD18-52065F2877B6}"/>
    <cellStyle name="CustomizationGreenCells 3 3 2" xfId="807" xr:uid="{8F223C83-1118-4A11-9547-10CF91DFC939}"/>
    <cellStyle name="CustomizationGreenCells 3 4" xfId="525" xr:uid="{643A1C63-055C-4EA1-A1D1-21E5AA124936}"/>
    <cellStyle name="CustomizationGreenCells 3 4 2" xfId="740" xr:uid="{92BB912E-C840-447F-BE7F-73CBEE6703B7}"/>
    <cellStyle name="CustomizationGreenCells 3 5" xfId="708" xr:uid="{C7CADA82-D5D9-4DA4-9CC7-13B78489CE64}"/>
    <cellStyle name="DocBox_EmptyRow" xfId="23" xr:uid="{4E3158FB-0020-4E8B-9B14-B70B6F708554}"/>
    <cellStyle name="Eingabe" xfId="10" xr:uid="{890A305C-DBF7-4528-A8D3-8E17461E7039}"/>
    <cellStyle name="Eingabe 2" xfId="380" xr:uid="{FB74FE59-E779-4581-8946-40D58FDA8F97}"/>
    <cellStyle name="Eingabe 3" xfId="426" xr:uid="{4FB76617-30CF-44D0-B058-2C2B280B6E41}"/>
    <cellStyle name="Eingabe 3 2" xfId="662" xr:uid="{25ED417A-E624-40D8-ACE3-0A1F00C967C7}"/>
    <cellStyle name="Eingabe 3 2 2" xfId="877" xr:uid="{5A9FC2CF-8748-4523-BEE3-5A1ADAB996B9}"/>
    <cellStyle name="Eingabe 3 3" xfId="651" xr:uid="{8CEDDF27-7408-4768-862A-A4A75C71859F}"/>
    <cellStyle name="Eingabe 3 3 2" xfId="866" xr:uid="{65DAF1C8-8D3D-47D4-ADA6-8A2CE52C920D}"/>
    <cellStyle name="Eingabe 3 4" xfId="542" xr:uid="{A35A6FDB-33E7-4658-9759-5CE6E9B411E4}"/>
    <cellStyle name="Eingabe 3 4 2" xfId="757" xr:uid="{BFCF25AB-461A-4754-B1C3-80B7F21B08AA}"/>
    <cellStyle name="Eingabe 3 5" xfId="725" xr:uid="{1692D540-9FB3-442D-8C62-0125F71EDF36}"/>
    <cellStyle name="Eingabe 4" xfId="286" xr:uid="{100B3F50-9165-40B4-9209-8E9993855DDB}"/>
    <cellStyle name="Eingabe 4 2" xfId="623" xr:uid="{DEE84CF7-D1C3-49D2-A845-3D2422BB3B64}"/>
    <cellStyle name="Eingabe 4 2 2" xfId="838" xr:uid="{71DAD083-9836-4946-AD37-8A618FF0157C}"/>
    <cellStyle name="Eingabe 4 3" xfId="550" xr:uid="{FBA8C52C-F956-4A59-BB75-8C3100F7AECD}"/>
    <cellStyle name="Eingabe 4 3 2" xfId="765" xr:uid="{64AFA61E-7C77-4D65-AFC2-9FCEB7D6D091}"/>
    <cellStyle name="Eingabe 4 4" xfId="526" xr:uid="{A8F76FB8-B2CB-414E-87E8-5F17DDE926E1}"/>
    <cellStyle name="Eingabe 4 4 2" xfId="741" xr:uid="{B3C17CBB-8042-4656-B566-1D97B792C940}"/>
    <cellStyle name="Eingabe 4 5" xfId="709" xr:uid="{CEBFBF7A-648F-458B-BEDE-CC791FE668C0}"/>
    <cellStyle name="Eingabe 5" xfId="560" xr:uid="{FDD3C74F-2F43-4154-987F-A17B5AA30B3D}"/>
    <cellStyle name="Eingabe 5 2" xfId="775" xr:uid="{E85070D4-8FF8-4A45-A8EF-3778D20CBD9C}"/>
    <cellStyle name="Eingabe 6" xfId="637" xr:uid="{574FCAB6-E781-40F0-8AE0-B18E13DFDA64}"/>
    <cellStyle name="Eingabe 6 2" xfId="852" xr:uid="{3EC4CC18-99D5-4E51-A522-00A68064C6B3}"/>
    <cellStyle name="Eingabe 7" xfId="680" xr:uid="{7BF78353-A0B6-4BF4-8497-72B84F696169}"/>
    <cellStyle name="Eingabe 7 2" xfId="894" xr:uid="{D86104C5-D069-4405-B483-00B7BF69C178}"/>
    <cellStyle name="Eingabe 8" xfId="689" xr:uid="{FBB7E412-63A1-4FE4-BE2F-E4DB6B32957E}"/>
    <cellStyle name="Empty_B_border" xfId="29" xr:uid="{34BF2611-7DBB-4178-9C79-68A6E1945807}"/>
    <cellStyle name="Ergebnis" xfId="58" hidden="1" xr:uid="{68147E56-1F37-4E01-ACE6-A3CD87672E4C}"/>
    <cellStyle name="Ergebnis" xfId="905" hidden="1" xr:uid="{AE7A5E51-6DA4-400A-B3F2-AA62DAF6279A}"/>
    <cellStyle name="Ergebnis" xfId="933" hidden="1" xr:uid="{15D45D01-2FF0-43C1-8AE8-0AEC58AD8F61}"/>
    <cellStyle name="Ergebnis 2" xfId="401" xr:uid="{F3157395-1076-4EB8-83EA-5E79C797F23F}"/>
    <cellStyle name="Ergebnis 2 2" xfId="657" xr:uid="{2BAD0AC2-73D9-4E93-8406-779148BB7F38}"/>
    <cellStyle name="Ergebnis 2 2 2" xfId="872" xr:uid="{5D12257A-B262-4480-B228-2D775E2FB1D1}"/>
    <cellStyle name="Ergebnis 2 3" xfId="589" xr:uid="{803AAFE2-7C32-4C45-A81D-88029D119C07}"/>
    <cellStyle name="Ergebnis 2 3 2" xfId="804" xr:uid="{CCF193F6-D0A7-4FA2-889C-9EEBB4F6FF41}"/>
    <cellStyle name="Ergebnis 2 4" xfId="580" xr:uid="{7C54343A-04D1-432B-A721-A6D32717D75F}"/>
    <cellStyle name="Ergebnis 2 4 2" xfId="795" xr:uid="{A15B65B5-3335-4A77-A459-9696734F2312}"/>
    <cellStyle name="Ergebnis 2 5" xfId="715" xr:uid="{F329048C-0AA0-48D3-AA32-67F653497F37}"/>
    <cellStyle name="Ergebnis 3" xfId="295" xr:uid="{F072BD1D-28D8-4CAA-9180-4318A5430E23}"/>
    <cellStyle name="Ergebnis 3 2" xfId="631" xr:uid="{24FE82AA-46AD-48B6-AD3F-7DD98E8DAD2E}"/>
    <cellStyle name="Ergebnis 3 2 2" xfId="846" xr:uid="{E7A970BA-07F9-4872-B5C4-B4045158B73C}"/>
    <cellStyle name="Ergebnis 3 3" xfId="545" xr:uid="{704D48D4-F0E5-44D2-813C-DD44849FC2FC}"/>
    <cellStyle name="Ergebnis 3 3 2" xfId="760" xr:uid="{598591C7-C3E0-4486-808D-0EAD8CD5E642}"/>
    <cellStyle name="Ergebnis 3 4" xfId="572" xr:uid="{4FE9A034-B98D-4AC6-A0B3-4C72E498E023}"/>
    <cellStyle name="Ergebnis 3 4 2" xfId="787" xr:uid="{33D49BE6-019B-48C3-8A7C-C11DF4FEDCA6}"/>
    <cellStyle name="Ergebnis 3 5" xfId="711" xr:uid="{ABE0355C-E9A9-42B3-B5E9-76DD42D166DC}"/>
    <cellStyle name="Ergebnis 4" xfId="561" xr:uid="{88B873C2-C37F-4F4C-9EF9-FEAB7687B36B}"/>
    <cellStyle name="Ergebnis 4 2" xfId="776" xr:uid="{5DE39227-1402-4F9A-AFCD-725980A594B5}"/>
    <cellStyle name="Ergebnis 5" xfId="635" xr:uid="{813EF649-A95E-4D97-9A10-99C413F2CAAE}"/>
    <cellStyle name="Ergebnis 5 2" xfId="850" xr:uid="{69EC2BF7-A6C8-4E8B-B17D-99C41F602457}"/>
    <cellStyle name="Ergebnis 6" xfId="642" xr:uid="{E66DA203-7CCB-4C2E-A40F-457B084A2BFE}"/>
    <cellStyle name="Ergebnis 6 2" xfId="857" xr:uid="{2F1119B3-543D-4EAD-874A-30F069CD4826}"/>
    <cellStyle name="Ergebnis 7" xfId="690" xr:uid="{60233D9A-8AAE-4BC3-87E4-9E8089C80B2E}"/>
    <cellStyle name="Erklärender Text" xfId="57" hidden="1" xr:uid="{08970299-9F93-4CA2-B2E5-93F090900444}"/>
    <cellStyle name="Erklärender Text" xfId="904" hidden="1" xr:uid="{E3F94AAB-5707-4824-B08D-09F4C8132E8A}"/>
    <cellStyle name="Erklärender Text" xfId="944" hidden="1" xr:uid="{62D78264-2B6A-483F-9D14-C21DEC88649A}"/>
    <cellStyle name="Erklärender Text 2" xfId="402" xr:uid="{B0A9EA3C-532D-4C7F-AE51-30A0DA65F718}"/>
    <cellStyle name="Erklärender Text 3" xfId="285" xr:uid="{66FACB2F-4ABB-4AF2-BF8C-76DC1B760A6D}"/>
    <cellStyle name="Explanatory Text 2" xfId="144" xr:uid="{C2506DD1-35C4-40EB-BA6A-35A937AEBFA3}"/>
    <cellStyle name="Explanatory Text 3" xfId="235" xr:uid="{8D98574B-891A-4E84-A083-2262E62B0BB7}"/>
    <cellStyle name="Good 2" xfId="145" xr:uid="{87AC7930-C4A7-47CB-AA11-5FC148C639B8}"/>
    <cellStyle name="Good 3" xfId="236" xr:uid="{16C34B85-D5F6-449A-AAA0-4FFFAC5AE70E}"/>
    <cellStyle name="Good 4" xfId="364" xr:uid="{2BBEDA9F-845A-4D1E-BF4F-CEBA164F4A75}"/>
    <cellStyle name="Gut" xfId="146" xr:uid="{9B04619A-55F6-4892-8D88-94DF3888EDF9}"/>
    <cellStyle name="Heading 1 2" xfId="147" xr:uid="{A57C3AD3-8471-4FE0-B58E-C5611CDE8158}"/>
    <cellStyle name="Heading 1 3" xfId="237" xr:uid="{D4B5486B-60CC-4E46-AE0C-9D8552A130AF}"/>
    <cellStyle name="Heading 1 4" xfId="372" xr:uid="{786AFB52-1219-45B9-BFF4-B924598DB390}"/>
    <cellStyle name="Heading 2 2" xfId="148" xr:uid="{6587B187-5C93-41E8-936C-C65E35C3A9F0}"/>
    <cellStyle name="Heading 2 3" xfId="238" xr:uid="{BC36EF07-477C-4C93-A253-872B5A43510E}"/>
    <cellStyle name="Heading 2 4" xfId="373" xr:uid="{489EA60C-F71F-462D-B939-BF086526696F}"/>
    <cellStyle name="Heading 3 2" xfId="149" xr:uid="{763DCE63-356A-4556-AA36-88ED35063420}"/>
    <cellStyle name="Heading 3 3" xfId="239" xr:uid="{6B579A1F-B82F-41D7-8745-41ECF6C7EBFC}"/>
    <cellStyle name="Heading 3 4" xfId="374" xr:uid="{243713FD-BCE4-41FC-BC66-C15EA141095A}"/>
    <cellStyle name="Heading 4 2" xfId="150" xr:uid="{14750AE1-B5D6-4DD4-9E0F-DDB601F8D648}"/>
    <cellStyle name="Heading 4 3" xfId="240" xr:uid="{3A30B3AC-D026-454A-A12C-98D80AE38F94}"/>
    <cellStyle name="Heading 4 4" xfId="375" xr:uid="{49635734-7D79-4E30-85CE-ED61C0651A0E}"/>
    <cellStyle name="Headline" xfId="11" xr:uid="{135A01BD-B2CA-4AA9-B61C-D5CB84301338}"/>
    <cellStyle name="Hyperlink" xfId="6" builtinId="8"/>
    <cellStyle name="Input 2" xfId="151" xr:uid="{60327B1A-F936-4CCB-86A4-6E2AD751CA87}"/>
    <cellStyle name="Input 2 2" xfId="564" xr:uid="{0FFCCFA0-78D9-4CFA-BA1E-A0B15198319D}"/>
    <cellStyle name="Input 2 2 2" xfId="779" xr:uid="{A2229E4D-8B10-4F24-9460-6A1B4D479232}"/>
    <cellStyle name="Input 2 3" xfId="668" xr:uid="{F60307CF-0289-4312-B190-776094DF69F8}"/>
    <cellStyle name="Input 2 3 2" xfId="883" xr:uid="{9707E381-9914-4252-8C85-ADEC07E2E003}"/>
    <cellStyle name="Input 2 4" xfId="679" xr:uid="{91F17E41-DE30-43B7-9917-8DBB90B25706}"/>
    <cellStyle name="Input 2 4 2" xfId="893" xr:uid="{DCD8C016-0A07-4723-83B6-288A1BBF5CAF}"/>
    <cellStyle name="Input 2 5" xfId="691" xr:uid="{9555DAC0-9549-4E68-A30A-12CE793D534D}"/>
    <cellStyle name="Input 3" xfId="241" xr:uid="{6393CA83-2DF0-4BCC-927E-28D419A91A5E}"/>
    <cellStyle name="Input 3 2" xfId="596" xr:uid="{C11B7A63-5875-48CD-A1C0-678FDF750436}"/>
    <cellStyle name="Input 3 2 2" xfId="811" xr:uid="{917FE551-4086-4D31-9DE6-DC33DC8E7D69}"/>
    <cellStyle name="Input 3 3" xfId="595" xr:uid="{26870E55-8EF6-41C5-98D9-0C4AF9A4EFCC}"/>
    <cellStyle name="Input 3 3 2" xfId="810" xr:uid="{14FE0CF6-CD32-4A22-84D3-3F532AD790F5}"/>
    <cellStyle name="Input 3 4" xfId="539" xr:uid="{C7A3C689-71E8-4410-AAED-6A971569D779}"/>
    <cellStyle name="Input 3 4 2" xfId="754" xr:uid="{BB144017-E986-43AF-9434-4C4D5902B22F}"/>
    <cellStyle name="Input 3 5" xfId="697" xr:uid="{95CA5B15-5510-4C7E-9118-7C1202B6ACD2}"/>
    <cellStyle name="Input 4" xfId="351" xr:uid="{1AF01EE2-6C42-49E4-BCA4-5F0C5A2F1E5A}"/>
    <cellStyle name="InputCells" xfId="19" xr:uid="{84EE9AAB-409E-45F4-917E-27843C225183}"/>
    <cellStyle name="InputCells 2" xfId="152" xr:uid="{40EFD365-D27D-422D-97AC-6AF70F67D4C0}"/>
    <cellStyle name="InputCells 3" xfId="203" xr:uid="{878131BB-EF94-4DAD-8F71-752F25CAEC13}"/>
    <cellStyle name="InputCells 4" xfId="354" xr:uid="{CF41BE8E-8662-4820-B92B-43FBF7211C44}"/>
    <cellStyle name="InputCells_Bborder_1" xfId="153" xr:uid="{DFEA3A65-86F1-44E4-AD79-C63D7268F624}"/>
    <cellStyle name="InputCells12" xfId="28" xr:uid="{B818B9CB-2A86-4F84-85D4-3555011233BE}"/>
    <cellStyle name="InputCells12 2" xfId="154" xr:uid="{A64FBE2B-D97E-4AC3-B68B-C9E96F89B323}"/>
    <cellStyle name="InputCells12 2 2" xfId="428" xr:uid="{27957638-628A-48A4-AAE2-CB562B527532}"/>
    <cellStyle name="InputCells12 2 2 2" xfId="602" xr:uid="{B7B14363-BF01-4615-A73B-EA2369603064}"/>
    <cellStyle name="InputCells12 2 2 2 2" xfId="817" xr:uid="{E7A0724C-70CD-4DA7-A902-87EE2E2A8B29}"/>
    <cellStyle name="InputCells12 2 2 3" xfId="727" xr:uid="{BC65C99D-A824-439A-88B1-EB85F35F23C6}"/>
    <cellStyle name="InputCells12 2 3" xfId="288" xr:uid="{18C4EA1B-D975-43DF-96D0-2233BEF8B63B}"/>
    <cellStyle name="InputCells12 2 3 2" xfId="625" xr:uid="{DADE1E9A-5751-4C4A-AD2D-A9E4FE74FF9F}"/>
    <cellStyle name="InputCells12 2 3 2 2" xfId="840" xr:uid="{B03365F0-2119-4950-AB29-540B3B571B5D}"/>
    <cellStyle name="InputCells12 2 3 3" xfId="548" xr:uid="{8A9B3BC8-66B3-46F8-916E-5C992DD96BD8}"/>
    <cellStyle name="InputCells12 2 3 3 2" xfId="763" xr:uid="{391AEE7B-87B1-471A-80C0-E13E14767C75}"/>
    <cellStyle name="InputCells12 2 3 4" xfId="664" xr:uid="{9A97F7D4-F953-4871-BCC7-7ACE292A5016}"/>
    <cellStyle name="InputCells12 2 3 4 2" xfId="879" xr:uid="{ECAE6217-59A6-4E58-B623-BB8C1A7A5F1C}"/>
    <cellStyle name="InputCells12 3" xfId="427" xr:uid="{6219CF0C-4683-4A8A-BD95-2C9D976E911B}"/>
    <cellStyle name="InputCells12 3 2" xfId="532" xr:uid="{EFE7D9C5-7C6C-4147-8F57-E6FABF002B6B}"/>
    <cellStyle name="InputCells12 3 2 2" xfId="747" xr:uid="{7C50FE69-389D-4BA9-A9B2-365BD6EDA1DB}"/>
    <cellStyle name="InputCells12 3 3" xfId="726" xr:uid="{17EA7F87-A532-4AC7-BA5E-A4C21A653B42}"/>
    <cellStyle name="InputCells12 4" xfId="287" xr:uid="{46057740-D174-4F2A-A019-A7DD697CB034}"/>
    <cellStyle name="InputCells12 4 2" xfId="624" xr:uid="{381E4ACA-ED8B-474F-BCBD-EDBADE23E60A}"/>
    <cellStyle name="InputCells12 4 2 2" xfId="839" xr:uid="{7AB5A578-1F39-406C-B261-D0933F55F23A}"/>
    <cellStyle name="InputCells12 4 3" xfId="549" xr:uid="{A3436144-2322-419D-A429-4D5E4837516A}"/>
    <cellStyle name="InputCells12 4 3 2" xfId="764" xr:uid="{B2E9323A-9FD3-4E14-9A11-A2CBF2B18D09}"/>
    <cellStyle name="InputCells12 4 4" xfId="523" xr:uid="{44CD56D4-6A45-4B69-B9E1-ABAFD26AB5F0}"/>
    <cellStyle name="InputCells12 4 4 2" xfId="738" xr:uid="{A07D6BFE-57C8-449E-9CDD-54EE300EA24D}"/>
    <cellStyle name="InputCells12 5" xfId="82" xr:uid="{617BDD6E-304F-41E9-BECC-9F3F9D30DACE}"/>
    <cellStyle name="InputCells12_BBorder" xfId="34" xr:uid="{4CCE3352-9D29-4CFD-A496-EA68B441EA78}"/>
    <cellStyle name="IntCells" xfId="155" xr:uid="{1F368839-0504-43D8-843A-F6F7656C3523}"/>
    <cellStyle name="KP_thin_border_dark_grey" xfId="44" xr:uid="{188A3F33-31DC-4867-A1B6-979CC758A016}"/>
    <cellStyle name="Linked Cell 2" xfId="156" xr:uid="{0A9C6BF0-A0B2-414B-8C79-CA97D881F509}"/>
    <cellStyle name="Linked Cell 3" xfId="242" xr:uid="{47370459-F6E5-4799-B606-CAB7E402B7F2}"/>
    <cellStyle name="Linked Cell 4" xfId="376" xr:uid="{AC091DBD-86D0-444D-99AE-7F37CCDC7222}"/>
    <cellStyle name="Neutral 2" xfId="157" xr:uid="{66BAFFBE-CCE3-45EF-93C0-C0DC71A44918}"/>
    <cellStyle name="Neutral 3" xfId="243" xr:uid="{345FD4CA-0025-486A-958A-2DEA55ED84CC}"/>
    <cellStyle name="Normaali 2" xfId="158" xr:uid="{76B7D4DC-0AB3-467B-A22C-73BF4931A3D8}"/>
    <cellStyle name="Normaali 2 2" xfId="159" xr:uid="{9CA105BC-43AB-400A-9BC0-FB078BA6C2D2}"/>
    <cellStyle name="Normal" xfId="0" builtinId="0"/>
    <cellStyle name="Normal 10" xfId="379" xr:uid="{D4AF2DD3-73C6-4394-B3E2-3E345017D733}"/>
    <cellStyle name="Normal 10 2" xfId="448" xr:uid="{A5AF3788-CD99-48C6-B5F1-D179B2820EC7}"/>
    <cellStyle name="Normal 11" xfId="407" xr:uid="{8AEC6A8F-A53B-44B3-9455-F8E57747DDE2}"/>
    <cellStyle name="Normal 11 2" xfId="449" xr:uid="{4A7E37A5-E6CB-40C8-89A4-30312F60B5F8}"/>
    <cellStyle name="Normal 12" xfId="518" xr:uid="{89A68D62-AA50-4F24-BF70-794CD9D59A87}"/>
    <cellStyle name="Normal 12 2" xfId="678" xr:uid="{D1ED7F81-1A76-4657-9E57-3D912CB5866C}"/>
    <cellStyle name="Normal 2" xfId="3" xr:uid="{F84D71CA-A8EB-491A-9B27-63344392C990}"/>
    <cellStyle name="Normal 2 2" xfId="8" xr:uid="{C943AB2F-441F-478B-B031-8320D3ADACC0}"/>
    <cellStyle name="Normal 2 2 2" xfId="161" xr:uid="{1D828AF7-4D58-4FF2-85A9-30F30E6A0867}"/>
    <cellStyle name="Normal 2 2 3" xfId="160" xr:uid="{24A6CBAD-7C6A-4657-A3A1-04A8A4FACFB3}"/>
    <cellStyle name="Normal 2 3" xfId="162" xr:uid="{7D93B3F3-6E2C-4021-B171-F331F97A2D53}"/>
    <cellStyle name="Normal 2 3 2" xfId="429" xr:uid="{6BCCCF47-FB8B-4471-A3E2-51B487FFCAAF}"/>
    <cellStyle name="Normal 2 4" xfId="49" xr:uid="{91ABB309-1A62-431D-AB87-A23541139245}"/>
    <cellStyle name="Normal 2 5" xfId="13" xr:uid="{332E917B-7E40-4F36-801C-11792C7B11A4}"/>
    <cellStyle name="Normal 3" xfId="45" xr:uid="{3437E571-F4D4-4B6D-B727-6741410C799F}"/>
    <cellStyle name="Normal 3 2" xfId="163" xr:uid="{44D24729-6DA2-4887-80B2-783A94779111}"/>
    <cellStyle name="Normal 3 2 2" xfId="50" xr:uid="{00165D58-2DA7-4D79-93FF-245612F73CB4}"/>
    <cellStyle name="Normal 3 3" xfId="204" xr:uid="{81CBE7F1-4046-473F-96AD-C2888947F5DC}"/>
    <cellStyle name="Normal 3 4" xfId="365" xr:uid="{BB76663A-505D-4BC9-95D9-C4949B40375B}"/>
    <cellStyle name="Normal 4" xfId="164" xr:uid="{70AC1B05-825F-4B2F-85A1-55B48A5590C2}"/>
    <cellStyle name="Normal 4 2" xfId="165" xr:uid="{10FF7A81-CD59-4ADF-8E64-81DC999274CA}"/>
    <cellStyle name="Normal 4 2 2" xfId="166" xr:uid="{2101A58E-2CD9-48F6-AA74-1AFA4C0AD2CF}"/>
    <cellStyle name="Normal 4 2 3" xfId="430" xr:uid="{AE2B884A-7494-40BD-BF24-5F8D593A8E1F}"/>
    <cellStyle name="Normal 4 3" xfId="205" xr:uid="{C4E96E59-2010-417C-AE2D-5A40971B0AF1}"/>
    <cellStyle name="Normal 4 3 2" xfId="431" xr:uid="{A04F49CD-9475-43E3-844E-3B6C2D9F0037}"/>
    <cellStyle name="Normal 4 4" xfId="938" xr:uid="{6430D850-F6E8-421B-8C3B-31CA40C3792F}"/>
    <cellStyle name="Normal 5" xfId="167" xr:uid="{33BC65CE-D4E2-4F60-A2F7-7ECCDD7E49F4}"/>
    <cellStyle name="Normal 5 2" xfId="298" xr:uid="{8B5A21EA-C4EF-4A55-BC70-09EB2F8302E5}"/>
    <cellStyle name="Normal 5 2 2" xfId="305" xr:uid="{EABEF184-62AF-431C-9BF6-BC1A9B289DE9}"/>
    <cellStyle name="Normal 5 2 2 2" xfId="310" xr:uid="{16D37C6E-EA02-48BC-8395-95C3E2E502EC}"/>
    <cellStyle name="Normal 5 2 2 2 2" xfId="325" xr:uid="{B51A67E4-1AC9-40AB-8D53-791375E93E73}"/>
    <cellStyle name="Normal 5 2 2 2 2 2" xfId="454" xr:uid="{D380D133-255E-428F-8462-6E2BF3283060}"/>
    <cellStyle name="Normal 5 2 2 2 3" xfId="453" xr:uid="{32F0FA69-EFB9-4276-9946-C6A5554D2814}"/>
    <cellStyle name="Normal 5 2 2 3" xfId="324" xr:uid="{74E662E6-6569-4711-B46F-5ECC18D2A04B}"/>
    <cellStyle name="Normal 5 2 2 3 2" xfId="455" xr:uid="{4909D15E-387C-4693-9D70-707FFBB82EAA}"/>
    <cellStyle name="Normal 5 2 2 4" xfId="452" xr:uid="{3C0DE830-9C42-4FF4-90A3-E61D806B9BAB}"/>
    <cellStyle name="Normal 5 2 3" xfId="309" xr:uid="{C74A4DB3-34DB-4257-9A8D-1E8784C57794}"/>
    <cellStyle name="Normal 5 2 3 2" xfId="326" xr:uid="{E965D97D-B1B5-4403-B4D6-6BD670906712}"/>
    <cellStyle name="Normal 5 2 3 2 2" xfId="457" xr:uid="{9789B7AB-DB9F-48E9-AC2F-BFFFE57D4C68}"/>
    <cellStyle name="Normal 5 2 3 3" xfId="456" xr:uid="{F6CAC591-9948-475F-AD8F-E1B16FF5A29A}"/>
    <cellStyle name="Normal 5 2 4" xfId="323" xr:uid="{6A25E1AD-FE32-493E-9C21-145DB43C9876}"/>
    <cellStyle name="Normal 5 2 4 2" xfId="458" xr:uid="{949CCF49-05C2-43A1-97D7-5B3A283E86A0}"/>
    <cellStyle name="Normal 5 2 5" xfId="432" xr:uid="{7C125D49-6215-46C6-87A7-11675693D72B}"/>
    <cellStyle name="Normal 5 2 5 2" xfId="459" xr:uid="{64EA60FC-7243-4D4B-90DE-C95F194B290B}"/>
    <cellStyle name="Normal 5 2 6" xfId="451" xr:uid="{5C9365BD-BA88-4D03-9C99-328B0C59CBBC}"/>
    <cellStyle name="Normal 5 3" xfId="302" xr:uid="{4CB84A8C-0D54-4A1B-9557-B163D15E9DE8}"/>
    <cellStyle name="Normal 5 3 2" xfId="311" xr:uid="{3FA3513C-3997-4428-9B6E-D691F291D1B1}"/>
    <cellStyle name="Normal 5 3 2 2" xfId="328" xr:uid="{F7E16984-C98A-441F-9FA7-306D79B55444}"/>
    <cellStyle name="Normal 5 3 2 2 2" xfId="462" xr:uid="{70A9A092-8DA5-4D6A-8D00-7E516B2E567F}"/>
    <cellStyle name="Normal 5 3 2 3" xfId="461" xr:uid="{CC36D90B-6149-47CB-8EE2-7148EE9BB3FD}"/>
    <cellStyle name="Normal 5 3 3" xfId="327" xr:uid="{49DCC4B9-4B3E-47D3-A6F1-E1481FBEF140}"/>
    <cellStyle name="Normal 5 3 3 2" xfId="463" xr:uid="{1907E9B8-27D3-4B03-B524-5819B7087215}"/>
    <cellStyle name="Normal 5 3 4" xfId="460" xr:uid="{F2DAAFE4-ED89-4302-97F9-95C713A44187}"/>
    <cellStyle name="Normal 5 4" xfId="308" xr:uid="{EC60C54F-0FE5-442C-9F26-81262CEA83C0}"/>
    <cellStyle name="Normal 5 4 2" xfId="329" xr:uid="{91482E2C-9843-4F34-8325-0EA06D04B932}"/>
    <cellStyle name="Normal 5 4 2 2" xfId="465" xr:uid="{9589D80D-F95D-4A55-B2AE-433968F35D67}"/>
    <cellStyle name="Normal 5 4 3" xfId="464" xr:uid="{CC48B057-ECAD-4A35-8E09-E2F596161E6C}"/>
    <cellStyle name="Normal 5 5" xfId="322" xr:uid="{DDAAA545-C558-45D1-A2F0-C6AD92021BDE}"/>
    <cellStyle name="Normal 5 5 2" xfId="466" xr:uid="{B1F19F1F-48EE-42F3-8C91-9DDC3C2E09B9}"/>
    <cellStyle name="Normal 5 6" xfId="366" xr:uid="{468894D1-EF38-4450-9E4D-C6FE5F076762}"/>
    <cellStyle name="Normal 5 7" xfId="450" xr:uid="{726FFE70-8438-4C89-9E2A-567F31C5662F}"/>
    <cellStyle name="Normal 5 8" xfId="289" xr:uid="{EA584127-4609-4019-B0DD-A4B4E212FC2E}"/>
    <cellStyle name="Normal 6" xfId="168" xr:uid="{33DD011F-436C-4A9F-8C69-817A4B7D0CA9}"/>
    <cellStyle name="Normal 6 10" xfId="433" xr:uid="{C2A9759B-55B0-49F7-ABCB-38F426F14BF1}"/>
    <cellStyle name="Normal 6 10 2" xfId="468" xr:uid="{50555B6E-74FE-4DEF-B5EC-97469E7E6AA9}"/>
    <cellStyle name="Normal 6 11" xfId="467" xr:uid="{FCBBB2F1-45F7-4B32-A75A-FC4C7AB83AC4}"/>
    <cellStyle name="Normal 6 2" xfId="299" xr:uid="{D6326C0C-D7F1-4737-8EBB-3C015B39F037}"/>
    <cellStyle name="Normal 6 2 2" xfId="306" xr:uid="{63E71FF0-3858-4615-8DB6-62DAA9EC2BFA}"/>
    <cellStyle name="Normal 6 2 2 2" xfId="314" xr:uid="{612E027B-B392-4DB8-B56D-90C35A53654F}"/>
    <cellStyle name="Normal 6 2 2 2 2" xfId="333" xr:uid="{696FFB01-01EF-43F5-8E0B-752C52E7CC02}"/>
    <cellStyle name="Normal 6 2 2 2 2 2" xfId="472" xr:uid="{8C9A965F-FFE9-4DF9-A4AE-F3B9DD0AC869}"/>
    <cellStyle name="Normal 6 2 2 2 3" xfId="471" xr:uid="{21C3BBD1-97C8-4B4F-AD34-1D90B8561C36}"/>
    <cellStyle name="Normal 6 2 2 3" xfId="332" xr:uid="{7A2BA589-C51C-417E-8E9A-AFC5AB393A23}"/>
    <cellStyle name="Normal 6 2 2 3 2" xfId="473" xr:uid="{EF70B5CB-84E3-4FA7-827D-3C1B7AF98807}"/>
    <cellStyle name="Normal 6 2 2 4" xfId="470" xr:uid="{C5CD5F33-C6C8-4723-90B6-21D496E0C213}"/>
    <cellStyle name="Normal 6 2 3" xfId="313" xr:uid="{22B8AA4D-7F0B-4DD1-8D55-28C0D683D60B}"/>
    <cellStyle name="Normal 6 2 3 2" xfId="334" xr:uid="{5C1F0EF7-C7A2-4182-90A4-01BFF3BDB70A}"/>
    <cellStyle name="Normal 6 2 3 2 2" xfId="475" xr:uid="{EE3087B3-A497-49B8-9F15-610530E4EEB6}"/>
    <cellStyle name="Normal 6 2 3 3" xfId="474" xr:uid="{F959427A-9D07-4354-991E-C47ED77F2CC5}"/>
    <cellStyle name="Normal 6 2 4" xfId="331" xr:uid="{36AF7888-0F28-471E-A016-0402B1A94B65}"/>
    <cellStyle name="Normal 6 2 4 2" xfId="476" xr:uid="{335170E5-D402-4142-A533-AC23BE7F7827}"/>
    <cellStyle name="Normal 6 2 5" xfId="434" xr:uid="{6CC78C54-A482-4AE2-B24B-19E6BFD3659E}"/>
    <cellStyle name="Normal 6 2 5 2" xfId="477" xr:uid="{C514F45F-78AD-4B3A-B356-2FD47FD5AB18}"/>
    <cellStyle name="Normal 6 2 6" xfId="469" xr:uid="{4AF88885-9577-4AA3-82D0-28E66AD21064}"/>
    <cellStyle name="Normal 6 3" xfId="301" xr:uid="{881ABC35-4EB6-40B9-82A2-ADBE9DE34235}"/>
    <cellStyle name="Normal 6 3 2" xfId="307" xr:uid="{B2F95EEE-A76E-4685-BBCE-DE0E21BC2471}"/>
    <cellStyle name="Normal 6 3 2 2" xfId="316" xr:uid="{5380AF79-1C5B-4625-B31E-87849AF56166}"/>
    <cellStyle name="Normal 6 3 2 2 2" xfId="337" xr:uid="{99F267FF-6E53-4A55-ACD7-6DE1DACDEF2C}"/>
    <cellStyle name="Normal 6 3 2 2 2 2" xfId="481" xr:uid="{E7CBF899-FECD-4C27-B717-87D99DB2175F}"/>
    <cellStyle name="Normal 6 3 2 2 3" xfId="480" xr:uid="{28808B7B-B402-4EA5-8E07-2B149F5B9A57}"/>
    <cellStyle name="Normal 6 3 2 3" xfId="336" xr:uid="{2C677AD8-A7CE-45F4-B984-8C06B1B776B6}"/>
    <cellStyle name="Normal 6 3 2 3 2" xfId="482" xr:uid="{058BEE7F-FCDA-4321-A0BC-6EB628094D41}"/>
    <cellStyle name="Normal 6 3 2 4" xfId="479" xr:uid="{FDB4C6C4-9C02-4B4E-A50F-37D4F980F69D}"/>
    <cellStyle name="Normal 6 3 3" xfId="315" xr:uid="{D8C26270-288C-4E63-BF01-4809005E1301}"/>
    <cellStyle name="Normal 6 3 3 2" xfId="338" xr:uid="{B700A9FF-7F1D-4344-87A5-B971BA60A671}"/>
    <cellStyle name="Normal 6 3 3 2 2" xfId="484" xr:uid="{36DBF5CD-CB80-460C-8075-3A02ECF5F022}"/>
    <cellStyle name="Normal 6 3 3 3" xfId="483" xr:uid="{0D3F0CCA-0F19-4CF7-BAE7-AE15260F70E2}"/>
    <cellStyle name="Normal 6 3 4" xfId="335" xr:uid="{B4C9A8BD-04CC-4ADF-B64D-F0F675B242C8}"/>
    <cellStyle name="Normal 6 3 4 2" xfId="485" xr:uid="{70C7B220-AF75-4A69-9A09-2AA9BBAFD98D}"/>
    <cellStyle name="Normal 6 3 5" xfId="478" xr:uid="{66D99781-79CD-4FA6-8D8F-C68C4D115437}"/>
    <cellStyle name="Normal 6 4" xfId="303" xr:uid="{D3125318-5288-4186-AF5C-BC9E63D56B20}"/>
    <cellStyle name="Normal 6 4 2" xfId="317" xr:uid="{5B8DE261-CA3C-4862-9077-2F94DFA913CD}"/>
    <cellStyle name="Normal 6 4 2 2" xfId="340" xr:uid="{23FE0780-F8E2-4769-96EA-66D79AB5568B}"/>
    <cellStyle name="Normal 6 4 2 2 2" xfId="488" xr:uid="{84DE00AD-200D-481B-81E7-ECDC74E55E8E}"/>
    <cellStyle name="Normal 6 4 2 3" xfId="487" xr:uid="{50D8A874-0910-43D4-83F8-BAAA5CEC7A36}"/>
    <cellStyle name="Normal 6 4 3" xfId="339" xr:uid="{6672A39E-7EE9-446C-A383-AE2DE05DD97A}"/>
    <cellStyle name="Normal 6 4 3 2" xfId="489" xr:uid="{DD3DF95E-7216-4D6F-8430-B95302E14949}"/>
    <cellStyle name="Normal 6 4 4" xfId="486" xr:uid="{9B15AAA2-5CCC-463E-A060-6B197C7D4EDB}"/>
    <cellStyle name="Normal 6 5" xfId="312" xr:uid="{00E4319B-5152-4BA6-BF97-763C1978D2A2}"/>
    <cellStyle name="Normal 6 5 2" xfId="341" xr:uid="{CC71C900-B0BF-4356-BB8D-0E01C0242336}"/>
    <cellStyle name="Normal 6 5 2 2" xfId="491" xr:uid="{B3E2DF0D-F1E9-4D02-811A-B517938F34FF}"/>
    <cellStyle name="Normal 6 5 3" xfId="490" xr:uid="{D40ED4AE-E2FA-4D9C-88CD-28949C0C878E}"/>
    <cellStyle name="Normal 6 6" xfId="330" xr:uid="{585C051F-8DC3-4825-AC4C-BC982E0B96BB}"/>
    <cellStyle name="Normal 6 6 2" xfId="492" xr:uid="{BB774891-D018-4803-B792-010129582CE1}"/>
    <cellStyle name="Normal 6 7" xfId="367" xr:uid="{974CD2A0-0995-4750-9034-8159D4C9AF85}"/>
    <cellStyle name="Normal 6 7 2" xfId="493" xr:uid="{0C298966-A7FA-4B55-AC92-20A52A29F712}"/>
    <cellStyle name="Normal 6 8" xfId="403" xr:uid="{1471877A-31EC-4721-9784-AE66C6532EE9}"/>
    <cellStyle name="Normal 6 8 2" xfId="494" xr:uid="{2915170B-CD67-46BF-8078-C8B4BAF5CE61}"/>
    <cellStyle name="Normal 6 9" xfId="406" xr:uid="{A74756DB-36C7-4A26-ABBC-E6A592A47240}"/>
    <cellStyle name="Normal 6 9 2" xfId="495" xr:uid="{A86C2E33-F4E4-4CAC-9DC5-8737ED8BF577}"/>
    <cellStyle name="Normal 7" xfId="43" xr:uid="{17959A97-DDC0-4397-9585-BD169FEBC5EC}"/>
    <cellStyle name="Normal 7 2" xfId="300" xr:uid="{82721536-1670-4C5F-A826-1F3D364F0E2A}"/>
    <cellStyle name="Normal 7 2 2" xfId="7" xr:uid="{FDDABC1C-BD7C-497A-9D6A-37BA83513D61}"/>
    <cellStyle name="Normal 7 2 2 2" xfId="320" xr:uid="{791F7264-6A44-4CAB-8A3B-FF4394948945}"/>
    <cellStyle name="Normal 7 2 2 2 2" xfId="345" xr:uid="{24EB3479-8A90-4C7E-84BF-09D06D04A35D}"/>
    <cellStyle name="Normal 7 2 2 2 2 2" xfId="500" xr:uid="{B2A943D6-2A4D-47C7-98D6-AD195BFF99F0}"/>
    <cellStyle name="Normal 7 2 2 2 3" xfId="499" xr:uid="{DDB06E87-8C87-40BC-B244-AC99EBD3844A}"/>
    <cellStyle name="Normal 7 2 2 3" xfId="344" xr:uid="{A0129293-E035-43AA-AD93-3E461EE32029}"/>
    <cellStyle name="Normal 7 2 2 3 2" xfId="501" xr:uid="{36947229-DF10-4AD0-9241-3529C11C0EC5}"/>
    <cellStyle name="Normal 7 2 2 4" xfId="498" xr:uid="{4862A059-970F-46A2-9173-67388F0E56F4}"/>
    <cellStyle name="Normal 7 2 3" xfId="319" xr:uid="{A0D8BE2F-279B-47C9-BE73-A1A0EE68DFAC}"/>
    <cellStyle name="Normal 7 2 3 2" xfId="346" xr:uid="{DE12FADF-B6E6-49A3-B0C6-1BF4D534AFC6}"/>
    <cellStyle name="Normal 7 2 3 2 2" xfId="503" xr:uid="{E86F4B39-C29D-46BF-B08B-E1072A2B61C0}"/>
    <cellStyle name="Normal 7 2 3 3" xfId="502" xr:uid="{226C032F-0696-4711-9A8C-BDF15A3777E2}"/>
    <cellStyle name="Normal 7 2 4" xfId="343" xr:uid="{9087339C-346C-489D-9561-B11279AA130C}"/>
    <cellStyle name="Normal 7 2 4 2" xfId="504" xr:uid="{405A2457-FDB4-4A02-9E2C-044BFC25942F}"/>
    <cellStyle name="Normal 7 2 5" xfId="435" xr:uid="{6AB74EF1-C169-41EB-A2A4-44E6177B062E}"/>
    <cellStyle name="Normal 7 2 5 2" xfId="505" xr:uid="{56B6D6C4-7E0F-4519-A72F-EBEC93CD9EE4}"/>
    <cellStyle name="Normal 7 2 6" xfId="497" xr:uid="{E6177A7A-CAA5-4AEA-AFAA-B3FA89057B5E}"/>
    <cellStyle name="Normal 7 3" xfId="304" xr:uid="{B956164E-D196-4842-B089-58F333FAADFD}"/>
    <cellStyle name="Normal 7 3 2" xfId="321" xr:uid="{634DC102-78E2-4D50-9F84-B3FCA8D1F0F9}"/>
    <cellStyle name="Normal 7 3 2 2" xfId="348" xr:uid="{E542E612-D659-4DF4-B781-3FF9DF666ABD}"/>
    <cellStyle name="Normal 7 3 2 2 2" xfId="508" xr:uid="{19FBCBD0-18C4-4B8B-A1B9-4BD9CF547E5D}"/>
    <cellStyle name="Normal 7 3 2 3" xfId="507" xr:uid="{C1886B59-6648-478D-9802-BC5578FFAE24}"/>
    <cellStyle name="Normal 7 3 3" xfId="347" xr:uid="{A37C0A53-442C-43DE-9677-F42D2D4F9C38}"/>
    <cellStyle name="Normal 7 3 3 2" xfId="509" xr:uid="{21BB1F4D-C3AE-4880-87C0-DCDC5E33275D}"/>
    <cellStyle name="Normal 7 3 4" xfId="506" xr:uid="{1120CD23-9B30-449E-B7E3-5E4681F683DD}"/>
    <cellStyle name="Normal 7 4" xfId="318" xr:uid="{1D315DA9-9F15-4937-A3DF-3C77A680F1E5}"/>
    <cellStyle name="Normal 7 4 2" xfId="349" xr:uid="{1A23D343-79A8-4578-92D9-11ED325F2499}"/>
    <cellStyle name="Normal 7 4 2 2" xfId="511" xr:uid="{711CA804-9CA7-4C05-A1D1-E47A8850F818}"/>
    <cellStyle name="Normal 7 4 3" xfId="510" xr:uid="{0A9CE47F-07E3-4D68-A3E7-4C1C47EE8BD7}"/>
    <cellStyle name="Normal 7 5" xfId="342" xr:uid="{C08B14AC-6EF7-4C08-AE3E-8D35A160B4D5}"/>
    <cellStyle name="Normal 7 5 2" xfId="512" xr:uid="{B16DDECC-D3F6-445D-8B9E-F78BD50656A4}"/>
    <cellStyle name="Normal 7 6" xfId="355" xr:uid="{60E8B4A0-EC2E-47BE-83C7-AA96C027D1CF}"/>
    <cellStyle name="Normal 7 7" xfId="496" xr:uid="{D04D3C84-14AA-4A5A-9A55-B2F7623D6068}"/>
    <cellStyle name="Normal 7 8" xfId="297" xr:uid="{FCCB8380-D75A-4B00-93BB-0C44271B8114}"/>
    <cellStyle name="Normal 8" xfId="244" xr:uid="{9338EBE4-3A7B-4979-8523-9E9D8AEB7B15}"/>
    <cellStyle name="Normal 8 2" xfId="437" xr:uid="{E7A75D6E-C43E-4BDB-B0AE-C5870E6058A4}"/>
    <cellStyle name="Normal 8 3" xfId="436" xr:uid="{00B1D390-356F-4CBA-92CC-D237A8824AEF}"/>
    <cellStyle name="Normal 9" xfId="350" xr:uid="{8F7C12A6-7736-430C-881C-D888209FC313}"/>
    <cellStyle name="Normal 9 2" xfId="513" xr:uid="{D28AB96E-798D-4F99-AEF3-5833DAF69DAC}"/>
    <cellStyle name="Normal GHG Numbers (0.00)" xfId="169" xr:uid="{F82D6473-6565-4FEC-B69F-C1A50655EDD7}"/>
    <cellStyle name="Normal GHG Numbers (0.00) 2" xfId="170" xr:uid="{9EF3FD83-28E1-4077-82C1-410F029E4E36}"/>
    <cellStyle name="Normal GHG Numbers (0.00) 3" xfId="46" xr:uid="{04219525-C510-4325-BE98-C0C0EFF8D2CC}"/>
    <cellStyle name="Normal GHG Numbers (0.00) 3 2" xfId="438" xr:uid="{3538F7D6-52F0-4717-905D-A1FBFB1BAA96}"/>
    <cellStyle name="Normal GHG Numbers (0.00) 3 2 2" xfId="587" xr:uid="{43697094-69E5-47FB-A4C7-25D9A1664E08}"/>
    <cellStyle name="Normal GHG Numbers (0.00) 3 2 2 2" xfId="802" xr:uid="{D188E5C2-C2F1-4AD2-BF99-FD33320B5C42}"/>
    <cellStyle name="Normal GHG Numbers (0.00) 3 2 3" xfId="728" xr:uid="{92835290-C56D-487D-AC46-31B545092E01}"/>
    <cellStyle name="Normal GHG Numbers (0.00) 3 3" xfId="368" xr:uid="{76577D5B-0F09-4AAA-8A77-08C4C77ACD5B}"/>
    <cellStyle name="Normal GHG Numbers (0.00) 3 3 2" xfId="646" xr:uid="{5A28F69D-CB82-4AEA-A351-6959578FF1DE}"/>
    <cellStyle name="Normal GHG Numbers (0.00) 3 3 2 2" xfId="861" xr:uid="{589156A8-3D6A-436A-B441-0CD5BA1CD9DA}"/>
    <cellStyle name="Normal GHG Numbers (0.00) 3 3 3" xfId="543" xr:uid="{FB1E4B2C-2619-4DCF-B371-0A1C9035143D}"/>
    <cellStyle name="Normal GHG Numbers (0.00) 3 3 3 2" xfId="758" xr:uid="{F3DAFAE8-391E-4E3D-83AF-07CAAB65FD28}"/>
    <cellStyle name="Normal GHG Numbers (0.00) 3 3 4" xfId="676" xr:uid="{202140E6-8949-437D-8760-C2E6357ABE37}"/>
    <cellStyle name="Normal GHG Numbers (0.00) 3 3 4 2" xfId="891" xr:uid="{3A9E502D-4B47-4D26-85F7-4D87B71D3417}"/>
    <cellStyle name="Normal GHG Numbers (0.00) 3 4" xfId="171" xr:uid="{D35B3C64-3896-47DF-8704-8C9BA4CE71FF}"/>
    <cellStyle name="Normal GHG Textfiels Bold" xfId="14" xr:uid="{21CA95F5-811B-4742-A7D6-CE41C8FACB52}"/>
    <cellStyle name="Normal GHG Textfiels Bold 2" xfId="172" xr:uid="{0C14B215-C19A-42E2-B1B3-A472B6C4C7CA}"/>
    <cellStyle name="Normal GHG Textfiels Bold 3" xfId="173" xr:uid="{C4849175-DB7A-43B4-BD2D-639EF5EC2C16}"/>
    <cellStyle name="Normal GHG Textfiels Bold 3 2" xfId="439" xr:uid="{025E3E57-C3FA-4CC7-B824-393F3530810C}"/>
    <cellStyle name="Normal GHG Textfiels Bold 3 2 2" xfId="531" xr:uid="{AEE5D6F5-AC93-4ABE-85EE-B2F121368E94}"/>
    <cellStyle name="Normal GHG Textfiels Bold 3 2 2 2" xfId="746" xr:uid="{6C91010D-0E70-4D63-841F-3766E7A16FA1}"/>
    <cellStyle name="Normal GHG Textfiels Bold 3 2 3" xfId="729" xr:uid="{9ED7CA25-6F05-4426-8B1F-56C52B45C1A6}"/>
    <cellStyle name="Normal GHG Textfiels Bold 3 3" xfId="369" xr:uid="{ED912A3D-E27A-427F-BBE0-644789D5F451}"/>
    <cellStyle name="Normal GHG Textfiels Bold 3 3 2" xfId="647" xr:uid="{6452D712-271A-469E-BB57-566A2ACA229E}"/>
    <cellStyle name="Normal GHG Textfiels Bold 3 3 2 2" xfId="862" xr:uid="{C79852AE-549E-45CF-9781-04AB2850372A}"/>
    <cellStyle name="Normal GHG Textfiels Bold 3 3 3" xfId="590" xr:uid="{6A295C16-995E-44F7-9BD9-A6DCBB2A9F7F}"/>
    <cellStyle name="Normal GHG Textfiels Bold 3 3 3 2" xfId="805" xr:uid="{8B9E21A3-DFC7-4926-A546-B1F8778D044A}"/>
    <cellStyle name="Normal GHG Textfiels Bold 3 3 4" xfId="565" xr:uid="{696FA15D-979D-4E79-9647-EDD38D709E89}"/>
    <cellStyle name="Normal GHG Textfiels Bold 3 3 4 2" xfId="780" xr:uid="{383FE776-7903-4555-8171-22CD2A3D9F7D}"/>
    <cellStyle name="Normal GHG whole table" xfId="22" xr:uid="{D0820E0B-7DC4-422F-95AE-81BBC310D024}"/>
    <cellStyle name="Normal GHG whole table 2" xfId="440" xr:uid="{4FC6FB43-C3D0-43A0-B249-0F999F573670}"/>
    <cellStyle name="Normal GHG whole table 2 2" xfId="586" xr:uid="{E1C47DA4-C76E-43FB-A03D-3CD8B77ACEA3}"/>
    <cellStyle name="Normal GHG whole table 2 2 2" xfId="801" xr:uid="{88974093-19EB-4CBE-AF7B-FCE0BC5315F6}"/>
    <cellStyle name="Normal GHG whole table 2 3" xfId="730" xr:uid="{4785305F-7319-4459-8699-6ABAA784DDBE}"/>
    <cellStyle name="Normal GHG whole table 3" xfId="290" xr:uid="{BB16ACF5-E7FF-4DAC-AC16-6F3658CB52C3}"/>
    <cellStyle name="Normal GHG whole table 3 2" xfId="626" xr:uid="{F424FD1C-76E8-4267-BF98-6E7232A09A3D}"/>
    <cellStyle name="Normal GHG whole table 3 2 2" xfId="841" xr:uid="{D1AA6383-B698-43F5-875F-E2843D04A71E}"/>
    <cellStyle name="Normal GHG whole table 3 3" xfId="547" xr:uid="{88F983C6-2C56-4B6B-8702-5F6FD122C6D2}"/>
    <cellStyle name="Normal GHG whole table 3 3 2" xfId="762" xr:uid="{FBAC1198-4834-4E07-B180-A82F155C6185}"/>
    <cellStyle name="Normal GHG whole table 3 4" xfId="634" xr:uid="{45FD0149-E034-40A0-85F1-3754730A0907}"/>
    <cellStyle name="Normal GHG whole table 3 4 2" xfId="849" xr:uid="{27A8E029-EDA1-4FE6-B4DB-C005BA6CFEF6}"/>
    <cellStyle name="Normal GHG whole table 4" xfId="77" xr:uid="{236F6789-4616-4913-9621-3551810D54E3}"/>
    <cellStyle name="Normal GHG-Shade" xfId="20" xr:uid="{97ED4A7A-772B-464A-B29A-2617133A05F3}"/>
    <cellStyle name="Normal GHG-Shade 2" xfId="174" xr:uid="{F18CF285-A5DE-4158-A0BF-99DC73C7FD31}"/>
    <cellStyle name="Normal GHG-Shade 2 2" xfId="175" xr:uid="{0031C16C-2EF3-48FC-8B14-252754769934}"/>
    <cellStyle name="Normal GHG-Shade 2 3" xfId="176" xr:uid="{84980A8D-D3C8-4B91-817A-2C031E9F3CD7}"/>
    <cellStyle name="Normal GHG-Shade 2 4" xfId="206" xr:uid="{18BC6C2C-AA2F-490F-B7B3-FDFE10B79842}"/>
    <cellStyle name="Normal GHG-Shade 2 5" xfId="370" xr:uid="{7AA3F86E-B745-47C4-8023-804BDEF6ACFF}"/>
    <cellStyle name="Normal GHG-Shade 3" xfId="177" xr:uid="{4FFB8210-DC65-426D-965E-42470964D73F}"/>
    <cellStyle name="Normal GHG-Shade 3 2" xfId="178" xr:uid="{805F5E00-B866-4AD8-957B-E3E624094FA9}"/>
    <cellStyle name="Normal GHG-Shade 4" xfId="179" xr:uid="{CF4B47AA-F748-4904-BB91-BB046558FCA0}"/>
    <cellStyle name="Normal GHG-Shade 4 2" xfId="441" xr:uid="{39D12275-EFFE-44C7-A8EA-B580EA0004FB}"/>
    <cellStyle name="Normal_Ark2" xfId="9" xr:uid="{B343F41B-09A6-4772-A094-4C6EF4086866}"/>
    <cellStyle name="Normál_Munka1" xfId="35" xr:uid="{D0D882A8-2801-4BCE-98A9-6832C12B0D9D}"/>
    <cellStyle name="Note 2" xfId="180" xr:uid="{866F2BA8-AE50-44FE-B30B-7D37713F61DE}"/>
    <cellStyle name="Note 2 2" xfId="569" xr:uid="{6AF18C50-63C6-4C6A-9E8F-1460B7DC7E89}"/>
    <cellStyle name="Note 2 2 2" xfId="784" xr:uid="{0AD92BB7-7088-4802-8ADF-E7588AE4EC63}"/>
    <cellStyle name="Note 2 3" xfId="633" xr:uid="{A6045AFE-7B34-4E57-B6FB-F1E31876563A}"/>
    <cellStyle name="Note 2 3 2" xfId="848" xr:uid="{52A88BFE-D6B8-48F0-BBFD-6E6A5EF3B6E7}"/>
    <cellStyle name="Note 2 4" xfId="528" xr:uid="{6466FC49-B381-44BB-AC79-9BA6570CD549}"/>
    <cellStyle name="Note 2 4 2" xfId="743" xr:uid="{53F837FE-52B4-4913-B238-D5A37EC21FEE}"/>
    <cellStyle name="Note 2 5" xfId="692" xr:uid="{19616E80-DD67-44A6-840C-CA36C6046955}"/>
    <cellStyle name="Note 3" xfId="245" xr:uid="{CF993FC0-E30F-489A-A2AB-E7F0D74A74E7}"/>
    <cellStyle name="Note 3 2" xfId="597" xr:uid="{DEFB571D-D5DD-441A-8EAE-D903D1730EB6}"/>
    <cellStyle name="Note 3 2 2" xfId="812" xr:uid="{F15FDBCB-2986-498A-B90F-369E5E23E4F6}"/>
    <cellStyle name="Note 3 3" xfId="563" xr:uid="{5BBB23EC-8A67-4A1A-8E18-EB4B561CED0A}"/>
    <cellStyle name="Note 3 3 2" xfId="778" xr:uid="{A983C8D8-E84F-47E2-9A2F-DDD5CFFA277B}"/>
    <cellStyle name="Note 3 4" xfId="581" xr:uid="{3599BF44-6CF5-4B20-B555-0751A1622AD1}"/>
    <cellStyle name="Note 3 4 2" xfId="796" xr:uid="{C5E8FDD0-2CD5-4F29-9BEB-925DD60BCFE5}"/>
    <cellStyle name="Note 3 5" xfId="698" xr:uid="{6DDF5B1F-C378-4393-A99A-F5FB122B5B16}"/>
    <cellStyle name="Notiz" xfId="181" xr:uid="{9CDDCCA5-9F49-4BA2-A23B-67F37DB39B04}"/>
    <cellStyle name="Notiz 2" xfId="570" xr:uid="{86BE94B6-87C9-468F-A7A9-DF5BF702FC4E}"/>
    <cellStyle name="Notiz 2 2" xfId="785" xr:uid="{969B28B1-DD7F-41C0-8932-89D39BC58479}"/>
    <cellStyle name="Notiz 3" xfId="632" xr:uid="{D8F2C2A1-304A-43AE-A128-A85CEDE7AD57}"/>
    <cellStyle name="Notiz 3 2" xfId="847" xr:uid="{E91EF37C-1A57-489E-BA3A-7363DCDF749B}"/>
    <cellStyle name="Notiz 4" xfId="601" xr:uid="{93AD9258-CEEB-474B-82D6-ECBF8ABFC98D}"/>
    <cellStyle name="Notiz 4 2" xfId="816" xr:uid="{0CBAC884-E46D-4995-B418-1972963946D4}"/>
    <cellStyle name="Notiz 5" xfId="693" xr:uid="{D08D1B1F-F894-42E5-919B-5D846AB68D37}"/>
    <cellStyle name="Output 2" xfId="182" xr:uid="{086BC458-3179-475B-9B6F-C76E76C644D9}"/>
    <cellStyle name="Output 2 2" xfId="571" xr:uid="{76C563BF-6298-480C-8615-A3064716BF18}"/>
    <cellStyle name="Output 2 2 2" xfId="786" xr:uid="{89FB1BDF-FDA2-4E15-B792-3F621053F450}"/>
    <cellStyle name="Output 2 3" xfId="667" xr:uid="{27F51F4E-9857-440F-889D-97927A119FF7}"/>
    <cellStyle name="Output 2 3 2" xfId="882" xr:uid="{878AFEFA-A255-4389-A53A-AC4134CCAE4D}"/>
    <cellStyle name="Output 2 4" xfId="694" xr:uid="{51F2EE09-5FD4-4878-B343-6026DA1636B1}"/>
    <cellStyle name="Output 3" xfId="246" xr:uid="{CD19B3EA-8E71-41EB-98B6-35E67D4D6871}"/>
    <cellStyle name="Output 3 2" xfId="598" xr:uid="{36828D1F-E679-411A-BB48-362D3E2E085B}"/>
    <cellStyle name="Output 3 2 2" xfId="813" xr:uid="{46807972-0804-4E83-A589-8567CF30E7F9}"/>
    <cellStyle name="Output 3 3" xfId="649" xr:uid="{7987E2B0-2614-4546-99EC-F0557989422B}"/>
    <cellStyle name="Output 3 3 2" xfId="864" xr:uid="{088F96B2-B91C-4AC9-97CA-A66444FF50B5}"/>
    <cellStyle name="Output 3 4" xfId="699" xr:uid="{62EACB9B-CA78-4F9B-A22C-3D7A50A0A22C}"/>
    <cellStyle name="Pattern" xfId="183" xr:uid="{6228DB1A-BA6A-42E8-B640-F9AF6C6AB233}"/>
    <cellStyle name="Pattern 2" xfId="442" xr:uid="{FAC0E55A-6F9C-4B69-B2E7-B00B898BC569}"/>
    <cellStyle name="Pattern 2 2" xfId="585" xr:uid="{1B60AE06-0E60-4512-84CB-3F58617EB7CA}"/>
    <cellStyle name="Pattern 2 2 2" xfId="800" xr:uid="{CDE4B121-15F7-4DF4-8F77-579074C6FA29}"/>
    <cellStyle name="Pattern 2 3" xfId="731" xr:uid="{58EFF1E4-B361-4A35-97F1-3154FFA0C916}"/>
    <cellStyle name="Pattern 3" xfId="292" xr:uid="{4939E703-6682-4CD4-BFBA-5946F90F1AF7}"/>
    <cellStyle name="Pattern 3 2" xfId="628" xr:uid="{2D5B1A50-0B8B-4641-94E7-0FC06285245A}"/>
    <cellStyle name="Pattern 3 2 2" xfId="843" xr:uid="{C675F846-5C42-4E3D-A3B6-886B9FEA416A}"/>
    <cellStyle name="Pattern 3 3" xfId="527" xr:uid="{F621E5C6-2E81-4B31-A929-8BA24E40B9F1}"/>
    <cellStyle name="Pattern 3 3 2" xfId="742" xr:uid="{D6644D6E-4A5F-40A7-A255-BEC1C841F734}"/>
    <cellStyle name="Pattern 3 4" xfId="641" xr:uid="{97075B60-EBD6-444B-8657-3A91D40922A6}"/>
    <cellStyle name="Pattern 3 4 2" xfId="856" xr:uid="{2B7B8884-1BB6-46EA-80A1-8801A9F20A34}"/>
    <cellStyle name="Percent" xfId="1" builtinId="5"/>
    <cellStyle name="Percent 2" xfId="5" xr:uid="{6DCD867F-BF85-4838-8EA2-A7160005610F}"/>
    <cellStyle name="Percent 2 2" xfId="443" xr:uid="{1897EDCB-AB82-48D5-86BA-9B712D708228}"/>
    <cellStyle name="Percent 2 3" xfId="184" xr:uid="{4F95278E-D320-4910-85AD-CA2EC9FEAC26}"/>
    <cellStyle name="RowLevel_1 2" xfId="87" xr:uid="{07014C29-A7F2-4C02-B544-54C4847F058C}"/>
    <cellStyle name="Schlecht" xfId="185" xr:uid="{8C957338-ADDE-48C0-B4FF-418E52682AAA}"/>
    <cellStyle name="Shade" xfId="31" xr:uid="{002B1759-964D-4EEC-B4A9-C83F9A4BB7A2}"/>
    <cellStyle name="Shade 2" xfId="186" xr:uid="{8251C3B1-6BEF-488E-A174-D155B4F41ADD}"/>
    <cellStyle name="Shade 2 2" xfId="445" xr:uid="{D60CA564-DDFD-4457-A2D1-85826FB00183}"/>
    <cellStyle name="Shade 2 2 2" xfId="530" xr:uid="{AB4E5FE5-310D-4719-9DC5-2F3411DD7403}"/>
    <cellStyle name="Shade 2 2 2 2" xfId="745" xr:uid="{68C1FF75-577E-4BCE-AE56-E52FF97B0D45}"/>
    <cellStyle name="Shade 2 2 3" xfId="733" xr:uid="{3994AB54-410D-4B0D-AFC3-655E4CB96E56}"/>
    <cellStyle name="Shade 2 3" xfId="294" xr:uid="{72E76045-CEBC-49FD-B013-6A8946427EAF}"/>
    <cellStyle name="Shade 2 3 2" xfId="630" xr:uid="{26601D6E-80B8-41C2-B91F-8EEF8028AABE}"/>
    <cellStyle name="Shade 2 3 2 2" xfId="845" xr:uid="{13FC9E65-9D51-4535-ADFF-7D68FA1E8F33}"/>
    <cellStyle name="Shade 2 3 3" xfId="659" xr:uid="{C6C61942-641C-45D2-B57F-4FD2D4AF386F}"/>
    <cellStyle name="Shade 2 3 3 2" xfId="874" xr:uid="{592BBE50-9279-406E-9007-47540864887E}"/>
    <cellStyle name="Shade 2 3 4" xfId="573" xr:uid="{E81541FD-CB67-4F44-A51E-C66207ABECF3}"/>
    <cellStyle name="Shade 2 3 4 2" xfId="788" xr:uid="{1998B682-DB6B-4DC6-AF96-BD282F26A730}"/>
    <cellStyle name="Shade 3" xfId="444" xr:uid="{9B16E513-6C6F-43D8-903A-8F4D943120A8}"/>
    <cellStyle name="Shade 3 2" xfId="584" xr:uid="{D4F7603A-06E5-4C78-B8F4-6A887BB11962}"/>
    <cellStyle name="Shade 3 2 2" xfId="799" xr:uid="{BEFD94CF-15D3-4537-BA3A-837BA52D2353}"/>
    <cellStyle name="Shade 3 3" xfId="732" xr:uid="{442BDFB0-1EAC-4394-AC47-BDD2E056695A}"/>
    <cellStyle name="Shade 4" xfId="293" xr:uid="{0EC1A258-AEA2-4B72-990B-2CE22059E91F}"/>
    <cellStyle name="Shade 4 2" xfId="52" xr:uid="{2DD912D5-DC3D-485C-8CBC-A4A92BF12F97}"/>
    <cellStyle name="Shade 4 2 2" xfId="629" xr:uid="{5A66D2B5-8C0F-4B0F-8888-85A1B24D4016}"/>
    <cellStyle name="Shade 4 2 3" xfId="844" xr:uid="{2CE10026-7660-440D-8260-13C802EDD279}"/>
    <cellStyle name="Shade 4 3" xfId="658" xr:uid="{BF86B0C7-F816-4415-99EB-6F7426F1156B}"/>
    <cellStyle name="Shade 4 3 2" xfId="873" xr:uid="{224ADA26-09C2-4676-B154-D91EC3569FB5}"/>
    <cellStyle name="Shade 4 4" xfId="520" xr:uid="{C8FE3C64-5178-418C-B76D-02F35382BC05}"/>
    <cellStyle name="Shade 4 4 2" xfId="735" xr:uid="{67395293-F0E0-4351-ADAC-8D9915DDD632}"/>
    <cellStyle name="Shade 5" xfId="84" xr:uid="{E100DF47-C818-4193-9CF8-526985886273}"/>
    <cellStyle name="Shade_B_border2" xfId="187" xr:uid="{1417937B-E7F4-462E-9CB9-28D391E0E31C}"/>
    <cellStyle name="Standard 2" xfId="51" xr:uid="{CB463478-C029-4D84-9EC7-8EC8DB9F9F48}"/>
    <cellStyle name="Standard 2 2" xfId="405" xr:uid="{B4CA45A9-DE1F-469A-8C43-744C23C5975C}"/>
    <cellStyle name="Standard 2 2 2" xfId="515" xr:uid="{573CF04A-64CD-46AA-A44E-58E57D1E6E64}"/>
    <cellStyle name="Standard 2 3" xfId="514" xr:uid="{269EED42-326D-472A-9635-9A025A593734}"/>
    <cellStyle name="Title 2" xfId="188" xr:uid="{E17836AD-C8A3-4AB7-83E7-ACCA54EF05C4}"/>
    <cellStyle name="Title 3" xfId="247" xr:uid="{B5EC773F-BFDA-4CDC-AD7F-13BC2FC9075C}"/>
    <cellStyle name="Total 2" xfId="189" xr:uid="{D11DC2E6-A27C-4D93-8799-498C5024B457}"/>
    <cellStyle name="Total 2 2" xfId="575" xr:uid="{2A68BDFB-F923-4456-8B09-FD05744C24B8}"/>
    <cellStyle name="Total 2 2 2" xfId="790" xr:uid="{7DA11E02-5129-417F-808C-FC58D3A27CAE}"/>
    <cellStyle name="Total 2 3" xfId="636" xr:uid="{AF0A19AB-FA50-4F40-8024-8C42E1311B86}"/>
    <cellStyle name="Total 2 3 2" xfId="851" xr:uid="{5901837C-255A-4CD7-829C-4CAD8493C2E4}"/>
    <cellStyle name="Total 2 4" xfId="524" xr:uid="{4D7F4E08-142F-446E-8280-74BD75D77D33}"/>
    <cellStyle name="Total 2 4 2" xfId="739" xr:uid="{1FAD842E-A15E-4751-AFA1-39F98FE8C157}"/>
    <cellStyle name="Total 2 5" xfId="695" xr:uid="{42CEA4E2-7A12-4955-A993-81F34872B56E}"/>
    <cellStyle name="Total 3" xfId="248" xr:uid="{ACB9F9FF-C022-47B6-A4CF-2F2713453072}"/>
    <cellStyle name="Total 3 2" xfId="599" xr:uid="{55FA7D06-33A0-44F7-9F6F-1A4DC08AB321}"/>
    <cellStyle name="Total 3 2 2" xfId="814" xr:uid="{8E965E27-8330-441A-962D-74B7D3799BFA}"/>
    <cellStyle name="Total 3 3" xfId="562" xr:uid="{A2FC7A68-D614-4CAF-91F9-BFE0F4873A7E}"/>
    <cellStyle name="Total 3 3 2" xfId="777" xr:uid="{E6A6618F-2EB3-4737-BA8B-DF38EFF4EDFC}"/>
    <cellStyle name="Total 3 4" xfId="603" xr:uid="{764CC551-AD64-44F1-9FDC-ED0BD9B2E935}"/>
    <cellStyle name="Total 3 4 2" xfId="818" xr:uid="{44B61354-9CAB-4E6C-8140-75C092CDDC4A}"/>
    <cellStyle name="Total 3 5" xfId="700" xr:uid="{E9C1684C-BC4D-46C0-8AAD-B95B0855B95B}"/>
    <cellStyle name="Überschrift" xfId="190" xr:uid="{F9889ECB-E3CA-42BE-8419-CA5C9D5D0D76}"/>
    <cellStyle name="Überschrift 1" xfId="191" xr:uid="{72B4E7A7-0279-4E2E-9337-2BE71285F5B2}"/>
    <cellStyle name="Überschrift 2" xfId="192" xr:uid="{B994FA92-5433-4933-A536-243718B3E8BC}"/>
    <cellStyle name="Überschrift 3" xfId="193" xr:uid="{93576827-7D7F-49D8-B5FC-CDFC91BFD053}"/>
    <cellStyle name="Überschrift 4" xfId="194" xr:uid="{51D4BE21-8FDC-4C97-85DA-A23022C764B8}"/>
    <cellStyle name="Verknüpfte Zelle" xfId="195" xr:uid="{3B998FFA-B211-4BD0-97F0-5B4168462D7F}"/>
    <cellStyle name="Warnender Text" xfId="56" hidden="1" xr:uid="{38B82830-E0CA-45D2-BD79-87B80D4B1BD0}"/>
    <cellStyle name="Warnender Text" xfId="903" hidden="1" xr:uid="{D3C2FB81-81CA-46EA-9AD0-4DBF45DB1CCD}"/>
    <cellStyle name="Warnender Text" xfId="928" hidden="1" xr:uid="{C57AD9AB-2370-4FDA-AB23-73EA63C15B89}"/>
    <cellStyle name="Warnender Text 2" xfId="404" xr:uid="{BD23CD9A-F38E-4A20-9B24-4704B5FE8927}"/>
    <cellStyle name="Warnender Text 3" xfId="296" xr:uid="{C479641A-0CD8-4AD6-944E-18922CD6DF5A}"/>
    <cellStyle name="Warning Text 2" xfId="196" xr:uid="{C6E24C5B-E508-4840-A959-5515D2165047}"/>
    <cellStyle name="Warning Text 3" xfId="249" xr:uid="{3630B361-D537-470C-BE0D-871E02B40A6E}"/>
    <cellStyle name="Zelle überprüfen" xfId="197" xr:uid="{F5D4E772-3E9A-4A76-8AD8-9AA7B0DDE494}"/>
    <cellStyle name="Гиперссылка" xfId="198" xr:uid="{F504415D-5A18-4791-8328-E437E8AF0D65}"/>
    <cellStyle name="Гиперссылка 2" xfId="199" xr:uid="{85D66F13-8A7F-431D-AA82-6DEFC6571434}"/>
    <cellStyle name="Гиперссылка 3" xfId="207" xr:uid="{51B20236-A136-4C7F-9357-592D5D9C8B44}"/>
    <cellStyle name="Гиперссылка 4" xfId="378" xr:uid="{3DCE93C6-FAE4-4A1C-8BC2-ECB172DAF5E3}"/>
    <cellStyle name="Обычный_2++" xfId="40" xr:uid="{370E0A52-C3D0-4916-9F15-4BCD3C54F0DB}"/>
  </cellStyles>
  <dxfs count="4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4146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5</xdr:row>
      <xdr:rowOff>171450</xdr:rowOff>
    </xdr:from>
    <xdr:to>
      <xdr:col>3</xdr:col>
      <xdr:colOff>600075</xdr:colOff>
      <xdr:row>7</xdr:row>
      <xdr:rowOff>9525</xdr:rowOff>
    </xdr:to>
    <xdr:sp macro="[0]!Openworkbook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88271D6-0596-40CC-A305-9DFF6F3C6C88}"/>
            </a:ext>
          </a:extLst>
        </xdr:cNvPr>
        <xdr:cNvSpPr/>
      </xdr:nvSpPr>
      <xdr:spPr>
        <a:xfrm>
          <a:off x="1381125" y="1200150"/>
          <a:ext cx="1190625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/>
            <a:t>Åben</a:t>
          </a:r>
          <a:r>
            <a:rPr lang="en-US" sz="1100" b="1" baseline="0"/>
            <a:t> scenarie-fil</a:t>
          </a:r>
          <a:endParaRPr lang="en-DK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77FFCA-0DB1-4BF8-8729-E58125EF365B}" name="Table1" displayName="Table1" ref="A1:B34" totalsRowShown="0" dataDxfId="3">
  <autoFilter ref="A1:B34" xr:uid="{4A82C3EF-260C-4449-91E3-FA82EFD02CDE}"/>
  <sortState xmlns:xlrd2="http://schemas.microsoft.com/office/spreadsheetml/2017/richdata2" ref="A2:B34">
    <sortCondition ref="A1:A34"/>
  </sortState>
  <tableColumns count="2">
    <tableColumn id="1" xr3:uid="{49EDC6FB-19D4-488A-A3D1-CA41FF526269}" name="Proces" dataDxfId="2"/>
    <tableColumn id="2" xr3:uid="{E199F127-A97F-4F9F-8581-E614CB144DF1}" name="Inputtyp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3D3F8F-8705-45CE-B7B0-040F8C2BA783}" name="Table2" displayName="Table2" ref="E1:H98" totalsRowShown="0">
  <autoFilter ref="E1:H98" xr:uid="{D0D6717D-3C2E-4AAB-A9B8-F80EC9FA1B36}"/>
  <sortState xmlns:xlrd2="http://schemas.microsoft.com/office/spreadsheetml/2017/richdata2" ref="E2:H98">
    <sortCondition ref="E1:E98"/>
  </sortState>
  <tableColumns count="4">
    <tableColumn id="1" xr3:uid="{AAEED96A-2933-4EFA-B6F4-DFBF34615712}" name="Råvare"/>
    <tableColumn id="2" xr3:uid="{527AFB35-C959-45C6-A70D-E7802F88FE7B}" name="Enhed"/>
    <tableColumn id="3" xr3:uid="{81A14CFF-2E20-4968-8177-BB2492782EA0}" name="Direkte input til model"/>
    <tableColumn id="4" xr3:uid="{2313238C-DDB6-4920-831F-9074444FAEC9}" name="Column1" dataDxfId="0">
      <calculatedColumnFormula>IF(COUNTIF('Processer - data'!$D:$F,Table2[[#This Row],[Råvare]])&gt;0,TRUE,FALSE)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s://dce2.au.dk/pub/SR318.pdf" TargetMode="External"/><Relationship Id="rId1" Type="http://schemas.openxmlformats.org/officeDocument/2006/relationships/hyperlink" Target="http://web.agrsci.dk/djfpublikation/djfpdf/DCArapport130.pdf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8179-EB3E-4E04-8CD1-8A519336CF7B}">
  <sheetPr codeName="Sheet1">
    <tabColor theme="4" tint="-0.499984740745262"/>
  </sheetPr>
  <dimension ref="A1:E32"/>
  <sheetViews>
    <sheetView workbookViewId="0">
      <selection activeCell="B7" sqref="B7"/>
    </sheetView>
  </sheetViews>
  <sheetFormatPr defaultColWidth="9.15625" defaultRowHeight="14.4" x14ac:dyDescent="0.55000000000000004"/>
  <cols>
    <col min="1" max="1" width="30.578125" style="1" bestFit="1" customWidth="1"/>
    <col min="2" max="2" width="42.26171875" style="1" bestFit="1" customWidth="1"/>
    <col min="3" max="3" width="9.15625" style="1" customWidth="1"/>
    <col min="4" max="4" width="13" style="1" customWidth="1"/>
    <col min="5" max="5" width="25.26171875" style="1" customWidth="1"/>
    <col min="6" max="6" width="24.68359375" style="1" customWidth="1"/>
    <col min="7" max="16384" width="9.15625" style="1"/>
  </cols>
  <sheetData>
    <row r="1" spans="1:5" ht="20.399999999999999" x14ac:dyDescent="0.75">
      <c r="A1" s="490" t="s">
        <v>0</v>
      </c>
      <c r="B1" s="490"/>
    </row>
    <row r="2" spans="1:5" ht="30" customHeight="1" x14ac:dyDescent="0.55000000000000004">
      <c r="A2" s="489" t="s">
        <v>776</v>
      </c>
      <c r="B2" s="489"/>
    </row>
    <row r="3" spans="1:5" x14ac:dyDescent="0.55000000000000004">
      <c r="A3" s="492" t="s">
        <v>6</v>
      </c>
      <c r="B3" s="492"/>
    </row>
    <row r="4" spans="1:5" ht="28.9" customHeight="1" x14ac:dyDescent="0.55000000000000004">
      <c r="A4" s="489" t="s">
        <v>894</v>
      </c>
      <c r="B4" s="489"/>
    </row>
    <row r="5" spans="1:5" x14ac:dyDescent="0.55000000000000004">
      <c r="A5" s="491" t="s">
        <v>775</v>
      </c>
      <c r="B5" s="491"/>
    </row>
    <row r="7" spans="1:5" x14ac:dyDescent="0.55000000000000004">
      <c r="A7" s="2" t="s">
        <v>1</v>
      </c>
      <c r="B7" s="3" t="s">
        <v>895</v>
      </c>
    </row>
    <row r="8" spans="1:5" x14ac:dyDescent="0.55000000000000004">
      <c r="A8" s="2" t="s">
        <v>2</v>
      </c>
      <c r="B8" s="1" t="str" cm="1">
        <f t="array" aca="1" ref="B8" ca="1">IF(ISERROR(INDIRECT(CONCATENATE("[",B7,".xlsx]","Overblik")&amp;"!$B$2")),"Åben scenariefil for at se beskrivelsen her",INDIRECT(CONCATENATE("[",B7,".xlsx]","Overblik")&amp;"!$B$2"))</f>
        <v>BAU-scenariet fra MFVM-projekt</v>
      </c>
    </row>
    <row r="9" spans="1:5" ht="29.5" customHeight="1" thickBot="1" x14ac:dyDescent="0.6">
      <c r="A9" s="489" t="s">
        <v>5</v>
      </c>
      <c r="B9" s="489"/>
    </row>
    <row r="10" spans="1:5" ht="14.7" thickTop="1" x14ac:dyDescent="0.55000000000000004">
      <c r="A10" s="373" t="s">
        <v>764</v>
      </c>
      <c r="B10" s="374" t="s">
        <v>297</v>
      </c>
      <c r="D10" s="406" t="s">
        <v>279</v>
      </c>
      <c r="E10" s="407"/>
    </row>
    <row r="11" spans="1:5" x14ac:dyDescent="0.55000000000000004">
      <c r="A11" s="375" t="s">
        <v>288</v>
      </c>
      <c r="B11" s="376" t="s">
        <v>765</v>
      </c>
      <c r="D11" s="408" t="s">
        <v>786</v>
      </c>
      <c r="E11" s="409" t="s">
        <v>280</v>
      </c>
    </row>
    <row r="12" spans="1:5" x14ac:dyDescent="0.55000000000000004">
      <c r="A12" s="375"/>
      <c r="B12" s="376" t="s">
        <v>4</v>
      </c>
      <c r="D12" s="408" t="s">
        <v>281</v>
      </c>
      <c r="E12" s="409" t="s">
        <v>282</v>
      </c>
    </row>
    <row r="13" spans="1:5" x14ac:dyDescent="0.55000000000000004">
      <c r="A13" s="377" t="s">
        <v>681</v>
      </c>
      <c r="B13" s="376" t="s">
        <v>766</v>
      </c>
      <c r="D13" s="408" t="s">
        <v>283</v>
      </c>
      <c r="E13" s="409" t="s">
        <v>284</v>
      </c>
    </row>
    <row r="14" spans="1:5" x14ac:dyDescent="0.55000000000000004">
      <c r="A14" s="375" t="s">
        <v>289</v>
      </c>
      <c r="B14" s="376" t="s">
        <v>767</v>
      </c>
      <c r="D14" s="408"/>
      <c r="E14" s="409"/>
    </row>
    <row r="15" spans="1:5" x14ac:dyDescent="0.55000000000000004">
      <c r="A15" s="375"/>
      <c r="B15" s="376"/>
      <c r="D15" s="410" t="s">
        <v>285</v>
      </c>
      <c r="E15" s="409"/>
    </row>
    <row r="16" spans="1:5" x14ac:dyDescent="0.55000000000000004">
      <c r="A16" s="377" t="s">
        <v>768</v>
      </c>
      <c r="B16" s="378" t="s">
        <v>769</v>
      </c>
      <c r="D16" s="408" t="s">
        <v>286</v>
      </c>
      <c r="E16" s="409"/>
    </row>
    <row r="17" spans="1:5" x14ac:dyDescent="0.55000000000000004">
      <c r="A17" s="375" t="s">
        <v>770</v>
      </c>
      <c r="B17" s="376" t="s">
        <v>771</v>
      </c>
      <c r="D17" s="408" t="s">
        <v>82</v>
      </c>
      <c r="E17" s="409"/>
    </row>
    <row r="18" spans="1:5" x14ac:dyDescent="0.55000000000000004">
      <c r="A18" s="375"/>
      <c r="B18" s="376"/>
      <c r="D18" s="408" t="s">
        <v>77</v>
      </c>
      <c r="E18" s="409"/>
    </row>
    <row r="19" spans="1:5" x14ac:dyDescent="0.55000000000000004">
      <c r="A19" s="377" t="s">
        <v>538</v>
      </c>
      <c r="B19" s="378" t="s">
        <v>36</v>
      </c>
      <c r="D19" s="408" t="s">
        <v>287</v>
      </c>
      <c r="E19" s="409"/>
    </row>
    <row r="20" spans="1:5" x14ac:dyDescent="0.55000000000000004">
      <c r="A20" s="375" t="s">
        <v>290</v>
      </c>
      <c r="B20" s="376" t="s">
        <v>772</v>
      </c>
      <c r="D20" s="408" t="s">
        <v>70</v>
      </c>
      <c r="E20" s="409"/>
    </row>
    <row r="21" spans="1:5" x14ac:dyDescent="0.55000000000000004">
      <c r="A21" s="375" t="s">
        <v>291</v>
      </c>
      <c r="B21" s="376"/>
      <c r="D21" s="408"/>
      <c r="E21" s="409"/>
    </row>
    <row r="22" spans="1:5" x14ac:dyDescent="0.55000000000000004">
      <c r="A22" s="375" t="s">
        <v>292</v>
      </c>
      <c r="B22" s="376"/>
      <c r="D22" s="410" t="s">
        <v>785</v>
      </c>
      <c r="E22" s="409"/>
    </row>
    <row r="23" spans="1:5" x14ac:dyDescent="0.55000000000000004">
      <c r="A23" s="375" t="s">
        <v>293</v>
      </c>
      <c r="B23" s="376"/>
      <c r="D23" s="408">
        <v>2019</v>
      </c>
      <c r="E23" s="409"/>
    </row>
    <row r="24" spans="1:5" x14ac:dyDescent="0.55000000000000004">
      <c r="A24" s="375" t="s">
        <v>773</v>
      </c>
      <c r="B24" s="376"/>
      <c r="D24" s="408">
        <v>2030</v>
      </c>
      <c r="E24" s="409"/>
    </row>
    <row r="25" spans="1:5" ht="14.7" thickBot="1" x14ac:dyDescent="0.6">
      <c r="A25" s="375" t="s">
        <v>774</v>
      </c>
      <c r="B25" s="376"/>
      <c r="D25" s="411">
        <v>2050</v>
      </c>
      <c r="E25" s="412"/>
    </row>
    <row r="26" spans="1:5" ht="14.7" thickTop="1" x14ac:dyDescent="0.55000000000000004">
      <c r="A26" s="375" t="s">
        <v>294</v>
      </c>
      <c r="B26" s="376"/>
    </row>
    <row r="27" spans="1:5" x14ac:dyDescent="0.55000000000000004">
      <c r="A27" s="375"/>
      <c r="B27" s="376"/>
    </row>
    <row r="28" spans="1:5" x14ac:dyDescent="0.55000000000000004">
      <c r="A28" s="377" t="s">
        <v>818</v>
      </c>
      <c r="B28" s="376"/>
    </row>
    <row r="29" spans="1:5" ht="14.7" thickBot="1" x14ac:dyDescent="0.6">
      <c r="A29" s="379" t="s">
        <v>3</v>
      </c>
      <c r="B29" s="380"/>
    </row>
    <row r="30" spans="1:5" ht="14.7" thickTop="1" x14ac:dyDescent="0.55000000000000004"/>
    <row r="32" spans="1:5" x14ac:dyDescent="0.55000000000000004">
      <c r="A32" s="2"/>
    </row>
  </sheetData>
  <mergeCells count="6">
    <mergeCell ref="A9:B9"/>
    <mergeCell ref="A1:B1"/>
    <mergeCell ref="A2:B2"/>
    <mergeCell ref="A5:B5"/>
    <mergeCell ref="A4:B4"/>
    <mergeCell ref="A3:B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B2767-000A-4BCC-AA7A-47421BF47247}">
  <sheetPr codeName="Sheet7">
    <tabColor theme="4" tint="-0.249977111117893"/>
  </sheetPr>
  <dimension ref="A1:O476"/>
  <sheetViews>
    <sheetView zoomScale="80" zoomScaleNormal="80" workbookViewId="0">
      <pane xSplit="3" ySplit="2" topLeftCell="D44" activePane="bottomRight" state="frozen"/>
      <selection activeCell="E2" sqref="E2:E66"/>
      <selection pane="topRight" activeCell="E2" sqref="E2:E66"/>
      <selection pane="bottomLeft" activeCell="E2" sqref="E2:E66"/>
      <selection pane="bottomRight" activeCell="I473" sqref="I473"/>
    </sheetView>
  </sheetViews>
  <sheetFormatPr defaultRowHeight="14.4" x14ac:dyDescent="0.55000000000000004"/>
  <cols>
    <col min="1" max="1" width="35.15625" bestFit="1" customWidth="1"/>
    <col min="2" max="2" width="22.68359375" bestFit="1" customWidth="1"/>
    <col min="3" max="3" width="14.26171875" bestFit="1" customWidth="1"/>
    <col min="4" max="4" width="23.41796875" bestFit="1" customWidth="1"/>
    <col min="5" max="5" width="7.68359375" bestFit="1" customWidth="1"/>
    <col min="6" max="6" width="21" bestFit="1" customWidth="1"/>
    <col min="7" max="7" width="19.41796875" bestFit="1" customWidth="1"/>
    <col min="8" max="8" width="14.26171875" bestFit="1" customWidth="1"/>
    <col min="9" max="9" width="12.15625" customWidth="1"/>
    <col min="10" max="10" width="13.578125" customWidth="1"/>
    <col min="11" max="11" width="55.83984375" customWidth="1"/>
    <col min="12" max="12" width="15.41796875" bestFit="1" customWidth="1"/>
    <col min="13" max="13" width="21" bestFit="1" customWidth="1"/>
    <col min="14" max="14" width="7.83984375" bestFit="1" customWidth="1"/>
    <col min="15" max="15" width="5" bestFit="1" customWidth="1"/>
  </cols>
  <sheetData>
    <row r="1" spans="1:11" x14ac:dyDescent="0.55000000000000004">
      <c r="A1" s="153"/>
      <c r="B1" s="154"/>
      <c r="C1" s="154"/>
      <c r="D1" s="154"/>
      <c r="E1" s="154"/>
      <c r="F1" s="154"/>
      <c r="G1" s="154"/>
      <c r="H1" s="493" t="s">
        <v>321</v>
      </c>
      <c r="I1" s="493"/>
      <c r="J1" s="493"/>
      <c r="K1" s="155"/>
    </row>
    <row r="2" spans="1:11" ht="14.7" thickBot="1" x14ac:dyDescent="0.6">
      <c r="A2" s="156" t="s">
        <v>20</v>
      </c>
      <c r="B2" s="151" t="s">
        <v>340</v>
      </c>
      <c r="C2" s="151" t="s">
        <v>346</v>
      </c>
      <c r="D2" s="151" t="s">
        <v>295</v>
      </c>
      <c r="E2" s="151" t="s">
        <v>315</v>
      </c>
      <c r="F2" s="151" t="s">
        <v>296</v>
      </c>
      <c r="G2" s="151" t="s">
        <v>315</v>
      </c>
      <c r="H2" s="151">
        <f>År1</f>
        <v>2019</v>
      </c>
      <c r="I2" s="151">
        <f>År2</f>
        <v>2030</v>
      </c>
      <c r="J2" s="151">
        <f>År3</f>
        <v>2050</v>
      </c>
      <c r="K2" s="157" t="s">
        <v>67</v>
      </c>
    </row>
    <row r="3" spans="1:11" ht="14.7" thickBot="1" x14ac:dyDescent="0.6">
      <c r="A3" s="158" t="s">
        <v>21</v>
      </c>
      <c r="B3" s="178"/>
      <c r="C3" s="178"/>
      <c r="D3" s="159" t="s">
        <v>297</v>
      </c>
      <c r="E3" s="159" t="str">
        <f>IFERROR(VLOOKUP(D3,Table2[],2,FALSE),"")</f>
        <v>Antal</v>
      </c>
      <c r="F3" s="159" t="s">
        <v>502</v>
      </c>
      <c r="G3" s="159" t="str">
        <f>IFERROR(VLOOKUP(F3,Table2[],2,FALSE),"")</f>
        <v>Ton</v>
      </c>
      <c r="H3" s="174">
        <f>'Produktion af spildevand'!B4</f>
        <v>1.1893449129763534</v>
      </c>
      <c r="I3" s="174">
        <f>'Produktion af spildevand'!C4</f>
        <v>1.1893449129763534</v>
      </c>
      <c r="J3" s="174">
        <f>'Produktion af spildevand'!D4</f>
        <v>1.1893449129763534</v>
      </c>
      <c r="K3" s="329"/>
    </row>
    <row r="4" spans="1:11" x14ac:dyDescent="0.55000000000000004">
      <c r="A4" s="260" t="s">
        <v>22</v>
      </c>
      <c r="B4" s="261"/>
      <c r="C4" s="261"/>
      <c r="D4" s="262" t="s">
        <v>297</v>
      </c>
      <c r="E4" s="262" t="str">
        <f>IFERROR(VLOOKUP(D4,Table2[],2,FALSE),"")</f>
        <v>Antal</v>
      </c>
      <c r="F4" s="262" t="s">
        <v>322</v>
      </c>
      <c r="G4" s="262" t="str">
        <f>IFERROR(VLOOKUP(F4,Table2[],2,FALSE),"")</f>
        <v>Ton</v>
      </c>
      <c r="H4" s="263">
        <f ca="1">Affald!B4/Befolkningstal!B$4</f>
        <v>6.1775632396189835E-2</v>
      </c>
      <c r="I4" s="263">
        <f ca="1">Affald!C4/Befolkningstal!C$4</f>
        <v>6.0231309915508513E-2</v>
      </c>
      <c r="J4" s="263">
        <f ca="1">Affald!D4/Befolkningstal!D$4</f>
        <v>5.8684951731790655E-2</v>
      </c>
      <c r="K4" s="264"/>
    </row>
    <row r="5" spans="1:11" x14ac:dyDescent="0.55000000000000004">
      <c r="A5" s="437" t="s">
        <v>22</v>
      </c>
      <c r="B5" s="185"/>
      <c r="C5" s="185"/>
      <c r="D5" s="146" t="s">
        <v>297</v>
      </c>
      <c r="E5" s="146" t="str">
        <f>IFERROR(VLOOKUP(D5,Table2[],2,FALSE),"")</f>
        <v>Antal</v>
      </c>
      <c r="F5" s="146" t="s">
        <v>527</v>
      </c>
      <c r="G5" s="146" t="str">
        <f>IFERROR(VLOOKUP(F5,Table2[],2,FALSE),"")</f>
        <v>Ton</v>
      </c>
      <c r="H5" s="168">
        <f>Affald!B5/Befolkningstal!B$4</f>
        <v>0.1692723542782128</v>
      </c>
      <c r="I5" s="168">
        <f>Affald!C5/Befolkningstal!C$4</f>
        <v>0.16262827253720452</v>
      </c>
      <c r="J5" s="168">
        <f>Affald!D5/Befolkningstal!D$4</f>
        <v>0.15597543266598424</v>
      </c>
      <c r="K5" s="147"/>
    </row>
    <row r="6" spans="1:11" ht="14.7" thickBot="1" x14ac:dyDescent="0.6">
      <c r="A6" s="152" t="s">
        <v>22</v>
      </c>
      <c r="B6" s="179"/>
      <c r="C6" s="179"/>
      <c r="D6" s="202" t="s">
        <v>297</v>
      </c>
      <c r="E6" s="148" t="str">
        <f>IFERROR(VLOOKUP(D6,Table2[],2,FALSE),"")</f>
        <v>Antal</v>
      </c>
      <c r="F6" s="148" t="s">
        <v>41</v>
      </c>
      <c r="G6" s="148" t="str">
        <f>IFERROR(VLOOKUP(F6,Table2[],2,FALSE),"")</f>
        <v>Ton</v>
      </c>
      <c r="H6" s="177">
        <f>Affald!B6/Befolkningstal!B$4</f>
        <v>6.1145891695276039E-2</v>
      </c>
      <c r="I6" s="177">
        <f>Affald!C6/Befolkningstal!C$4</f>
        <v>5.8745864211269205E-2</v>
      </c>
      <c r="J6" s="177">
        <f>Affald!D6/Befolkningstal!D$4</f>
        <v>5.6342673046555734E-2</v>
      </c>
      <c r="K6" s="149"/>
    </row>
    <row r="7" spans="1:11" ht="14.7" thickTop="1" x14ac:dyDescent="0.55000000000000004">
      <c r="A7" s="186" t="s">
        <v>23</v>
      </c>
      <c r="B7" s="183"/>
      <c r="C7" s="183"/>
      <c r="D7" s="144" t="s">
        <v>298</v>
      </c>
      <c r="E7" s="144" t="str">
        <f>IFERROR(VLOOKUP(D7,Table2[],2,FALSE),"")</f>
        <v>Hektar</v>
      </c>
      <c r="F7" s="144" t="s">
        <v>311</v>
      </c>
      <c r="G7" s="144" t="str">
        <f>IFERROR(VLOOKUP(F7,Table2[],2,FALSE),"")</f>
        <v>Ton</v>
      </c>
      <c r="H7" s="176">
        <f>8801/4409</f>
        <v>1.9961442503969153</v>
      </c>
      <c r="I7" s="176">
        <f>8801/4409</f>
        <v>1.9961442503969153</v>
      </c>
      <c r="J7" s="176">
        <f>8801/4409</f>
        <v>1.9961442503969153</v>
      </c>
      <c r="K7" s="350" t="s">
        <v>731</v>
      </c>
    </row>
    <row r="8" spans="1:11" ht="14.7" thickBot="1" x14ac:dyDescent="0.6">
      <c r="A8" s="187" t="s">
        <v>23</v>
      </c>
      <c r="B8" s="185"/>
      <c r="C8" s="185"/>
      <c r="D8" t="s">
        <v>298</v>
      </c>
      <c r="E8" s="146" t="str">
        <f>IFERROR(VLOOKUP(D8,Table2[],2,FALSE),"")</f>
        <v>Hektar</v>
      </c>
      <c r="F8" s="146" t="s">
        <v>344</v>
      </c>
      <c r="G8" s="146" t="str">
        <f>IFERROR(VLOOKUP(F8,Table2[],2,FALSE),"")</f>
        <v>t CO2-ækvivalenter</v>
      </c>
      <c r="H8" s="168">
        <f>-162*H7/1000</f>
        <v>-0.32337536856430027</v>
      </c>
      <c r="I8" s="168">
        <f t="shared" ref="I8:J8" si="0">-162*I7/1000</f>
        <v>-0.32337536856430027</v>
      </c>
      <c r="J8" s="168">
        <f t="shared" si="0"/>
        <v>-0.32337536856430027</v>
      </c>
      <c r="K8" s="227" t="s">
        <v>403</v>
      </c>
    </row>
    <row r="9" spans="1:11" ht="14.7" thickTop="1" x14ac:dyDescent="0.55000000000000004">
      <c r="A9" s="186" t="s">
        <v>24</v>
      </c>
      <c r="B9" s="183"/>
      <c r="C9" s="183"/>
      <c r="D9" s="144" t="s">
        <v>299</v>
      </c>
      <c r="E9" s="144" t="str">
        <f>IFERROR(VLOOKUP(D9,Table2[],2,FALSE),"")</f>
        <v>Hektar</v>
      </c>
      <c r="F9" s="144" t="s">
        <v>310</v>
      </c>
      <c r="G9" s="144" t="str">
        <f>IFERROR(VLOOKUP(F9,Table2[],2,FALSE),"")</f>
        <v>Ton</v>
      </c>
      <c r="H9" s="144">
        <f>4.5</f>
        <v>4.5</v>
      </c>
      <c r="I9" s="144">
        <f>4.5*5</f>
        <v>22.5</v>
      </c>
      <c r="J9" s="144">
        <f>4.5*5</f>
        <v>22.5</v>
      </c>
      <c r="K9" s="145" t="s">
        <v>730</v>
      </c>
    </row>
    <row r="10" spans="1:11" ht="14.7" thickBot="1" x14ac:dyDescent="0.6">
      <c r="A10" s="187" t="s">
        <v>24</v>
      </c>
      <c r="B10" s="185"/>
      <c r="C10" s="185"/>
      <c r="D10" s="146" t="s">
        <v>299</v>
      </c>
      <c r="E10" s="146" t="str">
        <f>IFERROR(VLOOKUP(D10,Table2[],2,FALSE),"")</f>
        <v>Hektar</v>
      </c>
      <c r="F10" s="146" t="s">
        <v>344</v>
      </c>
      <c r="G10" s="146" t="str">
        <f>IFERROR(VLOOKUP(F10,Table2[],2,FALSE),"")</f>
        <v>t CO2-ækvivalenter</v>
      </c>
      <c r="H10" s="146">
        <v>-0.93300000000000005</v>
      </c>
      <c r="I10" s="146">
        <v>-0.93300000000000005</v>
      </c>
      <c r="J10" s="146">
        <v>-0.93300000000000005</v>
      </c>
      <c r="K10" s="149" t="s">
        <v>404</v>
      </c>
    </row>
    <row r="11" spans="1:11" ht="14.7" thickTop="1" x14ac:dyDescent="0.55000000000000004">
      <c r="A11" s="186" t="s">
        <v>554</v>
      </c>
      <c r="B11" s="183"/>
      <c r="C11" s="183" t="s">
        <v>555</v>
      </c>
      <c r="D11" s="144" t="s">
        <v>581</v>
      </c>
      <c r="E11" s="144" t="str">
        <f>IFERROR(VLOOKUP(D11,Table2[],2,FALSE),"")</f>
        <v>Hektar</v>
      </c>
      <c r="F11" s="144" t="s">
        <v>553</v>
      </c>
      <c r="G11" s="144" t="str">
        <f>IFERROR(VLOOKUP(F11,Table2[],2,FALSE),"")</f>
        <v>m3</v>
      </c>
      <c r="H11" s="176">
        <f>Hugst!$G$4*(1-Hugst!$G$5)</f>
        <v>3.0688037792986753</v>
      </c>
      <c r="I11" s="176">
        <f>Hugst!$G$4*(1-Hugst!$G$5)</f>
        <v>3.0688037792986753</v>
      </c>
      <c r="J11" s="176">
        <f>Hugst!$G$4*(1-Hugst!$G$5)</f>
        <v>3.0688037792986753</v>
      </c>
      <c r="K11" s="145"/>
    </row>
    <row r="12" spans="1:11" x14ac:dyDescent="0.55000000000000004">
      <c r="A12" s="187" t="s">
        <v>554</v>
      </c>
      <c r="B12" s="185"/>
      <c r="C12" s="185" t="s">
        <v>555</v>
      </c>
      <c r="D12" s="146" t="s">
        <v>581</v>
      </c>
      <c r="E12" s="146" t="str">
        <f>IFERROR(VLOOKUP(D12,Table2[],2,FALSE),"")</f>
        <v>Hektar</v>
      </c>
      <c r="F12" s="150" t="s">
        <v>405</v>
      </c>
      <c r="G12" s="146" t="str">
        <f>IFERROR(VLOOKUP(F12,Table2[],2,FALSE),"")</f>
        <v>m3</v>
      </c>
      <c r="H12" s="168">
        <f>Hugst!$G$4*Hugst!$G$5</f>
        <v>3.7614715316941885</v>
      </c>
      <c r="I12" s="168">
        <f>Hugst!$G$4*Hugst!$G$5</f>
        <v>3.7614715316941885</v>
      </c>
      <c r="J12" s="168">
        <f>Hugst!$G$4*Hugst!$G$5</f>
        <v>3.7614715316941885</v>
      </c>
      <c r="K12" s="147"/>
    </row>
    <row r="13" spans="1:11" ht="14.7" thickBot="1" x14ac:dyDescent="0.6">
      <c r="A13" s="187" t="s">
        <v>554</v>
      </c>
      <c r="B13" s="185"/>
      <c r="C13" s="185" t="s">
        <v>555</v>
      </c>
      <c r="D13" s="146" t="s">
        <v>581</v>
      </c>
      <c r="E13" s="146" t="str">
        <f>IFERROR(VLOOKUP(D13,Table2[],2,FALSE),"")</f>
        <v>Hektar</v>
      </c>
      <c r="F13" s="146" t="s">
        <v>344</v>
      </c>
      <c r="G13" s="146" t="str">
        <f>IFERROR(VLOOKUP(F13,Table2[],2,FALSE),"")</f>
        <v>t CO2-ækvivalenter</v>
      </c>
      <c r="H13" s="146">
        <f>-'Kulstofoptag, skov'!$I$2</f>
        <v>-1</v>
      </c>
      <c r="I13" s="146">
        <f>-'Kulstofoptag, skov'!$I$2</f>
        <v>-1</v>
      </c>
      <c r="J13" s="146">
        <f>-'Kulstofoptag, skov'!$I$2</f>
        <v>-1</v>
      </c>
      <c r="K13" s="147"/>
    </row>
    <row r="14" spans="1:11" ht="14.7" thickTop="1" x14ac:dyDescent="0.55000000000000004">
      <c r="A14" s="186" t="s">
        <v>554</v>
      </c>
      <c r="B14" s="183"/>
      <c r="C14" s="183" t="s">
        <v>556</v>
      </c>
      <c r="D14" s="144" t="s">
        <v>561</v>
      </c>
      <c r="E14" s="144" t="str">
        <f>IFERROR(VLOOKUP(D14,Table2[],2,FALSE),"")</f>
        <v>Hektar</v>
      </c>
      <c r="F14" s="144" t="s">
        <v>553</v>
      </c>
      <c r="G14" s="144" t="str">
        <f>IFERROR(VLOOKUP(F14,Table2[],2,FALSE),"")</f>
        <v>m3</v>
      </c>
      <c r="H14" s="318">
        <f>SUMIFS(IF(VALUE(RIGHT('Processer - data'!$D14,2))=10,Hugst!$C$4:$C$15,IF(VALUE(RIGHT('Processer - data'!$D14,2))=20,Hugst!$D$4:$D$15,IF(VALUE(RIGHT('Processer - data'!$D14,2))=30,Hugst!$E$4:$E$15,Hugst!$F$4:$F$15))),Hugst!$A$4:$A$15,'Processer - data'!$C14,Hugst!$B$4:$B$15,'Processer - data'!$F14)</f>
        <v>0</v>
      </c>
      <c r="I14" s="318">
        <f>SUMIFS(IF(VALUE(RIGHT('Processer - data'!$D14,2))=10,Hugst!$C$4:$C$15,IF(VALUE(RIGHT('Processer - data'!$D14,2))=20,Hugst!$D$4:$D$15,IF(VALUE(RIGHT('Processer - data'!$D14,2))=30,Hugst!$E$4:$E$15,Hugst!$F$4:$F$15))),Hugst!$A$4:$A$15,'Processer - data'!$C14,Hugst!$B$4:$B$15,'Processer - data'!$F14)</f>
        <v>0</v>
      </c>
      <c r="J14" s="318">
        <f>SUMIFS(IF(VALUE(RIGHT('Processer - data'!$D14,2))=10,Hugst!$C$4:$C$15,IF(VALUE(RIGHT('Processer - data'!$D14,2))=20,Hugst!$D$4:$D$15,IF(VALUE(RIGHT('Processer - data'!$D14,2))=30,Hugst!$E$4:$E$15,Hugst!$F$4:$F$15))),Hugst!$A$4:$A$15,'Processer - data'!$C14,Hugst!$B$4:$B$15,'Processer - data'!$F14)</f>
        <v>0</v>
      </c>
      <c r="K14" s="145"/>
    </row>
    <row r="15" spans="1:11" x14ac:dyDescent="0.55000000000000004">
      <c r="A15" s="187" t="s">
        <v>554</v>
      </c>
      <c r="B15" s="185"/>
      <c r="C15" s="185" t="s">
        <v>556</v>
      </c>
      <c r="D15" s="146" t="s">
        <v>561</v>
      </c>
      <c r="E15" s="146" t="str">
        <f>IFERROR(VLOOKUP(D15,Table2[],2,FALSE),"")</f>
        <v>Hektar</v>
      </c>
      <c r="F15" s="150" t="s">
        <v>405</v>
      </c>
      <c r="G15" s="146" t="str">
        <f>IFERROR(VLOOKUP(F15,Table2[],2,FALSE),"")</f>
        <v>m3</v>
      </c>
      <c r="H15" s="317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I15" s="317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J15" s="317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K15" s="147"/>
    </row>
    <row r="16" spans="1:11" x14ac:dyDescent="0.55000000000000004">
      <c r="A16" s="187" t="s">
        <v>554</v>
      </c>
      <c r="B16" s="185"/>
      <c r="C16" s="185" t="s">
        <v>556</v>
      </c>
      <c r="D16" s="146" t="s">
        <v>561</v>
      </c>
      <c r="E16" s="146" t="str">
        <f>IFERROR(VLOOKUP(D16,Table2[],2,FALSE),"")</f>
        <v>Hektar</v>
      </c>
      <c r="F16" s="146" t="s">
        <v>344</v>
      </c>
      <c r="G16" s="146" t="str">
        <f>IFERROR(VLOOKUP(F16,Table2[],2,FALSE),"")</f>
        <v>t CO2-ækvivalenter</v>
      </c>
      <c r="H16" s="317">
        <f>-VLOOKUP($C16,'Kulstofoptag, skov'!$B$2:$I$13,MATCH(VALUE(RIGHT('Processer - data'!$D16,2)),'Kulstofoptag, skov'!$B$1:$I$1,0),FALSE)</f>
        <v>-2.5</v>
      </c>
      <c r="I16" s="317">
        <f>-VLOOKUP($C16,'Kulstofoptag, skov'!$B$2:$I$13,MATCH(VALUE(RIGHT('Processer - data'!$D16,2)),'Kulstofoptag, skov'!$B$1:$I$1,0),FALSE)</f>
        <v>-2.5</v>
      </c>
      <c r="J16" s="317">
        <f>-VLOOKUP($C16,'Kulstofoptag, skov'!$B$2:$I$13,MATCH(VALUE(RIGHT('Processer - data'!$D16,2)),'Kulstofoptag, skov'!$B$1:$I$1,0),FALSE)</f>
        <v>-2.5</v>
      </c>
      <c r="K16" s="147"/>
    </row>
    <row r="17" spans="1:11" x14ac:dyDescent="0.55000000000000004">
      <c r="A17" s="187" t="s">
        <v>554</v>
      </c>
      <c r="B17" s="185"/>
      <c r="C17" s="185" t="s">
        <v>556</v>
      </c>
      <c r="D17" s="146" t="s">
        <v>562</v>
      </c>
      <c r="E17" s="146" t="str">
        <f>IFERROR(VLOOKUP(D17,Table2[],2,FALSE),"")</f>
        <v>Hektar</v>
      </c>
      <c r="F17" s="146" t="s">
        <v>553</v>
      </c>
      <c r="G17" s="146" t="str">
        <f>IFERROR(VLOOKUP(F17,Table2[],2,FALSE),"")</f>
        <v>m3</v>
      </c>
      <c r="H17" s="317">
        <f>SUMIFS(IF(VALUE(RIGHT('Processer - data'!$D17,2))=10,Hugst!$C$4:$C$15,IF(VALUE(RIGHT('Processer - data'!$D17,2))=20,Hugst!$D$4:$D$15,IF(VALUE(RIGHT('Processer - data'!$D17,2))=30,Hugst!$E$4:$E$15,Hugst!$F$4:$F$15))),Hugst!$A$4:$A$15,'Processer - data'!$C17,Hugst!$B$4:$B$15,'Processer - data'!$F17)</f>
        <v>0</v>
      </c>
      <c r="I17" s="317">
        <f>SUMIFS(IF(VALUE(RIGHT('Processer - data'!$D17,2))=10,Hugst!$C$4:$C$15,IF(VALUE(RIGHT('Processer - data'!$D17,2))=20,Hugst!$D$4:$D$15,IF(VALUE(RIGHT('Processer - data'!$D17,2))=30,Hugst!$E$4:$E$15,Hugst!$F$4:$F$15))),Hugst!$A$4:$A$15,'Processer - data'!$C17,Hugst!$B$4:$B$15,'Processer - data'!$F17)</f>
        <v>0</v>
      </c>
      <c r="J17" s="317">
        <f>SUMIFS(IF(VALUE(RIGHT('Processer - data'!$D17,2))=10,Hugst!$C$4:$C$15,IF(VALUE(RIGHT('Processer - data'!$D17,2))=20,Hugst!$D$4:$D$15,IF(VALUE(RIGHT('Processer - data'!$D17,2))=30,Hugst!$E$4:$E$15,Hugst!$F$4:$F$15))),Hugst!$A$4:$A$15,'Processer - data'!$C17,Hugst!$B$4:$B$15,'Processer - data'!$F17)</f>
        <v>0</v>
      </c>
      <c r="K17" s="147"/>
    </row>
    <row r="18" spans="1:11" x14ac:dyDescent="0.55000000000000004">
      <c r="A18" s="187" t="s">
        <v>554</v>
      </c>
      <c r="B18" s="185"/>
      <c r="C18" s="185" t="s">
        <v>556</v>
      </c>
      <c r="D18" s="146" t="s">
        <v>562</v>
      </c>
      <c r="E18" s="146" t="str">
        <f>IFERROR(VLOOKUP(D18,Table2[],2,FALSE),"")</f>
        <v>Hektar</v>
      </c>
      <c r="F18" s="146" t="s">
        <v>405</v>
      </c>
      <c r="G18" s="146" t="str">
        <f>IFERROR(VLOOKUP(F18,Table2[],2,FALSE),"")</f>
        <v>m3</v>
      </c>
      <c r="H18" s="317">
        <f>SUMIFS(IF(VALUE(RIGHT('Processer - data'!$D18,2))=10,Hugst!$C$4:$C$15,IF(VALUE(RIGHT('Processer - data'!$D18,2))=20,Hugst!$D$4:$D$15,IF(VALUE(RIGHT('Processer - data'!$D18,2))=30,Hugst!$E$4:$E$15,Hugst!$F$4:$F$15))),Hugst!$A$4:$A$15,'Processer - data'!$C18,Hugst!$B$4:$B$15,'Processer - data'!$F18)</f>
        <v>0</v>
      </c>
      <c r="I18" s="317">
        <f>SUMIFS(IF(VALUE(RIGHT('Processer - data'!$D18,2))=10,Hugst!$C$4:$C$15,IF(VALUE(RIGHT('Processer - data'!$D18,2))=20,Hugst!$D$4:$D$15,IF(VALUE(RIGHT('Processer - data'!$D18,2))=30,Hugst!$E$4:$E$15,Hugst!$F$4:$F$15))),Hugst!$A$4:$A$15,'Processer - data'!$C18,Hugst!$B$4:$B$15,'Processer - data'!$F18)</f>
        <v>0</v>
      </c>
      <c r="J18" s="317">
        <f>SUMIFS(IF(VALUE(RIGHT('Processer - data'!$D18,2))=10,Hugst!$C$4:$C$15,IF(VALUE(RIGHT('Processer - data'!$D18,2))=20,Hugst!$D$4:$D$15,IF(VALUE(RIGHT('Processer - data'!$D18,2))=30,Hugst!$E$4:$E$15,Hugst!$F$4:$F$15))),Hugst!$A$4:$A$15,'Processer - data'!$C18,Hugst!$B$4:$B$15,'Processer - data'!$F18)</f>
        <v>0</v>
      </c>
      <c r="K18" s="147"/>
    </row>
    <row r="19" spans="1:11" x14ac:dyDescent="0.55000000000000004">
      <c r="A19" s="187" t="s">
        <v>554</v>
      </c>
      <c r="B19" s="185"/>
      <c r="C19" s="185" t="s">
        <v>556</v>
      </c>
      <c r="D19" s="146" t="s">
        <v>562</v>
      </c>
      <c r="E19" s="146" t="str">
        <f>IFERROR(VLOOKUP(D19,Table2[],2,FALSE),"")</f>
        <v>Hektar</v>
      </c>
      <c r="F19" s="146" t="s">
        <v>344</v>
      </c>
      <c r="G19" s="146" t="str">
        <f>IFERROR(VLOOKUP(F19,Table2[],2,FALSE),"")</f>
        <v>t CO2-ækvivalenter</v>
      </c>
      <c r="H19" s="317">
        <f>-VLOOKUP($C19,'Kulstofoptag, skov'!$B$2:$I$13,MATCH(VALUE(RIGHT('Processer - data'!$D19,2)),'Kulstofoptag, skov'!$B$1:$I$1,0),FALSE)</f>
        <v>-5.5</v>
      </c>
      <c r="I19" s="317">
        <f>-VLOOKUP($C19,'Kulstofoptag, skov'!$B$2:$I$13,MATCH(VALUE(RIGHT('Processer - data'!$D19,2)),'Kulstofoptag, skov'!$B$1:$I$1,0),FALSE)</f>
        <v>-5.5</v>
      </c>
      <c r="J19" s="317">
        <f>-VLOOKUP($C19,'Kulstofoptag, skov'!$B$2:$I$13,MATCH(VALUE(RIGHT('Processer - data'!$D19,2)),'Kulstofoptag, skov'!$B$1:$I$1,0),FALSE)</f>
        <v>-5.5</v>
      </c>
      <c r="K19" s="147"/>
    </row>
    <row r="20" spans="1:11" x14ac:dyDescent="0.55000000000000004">
      <c r="A20" s="187" t="s">
        <v>554</v>
      </c>
      <c r="B20" s="185"/>
      <c r="C20" s="185" t="s">
        <v>556</v>
      </c>
      <c r="D20" s="146" t="s">
        <v>563</v>
      </c>
      <c r="E20" s="146" t="str">
        <f>IFERROR(VLOOKUP(D20,Table2[],2,FALSE),"")</f>
        <v>Hektar</v>
      </c>
      <c r="F20" s="146" t="s">
        <v>553</v>
      </c>
      <c r="G20" s="146" t="str">
        <f>IFERROR(VLOOKUP(F20,Table2[],2,FALSE),"")</f>
        <v>m3</v>
      </c>
      <c r="H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I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J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K20" s="147"/>
    </row>
    <row r="21" spans="1:11" x14ac:dyDescent="0.55000000000000004">
      <c r="A21" s="187" t="s">
        <v>554</v>
      </c>
      <c r="B21" s="185"/>
      <c r="C21" s="185" t="s">
        <v>556</v>
      </c>
      <c r="D21" s="146" t="s">
        <v>563</v>
      </c>
      <c r="E21" s="146" t="str">
        <f>IFERROR(VLOOKUP(D21,Table2[],2,FALSE),"")</f>
        <v>Hektar</v>
      </c>
      <c r="F21" s="146" t="s">
        <v>405</v>
      </c>
      <c r="G21" s="146" t="str">
        <f>IFERROR(VLOOKUP(F21,Table2[],2,FALSE),"")</f>
        <v>m3</v>
      </c>
      <c r="H21" s="317">
        <f>SUMIFS(IF(VALUE(RIGHT('Processer - data'!$D21,2))=10,Hugst!$C$4:$C$15,IF(VALUE(RIGHT('Processer - data'!$D21,2))=20,Hugst!$D$4:$D$15,IF(VALUE(RIGHT('Processer - data'!$D21,2))=30,Hugst!$E$4:$E$15,Hugst!$F$4:$F$15))),Hugst!$A$4:$A$15,'Processer - data'!$C21,Hugst!$B$4:$B$15,'Processer - data'!$F21)</f>
        <v>0</v>
      </c>
      <c r="I21" s="317">
        <f>SUMIFS(IF(VALUE(RIGHT('Processer - data'!$D21,2))=10,Hugst!$C$4:$C$15,IF(VALUE(RIGHT('Processer - data'!$D21,2))=20,Hugst!$D$4:$D$15,IF(VALUE(RIGHT('Processer - data'!$D21,2))=30,Hugst!$E$4:$E$15,Hugst!$F$4:$F$15))),Hugst!$A$4:$A$15,'Processer - data'!$C21,Hugst!$B$4:$B$15,'Processer - data'!$F21)</f>
        <v>0</v>
      </c>
      <c r="J21" s="317">
        <f>SUMIFS(IF(VALUE(RIGHT('Processer - data'!$D21,2))=10,Hugst!$C$4:$C$15,IF(VALUE(RIGHT('Processer - data'!$D21,2))=20,Hugst!$D$4:$D$15,IF(VALUE(RIGHT('Processer - data'!$D21,2))=30,Hugst!$E$4:$E$15,Hugst!$F$4:$F$15))),Hugst!$A$4:$A$15,'Processer - data'!$C21,Hugst!$B$4:$B$15,'Processer - data'!$F21)</f>
        <v>0</v>
      </c>
      <c r="K21" s="147"/>
    </row>
    <row r="22" spans="1:11" x14ac:dyDescent="0.55000000000000004">
      <c r="A22" s="187" t="s">
        <v>554</v>
      </c>
      <c r="B22" s="185"/>
      <c r="C22" s="185" t="s">
        <v>556</v>
      </c>
      <c r="D22" s="146" t="s">
        <v>563</v>
      </c>
      <c r="E22" s="146" t="str">
        <f>IFERROR(VLOOKUP(D22,Table2[],2,FALSE),"")</f>
        <v>Hektar</v>
      </c>
      <c r="F22" s="146" t="s">
        <v>344</v>
      </c>
      <c r="G22" s="146" t="str">
        <f>IFERROR(VLOOKUP(F22,Table2[],2,FALSE),"")</f>
        <v>t CO2-ækvivalenter</v>
      </c>
      <c r="H22" s="317">
        <f>-VLOOKUP($C22,'Kulstofoptag, skov'!$B$2:$I$13,MATCH(VALUE(RIGHT('Processer - data'!$D22,2)),'Kulstofoptag, skov'!$B$1:$I$1,0),FALSE)</f>
        <v>-14</v>
      </c>
      <c r="I22" s="317">
        <f>-VLOOKUP($C22,'Kulstofoptag, skov'!$B$2:$I$13,MATCH(VALUE(RIGHT('Processer - data'!$D22,2)),'Kulstofoptag, skov'!$B$1:$I$1,0),FALSE)</f>
        <v>-14</v>
      </c>
      <c r="J22" s="317">
        <f>-VLOOKUP($C22,'Kulstofoptag, skov'!$B$2:$I$13,MATCH(VALUE(RIGHT('Processer - data'!$D22,2)),'Kulstofoptag, skov'!$B$1:$I$1,0),FALSE)</f>
        <v>-14</v>
      </c>
      <c r="K22" s="147"/>
    </row>
    <row r="23" spans="1:11" x14ac:dyDescent="0.55000000000000004">
      <c r="A23" s="187" t="s">
        <v>554</v>
      </c>
      <c r="B23" s="185"/>
      <c r="C23" s="185" t="s">
        <v>556</v>
      </c>
      <c r="D23" s="146" t="s">
        <v>564</v>
      </c>
      <c r="E23" s="146" t="str">
        <f>IFERROR(VLOOKUP(D23,Table2[],2,FALSE),"")</f>
        <v>Hektar</v>
      </c>
      <c r="F23" s="146" t="s">
        <v>553</v>
      </c>
      <c r="G23" s="146" t="str">
        <f>IFERROR(VLOOKUP(F23,Table2[],2,FALSE),"")</f>
        <v>m3</v>
      </c>
      <c r="H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1.9091716555549518</v>
      </c>
      <c r="I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1.9091716555549518</v>
      </c>
      <c r="J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1.9091716555549518</v>
      </c>
      <c r="K23" s="147"/>
    </row>
    <row r="24" spans="1:11" x14ac:dyDescent="0.55000000000000004">
      <c r="A24" s="187" t="s">
        <v>554</v>
      </c>
      <c r="B24" s="185"/>
      <c r="C24" s="185" t="s">
        <v>556</v>
      </c>
      <c r="D24" s="146" t="s">
        <v>564</v>
      </c>
      <c r="E24" s="146" t="str">
        <f>IFERROR(VLOOKUP(D24,Table2[],2,FALSE),"")</f>
        <v>Hektar</v>
      </c>
      <c r="F24" s="146" t="s">
        <v>405</v>
      </c>
      <c r="G24" s="146" t="str">
        <f>IFERROR(VLOOKUP(F24,Table2[],2,FALSE),"")</f>
        <v>m3</v>
      </c>
      <c r="H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0.99732847678243752</v>
      </c>
      <c r="I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0.99732847678243752</v>
      </c>
      <c r="J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0.99732847678243752</v>
      </c>
      <c r="K24" s="147"/>
    </row>
    <row r="25" spans="1:11" ht="14.7" thickBot="1" x14ac:dyDescent="0.6">
      <c r="A25" s="187" t="s">
        <v>554</v>
      </c>
      <c r="B25" s="185"/>
      <c r="C25" s="185" t="s">
        <v>556</v>
      </c>
      <c r="D25" s="146" t="s">
        <v>564</v>
      </c>
      <c r="E25" s="146" t="str">
        <f>IFERROR(VLOOKUP(D25,Table2[],2,FALSE),"")</f>
        <v>Hektar</v>
      </c>
      <c r="F25" s="146" t="s">
        <v>344</v>
      </c>
      <c r="G25" s="146" t="str">
        <f>IFERROR(VLOOKUP(F25,Table2[],2,FALSE),"")</f>
        <v>t CO2-ækvivalenter</v>
      </c>
      <c r="H25" s="319">
        <f>-VLOOKUP($C25,'Kulstofoptag, skov'!$B$2:$I$13,MATCH(VALUE(RIGHT('Processer - data'!$D25,2)),'Kulstofoptag, skov'!$B$1:$I$1,0),FALSE)</f>
        <v>-14.5</v>
      </c>
      <c r="I25" s="319">
        <f>-VLOOKUP($C25,'Kulstofoptag, skov'!$B$2:$I$13,MATCH(VALUE(RIGHT('Processer - data'!$D25,2)),'Kulstofoptag, skov'!$B$1:$I$1,0),FALSE)</f>
        <v>-14.5</v>
      </c>
      <c r="J25" s="319">
        <f>-VLOOKUP($C25,'Kulstofoptag, skov'!$B$2:$I$13,MATCH(VALUE(RIGHT('Processer - data'!$D25,2)),'Kulstofoptag, skov'!$B$1:$I$1,0),FALSE)</f>
        <v>-14.5</v>
      </c>
      <c r="K25" s="147"/>
    </row>
    <row r="26" spans="1:11" ht="14.7" thickTop="1" x14ac:dyDescent="0.55000000000000004">
      <c r="A26" s="186" t="s">
        <v>554</v>
      </c>
      <c r="B26" s="183"/>
      <c r="C26" s="183" t="s">
        <v>557</v>
      </c>
      <c r="D26" s="144" t="s">
        <v>565</v>
      </c>
      <c r="E26" s="144" t="str">
        <f>IFERROR(VLOOKUP(D26,Table2[],2,FALSE),"")</f>
        <v>Hektar</v>
      </c>
      <c r="F26" s="144" t="s">
        <v>553</v>
      </c>
      <c r="G26" s="144" t="str">
        <f>IFERROR(VLOOKUP(F26,Table2[],2,FALSE),"")</f>
        <v>m3</v>
      </c>
      <c r="H26" s="317">
        <f>SUMIFS(IF(VALUE(RIGHT('Processer - data'!$D26,2))=10,Hugst!$C$4:$C$15,IF(VALUE(RIGHT('Processer - data'!$D26,2))=20,Hugst!$D$4:$D$15,IF(VALUE(RIGHT('Processer - data'!$D26,2))=30,Hugst!$E$4:$E$15,Hugst!$F$4:$F$15))),Hugst!$A$4:$A$15,'Processer - data'!$C26,Hugst!$B$4:$B$15,'Processer - data'!$F26)</f>
        <v>0</v>
      </c>
      <c r="I26" s="317">
        <f>SUMIFS(IF(VALUE(RIGHT('Processer - data'!$D26,2))=10,Hugst!$C$4:$C$15,IF(VALUE(RIGHT('Processer - data'!$D26,2))=20,Hugst!$D$4:$D$15,IF(VALUE(RIGHT('Processer - data'!$D26,2))=30,Hugst!$E$4:$E$15,Hugst!$F$4:$F$15))),Hugst!$A$4:$A$15,'Processer - data'!$C26,Hugst!$B$4:$B$15,'Processer - data'!$F26)</f>
        <v>0</v>
      </c>
      <c r="J26" s="317">
        <f>SUMIFS(IF(VALUE(RIGHT('Processer - data'!$D26,2))=10,Hugst!$C$4:$C$15,IF(VALUE(RIGHT('Processer - data'!$D26,2))=20,Hugst!$D$4:$D$15,IF(VALUE(RIGHT('Processer - data'!$D26,2))=30,Hugst!$E$4:$E$15,Hugst!$F$4:$F$15))),Hugst!$A$4:$A$15,'Processer - data'!$C26,Hugst!$B$4:$B$15,'Processer - data'!$F26)</f>
        <v>0</v>
      </c>
      <c r="K26" s="145"/>
    </row>
    <row r="27" spans="1:11" x14ac:dyDescent="0.55000000000000004">
      <c r="A27" s="187" t="s">
        <v>554</v>
      </c>
      <c r="B27" s="185"/>
      <c r="C27" s="185" t="s">
        <v>557</v>
      </c>
      <c r="D27" s="146" t="s">
        <v>565</v>
      </c>
      <c r="E27" s="146" t="str">
        <f>IFERROR(VLOOKUP(D27,Table2[],2,FALSE),"")</f>
        <v>Hektar</v>
      </c>
      <c r="F27" s="150" t="s">
        <v>405</v>
      </c>
      <c r="G27" s="146" t="str">
        <f>IFERROR(VLOOKUP(F27,Table2[],2,FALSE),"")</f>
        <v>m3</v>
      </c>
      <c r="H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0</v>
      </c>
      <c r="I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0</v>
      </c>
      <c r="J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0</v>
      </c>
      <c r="K27" s="147"/>
    </row>
    <row r="28" spans="1:11" x14ac:dyDescent="0.55000000000000004">
      <c r="A28" s="187" t="s">
        <v>554</v>
      </c>
      <c r="B28" s="185"/>
      <c r="C28" s="185" t="s">
        <v>557</v>
      </c>
      <c r="D28" s="146" t="s">
        <v>565</v>
      </c>
      <c r="E28" s="146" t="str">
        <f>IFERROR(VLOOKUP(D28,Table2[],2,FALSE),"")</f>
        <v>Hektar</v>
      </c>
      <c r="F28" s="146" t="s">
        <v>344</v>
      </c>
      <c r="G28" s="146" t="str">
        <f>IFERROR(VLOOKUP(F28,Table2[],2,FALSE),"")</f>
        <v>t CO2-ækvivalenter</v>
      </c>
      <c r="H28" s="317">
        <f>-VLOOKUP($C28,'Kulstofoptag, skov'!$B$2:$I$13,MATCH(VALUE(RIGHT('Processer - data'!$D28,2)),'Kulstofoptag, skov'!$B$1:$I$1,0),FALSE)</f>
        <v>-12.5</v>
      </c>
      <c r="I28" s="317">
        <f>-VLOOKUP($C28,'Kulstofoptag, skov'!$B$2:$I$13,MATCH(VALUE(RIGHT('Processer - data'!$D28,2)),'Kulstofoptag, skov'!$B$1:$I$1,0),FALSE)</f>
        <v>-12.5</v>
      </c>
      <c r="J28" s="317">
        <f>-VLOOKUP($C28,'Kulstofoptag, skov'!$B$2:$I$13,MATCH(VALUE(RIGHT('Processer - data'!$D28,2)),'Kulstofoptag, skov'!$B$1:$I$1,0),FALSE)</f>
        <v>-12.5</v>
      </c>
      <c r="K28" s="147"/>
    </row>
    <row r="29" spans="1:11" x14ac:dyDescent="0.55000000000000004">
      <c r="A29" s="187" t="s">
        <v>554</v>
      </c>
      <c r="B29" s="185"/>
      <c r="C29" s="185" t="s">
        <v>557</v>
      </c>
      <c r="D29" s="146" t="s">
        <v>566</v>
      </c>
      <c r="E29" s="146" t="str">
        <f>IFERROR(VLOOKUP(D29,Table2[],2,FALSE),"")</f>
        <v>Hektar</v>
      </c>
      <c r="F29" s="146" t="s">
        <v>553</v>
      </c>
      <c r="G29" s="146" t="str">
        <f>IFERROR(VLOOKUP(F29,Table2[],2,FALSE),"")</f>
        <v>m3</v>
      </c>
      <c r="H29" s="317">
        <f>SUMIFS(IF(VALUE(RIGHT('Processer - data'!$D29,2))=10,Hugst!$C$4:$C$15,IF(VALUE(RIGHT('Processer - data'!$D29,2))=20,Hugst!$D$4:$D$15,IF(VALUE(RIGHT('Processer - data'!$D29,2))=30,Hugst!$E$4:$E$15,Hugst!$F$4:$F$15))),Hugst!$A$4:$A$15,'Processer - data'!$C29,Hugst!$B$4:$B$15,'Processer - data'!$F29)</f>
        <v>2.2854721106219968</v>
      </c>
      <c r="I29" s="317">
        <f>SUMIFS(IF(VALUE(RIGHT('Processer - data'!$D29,2))=10,Hugst!$C$4:$C$15,IF(VALUE(RIGHT('Processer - data'!$D29,2))=20,Hugst!$D$4:$D$15,IF(VALUE(RIGHT('Processer - data'!$D29,2))=30,Hugst!$E$4:$E$15,Hugst!$F$4:$F$15))),Hugst!$A$4:$A$15,'Processer - data'!$C29,Hugst!$B$4:$B$15,'Processer - data'!$F29)</f>
        <v>2.2854721106219968</v>
      </c>
      <c r="J29" s="317">
        <f>SUMIFS(IF(VALUE(RIGHT('Processer - data'!$D29,2))=10,Hugst!$C$4:$C$15,IF(VALUE(RIGHT('Processer - data'!$D29,2))=20,Hugst!$D$4:$D$15,IF(VALUE(RIGHT('Processer - data'!$D29,2))=30,Hugst!$E$4:$E$15,Hugst!$F$4:$F$15))),Hugst!$A$4:$A$15,'Processer - data'!$C29,Hugst!$B$4:$B$15,'Processer - data'!$F29)</f>
        <v>2.2854721106219968</v>
      </c>
      <c r="K29" s="147"/>
    </row>
    <row r="30" spans="1:11" x14ac:dyDescent="0.55000000000000004">
      <c r="A30" s="187" t="s">
        <v>554</v>
      </c>
      <c r="B30" s="185"/>
      <c r="C30" s="185" t="s">
        <v>557</v>
      </c>
      <c r="D30" s="146" t="s">
        <v>566</v>
      </c>
      <c r="E30" s="146" t="str">
        <f>IFERROR(VLOOKUP(D30,Table2[],2,FALSE),"")</f>
        <v>Hektar</v>
      </c>
      <c r="F30" s="146" t="s">
        <v>405</v>
      </c>
      <c r="G30" s="146" t="str">
        <f>IFERROR(VLOOKUP(F30,Table2[],2,FALSE),"")</f>
        <v>m3</v>
      </c>
      <c r="H30" s="317">
        <f>SUMIFS(IF(VALUE(RIGHT('Processer - data'!$D30,2))=10,Hugst!$C$4:$C$15,IF(VALUE(RIGHT('Processer - data'!$D30,2))=20,Hugst!$D$4:$D$15,IF(VALUE(RIGHT('Processer - data'!$D30,2))=30,Hugst!$E$4:$E$15,Hugst!$F$4:$F$15))),Hugst!$A$4:$A$15,'Processer - data'!$C30,Hugst!$B$4:$B$15,'Processer - data'!$F30)</f>
        <v>0.57136802765549921</v>
      </c>
      <c r="I30" s="317">
        <f>SUMIFS(IF(VALUE(RIGHT('Processer - data'!$D30,2))=10,Hugst!$C$4:$C$15,IF(VALUE(RIGHT('Processer - data'!$D30,2))=20,Hugst!$D$4:$D$15,IF(VALUE(RIGHT('Processer - data'!$D30,2))=30,Hugst!$E$4:$E$15,Hugst!$F$4:$F$15))),Hugst!$A$4:$A$15,'Processer - data'!$C30,Hugst!$B$4:$B$15,'Processer - data'!$F30)</f>
        <v>0.57136802765549921</v>
      </c>
      <c r="J30" s="317">
        <f>SUMIFS(IF(VALUE(RIGHT('Processer - data'!$D30,2))=10,Hugst!$C$4:$C$15,IF(VALUE(RIGHT('Processer - data'!$D30,2))=20,Hugst!$D$4:$D$15,IF(VALUE(RIGHT('Processer - data'!$D30,2))=30,Hugst!$E$4:$E$15,Hugst!$F$4:$F$15))),Hugst!$A$4:$A$15,'Processer - data'!$C30,Hugst!$B$4:$B$15,'Processer - data'!$F30)</f>
        <v>0.57136802765549921</v>
      </c>
      <c r="K30" s="147"/>
    </row>
    <row r="31" spans="1:11" x14ac:dyDescent="0.55000000000000004">
      <c r="A31" s="187" t="s">
        <v>554</v>
      </c>
      <c r="B31" s="185"/>
      <c r="C31" s="185" t="s">
        <v>557</v>
      </c>
      <c r="D31" s="146" t="s">
        <v>566</v>
      </c>
      <c r="E31" s="146" t="str">
        <f>IFERROR(VLOOKUP(D31,Table2[],2,FALSE),"")</f>
        <v>Hektar</v>
      </c>
      <c r="F31" s="146" t="s">
        <v>344</v>
      </c>
      <c r="G31" s="146" t="str">
        <f>IFERROR(VLOOKUP(F31,Table2[],2,FALSE),"")</f>
        <v>t CO2-ækvivalenter</v>
      </c>
      <c r="H31" s="317">
        <f>-VLOOKUP($C31,'Kulstofoptag, skov'!$B$2:$I$13,MATCH(VALUE(RIGHT('Processer - data'!$D31,2)),'Kulstofoptag, skov'!$B$1:$I$1,0),FALSE)</f>
        <v>-16</v>
      </c>
      <c r="I31" s="317">
        <f>-VLOOKUP($C31,'Kulstofoptag, skov'!$B$2:$I$13,MATCH(VALUE(RIGHT('Processer - data'!$D31,2)),'Kulstofoptag, skov'!$B$1:$I$1,0),FALSE)</f>
        <v>-16</v>
      </c>
      <c r="J31" s="317">
        <f>-VLOOKUP($C31,'Kulstofoptag, skov'!$B$2:$I$13,MATCH(VALUE(RIGHT('Processer - data'!$D31,2)),'Kulstofoptag, skov'!$B$1:$I$1,0),FALSE)</f>
        <v>-16</v>
      </c>
      <c r="K31" s="147"/>
    </row>
    <row r="32" spans="1:11" x14ac:dyDescent="0.55000000000000004">
      <c r="A32" s="187" t="s">
        <v>554</v>
      </c>
      <c r="B32" s="185"/>
      <c r="C32" s="185" t="s">
        <v>557</v>
      </c>
      <c r="D32" s="146" t="s">
        <v>567</v>
      </c>
      <c r="E32" s="146" t="str">
        <f>IFERROR(VLOOKUP(D32,Table2[],2,FALSE),"")</f>
        <v>Hektar</v>
      </c>
      <c r="F32" s="146" t="s">
        <v>553</v>
      </c>
      <c r="G32" s="146" t="str">
        <f>IFERROR(VLOOKUP(F32,Table2[],2,FALSE),"")</f>
        <v>m3</v>
      </c>
      <c r="H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2.4169774503204851</v>
      </c>
      <c r="I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2.4169774503204851</v>
      </c>
      <c r="J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2.4169774503204851</v>
      </c>
      <c r="K32" s="147"/>
    </row>
    <row r="33" spans="1:11" x14ac:dyDescent="0.55000000000000004">
      <c r="A33" s="187" t="s">
        <v>554</v>
      </c>
      <c r="B33" s="185"/>
      <c r="C33" s="185" t="s">
        <v>557</v>
      </c>
      <c r="D33" s="146" t="s">
        <v>567</v>
      </c>
      <c r="E33" s="146" t="str">
        <f>IFERROR(VLOOKUP(D33,Table2[],2,FALSE),"")</f>
        <v>Hektar</v>
      </c>
      <c r="F33" s="146" t="s">
        <v>405</v>
      </c>
      <c r="G33" s="146" t="str">
        <f>IFERROR(VLOOKUP(F33,Table2[],2,FALSE),"")</f>
        <v>m3</v>
      </c>
      <c r="H33" s="317">
        <f>SUMIFS(IF(VALUE(RIGHT('Processer - data'!$D33,2))=10,Hugst!$C$4:$C$15,IF(VALUE(RIGHT('Processer - data'!$D33,2))=20,Hugst!$D$4:$D$15,IF(VALUE(RIGHT('Processer - data'!$D33,2))=30,Hugst!$E$4:$E$15,Hugst!$F$4:$F$15))),Hugst!$A$4:$A$15,'Processer - data'!$C33,Hugst!$B$4:$B$15,'Processer - data'!$F33)</f>
        <v>0.83664604049555269</v>
      </c>
      <c r="I33" s="317">
        <f>SUMIFS(IF(VALUE(RIGHT('Processer - data'!$D33,2))=10,Hugst!$C$4:$C$15,IF(VALUE(RIGHT('Processer - data'!$D33,2))=20,Hugst!$D$4:$D$15,IF(VALUE(RIGHT('Processer - data'!$D33,2))=30,Hugst!$E$4:$E$15,Hugst!$F$4:$F$15))),Hugst!$A$4:$A$15,'Processer - data'!$C33,Hugst!$B$4:$B$15,'Processer - data'!$F33)</f>
        <v>0.83664604049555269</v>
      </c>
      <c r="J33" s="317">
        <f>SUMIFS(IF(VALUE(RIGHT('Processer - data'!$D33,2))=10,Hugst!$C$4:$C$15,IF(VALUE(RIGHT('Processer - data'!$D33,2))=20,Hugst!$D$4:$D$15,IF(VALUE(RIGHT('Processer - data'!$D33,2))=30,Hugst!$E$4:$E$15,Hugst!$F$4:$F$15))),Hugst!$A$4:$A$15,'Processer - data'!$C33,Hugst!$B$4:$B$15,'Processer - data'!$F33)</f>
        <v>0.83664604049555269</v>
      </c>
      <c r="K33" s="147"/>
    </row>
    <row r="34" spans="1:11" x14ac:dyDescent="0.55000000000000004">
      <c r="A34" s="187" t="s">
        <v>554</v>
      </c>
      <c r="B34" s="185"/>
      <c r="C34" s="185" t="s">
        <v>557</v>
      </c>
      <c r="D34" s="146" t="s">
        <v>567</v>
      </c>
      <c r="E34" s="146" t="str">
        <f>IFERROR(VLOOKUP(D34,Table2[],2,FALSE),"")</f>
        <v>Hektar</v>
      </c>
      <c r="F34" s="146" t="s">
        <v>344</v>
      </c>
      <c r="G34" s="146" t="str">
        <f>IFERROR(VLOOKUP(F34,Table2[],2,FALSE),"")</f>
        <v>t CO2-ækvivalenter</v>
      </c>
      <c r="H34" s="317">
        <f>-VLOOKUP($C34,'Kulstofoptag, skov'!$B$2:$I$13,MATCH(VALUE(RIGHT('Processer - data'!$D34,2)),'Kulstofoptag, skov'!$B$1:$I$1,0),FALSE)</f>
        <v>-0.5</v>
      </c>
      <c r="I34" s="317">
        <f>-VLOOKUP($C34,'Kulstofoptag, skov'!$B$2:$I$13,MATCH(VALUE(RIGHT('Processer - data'!$D34,2)),'Kulstofoptag, skov'!$B$1:$I$1,0),FALSE)</f>
        <v>-0.5</v>
      </c>
      <c r="J34" s="317">
        <f>-VLOOKUP($C34,'Kulstofoptag, skov'!$B$2:$I$13,MATCH(VALUE(RIGHT('Processer - data'!$D34,2)),'Kulstofoptag, skov'!$B$1:$I$1,0),FALSE)</f>
        <v>-0.5</v>
      </c>
      <c r="K34" s="147"/>
    </row>
    <row r="35" spans="1:11" x14ac:dyDescent="0.55000000000000004">
      <c r="A35" s="187" t="s">
        <v>554</v>
      </c>
      <c r="B35" s="185"/>
      <c r="C35" s="185" t="s">
        <v>557</v>
      </c>
      <c r="D35" s="146" t="s">
        <v>568</v>
      </c>
      <c r="E35" s="146" t="str">
        <f>IFERROR(VLOOKUP(D35,Table2[],2,FALSE),"")</f>
        <v>Hektar</v>
      </c>
      <c r="F35" s="146" t="s">
        <v>553</v>
      </c>
      <c r="G35" s="146" t="str">
        <f>IFERROR(VLOOKUP(F35,Table2[],2,FALSE),"")</f>
        <v>m3</v>
      </c>
      <c r="H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1.1109933871079152</v>
      </c>
      <c r="I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1.1109933871079152</v>
      </c>
      <c r="J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1.1109933871079152</v>
      </c>
      <c r="K35" s="147"/>
    </row>
    <row r="36" spans="1:11" x14ac:dyDescent="0.55000000000000004">
      <c r="A36" s="187" t="s">
        <v>554</v>
      </c>
      <c r="B36" s="185"/>
      <c r="C36" s="185" t="s">
        <v>557</v>
      </c>
      <c r="D36" s="146" t="s">
        <v>568</v>
      </c>
      <c r="E36" s="146" t="str">
        <f>IFERROR(VLOOKUP(D36,Table2[],2,FALSE),"")</f>
        <v>Hektar</v>
      </c>
      <c r="F36" s="146" t="s">
        <v>405</v>
      </c>
      <c r="G36" s="146" t="str">
        <f>IFERROR(VLOOKUP(F36,Table2[],2,FALSE),"")</f>
        <v>m3</v>
      </c>
      <c r="H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0.5554966935539577</v>
      </c>
      <c r="I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0.5554966935539577</v>
      </c>
      <c r="J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0.5554966935539577</v>
      </c>
      <c r="K36" s="147"/>
    </row>
    <row r="37" spans="1:11" ht="14.7" thickBot="1" x14ac:dyDescent="0.6">
      <c r="A37" s="187" t="s">
        <v>554</v>
      </c>
      <c r="B37" s="185"/>
      <c r="C37" s="185" t="s">
        <v>557</v>
      </c>
      <c r="D37" s="146" t="s">
        <v>568</v>
      </c>
      <c r="E37" s="146" t="str">
        <f>IFERROR(VLOOKUP(D37,Table2[],2,FALSE),"")</f>
        <v>Hektar</v>
      </c>
      <c r="F37" s="146" t="s">
        <v>344</v>
      </c>
      <c r="G37" s="146" t="str">
        <f>IFERROR(VLOOKUP(F37,Table2[],2,FALSE),"")</f>
        <v>t CO2-ækvivalenter</v>
      </c>
      <c r="H37" s="319">
        <f>-VLOOKUP($C37,'Kulstofoptag, skov'!$B$2:$I$13,MATCH(VALUE(RIGHT('Processer - data'!$D37,2)),'Kulstofoptag, skov'!$B$1:$I$1,0),FALSE)</f>
        <v>-12.5</v>
      </c>
      <c r="I37" s="319">
        <f>-VLOOKUP($C37,'Kulstofoptag, skov'!$B$2:$I$13,MATCH(VALUE(RIGHT('Processer - data'!$D37,2)),'Kulstofoptag, skov'!$B$1:$I$1,0),FALSE)</f>
        <v>-12.5</v>
      </c>
      <c r="J37" s="319">
        <f>-VLOOKUP($C37,'Kulstofoptag, skov'!$B$2:$I$13,MATCH(VALUE(RIGHT('Processer - data'!$D37,2)),'Kulstofoptag, skov'!$B$1:$I$1,0),FALSE)</f>
        <v>-12.5</v>
      </c>
      <c r="K37" s="147"/>
    </row>
    <row r="38" spans="1:11" ht="14.7" thickTop="1" x14ac:dyDescent="0.55000000000000004">
      <c r="A38" s="186" t="s">
        <v>554</v>
      </c>
      <c r="B38" s="183"/>
      <c r="C38" s="183" t="s">
        <v>558</v>
      </c>
      <c r="D38" s="144" t="s">
        <v>569</v>
      </c>
      <c r="E38" s="144" t="str">
        <f>IFERROR(VLOOKUP(D38,Table2[],2,FALSE),"")</f>
        <v>Hektar</v>
      </c>
      <c r="F38" s="144" t="s">
        <v>553</v>
      </c>
      <c r="G38" s="144" t="str">
        <f>IFERROR(VLOOKUP(F38,Table2[],2,FALSE),"")</f>
        <v>m3</v>
      </c>
      <c r="H38" s="317">
        <f>SUMIFS(IF(VALUE(RIGHT('Processer - data'!$D38,2))=10,Hugst!$C$4:$C$15,IF(VALUE(RIGHT('Processer - data'!$D38,2))=20,Hugst!$D$4:$D$15,IF(VALUE(RIGHT('Processer - data'!$D38,2))=30,Hugst!$E$4:$E$15,Hugst!$F$4:$F$15))),Hugst!$A$4:$A$15,'Processer - data'!$C38,Hugst!$B$4:$B$15,'Processer - data'!$F38)</f>
        <v>0</v>
      </c>
      <c r="I38" s="317">
        <f>SUMIFS(IF(VALUE(RIGHT('Processer - data'!$D38,2))=10,Hugst!$C$4:$C$15,IF(VALUE(RIGHT('Processer - data'!$D38,2))=20,Hugst!$D$4:$D$15,IF(VALUE(RIGHT('Processer - data'!$D38,2))=30,Hugst!$E$4:$E$15,Hugst!$F$4:$F$15))),Hugst!$A$4:$A$15,'Processer - data'!$C38,Hugst!$B$4:$B$15,'Processer - data'!$F38)</f>
        <v>0</v>
      </c>
      <c r="J38" s="317">
        <f>SUMIFS(IF(VALUE(RIGHT('Processer - data'!$D38,2))=10,Hugst!$C$4:$C$15,IF(VALUE(RIGHT('Processer - data'!$D38,2))=20,Hugst!$D$4:$D$15,IF(VALUE(RIGHT('Processer - data'!$D38,2))=30,Hugst!$E$4:$E$15,Hugst!$F$4:$F$15))),Hugst!$A$4:$A$15,'Processer - data'!$C38,Hugst!$B$4:$B$15,'Processer - data'!$F38)</f>
        <v>0</v>
      </c>
      <c r="K38" s="145"/>
    </row>
    <row r="39" spans="1:11" x14ac:dyDescent="0.55000000000000004">
      <c r="A39" s="187" t="s">
        <v>554</v>
      </c>
      <c r="B39" s="185"/>
      <c r="C39" s="185" t="s">
        <v>558</v>
      </c>
      <c r="D39" s="146" t="s">
        <v>569</v>
      </c>
      <c r="E39" s="146" t="str">
        <f>IFERROR(VLOOKUP(D39,Table2[],2,FALSE),"")</f>
        <v>Hektar</v>
      </c>
      <c r="F39" s="150" t="s">
        <v>405</v>
      </c>
      <c r="G39" s="146" t="str">
        <f>IFERROR(VLOOKUP(F39,Table2[],2,FALSE),"")</f>
        <v>m3</v>
      </c>
      <c r="H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0</v>
      </c>
      <c r="I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0</v>
      </c>
      <c r="J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0</v>
      </c>
      <c r="K39" s="147"/>
    </row>
    <row r="40" spans="1:11" x14ac:dyDescent="0.55000000000000004">
      <c r="A40" s="187" t="s">
        <v>554</v>
      </c>
      <c r="B40" s="185"/>
      <c r="C40" s="185" t="s">
        <v>558</v>
      </c>
      <c r="D40" s="146" t="s">
        <v>569</v>
      </c>
      <c r="E40" s="146" t="str">
        <f>IFERROR(VLOOKUP(D40,Table2[],2,FALSE),"")</f>
        <v>Hektar</v>
      </c>
      <c r="F40" s="146" t="s">
        <v>344</v>
      </c>
      <c r="G40" s="146" t="str">
        <f>IFERROR(VLOOKUP(F40,Table2[],2,FALSE),"")</f>
        <v>t CO2-ækvivalenter</v>
      </c>
      <c r="H40" s="317">
        <f>-VLOOKUP($C40,'Kulstofoptag, skov'!$B$2:$I$13,MATCH(VALUE(RIGHT('Processer - data'!$D40,2)),'Kulstofoptag, skov'!$B$1:$I$1,0),FALSE)</f>
        <v>-2.5</v>
      </c>
      <c r="I40" s="317">
        <f>-VLOOKUP($C40,'Kulstofoptag, skov'!$B$2:$I$13,MATCH(VALUE(RIGHT('Processer - data'!$D40,2)),'Kulstofoptag, skov'!$B$1:$I$1,0),FALSE)</f>
        <v>-2.5</v>
      </c>
      <c r="J40" s="317">
        <f>-VLOOKUP($C40,'Kulstofoptag, skov'!$B$2:$I$13,MATCH(VALUE(RIGHT('Processer - data'!$D40,2)),'Kulstofoptag, skov'!$B$1:$I$1,0),FALSE)</f>
        <v>-2.5</v>
      </c>
      <c r="K40" s="147"/>
    </row>
    <row r="41" spans="1:11" x14ac:dyDescent="0.55000000000000004">
      <c r="A41" s="187" t="s">
        <v>554</v>
      </c>
      <c r="B41" s="185"/>
      <c r="C41" s="185" t="s">
        <v>558</v>
      </c>
      <c r="D41" s="146" t="s">
        <v>570</v>
      </c>
      <c r="E41" s="146" t="str">
        <f>IFERROR(VLOOKUP(D41,Table2[],2,FALSE),"")</f>
        <v>Hektar</v>
      </c>
      <c r="F41" s="146" t="s">
        <v>553</v>
      </c>
      <c r="G41" s="146" t="str">
        <f>IFERROR(VLOOKUP(F41,Table2[],2,FALSE),"")</f>
        <v>m3</v>
      </c>
      <c r="H41" s="317">
        <f>SUMIFS(IF(VALUE(RIGHT('Processer - data'!$D41,2))=10,Hugst!$C$4:$C$15,IF(VALUE(RIGHT('Processer - data'!$D41,2))=20,Hugst!$D$4:$D$15,IF(VALUE(RIGHT('Processer - data'!$D41,2))=30,Hugst!$E$4:$E$15,Hugst!$F$4:$F$15))),Hugst!$A$4:$A$15,'Processer - data'!$C41,Hugst!$B$4:$B$15,'Processer - data'!$F41)</f>
        <v>0</v>
      </c>
      <c r="I41" s="317">
        <f>SUMIFS(IF(VALUE(RIGHT('Processer - data'!$D41,2))=10,Hugst!$C$4:$C$15,IF(VALUE(RIGHT('Processer - data'!$D41,2))=20,Hugst!$D$4:$D$15,IF(VALUE(RIGHT('Processer - data'!$D41,2))=30,Hugst!$E$4:$E$15,Hugst!$F$4:$F$15))),Hugst!$A$4:$A$15,'Processer - data'!$C41,Hugst!$B$4:$B$15,'Processer - data'!$F41)</f>
        <v>0</v>
      </c>
      <c r="J41" s="317">
        <f>SUMIFS(IF(VALUE(RIGHT('Processer - data'!$D41,2))=10,Hugst!$C$4:$C$15,IF(VALUE(RIGHT('Processer - data'!$D41,2))=20,Hugst!$D$4:$D$15,IF(VALUE(RIGHT('Processer - data'!$D41,2))=30,Hugst!$E$4:$E$15,Hugst!$F$4:$F$15))),Hugst!$A$4:$A$15,'Processer - data'!$C41,Hugst!$B$4:$B$15,'Processer - data'!$F41)</f>
        <v>0</v>
      </c>
      <c r="K41" s="147"/>
    </row>
    <row r="42" spans="1:11" x14ac:dyDescent="0.55000000000000004">
      <c r="A42" s="187" t="s">
        <v>554</v>
      </c>
      <c r="B42" s="185"/>
      <c r="C42" s="185" t="s">
        <v>558</v>
      </c>
      <c r="D42" s="146" t="s">
        <v>570</v>
      </c>
      <c r="E42" s="146" t="str">
        <f>IFERROR(VLOOKUP(D42,Table2[],2,FALSE),"")</f>
        <v>Hektar</v>
      </c>
      <c r="F42" s="146" t="s">
        <v>405</v>
      </c>
      <c r="G42" s="146" t="str">
        <f>IFERROR(VLOOKUP(F42,Table2[],2,FALSE),"")</f>
        <v>m3</v>
      </c>
      <c r="H42" s="317">
        <f>SUMIFS(IF(VALUE(RIGHT('Processer - data'!$D42,2))=10,Hugst!$C$4:$C$15,IF(VALUE(RIGHT('Processer - data'!$D42,2))=20,Hugst!$D$4:$D$15,IF(VALUE(RIGHT('Processer - data'!$D42,2))=30,Hugst!$E$4:$E$15,Hugst!$F$4:$F$15))),Hugst!$A$4:$A$15,'Processer - data'!$C42,Hugst!$B$4:$B$15,'Processer - data'!$F42)</f>
        <v>0</v>
      </c>
      <c r="I42" s="317">
        <f>SUMIFS(IF(VALUE(RIGHT('Processer - data'!$D42,2))=10,Hugst!$C$4:$C$15,IF(VALUE(RIGHT('Processer - data'!$D42,2))=20,Hugst!$D$4:$D$15,IF(VALUE(RIGHT('Processer - data'!$D42,2))=30,Hugst!$E$4:$E$15,Hugst!$F$4:$F$15))),Hugst!$A$4:$A$15,'Processer - data'!$C42,Hugst!$B$4:$B$15,'Processer - data'!$F42)</f>
        <v>0</v>
      </c>
      <c r="J42" s="317">
        <f>SUMIFS(IF(VALUE(RIGHT('Processer - data'!$D42,2))=10,Hugst!$C$4:$C$15,IF(VALUE(RIGHT('Processer - data'!$D42,2))=20,Hugst!$D$4:$D$15,IF(VALUE(RIGHT('Processer - data'!$D42,2))=30,Hugst!$E$4:$E$15,Hugst!$F$4:$F$15))),Hugst!$A$4:$A$15,'Processer - data'!$C42,Hugst!$B$4:$B$15,'Processer - data'!$F42)</f>
        <v>0</v>
      </c>
      <c r="K42" s="147"/>
    </row>
    <row r="43" spans="1:11" x14ac:dyDescent="0.55000000000000004">
      <c r="A43" s="187" t="s">
        <v>554</v>
      </c>
      <c r="B43" s="185"/>
      <c r="C43" s="185" t="s">
        <v>558</v>
      </c>
      <c r="D43" s="146" t="s">
        <v>570</v>
      </c>
      <c r="E43" s="146" t="str">
        <f>IFERROR(VLOOKUP(D43,Table2[],2,FALSE),"")</f>
        <v>Hektar</v>
      </c>
      <c r="F43" s="146" t="s">
        <v>344</v>
      </c>
      <c r="G43" s="146" t="str">
        <f>IFERROR(VLOOKUP(F43,Table2[],2,FALSE),"")</f>
        <v>t CO2-ækvivalenter</v>
      </c>
      <c r="H43" s="317">
        <f>-VLOOKUP($C43,'Kulstofoptag, skov'!$B$2:$I$13,MATCH(VALUE(RIGHT('Processer - data'!$D43,2)),'Kulstofoptag, skov'!$B$1:$I$1,0),FALSE)</f>
        <v>-4.25</v>
      </c>
      <c r="I43" s="317">
        <f>-VLOOKUP($C43,'Kulstofoptag, skov'!$B$2:$I$13,MATCH(VALUE(RIGHT('Processer - data'!$D43,2)),'Kulstofoptag, skov'!$B$1:$I$1,0),FALSE)</f>
        <v>-4.25</v>
      </c>
      <c r="J43" s="317">
        <f>-VLOOKUP($C43,'Kulstofoptag, skov'!$B$2:$I$13,MATCH(VALUE(RIGHT('Processer - data'!$D43,2)),'Kulstofoptag, skov'!$B$1:$I$1,0),FALSE)</f>
        <v>-4.25</v>
      </c>
      <c r="K43" s="147"/>
    </row>
    <row r="44" spans="1:11" x14ac:dyDescent="0.55000000000000004">
      <c r="A44" s="187" t="s">
        <v>554</v>
      </c>
      <c r="B44" s="185"/>
      <c r="C44" s="185" t="s">
        <v>558</v>
      </c>
      <c r="D44" s="146" t="s">
        <v>571</v>
      </c>
      <c r="E44" s="146" t="str">
        <f>IFERROR(VLOOKUP(D44,Table2[],2,FALSE),"")</f>
        <v>Hektar</v>
      </c>
      <c r="F44" s="146" t="s">
        <v>553</v>
      </c>
      <c r="G44" s="146" t="str">
        <f>IFERROR(VLOOKUP(F44,Table2[],2,FALSE),"")</f>
        <v>m3</v>
      </c>
      <c r="H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</v>
      </c>
      <c r="I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</v>
      </c>
      <c r="J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</v>
      </c>
      <c r="K44" s="147"/>
    </row>
    <row r="45" spans="1:11" x14ac:dyDescent="0.55000000000000004">
      <c r="A45" s="187" t="s">
        <v>554</v>
      </c>
      <c r="B45" s="185"/>
      <c r="C45" s="185" t="s">
        <v>558</v>
      </c>
      <c r="D45" s="146" t="s">
        <v>571</v>
      </c>
      <c r="E45" s="146" t="str">
        <f>IFERROR(VLOOKUP(D45,Table2[],2,FALSE),"")</f>
        <v>Hektar</v>
      </c>
      <c r="F45" s="146" t="s">
        <v>405</v>
      </c>
      <c r="G45" s="146" t="str">
        <f>IFERROR(VLOOKUP(F45,Table2[],2,FALSE),"")</f>
        <v>m3</v>
      </c>
      <c r="H45" s="317">
        <f>SUMIFS(IF(VALUE(RIGHT('Processer - data'!$D45,2))=10,Hugst!$C$4:$C$15,IF(VALUE(RIGHT('Processer - data'!$D45,2))=20,Hugst!$D$4:$D$15,IF(VALUE(RIGHT('Processer - data'!$D45,2))=30,Hugst!$E$4:$E$15,Hugst!$F$4:$F$15))),Hugst!$A$4:$A$15,'Processer - data'!$C45,Hugst!$B$4:$B$15,'Processer - data'!$F45)</f>
        <v>0</v>
      </c>
      <c r="I45" s="317">
        <f>SUMIFS(IF(VALUE(RIGHT('Processer - data'!$D45,2))=10,Hugst!$C$4:$C$15,IF(VALUE(RIGHT('Processer - data'!$D45,2))=20,Hugst!$D$4:$D$15,IF(VALUE(RIGHT('Processer - data'!$D45,2))=30,Hugst!$E$4:$E$15,Hugst!$F$4:$F$15))),Hugst!$A$4:$A$15,'Processer - data'!$C45,Hugst!$B$4:$B$15,'Processer - data'!$F45)</f>
        <v>0</v>
      </c>
      <c r="J45" s="317">
        <f>SUMIFS(IF(VALUE(RIGHT('Processer - data'!$D45,2))=10,Hugst!$C$4:$C$15,IF(VALUE(RIGHT('Processer - data'!$D45,2))=20,Hugst!$D$4:$D$15,IF(VALUE(RIGHT('Processer - data'!$D45,2))=30,Hugst!$E$4:$E$15,Hugst!$F$4:$F$15))),Hugst!$A$4:$A$15,'Processer - data'!$C45,Hugst!$B$4:$B$15,'Processer - data'!$F45)</f>
        <v>0</v>
      </c>
      <c r="K45" s="147"/>
    </row>
    <row r="46" spans="1:11" x14ac:dyDescent="0.55000000000000004">
      <c r="A46" s="187" t="s">
        <v>554</v>
      </c>
      <c r="B46" s="185"/>
      <c r="C46" s="185" t="s">
        <v>558</v>
      </c>
      <c r="D46" s="146" t="s">
        <v>571</v>
      </c>
      <c r="E46" s="146" t="str">
        <f>IFERROR(VLOOKUP(D46,Table2[],2,FALSE),"")</f>
        <v>Hektar</v>
      </c>
      <c r="F46" s="146" t="s">
        <v>344</v>
      </c>
      <c r="G46" s="146" t="str">
        <f>IFERROR(VLOOKUP(F46,Table2[],2,FALSE),"")</f>
        <v>t CO2-ækvivalenter</v>
      </c>
      <c r="H46" s="317">
        <f>-VLOOKUP($C46,'Kulstofoptag, skov'!$B$2:$I$13,MATCH(VALUE(RIGHT('Processer - data'!$D46,2)),'Kulstofoptag, skov'!$B$1:$I$1,0),FALSE)</f>
        <v>-13.75</v>
      </c>
      <c r="I46" s="317">
        <f>-VLOOKUP($C46,'Kulstofoptag, skov'!$B$2:$I$13,MATCH(VALUE(RIGHT('Processer - data'!$D46,2)),'Kulstofoptag, skov'!$B$1:$I$1,0),FALSE)</f>
        <v>-13.75</v>
      </c>
      <c r="J46" s="317">
        <f>-VLOOKUP($C46,'Kulstofoptag, skov'!$B$2:$I$13,MATCH(VALUE(RIGHT('Processer - data'!$D46,2)),'Kulstofoptag, skov'!$B$1:$I$1,0),FALSE)</f>
        <v>-13.75</v>
      </c>
      <c r="K46" s="147"/>
    </row>
    <row r="47" spans="1:11" x14ac:dyDescent="0.55000000000000004">
      <c r="A47" s="187" t="s">
        <v>554</v>
      </c>
      <c r="B47" s="185"/>
      <c r="C47" s="185" t="s">
        <v>558</v>
      </c>
      <c r="D47" s="146" t="s">
        <v>572</v>
      </c>
      <c r="E47" s="146" t="str">
        <f>IFERROR(VLOOKUP(D47,Table2[],2,FALSE),"")</f>
        <v>Hektar</v>
      </c>
      <c r="F47" s="146" t="s">
        <v>553</v>
      </c>
      <c r="G47" s="146" t="str">
        <f>IFERROR(VLOOKUP(F47,Table2[],2,FALSE),"")</f>
        <v>m3</v>
      </c>
      <c r="H47" s="317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1.3997528151560328</v>
      </c>
      <c r="I47" s="317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1.3997528151560328</v>
      </c>
      <c r="J47" s="317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1.3997528151560328</v>
      </c>
      <c r="K47" s="147"/>
    </row>
    <row r="48" spans="1:11" x14ac:dyDescent="0.55000000000000004">
      <c r="A48" s="187" t="s">
        <v>554</v>
      </c>
      <c r="B48" s="185"/>
      <c r="C48" s="185" t="s">
        <v>558</v>
      </c>
      <c r="D48" s="146" t="s">
        <v>572</v>
      </c>
      <c r="E48" s="146" t="str">
        <f>IFERROR(VLOOKUP(D48,Table2[],2,FALSE),"")</f>
        <v>Hektar</v>
      </c>
      <c r="F48" s="146" t="s">
        <v>405</v>
      </c>
      <c r="G48" s="146" t="str">
        <f>IFERROR(VLOOKUP(F48,Table2[],2,FALSE),"")</f>
        <v>m3</v>
      </c>
      <c r="H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0.76350153553965439</v>
      </c>
      <c r="I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0.76350153553965439</v>
      </c>
      <c r="J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0.76350153553965439</v>
      </c>
      <c r="K48" s="147"/>
    </row>
    <row r="49" spans="1:11" ht="14.7" thickBot="1" x14ac:dyDescent="0.6">
      <c r="A49" s="187" t="s">
        <v>554</v>
      </c>
      <c r="B49" s="185"/>
      <c r="C49" s="185" t="s">
        <v>558</v>
      </c>
      <c r="D49" s="146" t="s">
        <v>572</v>
      </c>
      <c r="E49" s="146" t="str">
        <f>IFERROR(VLOOKUP(D49,Table2[],2,FALSE),"")</f>
        <v>Hektar</v>
      </c>
      <c r="F49" s="146" t="s">
        <v>344</v>
      </c>
      <c r="G49" s="146" t="str">
        <f>IFERROR(VLOOKUP(F49,Table2[],2,FALSE),"")</f>
        <v>t CO2-ækvivalenter</v>
      </c>
      <c r="H49" s="319">
        <f>-VLOOKUP($C49,'Kulstofoptag, skov'!$B$2:$I$13,MATCH(VALUE(RIGHT('Processer - data'!$D49,2)),'Kulstofoptag, skov'!$B$1:$I$1,0),FALSE)</f>
        <v>-13.25</v>
      </c>
      <c r="I49" s="319">
        <f>-VLOOKUP($C49,'Kulstofoptag, skov'!$B$2:$I$13,MATCH(VALUE(RIGHT('Processer - data'!$D49,2)),'Kulstofoptag, skov'!$B$1:$I$1,0),FALSE)</f>
        <v>-13.25</v>
      </c>
      <c r="J49" s="319">
        <f>-VLOOKUP($C49,'Kulstofoptag, skov'!$B$2:$I$13,MATCH(VALUE(RIGHT('Processer - data'!$D49,2)),'Kulstofoptag, skov'!$B$1:$I$1,0),FALSE)</f>
        <v>-13.25</v>
      </c>
      <c r="K49" s="147"/>
    </row>
    <row r="50" spans="1:11" ht="14.7" thickTop="1" x14ac:dyDescent="0.55000000000000004">
      <c r="A50" s="186" t="s">
        <v>554</v>
      </c>
      <c r="B50" s="183"/>
      <c r="C50" s="183" t="s">
        <v>559</v>
      </c>
      <c r="D50" s="144" t="s">
        <v>573</v>
      </c>
      <c r="E50" s="144" t="str">
        <f>IFERROR(VLOOKUP(D50,Table2[],2,FALSE),"")</f>
        <v>Hektar</v>
      </c>
      <c r="F50" s="144" t="s">
        <v>553</v>
      </c>
      <c r="G50" s="144" t="str">
        <f>IFERROR(VLOOKUP(F50,Table2[],2,FALSE),"")</f>
        <v>m3</v>
      </c>
      <c r="H50" s="317">
        <f>SUMIFS(IF(VALUE(RIGHT('Processer - data'!$D50,2))=10,Hugst!$C$4:$C$15,IF(VALUE(RIGHT('Processer - data'!$D50,2))=20,Hugst!$D$4:$D$15,IF(VALUE(RIGHT('Processer - data'!$D50,2))=30,Hugst!$E$4:$E$15,Hugst!$F$4:$F$15))),Hugst!$A$4:$A$15,'Processer - data'!$C50,Hugst!$B$4:$B$15,'Processer - data'!$F50)</f>
        <v>0</v>
      </c>
      <c r="I50" s="317">
        <f>SUMIFS(IF(VALUE(RIGHT('Processer - data'!$D50,2))=10,Hugst!$C$4:$C$15,IF(VALUE(RIGHT('Processer - data'!$D50,2))=20,Hugst!$D$4:$D$15,IF(VALUE(RIGHT('Processer - data'!$D50,2))=30,Hugst!$E$4:$E$15,Hugst!$F$4:$F$15))),Hugst!$A$4:$A$15,'Processer - data'!$C50,Hugst!$B$4:$B$15,'Processer - data'!$F50)</f>
        <v>0</v>
      </c>
      <c r="J50" s="317">
        <f>SUMIFS(IF(VALUE(RIGHT('Processer - data'!$D50,2))=10,Hugst!$C$4:$C$15,IF(VALUE(RIGHT('Processer - data'!$D50,2))=20,Hugst!$D$4:$D$15,IF(VALUE(RIGHT('Processer - data'!$D50,2))=30,Hugst!$E$4:$E$15,Hugst!$F$4:$F$15))),Hugst!$A$4:$A$15,'Processer - data'!$C50,Hugst!$B$4:$B$15,'Processer - data'!$F50)</f>
        <v>0</v>
      </c>
      <c r="K50" s="145"/>
    </row>
    <row r="51" spans="1:11" x14ac:dyDescent="0.55000000000000004">
      <c r="A51" s="187" t="s">
        <v>554</v>
      </c>
      <c r="B51" s="185"/>
      <c r="C51" s="185" t="s">
        <v>559</v>
      </c>
      <c r="D51" s="146" t="s">
        <v>573</v>
      </c>
      <c r="E51" s="146" t="str">
        <f>IFERROR(VLOOKUP(D51,Table2[],2,FALSE),"")</f>
        <v>Hektar</v>
      </c>
      <c r="F51" s="150" t="s">
        <v>405</v>
      </c>
      <c r="G51" s="146" t="str">
        <f>IFERROR(VLOOKUP(F51,Table2[],2,FALSE),"")</f>
        <v>m3</v>
      </c>
      <c r="H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I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J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K51" s="147"/>
    </row>
    <row r="52" spans="1:11" x14ac:dyDescent="0.55000000000000004">
      <c r="A52" s="187" t="s">
        <v>554</v>
      </c>
      <c r="B52" s="185"/>
      <c r="C52" s="185" t="s">
        <v>559</v>
      </c>
      <c r="D52" s="146" t="s">
        <v>573</v>
      </c>
      <c r="E52" s="146" t="str">
        <f>IFERROR(VLOOKUP(D52,Table2[],2,FALSE),"")</f>
        <v>Hektar</v>
      </c>
      <c r="F52" s="146" t="s">
        <v>344</v>
      </c>
      <c r="G52" s="146" t="str">
        <f>IFERROR(VLOOKUP(F52,Table2[],2,FALSE),"")</f>
        <v>t CO2-ækvivalenter</v>
      </c>
      <c r="H52" s="317">
        <f>-VLOOKUP($C52,'Kulstofoptag, skov'!$B$2:$I$13,MATCH(VALUE(RIGHT('Processer - data'!$D52,2)),'Kulstofoptag, skov'!$B$1:$I$1,0),FALSE)</f>
        <v>-9.5</v>
      </c>
      <c r="I52" s="317">
        <f>-VLOOKUP($C52,'Kulstofoptag, skov'!$B$2:$I$13,MATCH(VALUE(RIGHT('Processer - data'!$D52,2)),'Kulstofoptag, skov'!$B$1:$I$1,0),FALSE)</f>
        <v>-9.5</v>
      </c>
      <c r="J52" s="317">
        <f>-VLOOKUP($C52,'Kulstofoptag, skov'!$B$2:$I$13,MATCH(VALUE(RIGHT('Processer - data'!$D52,2)),'Kulstofoptag, skov'!$B$1:$I$1,0),FALSE)</f>
        <v>-9.5</v>
      </c>
      <c r="K52" s="147"/>
    </row>
    <row r="53" spans="1:11" x14ac:dyDescent="0.55000000000000004">
      <c r="A53" s="187" t="s">
        <v>554</v>
      </c>
      <c r="B53" s="185"/>
      <c r="C53" s="185" t="s">
        <v>559</v>
      </c>
      <c r="D53" s="146" t="s">
        <v>574</v>
      </c>
      <c r="E53" s="146" t="str">
        <f>IFERROR(VLOOKUP(D53,Table2[],2,FALSE),"")</f>
        <v>Hektar</v>
      </c>
      <c r="F53" s="146" t="s">
        <v>553</v>
      </c>
      <c r="G53" s="146" t="str">
        <f>IFERROR(VLOOKUP(F53,Table2[],2,FALSE),"")</f>
        <v>m3</v>
      </c>
      <c r="H53" s="317">
        <f>SUMIFS(IF(VALUE(RIGHT('Processer - data'!$D53,2))=10,Hugst!$C$4:$C$15,IF(VALUE(RIGHT('Processer - data'!$D53,2))=20,Hugst!$D$4:$D$15,IF(VALUE(RIGHT('Processer - data'!$D53,2))=30,Hugst!$E$4:$E$15,Hugst!$F$4:$F$15))),Hugst!$A$4:$A$15,'Processer - data'!$C53,Hugst!$B$4:$B$15,'Processer - data'!$F53)</f>
        <v>0.5803853136012822</v>
      </c>
      <c r="I53" s="317">
        <f>SUMIFS(IF(VALUE(RIGHT('Processer - data'!$D53,2))=10,Hugst!$C$4:$C$15,IF(VALUE(RIGHT('Processer - data'!$D53,2))=20,Hugst!$D$4:$D$15,IF(VALUE(RIGHT('Processer - data'!$D53,2))=30,Hugst!$E$4:$E$15,Hugst!$F$4:$F$15))),Hugst!$A$4:$A$15,'Processer - data'!$C53,Hugst!$B$4:$B$15,'Processer - data'!$F53)</f>
        <v>0.5803853136012822</v>
      </c>
      <c r="J53" s="317">
        <f>SUMIFS(IF(VALUE(RIGHT('Processer - data'!$D53,2))=10,Hugst!$C$4:$C$15,IF(VALUE(RIGHT('Processer - data'!$D53,2))=20,Hugst!$D$4:$D$15,IF(VALUE(RIGHT('Processer - data'!$D53,2))=30,Hugst!$E$4:$E$15,Hugst!$F$4:$F$15))),Hugst!$A$4:$A$15,'Processer - data'!$C53,Hugst!$B$4:$B$15,'Processer - data'!$F53)</f>
        <v>0.5803853136012822</v>
      </c>
      <c r="K53" s="147"/>
    </row>
    <row r="54" spans="1:11" x14ac:dyDescent="0.55000000000000004">
      <c r="A54" s="187" t="s">
        <v>554</v>
      </c>
      <c r="B54" s="185"/>
      <c r="C54" s="185" t="s">
        <v>559</v>
      </c>
      <c r="D54" s="146" t="s">
        <v>574</v>
      </c>
      <c r="E54" s="146" t="str">
        <f>IFERROR(VLOOKUP(D54,Table2[],2,FALSE),"")</f>
        <v>Hektar</v>
      </c>
      <c r="F54" s="146" t="s">
        <v>405</v>
      </c>
      <c r="G54" s="146" t="str">
        <f>IFERROR(VLOOKUP(F54,Table2[],2,FALSE),"")</f>
        <v>m3</v>
      </c>
      <c r="H54" s="317">
        <f>SUMIFS(IF(VALUE(RIGHT('Processer - data'!$D54,2))=10,Hugst!$C$4:$C$15,IF(VALUE(RIGHT('Processer - data'!$D54,2))=20,Hugst!$D$4:$D$15,IF(VALUE(RIGHT('Processer - data'!$D54,2))=30,Hugst!$E$4:$E$15,Hugst!$F$4:$F$15))),Hugst!$A$4:$A$15,'Processer - data'!$C54,Hugst!$B$4:$B$15,'Processer - data'!$F54)</f>
        <v>2.0313485976044867</v>
      </c>
      <c r="I54" s="317">
        <f>SUMIFS(IF(VALUE(RIGHT('Processer - data'!$D54,2))=10,Hugst!$C$4:$C$15,IF(VALUE(RIGHT('Processer - data'!$D54,2))=20,Hugst!$D$4:$D$15,IF(VALUE(RIGHT('Processer - data'!$D54,2))=30,Hugst!$E$4:$E$15,Hugst!$F$4:$F$15))),Hugst!$A$4:$A$15,'Processer - data'!$C54,Hugst!$B$4:$B$15,'Processer - data'!$F54)</f>
        <v>2.0313485976044867</v>
      </c>
      <c r="J54" s="317">
        <f>SUMIFS(IF(VALUE(RIGHT('Processer - data'!$D54,2))=10,Hugst!$C$4:$C$15,IF(VALUE(RIGHT('Processer - data'!$D54,2))=20,Hugst!$D$4:$D$15,IF(VALUE(RIGHT('Processer - data'!$D54,2))=30,Hugst!$E$4:$E$15,Hugst!$F$4:$F$15))),Hugst!$A$4:$A$15,'Processer - data'!$C54,Hugst!$B$4:$B$15,'Processer - data'!$F54)</f>
        <v>2.0313485976044867</v>
      </c>
      <c r="K54" s="147"/>
    </row>
    <row r="55" spans="1:11" x14ac:dyDescent="0.55000000000000004">
      <c r="A55" s="187" t="s">
        <v>554</v>
      </c>
      <c r="B55" s="185"/>
      <c r="C55" s="185" t="s">
        <v>559</v>
      </c>
      <c r="D55" s="146" t="s">
        <v>574</v>
      </c>
      <c r="E55" s="146" t="str">
        <f>IFERROR(VLOOKUP(D55,Table2[],2,FALSE),"")</f>
        <v>Hektar</v>
      </c>
      <c r="F55" s="146" t="s">
        <v>344</v>
      </c>
      <c r="G55" s="146" t="str">
        <f>IFERROR(VLOOKUP(F55,Table2[],2,FALSE),"")</f>
        <v>t CO2-ækvivalenter</v>
      </c>
      <c r="H55" s="317">
        <f>-VLOOKUP($C55,'Kulstofoptag, skov'!$B$2:$I$13,MATCH(VALUE(RIGHT('Processer - data'!$D55,2)),'Kulstofoptag, skov'!$B$1:$I$1,0),FALSE)</f>
        <v>-8</v>
      </c>
      <c r="I55" s="317">
        <f>-VLOOKUP($C55,'Kulstofoptag, skov'!$B$2:$I$13,MATCH(VALUE(RIGHT('Processer - data'!$D55,2)),'Kulstofoptag, skov'!$B$1:$I$1,0),FALSE)</f>
        <v>-8</v>
      </c>
      <c r="J55" s="317">
        <f>-VLOOKUP($C55,'Kulstofoptag, skov'!$B$2:$I$13,MATCH(VALUE(RIGHT('Processer - data'!$D55,2)),'Kulstofoptag, skov'!$B$1:$I$1,0),FALSE)</f>
        <v>-8</v>
      </c>
      <c r="K55" s="147"/>
    </row>
    <row r="56" spans="1:11" x14ac:dyDescent="0.55000000000000004">
      <c r="A56" s="187" t="s">
        <v>554</v>
      </c>
      <c r="B56" s="185"/>
      <c r="C56" s="185" t="s">
        <v>559</v>
      </c>
      <c r="D56" s="146" t="s">
        <v>575</v>
      </c>
      <c r="E56" s="146" t="str">
        <f>IFERROR(VLOOKUP(D56,Table2[],2,FALSE),"")</f>
        <v>Hektar</v>
      </c>
      <c r="F56" s="146" t="s">
        <v>553</v>
      </c>
      <c r="G56" s="146" t="str">
        <f>IFERROR(VLOOKUP(F56,Table2[],2,FALSE),"")</f>
        <v>m3</v>
      </c>
      <c r="H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0.62472030283471314</v>
      </c>
      <c r="I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0.62472030283471314</v>
      </c>
      <c r="J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0.62472030283471314</v>
      </c>
      <c r="K56" s="147"/>
    </row>
    <row r="57" spans="1:11" x14ac:dyDescent="0.55000000000000004">
      <c r="A57" s="187" t="s">
        <v>554</v>
      </c>
      <c r="B57" s="185"/>
      <c r="C57" s="185" t="s">
        <v>559</v>
      </c>
      <c r="D57" s="146" t="s">
        <v>575</v>
      </c>
      <c r="E57" s="146" t="str">
        <f>IFERROR(VLOOKUP(D57,Table2[],2,FALSE),"")</f>
        <v>Hektar</v>
      </c>
      <c r="F57" s="146" t="s">
        <v>405</v>
      </c>
      <c r="G57" s="146" t="str">
        <f>IFERROR(VLOOKUP(F57,Table2[],2,FALSE),"")</f>
        <v>m3</v>
      </c>
      <c r="H57" s="317">
        <f>SUMIFS(IF(VALUE(RIGHT('Processer - data'!$D57,2))=10,Hugst!$C$4:$C$15,IF(VALUE(RIGHT('Processer - data'!$D57,2))=20,Hugst!$D$4:$D$15,IF(VALUE(RIGHT('Processer - data'!$D57,2))=30,Hugst!$E$4:$E$15,Hugst!$F$4:$F$15))),Hugst!$A$4:$A$15,'Processer - data'!$C57,Hugst!$B$4:$B$15,'Processer - data'!$F57)</f>
        <v>0.8262429811684916</v>
      </c>
      <c r="I57" s="317">
        <f>SUMIFS(IF(VALUE(RIGHT('Processer - data'!$D57,2))=10,Hugst!$C$4:$C$15,IF(VALUE(RIGHT('Processer - data'!$D57,2))=20,Hugst!$D$4:$D$15,IF(VALUE(RIGHT('Processer - data'!$D57,2))=30,Hugst!$E$4:$E$15,Hugst!$F$4:$F$15))),Hugst!$A$4:$A$15,'Processer - data'!$C57,Hugst!$B$4:$B$15,'Processer - data'!$F57)</f>
        <v>0.8262429811684916</v>
      </c>
      <c r="J57" s="317">
        <f>SUMIFS(IF(VALUE(RIGHT('Processer - data'!$D57,2))=10,Hugst!$C$4:$C$15,IF(VALUE(RIGHT('Processer - data'!$D57,2))=20,Hugst!$D$4:$D$15,IF(VALUE(RIGHT('Processer - data'!$D57,2))=30,Hugst!$E$4:$E$15,Hugst!$F$4:$F$15))),Hugst!$A$4:$A$15,'Processer - data'!$C57,Hugst!$B$4:$B$15,'Processer - data'!$F57)</f>
        <v>0.8262429811684916</v>
      </c>
      <c r="K57" s="147"/>
    </row>
    <row r="58" spans="1:11" x14ac:dyDescent="0.55000000000000004">
      <c r="A58" s="187" t="s">
        <v>554</v>
      </c>
      <c r="B58" s="185"/>
      <c r="C58" s="185" t="s">
        <v>559</v>
      </c>
      <c r="D58" s="146" t="s">
        <v>575</v>
      </c>
      <c r="E58" s="146" t="str">
        <f>IFERROR(VLOOKUP(D58,Table2[],2,FALSE),"")</f>
        <v>Hektar</v>
      </c>
      <c r="F58" s="146" t="s">
        <v>344</v>
      </c>
      <c r="G58" s="146" t="str">
        <f>IFERROR(VLOOKUP(F58,Table2[],2,FALSE),"")</f>
        <v>t CO2-ækvivalenter</v>
      </c>
      <c r="H58" s="317">
        <f>-VLOOKUP($C58,'Kulstofoptag, skov'!$B$2:$I$13,MATCH(VALUE(RIGHT('Processer - data'!$D58,2)),'Kulstofoptag, skov'!$B$1:$I$1,0),FALSE)</f>
        <v>-4.5</v>
      </c>
      <c r="I58" s="317">
        <f>-VLOOKUP($C58,'Kulstofoptag, skov'!$B$2:$I$13,MATCH(VALUE(RIGHT('Processer - data'!$D58,2)),'Kulstofoptag, skov'!$B$1:$I$1,0),FALSE)</f>
        <v>-4.5</v>
      </c>
      <c r="J58" s="317">
        <f>-VLOOKUP($C58,'Kulstofoptag, skov'!$B$2:$I$13,MATCH(VALUE(RIGHT('Processer - data'!$D58,2)),'Kulstofoptag, skov'!$B$1:$I$1,0),FALSE)</f>
        <v>-4.5</v>
      </c>
      <c r="K58" s="147"/>
    </row>
    <row r="59" spans="1:11" x14ac:dyDescent="0.55000000000000004">
      <c r="A59" s="187" t="s">
        <v>554</v>
      </c>
      <c r="B59" s="185"/>
      <c r="C59" s="185" t="s">
        <v>559</v>
      </c>
      <c r="D59" s="146" t="s">
        <v>576</v>
      </c>
      <c r="E59" s="146" t="str">
        <f>IFERROR(VLOOKUP(D59,Table2[],2,FALSE),"")</f>
        <v>Hektar</v>
      </c>
      <c r="F59" s="146" t="s">
        <v>553</v>
      </c>
      <c r="G59" s="146" t="str">
        <f>IFERROR(VLOOKUP(F59,Table2[],2,FALSE),"")</f>
        <v>m3</v>
      </c>
      <c r="H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0.51637222754231693</v>
      </c>
      <c r="I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0.51637222754231693</v>
      </c>
      <c r="J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0.51637222754231693</v>
      </c>
      <c r="K59" s="147"/>
    </row>
    <row r="60" spans="1:11" x14ac:dyDescent="0.55000000000000004">
      <c r="A60" s="187" t="s">
        <v>554</v>
      </c>
      <c r="B60" s="185"/>
      <c r="C60" s="185" t="s">
        <v>559</v>
      </c>
      <c r="D60" s="146" t="s">
        <v>576</v>
      </c>
      <c r="E60" s="146" t="str">
        <f>IFERROR(VLOOKUP(D60,Table2[],2,FALSE),"")</f>
        <v>Hektar</v>
      </c>
      <c r="F60" s="146" t="s">
        <v>405</v>
      </c>
      <c r="G60" s="146" t="str">
        <f>IFERROR(VLOOKUP(F60,Table2[],2,FALSE),"")</f>
        <v>m3</v>
      </c>
      <c r="H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0.28165757865944563</v>
      </c>
      <c r="I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0.28165757865944563</v>
      </c>
      <c r="J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0.28165757865944563</v>
      </c>
      <c r="K60" s="147"/>
    </row>
    <row r="61" spans="1:11" ht="14.7" thickBot="1" x14ac:dyDescent="0.6">
      <c r="A61" s="187" t="s">
        <v>554</v>
      </c>
      <c r="B61" s="185"/>
      <c r="C61" s="185" t="s">
        <v>559</v>
      </c>
      <c r="D61" s="146" t="s">
        <v>576</v>
      </c>
      <c r="E61" s="146" t="str">
        <f>IFERROR(VLOOKUP(D61,Table2[],2,FALSE),"")</f>
        <v>Hektar</v>
      </c>
      <c r="F61" s="146" t="s">
        <v>344</v>
      </c>
      <c r="G61" s="146" t="str">
        <f>IFERROR(VLOOKUP(F61,Table2[],2,FALSE),"")</f>
        <v>t CO2-ækvivalenter</v>
      </c>
      <c r="H61" s="319">
        <f>-VLOOKUP($C61,'Kulstofoptag, skov'!$B$2:$I$13,MATCH(VALUE(RIGHT('Processer - data'!$D61,2)),'Kulstofoptag, skov'!$B$1:$I$1,0),FALSE)</f>
        <v>-13</v>
      </c>
      <c r="I61" s="319">
        <f>-VLOOKUP($C61,'Kulstofoptag, skov'!$B$2:$I$13,MATCH(VALUE(RIGHT('Processer - data'!$D61,2)),'Kulstofoptag, skov'!$B$1:$I$1,0),FALSE)</f>
        <v>-13</v>
      </c>
      <c r="J61" s="319">
        <f>-VLOOKUP($C61,'Kulstofoptag, skov'!$B$2:$I$13,MATCH(VALUE(RIGHT('Processer - data'!$D61,2)),'Kulstofoptag, skov'!$B$1:$I$1,0),FALSE)</f>
        <v>-13</v>
      </c>
      <c r="K61" s="147"/>
    </row>
    <row r="62" spans="1:11" ht="14.7" thickTop="1" x14ac:dyDescent="0.55000000000000004">
      <c r="A62" s="186" t="s">
        <v>554</v>
      </c>
      <c r="B62" s="183"/>
      <c r="C62" s="183" t="s">
        <v>560</v>
      </c>
      <c r="D62" s="144" t="s">
        <v>577</v>
      </c>
      <c r="E62" s="144" t="str">
        <f>IFERROR(VLOOKUP(D62,Table2[],2,FALSE),"")</f>
        <v>Hektar</v>
      </c>
      <c r="F62" s="144" t="s">
        <v>553</v>
      </c>
      <c r="G62" s="144" t="str">
        <f>IFERROR(VLOOKUP(F62,Table2[],2,FALSE),"")</f>
        <v>m3</v>
      </c>
      <c r="H62" s="317">
        <f>SUMIFS(IF(VALUE(RIGHT('Processer - data'!$D62,2))=10,Hugst!$C$4:$C$15,IF(VALUE(RIGHT('Processer - data'!$D62,2))=20,Hugst!$D$4:$D$15,IF(VALUE(RIGHT('Processer - data'!$D62,2))=30,Hugst!$E$4:$E$15,Hugst!$F$4:$F$15))),Hugst!$A$4:$A$15,'Processer - data'!$C62,Hugst!$B$4:$B$15,'Processer - data'!$F62)</f>
        <v>0</v>
      </c>
      <c r="I62" s="317">
        <f>SUMIFS(IF(VALUE(RIGHT('Processer - data'!$D62,2))=10,Hugst!$C$4:$C$15,IF(VALUE(RIGHT('Processer - data'!$D62,2))=20,Hugst!$D$4:$D$15,IF(VALUE(RIGHT('Processer - data'!$D62,2))=30,Hugst!$E$4:$E$15,Hugst!$F$4:$F$15))),Hugst!$A$4:$A$15,'Processer - data'!$C62,Hugst!$B$4:$B$15,'Processer - data'!$F62)</f>
        <v>0</v>
      </c>
      <c r="J62" s="317">
        <f>SUMIFS(IF(VALUE(RIGHT('Processer - data'!$D62,2))=10,Hugst!$C$4:$C$15,IF(VALUE(RIGHT('Processer - data'!$D62,2))=20,Hugst!$D$4:$D$15,IF(VALUE(RIGHT('Processer - data'!$D62,2))=30,Hugst!$E$4:$E$15,Hugst!$F$4:$F$15))),Hugst!$A$4:$A$15,'Processer - data'!$C62,Hugst!$B$4:$B$15,'Processer - data'!$F62)</f>
        <v>0</v>
      </c>
      <c r="K62" s="145"/>
    </row>
    <row r="63" spans="1:11" x14ac:dyDescent="0.55000000000000004">
      <c r="A63" s="187" t="s">
        <v>554</v>
      </c>
      <c r="B63" s="185"/>
      <c r="C63" s="185" t="s">
        <v>560</v>
      </c>
      <c r="D63" s="146" t="s">
        <v>577</v>
      </c>
      <c r="E63" s="146" t="str">
        <f>IFERROR(VLOOKUP(D63,Table2[],2,FALSE),"")</f>
        <v>Hektar</v>
      </c>
      <c r="F63" s="150" t="s">
        <v>405</v>
      </c>
      <c r="G63" s="146" t="str">
        <f>IFERROR(VLOOKUP(F63,Table2[],2,FALSE),"")</f>
        <v>m3</v>
      </c>
      <c r="H63" s="317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I63" s="317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J63" s="317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K63" s="147"/>
    </row>
    <row r="64" spans="1:11" x14ac:dyDescent="0.55000000000000004">
      <c r="A64" s="187" t="s">
        <v>554</v>
      </c>
      <c r="B64" s="185"/>
      <c r="C64" s="185" t="s">
        <v>560</v>
      </c>
      <c r="D64" s="146" t="s">
        <v>577</v>
      </c>
      <c r="E64" s="146" t="str">
        <f>IFERROR(VLOOKUP(D64,Table2[],2,FALSE),"")</f>
        <v>Hektar</v>
      </c>
      <c r="F64" s="146" t="s">
        <v>344</v>
      </c>
      <c r="G64" s="146" t="str">
        <f>IFERROR(VLOOKUP(F64,Table2[],2,FALSE),"")</f>
        <v>t CO2-ækvivalenter</v>
      </c>
      <c r="H64" s="317">
        <f>-VLOOKUP($C64,'Kulstofoptag, skov'!$B$2:$I$13,MATCH(VALUE(RIGHT('Processer - data'!$D64,2)),'Kulstofoptag, skov'!$B$1:$I$1,0),FALSE)</f>
        <v>-2.6666666666666665</v>
      </c>
      <c r="I64" s="317">
        <f>-VLOOKUP($C64,'Kulstofoptag, skov'!$B$2:$I$13,MATCH(VALUE(RIGHT('Processer - data'!$D64,2)),'Kulstofoptag, skov'!$B$1:$I$1,0),FALSE)</f>
        <v>-2.6666666666666665</v>
      </c>
      <c r="J64" s="317">
        <f>-VLOOKUP($C64,'Kulstofoptag, skov'!$B$2:$I$13,MATCH(VALUE(RIGHT('Processer - data'!$D64,2)),'Kulstofoptag, skov'!$B$1:$I$1,0),FALSE)</f>
        <v>-2.6666666666666665</v>
      </c>
      <c r="K64" s="147"/>
    </row>
    <row r="65" spans="1:11" x14ac:dyDescent="0.55000000000000004">
      <c r="A65" s="187" t="s">
        <v>554</v>
      </c>
      <c r="B65" s="185"/>
      <c r="C65" s="185" t="s">
        <v>560</v>
      </c>
      <c r="D65" s="146" t="s">
        <v>578</v>
      </c>
      <c r="E65" s="146" t="str">
        <f>IFERROR(VLOOKUP(D65,Table2[],2,FALSE),"")</f>
        <v>Hektar</v>
      </c>
      <c r="F65" s="146" t="s">
        <v>553</v>
      </c>
      <c r="G65" s="146" t="str">
        <f>IFERROR(VLOOKUP(F65,Table2[],2,FALSE),"")</f>
        <v>m3</v>
      </c>
      <c r="H65" s="317">
        <f>SUMIFS(IF(VALUE(RIGHT('Processer - data'!$D65,2))=10,Hugst!$C$4:$C$15,IF(VALUE(RIGHT('Processer - data'!$D65,2))=20,Hugst!$D$4:$D$15,IF(VALUE(RIGHT('Processer - data'!$D65,2))=30,Hugst!$E$4:$E$15,Hugst!$F$4:$F$15))),Hugst!$A$4:$A$15,'Processer - data'!$C65,Hugst!$B$4:$B$15,'Processer - data'!$F65)</f>
        <v>0</v>
      </c>
      <c r="I65" s="317">
        <f>SUMIFS(IF(VALUE(RIGHT('Processer - data'!$D65,2))=10,Hugst!$C$4:$C$15,IF(VALUE(RIGHT('Processer - data'!$D65,2))=20,Hugst!$D$4:$D$15,IF(VALUE(RIGHT('Processer - data'!$D65,2))=30,Hugst!$E$4:$E$15,Hugst!$F$4:$F$15))),Hugst!$A$4:$A$15,'Processer - data'!$C65,Hugst!$B$4:$B$15,'Processer - data'!$F65)</f>
        <v>0</v>
      </c>
      <c r="J65" s="317">
        <f>SUMIFS(IF(VALUE(RIGHT('Processer - data'!$D65,2))=10,Hugst!$C$4:$C$15,IF(VALUE(RIGHT('Processer - data'!$D65,2))=20,Hugst!$D$4:$D$15,IF(VALUE(RIGHT('Processer - data'!$D65,2))=30,Hugst!$E$4:$E$15,Hugst!$F$4:$F$15))),Hugst!$A$4:$A$15,'Processer - data'!$C65,Hugst!$B$4:$B$15,'Processer - data'!$F65)</f>
        <v>0</v>
      </c>
      <c r="K65" s="147"/>
    </row>
    <row r="66" spans="1:11" x14ac:dyDescent="0.55000000000000004">
      <c r="A66" s="187" t="s">
        <v>554</v>
      </c>
      <c r="B66" s="185"/>
      <c r="C66" s="185" t="s">
        <v>560</v>
      </c>
      <c r="D66" s="146" t="s">
        <v>578</v>
      </c>
      <c r="E66" s="146" t="str">
        <f>IFERROR(VLOOKUP(D66,Table2[],2,FALSE),"")</f>
        <v>Hektar</v>
      </c>
      <c r="F66" s="146" t="s">
        <v>405</v>
      </c>
      <c r="G66" s="146" t="str">
        <f>IFERROR(VLOOKUP(F66,Table2[],2,FALSE),"")</f>
        <v>m3</v>
      </c>
      <c r="H66" s="317">
        <f>SUMIFS(IF(VALUE(RIGHT('Processer - data'!$D66,2))=10,Hugst!$C$4:$C$15,IF(VALUE(RIGHT('Processer - data'!$D66,2))=20,Hugst!$D$4:$D$15,IF(VALUE(RIGHT('Processer - data'!$D66,2))=30,Hugst!$E$4:$E$15,Hugst!$F$4:$F$15))),Hugst!$A$4:$A$15,'Processer - data'!$C66,Hugst!$B$4:$B$15,'Processer - data'!$F66)</f>
        <v>0</v>
      </c>
      <c r="I66" s="317">
        <f>SUMIFS(IF(VALUE(RIGHT('Processer - data'!$D66,2))=10,Hugst!$C$4:$C$15,IF(VALUE(RIGHT('Processer - data'!$D66,2))=20,Hugst!$D$4:$D$15,IF(VALUE(RIGHT('Processer - data'!$D66,2))=30,Hugst!$E$4:$E$15,Hugst!$F$4:$F$15))),Hugst!$A$4:$A$15,'Processer - data'!$C66,Hugst!$B$4:$B$15,'Processer - data'!$F66)</f>
        <v>0</v>
      </c>
      <c r="J66" s="317">
        <f>SUMIFS(IF(VALUE(RIGHT('Processer - data'!$D66,2))=10,Hugst!$C$4:$C$15,IF(VALUE(RIGHT('Processer - data'!$D66,2))=20,Hugst!$D$4:$D$15,IF(VALUE(RIGHT('Processer - data'!$D66,2))=30,Hugst!$E$4:$E$15,Hugst!$F$4:$F$15))),Hugst!$A$4:$A$15,'Processer - data'!$C66,Hugst!$B$4:$B$15,'Processer - data'!$F66)</f>
        <v>0</v>
      </c>
      <c r="K66" s="147"/>
    </row>
    <row r="67" spans="1:11" x14ac:dyDescent="0.55000000000000004">
      <c r="A67" s="187" t="s">
        <v>554</v>
      </c>
      <c r="B67" s="185"/>
      <c r="C67" s="185" t="s">
        <v>560</v>
      </c>
      <c r="D67" s="146" t="s">
        <v>578</v>
      </c>
      <c r="E67" s="146" t="str">
        <f>IFERROR(VLOOKUP(D67,Table2[],2,FALSE),"")</f>
        <v>Hektar</v>
      </c>
      <c r="F67" s="146" t="s">
        <v>344</v>
      </c>
      <c r="G67" s="146" t="str">
        <f>IFERROR(VLOOKUP(F67,Table2[],2,FALSE),"")</f>
        <v>t CO2-ækvivalenter</v>
      </c>
      <c r="H67" s="317">
        <f>-VLOOKUP($C67,'Kulstofoptag, skov'!$B$2:$I$13,MATCH(VALUE(RIGHT('Processer - data'!$D67,2)),'Kulstofoptag, skov'!$B$1:$I$1,0),FALSE)</f>
        <v>-2.6666666666666665</v>
      </c>
      <c r="I67" s="317">
        <f>-VLOOKUP($C67,'Kulstofoptag, skov'!$B$2:$I$13,MATCH(VALUE(RIGHT('Processer - data'!$D67,2)),'Kulstofoptag, skov'!$B$1:$I$1,0),FALSE)</f>
        <v>-2.6666666666666665</v>
      </c>
      <c r="J67" s="317">
        <f>-VLOOKUP($C67,'Kulstofoptag, skov'!$B$2:$I$13,MATCH(VALUE(RIGHT('Processer - data'!$D67,2)),'Kulstofoptag, skov'!$B$1:$I$1,0),FALSE)</f>
        <v>-2.6666666666666665</v>
      </c>
      <c r="K67" s="147"/>
    </row>
    <row r="68" spans="1:11" x14ac:dyDescent="0.55000000000000004">
      <c r="A68" s="187" t="s">
        <v>554</v>
      </c>
      <c r="B68" s="185"/>
      <c r="C68" s="185" t="s">
        <v>560</v>
      </c>
      <c r="D68" s="146" t="s">
        <v>579</v>
      </c>
      <c r="E68" s="146" t="str">
        <f>IFERROR(VLOOKUP(D68,Table2[],2,FALSE),"")</f>
        <v>Hektar</v>
      </c>
      <c r="F68" s="146" t="s">
        <v>553</v>
      </c>
      <c r="G68" s="146" t="str">
        <f>IFERROR(VLOOKUP(F68,Table2[],2,FALSE),"")</f>
        <v>m3</v>
      </c>
      <c r="H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0.17075688277482162</v>
      </c>
      <c r="I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0.17075688277482162</v>
      </c>
      <c r="J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0.17075688277482162</v>
      </c>
      <c r="K68" s="147"/>
    </row>
    <row r="69" spans="1:11" x14ac:dyDescent="0.55000000000000004">
      <c r="A69" s="187" t="s">
        <v>554</v>
      </c>
      <c r="B69" s="185"/>
      <c r="C69" s="185" t="s">
        <v>560</v>
      </c>
      <c r="D69" s="146" t="s">
        <v>579</v>
      </c>
      <c r="E69" s="146" t="str">
        <f>IFERROR(VLOOKUP(D69,Table2[],2,FALSE),"")</f>
        <v>Hektar</v>
      </c>
      <c r="F69" s="146" t="s">
        <v>405</v>
      </c>
      <c r="G69" s="146" t="str">
        <f>IFERROR(VLOOKUP(F69,Table2[],2,FALSE),"")</f>
        <v>m3</v>
      </c>
      <c r="H69" s="317">
        <f>SUMIFS(IF(VALUE(RIGHT('Processer - data'!$D69,2))=10,Hugst!$C$4:$C$15,IF(VALUE(RIGHT('Processer - data'!$D69,2))=20,Hugst!$D$4:$D$15,IF(VALUE(RIGHT('Processer - data'!$D69,2))=30,Hugst!$E$4:$E$15,Hugst!$F$4:$F$15))),Hugst!$A$4:$A$15,'Processer - data'!$C69,Hugst!$B$4:$B$15,'Processer - data'!$F69)</f>
        <v>0.22583974818605437</v>
      </c>
      <c r="I69" s="317">
        <f>SUMIFS(IF(VALUE(RIGHT('Processer - data'!$D69,2))=10,Hugst!$C$4:$C$15,IF(VALUE(RIGHT('Processer - data'!$D69,2))=20,Hugst!$D$4:$D$15,IF(VALUE(RIGHT('Processer - data'!$D69,2))=30,Hugst!$E$4:$E$15,Hugst!$F$4:$F$15))),Hugst!$A$4:$A$15,'Processer - data'!$C69,Hugst!$B$4:$B$15,'Processer - data'!$F69)</f>
        <v>0.22583974818605437</v>
      </c>
      <c r="J69" s="317">
        <f>SUMIFS(IF(VALUE(RIGHT('Processer - data'!$D69,2))=10,Hugst!$C$4:$C$15,IF(VALUE(RIGHT('Processer - data'!$D69,2))=20,Hugst!$D$4:$D$15,IF(VALUE(RIGHT('Processer - data'!$D69,2))=30,Hugst!$E$4:$E$15,Hugst!$F$4:$F$15))),Hugst!$A$4:$A$15,'Processer - data'!$C69,Hugst!$B$4:$B$15,'Processer - data'!$F69)</f>
        <v>0.22583974818605437</v>
      </c>
      <c r="K69" s="147"/>
    </row>
    <row r="70" spans="1:11" x14ac:dyDescent="0.55000000000000004">
      <c r="A70" s="187" t="s">
        <v>554</v>
      </c>
      <c r="B70" s="185"/>
      <c r="C70" s="185" t="s">
        <v>560</v>
      </c>
      <c r="D70" s="146" t="s">
        <v>579</v>
      </c>
      <c r="E70" s="146" t="str">
        <f>IFERROR(VLOOKUP(D70,Table2[],2,FALSE),"")</f>
        <v>Hektar</v>
      </c>
      <c r="F70" s="146" t="s">
        <v>344</v>
      </c>
      <c r="G70" s="146" t="str">
        <f>IFERROR(VLOOKUP(F70,Table2[],2,FALSE),"")</f>
        <v>t CO2-ækvivalenter</v>
      </c>
      <c r="H70" s="317">
        <f>-VLOOKUP($C70,'Kulstofoptag, skov'!$B$2:$I$13,MATCH(VALUE(RIGHT('Processer - data'!$D70,2)),'Kulstofoptag, skov'!$B$1:$I$1,0),FALSE)</f>
        <v>-3.3333333333333335</v>
      </c>
      <c r="I70" s="317">
        <f>-VLOOKUP($C70,'Kulstofoptag, skov'!$B$2:$I$13,MATCH(VALUE(RIGHT('Processer - data'!$D70,2)),'Kulstofoptag, skov'!$B$1:$I$1,0),FALSE)</f>
        <v>-3.3333333333333335</v>
      </c>
      <c r="J70" s="317">
        <f>-VLOOKUP($C70,'Kulstofoptag, skov'!$B$2:$I$13,MATCH(VALUE(RIGHT('Processer - data'!$D70,2)),'Kulstofoptag, skov'!$B$1:$I$1,0),FALSE)</f>
        <v>-3.3333333333333335</v>
      </c>
      <c r="K70" s="147"/>
    </row>
    <row r="71" spans="1:11" x14ac:dyDescent="0.55000000000000004">
      <c r="A71" s="187" t="s">
        <v>554</v>
      </c>
      <c r="B71" s="185"/>
      <c r="C71" s="185" t="s">
        <v>560</v>
      </c>
      <c r="D71" s="146" t="s">
        <v>580</v>
      </c>
      <c r="E71" s="146" t="str">
        <f>IFERROR(VLOOKUP(D71,Table2[],2,FALSE),"")</f>
        <v>Hektar</v>
      </c>
      <c r="F71" s="146" t="s">
        <v>553</v>
      </c>
      <c r="G71" s="146" t="str">
        <f>IFERROR(VLOOKUP(F71,Table2[],2,FALSE),"")</f>
        <v>m3</v>
      </c>
      <c r="H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2.0529707955621812</v>
      </c>
      <c r="I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2.0529707955621812</v>
      </c>
      <c r="J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2.0529707955621812</v>
      </c>
      <c r="K71" s="147"/>
    </row>
    <row r="72" spans="1:11" x14ac:dyDescent="0.55000000000000004">
      <c r="A72" s="187" t="s">
        <v>554</v>
      </c>
      <c r="B72" s="185"/>
      <c r="C72" s="185" t="s">
        <v>560</v>
      </c>
      <c r="D72" s="146" t="s">
        <v>580</v>
      </c>
      <c r="E72" s="146" t="str">
        <f>IFERROR(VLOOKUP(D72,Table2[],2,FALSE),"")</f>
        <v>Hektar</v>
      </c>
      <c r="F72" s="146" t="s">
        <v>405</v>
      </c>
      <c r="G72" s="146" t="str">
        <f>IFERROR(VLOOKUP(F72,Table2[],2,FALSE),"")</f>
        <v>m3</v>
      </c>
      <c r="H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1.1198022521248263</v>
      </c>
      <c r="I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1.1198022521248263</v>
      </c>
      <c r="J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1.1198022521248263</v>
      </c>
      <c r="K72" s="147"/>
    </row>
    <row r="73" spans="1:11" ht="14.7" thickBot="1" x14ac:dyDescent="0.6">
      <c r="A73" s="187" t="s">
        <v>554</v>
      </c>
      <c r="B73" s="185"/>
      <c r="C73" s="185" t="s">
        <v>560</v>
      </c>
      <c r="D73" s="146" t="s">
        <v>580</v>
      </c>
      <c r="E73" s="146" t="str">
        <f>IFERROR(VLOOKUP(D73,Table2[],2,FALSE),"")</f>
        <v>Hektar</v>
      </c>
      <c r="F73" s="146" t="s">
        <v>344</v>
      </c>
      <c r="G73" s="146" t="str">
        <f>IFERROR(VLOOKUP(F73,Table2[],2,FALSE),"")</f>
        <v>t CO2-ækvivalenter</v>
      </c>
      <c r="H73" s="319">
        <f>-VLOOKUP($C73,'Kulstofoptag, skov'!$B$2:$I$13,MATCH(VALUE(RIGHT('Processer - data'!$D73,2)),'Kulstofoptag, skov'!$B$1:$I$1,0),FALSE)</f>
        <v>-4.333333333333333</v>
      </c>
      <c r="I73" s="319">
        <f>-VLOOKUP($C73,'Kulstofoptag, skov'!$B$2:$I$13,MATCH(VALUE(RIGHT('Processer - data'!$D73,2)),'Kulstofoptag, skov'!$B$1:$I$1,0),FALSE)</f>
        <v>-4.333333333333333</v>
      </c>
      <c r="J73" s="319">
        <f>-VLOOKUP($C73,'Kulstofoptag, skov'!$B$2:$I$13,MATCH(VALUE(RIGHT('Processer - data'!$D73,2)),'Kulstofoptag, skov'!$B$1:$I$1,0),FALSE)</f>
        <v>-4.333333333333333</v>
      </c>
      <c r="K73" s="147"/>
    </row>
    <row r="74" spans="1:11" ht="14.7" thickTop="1" x14ac:dyDescent="0.55000000000000004">
      <c r="A74" s="186" t="s">
        <v>349</v>
      </c>
      <c r="B74" s="180" t="s">
        <v>45</v>
      </c>
      <c r="C74" s="180"/>
      <c r="D74" s="144" t="s">
        <v>16</v>
      </c>
      <c r="E74" s="144" t="str">
        <f>IFERROR(VLOOKUP(D74,Table2[],2,FALSE),"")</f>
        <v>Antal</v>
      </c>
      <c r="F74" s="144" t="s">
        <v>300</v>
      </c>
      <c r="G74" s="144" t="str">
        <f>IFERROR(VLOOKUP(F74,Table2[],2,FALSE),"")</f>
        <v>Antal</v>
      </c>
      <c r="H74" s="168">
        <f>Dyrehold!$H$5</f>
        <v>1.3861685078371839</v>
      </c>
      <c r="I74" s="168">
        <f>Dyrehold!$H$5</f>
        <v>1.3861685078371839</v>
      </c>
      <c r="J74" s="168">
        <f>Dyrehold!$H$5</f>
        <v>1.3861685078371839</v>
      </c>
      <c r="K74" s="145"/>
    </row>
    <row r="75" spans="1:11" x14ac:dyDescent="0.55000000000000004">
      <c r="A75" s="187" t="s">
        <v>349</v>
      </c>
      <c r="B75" s="181" t="s">
        <v>45</v>
      </c>
      <c r="C75" s="181"/>
      <c r="D75" s="146" t="s">
        <v>16</v>
      </c>
      <c r="E75" s="146" t="str">
        <f>IFERROR(VLOOKUP(D75,Table2[],2,FALSE),"")</f>
        <v>Antal</v>
      </c>
      <c r="F75" s="146" t="s">
        <v>498</v>
      </c>
      <c r="G75" s="146" t="str">
        <f>IFERROR(VLOOKUP(F75,Table2[],2,FALSE),"")</f>
        <v>Ton</v>
      </c>
      <c r="H75" s="168">
        <f>Dyrehold!$F$5</f>
        <v>1.4953335295833323</v>
      </c>
      <c r="I75" s="168">
        <f>Dyrehold!$F$5</f>
        <v>1.4953335295833323</v>
      </c>
      <c r="J75" s="168">
        <f>Dyrehold!$F$5</f>
        <v>1.4953335295833323</v>
      </c>
      <c r="K75" s="147"/>
    </row>
    <row r="76" spans="1:11" x14ac:dyDescent="0.55000000000000004">
      <c r="A76" s="187" t="s">
        <v>349</v>
      </c>
      <c r="B76" s="181" t="s">
        <v>45</v>
      </c>
      <c r="C76" s="181"/>
      <c r="D76" s="146" t="s">
        <v>16</v>
      </c>
      <c r="E76" s="146" t="str">
        <f>IFERROR(VLOOKUP(D76,Table2[],2,FALSE),"")</f>
        <v>Antal</v>
      </c>
      <c r="F76" s="146" t="s">
        <v>39</v>
      </c>
      <c r="G76" s="146" t="str">
        <f>IFERROR(VLOOKUP(F76,Table2[],2,FALSE),"")</f>
        <v>Ton</v>
      </c>
      <c r="H76" s="168">
        <f>Dyrehold!$G$5</f>
        <v>0.19169096925932338</v>
      </c>
      <c r="I76" s="168">
        <f>Dyrehold!$G$5</f>
        <v>0.19169096925932338</v>
      </c>
      <c r="J76" s="168">
        <f>Dyrehold!$G$5</f>
        <v>0.19169096925932338</v>
      </c>
      <c r="K76" s="147"/>
    </row>
    <row r="77" spans="1:11" x14ac:dyDescent="0.55000000000000004">
      <c r="A77" s="187" t="s">
        <v>349</v>
      </c>
      <c r="B77" s="181" t="s">
        <v>45</v>
      </c>
      <c r="C77" s="181"/>
      <c r="D77" s="146" t="s">
        <v>16</v>
      </c>
      <c r="E77" s="146" t="str">
        <f>IFERROR(VLOOKUP(D77,Table2[],2,FALSE),"")</f>
        <v>Antal</v>
      </c>
      <c r="F77" s="150" t="s">
        <v>41</v>
      </c>
      <c r="G77" s="146" t="str">
        <f>IFERROR(VLOOKUP(F77,Table2[],2,FALSE),"")</f>
        <v>Ton</v>
      </c>
      <c r="H77" s="168">
        <f>Dyrehold!$K$5</f>
        <v>1.5668203052737979E-2</v>
      </c>
      <c r="I77" s="168">
        <f>Dyrehold!$K$5</f>
        <v>1.5668203052737979E-2</v>
      </c>
      <c r="J77" s="168">
        <f>Dyrehold!$K$5</f>
        <v>1.5668203052737979E-2</v>
      </c>
      <c r="K77" s="147"/>
    </row>
    <row r="78" spans="1:11" x14ac:dyDescent="0.55000000000000004">
      <c r="A78" s="187" t="s">
        <v>349</v>
      </c>
      <c r="B78" s="181" t="s">
        <v>45</v>
      </c>
      <c r="C78" s="181"/>
      <c r="D78" s="146" t="s">
        <v>16</v>
      </c>
      <c r="E78" s="146" t="str">
        <f>IFERROR(VLOOKUP(D78,Table2[],2,FALSE),"")</f>
        <v>Antal</v>
      </c>
      <c r="F78" s="146" t="s">
        <v>416</v>
      </c>
      <c r="G78" s="146" t="str">
        <f>IFERROR(VLOOKUP(F78,Table2[],2,FALSE),"")</f>
        <v>FE</v>
      </c>
      <c r="H78" s="201">
        <f>-Dyrehold!$C$5</f>
        <v>-855.47</v>
      </c>
      <c r="I78" s="201">
        <f>-Dyrehold!$C$5</f>
        <v>-855.47</v>
      </c>
      <c r="J78" s="201">
        <f>-Dyrehold!$C$5</f>
        <v>-855.47</v>
      </c>
      <c r="K78" s="147"/>
    </row>
    <row r="79" spans="1:11" x14ac:dyDescent="0.55000000000000004">
      <c r="A79" s="187" t="s">
        <v>349</v>
      </c>
      <c r="B79" s="181" t="s">
        <v>45</v>
      </c>
      <c r="C79" s="181"/>
      <c r="D79" s="146" t="s">
        <v>16</v>
      </c>
      <c r="E79" s="146" t="str">
        <f>IFERROR(VLOOKUP(D79,Table2[],2,FALSE),"")</f>
        <v>Antal</v>
      </c>
      <c r="F79" s="146" t="s">
        <v>37</v>
      </c>
      <c r="G79" s="146" t="str">
        <f>IFERROR(VLOOKUP(F79,Table2[],2,FALSE),"")</f>
        <v>Ton</v>
      </c>
      <c r="H79" s="168">
        <f>-Dyrehold!$L$5</f>
        <v>-6.5699999999999995E-2</v>
      </c>
      <c r="I79" s="168">
        <f>-Dyrehold!$L$5</f>
        <v>-6.5699999999999995E-2</v>
      </c>
      <c r="J79" s="168">
        <f>-Dyrehold!$L$5</f>
        <v>-6.5699999999999995E-2</v>
      </c>
      <c r="K79" s="147"/>
    </row>
    <row r="80" spans="1:11" ht="14.7" thickBot="1" x14ac:dyDescent="0.6">
      <c r="A80" s="188" t="s">
        <v>349</v>
      </c>
      <c r="B80" s="182" t="s">
        <v>45</v>
      </c>
      <c r="C80" s="182"/>
      <c r="D80" s="148" t="s">
        <v>16</v>
      </c>
      <c r="E80" s="148" t="str">
        <f>IFERROR(VLOOKUP(D80,Table2[],2,FALSE),"")</f>
        <v>Antal</v>
      </c>
      <c r="F80" s="202" t="s">
        <v>344</v>
      </c>
      <c r="G80" s="148" t="str">
        <f>IFERROR(VLOOKUP(F80,Table2[],2,FALSE),"")</f>
        <v>t CO2-ækvivalenter</v>
      </c>
      <c r="H80" s="177">
        <f>Dyrehold!$M$5</f>
        <v>0.11202449132751124</v>
      </c>
      <c r="I80" s="177">
        <f>Dyrehold!$M$5</f>
        <v>0.11202449132751124</v>
      </c>
      <c r="J80" s="177">
        <f>Dyrehold!$M$5</f>
        <v>0.11202449132751124</v>
      </c>
      <c r="K80" s="149"/>
    </row>
    <row r="81" spans="1:11" ht="14.7" thickTop="1" x14ac:dyDescent="0.55000000000000004">
      <c r="A81" s="187" t="s">
        <v>349</v>
      </c>
      <c r="B81" s="181" t="s">
        <v>46</v>
      </c>
      <c r="C81" s="181"/>
      <c r="D81" s="146" t="s">
        <v>16</v>
      </c>
      <c r="E81" s="146" t="str">
        <f>IFERROR(VLOOKUP(D81,Table2[],2,FALSE),"")</f>
        <v>Antal</v>
      </c>
      <c r="F81" s="146" t="s">
        <v>300</v>
      </c>
      <c r="G81" s="146" t="str">
        <f>IFERROR(VLOOKUP(F81,Table2[],2,FALSE),"")</f>
        <v>Antal</v>
      </c>
      <c r="H81" s="168">
        <f>Dyrehold!$H$6</f>
        <v>0.47263527552126194</v>
      </c>
      <c r="I81" s="168">
        <f>Dyrehold!$H$6</f>
        <v>0.47263527552126194</v>
      </c>
      <c r="J81" s="168">
        <f>Dyrehold!$H$6</f>
        <v>0.47263527552126194</v>
      </c>
      <c r="K81" s="147"/>
    </row>
    <row r="82" spans="1:11" x14ac:dyDescent="0.55000000000000004">
      <c r="A82" s="187" t="s">
        <v>349</v>
      </c>
      <c r="B82" s="181" t="s">
        <v>46</v>
      </c>
      <c r="C82" s="181"/>
      <c r="D82" s="146" t="s">
        <v>16</v>
      </c>
      <c r="E82" s="146" t="str">
        <f>IFERROR(VLOOKUP(D82,Table2[],2,FALSE),"")</f>
        <v>Antal</v>
      </c>
      <c r="F82" s="146" t="s">
        <v>498</v>
      </c>
      <c r="G82" s="146" t="str">
        <f>IFERROR(VLOOKUP(F82,Table2[],2,FALSE),"")</f>
        <v>Ton</v>
      </c>
      <c r="H82" s="168">
        <f>Dyrehold!$F$6</f>
        <v>0</v>
      </c>
      <c r="I82" s="168">
        <f>Dyrehold!$F$6</f>
        <v>0</v>
      </c>
      <c r="J82" s="168">
        <f>Dyrehold!$F$6</f>
        <v>0</v>
      </c>
      <c r="K82" s="147"/>
    </row>
    <row r="83" spans="1:11" x14ac:dyDescent="0.55000000000000004">
      <c r="A83" s="187" t="s">
        <v>349</v>
      </c>
      <c r="B83" s="181" t="s">
        <v>46</v>
      </c>
      <c r="C83" s="181"/>
      <c r="D83" s="146" t="s">
        <v>16</v>
      </c>
      <c r="E83" s="146" t="str">
        <f>IFERROR(VLOOKUP(D83,Table2[],2,FALSE),"")</f>
        <v>Antal</v>
      </c>
      <c r="F83" s="146" t="s">
        <v>39</v>
      </c>
      <c r="G83" s="146" t="str">
        <f>IFERROR(VLOOKUP(F83,Table2[],2,FALSE),"")</f>
        <v>Ton</v>
      </c>
      <c r="H83" s="168">
        <f>Dyrehold!$G$6</f>
        <v>0.51229925609666671</v>
      </c>
      <c r="I83" s="168">
        <f>Dyrehold!$G$6</f>
        <v>0.51229925609666671</v>
      </c>
      <c r="J83" s="168">
        <f>Dyrehold!$G$6</f>
        <v>0.51229925609666671</v>
      </c>
      <c r="K83" s="147"/>
    </row>
    <row r="84" spans="1:11" x14ac:dyDescent="0.55000000000000004">
      <c r="A84" s="187" t="s">
        <v>349</v>
      </c>
      <c r="B84" s="181" t="s">
        <v>46</v>
      </c>
      <c r="C84" s="181"/>
      <c r="D84" s="146" t="s">
        <v>16</v>
      </c>
      <c r="E84" s="146" t="str">
        <f>IFERROR(VLOOKUP(D84,Table2[],2,FALSE),"")</f>
        <v>Antal</v>
      </c>
      <c r="F84" s="150" t="s">
        <v>41</v>
      </c>
      <c r="G84" s="146" t="str">
        <f>IFERROR(VLOOKUP(F84,Table2[],2,FALSE),"")</f>
        <v>Ton</v>
      </c>
      <c r="H84" s="168">
        <f>Dyrehold!$K$6</f>
        <v>1.5668203052737979E-2</v>
      </c>
      <c r="I84" s="168">
        <f>Dyrehold!$K$6</f>
        <v>1.5668203052737979E-2</v>
      </c>
      <c r="J84" s="168">
        <f>Dyrehold!$K$6</f>
        <v>1.5668203052737979E-2</v>
      </c>
      <c r="K84" s="147"/>
    </row>
    <row r="85" spans="1:11" x14ac:dyDescent="0.55000000000000004">
      <c r="A85" s="187" t="s">
        <v>349</v>
      </c>
      <c r="B85" s="181" t="s">
        <v>46</v>
      </c>
      <c r="C85" s="181"/>
      <c r="D85" s="146" t="s">
        <v>16</v>
      </c>
      <c r="E85" s="146" t="str">
        <f>IFERROR(VLOOKUP(D85,Table2[],2,FALSE),"")</f>
        <v>Antal</v>
      </c>
      <c r="F85" s="146" t="s">
        <v>416</v>
      </c>
      <c r="G85" s="146" t="str">
        <f>IFERROR(VLOOKUP(F85,Table2[],2,FALSE),"")</f>
        <v>FE</v>
      </c>
      <c r="H85" s="201">
        <f>-Dyrehold!$C$6</f>
        <v>-855.47</v>
      </c>
      <c r="I85" s="201">
        <f>-Dyrehold!$C$6</f>
        <v>-855.47</v>
      </c>
      <c r="J85" s="201">
        <f>-Dyrehold!$C$6</f>
        <v>-855.47</v>
      </c>
      <c r="K85" s="147"/>
    </row>
    <row r="86" spans="1:11" x14ac:dyDescent="0.55000000000000004">
      <c r="A86" s="187" t="s">
        <v>349</v>
      </c>
      <c r="B86" s="181" t="s">
        <v>46</v>
      </c>
      <c r="C86" s="181"/>
      <c r="D86" s="146" t="s">
        <v>16</v>
      </c>
      <c r="E86" s="146" t="str">
        <f>IFERROR(VLOOKUP(D86,Table2[],2,FALSE),"")</f>
        <v>Antal</v>
      </c>
      <c r="F86" s="146" t="s">
        <v>37</v>
      </c>
      <c r="G86" s="146" t="str">
        <f>IFERROR(VLOOKUP(F86,Table2[],2,FALSE),"")</f>
        <v>Ton</v>
      </c>
      <c r="H86" s="168">
        <f>-Dyrehold!$L$6</f>
        <v>-5.7750000000000003E-2</v>
      </c>
      <c r="I86" s="168">
        <f>-Dyrehold!$L$6</f>
        <v>-5.7750000000000003E-2</v>
      </c>
      <c r="J86" s="168">
        <f>-Dyrehold!$L$6</f>
        <v>-5.7750000000000003E-2</v>
      </c>
      <c r="K86" s="147"/>
    </row>
    <row r="87" spans="1:11" ht="14.7" thickBot="1" x14ac:dyDescent="0.6">
      <c r="A87" s="187" t="s">
        <v>349</v>
      </c>
      <c r="B87" s="181" t="s">
        <v>46</v>
      </c>
      <c r="C87" s="181"/>
      <c r="D87" s="146" t="s">
        <v>16</v>
      </c>
      <c r="E87" s="146" t="str">
        <f>IFERROR(VLOOKUP(D87,Table2[],2,FALSE),"")</f>
        <v>Antal</v>
      </c>
      <c r="F87" s="150" t="s">
        <v>344</v>
      </c>
      <c r="G87" s="146" t="str">
        <f>IFERROR(VLOOKUP(F87,Table2[],2,FALSE),"")</f>
        <v>t CO2-ækvivalenter</v>
      </c>
      <c r="H87" s="177">
        <f>Dyrehold!$M$6</f>
        <v>0.12322694046026236</v>
      </c>
      <c r="I87" s="177">
        <f>Dyrehold!$M$6</f>
        <v>0.12322694046026236</v>
      </c>
      <c r="J87" s="177">
        <f>Dyrehold!$M$6</f>
        <v>0.12322694046026236</v>
      </c>
      <c r="K87" s="147"/>
    </row>
    <row r="88" spans="1:11" ht="14.7" thickTop="1" x14ac:dyDescent="0.55000000000000004">
      <c r="A88" s="186" t="s">
        <v>351</v>
      </c>
      <c r="B88" s="180" t="s">
        <v>45</v>
      </c>
      <c r="C88" s="180"/>
      <c r="D88" s="144" t="s">
        <v>17</v>
      </c>
      <c r="E88" s="144" t="str">
        <f>IFERROR(VLOOKUP(D88,Table2[],2,FALSE),"")</f>
        <v>Antal</v>
      </c>
      <c r="F88" s="144" t="s">
        <v>301</v>
      </c>
      <c r="G88" s="144" t="str">
        <f>IFERROR(VLOOKUP(F88,Table2[],2,FALSE),"")</f>
        <v>Antal</v>
      </c>
      <c r="H88" s="176">
        <f>Dyrehold!$H$7</f>
        <v>0.34772753819004898</v>
      </c>
      <c r="I88" s="176">
        <f>Dyrehold!$H$7</f>
        <v>0.34772753819004898</v>
      </c>
      <c r="J88" s="176">
        <f>Dyrehold!$H$7</f>
        <v>0.34772753819004898</v>
      </c>
      <c r="K88" s="145"/>
    </row>
    <row r="89" spans="1:11" x14ac:dyDescent="0.55000000000000004">
      <c r="A89" s="187" t="s">
        <v>351</v>
      </c>
      <c r="B89" s="181" t="s">
        <v>45</v>
      </c>
      <c r="C89" s="181"/>
      <c r="D89" s="146" t="s">
        <v>17</v>
      </c>
      <c r="E89" s="146" t="str">
        <f>IFERROR(VLOOKUP(D89,Table2[],2,FALSE),"")</f>
        <v>Antal</v>
      </c>
      <c r="F89" s="146" t="s">
        <v>499</v>
      </c>
      <c r="G89" s="146" t="str">
        <f>IFERROR(VLOOKUP(F89,Table2[],2,FALSE),"")</f>
        <v>Ton</v>
      </c>
      <c r="H89" s="168">
        <f>Dyrehold!$F$7</f>
        <v>10.090491238149957</v>
      </c>
      <c r="I89" s="168">
        <f>Dyrehold!$F$7</f>
        <v>10.090491238149957</v>
      </c>
      <c r="J89" s="168">
        <f>Dyrehold!$F$7</f>
        <v>10.090491238149957</v>
      </c>
      <c r="K89" s="147"/>
    </row>
    <row r="90" spans="1:11" x14ac:dyDescent="0.55000000000000004">
      <c r="A90" s="187" t="s">
        <v>351</v>
      </c>
      <c r="B90" s="181" t="s">
        <v>45</v>
      </c>
      <c r="C90" s="181"/>
      <c r="D90" s="146" t="s">
        <v>17</v>
      </c>
      <c r="E90" s="146" t="str">
        <f>IFERROR(VLOOKUP(D90,Table2[],2,FALSE),"")</f>
        <v>Antal</v>
      </c>
      <c r="F90" s="146" t="s">
        <v>39</v>
      </c>
      <c r="G90" s="146" t="str">
        <f>IFERROR(VLOOKUP(F90,Table2[],2,FALSE),"")</f>
        <v>Ton</v>
      </c>
      <c r="H90" s="168">
        <f>Dyrehold!$G$7</f>
        <v>0.19774537441874415</v>
      </c>
      <c r="I90" s="168">
        <f>Dyrehold!$G$7</f>
        <v>0.19774537441874415</v>
      </c>
      <c r="J90" s="168">
        <f>Dyrehold!$G$7</f>
        <v>0.19774537441874415</v>
      </c>
      <c r="K90" s="147"/>
    </row>
    <row r="91" spans="1:11" x14ac:dyDescent="0.55000000000000004">
      <c r="A91" s="187" t="s">
        <v>351</v>
      </c>
      <c r="B91" s="181" t="s">
        <v>45</v>
      </c>
      <c r="C91" s="181"/>
      <c r="D91" s="146" t="s">
        <v>17</v>
      </c>
      <c r="E91" s="146" t="str">
        <f>IFERROR(VLOOKUP(D91,Table2[],2,FALSE),"")</f>
        <v>Antal</v>
      </c>
      <c r="F91" s="146" t="s">
        <v>302</v>
      </c>
      <c r="G91" s="146" t="str">
        <f>IFERROR(VLOOKUP(F91,Table2[],2,FALSE),"")</f>
        <v>Ton</v>
      </c>
      <c r="H91" s="168">
        <f>Dyrehold!$D$7</f>
        <v>3.7771765723503732</v>
      </c>
      <c r="I91" s="168">
        <f>Dyrehold!$D$7</f>
        <v>3.7771765723503732</v>
      </c>
      <c r="J91" s="168">
        <f>Dyrehold!$D$7</f>
        <v>3.7771765723503732</v>
      </c>
      <c r="K91" s="147"/>
    </row>
    <row r="92" spans="1:11" x14ac:dyDescent="0.55000000000000004">
      <c r="A92" s="187" t="s">
        <v>351</v>
      </c>
      <c r="B92" s="181" t="s">
        <v>45</v>
      </c>
      <c r="C92" s="181"/>
      <c r="D92" s="146" t="s">
        <v>17</v>
      </c>
      <c r="E92" s="146" t="str">
        <f>IFERROR(VLOOKUP(D92,Table2[],2,FALSE),"")</f>
        <v>Antal</v>
      </c>
      <c r="F92" s="150" t="s">
        <v>41</v>
      </c>
      <c r="G92" s="146" t="str">
        <f>IFERROR(VLOOKUP(F92,Table2[],2,FALSE),"")</f>
        <v>Ton</v>
      </c>
      <c r="H92" s="168">
        <f>Dyrehold!$K$7</f>
        <v>4.3029625219252375E-2</v>
      </c>
      <c r="I92" s="168">
        <f>Dyrehold!$K$7</f>
        <v>4.3029625219252375E-2</v>
      </c>
      <c r="J92" s="168">
        <f>Dyrehold!$K$7</f>
        <v>4.3029625219252375E-2</v>
      </c>
      <c r="K92" s="147"/>
    </row>
    <row r="93" spans="1:11" x14ac:dyDescent="0.55000000000000004">
      <c r="A93" s="187" t="s">
        <v>351</v>
      </c>
      <c r="B93" s="181" t="s">
        <v>45</v>
      </c>
      <c r="C93" s="181"/>
      <c r="D93" s="146" t="s">
        <v>17</v>
      </c>
      <c r="E93" s="146" t="str">
        <f>IFERROR(VLOOKUP(D93,Table2[],2,FALSE),"")</f>
        <v>Antal</v>
      </c>
      <c r="F93" s="146" t="s">
        <v>416</v>
      </c>
      <c r="G93" s="146" t="str">
        <f>IFERROR(VLOOKUP(F93,Table2[],2,FALSE),"")</f>
        <v>FE</v>
      </c>
      <c r="H93" s="201">
        <f>-Dyrehold!$C$7</f>
        <v>-2618</v>
      </c>
      <c r="I93" s="201">
        <f>-Dyrehold!$C$7</f>
        <v>-2618</v>
      </c>
      <c r="J93" s="201">
        <f>-Dyrehold!$C$7</f>
        <v>-2618</v>
      </c>
      <c r="K93" s="147"/>
    </row>
    <row r="94" spans="1:11" x14ac:dyDescent="0.55000000000000004">
      <c r="A94" s="187" t="s">
        <v>351</v>
      </c>
      <c r="B94" s="181" t="s">
        <v>45</v>
      </c>
      <c r="C94" s="181"/>
      <c r="D94" s="146" t="s">
        <v>17</v>
      </c>
      <c r="E94" s="146" t="str">
        <f>IFERROR(VLOOKUP(D94,Table2[],2,FALSE),"")</f>
        <v>Antal</v>
      </c>
      <c r="F94" s="146" t="s">
        <v>37</v>
      </c>
      <c r="G94" s="146" t="str">
        <f>IFERROR(VLOOKUP(F94,Table2[],2,FALSE),"")</f>
        <v>Ton</v>
      </c>
      <c r="H94" s="175">
        <f>-Dyrehold!$L$7</f>
        <v>-1.095E-2</v>
      </c>
      <c r="I94" s="175">
        <f>-Dyrehold!$L$7</f>
        <v>-1.095E-2</v>
      </c>
      <c r="J94" s="175">
        <f>-Dyrehold!$L$7</f>
        <v>-1.095E-2</v>
      </c>
      <c r="K94" s="147"/>
    </row>
    <row r="95" spans="1:11" ht="14.7" thickBot="1" x14ac:dyDescent="0.6">
      <c r="A95" s="188" t="s">
        <v>351</v>
      </c>
      <c r="B95" s="182" t="s">
        <v>45</v>
      </c>
      <c r="C95" s="182"/>
      <c r="D95" s="148" t="s">
        <v>17</v>
      </c>
      <c r="E95" s="148" t="str">
        <f>IFERROR(VLOOKUP(D95,Table2[],2,FALSE),"")</f>
        <v>Antal</v>
      </c>
      <c r="F95" s="202" t="s">
        <v>344</v>
      </c>
      <c r="G95" s="148" t="str">
        <f>IFERROR(VLOOKUP(F95,Table2[],2,FALSE),"")</f>
        <v>t CO2-ækvivalenter</v>
      </c>
      <c r="H95" s="177">
        <f>Dyrehold!$M$7</f>
        <v>2.831717934524296</v>
      </c>
      <c r="I95" s="177">
        <f>Dyrehold!$M$7</f>
        <v>2.831717934524296</v>
      </c>
      <c r="J95" s="177">
        <f>Dyrehold!$M$7</f>
        <v>2.831717934524296</v>
      </c>
      <c r="K95" s="149"/>
    </row>
    <row r="96" spans="1:11" ht="14.7" thickTop="1" x14ac:dyDescent="0.55000000000000004">
      <c r="A96" s="187" t="s">
        <v>351</v>
      </c>
      <c r="B96" s="181" t="s">
        <v>46</v>
      </c>
      <c r="C96" s="181"/>
      <c r="D96" s="146" t="s">
        <v>17</v>
      </c>
      <c r="E96" s="146" t="str">
        <f>IFERROR(VLOOKUP(D96,Table2[],2,FALSE),"")</f>
        <v>Antal</v>
      </c>
      <c r="F96" s="146" t="s">
        <v>301</v>
      </c>
      <c r="G96" s="146" t="str">
        <f>IFERROR(VLOOKUP(F96,Table2[],2,FALSE),"")</f>
        <v>Antal</v>
      </c>
      <c r="H96" s="168">
        <f>Dyrehold!$H$8</f>
        <v>0.10430224472694208</v>
      </c>
      <c r="I96" s="168">
        <f>Dyrehold!$H$8</f>
        <v>0.10430224472694208</v>
      </c>
      <c r="J96" s="168">
        <f>Dyrehold!$H$8</f>
        <v>0.10430224472694208</v>
      </c>
      <c r="K96" s="147"/>
    </row>
    <row r="97" spans="1:11" x14ac:dyDescent="0.55000000000000004">
      <c r="A97" s="187" t="s">
        <v>351</v>
      </c>
      <c r="B97" s="181" t="s">
        <v>46</v>
      </c>
      <c r="C97" s="181"/>
      <c r="D97" s="146" t="s">
        <v>17</v>
      </c>
      <c r="E97" s="146" t="str">
        <f>IFERROR(VLOOKUP(D97,Table2[],2,FALSE),"")</f>
        <v>Antal</v>
      </c>
      <c r="F97" s="146" t="s">
        <v>499</v>
      </c>
      <c r="G97" s="146" t="str">
        <f>IFERROR(VLOOKUP(F97,Table2[],2,FALSE),"")</f>
        <v>Ton</v>
      </c>
      <c r="H97" s="168">
        <f>Dyrehold!$F$8</f>
        <v>5.636332840052062</v>
      </c>
      <c r="I97" s="168">
        <f>Dyrehold!$F$8</f>
        <v>5.636332840052062</v>
      </c>
      <c r="J97" s="168">
        <f>Dyrehold!$F$8</f>
        <v>5.636332840052062</v>
      </c>
      <c r="K97" s="147"/>
    </row>
    <row r="98" spans="1:11" x14ac:dyDescent="0.55000000000000004">
      <c r="A98" s="187" t="s">
        <v>351</v>
      </c>
      <c r="B98" s="181" t="s">
        <v>46</v>
      </c>
      <c r="C98" s="181"/>
      <c r="D98" s="146" t="s">
        <v>17</v>
      </c>
      <c r="E98" s="146" t="str">
        <f>IFERROR(VLOOKUP(D98,Table2[],2,FALSE),"")</f>
        <v>Antal</v>
      </c>
      <c r="F98" s="146" t="s">
        <v>39</v>
      </c>
      <c r="G98" s="146" t="str">
        <f>IFERROR(VLOOKUP(F98,Table2[],2,FALSE),"")</f>
        <v>Ton</v>
      </c>
      <c r="H98" s="168">
        <f>Dyrehold!$G$8</f>
        <v>4.6534847647404926E-2</v>
      </c>
      <c r="I98" s="168">
        <f>Dyrehold!$G$8</f>
        <v>4.6534847647404926E-2</v>
      </c>
      <c r="J98" s="168">
        <f>Dyrehold!$G$8</f>
        <v>4.6534847647404926E-2</v>
      </c>
      <c r="K98" s="147"/>
    </row>
    <row r="99" spans="1:11" x14ac:dyDescent="0.55000000000000004">
      <c r="A99" s="187" t="s">
        <v>351</v>
      </c>
      <c r="B99" s="181" t="s">
        <v>46</v>
      </c>
      <c r="C99" s="181"/>
      <c r="D99" s="146" t="s">
        <v>17</v>
      </c>
      <c r="E99" s="146" t="str">
        <f>IFERROR(VLOOKUP(D99,Table2[],2,FALSE),"")</f>
        <v>Antal</v>
      </c>
      <c r="F99" s="146" t="s">
        <v>302</v>
      </c>
      <c r="G99" s="146" t="str">
        <f>IFERROR(VLOOKUP(F99,Table2[],2,FALSE),"")</f>
        <v>Ton</v>
      </c>
      <c r="H99" s="168">
        <f>Dyrehold!$D$8</f>
        <v>2.1529053078253426</v>
      </c>
      <c r="I99" s="168">
        <f>Dyrehold!$D$8</f>
        <v>2.1529053078253426</v>
      </c>
      <c r="J99" s="168">
        <f>Dyrehold!$D$8</f>
        <v>2.1529053078253426</v>
      </c>
      <c r="K99" s="147"/>
    </row>
    <row r="100" spans="1:11" x14ac:dyDescent="0.55000000000000004">
      <c r="A100" s="187" t="s">
        <v>351</v>
      </c>
      <c r="B100" s="181" t="s">
        <v>46</v>
      </c>
      <c r="C100" s="181"/>
      <c r="D100" s="146" t="s">
        <v>17</v>
      </c>
      <c r="E100" s="146" t="str">
        <f>IFERROR(VLOOKUP(D100,Table2[],2,FALSE),"")</f>
        <v>Antal</v>
      </c>
      <c r="F100" s="150" t="s">
        <v>41</v>
      </c>
      <c r="G100" s="146" t="str">
        <f>IFERROR(VLOOKUP(F100,Table2[],2,FALSE),"")</f>
        <v>Ton</v>
      </c>
      <c r="H100" s="168">
        <f>Dyrehold!$K$8</f>
        <v>4.3029625219252375E-2</v>
      </c>
      <c r="I100" s="168">
        <f>Dyrehold!$K$8</f>
        <v>4.3029625219252375E-2</v>
      </c>
      <c r="J100" s="168">
        <f>Dyrehold!$K$8</f>
        <v>4.3029625219252375E-2</v>
      </c>
      <c r="K100" s="147"/>
    </row>
    <row r="101" spans="1:11" x14ac:dyDescent="0.55000000000000004">
      <c r="A101" s="187" t="s">
        <v>351</v>
      </c>
      <c r="B101" s="181" t="s">
        <v>46</v>
      </c>
      <c r="C101" s="181"/>
      <c r="D101" s="146" t="s">
        <v>17</v>
      </c>
      <c r="E101" s="146" t="str">
        <f>IFERROR(VLOOKUP(D101,Table2[],2,FALSE),"")</f>
        <v>Antal</v>
      </c>
      <c r="F101" s="146" t="s">
        <v>416</v>
      </c>
      <c r="G101" s="146" t="str">
        <f>IFERROR(VLOOKUP(F101,Table2[],2,FALSE),"")</f>
        <v>FE</v>
      </c>
      <c r="H101" s="201">
        <f>-Dyrehold!$C$8</f>
        <v>-2618</v>
      </c>
      <c r="I101" s="201">
        <f>-Dyrehold!$C$8</f>
        <v>-2618</v>
      </c>
      <c r="J101" s="201">
        <f>-Dyrehold!$C$8</f>
        <v>-2618</v>
      </c>
      <c r="K101" s="147"/>
    </row>
    <row r="102" spans="1:11" x14ac:dyDescent="0.55000000000000004">
      <c r="A102" s="187" t="s">
        <v>351</v>
      </c>
      <c r="B102" s="181" t="s">
        <v>46</v>
      </c>
      <c r="C102" s="181"/>
      <c r="D102" s="146" t="s">
        <v>17</v>
      </c>
      <c r="E102" s="146" t="str">
        <f>IFERROR(VLOOKUP(D102,Table2[],2,FALSE),"")</f>
        <v>Antal</v>
      </c>
      <c r="F102" s="146" t="s">
        <v>37</v>
      </c>
      <c r="G102" s="146" t="str">
        <f>IFERROR(VLOOKUP(F102,Table2[],2,FALSE),"")</f>
        <v>Ton</v>
      </c>
      <c r="H102" s="168">
        <f>-Dyrehold!$L$8</f>
        <v>-1.32E-2</v>
      </c>
      <c r="I102" s="168">
        <f>-Dyrehold!$L$8</f>
        <v>-1.32E-2</v>
      </c>
      <c r="J102" s="168">
        <f>-Dyrehold!$L$8</f>
        <v>-1.32E-2</v>
      </c>
      <c r="K102" s="147"/>
    </row>
    <row r="103" spans="1:11" ht="14.7" thickBot="1" x14ac:dyDescent="0.6">
      <c r="A103" s="187" t="s">
        <v>351</v>
      </c>
      <c r="B103" s="181" t="s">
        <v>46</v>
      </c>
      <c r="C103" s="181"/>
      <c r="D103" s="146" t="s">
        <v>17</v>
      </c>
      <c r="E103" s="146" t="str">
        <f>IFERROR(VLOOKUP(D103,Table2[],2,FALSE),"")</f>
        <v>Antal</v>
      </c>
      <c r="F103" s="150" t="s">
        <v>344</v>
      </c>
      <c r="G103" s="146" t="str">
        <f>IFERROR(VLOOKUP(F103,Table2[],2,FALSE),"")</f>
        <v>t CO2-ækvivalenter</v>
      </c>
      <c r="H103" s="177">
        <f>Dyrehold!$M$8</f>
        <v>2.3680201988872902</v>
      </c>
      <c r="I103" s="177">
        <f>Dyrehold!$M$8</f>
        <v>2.3680201988872902</v>
      </c>
      <c r="J103" s="177">
        <f>Dyrehold!$M$8</f>
        <v>2.3680201988872902</v>
      </c>
      <c r="K103" s="147"/>
    </row>
    <row r="104" spans="1:11" ht="14.7" thickTop="1" x14ac:dyDescent="0.55000000000000004">
      <c r="A104" s="186" t="s">
        <v>350</v>
      </c>
      <c r="B104" s="180" t="s">
        <v>45</v>
      </c>
      <c r="C104" s="180"/>
      <c r="D104" s="144" t="s">
        <v>18</v>
      </c>
      <c r="E104" s="144" t="str">
        <f>IFERROR(VLOOKUP(D104,Table2[],2,FALSE),"")</f>
        <v>Antal</v>
      </c>
      <c r="F104" s="144" t="s">
        <v>364</v>
      </c>
      <c r="G104" s="144" t="str">
        <f>IFERROR(VLOOKUP(F104,Table2[],2,FALSE),"")</f>
        <v>Antal</v>
      </c>
      <c r="H104" s="176">
        <f>Dyrehold!$H$9</f>
        <v>5.3363578103053619</v>
      </c>
      <c r="I104" s="176">
        <f>Dyrehold!$H$9</f>
        <v>5.3363578103053619</v>
      </c>
      <c r="J104" s="176">
        <f>Dyrehold!$H$9</f>
        <v>5.3363578103053619</v>
      </c>
      <c r="K104" s="145"/>
    </row>
    <row r="105" spans="1:11" x14ac:dyDescent="0.55000000000000004">
      <c r="A105" s="187" t="s">
        <v>350</v>
      </c>
      <c r="B105" s="181" t="s">
        <v>45</v>
      </c>
      <c r="C105" s="181"/>
      <c r="D105" s="146" t="s">
        <v>18</v>
      </c>
      <c r="E105" s="146" t="str">
        <f>IFERROR(VLOOKUP(D105,Table2[],2,FALSE),"")</f>
        <v>Antal</v>
      </c>
      <c r="F105" s="150" t="s">
        <v>500</v>
      </c>
      <c r="G105" s="146" t="str">
        <f>IFERROR(VLOOKUP(F105,Table2[],2,FALSE),"")</f>
        <v>Ton</v>
      </c>
      <c r="H105" s="175">
        <f>Dyrehold!$F$9</f>
        <v>3.3965332371824528E-4</v>
      </c>
      <c r="I105" s="175">
        <f>Dyrehold!$F$9</f>
        <v>3.3965332371824528E-4</v>
      </c>
      <c r="J105" s="175">
        <f>Dyrehold!$F$9</f>
        <v>3.3965332371824528E-4</v>
      </c>
      <c r="K105" s="147"/>
    </row>
    <row r="106" spans="1:11" x14ac:dyDescent="0.55000000000000004">
      <c r="A106" s="187" t="s">
        <v>350</v>
      </c>
      <c r="B106" s="181" t="s">
        <v>45</v>
      </c>
      <c r="C106" s="181"/>
      <c r="D106" s="146" t="s">
        <v>18</v>
      </c>
      <c r="E106" s="146" t="str">
        <f>IFERROR(VLOOKUP(D106,Table2[],2,FALSE),"")</f>
        <v>Antal</v>
      </c>
      <c r="F106" s="150" t="s">
        <v>39</v>
      </c>
      <c r="G106" s="146" t="str">
        <f>IFERROR(VLOOKUP(F106,Table2[],2,FALSE),"")</f>
        <v>Ton</v>
      </c>
      <c r="H106" s="168">
        <f>Dyrehold!$G$9</f>
        <v>7.5279568763122248E-3</v>
      </c>
      <c r="I106" s="168">
        <f>Dyrehold!$G$9</f>
        <v>7.5279568763122248E-3</v>
      </c>
      <c r="J106" s="168">
        <f>Dyrehold!$G$9</f>
        <v>7.5279568763122248E-3</v>
      </c>
      <c r="K106" s="147"/>
    </row>
    <row r="107" spans="1:11" x14ac:dyDescent="0.55000000000000004">
      <c r="A107" s="187" t="s">
        <v>350</v>
      </c>
      <c r="B107" s="181" t="s">
        <v>45</v>
      </c>
      <c r="C107" s="181"/>
      <c r="D107" s="146" t="s">
        <v>18</v>
      </c>
      <c r="E107" s="146" t="str">
        <f>IFERROR(VLOOKUP(D107,Table2[],2,FALSE),"")</f>
        <v>Antal</v>
      </c>
      <c r="F107" s="146" t="s">
        <v>313</v>
      </c>
      <c r="G107" s="146" t="str">
        <f>IFERROR(VLOOKUP(F107,Table2[],2,FALSE),"")</f>
        <v>Ton</v>
      </c>
      <c r="H107" s="203">
        <f>Dyrehold!$E$9</f>
        <v>1.1120887382109748E-2</v>
      </c>
      <c r="I107" s="203">
        <f>Dyrehold!$E$9</f>
        <v>1.1120887382109748E-2</v>
      </c>
      <c r="J107" s="203">
        <f>Dyrehold!$E$9</f>
        <v>1.1120887382109748E-2</v>
      </c>
      <c r="K107" s="147"/>
    </row>
    <row r="108" spans="1:11" x14ac:dyDescent="0.55000000000000004">
      <c r="A108" s="187" t="s">
        <v>350</v>
      </c>
      <c r="B108" s="181" t="s">
        <v>45</v>
      </c>
      <c r="C108" s="181"/>
      <c r="D108" s="146" t="s">
        <v>18</v>
      </c>
      <c r="E108" s="146" t="str">
        <f>IFERROR(VLOOKUP(D108,Table2[],2,FALSE),"")</f>
        <v>Antal</v>
      </c>
      <c r="F108" s="150" t="s">
        <v>41</v>
      </c>
      <c r="G108" s="146" t="str">
        <f>IFERROR(VLOOKUP(F108,Table2[],2,FALSE),"")</f>
        <v>Ton</v>
      </c>
      <c r="H108" s="203">
        <f>Dyrehold!$K$9</f>
        <v>4.6967971777477953E-4</v>
      </c>
      <c r="I108" s="203">
        <f>Dyrehold!$K$9</f>
        <v>4.6967971777477953E-4</v>
      </c>
      <c r="J108" s="203">
        <f>Dyrehold!$K$9</f>
        <v>4.6967971777477953E-4</v>
      </c>
      <c r="K108" s="147"/>
    </row>
    <row r="109" spans="1:11" x14ac:dyDescent="0.55000000000000004">
      <c r="A109" s="187" t="s">
        <v>350</v>
      </c>
      <c r="B109" s="181" t="s">
        <v>45</v>
      </c>
      <c r="C109" s="181"/>
      <c r="D109" s="146" t="s">
        <v>18</v>
      </c>
      <c r="E109" s="146" t="str">
        <f>IFERROR(VLOOKUP(D109,Table2[],2,FALSE),"")</f>
        <v>Antal</v>
      </c>
      <c r="F109" s="146" t="s">
        <v>416</v>
      </c>
      <c r="G109" s="146" t="str">
        <f>IFERROR(VLOOKUP(F109,Table2[],2,FALSE),"")</f>
        <v>FE</v>
      </c>
      <c r="H109" s="201">
        <f>-Dyrehold!$C$9</f>
        <v>-18.48</v>
      </c>
      <c r="I109" s="201">
        <f>-Dyrehold!$C$9</f>
        <v>-18.48</v>
      </c>
      <c r="J109" s="201">
        <f>-Dyrehold!$C$9</f>
        <v>-18.48</v>
      </c>
      <c r="K109" s="147"/>
    </row>
    <row r="110" spans="1:11" x14ac:dyDescent="0.55000000000000004">
      <c r="A110" s="187" t="s">
        <v>350</v>
      </c>
      <c r="B110" s="181" t="s">
        <v>45</v>
      </c>
      <c r="C110" s="181"/>
      <c r="D110" s="146" t="s">
        <v>18</v>
      </c>
      <c r="E110" s="146" t="str">
        <f>IFERROR(VLOOKUP(D110,Table2[],2,FALSE),"")</f>
        <v>Antal</v>
      </c>
      <c r="F110" s="146" t="s">
        <v>37</v>
      </c>
      <c r="G110" s="146" t="str">
        <f>IFERROR(VLOOKUP(F110,Table2[],2,FALSE),"")</f>
        <v>Ton</v>
      </c>
      <c r="H110" s="168">
        <f>-Dyrehold!$L$9</f>
        <v>-4.3799999999999997E-4</v>
      </c>
      <c r="I110" s="168">
        <f>-Dyrehold!$L$9</f>
        <v>-4.3799999999999997E-4</v>
      </c>
      <c r="J110" s="168">
        <f>-Dyrehold!$L$9</f>
        <v>-4.3799999999999997E-4</v>
      </c>
      <c r="K110" s="147"/>
    </row>
    <row r="111" spans="1:11" ht="14.7" thickBot="1" x14ac:dyDescent="0.6">
      <c r="A111" s="188" t="s">
        <v>350</v>
      </c>
      <c r="B111" s="182" t="s">
        <v>45</v>
      </c>
      <c r="C111" s="182"/>
      <c r="D111" s="148" t="s">
        <v>18</v>
      </c>
      <c r="E111" s="148" t="str">
        <f>IFERROR(VLOOKUP(D111,Table2[],2,FALSE),"")</f>
        <v>Antal</v>
      </c>
      <c r="F111" s="202" t="s">
        <v>344</v>
      </c>
      <c r="G111" s="148" t="str">
        <f>IFERROR(VLOOKUP(F111,Table2[],2,FALSE),"")</f>
        <v>t CO2-ækvivalenter</v>
      </c>
      <c r="H111" s="177">
        <f>Dyrehold!$M$9</f>
        <v>7.1358057718871957E-4</v>
      </c>
      <c r="I111" s="177">
        <f>Dyrehold!$M$9</f>
        <v>7.1358057718871957E-4</v>
      </c>
      <c r="J111" s="177">
        <f>Dyrehold!$M$9</f>
        <v>7.1358057718871957E-4</v>
      </c>
      <c r="K111" s="149"/>
    </row>
    <row r="112" spans="1:11" ht="14.7" thickTop="1" x14ac:dyDescent="0.55000000000000004">
      <c r="A112" s="187" t="s">
        <v>350</v>
      </c>
      <c r="B112" s="181" t="s">
        <v>46</v>
      </c>
      <c r="C112" s="181"/>
      <c r="D112" s="146" t="s">
        <v>18</v>
      </c>
      <c r="E112" s="146" t="str">
        <f>IFERROR(VLOOKUP(D112,Table2[],2,FALSE),"")</f>
        <v>Antal</v>
      </c>
      <c r="F112" s="146" t="s">
        <v>364</v>
      </c>
      <c r="G112" s="146" t="str">
        <f>IFERROR(VLOOKUP(F112,Table2[],2,FALSE),"")</f>
        <v>Antal</v>
      </c>
      <c r="H112" s="168">
        <f>Dyrehold!$H$10</f>
        <v>0.37369537669419861</v>
      </c>
      <c r="I112" s="168">
        <f>Dyrehold!$H$10</f>
        <v>0.37369537669419861</v>
      </c>
      <c r="J112" s="168">
        <f>Dyrehold!$H$10</f>
        <v>0.37369537669419861</v>
      </c>
      <c r="K112" s="147"/>
    </row>
    <row r="113" spans="1:11" x14ac:dyDescent="0.55000000000000004">
      <c r="A113" s="187" t="s">
        <v>350</v>
      </c>
      <c r="B113" s="181" t="s">
        <v>46</v>
      </c>
      <c r="C113" s="181"/>
      <c r="D113" s="146" t="s">
        <v>18</v>
      </c>
      <c r="E113" s="146" t="str">
        <f>IFERROR(VLOOKUP(D113,Table2[],2,FALSE),"")</f>
        <v>Antal</v>
      </c>
      <c r="F113" s="150" t="s">
        <v>500</v>
      </c>
      <c r="G113" s="146" t="str">
        <f>IFERROR(VLOOKUP(F113,Table2[],2,FALSE),"")</f>
        <v>Ton</v>
      </c>
      <c r="H113" s="168">
        <f>Dyrehold!$F$10</f>
        <v>6.6023396673266124E-4</v>
      </c>
      <c r="I113" s="168">
        <f>Dyrehold!$F$10</f>
        <v>6.6023396673266124E-4</v>
      </c>
      <c r="J113" s="168">
        <f>Dyrehold!$F$10</f>
        <v>6.6023396673266124E-4</v>
      </c>
      <c r="K113" s="147"/>
    </row>
    <row r="114" spans="1:11" x14ac:dyDescent="0.55000000000000004">
      <c r="A114" s="187" t="s">
        <v>350</v>
      </c>
      <c r="B114" s="181" t="s">
        <v>46</v>
      </c>
      <c r="C114" s="181"/>
      <c r="D114" s="146" t="s">
        <v>18</v>
      </c>
      <c r="E114" s="146" t="str">
        <f>IFERROR(VLOOKUP(D114,Table2[],2,FALSE),"")</f>
        <v>Antal</v>
      </c>
      <c r="F114" s="150" t="s">
        <v>39</v>
      </c>
      <c r="G114" s="146" t="str">
        <f>IFERROR(VLOOKUP(F114,Table2[],2,FALSE),"")</f>
        <v>Ton</v>
      </c>
      <c r="H114" s="175">
        <f>Dyrehold!$G$10</f>
        <v>2.4860457648070043E-3</v>
      </c>
      <c r="I114" s="175">
        <f>Dyrehold!$G$10</f>
        <v>2.4860457648070043E-3</v>
      </c>
      <c r="J114" s="175">
        <f>Dyrehold!$G$10</f>
        <v>2.4860457648070043E-3</v>
      </c>
      <c r="K114" s="147"/>
    </row>
    <row r="115" spans="1:11" x14ac:dyDescent="0.55000000000000004">
      <c r="A115" s="187" t="s">
        <v>350</v>
      </c>
      <c r="B115" s="181" t="s">
        <v>46</v>
      </c>
      <c r="C115" s="181"/>
      <c r="D115" s="146" t="s">
        <v>18</v>
      </c>
      <c r="E115" s="146" t="str">
        <f>IFERROR(VLOOKUP(D115,Table2[],2,FALSE),"")</f>
        <v>Antal</v>
      </c>
      <c r="F115" s="146" t="s">
        <v>313</v>
      </c>
      <c r="G115" s="146" t="str">
        <f>IFERROR(VLOOKUP(F115,Table2[],2,FALSE),"")</f>
        <v>Ton</v>
      </c>
      <c r="H115" s="203">
        <f>Dyrehold!$E$10</f>
        <v>4.5769564887054442E-3</v>
      </c>
      <c r="I115" s="203">
        <f>Dyrehold!$E$10</f>
        <v>4.5769564887054442E-3</v>
      </c>
      <c r="J115" s="203">
        <f>Dyrehold!$E$10</f>
        <v>4.5769564887054442E-3</v>
      </c>
      <c r="K115" s="147"/>
    </row>
    <row r="116" spans="1:11" x14ac:dyDescent="0.55000000000000004">
      <c r="A116" s="187" t="s">
        <v>350</v>
      </c>
      <c r="B116" s="181" t="s">
        <v>46</v>
      </c>
      <c r="C116" s="181"/>
      <c r="D116" s="146" t="s">
        <v>18</v>
      </c>
      <c r="E116" s="146" t="str">
        <f>IFERROR(VLOOKUP(D116,Table2[],2,FALSE),"")</f>
        <v>Antal</v>
      </c>
      <c r="F116" s="150" t="s">
        <v>41</v>
      </c>
      <c r="G116" s="146" t="str">
        <f>IFERROR(VLOOKUP(F116,Table2[],2,FALSE),"")</f>
        <v>Ton</v>
      </c>
      <c r="H116" s="203">
        <f>Dyrehold!$K$10</f>
        <v>4.6967971777477953E-4</v>
      </c>
      <c r="I116" s="203">
        <f>Dyrehold!$K$10</f>
        <v>4.6967971777477953E-4</v>
      </c>
      <c r="J116" s="203">
        <f>Dyrehold!$K$10</f>
        <v>4.6967971777477953E-4</v>
      </c>
      <c r="K116" s="147"/>
    </row>
    <row r="117" spans="1:11" x14ac:dyDescent="0.55000000000000004">
      <c r="A117" s="187" t="s">
        <v>350</v>
      </c>
      <c r="B117" s="181" t="s">
        <v>46</v>
      </c>
      <c r="C117" s="181"/>
      <c r="D117" s="146" t="s">
        <v>18</v>
      </c>
      <c r="E117" s="146" t="str">
        <f>IFERROR(VLOOKUP(D117,Table2[],2,FALSE),"")</f>
        <v>Antal</v>
      </c>
      <c r="F117" s="146" t="s">
        <v>416</v>
      </c>
      <c r="G117" s="146" t="str">
        <f>IFERROR(VLOOKUP(F117,Table2[],2,FALSE),"")</f>
        <v>FE</v>
      </c>
      <c r="H117" s="201">
        <f>-Dyrehold!$C$10</f>
        <v>-18.48</v>
      </c>
      <c r="I117" s="201">
        <f>-Dyrehold!$C$10</f>
        <v>-18.48</v>
      </c>
      <c r="J117" s="201">
        <f>-Dyrehold!$C$10</f>
        <v>-18.48</v>
      </c>
      <c r="K117" s="147"/>
    </row>
    <row r="118" spans="1:11" x14ac:dyDescent="0.55000000000000004">
      <c r="A118" s="187" t="s">
        <v>350</v>
      </c>
      <c r="B118" s="181" t="s">
        <v>46</v>
      </c>
      <c r="C118" s="181"/>
      <c r="D118" s="146" t="s">
        <v>18</v>
      </c>
      <c r="E118" s="146" t="str">
        <f>IFERROR(VLOOKUP(D118,Table2[],2,FALSE),"")</f>
        <v>Antal</v>
      </c>
      <c r="F118" s="146" t="s">
        <v>37</v>
      </c>
      <c r="G118" s="146" t="str">
        <f>IFERROR(VLOOKUP(F118,Table2[],2,FALSE),"")</f>
        <v>Ton</v>
      </c>
      <c r="H118" s="168">
        <f>-Dyrehold!$L$10</f>
        <v>-8.25E-4</v>
      </c>
      <c r="I118" s="168">
        <f>-Dyrehold!$L$10</f>
        <v>-8.25E-4</v>
      </c>
      <c r="J118" s="168">
        <f>-Dyrehold!$L$10</f>
        <v>-8.25E-4</v>
      </c>
      <c r="K118" s="147"/>
    </row>
    <row r="119" spans="1:11" ht="14.7" thickBot="1" x14ac:dyDescent="0.6">
      <c r="A119" s="187" t="s">
        <v>350</v>
      </c>
      <c r="B119" s="181" t="s">
        <v>46</v>
      </c>
      <c r="C119" s="181"/>
      <c r="D119" t="s">
        <v>18</v>
      </c>
      <c r="E119" t="str">
        <f>IFERROR(VLOOKUP(D119,Table2[],2,FALSE),"")</f>
        <v>Antal</v>
      </c>
      <c r="F119" s="150" t="s">
        <v>344</v>
      </c>
      <c r="G119" s="146" t="str">
        <f>IFERROR(VLOOKUP(F119,Table2[],2,FALSE),"")</f>
        <v>t CO2-ækvivalenter</v>
      </c>
      <c r="H119" s="177">
        <f>Dyrehold!$M$10</f>
        <v>7.8493863490759156E-4</v>
      </c>
      <c r="I119" s="177">
        <f>Dyrehold!$M$10</f>
        <v>7.8493863490759156E-4</v>
      </c>
      <c r="J119" s="177">
        <f>Dyrehold!$M$10</f>
        <v>7.8493863490759156E-4</v>
      </c>
      <c r="K119" s="147"/>
    </row>
    <row r="120" spans="1:11" ht="14.7" thickTop="1" x14ac:dyDescent="0.55000000000000004">
      <c r="A120" s="186" t="s">
        <v>25</v>
      </c>
      <c r="B120" s="180" t="s">
        <v>45</v>
      </c>
      <c r="C120" s="180" t="str">
        <f>Jordbund1</f>
        <v>JB1-10</v>
      </c>
      <c r="D120" s="144" t="s">
        <v>358</v>
      </c>
      <c r="E120" s="144" t="str">
        <f>IFERROR(VLOOKUP(D120,Table2[],2,FALSE),"")</f>
        <v>Hektar</v>
      </c>
      <c r="F120" s="144" t="s">
        <v>11</v>
      </c>
      <c r="G120" s="144" t="str">
        <f>IFERROR(VLOOKUP(F120,Table2[],2,FALSE),"")</f>
        <v>Ton</v>
      </c>
      <c r="H120" s="176">
        <f>IF($A120&lt;&gt;"Grøntsager i drivhus",IF($F120="C - land",0,IF($F120="CO2 - atmosfære",VLOOKUP(IF($F118="Halm",$F117,$F118),Afgrødedata!$A$5:$L$18,MATCH(CONCATENATE("CO2-",'Processer - data'!$C120),Afgrødedata!$A$4:$L$4,0),FALSE),IF($F120="Gødning",-VLOOKUP(IF($F119="Halm",$F118,$F119),Afgrødedata!$A$5:$L$18,MATCH(CONCATENATE("Kvælstofnorm-",'Processer - data'!$C120),Afgrødedata!$A$4:$L$4,0),FALSE),IF($F120="Halm",VLOOKUP($F119,Afgrødedata!$A$2:$L$18,MATCH(Afgrødedata!$C$4,Afgrødedata!$A$4:$L$4,0),FALSE)/10,VLOOKUP($F120,Afgrødedata!$A$2:$L$18,MATCH("Hovedafgrøde",Afgrødedata!$A$4:$L$4,0),FALSE)/10)*IF($C120="OC6",VLOOKUP(IF($F120="Gødning",IF($F119="Halm",$F118,$F119),IF($F120="Halm",$F119,$F120)),Afgrødedata!$A$2:$L$18,MATCH(Afgrødedata!$E$4,Afgrødedata!$A$4:$L$4,0),FALSE),IF($C120="OC12",VLOOKUP(IF($F120="Gødning",IF($F119="Halm",$F118,$F119),IF($F120="Halm",$F119,$F120)),Afgrødedata!$A$2:$L$18,MATCH(Afgrødedata!$F$4,Afgrødedata!$A$4:$L$4,0),FALSE),1)))*IF($B120="Økologisk",VLOOKUP(IF($F120="Gødning",IF($F119="Halm",$F118,$F119),IF($F120="Halm",$F119,$F120)),Afgrødedata!$A$2:$L$18,MATCH(Afgrødedata!$D$4,Afgrødedata!$A$4:$L$4,0),FALSE),1))),IF($F120="Grøntsager",Afgrødedata!$M$9/10*IF($B120="Økologisk",VLOOKUP($F120,Afgrødedata!$A$2:$L$18,MATCH(Afgrødedata!$D$4,Afgrødedata!$A$4:$L$4,0),FALSE),1),IF($F120="Gødning",-Afgrødedata!$N$9*IF($B120="Økologisk",VLOOKUP($F119,Afgrødedata!$A$2:$L$18,MATCH(Afgrødedata!$D$4,Afgrødedata!$A$4:$L$4,0),FALSE),1),Afgrødedata!$O$9)))</f>
        <v>7.01</v>
      </c>
      <c r="I120" s="176">
        <f>IF($A120&lt;&gt;"Grøntsager i drivhus",IF($F120="C - land",0,IF($F120="CO2 - atmosfære",VLOOKUP(IF($F118="Halm",$F117,$F118),Afgrødedata!$A$5:$L$18,MATCH(CONCATENATE("CO2-",'Processer - data'!$C120),Afgrødedata!$A$4:$L$4,0),FALSE),IF($F120="Gødning",-VLOOKUP(IF($F119="Halm",$F118,$F119),Afgrødedata!$A$5:$L$18,MATCH(CONCATENATE("Kvælstofnorm-",'Processer - data'!$C120),Afgrødedata!$A$4:$L$4,0),FALSE),IF($F120="Halm",VLOOKUP($F119,Afgrødedata!$A$2:$L$18,MATCH(Afgrødedata!$C$4,Afgrødedata!$A$4:$L$4,0),FALSE)/10,VLOOKUP($F120,Afgrødedata!$A$2:$L$18,MATCH("Hovedafgrøde",Afgrødedata!$A$4:$L$4,0),FALSE)/10)*IF($C120="OC6",VLOOKUP(IF($F120="Gødning",IF($F119="Halm",$F118,$F119),IF($F120="Halm",$F119,$F120)),Afgrødedata!$A$2:$L$18,MATCH(Afgrødedata!$E$4,Afgrødedata!$A$4:$L$4,0),FALSE),IF($C120="OC12",VLOOKUP(IF($F120="Gødning",IF($F119="Halm",$F118,$F119),IF($F120="Halm",$F119,$F120)),Afgrødedata!$A$2:$L$18,MATCH(Afgrødedata!$F$4,Afgrødedata!$A$4:$L$4,0),FALSE),1)))*IF($B120="Økologisk",VLOOKUP(IF($F120="Gødning",IF($F119="Halm",$F118,$F119),IF($F120="Halm",$F119,$F120)),Afgrødedata!$A$2:$L$18,MATCH(Afgrødedata!$D$4,Afgrødedata!$A$4:$L$4,0),FALSE),1))),IF($F120="Grøntsager",Afgrødedata!$M$9/10*IF($B120="Økologisk",VLOOKUP($F120,Afgrødedata!$A$2:$L$18,MATCH(Afgrødedata!$D$4,Afgrødedata!$A$4:$L$4,0),FALSE),1),IF($F120="Gødning",-Afgrødedata!$N$9*IF($B120="Økologisk",VLOOKUP($F119,Afgrødedata!$A$2:$L$18,MATCH(Afgrødedata!$D$4,Afgrødedata!$A$4:$L$4,0),FALSE),1),Afgrødedata!$O$9)))</f>
        <v>7.01</v>
      </c>
      <c r="J120" s="176">
        <f>IF($A120&lt;&gt;"Grøntsager i drivhus",IF($F120="C - land",0,IF($F120="CO2 - atmosfære",VLOOKUP(IF($F118="Halm",$F117,$F118),Afgrødedata!$A$5:$L$18,MATCH(CONCATENATE("CO2-",'Processer - data'!$C120),Afgrødedata!$A$4:$L$4,0),FALSE),IF($F120="Gødning",-VLOOKUP(IF($F119="Halm",$F118,$F119),Afgrødedata!$A$5:$L$18,MATCH(CONCATENATE("Kvælstofnorm-",'Processer - data'!$C120),Afgrødedata!$A$4:$L$4,0),FALSE),IF($F120="Halm",VLOOKUP($F119,Afgrødedata!$A$2:$L$18,MATCH(Afgrødedata!$C$4,Afgrødedata!$A$4:$L$4,0),FALSE)/10,VLOOKUP($F120,Afgrødedata!$A$2:$L$18,MATCH("Hovedafgrøde",Afgrødedata!$A$4:$L$4,0),FALSE)/10)*IF($C120="OC6",VLOOKUP(IF($F120="Gødning",IF($F119="Halm",$F118,$F119),IF($F120="Halm",$F119,$F120)),Afgrødedata!$A$2:$L$18,MATCH(Afgrødedata!$E$4,Afgrødedata!$A$4:$L$4,0),FALSE),IF($C120="OC12",VLOOKUP(IF($F120="Gødning",IF($F119="Halm",$F118,$F119),IF($F120="Halm",$F119,$F120)),Afgrødedata!$A$2:$L$18,MATCH(Afgrødedata!$F$4,Afgrødedata!$A$4:$L$4,0),FALSE),1)))*IF($B120="Økologisk",VLOOKUP(IF($F120="Gødning",IF($F119="Halm",$F118,$F119),IF($F120="Halm",$F119,$F120)),Afgrødedata!$A$2:$L$18,MATCH(Afgrødedata!$D$4,Afgrødedata!$A$4:$L$4,0),FALSE),1))),IF($F120="Grøntsager",Afgrødedata!$M$9/10*IF($B120="Økologisk",VLOOKUP($F120,Afgrødedata!$A$2:$L$18,MATCH(Afgrødedata!$D$4,Afgrødedata!$A$4:$L$4,0),FALSE),1),IF($F120="Gødning",-Afgrødedata!$N$9*IF($B120="Økologisk",VLOOKUP($F119,Afgrødedata!$A$2:$L$18,MATCH(Afgrødedata!$D$4,Afgrødedata!$A$4:$L$4,0),FALSE),1),Afgrødedata!$O$9)))</f>
        <v>7.01</v>
      </c>
      <c r="K120" s="145"/>
    </row>
    <row r="121" spans="1:11" x14ac:dyDescent="0.55000000000000004">
      <c r="A121" s="187" t="s">
        <v>25</v>
      </c>
      <c r="B121" s="181" t="s">
        <v>45</v>
      </c>
      <c r="C121" s="181" t="str">
        <f>Jordbund1</f>
        <v>JB1-10</v>
      </c>
      <c r="D121" s="146" t="s">
        <v>358</v>
      </c>
      <c r="E121" s="146" t="str">
        <f>IFERROR(VLOOKUP(D121,Table2[],2,FALSE),"")</f>
        <v>Hektar</v>
      </c>
      <c r="F121" s="146" t="s">
        <v>37</v>
      </c>
      <c r="G121" s="146" t="str">
        <f>IFERROR(VLOOKUP(F121,Table2[],2,FALSE),"")</f>
        <v>Ton</v>
      </c>
      <c r="H121" s="256">
        <f>IF($A121&lt;&gt;"Grøntsager i drivhus",IF($F121="C - land",0,IF($F121="CO2 - atmosfære",VLOOKUP(IF($F119="Halm",$F118,$F119),Afgrødedata!$A$5:$L$18,MATCH(CONCATENATE("CO2-",'Processer - data'!$C121),Afgrødedata!$A$4:$L$4,0),FALSE),IF($F121="Gødning",-VLOOKUP(IF($F120="Halm",$F119,$F120),Afgrødedata!$A$5:$L$18,MATCH(CONCATENATE("Kvælstofnorm-",'Processer - data'!$C121),Afgrødedata!$A$4:$L$4,0),FALSE),IF($F121="Halm",VLOOKUP($F120,Afgrødedata!$A$2:$L$18,MATCH(Afgrødedata!$C$4,Afgrødedata!$A$4:$L$4,0),FALSE)/10,VLOOKUP($F121,Afgrødedata!$A$2:$L$18,MATCH("Hovedafgrøde",Afgrødedata!$A$4:$L$4,0),FALSE)/10)*IF($C121="OC6",VLOOKUP(IF($F121="Gødning",IF($F120="Halm",$F119,$F120),IF($F121="Halm",$F120,$F121)),Afgrødedata!$A$2:$L$18,MATCH(Afgrødedata!$E$4,Afgrødedata!$A$4:$L$4,0),FALSE),IF($C121="OC12",VLOOKUP(IF($F121="Gødning",IF($F120="Halm",$F119,$F120),IF($F121="Halm",$F120,$F121)),Afgrødedata!$A$2:$L$18,MATCH(Afgrødedata!$F$4,Afgrødedata!$A$4:$L$4,0),FALSE),1)))*IF($B121="Økologisk",VLOOKUP(IF($F121="Gødning",IF($F120="Halm",$F119,$F120),IF($F121="Halm",$F120,$F121)),Afgrødedata!$A$2:$L$18,MATCH(Afgrødedata!$D$4,Afgrødedata!$A$4:$L$4,0),FALSE),1))),IF($F121="Grøntsager",Afgrødedata!$M$9/10*IF($B121="Økologisk",VLOOKUP($F121,Afgrødedata!$A$2:$L$18,MATCH(Afgrødedata!$D$4,Afgrødedata!$A$4:$L$4,0),FALSE),1),IF($F121="Gødning",-Afgrødedata!$N$9*IF($B121="Økologisk",VLOOKUP($F120,Afgrødedata!$A$2:$L$18,MATCH(Afgrødedata!$D$4,Afgrødedata!$A$4:$L$4,0),FALSE),1),Afgrødedata!$O$9)))</f>
        <v>3.8555000000000001</v>
      </c>
      <c r="I121" s="256">
        <f>IF($A121&lt;&gt;"Grøntsager i drivhus",IF($F121="C - land",0,IF($F121="CO2 - atmosfære",VLOOKUP(IF($F119="Halm",$F118,$F119),Afgrødedata!$A$5:$L$18,MATCH(CONCATENATE("CO2-",'Processer - data'!$C121),Afgrødedata!$A$4:$L$4,0),FALSE),IF($F121="Gødning",-VLOOKUP(IF($F120="Halm",$F119,$F120),Afgrødedata!$A$5:$L$18,MATCH(CONCATENATE("Kvælstofnorm-",'Processer - data'!$C121),Afgrødedata!$A$4:$L$4,0),FALSE),IF($F121="Halm",VLOOKUP($F120,Afgrødedata!$A$2:$L$18,MATCH(Afgrødedata!$C$4,Afgrødedata!$A$4:$L$4,0),FALSE)/10,VLOOKUP($F121,Afgrødedata!$A$2:$L$18,MATCH("Hovedafgrøde",Afgrødedata!$A$4:$L$4,0),FALSE)/10)*IF($C121="OC6",VLOOKUP(IF($F121="Gødning",IF($F120="Halm",$F119,$F120),IF($F121="Halm",$F120,$F121)),Afgrødedata!$A$2:$L$18,MATCH(Afgrødedata!$E$4,Afgrødedata!$A$4:$L$4,0),FALSE),IF($C121="OC12",VLOOKUP(IF($F121="Gødning",IF($F120="Halm",$F119,$F120),IF($F121="Halm",$F120,$F121)),Afgrødedata!$A$2:$L$18,MATCH(Afgrødedata!$F$4,Afgrødedata!$A$4:$L$4,0),FALSE),1)))*IF($B121="Økologisk",VLOOKUP(IF($F121="Gødning",IF($F120="Halm",$F119,$F120),IF($F121="Halm",$F120,$F121)),Afgrødedata!$A$2:$L$18,MATCH(Afgrødedata!$D$4,Afgrødedata!$A$4:$L$4,0),FALSE),1))),IF($F121="Grøntsager",Afgrødedata!$M$9/10*IF($B121="Økologisk",VLOOKUP($F121,Afgrødedata!$A$2:$L$18,MATCH(Afgrødedata!$D$4,Afgrødedata!$A$4:$L$4,0),FALSE),1),IF($F121="Gødning",-Afgrødedata!$N$9*IF($B121="Økologisk",VLOOKUP($F120,Afgrødedata!$A$2:$L$18,MATCH(Afgrødedata!$D$4,Afgrødedata!$A$4:$L$4,0),FALSE),1),Afgrødedata!$O$9)))</f>
        <v>3.8555000000000001</v>
      </c>
      <c r="J121" s="256">
        <f>IF($A121&lt;&gt;"Grøntsager i drivhus",IF($F121="C - land",0,IF($F121="CO2 - atmosfære",VLOOKUP(IF($F119="Halm",$F118,$F119),Afgrødedata!$A$5:$L$18,MATCH(CONCATENATE("CO2-",'Processer - data'!$C121),Afgrødedata!$A$4:$L$4,0),FALSE),IF($F121="Gødning",-VLOOKUP(IF($F120="Halm",$F119,$F120),Afgrødedata!$A$5:$L$18,MATCH(CONCATENATE("Kvælstofnorm-",'Processer - data'!$C121),Afgrødedata!$A$4:$L$4,0),FALSE),IF($F121="Halm",VLOOKUP($F120,Afgrødedata!$A$2:$L$18,MATCH(Afgrødedata!$C$4,Afgrødedata!$A$4:$L$4,0),FALSE)/10,VLOOKUP($F121,Afgrødedata!$A$2:$L$18,MATCH("Hovedafgrøde",Afgrødedata!$A$4:$L$4,0),FALSE)/10)*IF($C121="OC6",VLOOKUP(IF($F121="Gødning",IF($F120="Halm",$F119,$F120),IF($F121="Halm",$F120,$F121)),Afgrødedata!$A$2:$L$18,MATCH(Afgrødedata!$E$4,Afgrødedata!$A$4:$L$4,0),FALSE),IF($C121="OC12",VLOOKUP(IF($F121="Gødning",IF($F120="Halm",$F119,$F120),IF($F121="Halm",$F120,$F121)),Afgrødedata!$A$2:$L$18,MATCH(Afgrødedata!$F$4,Afgrødedata!$A$4:$L$4,0),FALSE),1)))*IF($B121="Økologisk",VLOOKUP(IF($F121="Gødning",IF($F120="Halm",$F119,$F120),IF($F121="Halm",$F120,$F121)),Afgrødedata!$A$2:$L$18,MATCH(Afgrødedata!$D$4,Afgrødedata!$A$4:$L$4,0),FALSE),1))),IF($F121="Grøntsager",Afgrødedata!$M$9/10*IF($B121="Økologisk",VLOOKUP($F121,Afgrødedata!$A$2:$L$18,MATCH(Afgrødedata!$D$4,Afgrødedata!$A$4:$L$4,0),FALSE),1),IF($F121="Gødning",-Afgrødedata!$N$9*IF($B121="Økologisk",VLOOKUP($F120,Afgrødedata!$A$2:$L$18,MATCH(Afgrødedata!$D$4,Afgrødedata!$A$4:$L$4,0),FALSE),1),Afgrødedata!$O$9)))</f>
        <v>3.8555000000000001</v>
      </c>
      <c r="K121" s="147"/>
    </row>
    <row r="122" spans="1:11" x14ac:dyDescent="0.55000000000000004">
      <c r="A122" s="187" t="s">
        <v>25</v>
      </c>
      <c r="B122" s="181" t="s">
        <v>45</v>
      </c>
      <c r="C122" s="181" t="str">
        <f>Jordbund1</f>
        <v>JB1-10</v>
      </c>
      <c r="D122" s="146" t="s">
        <v>358</v>
      </c>
      <c r="E122" s="146" t="str">
        <f>IFERROR(VLOOKUP(D122,Table2[],2,FALSE),"")</f>
        <v>Hektar</v>
      </c>
      <c r="F122" s="146" t="s">
        <v>303</v>
      </c>
      <c r="G122" s="146" t="str">
        <f>IFERROR(VLOOKUP(F122,Table2[],2,FALSE),"")</f>
        <v>kg N</v>
      </c>
      <c r="H122" s="168">
        <f>IF($A122&lt;&gt;"Grøntsager i drivhus",IF($F122="C - land",0,IF($F122="CO2 - atmosfære",VLOOKUP(IF($F120="Halm",$F119,$F120),Afgrødedata!$A$5:$L$18,MATCH(CONCATENATE("CO2-",'Processer - data'!$C122),Afgrødedata!$A$4:$L$4,0),FALSE),IF($F122="Gødning",-VLOOKUP(IF($F121="Halm",$F120,$F121),Afgrødedata!$A$5:$L$18,MATCH(CONCATENATE("Kvælstofnorm-",'Processer - data'!$C122),Afgrødedata!$A$4:$L$4,0),FALSE),IF($F122="Halm",VLOOKUP($F121,Afgrødedata!$A$2:$L$18,MATCH(Afgrødedata!$C$4,Afgrødedata!$A$4:$L$4,0),FALSE)/10,VLOOKUP($F122,Afgrødedata!$A$2:$L$18,MATCH("Hovedafgrøde",Afgrødedata!$A$4:$L$4,0),FALSE)/10)*IF($C122="OC6",VLOOKUP(IF($F122="Gødning",IF($F121="Halm",$F120,$F121),IF($F122="Halm",$F121,$F122)),Afgrødedata!$A$2:$L$18,MATCH(Afgrødedata!$E$4,Afgrødedata!$A$4:$L$4,0),FALSE),IF($C122="OC12",VLOOKUP(IF($F122="Gødning",IF($F121="Halm",$F120,$F121),IF($F122="Halm",$F121,$F122)),Afgrødedata!$A$2:$L$18,MATCH(Afgrødedata!$F$4,Afgrødedata!$A$4:$L$4,0),FALSE),1)))*IF($B122="Økologisk",VLOOKUP(IF($F122="Gødning",IF($F121="Halm",$F120,$F121),IF($F122="Halm",$F121,$F122)),Afgrødedata!$A$2:$L$18,MATCH(Afgrødedata!$D$4,Afgrødedata!$A$4:$L$4,0),FALSE),1))),IF($F122="Grøntsager",Afgrødedata!$M$9/10*IF($B122="Økologisk",VLOOKUP($F122,Afgrødedata!$A$2:$L$18,MATCH(Afgrødedata!$D$4,Afgrødedata!$A$4:$L$4,0),FALSE),1),IF($F122="Gødning",-Afgrødedata!$N$9*IF($B122="Økologisk",VLOOKUP($F121,Afgrødedata!$A$2:$L$18,MATCH(Afgrødedata!$D$4,Afgrødedata!$A$4:$L$4,0),FALSE),1),Afgrødedata!$O$9)))</f>
        <v>-160</v>
      </c>
      <c r="I122" s="168">
        <f>IF($A122&lt;&gt;"Grøntsager i drivhus",IF($F122="C - land",0,IF($F122="CO2 - atmosfære",VLOOKUP(IF($F120="Halm",$F119,$F120),Afgrødedata!$A$5:$L$18,MATCH(CONCATENATE("CO2-",'Processer - data'!$C122),Afgrødedata!$A$4:$L$4,0),FALSE),IF($F122="Gødning",-VLOOKUP(IF($F121="Halm",$F120,$F121),Afgrødedata!$A$5:$L$18,MATCH(CONCATENATE("Kvælstofnorm-",'Processer - data'!$C122),Afgrødedata!$A$4:$L$4,0),FALSE),IF($F122="Halm",VLOOKUP($F121,Afgrødedata!$A$2:$L$18,MATCH(Afgrødedata!$C$4,Afgrødedata!$A$4:$L$4,0),FALSE)/10,VLOOKUP($F122,Afgrødedata!$A$2:$L$18,MATCH("Hovedafgrøde",Afgrødedata!$A$4:$L$4,0),FALSE)/10)*IF($C122="OC6",VLOOKUP(IF($F122="Gødning",IF($F121="Halm",$F120,$F121),IF($F122="Halm",$F121,$F122)),Afgrødedata!$A$2:$L$18,MATCH(Afgrødedata!$E$4,Afgrødedata!$A$4:$L$4,0),FALSE),IF($C122="OC12",VLOOKUP(IF($F122="Gødning",IF($F121="Halm",$F120,$F121),IF($F122="Halm",$F121,$F122)),Afgrødedata!$A$2:$L$18,MATCH(Afgrødedata!$F$4,Afgrødedata!$A$4:$L$4,0),FALSE),1)))*IF($B122="Økologisk",VLOOKUP(IF($F122="Gødning",IF($F121="Halm",$F120,$F121),IF($F122="Halm",$F121,$F122)),Afgrødedata!$A$2:$L$18,MATCH(Afgrødedata!$D$4,Afgrødedata!$A$4:$L$4,0),FALSE),1))),IF($F122="Grøntsager",Afgrødedata!$M$9/10*IF($B122="Økologisk",VLOOKUP($F122,Afgrødedata!$A$2:$L$18,MATCH(Afgrødedata!$D$4,Afgrødedata!$A$4:$L$4,0),FALSE),1),IF($F122="Gødning",-Afgrødedata!$N$9*IF($B122="Økologisk",VLOOKUP($F121,Afgrødedata!$A$2:$L$18,MATCH(Afgrødedata!$D$4,Afgrødedata!$A$4:$L$4,0),FALSE),1),Afgrødedata!$O$9)))</f>
        <v>-160</v>
      </c>
      <c r="J122" s="168">
        <f>IF($A122&lt;&gt;"Grøntsager i drivhus",IF($F122="C - land",0,IF($F122="CO2 - atmosfære",VLOOKUP(IF($F120="Halm",$F119,$F120),Afgrødedata!$A$5:$L$18,MATCH(CONCATENATE("CO2-",'Processer - data'!$C122),Afgrødedata!$A$4:$L$4,0),FALSE),IF($F122="Gødning",-VLOOKUP(IF($F121="Halm",$F120,$F121),Afgrødedata!$A$5:$L$18,MATCH(CONCATENATE("Kvælstofnorm-",'Processer - data'!$C122),Afgrødedata!$A$4:$L$4,0),FALSE),IF($F122="Halm",VLOOKUP($F121,Afgrødedata!$A$2:$L$18,MATCH(Afgrødedata!$C$4,Afgrødedata!$A$4:$L$4,0),FALSE)/10,VLOOKUP($F122,Afgrødedata!$A$2:$L$18,MATCH("Hovedafgrøde",Afgrødedata!$A$4:$L$4,0),FALSE)/10)*IF($C122="OC6",VLOOKUP(IF($F122="Gødning",IF($F121="Halm",$F120,$F121),IF($F122="Halm",$F121,$F122)),Afgrødedata!$A$2:$L$18,MATCH(Afgrødedata!$E$4,Afgrødedata!$A$4:$L$4,0),FALSE),IF($C122="OC12",VLOOKUP(IF($F122="Gødning",IF($F121="Halm",$F120,$F121),IF($F122="Halm",$F121,$F122)),Afgrødedata!$A$2:$L$18,MATCH(Afgrødedata!$F$4,Afgrødedata!$A$4:$L$4,0),FALSE),1)))*IF($B122="Økologisk",VLOOKUP(IF($F122="Gødning",IF($F121="Halm",$F120,$F121),IF($F122="Halm",$F121,$F122)),Afgrødedata!$A$2:$L$18,MATCH(Afgrødedata!$D$4,Afgrødedata!$A$4:$L$4,0),FALSE),1))),IF($F122="Grøntsager",Afgrødedata!$M$9/10*IF($B122="Økologisk",VLOOKUP($F122,Afgrødedata!$A$2:$L$18,MATCH(Afgrødedata!$D$4,Afgrødedata!$A$4:$L$4,0),FALSE),1),IF($F122="Gødning",-Afgrødedata!$N$9*IF($B122="Økologisk",VLOOKUP($F121,Afgrødedata!$A$2:$L$18,MATCH(Afgrødedata!$D$4,Afgrødedata!$A$4:$L$4,0),FALSE),1),Afgrødedata!$O$9)))</f>
        <v>-160</v>
      </c>
      <c r="K122" s="147"/>
    </row>
    <row r="123" spans="1:11" ht="14.7" thickBot="1" x14ac:dyDescent="0.6">
      <c r="A123" s="187" t="s">
        <v>25</v>
      </c>
      <c r="B123" s="181" t="s">
        <v>45</v>
      </c>
      <c r="C123" s="181" t="str">
        <f>Jordbund1</f>
        <v>JB1-10</v>
      </c>
      <c r="D123" s="146" t="s">
        <v>358</v>
      </c>
      <c r="E123" s="146" t="str">
        <f>IFERROR(VLOOKUP(D123,Table2[],2,FALSE),"")</f>
        <v>Hektar</v>
      </c>
      <c r="F123" s="150" t="s">
        <v>344</v>
      </c>
      <c r="G123" s="146" t="str">
        <f>IFERROR(VLOOKUP(F123,Table2[],2,FALSE),"")</f>
        <v>t CO2-ækvivalenter</v>
      </c>
      <c r="H123" s="168">
        <f>IF($A123&lt;&gt;"Grøntsager i drivhus",IF($F123="C - land",0,IF($F123="CO2 - atmosfære",VLOOKUP(IF($F121="Halm",$F120,$F121),Afgrødedata!$A$5:$L$18,MATCH(CONCATENATE("CO2-",'Processer - data'!$C123),Afgrødedata!$A$4:$L$4,0),FALSE),IF($F123="Gødning",-VLOOKUP(IF($F122="Halm",$F121,$F122),Afgrødedata!$A$5:$L$18,MATCH(CONCATENATE("Kvælstofnorm-",'Processer - data'!$C123),Afgrødedata!$A$4:$L$4,0),FALSE),IF($F123="Halm",VLOOKUP($F122,Afgrødedata!$A$2:$L$18,MATCH(Afgrødedata!$C$4,Afgrødedata!$A$4:$L$4,0),FALSE)/10,VLOOKUP($F123,Afgrødedata!$A$2:$L$18,MATCH("Hovedafgrøde",Afgrødedata!$A$4:$L$4,0),FALSE)/10)*IF($C123="OC6",VLOOKUP(IF($F123="Gødning",IF($F122="Halm",$F121,$F122),IF($F123="Halm",$F122,$F123)),Afgrødedata!$A$2:$L$18,MATCH(Afgrødedata!$E$4,Afgrødedata!$A$4:$L$4,0),FALSE),IF($C123="OC12",VLOOKUP(IF($F123="Gødning",IF($F122="Halm",$F121,$F122),IF($F123="Halm",$F122,$F123)),Afgrødedata!$A$2:$L$18,MATCH(Afgrødedata!$F$4,Afgrødedata!$A$4:$L$4,0),FALSE),1)))*IF($B123="Økologisk",VLOOKUP(IF($F123="Gødning",IF($F122="Halm",$F121,$F122),IF($F123="Halm",$F122,$F123)),Afgrødedata!$A$2:$L$18,MATCH(Afgrødedata!$D$4,Afgrødedata!$A$4:$L$4,0),FALSE),1))),IF($F123="Grøntsager",Afgrødedata!$M$9/10*IF($B123="Økologisk",VLOOKUP($F123,Afgrødedata!$A$2:$L$18,MATCH(Afgrødedata!$D$4,Afgrødedata!$A$4:$L$4,0),FALSE),1),IF($F123="Gødning",-Afgrødedata!$N$9*IF($B123="Økologisk",VLOOKUP($F122,Afgrødedata!$A$2:$L$18,MATCH(Afgrødedata!$D$4,Afgrødedata!$A$4:$L$4,0),FALSE),1),Afgrødedata!$O$9)))</f>
        <v>2.2736943674854606</v>
      </c>
      <c r="I123" s="168">
        <f>IF($A123&lt;&gt;"Grøntsager i drivhus",IF($F123="C - land",0,IF($F123="CO2 - atmosfære",VLOOKUP(IF($F121="Halm",$F120,$F121),Afgrødedata!$A$5:$L$18,MATCH(CONCATENATE("CO2-",'Processer - data'!$C123),Afgrødedata!$A$4:$L$4,0),FALSE),IF($F123="Gødning",-VLOOKUP(IF($F122="Halm",$F121,$F122),Afgrødedata!$A$5:$L$18,MATCH(CONCATENATE("Kvælstofnorm-",'Processer - data'!$C123),Afgrødedata!$A$4:$L$4,0),FALSE),IF($F123="Halm",VLOOKUP($F122,Afgrødedata!$A$2:$L$18,MATCH(Afgrødedata!$C$4,Afgrødedata!$A$4:$L$4,0),FALSE)/10,VLOOKUP($F123,Afgrødedata!$A$2:$L$18,MATCH("Hovedafgrøde",Afgrødedata!$A$4:$L$4,0),FALSE)/10)*IF($C123="OC6",VLOOKUP(IF($F123="Gødning",IF($F122="Halm",$F121,$F122),IF($F123="Halm",$F122,$F123)),Afgrødedata!$A$2:$L$18,MATCH(Afgrødedata!$E$4,Afgrødedata!$A$4:$L$4,0),FALSE),IF($C123="OC12",VLOOKUP(IF($F123="Gødning",IF($F122="Halm",$F121,$F122),IF($F123="Halm",$F122,$F123)),Afgrødedata!$A$2:$L$18,MATCH(Afgrødedata!$F$4,Afgrødedata!$A$4:$L$4,0),FALSE),1)))*IF($B123="Økologisk",VLOOKUP(IF($F123="Gødning",IF($F122="Halm",$F121,$F122),IF($F123="Halm",$F122,$F123)),Afgrødedata!$A$2:$L$18,MATCH(Afgrødedata!$D$4,Afgrødedata!$A$4:$L$4,0),FALSE),1))),IF($F123="Grøntsager",Afgrødedata!$M$9/10*IF($B123="Økologisk",VLOOKUP($F123,Afgrødedata!$A$2:$L$18,MATCH(Afgrødedata!$D$4,Afgrødedata!$A$4:$L$4,0),FALSE),1),IF($F123="Gødning",-Afgrødedata!$N$9*IF($B123="Økologisk",VLOOKUP($F122,Afgrødedata!$A$2:$L$18,MATCH(Afgrødedata!$D$4,Afgrødedata!$A$4:$L$4,0),FALSE),1),Afgrødedata!$O$9)))</f>
        <v>2.2736943674854606</v>
      </c>
      <c r="J123" s="168">
        <f>IF($A123&lt;&gt;"Grøntsager i drivhus",IF($F123="C - land",0,IF($F123="CO2 - atmosfære",VLOOKUP(IF($F121="Halm",$F120,$F121),Afgrødedata!$A$5:$L$18,MATCH(CONCATENATE("CO2-",'Processer - data'!$C123),Afgrødedata!$A$4:$L$4,0),FALSE),IF($F123="Gødning",-VLOOKUP(IF($F122="Halm",$F121,$F122),Afgrødedata!$A$5:$L$18,MATCH(CONCATENATE("Kvælstofnorm-",'Processer - data'!$C123),Afgrødedata!$A$4:$L$4,0),FALSE),IF($F123="Halm",VLOOKUP($F122,Afgrødedata!$A$2:$L$18,MATCH(Afgrødedata!$C$4,Afgrødedata!$A$4:$L$4,0),FALSE)/10,VLOOKUP($F123,Afgrødedata!$A$2:$L$18,MATCH("Hovedafgrøde",Afgrødedata!$A$4:$L$4,0),FALSE)/10)*IF($C123="OC6",VLOOKUP(IF($F123="Gødning",IF($F122="Halm",$F121,$F122),IF($F123="Halm",$F122,$F123)),Afgrødedata!$A$2:$L$18,MATCH(Afgrødedata!$E$4,Afgrødedata!$A$4:$L$4,0),FALSE),IF($C123="OC12",VLOOKUP(IF($F123="Gødning",IF($F122="Halm",$F121,$F122),IF($F123="Halm",$F122,$F123)),Afgrødedata!$A$2:$L$18,MATCH(Afgrødedata!$F$4,Afgrødedata!$A$4:$L$4,0),FALSE),1)))*IF($B123="Økologisk",VLOOKUP(IF($F123="Gødning",IF($F122="Halm",$F121,$F122),IF($F123="Halm",$F122,$F123)),Afgrødedata!$A$2:$L$18,MATCH(Afgrødedata!$D$4,Afgrødedata!$A$4:$L$4,0),FALSE),1))),IF($F123="Grøntsager",Afgrødedata!$M$9/10*IF($B123="Økologisk",VLOOKUP($F123,Afgrødedata!$A$2:$L$18,MATCH(Afgrødedata!$D$4,Afgrødedata!$A$4:$L$4,0),FALSE),1),IF($F123="Gødning",-Afgrødedata!$N$9*IF($B123="Økologisk",VLOOKUP($F122,Afgrødedata!$A$2:$L$18,MATCH(Afgrødedata!$D$4,Afgrødedata!$A$4:$L$4,0),FALSE),1),Afgrødedata!$O$9)))</f>
        <v>2.2736943674854606</v>
      </c>
      <c r="K123" s="147"/>
    </row>
    <row r="124" spans="1:11" s="146" customFormat="1" ht="14.7" thickTop="1" x14ac:dyDescent="0.55000000000000004">
      <c r="A124" s="186" t="s">
        <v>25</v>
      </c>
      <c r="B124" s="180" t="s">
        <v>45</v>
      </c>
      <c r="C124" s="180" t="str">
        <f>Organ6</f>
        <v>OC6</v>
      </c>
      <c r="D124" s="144" t="s">
        <v>358</v>
      </c>
      <c r="E124" s="144" t="str">
        <f>IFERROR(VLOOKUP(D124,Table2[],2,FALSE),"")</f>
        <v>Hektar</v>
      </c>
      <c r="F124" s="144" t="s">
        <v>11</v>
      </c>
      <c r="G124" s="144" t="str">
        <f>IFERROR(VLOOKUP(F124,Table2[],2,FALSE),"")</f>
        <v>Ton</v>
      </c>
      <c r="H124" s="176">
        <f>IF($A124&lt;&gt;"Grøntsager i drivhus",IF($F124="C - land",0,IF($F124="CO2 - atmosfære",VLOOKUP(IF($F122="Halm",$F121,$F122),Afgrødedata!$A$5:$L$18,MATCH(CONCATENATE("CO2-",'Processer - data'!$C124),Afgrødedata!$A$4:$L$4,0),FALSE),IF($F124="Gødning",-VLOOKUP(IF($F123="Halm",$F122,$F123),Afgrødedata!$A$5:$L$18,MATCH(CONCATENATE("Kvælstofnorm-",'Processer - data'!$C124),Afgrødedata!$A$4:$L$4,0),FALSE),IF($F124="Halm",VLOOKUP($F123,Afgrødedata!$A$2:$L$18,MATCH(Afgrødedata!$C$4,Afgrødedata!$A$4:$L$4,0),FALSE)/10,VLOOKUP($F124,Afgrødedata!$A$2:$L$18,MATCH("Hovedafgrøde",Afgrødedata!$A$4:$L$4,0),FALSE)/10)*IF($C124="OC6",VLOOKUP(IF($F124="Gødning",IF($F123="Halm",$F122,$F123),IF($F124="Halm",$F123,$F124)),Afgrødedata!$A$2:$L$18,MATCH(Afgrødedata!$E$4,Afgrødedata!$A$4:$L$4,0),FALSE),IF($C124="OC12",VLOOKUP(IF($F124="Gødning",IF($F123="Halm",$F122,$F123),IF($F124="Halm",$F123,$F124)),Afgrødedata!$A$2:$L$18,MATCH(Afgrødedata!$F$4,Afgrødedata!$A$4:$L$4,0),FALSE),1)))*IF($B124="Økologisk",VLOOKUP(IF($F124="Gødning",IF($F123="Halm",$F122,$F123),IF($F124="Halm",$F123,$F124)),Afgrødedata!$A$2:$L$18,MATCH(Afgrødedata!$D$4,Afgrødedata!$A$4:$L$4,0),FALSE),1))),IF($F124="Grøntsager",Afgrødedata!$M$9/10*IF($B124="Økologisk",VLOOKUP($F124,Afgrødedata!$A$2:$L$18,MATCH(Afgrødedata!$D$4,Afgrødedata!$A$4:$L$4,0),FALSE),1),IF($F124="Gødning",-Afgrødedata!$N$9*IF($B124="Økologisk",VLOOKUP($F123,Afgrødedata!$A$2:$L$18,MATCH(Afgrødedata!$D$4,Afgrødedata!$A$4:$L$4,0),FALSE),1),Afgrødedata!$O$9)))</f>
        <v>8.411999999999999</v>
      </c>
      <c r="I124" s="176">
        <f>IF($A124&lt;&gt;"Grøntsager i drivhus",IF($F124="C - land",0,IF($F124="CO2 - atmosfære",VLOOKUP(IF($F122="Halm",$F121,$F122),Afgrødedata!$A$5:$L$18,MATCH(CONCATENATE("CO2-",'Processer - data'!$C124),Afgrødedata!$A$4:$L$4,0),FALSE),IF($F124="Gødning",-VLOOKUP(IF($F123="Halm",$F122,$F123),Afgrødedata!$A$5:$L$18,MATCH(CONCATENATE("Kvælstofnorm-",'Processer - data'!$C124),Afgrødedata!$A$4:$L$4,0),FALSE),IF($F124="Halm",VLOOKUP($F123,Afgrødedata!$A$2:$L$18,MATCH(Afgrødedata!$C$4,Afgrødedata!$A$4:$L$4,0),FALSE)/10,VLOOKUP($F124,Afgrødedata!$A$2:$L$18,MATCH("Hovedafgrøde",Afgrødedata!$A$4:$L$4,0),FALSE)/10)*IF($C124="OC6",VLOOKUP(IF($F124="Gødning",IF($F123="Halm",$F122,$F123),IF($F124="Halm",$F123,$F124)),Afgrødedata!$A$2:$L$18,MATCH(Afgrødedata!$E$4,Afgrødedata!$A$4:$L$4,0),FALSE),IF($C124="OC12",VLOOKUP(IF($F124="Gødning",IF($F123="Halm",$F122,$F123),IF($F124="Halm",$F123,$F124)),Afgrødedata!$A$2:$L$18,MATCH(Afgrødedata!$F$4,Afgrødedata!$A$4:$L$4,0),FALSE),1)))*IF($B124="Økologisk",VLOOKUP(IF($F124="Gødning",IF($F123="Halm",$F122,$F123),IF($F124="Halm",$F123,$F124)),Afgrødedata!$A$2:$L$18,MATCH(Afgrødedata!$D$4,Afgrødedata!$A$4:$L$4,0),FALSE),1))),IF($F124="Grøntsager",Afgrødedata!$M$9/10*IF($B124="Økologisk",VLOOKUP($F124,Afgrødedata!$A$2:$L$18,MATCH(Afgrødedata!$D$4,Afgrødedata!$A$4:$L$4,0),FALSE),1),IF($F124="Gødning",-Afgrødedata!$N$9*IF($B124="Økologisk",VLOOKUP($F123,Afgrødedata!$A$2:$L$18,MATCH(Afgrødedata!$D$4,Afgrødedata!$A$4:$L$4,0),FALSE),1),Afgrødedata!$O$9)))</f>
        <v>8.411999999999999</v>
      </c>
      <c r="J124" s="176">
        <f>IF($A124&lt;&gt;"Grøntsager i drivhus",IF($F124="C - land",0,IF($F124="CO2 - atmosfære",VLOOKUP(IF($F122="Halm",$F121,$F122),Afgrødedata!$A$5:$L$18,MATCH(CONCATENATE("CO2-",'Processer - data'!$C124),Afgrødedata!$A$4:$L$4,0),FALSE),IF($F124="Gødning",-VLOOKUP(IF($F123="Halm",$F122,$F123),Afgrødedata!$A$5:$L$18,MATCH(CONCATENATE("Kvælstofnorm-",'Processer - data'!$C124),Afgrødedata!$A$4:$L$4,0),FALSE),IF($F124="Halm",VLOOKUP($F123,Afgrødedata!$A$2:$L$18,MATCH(Afgrødedata!$C$4,Afgrødedata!$A$4:$L$4,0),FALSE)/10,VLOOKUP($F124,Afgrødedata!$A$2:$L$18,MATCH("Hovedafgrøde",Afgrødedata!$A$4:$L$4,0),FALSE)/10)*IF($C124="OC6",VLOOKUP(IF($F124="Gødning",IF($F123="Halm",$F122,$F123),IF($F124="Halm",$F123,$F124)),Afgrødedata!$A$2:$L$18,MATCH(Afgrødedata!$E$4,Afgrødedata!$A$4:$L$4,0),FALSE),IF($C124="OC12",VLOOKUP(IF($F124="Gødning",IF($F123="Halm",$F122,$F123),IF($F124="Halm",$F123,$F124)),Afgrødedata!$A$2:$L$18,MATCH(Afgrødedata!$F$4,Afgrødedata!$A$4:$L$4,0),FALSE),1)))*IF($B124="Økologisk",VLOOKUP(IF($F124="Gødning",IF($F123="Halm",$F122,$F123),IF($F124="Halm",$F123,$F124)),Afgrødedata!$A$2:$L$18,MATCH(Afgrødedata!$D$4,Afgrødedata!$A$4:$L$4,0),FALSE),1))),IF($F124="Grøntsager",Afgrødedata!$M$9/10*IF($B124="Økologisk",VLOOKUP($F124,Afgrødedata!$A$2:$L$18,MATCH(Afgrødedata!$D$4,Afgrødedata!$A$4:$L$4,0),FALSE),1),IF($F124="Gødning",-Afgrødedata!$N$9*IF($B124="Økologisk",VLOOKUP($F123,Afgrødedata!$A$2:$L$18,MATCH(Afgrødedata!$D$4,Afgrødedata!$A$4:$L$4,0),FALSE),1),Afgrødedata!$O$9)))</f>
        <v>8.411999999999999</v>
      </c>
      <c r="K124" s="145"/>
    </row>
    <row r="125" spans="1:11" s="146" customFormat="1" x14ac:dyDescent="0.55000000000000004">
      <c r="A125" s="187" t="s">
        <v>25</v>
      </c>
      <c r="B125" s="181" t="s">
        <v>45</v>
      </c>
      <c r="C125" s="181" t="str">
        <f>Organ6</f>
        <v>OC6</v>
      </c>
      <c r="D125" s="146" t="s">
        <v>358</v>
      </c>
      <c r="E125" s="146" t="str">
        <f>IFERROR(VLOOKUP(D125,Table2[],2,FALSE),"")</f>
        <v>Hektar</v>
      </c>
      <c r="F125" s="146" t="s">
        <v>37</v>
      </c>
      <c r="G125" s="146" t="str">
        <f>IFERROR(VLOOKUP(F125,Table2[],2,FALSE),"")</f>
        <v>Ton</v>
      </c>
      <c r="H125" s="256">
        <f>IF($A125&lt;&gt;"Grøntsager i drivhus",IF($F125="C - land",0,IF($F125="CO2 - atmosfære",VLOOKUP(IF($F123="Halm",$F122,$F123),Afgrødedata!$A$5:$L$18,MATCH(CONCATENATE("CO2-",'Processer - data'!$C125),Afgrødedata!$A$4:$L$4,0),FALSE),IF($F125="Gødning",-VLOOKUP(IF($F124="Halm",$F123,$F124),Afgrødedata!$A$5:$L$18,MATCH(CONCATENATE("Kvælstofnorm-",'Processer - data'!$C125),Afgrødedata!$A$4:$L$4,0),FALSE),IF($F125="Halm",VLOOKUP($F124,Afgrødedata!$A$2:$L$18,MATCH(Afgrødedata!$C$4,Afgrødedata!$A$4:$L$4,0),FALSE)/10,VLOOKUP($F125,Afgrødedata!$A$2:$L$18,MATCH("Hovedafgrøde",Afgrødedata!$A$4:$L$4,0),FALSE)/10)*IF($C125="OC6",VLOOKUP(IF($F125="Gødning",IF($F124="Halm",$F123,$F124),IF($F125="Halm",$F124,$F125)),Afgrødedata!$A$2:$L$18,MATCH(Afgrødedata!$E$4,Afgrødedata!$A$4:$L$4,0),FALSE),IF($C125="OC12",VLOOKUP(IF($F125="Gødning",IF($F124="Halm",$F123,$F124),IF($F125="Halm",$F124,$F125)),Afgrødedata!$A$2:$L$18,MATCH(Afgrødedata!$F$4,Afgrødedata!$A$4:$L$4,0),FALSE),1)))*IF($B125="Økologisk",VLOOKUP(IF($F125="Gødning",IF($F124="Halm",$F123,$F124),IF($F125="Halm",$F124,$F125)),Afgrødedata!$A$2:$L$18,MATCH(Afgrødedata!$D$4,Afgrødedata!$A$4:$L$4,0),FALSE),1))),IF($F125="Grøntsager",Afgrødedata!$M$9/10*IF($B125="Økologisk",VLOOKUP($F125,Afgrødedata!$A$2:$L$18,MATCH(Afgrødedata!$D$4,Afgrødedata!$A$4:$L$4,0),FALSE),1),IF($F125="Gødning",-Afgrødedata!$N$9*IF($B125="Økologisk",VLOOKUP($F124,Afgrødedata!$A$2:$L$18,MATCH(Afgrødedata!$D$4,Afgrødedata!$A$4:$L$4,0),FALSE),1),Afgrødedata!$O$9)))</f>
        <v>4.6265999999999998</v>
      </c>
      <c r="I125" s="256">
        <f>IF($A125&lt;&gt;"Grøntsager i drivhus",IF($F125="C - land",0,IF($F125="CO2 - atmosfære",VLOOKUP(IF($F123="Halm",$F122,$F123),Afgrødedata!$A$5:$L$18,MATCH(CONCATENATE("CO2-",'Processer - data'!$C125),Afgrødedata!$A$4:$L$4,0),FALSE),IF($F125="Gødning",-VLOOKUP(IF($F124="Halm",$F123,$F124),Afgrødedata!$A$5:$L$18,MATCH(CONCATENATE("Kvælstofnorm-",'Processer - data'!$C125),Afgrødedata!$A$4:$L$4,0),FALSE),IF($F125="Halm",VLOOKUP($F124,Afgrødedata!$A$2:$L$18,MATCH(Afgrødedata!$C$4,Afgrødedata!$A$4:$L$4,0),FALSE)/10,VLOOKUP($F125,Afgrødedata!$A$2:$L$18,MATCH("Hovedafgrøde",Afgrødedata!$A$4:$L$4,0),FALSE)/10)*IF($C125="OC6",VLOOKUP(IF($F125="Gødning",IF($F124="Halm",$F123,$F124),IF($F125="Halm",$F124,$F125)),Afgrødedata!$A$2:$L$18,MATCH(Afgrødedata!$E$4,Afgrødedata!$A$4:$L$4,0),FALSE),IF($C125="OC12",VLOOKUP(IF($F125="Gødning",IF($F124="Halm",$F123,$F124),IF($F125="Halm",$F124,$F125)),Afgrødedata!$A$2:$L$18,MATCH(Afgrødedata!$F$4,Afgrødedata!$A$4:$L$4,0),FALSE),1)))*IF($B125="Økologisk",VLOOKUP(IF($F125="Gødning",IF($F124="Halm",$F123,$F124),IF($F125="Halm",$F124,$F125)),Afgrødedata!$A$2:$L$18,MATCH(Afgrødedata!$D$4,Afgrødedata!$A$4:$L$4,0),FALSE),1))),IF($F125="Grøntsager",Afgrødedata!$M$9/10*IF($B125="Økologisk",VLOOKUP($F125,Afgrødedata!$A$2:$L$18,MATCH(Afgrødedata!$D$4,Afgrødedata!$A$4:$L$4,0),FALSE),1),IF($F125="Gødning",-Afgrødedata!$N$9*IF($B125="Økologisk",VLOOKUP($F124,Afgrødedata!$A$2:$L$18,MATCH(Afgrødedata!$D$4,Afgrødedata!$A$4:$L$4,0),FALSE),1),Afgrødedata!$O$9)))</f>
        <v>4.6265999999999998</v>
      </c>
      <c r="J125" s="256">
        <f>IF($A125&lt;&gt;"Grøntsager i drivhus",IF($F125="C - land",0,IF($F125="CO2 - atmosfære",VLOOKUP(IF($F123="Halm",$F122,$F123),Afgrødedata!$A$5:$L$18,MATCH(CONCATENATE("CO2-",'Processer - data'!$C125),Afgrødedata!$A$4:$L$4,0),FALSE),IF($F125="Gødning",-VLOOKUP(IF($F124="Halm",$F123,$F124),Afgrødedata!$A$5:$L$18,MATCH(CONCATENATE("Kvælstofnorm-",'Processer - data'!$C125),Afgrødedata!$A$4:$L$4,0),FALSE),IF($F125="Halm",VLOOKUP($F124,Afgrødedata!$A$2:$L$18,MATCH(Afgrødedata!$C$4,Afgrødedata!$A$4:$L$4,0),FALSE)/10,VLOOKUP($F125,Afgrødedata!$A$2:$L$18,MATCH("Hovedafgrøde",Afgrødedata!$A$4:$L$4,0),FALSE)/10)*IF($C125="OC6",VLOOKUP(IF($F125="Gødning",IF($F124="Halm",$F123,$F124),IF($F125="Halm",$F124,$F125)),Afgrødedata!$A$2:$L$18,MATCH(Afgrødedata!$E$4,Afgrødedata!$A$4:$L$4,0),FALSE),IF($C125="OC12",VLOOKUP(IF($F125="Gødning",IF($F124="Halm",$F123,$F124),IF($F125="Halm",$F124,$F125)),Afgrødedata!$A$2:$L$18,MATCH(Afgrødedata!$F$4,Afgrødedata!$A$4:$L$4,0),FALSE),1)))*IF($B125="Økologisk",VLOOKUP(IF($F125="Gødning",IF($F124="Halm",$F123,$F124),IF($F125="Halm",$F124,$F125)),Afgrødedata!$A$2:$L$18,MATCH(Afgrødedata!$D$4,Afgrødedata!$A$4:$L$4,0),FALSE),1))),IF($F125="Grøntsager",Afgrødedata!$M$9/10*IF($B125="Økologisk",VLOOKUP($F125,Afgrødedata!$A$2:$L$18,MATCH(Afgrødedata!$D$4,Afgrødedata!$A$4:$L$4,0),FALSE),1),IF($F125="Gødning",-Afgrødedata!$N$9*IF($B125="Økologisk",VLOOKUP($F124,Afgrødedata!$A$2:$L$18,MATCH(Afgrødedata!$D$4,Afgrødedata!$A$4:$L$4,0),FALSE),1),Afgrødedata!$O$9)))</f>
        <v>4.6265999999999998</v>
      </c>
      <c r="K125" s="147"/>
    </row>
    <row r="126" spans="1:11" s="146" customFormat="1" x14ac:dyDescent="0.55000000000000004">
      <c r="A126" s="187" t="s">
        <v>25</v>
      </c>
      <c r="B126" s="181" t="s">
        <v>45</v>
      </c>
      <c r="C126" s="181" t="str">
        <f>Organ6</f>
        <v>OC6</v>
      </c>
      <c r="D126" s="146" t="s">
        <v>358</v>
      </c>
      <c r="E126" s="146" t="str">
        <f>IFERROR(VLOOKUP(D126,Table2[],2,FALSE),"")</f>
        <v>Hektar</v>
      </c>
      <c r="F126" s="146" t="s">
        <v>303</v>
      </c>
      <c r="G126" s="146" t="str">
        <f>IFERROR(VLOOKUP(F126,Table2[],2,FALSE),"")</f>
        <v>kg N</v>
      </c>
      <c r="H126" s="168">
        <f>IF($A126&lt;&gt;"Grøntsager i drivhus",IF($F126="C - land",0,IF($F126="CO2 - atmosfære",VLOOKUP(IF($F124="Halm",$F123,$F124),Afgrødedata!$A$5:$L$18,MATCH(CONCATENATE("CO2-",'Processer - data'!$C126),Afgrødedata!$A$4:$L$4,0),FALSE),IF($F126="Gødning",-VLOOKUP(IF($F125="Halm",$F124,$F125),Afgrødedata!$A$5:$L$18,MATCH(CONCATENATE("Kvælstofnorm-",'Processer - data'!$C126),Afgrødedata!$A$4:$L$4,0),FALSE),IF($F126="Halm",VLOOKUP($F125,Afgrødedata!$A$2:$L$18,MATCH(Afgrødedata!$C$4,Afgrødedata!$A$4:$L$4,0),FALSE)/10,VLOOKUP($F126,Afgrødedata!$A$2:$L$18,MATCH("Hovedafgrøde",Afgrødedata!$A$4:$L$4,0),FALSE)/10)*IF($C126="OC6",VLOOKUP(IF($F126="Gødning",IF($F125="Halm",$F124,$F125),IF($F126="Halm",$F125,$F126)),Afgrødedata!$A$2:$L$18,MATCH(Afgrødedata!$E$4,Afgrødedata!$A$4:$L$4,0),FALSE),IF($C126="OC12",VLOOKUP(IF($F126="Gødning",IF($F125="Halm",$F124,$F125),IF($F126="Halm",$F125,$F126)),Afgrødedata!$A$2:$L$18,MATCH(Afgrødedata!$F$4,Afgrødedata!$A$4:$L$4,0),FALSE),1)))*IF($B126="Økologisk",VLOOKUP(IF($F126="Gødning",IF($F125="Halm",$F124,$F125),IF($F126="Halm",$F125,$F126)),Afgrødedata!$A$2:$L$18,MATCH(Afgrødedata!$D$4,Afgrødedata!$A$4:$L$4,0),FALSE),1))),IF($F126="Grøntsager",Afgrødedata!$M$9/10*IF($B126="Økologisk",VLOOKUP($F126,Afgrødedata!$A$2:$L$18,MATCH(Afgrødedata!$D$4,Afgrødedata!$A$4:$L$4,0),FALSE),1),IF($F126="Gødning",-Afgrødedata!$N$9*IF($B126="Økologisk",VLOOKUP($F125,Afgrødedata!$A$2:$L$18,MATCH(Afgrødedata!$D$4,Afgrødedata!$A$4:$L$4,0),FALSE),1),Afgrødedata!$O$9)))</f>
        <v>-130</v>
      </c>
      <c r="I126" s="168">
        <f>IF($A126&lt;&gt;"Grøntsager i drivhus",IF($F126="C - land",0,IF($F126="CO2 - atmosfære",VLOOKUP(IF($F124="Halm",$F123,$F124),Afgrødedata!$A$5:$L$18,MATCH(CONCATENATE("CO2-",'Processer - data'!$C126),Afgrødedata!$A$4:$L$4,0),FALSE),IF($F126="Gødning",-VLOOKUP(IF($F125="Halm",$F124,$F125),Afgrødedata!$A$5:$L$18,MATCH(CONCATENATE("Kvælstofnorm-",'Processer - data'!$C126),Afgrødedata!$A$4:$L$4,0),FALSE),IF($F126="Halm",VLOOKUP($F125,Afgrødedata!$A$2:$L$18,MATCH(Afgrødedata!$C$4,Afgrødedata!$A$4:$L$4,0),FALSE)/10,VLOOKUP($F126,Afgrødedata!$A$2:$L$18,MATCH("Hovedafgrøde",Afgrødedata!$A$4:$L$4,0),FALSE)/10)*IF($C126="OC6",VLOOKUP(IF($F126="Gødning",IF($F125="Halm",$F124,$F125),IF($F126="Halm",$F125,$F126)),Afgrødedata!$A$2:$L$18,MATCH(Afgrødedata!$E$4,Afgrødedata!$A$4:$L$4,0),FALSE),IF($C126="OC12",VLOOKUP(IF($F126="Gødning",IF($F125="Halm",$F124,$F125),IF($F126="Halm",$F125,$F126)),Afgrødedata!$A$2:$L$18,MATCH(Afgrødedata!$F$4,Afgrødedata!$A$4:$L$4,0),FALSE),1)))*IF($B126="Økologisk",VLOOKUP(IF($F126="Gødning",IF($F125="Halm",$F124,$F125),IF($F126="Halm",$F125,$F126)),Afgrødedata!$A$2:$L$18,MATCH(Afgrødedata!$D$4,Afgrødedata!$A$4:$L$4,0),FALSE),1))),IF($F126="Grøntsager",Afgrødedata!$M$9/10*IF($B126="Økologisk",VLOOKUP($F126,Afgrødedata!$A$2:$L$18,MATCH(Afgrødedata!$D$4,Afgrødedata!$A$4:$L$4,0),FALSE),1),IF($F126="Gødning",-Afgrødedata!$N$9*IF($B126="Økologisk",VLOOKUP($F125,Afgrødedata!$A$2:$L$18,MATCH(Afgrødedata!$D$4,Afgrødedata!$A$4:$L$4,0),FALSE),1),Afgrødedata!$O$9)))</f>
        <v>-130</v>
      </c>
      <c r="J126" s="168">
        <f>IF($A126&lt;&gt;"Grøntsager i drivhus",IF($F126="C - land",0,IF($F126="CO2 - atmosfære",VLOOKUP(IF($F124="Halm",$F123,$F124),Afgrødedata!$A$5:$L$18,MATCH(CONCATENATE("CO2-",'Processer - data'!$C126),Afgrødedata!$A$4:$L$4,0),FALSE),IF($F126="Gødning",-VLOOKUP(IF($F125="Halm",$F124,$F125),Afgrødedata!$A$5:$L$18,MATCH(CONCATENATE("Kvælstofnorm-",'Processer - data'!$C126),Afgrødedata!$A$4:$L$4,0),FALSE),IF($F126="Halm",VLOOKUP($F125,Afgrødedata!$A$2:$L$18,MATCH(Afgrødedata!$C$4,Afgrødedata!$A$4:$L$4,0),FALSE)/10,VLOOKUP($F126,Afgrødedata!$A$2:$L$18,MATCH("Hovedafgrøde",Afgrødedata!$A$4:$L$4,0),FALSE)/10)*IF($C126="OC6",VLOOKUP(IF($F126="Gødning",IF($F125="Halm",$F124,$F125),IF($F126="Halm",$F125,$F126)),Afgrødedata!$A$2:$L$18,MATCH(Afgrødedata!$E$4,Afgrødedata!$A$4:$L$4,0),FALSE),IF($C126="OC12",VLOOKUP(IF($F126="Gødning",IF($F125="Halm",$F124,$F125),IF($F126="Halm",$F125,$F126)),Afgrødedata!$A$2:$L$18,MATCH(Afgrødedata!$F$4,Afgrødedata!$A$4:$L$4,0),FALSE),1)))*IF($B126="Økologisk",VLOOKUP(IF($F126="Gødning",IF($F125="Halm",$F124,$F125),IF($F126="Halm",$F125,$F126)),Afgrødedata!$A$2:$L$18,MATCH(Afgrødedata!$D$4,Afgrødedata!$A$4:$L$4,0),FALSE),1))),IF($F126="Grøntsager",Afgrødedata!$M$9/10*IF($B126="Økologisk",VLOOKUP($F126,Afgrødedata!$A$2:$L$18,MATCH(Afgrødedata!$D$4,Afgrødedata!$A$4:$L$4,0),FALSE),1),IF($F126="Gødning",-Afgrødedata!$N$9*IF($B126="Økologisk",VLOOKUP($F125,Afgrødedata!$A$2:$L$18,MATCH(Afgrødedata!$D$4,Afgrødedata!$A$4:$L$4,0),FALSE),1),Afgrødedata!$O$9)))</f>
        <v>-130</v>
      </c>
      <c r="K126" s="147"/>
    </row>
    <row r="127" spans="1:11" s="146" customFormat="1" ht="14.7" thickBot="1" x14ac:dyDescent="0.6">
      <c r="A127" s="187" t="s">
        <v>25</v>
      </c>
      <c r="B127" s="181" t="s">
        <v>45</v>
      </c>
      <c r="C127" s="181" t="str">
        <f>Organ6</f>
        <v>OC6</v>
      </c>
      <c r="D127" s="146" t="s">
        <v>358</v>
      </c>
      <c r="E127" s="146" t="str">
        <f>IFERROR(VLOOKUP(D127,Table2[],2,FALSE),"")</f>
        <v>Hektar</v>
      </c>
      <c r="F127" s="150" t="s">
        <v>344</v>
      </c>
      <c r="G127" s="146" t="str">
        <f>IFERROR(VLOOKUP(F127,Table2[],2,FALSE),"")</f>
        <v>t CO2-ækvivalenter</v>
      </c>
      <c r="H127" s="168">
        <f>IF($A127&lt;&gt;"Grøntsager i drivhus",IF($F127="C - land",0,IF($F127="CO2 - atmosfære",VLOOKUP(IF($F125="Halm",$F124,$F125),Afgrødedata!$A$5:$L$18,MATCH(CONCATENATE("CO2-",'Processer - data'!$C127),Afgrødedata!$A$4:$L$4,0),FALSE),IF($F127="Gødning",-VLOOKUP(IF($F126="Halm",$F125,$F126),Afgrødedata!$A$5:$L$18,MATCH(CONCATENATE("Kvælstofnorm-",'Processer - data'!$C127),Afgrødedata!$A$4:$L$4,0),FALSE),IF($F127="Halm",VLOOKUP($F126,Afgrødedata!$A$2:$L$18,MATCH(Afgrødedata!$C$4,Afgrødedata!$A$4:$L$4,0),FALSE)/10,VLOOKUP($F127,Afgrødedata!$A$2:$L$18,MATCH("Hovedafgrøde",Afgrødedata!$A$4:$L$4,0),FALSE)/10)*IF($C127="OC6",VLOOKUP(IF($F127="Gødning",IF($F126="Halm",$F125,$F126),IF($F127="Halm",$F126,$F127)),Afgrødedata!$A$2:$L$18,MATCH(Afgrødedata!$E$4,Afgrødedata!$A$4:$L$4,0),FALSE),IF($C127="OC12",VLOOKUP(IF($F127="Gødning",IF($F126="Halm",$F125,$F126),IF($F127="Halm",$F126,$F127)),Afgrødedata!$A$2:$L$18,MATCH(Afgrødedata!$F$4,Afgrødedata!$A$4:$L$4,0),FALSE),1)))*IF($B127="Økologisk",VLOOKUP(IF($F127="Gødning",IF($F126="Halm",$F125,$F126),IF($F127="Halm",$F126,$F127)),Afgrødedata!$A$2:$L$18,MATCH(Afgrødedata!$D$4,Afgrødedata!$A$4:$L$4,0),FALSE),1))),IF($F127="Grøntsager",Afgrødedata!$M$9/10*IF($B127="Økologisk",VLOOKUP($F127,Afgrødedata!$A$2:$L$18,MATCH(Afgrødedata!$D$4,Afgrødedata!$A$4:$L$4,0),FALSE),1),IF($F127="Gødning",-Afgrødedata!$N$9*IF($B127="Økologisk",VLOOKUP($F126,Afgrødedata!$A$2:$L$18,MATCH(Afgrødedata!$D$4,Afgrødedata!$A$4:$L$4,0),FALSE),1),Afgrødedata!$O$9)))</f>
        <v>15.99169436748546</v>
      </c>
      <c r="I127" s="168">
        <f>IF($A127&lt;&gt;"Grøntsager i drivhus",IF($F127="C - land",0,IF($F127="CO2 - atmosfære",VLOOKUP(IF($F125="Halm",$F124,$F125),Afgrødedata!$A$5:$L$18,MATCH(CONCATENATE("CO2-",'Processer - data'!$C127),Afgrødedata!$A$4:$L$4,0),FALSE),IF($F127="Gødning",-VLOOKUP(IF($F126="Halm",$F125,$F126),Afgrødedata!$A$5:$L$18,MATCH(CONCATENATE("Kvælstofnorm-",'Processer - data'!$C127),Afgrødedata!$A$4:$L$4,0),FALSE),IF($F127="Halm",VLOOKUP($F126,Afgrødedata!$A$2:$L$18,MATCH(Afgrødedata!$C$4,Afgrødedata!$A$4:$L$4,0),FALSE)/10,VLOOKUP($F127,Afgrødedata!$A$2:$L$18,MATCH("Hovedafgrøde",Afgrødedata!$A$4:$L$4,0),FALSE)/10)*IF($C127="OC6",VLOOKUP(IF($F127="Gødning",IF($F126="Halm",$F125,$F126),IF($F127="Halm",$F126,$F127)),Afgrødedata!$A$2:$L$18,MATCH(Afgrødedata!$E$4,Afgrødedata!$A$4:$L$4,0),FALSE),IF($C127="OC12",VLOOKUP(IF($F127="Gødning",IF($F126="Halm",$F125,$F126),IF($F127="Halm",$F126,$F127)),Afgrødedata!$A$2:$L$18,MATCH(Afgrødedata!$F$4,Afgrødedata!$A$4:$L$4,0),FALSE),1)))*IF($B127="Økologisk",VLOOKUP(IF($F127="Gødning",IF($F126="Halm",$F125,$F126),IF($F127="Halm",$F126,$F127)),Afgrødedata!$A$2:$L$18,MATCH(Afgrødedata!$D$4,Afgrødedata!$A$4:$L$4,0),FALSE),1))),IF($F127="Grøntsager",Afgrødedata!$M$9/10*IF($B127="Økologisk",VLOOKUP($F127,Afgrødedata!$A$2:$L$18,MATCH(Afgrødedata!$D$4,Afgrødedata!$A$4:$L$4,0),FALSE),1),IF($F127="Gødning",-Afgrødedata!$N$9*IF($B127="Økologisk",VLOOKUP($F126,Afgrødedata!$A$2:$L$18,MATCH(Afgrødedata!$D$4,Afgrødedata!$A$4:$L$4,0),FALSE),1),Afgrødedata!$O$9)))</f>
        <v>15.99169436748546</v>
      </c>
      <c r="J127" s="168">
        <f>IF($A127&lt;&gt;"Grøntsager i drivhus",IF($F127="C - land",0,IF($F127="CO2 - atmosfære",VLOOKUP(IF($F125="Halm",$F124,$F125),Afgrødedata!$A$5:$L$18,MATCH(CONCATENATE("CO2-",'Processer - data'!$C127),Afgrødedata!$A$4:$L$4,0),FALSE),IF($F127="Gødning",-VLOOKUP(IF($F126="Halm",$F125,$F126),Afgrødedata!$A$5:$L$18,MATCH(CONCATENATE("Kvælstofnorm-",'Processer - data'!$C127),Afgrødedata!$A$4:$L$4,0),FALSE),IF($F127="Halm",VLOOKUP($F126,Afgrødedata!$A$2:$L$18,MATCH(Afgrødedata!$C$4,Afgrødedata!$A$4:$L$4,0),FALSE)/10,VLOOKUP($F127,Afgrødedata!$A$2:$L$18,MATCH("Hovedafgrøde",Afgrødedata!$A$4:$L$4,0),FALSE)/10)*IF($C127="OC6",VLOOKUP(IF($F127="Gødning",IF($F126="Halm",$F125,$F126),IF($F127="Halm",$F126,$F127)),Afgrødedata!$A$2:$L$18,MATCH(Afgrødedata!$E$4,Afgrødedata!$A$4:$L$4,0),FALSE),IF($C127="OC12",VLOOKUP(IF($F127="Gødning",IF($F126="Halm",$F125,$F126),IF($F127="Halm",$F126,$F127)),Afgrødedata!$A$2:$L$18,MATCH(Afgrødedata!$F$4,Afgrødedata!$A$4:$L$4,0),FALSE),1)))*IF($B127="Økologisk",VLOOKUP(IF($F127="Gødning",IF($F126="Halm",$F125,$F126),IF($F127="Halm",$F126,$F127)),Afgrødedata!$A$2:$L$18,MATCH(Afgrødedata!$D$4,Afgrødedata!$A$4:$L$4,0),FALSE),1))),IF($F127="Grøntsager",Afgrødedata!$M$9/10*IF($B127="Økologisk",VLOOKUP($F127,Afgrødedata!$A$2:$L$18,MATCH(Afgrødedata!$D$4,Afgrødedata!$A$4:$L$4,0),FALSE),1),IF($F127="Gødning",-Afgrødedata!$N$9*IF($B127="Økologisk",VLOOKUP($F126,Afgrødedata!$A$2:$L$18,MATCH(Afgrødedata!$D$4,Afgrødedata!$A$4:$L$4,0),FALSE),1),Afgrødedata!$O$9)))</f>
        <v>15.99169436748546</v>
      </c>
      <c r="K127" s="147"/>
    </row>
    <row r="128" spans="1:11" s="146" customFormat="1" ht="14.7" thickTop="1" x14ac:dyDescent="0.55000000000000004">
      <c r="A128" s="186" t="s">
        <v>25</v>
      </c>
      <c r="B128" s="180" t="s">
        <v>45</v>
      </c>
      <c r="C128" s="180" t="str">
        <f>Organ12</f>
        <v>OC12</v>
      </c>
      <c r="D128" s="144" t="s">
        <v>358</v>
      </c>
      <c r="E128" s="144" t="str">
        <f>IFERROR(VLOOKUP(D128,Table2[],2,FALSE),"")</f>
        <v>Hektar</v>
      </c>
      <c r="F128" s="144" t="s">
        <v>11</v>
      </c>
      <c r="G128" s="144" t="str">
        <f>IFERROR(VLOOKUP(F128,Table2[],2,FALSE),"")</f>
        <v>Ton</v>
      </c>
      <c r="H128" s="176">
        <f>IF($A128&lt;&gt;"Grøntsager i drivhus",IF($F128="C - land",0,IF($F128="CO2 - atmosfære",VLOOKUP(IF($F126="Halm",$F125,$F126),Afgrødedata!$A$5:$L$18,MATCH(CONCATENATE("CO2-",'Processer - data'!$C128),Afgrødedata!$A$4:$L$4,0),FALSE),IF($F128="Gødning",-VLOOKUP(IF($F127="Halm",$F126,$F127),Afgrødedata!$A$5:$L$18,MATCH(CONCATENATE("Kvælstofnorm-",'Processer - data'!$C128),Afgrødedata!$A$4:$L$4,0),FALSE),IF($F128="Halm",VLOOKUP($F127,Afgrødedata!$A$2:$L$18,MATCH(Afgrødedata!$C$4,Afgrødedata!$A$4:$L$4,0),FALSE)/10,VLOOKUP($F128,Afgrødedata!$A$2:$L$18,MATCH("Hovedafgrøde",Afgrødedata!$A$4:$L$4,0),FALSE)/10)*IF($C128="OC6",VLOOKUP(IF($F128="Gødning",IF($F127="Halm",$F126,$F127),IF($F128="Halm",$F127,$F128)),Afgrødedata!$A$2:$L$18,MATCH(Afgrødedata!$E$4,Afgrødedata!$A$4:$L$4,0),FALSE),IF($C128="OC12",VLOOKUP(IF($F128="Gødning",IF($F127="Halm",$F126,$F127),IF($F128="Halm",$F127,$F128)),Afgrødedata!$A$2:$L$18,MATCH(Afgrødedata!$F$4,Afgrødedata!$A$4:$L$4,0),FALSE),1)))*IF($B128="Økologisk",VLOOKUP(IF($F128="Gødning",IF($F127="Halm",$F126,$F127),IF($F128="Halm",$F127,$F128)),Afgrødedata!$A$2:$L$18,MATCH(Afgrødedata!$D$4,Afgrødedata!$A$4:$L$4,0),FALSE),1))),IF($F128="Grøntsager",Afgrødedata!$M$9/10*IF($B128="Økologisk",VLOOKUP($F128,Afgrødedata!$A$2:$L$18,MATCH(Afgrødedata!$D$4,Afgrødedata!$A$4:$L$4,0),FALSE),1),IF($F128="Gødning",-Afgrødedata!$N$9*IF($B128="Økologisk",VLOOKUP($F127,Afgrødedata!$A$2:$L$18,MATCH(Afgrødedata!$D$4,Afgrødedata!$A$4:$L$4,0),FALSE),1),Afgrødedata!$O$9)))</f>
        <v>9.8139999999999983</v>
      </c>
      <c r="I128" s="176">
        <f>IF($A128&lt;&gt;"Grøntsager i drivhus",IF($F128="C - land",0,IF($F128="CO2 - atmosfære",VLOOKUP(IF($F126="Halm",$F125,$F126),Afgrødedata!$A$5:$L$18,MATCH(CONCATENATE("CO2-",'Processer - data'!$C128),Afgrødedata!$A$4:$L$4,0),FALSE),IF($F128="Gødning",-VLOOKUP(IF($F127="Halm",$F126,$F127),Afgrødedata!$A$5:$L$18,MATCH(CONCATENATE("Kvælstofnorm-",'Processer - data'!$C128),Afgrødedata!$A$4:$L$4,0),FALSE),IF($F128="Halm",VLOOKUP($F127,Afgrødedata!$A$2:$L$18,MATCH(Afgrødedata!$C$4,Afgrødedata!$A$4:$L$4,0),FALSE)/10,VLOOKUP($F128,Afgrødedata!$A$2:$L$18,MATCH("Hovedafgrøde",Afgrødedata!$A$4:$L$4,0),FALSE)/10)*IF($C128="OC6",VLOOKUP(IF($F128="Gødning",IF($F127="Halm",$F126,$F127),IF($F128="Halm",$F127,$F128)),Afgrødedata!$A$2:$L$18,MATCH(Afgrødedata!$E$4,Afgrødedata!$A$4:$L$4,0),FALSE),IF($C128="OC12",VLOOKUP(IF($F128="Gødning",IF($F127="Halm",$F126,$F127),IF($F128="Halm",$F127,$F128)),Afgrødedata!$A$2:$L$18,MATCH(Afgrødedata!$F$4,Afgrødedata!$A$4:$L$4,0),FALSE),1)))*IF($B128="Økologisk",VLOOKUP(IF($F128="Gødning",IF($F127="Halm",$F126,$F127),IF($F128="Halm",$F127,$F128)),Afgrødedata!$A$2:$L$18,MATCH(Afgrødedata!$D$4,Afgrødedata!$A$4:$L$4,0),FALSE),1))),IF($F128="Grøntsager",Afgrødedata!$M$9/10*IF($B128="Økologisk",VLOOKUP($F128,Afgrødedata!$A$2:$L$18,MATCH(Afgrødedata!$D$4,Afgrødedata!$A$4:$L$4,0),FALSE),1),IF($F128="Gødning",-Afgrødedata!$N$9*IF($B128="Økologisk",VLOOKUP($F127,Afgrødedata!$A$2:$L$18,MATCH(Afgrødedata!$D$4,Afgrødedata!$A$4:$L$4,0),FALSE),1),Afgrødedata!$O$9)))</f>
        <v>9.8139999999999983</v>
      </c>
      <c r="J128" s="176">
        <f>IF($A128&lt;&gt;"Grøntsager i drivhus",IF($F128="C - land",0,IF($F128="CO2 - atmosfære",VLOOKUP(IF($F126="Halm",$F125,$F126),Afgrødedata!$A$5:$L$18,MATCH(CONCATENATE("CO2-",'Processer - data'!$C128),Afgrødedata!$A$4:$L$4,0),FALSE),IF($F128="Gødning",-VLOOKUP(IF($F127="Halm",$F126,$F127),Afgrødedata!$A$5:$L$18,MATCH(CONCATENATE("Kvælstofnorm-",'Processer - data'!$C128),Afgrødedata!$A$4:$L$4,0),FALSE),IF($F128="Halm",VLOOKUP($F127,Afgrødedata!$A$2:$L$18,MATCH(Afgrødedata!$C$4,Afgrødedata!$A$4:$L$4,0),FALSE)/10,VLOOKUP($F128,Afgrødedata!$A$2:$L$18,MATCH("Hovedafgrøde",Afgrødedata!$A$4:$L$4,0),FALSE)/10)*IF($C128="OC6",VLOOKUP(IF($F128="Gødning",IF($F127="Halm",$F126,$F127),IF($F128="Halm",$F127,$F128)),Afgrødedata!$A$2:$L$18,MATCH(Afgrødedata!$E$4,Afgrødedata!$A$4:$L$4,0),FALSE),IF($C128="OC12",VLOOKUP(IF($F128="Gødning",IF($F127="Halm",$F126,$F127),IF($F128="Halm",$F127,$F128)),Afgrødedata!$A$2:$L$18,MATCH(Afgrødedata!$F$4,Afgrødedata!$A$4:$L$4,0),FALSE),1)))*IF($B128="Økologisk",VLOOKUP(IF($F128="Gødning",IF($F127="Halm",$F126,$F127),IF($F128="Halm",$F127,$F128)),Afgrødedata!$A$2:$L$18,MATCH(Afgrødedata!$D$4,Afgrødedata!$A$4:$L$4,0),FALSE),1))),IF($F128="Grøntsager",Afgrødedata!$M$9/10*IF($B128="Økologisk",VLOOKUP($F128,Afgrødedata!$A$2:$L$18,MATCH(Afgrødedata!$D$4,Afgrødedata!$A$4:$L$4,0),FALSE),1),IF($F128="Gødning",-Afgrødedata!$N$9*IF($B128="Økologisk",VLOOKUP($F127,Afgrødedata!$A$2:$L$18,MATCH(Afgrødedata!$D$4,Afgrødedata!$A$4:$L$4,0),FALSE),1),Afgrødedata!$O$9)))</f>
        <v>9.8139999999999983</v>
      </c>
      <c r="K128" s="145"/>
    </row>
    <row r="129" spans="1:11" s="146" customFormat="1" x14ac:dyDescent="0.55000000000000004">
      <c r="A129" s="187" t="s">
        <v>25</v>
      </c>
      <c r="B129" s="181" t="s">
        <v>45</v>
      </c>
      <c r="C129" s="181" t="str">
        <f>Organ12</f>
        <v>OC12</v>
      </c>
      <c r="D129" s="146" t="s">
        <v>358</v>
      </c>
      <c r="E129" s="146" t="str">
        <f>IFERROR(VLOOKUP(D129,Table2[],2,FALSE),"")</f>
        <v>Hektar</v>
      </c>
      <c r="F129" s="146" t="s">
        <v>37</v>
      </c>
      <c r="G129" s="146" t="str">
        <f>IFERROR(VLOOKUP(F129,Table2[],2,FALSE),"")</f>
        <v>Ton</v>
      </c>
      <c r="H129" s="256">
        <f>IF($A129&lt;&gt;"Grøntsager i drivhus",IF($F129="C - land",0,IF($F129="CO2 - atmosfære",VLOOKUP(IF($F127="Halm",$F126,$F127),Afgrødedata!$A$5:$L$18,MATCH(CONCATENATE("CO2-",'Processer - data'!$C129),Afgrødedata!$A$4:$L$4,0),FALSE),IF($F129="Gødning",-VLOOKUP(IF($F128="Halm",$F127,$F128),Afgrødedata!$A$5:$L$18,MATCH(CONCATENATE("Kvælstofnorm-",'Processer - data'!$C129),Afgrødedata!$A$4:$L$4,0),FALSE),IF($F129="Halm",VLOOKUP($F128,Afgrødedata!$A$2:$L$18,MATCH(Afgrødedata!$C$4,Afgrødedata!$A$4:$L$4,0),FALSE)/10,VLOOKUP($F129,Afgrødedata!$A$2:$L$18,MATCH("Hovedafgrøde",Afgrødedata!$A$4:$L$4,0),FALSE)/10)*IF($C129="OC6",VLOOKUP(IF($F129="Gødning",IF($F128="Halm",$F127,$F128),IF($F129="Halm",$F128,$F129)),Afgrødedata!$A$2:$L$18,MATCH(Afgrødedata!$E$4,Afgrødedata!$A$4:$L$4,0),FALSE),IF($C129="OC12",VLOOKUP(IF($F129="Gødning",IF($F128="Halm",$F127,$F128),IF($F129="Halm",$F128,$F129)),Afgrødedata!$A$2:$L$18,MATCH(Afgrødedata!$F$4,Afgrødedata!$A$4:$L$4,0),FALSE),1)))*IF($B129="Økologisk",VLOOKUP(IF($F129="Gødning",IF($F128="Halm",$F127,$F128),IF($F129="Halm",$F128,$F129)),Afgrødedata!$A$2:$L$18,MATCH(Afgrødedata!$D$4,Afgrødedata!$A$4:$L$4,0),FALSE),1))),IF($F129="Grøntsager",Afgrødedata!$M$9/10*IF($B129="Økologisk",VLOOKUP($F129,Afgrødedata!$A$2:$L$18,MATCH(Afgrødedata!$D$4,Afgrødedata!$A$4:$L$4,0),FALSE),1),IF($F129="Gødning",-Afgrødedata!$N$9*IF($B129="Økologisk",VLOOKUP($F128,Afgrødedata!$A$2:$L$18,MATCH(Afgrødedata!$D$4,Afgrødedata!$A$4:$L$4,0),FALSE),1),Afgrødedata!$O$9)))</f>
        <v>5.3976999999999995</v>
      </c>
      <c r="I129" s="256">
        <f>IF($A129&lt;&gt;"Grøntsager i drivhus",IF($F129="C - land",0,IF($F129="CO2 - atmosfære",VLOOKUP(IF($F127="Halm",$F126,$F127),Afgrødedata!$A$5:$L$18,MATCH(CONCATENATE("CO2-",'Processer - data'!$C129),Afgrødedata!$A$4:$L$4,0),FALSE),IF($F129="Gødning",-VLOOKUP(IF($F128="Halm",$F127,$F128),Afgrødedata!$A$5:$L$18,MATCH(CONCATENATE("Kvælstofnorm-",'Processer - data'!$C129),Afgrødedata!$A$4:$L$4,0),FALSE),IF($F129="Halm",VLOOKUP($F128,Afgrødedata!$A$2:$L$18,MATCH(Afgrødedata!$C$4,Afgrødedata!$A$4:$L$4,0),FALSE)/10,VLOOKUP($F129,Afgrødedata!$A$2:$L$18,MATCH("Hovedafgrøde",Afgrødedata!$A$4:$L$4,0),FALSE)/10)*IF($C129="OC6",VLOOKUP(IF($F129="Gødning",IF($F128="Halm",$F127,$F128),IF($F129="Halm",$F128,$F129)),Afgrødedata!$A$2:$L$18,MATCH(Afgrødedata!$E$4,Afgrødedata!$A$4:$L$4,0),FALSE),IF($C129="OC12",VLOOKUP(IF($F129="Gødning",IF($F128="Halm",$F127,$F128),IF($F129="Halm",$F128,$F129)),Afgrødedata!$A$2:$L$18,MATCH(Afgrødedata!$F$4,Afgrødedata!$A$4:$L$4,0),FALSE),1)))*IF($B129="Økologisk",VLOOKUP(IF($F129="Gødning",IF($F128="Halm",$F127,$F128),IF($F129="Halm",$F128,$F129)),Afgrødedata!$A$2:$L$18,MATCH(Afgrødedata!$D$4,Afgrødedata!$A$4:$L$4,0),FALSE),1))),IF($F129="Grøntsager",Afgrødedata!$M$9/10*IF($B129="Økologisk",VLOOKUP($F129,Afgrødedata!$A$2:$L$18,MATCH(Afgrødedata!$D$4,Afgrødedata!$A$4:$L$4,0),FALSE),1),IF($F129="Gødning",-Afgrødedata!$N$9*IF($B129="Økologisk",VLOOKUP($F128,Afgrødedata!$A$2:$L$18,MATCH(Afgrødedata!$D$4,Afgrødedata!$A$4:$L$4,0),FALSE),1),Afgrødedata!$O$9)))</f>
        <v>5.3976999999999995</v>
      </c>
      <c r="J129" s="256">
        <f>IF($A129&lt;&gt;"Grøntsager i drivhus",IF($F129="C - land",0,IF($F129="CO2 - atmosfære",VLOOKUP(IF($F127="Halm",$F126,$F127),Afgrødedata!$A$5:$L$18,MATCH(CONCATENATE("CO2-",'Processer - data'!$C129),Afgrødedata!$A$4:$L$4,0),FALSE),IF($F129="Gødning",-VLOOKUP(IF($F128="Halm",$F127,$F128),Afgrødedata!$A$5:$L$18,MATCH(CONCATENATE("Kvælstofnorm-",'Processer - data'!$C129),Afgrødedata!$A$4:$L$4,0),FALSE),IF($F129="Halm",VLOOKUP($F128,Afgrødedata!$A$2:$L$18,MATCH(Afgrødedata!$C$4,Afgrødedata!$A$4:$L$4,0),FALSE)/10,VLOOKUP($F129,Afgrødedata!$A$2:$L$18,MATCH("Hovedafgrøde",Afgrødedata!$A$4:$L$4,0),FALSE)/10)*IF($C129="OC6",VLOOKUP(IF($F129="Gødning",IF($F128="Halm",$F127,$F128),IF($F129="Halm",$F128,$F129)),Afgrødedata!$A$2:$L$18,MATCH(Afgrødedata!$E$4,Afgrødedata!$A$4:$L$4,0),FALSE),IF($C129="OC12",VLOOKUP(IF($F129="Gødning",IF($F128="Halm",$F127,$F128),IF($F129="Halm",$F128,$F129)),Afgrødedata!$A$2:$L$18,MATCH(Afgrødedata!$F$4,Afgrødedata!$A$4:$L$4,0),FALSE),1)))*IF($B129="Økologisk",VLOOKUP(IF($F129="Gødning",IF($F128="Halm",$F127,$F128),IF($F129="Halm",$F128,$F129)),Afgrødedata!$A$2:$L$18,MATCH(Afgrødedata!$D$4,Afgrødedata!$A$4:$L$4,0),FALSE),1))),IF($F129="Grøntsager",Afgrødedata!$M$9/10*IF($B129="Økologisk",VLOOKUP($F129,Afgrødedata!$A$2:$L$18,MATCH(Afgrødedata!$D$4,Afgrødedata!$A$4:$L$4,0),FALSE),1),IF($F129="Gødning",-Afgrødedata!$N$9*IF($B129="Økologisk",VLOOKUP($F128,Afgrødedata!$A$2:$L$18,MATCH(Afgrødedata!$D$4,Afgrødedata!$A$4:$L$4,0),FALSE),1),Afgrødedata!$O$9)))</f>
        <v>5.3976999999999995</v>
      </c>
      <c r="K129" s="147"/>
    </row>
    <row r="130" spans="1:11" s="146" customFormat="1" x14ac:dyDescent="0.55000000000000004">
      <c r="A130" s="187" t="s">
        <v>25</v>
      </c>
      <c r="B130" s="181" t="s">
        <v>45</v>
      </c>
      <c r="C130" s="181" t="str">
        <f>Organ12</f>
        <v>OC12</v>
      </c>
      <c r="D130" s="146" t="s">
        <v>358</v>
      </c>
      <c r="E130" s="146" t="str">
        <f>IFERROR(VLOOKUP(D130,Table2[],2,FALSE),"")</f>
        <v>Hektar</v>
      </c>
      <c r="F130" s="146" t="s">
        <v>303</v>
      </c>
      <c r="G130" s="146" t="str">
        <f>IFERROR(VLOOKUP(F130,Table2[],2,FALSE),"")</f>
        <v>kg N</v>
      </c>
      <c r="H130" s="168">
        <f>IF($A130&lt;&gt;"Grøntsager i drivhus",IF($F130="C - land",0,IF($F130="CO2 - atmosfære",VLOOKUP(IF($F128="Halm",$F127,$F128),Afgrødedata!$A$5:$L$18,MATCH(CONCATENATE("CO2-",'Processer - data'!$C130),Afgrødedata!$A$4:$L$4,0),FALSE),IF($F130="Gødning",-VLOOKUP(IF($F129="Halm",$F128,$F129),Afgrødedata!$A$5:$L$18,MATCH(CONCATENATE("Kvælstofnorm-",'Processer - data'!$C130),Afgrødedata!$A$4:$L$4,0),FALSE),IF($F130="Halm",VLOOKUP($F129,Afgrødedata!$A$2:$L$18,MATCH(Afgrødedata!$C$4,Afgrødedata!$A$4:$L$4,0),FALSE)/10,VLOOKUP($F130,Afgrødedata!$A$2:$L$18,MATCH("Hovedafgrøde",Afgrødedata!$A$4:$L$4,0),FALSE)/10)*IF($C130="OC6",VLOOKUP(IF($F130="Gødning",IF($F129="Halm",$F128,$F129),IF($F130="Halm",$F129,$F130)),Afgrødedata!$A$2:$L$18,MATCH(Afgrødedata!$E$4,Afgrødedata!$A$4:$L$4,0),FALSE),IF($C130="OC12",VLOOKUP(IF($F130="Gødning",IF($F129="Halm",$F128,$F129),IF($F130="Halm",$F129,$F130)),Afgrødedata!$A$2:$L$18,MATCH(Afgrødedata!$F$4,Afgrødedata!$A$4:$L$4,0),FALSE),1)))*IF($B130="Økologisk",VLOOKUP(IF($F130="Gødning",IF($F129="Halm",$F128,$F129),IF($F130="Halm",$F129,$F130)),Afgrødedata!$A$2:$L$18,MATCH(Afgrødedata!$D$4,Afgrødedata!$A$4:$L$4,0),FALSE),1))),IF($F130="Grøntsager",Afgrødedata!$M$9/10*IF($B130="Økologisk",VLOOKUP($F130,Afgrødedata!$A$2:$L$18,MATCH(Afgrødedata!$D$4,Afgrødedata!$A$4:$L$4,0),FALSE),1),IF($F130="Gødning",-Afgrødedata!$N$9*IF($B130="Økologisk",VLOOKUP($F129,Afgrødedata!$A$2:$L$18,MATCH(Afgrødedata!$D$4,Afgrødedata!$A$4:$L$4,0),FALSE),1),Afgrødedata!$O$9)))</f>
        <v>-100</v>
      </c>
      <c r="I130" s="168">
        <f>IF($A130&lt;&gt;"Grøntsager i drivhus",IF($F130="C - land",0,IF($F130="CO2 - atmosfære",VLOOKUP(IF($F128="Halm",$F127,$F128),Afgrødedata!$A$5:$L$18,MATCH(CONCATENATE("CO2-",'Processer - data'!$C130),Afgrødedata!$A$4:$L$4,0),FALSE),IF($F130="Gødning",-VLOOKUP(IF($F129="Halm",$F128,$F129),Afgrødedata!$A$5:$L$18,MATCH(CONCATENATE("Kvælstofnorm-",'Processer - data'!$C130),Afgrødedata!$A$4:$L$4,0),FALSE),IF($F130="Halm",VLOOKUP($F129,Afgrødedata!$A$2:$L$18,MATCH(Afgrødedata!$C$4,Afgrødedata!$A$4:$L$4,0),FALSE)/10,VLOOKUP($F130,Afgrødedata!$A$2:$L$18,MATCH("Hovedafgrøde",Afgrødedata!$A$4:$L$4,0),FALSE)/10)*IF($C130="OC6",VLOOKUP(IF($F130="Gødning",IF($F129="Halm",$F128,$F129),IF($F130="Halm",$F129,$F130)),Afgrødedata!$A$2:$L$18,MATCH(Afgrødedata!$E$4,Afgrødedata!$A$4:$L$4,0),FALSE),IF($C130="OC12",VLOOKUP(IF($F130="Gødning",IF($F129="Halm",$F128,$F129),IF($F130="Halm",$F129,$F130)),Afgrødedata!$A$2:$L$18,MATCH(Afgrødedata!$F$4,Afgrødedata!$A$4:$L$4,0),FALSE),1)))*IF($B130="Økologisk",VLOOKUP(IF($F130="Gødning",IF($F129="Halm",$F128,$F129),IF($F130="Halm",$F129,$F130)),Afgrødedata!$A$2:$L$18,MATCH(Afgrødedata!$D$4,Afgrødedata!$A$4:$L$4,0),FALSE),1))),IF($F130="Grøntsager",Afgrødedata!$M$9/10*IF($B130="Økologisk",VLOOKUP($F130,Afgrødedata!$A$2:$L$18,MATCH(Afgrødedata!$D$4,Afgrødedata!$A$4:$L$4,0),FALSE),1),IF($F130="Gødning",-Afgrødedata!$N$9*IF($B130="Økologisk",VLOOKUP($F129,Afgrødedata!$A$2:$L$18,MATCH(Afgrødedata!$D$4,Afgrødedata!$A$4:$L$4,0),FALSE),1),Afgrødedata!$O$9)))</f>
        <v>-100</v>
      </c>
      <c r="J130" s="168">
        <f>IF($A130&lt;&gt;"Grøntsager i drivhus",IF($F130="C - land",0,IF($F130="CO2 - atmosfære",VLOOKUP(IF($F128="Halm",$F127,$F128),Afgrødedata!$A$5:$L$18,MATCH(CONCATENATE("CO2-",'Processer - data'!$C130),Afgrødedata!$A$4:$L$4,0),FALSE),IF($F130="Gødning",-VLOOKUP(IF($F129="Halm",$F128,$F129),Afgrødedata!$A$5:$L$18,MATCH(CONCATENATE("Kvælstofnorm-",'Processer - data'!$C130),Afgrødedata!$A$4:$L$4,0),FALSE),IF($F130="Halm",VLOOKUP($F129,Afgrødedata!$A$2:$L$18,MATCH(Afgrødedata!$C$4,Afgrødedata!$A$4:$L$4,0),FALSE)/10,VLOOKUP($F130,Afgrødedata!$A$2:$L$18,MATCH("Hovedafgrøde",Afgrødedata!$A$4:$L$4,0),FALSE)/10)*IF($C130="OC6",VLOOKUP(IF($F130="Gødning",IF($F129="Halm",$F128,$F129),IF($F130="Halm",$F129,$F130)),Afgrødedata!$A$2:$L$18,MATCH(Afgrødedata!$E$4,Afgrødedata!$A$4:$L$4,0),FALSE),IF($C130="OC12",VLOOKUP(IF($F130="Gødning",IF($F129="Halm",$F128,$F129),IF($F130="Halm",$F129,$F130)),Afgrødedata!$A$2:$L$18,MATCH(Afgrødedata!$F$4,Afgrødedata!$A$4:$L$4,0),FALSE),1)))*IF($B130="Økologisk",VLOOKUP(IF($F130="Gødning",IF($F129="Halm",$F128,$F129),IF($F130="Halm",$F129,$F130)),Afgrødedata!$A$2:$L$18,MATCH(Afgrødedata!$D$4,Afgrødedata!$A$4:$L$4,0),FALSE),1))),IF($F130="Grøntsager",Afgrødedata!$M$9/10*IF($B130="Økologisk",VLOOKUP($F130,Afgrødedata!$A$2:$L$18,MATCH(Afgrødedata!$D$4,Afgrødedata!$A$4:$L$4,0),FALSE),1),IF($F130="Gødning",-Afgrødedata!$N$9*IF($B130="Økologisk",VLOOKUP($F129,Afgrødedata!$A$2:$L$18,MATCH(Afgrødedata!$D$4,Afgrødedata!$A$4:$L$4,0),FALSE),1),Afgrødedata!$O$9)))</f>
        <v>-100</v>
      </c>
      <c r="K130" s="147"/>
    </row>
    <row r="131" spans="1:11" s="146" customFormat="1" ht="14.7" thickBot="1" x14ac:dyDescent="0.6">
      <c r="A131" s="187" t="s">
        <v>25</v>
      </c>
      <c r="B131" s="181" t="s">
        <v>45</v>
      </c>
      <c r="C131" s="181" t="str">
        <f>Organ12</f>
        <v>OC12</v>
      </c>
      <c r="D131" s="146" t="s">
        <v>358</v>
      </c>
      <c r="E131" s="146" t="str">
        <f>IFERROR(VLOOKUP(D131,Table2[],2,FALSE),"")</f>
        <v>Hektar</v>
      </c>
      <c r="F131" s="150" t="s">
        <v>344</v>
      </c>
      <c r="G131" s="146" t="str">
        <f>IFERROR(VLOOKUP(F131,Table2[],2,FALSE),"")</f>
        <v>t CO2-ækvivalenter</v>
      </c>
      <c r="H131" s="168">
        <f>IF($A131&lt;&gt;"Grøntsager i drivhus",IF($F131="C - land",0,IF($F131="CO2 - atmosfære",VLOOKUP(IF($F129="Halm",$F128,$F129),Afgrødedata!$A$5:$L$18,MATCH(CONCATENATE("CO2-",'Processer - data'!$C131),Afgrødedata!$A$4:$L$4,0),FALSE),IF($F131="Gødning",-VLOOKUP(IF($F130="Halm",$F129,$F130),Afgrødedata!$A$5:$L$18,MATCH(CONCATENATE("Kvælstofnorm-",'Processer - data'!$C131),Afgrødedata!$A$4:$L$4,0),FALSE),IF($F131="Halm",VLOOKUP($F130,Afgrødedata!$A$2:$L$18,MATCH(Afgrødedata!$C$4,Afgrødedata!$A$4:$L$4,0),FALSE)/10,VLOOKUP($F131,Afgrødedata!$A$2:$L$18,MATCH("Hovedafgrøde",Afgrødedata!$A$4:$L$4,0),FALSE)/10)*IF($C131="OC6",VLOOKUP(IF($F131="Gødning",IF($F130="Halm",$F129,$F130),IF($F131="Halm",$F130,$F131)),Afgrødedata!$A$2:$L$18,MATCH(Afgrødedata!$E$4,Afgrødedata!$A$4:$L$4,0),FALSE),IF($C131="OC12",VLOOKUP(IF($F131="Gødning",IF($F130="Halm",$F129,$F130),IF($F131="Halm",$F130,$F131)),Afgrødedata!$A$2:$L$18,MATCH(Afgrødedata!$F$4,Afgrødedata!$A$4:$L$4,0),FALSE),1)))*IF($B131="Økologisk",VLOOKUP(IF($F131="Gødning",IF($F130="Halm",$F129,$F130),IF($F131="Halm",$F130,$F131)),Afgrødedata!$A$2:$L$18,MATCH(Afgrødedata!$D$4,Afgrødedata!$A$4:$L$4,0),FALSE),1))),IF($F131="Grøntsager",Afgrødedata!$M$9/10*IF($B131="Økologisk",VLOOKUP($F131,Afgrødedata!$A$2:$L$18,MATCH(Afgrødedata!$D$4,Afgrødedata!$A$4:$L$4,0),FALSE),1),IF($F131="Gødning",-Afgrødedata!$N$9*IF($B131="Økologisk",VLOOKUP($F130,Afgrødedata!$A$2:$L$18,MATCH(Afgrødedata!$D$4,Afgrødedata!$A$4:$L$4,0),FALSE),1),Afgrødedata!$O$9)))</f>
        <v>40.951694367485452</v>
      </c>
      <c r="I131" s="168">
        <f>IF($A131&lt;&gt;"Grøntsager i drivhus",IF($F131="C - land",0,IF($F131="CO2 - atmosfære",VLOOKUP(IF($F129="Halm",$F128,$F129),Afgrødedata!$A$5:$L$18,MATCH(CONCATENATE("CO2-",'Processer - data'!$C131),Afgrødedata!$A$4:$L$4,0),FALSE),IF($F131="Gødning",-VLOOKUP(IF($F130="Halm",$F129,$F130),Afgrødedata!$A$5:$L$18,MATCH(CONCATENATE("Kvælstofnorm-",'Processer - data'!$C131),Afgrødedata!$A$4:$L$4,0),FALSE),IF($F131="Halm",VLOOKUP($F130,Afgrødedata!$A$2:$L$18,MATCH(Afgrødedata!$C$4,Afgrødedata!$A$4:$L$4,0),FALSE)/10,VLOOKUP($F131,Afgrødedata!$A$2:$L$18,MATCH("Hovedafgrøde",Afgrødedata!$A$4:$L$4,0),FALSE)/10)*IF($C131="OC6",VLOOKUP(IF($F131="Gødning",IF($F130="Halm",$F129,$F130),IF($F131="Halm",$F130,$F131)),Afgrødedata!$A$2:$L$18,MATCH(Afgrødedata!$E$4,Afgrødedata!$A$4:$L$4,0),FALSE),IF($C131="OC12",VLOOKUP(IF($F131="Gødning",IF($F130="Halm",$F129,$F130),IF($F131="Halm",$F130,$F131)),Afgrødedata!$A$2:$L$18,MATCH(Afgrødedata!$F$4,Afgrødedata!$A$4:$L$4,0),FALSE),1)))*IF($B131="Økologisk",VLOOKUP(IF($F131="Gødning",IF($F130="Halm",$F129,$F130),IF($F131="Halm",$F130,$F131)),Afgrødedata!$A$2:$L$18,MATCH(Afgrødedata!$D$4,Afgrødedata!$A$4:$L$4,0),FALSE),1))),IF($F131="Grøntsager",Afgrødedata!$M$9/10*IF($B131="Økologisk",VLOOKUP($F131,Afgrødedata!$A$2:$L$18,MATCH(Afgrødedata!$D$4,Afgrødedata!$A$4:$L$4,0),FALSE),1),IF($F131="Gødning",-Afgrødedata!$N$9*IF($B131="Økologisk",VLOOKUP($F130,Afgrødedata!$A$2:$L$18,MATCH(Afgrødedata!$D$4,Afgrødedata!$A$4:$L$4,0),FALSE),1),Afgrødedata!$O$9)))</f>
        <v>40.951694367485452</v>
      </c>
      <c r="J131" s="168">
        <f>IF($A131&lt;&gt;"Grøntsager i drivhus",IF($F131="C - land",0,IF($F131="CO2 - atmosfære",VLOOKUP(IF($F129="Halm",$F128,$F129),Afgrødedata!$A$5:$L$18,MATCH(CONCATENATE("CO2-",'Processer - data'!$C131),Afgrødedata!$A$4:$L$4,0),FALSE),IF($F131="Gødning",-VLOOKUP(IF($F130="Halm",$F129,$F130),Afgrødedata!$A$5:$L$18,MATCH(CONCATENATE("Kvælstofnorm-",'Processer - data'!$C131),Afgrødedata!$A$4:$L$4,0),FALSE),IF($F131="Halm",VLOOKUP($F130,Afgrødedata!$A$2:$L$18,MATCH(Afgrødedata!$C$4,Afgrødedata!$A$4:$L$4,0),FALSE)/10,VLOOKUP($F131,Afgrødedata!$A$2:$L$18,MATCH("Hovedafgrøde",Afgrødedata!$A$4:$L$4,0),FALSE)/10)*IF($C131="OC6",VLOOKUP(IF($F131="Gødning",IF($F130="Halm",$F129,$F130),IF($F131="Halm",$F130,$F131)),Afgrødedata!$A$2:$L$18,MATCH(Afgrødedata!$E$4,Afgrødedata!$A$4:$L$4,0),FALSE),IF($C131="OC12",VLOOKUP(IF($F131="Gødning",IF($F130="Halm",$F129,$F130),IF($F131="Halm",$F130,$F131)),Afgrødedata!$A$2:$L$18,MATCH(Afgrødedata!$F$4,Afgrødedata!$A$4:$L$4,0),FALSE),1)))*IF($B131="Økologisk",VLOOKUP(IF($F131="Gødning",IF($F130="Halm",$F129,$F130),IF($F131="Halm",$F130,$F131)),Afgrødedata!$A$2:$L$18,MATCH(Afgrødedata!$D$4,Afgrødedata!$A$4:$L$4,0),FALSE),1))),IF($F131="Grøntsager",Afgrødedata!$M$9/10*IF($B131="Økologisk",VLOOKUP($F131,Afgrødedata!$A$2:$L$18,MATCH(Afgrødedata!$D$4,Afgrødedata!$A$4:$L$4,0),FALSE),1),IF($F131="Gødning",-Afgrødedata!$N$9*IF($B131="Økologisk",VLOOKUP($F130,Afgrødedata!$A$2:$L$18,MATCH(Afgrødedata!$D$4,Afgrødedata!$A$4:$L$4,0),FALSE),1),Afgrødedata!$O$9)))</f>
        <v>40.951694367485452</v>
      </c>
      <c r="K131" s="147"/>
    </row>
    <row r="132" spans="1:11" s="146" customFormat="1" ht="14.7" thickTop="1" x14ac:dyDescent="0.55000000000000004">
      <c r="A132" s="186" t="s">
        <v>25</v>
      </c>
      <c r="B132" s="180" t="s">
        <v>46</v>
      </c>
      <c r="C132" s="180" t="str">
        <f>Jordbund1</f>
        <v>JB1-10</v>
      </c>
      <c r="D132" s="144" t="s">
        <v>358</v>
      </c>
      <c r="E132" s="144" t="str">
        <f>IFERROR(VLOOKUP(D132,Table2[],2,FALSE),"")</f>
        <v>Hektar</v>
      </c>
      <c r="F132" s="144" t="s">
        <v>11</v>
      </c>
      <c r="G132" s="144" t="str">
        <f>IFERROR(VLOOKUP(F132,Table2[],2,FALSE),"")</f>
        <v>Ton</v>
      </c>
      <c r="H132" s="176">
        <f>IF($A132&lt;&gt;"Grøntsager i drivhus",IF($F132="C - land",0,IF($F132="CO2 - atmosfære",VLOOKUP(IF($F130="Halm",$F129,$F130),Afgrødedata!$A$5:$L$18,MATCH(CONCATENATE("CO2-",'Processer - data'!$C132),Afgrødedata!$A$4:$L$4,0),FALSE),IF($F132="Gødning",-VLOOKUP(IF($F131="Halm",$F130,$F131),Afgrødedata!$A$5:$L$18,MATCH(CONCATENATE("Kvælstofnorm-",'Processer - data'!$C132),Afgrødedata!$A$4:$L$4,0),FALSE),IF($F132="Halm",VLOOKUP($F131,Afgrødedata!$A$2:$L$18,MATCH(Afgrødedata!$C$4,Afgrødedata!$A$4:$L$4,0),FALSE)/10,VLOOKUP($F132,Afgrødedata!$A$2:$L$18,MATCH("Hovedafgrøde",Afgrødedata!$A$4:$L$4,0),FALSE)/10)*IF($C132="OC6",VLOOKUP(IF($F132="Gødning",IF($F131="Halm",$F130,$F131),IF($F132="Halm",$F131,$F132)),Afgrødedata!$A$2:$L$18,MATCH(Afgrødedata!$E$4,Afgrødedata!$A$4:$L$4,0),FALSE),IF($C132="OC12",VLOOKUP(IF($F132="Gødning",IF($F131="Halm",$F130,$F131),IF($F132="Halm",$F131,$F132)),Afgrødedata!$A$2:$L$18,MATCH(Afgrødedata!$F$4,Afgrødedata!$A$4:$L$4,0),FALSE),1)))*IF($B132="Økologisk",VLOOKUP(IF($F132="Gødning",IF($F131="Halm",$F130,$F131),IF($F132="Halm",$F131,$F132)),Afgrødedata!$A$2:$L$18,MATCH(Afgrødedata!$D$4,Afgrødedata!$A$4:$L$4,0),FALSE),1))),IF($F132="Grøntsager",Afgrødedata!$M$9/10*IF($B132="Økologisk",VLOOKUP($F132,Afgrødedata!$A$2:$L$18,MATCH(Afgrødedata!$D$4,Afgrødedata!$A$4:$L$4,0),FALSE),1),IF($F132="Gødning",-Afgrødedata!$N$9*IF($B132="Økologisk",VLOOKUP($F131,Afgrødedata!$A$2:$L$18,MATCH(Afgrødedata!$D$4,Afgrødedata!$A$4:$L$4,0),FALSE),1),Afgrødedata!$O$9)))</f>
        <v>4.6966999999999999</v>
      </c>
      <c r="I132" s="176">
        <f>IF($A132&lt;&gt;"Grøntsager i drivhus",IF($F132="C - land",0,IF($F132="CO2 - atmosfære",VLOOKUP(IF($F130="Halm",$F129,$F130),Afgrødedata!$A$5:$L$18,MATCH(CONCATENATE("CO2-",'Processer - data'!$C132),Afgrødedata!$A$4:$L$4,0),FALSE),IF($F132="Gødning",-VLOOKUP(IF($F131="Halm",$F130,$F131),Afgrødedata!$A$5:$L$18,MATCH(CONCATENATE("Kvælstofnorm-",'Processer - data'!$C132),Afgrødedata!$A$4:$L$4,0),FALSE),IF($F132="Halm",VLOOKUP($F131,Afgrødedata!$A$2:$L$18,MATCH(Afgrødedata!$C$4,Afgrødedata!$A$4:$L$4,0),FALSE)/10,VLOOKUP($F132,Afgrødedata!$A$2:$L$18,MATCH("Hovedafgrøde",Afgrødedata!$A$4:$L$4,0),FALSE)/10)*IF($C132="OC6",VLOOKUP(IF($F132="Gødning",IF($F131="Halm",$F130,$F131),IF($F132="Halm",$F131,$F132)),Afgrødedata!$A$2:$L$18,MATCH(Afgrødedata!$E$4,Afgrødedata!$A$4:$L$4,0),FALSE),IF($C132="OC12",VLOOKUP(IF($F132="Gødning",IF($F131="Halm",$F130,$F131),IF($F132="Halm",$F131,$F132)),Afgrødedata!$A$2:$L$18,MATCH(Afgrødedata!$F$4,Afgrødedata!$A$4:$L$4,0),FALSE),1)))*IF($B132="Økologisk",VLOOKUP(IF($F132="Gødning",IF($F131="Halm",$F130,$F131),IF($F132="Halm",$F131,$F132)),Afgrødedata!$A$2:$L$18,MATCH(Afgrødedata!$D$4,Afgrødedata!$A$4:$L$4,0),FALSE),1))),IF($F132="Grøntsager",Afgrødedata!$M$9/10*IF($B132="Økologisk",VLOOKUP($F132,Afgrødedata!$A$2:$L$18,MATCH(Afgrødedata!$D$4,Afgrødedata!$A$4:$L$4,0),FALSE),1),IF($F132="Gødning",-Afgrødedata!$N$9*IF($B132="Økologisk",VLOOKUP($F131,Afgrødedata!$A$2:$L$18,MATCH(Afgrødedata!$D$4,Afgrødedata!$A$4:$L$4,0),FALSE),1),Afgrødedata!$O$9)))</f>
        <v>4.6966999999999999</v>
      </c>
      <c r="J132" s="176">
        <f>IF($A132&lt;&gt;"Grøntsager i drivhus",IF($F132="C - land",0,IF($F132="CO2 - atmosfære",VLOOKUP(IF($F130="Halm",$F129,$F130),Afgrødedata!$A$5:$L$18,MATCH(CONCATENATE("CO2-",'Processer - data'!$C132),Afgrødedata!$A$4:$L$4,0),FALSE),IF($F132="Gødning",-VLOOKUP(IF($F131="Halm",$F130,$F131),Afgrødedata!$A$5:$L$18,MATCH(CONCATENATE("Kvælstofnorm-",'Processer - data'!$C132),Afgrødedata!$A$4:$L$4,0),FALSE),IF($F132="Halm",VLOOKUP($F131,Afgrødedata!$A$2:$L$18,MATCH(Afgrødedata!$C$4,Afgrødedata!$A$4:$L$4,0),FALSE)/10,VLOOKUP($F132,Afgrødedata!$A$2:$L$18,MATCH("Hovedafgrøde",Afgrødedata!$A$4:$L$4,0),FALSE)/10)*IF($C132="OC6",VLOOKUP(IF($F132="Gødning",IF($F131="Halm",$F130,$F131),IF($F132="Halm",$F131,$F132)),Afgrødedata!$A$2:$L$18,MATCH(Afgrødedata!$E$4,Afgrødedata!$A$4:$L$4,0),FALSE),IF($C132="OC12",VLOOKUP(IF($F132="Gødning",IF($F131="Halm",$F130,$F131),IF($F132="Halm",$F131,$F132)),Afgrødedata!$A$2:$L$18,MATCH(Afgrødedata!$F$4,Afgrødedata!$A$4:$L$4,0),FALSE),1)))*IF($B132="Økologisk",VLOOKUP(IF($F132="Gødning",IF($F131="Halm",$F130,$F131),IF($F132="Halm",$F131,$F132)),Afgrødedata!$A$2:$L$18,MATCH(Afgrødedata!$D$4,Afgrødedata!$A$4:$L$4,0),FALSE),1))),IF($F132="Grøntsager",Afgrødedata!$M$9/10*IF($B132="Økologisk",VLOOKUP($F132,Afgrødedata!$A$2:$L$18,MATCH(Afgrødedata!$D$4,Afgrødedata!$A$4:$L$4,0),FALSE),1),IF($F132="Gødning",-Afgrødedata!$N$9*IF($B132="Økologisk",VLOOKUP($F131,Afgrødedata!$A$2:$L$18,MATCH(Afgrødedata!$D$4,Afgrødedata!$A$4:$L$4,0),FALSE),1),Afgrødedata!$O$9)))</f>
        <v>4.6966999999999999</v>
      </c>
      <c r="K132" s="145"/>
    </row>
    <row r="133" spans="1:11" s="146" customFormat="1" x14ac:dyDescent="0.55000000000000004">
      <c r="A133" s="187" t="s">
        <v>25</v>
      </c>
      <c r="B133" s="181" t="s">
        <v>46</v>
      </c>
      <c r="C133" s="181" t="str">
        <f>Jordbund1</f>
        <v>JB1-10</v>
      </c>
      <c r="D133" s="146" t="s">
        <v>358</v>
      </c>
      <c r="E133" s="146" t="str">
        <f>IFERROR(VLOOKUP(D133,Table2[],2,FALSE),"")</f>
        <v>Hektar</v>
      </c>
      <c r="F133" s="146" t="s">
        <v>37</v>
      </c>
      <c r="G133" s="146" t="str">
        <f>IFERROR(VLOOKUP(F133,Table2[],2,FALSE),"")</f>
        <v>Ton</v>
      </c>
      <c r="H133" s="301">
        <f>IF($A133&lt;&gt;"Grøntsager i drivhus",IF($F133="C - land",0,IF($F133="CO2 - atmosfære",VLOOKUP(IF($F131="Halm",$F130,$F131),Afgrødedata!$A$5:$L$18,MATCH(CONCATENATE("CO2-",'Processer - data'!$C133),Afgrødedata!$A$4:$L$4,0),FALSE),IF($F133="Gødning",-VLOOKUP(IF($F132="Halm",$F131,$F132),Afgrødedata!$A$5:$L$18,MATCH(CONCATENATE("Kvælstofnorm-",'Processer - data'!$C133),Afgrødedata!$A$4:$L$4,0),FALSE),IF($F133="Halm",VLOOKUP($F132,Afgrødedata!$A$2:$L$18,MATCH(Afgrødedata!$C$4,Afgrødedata!$A$4:$L$4,0),FALSE)/10,VLOOKUP($F133,Afgrødedata!$A$2:$L$18,MATCH("Hovedafgrøde",Afgrødedata!$A$4:$L$4,0),FALSE)/10)*IF($C133="OC6",VLOOKUP(IF($F133="Gødning",IF($F132="Halm",$F131,$F132),IF($F133="Halm",$F132,$F133)),Afgrødedata!$A$2:$L$18,MATCH(Afgrødedata!$E$4,Afgrødedata!$A$4:$L$4,0),FALSE),IF($C133="OC12",VLOOKUP(IF($F133="Gødning",IF($F132="Halm",$F131,$F132),IF($F133="Halm",$F132,$F133)),Afgrødedata!$A$2:$L$18,MATCH(Afgrødedata!$F$4,Afgrødedata!$A$4:$L$4,0),FALSE),1)))*IF($B133="Økologisk",VLOOKUP(IF($F133="Gødning",IF($F132="Halm",$F131,$F132),IF($F133="Halm",$F132,$F133)),Afgrødedata!$A$2:$L$18,MATCH(Afgrødedata!$D$4,Afgrødedata!$A$4:$L$4,0),FALSE),1))),IF($F133="Grøntsager",Afgrødedata!$M$9/10*IF($B133="Økologisk",VLOOKUP($F133,Afgrødedata!$A$2:$L$18,MATCH(Afgrødedata!$D$4,Afgrødedata!$A$4:$L$4,0),FALSE),1),IF($F133="Gødning",-Afgrødedata!$N$9*IF($B133="Økologisk",VLOOKUP($F132,Afgrødedata!$A$2:$L$18,MATCH(Afgrødedata!$D$4,Afgrødedata!$A$4:$L$4,0),FALSE),1),Afgrødedata!$O$9)))</f>
        <v>2.5831850000000003</v>
      </c>
      <c r="I133" s="301">
        <f>IF($A133&lt;&gt;"Grøntsager i drivhus",IF($F133="C - land",0,IF($F133="CO2 - atmosfære",VLOOKUP(IF($F131="Halm",$F130,$F131),Afgrødedata!$A$5:$L$18,MATCH(CONCATENATE("CO2-",'Processer - data'!$C133),Afgrødedata!$A$4:$L$4,0),FALSE),IF($F133="Gødning",-VLOOKUP(IF($F132="Halm",$F131,$F132),Afgrødedata!$A$5:$L$18,MATCH(CONCATENATE("Kvælstofnorm-",'Processer - data'!$C133),Afgrødedata!$A$4:$L$4,0),FALSE),IF($F133="Halm",VLOOKUP($F132,Afgrødedata!$A$2:$L$18,MATCH(Afgrødedata!$C$4,Afgrødedata!$A$4:$L$4,0),FALSE)/10,VLOOKUP($F133,Afgrødedata!$A$2:$L$18,MATCH("Hovedafgrøde",Afgrødedata!$A$4:$L$4,0),FALSE)/10)*IF($C133="OC6",VLOOKUP(IF($F133="Gødning",IF($F132="Halm",$F131,$F132),IF($F133="Halm",$F132,$F133)),Afgrødedata!$A$2:$L$18,MATCH(Afgrødedata!$E$4,Afgrødedata!$A$4:$L$4,0),FALSE),IF($C133="OC12",VLOOKUP(IF($F133="Gødning",IF($F132="Halm",$F131,$F132),IF($F133="Halm",$F132,$F133)),Afgrødedata!$A$2:$L$18,MATCH(Afgrødedata!$F$4,Afgrødedata!$A$4:$L$4,0),FALSE),1)))*IF($B133="Økologisk",VLOOKUP(IF($F133="Gødning",IF($F132="Halm",$F131,$F132),IF($F133="Halm",$F132,$F133)),Afgrødedata!$A$2:$L$18,MATCH(Afgrødedata!$D$4,Afgrødedata!$A$4:$L$4,0),FALSE),1))),IF($F133="Grøntsager",Afgrødedata!$M$9/10*IF($B133="Økologisk",VLOOKUP($F133,Afgrødedata!$A$2:$L$18,MATCH(Afgrødedata!$D$4,Afgrødedata!$A$4:$L$4,0),FALSE),1),IF($F133="Gødning",-Afgrødedata!$N$9*IF($B133="Økologisk",VLOOKUP($F132,Afgrødedata!$A$2:$L$18,MATCH(Afgrødedata!$D$4,Afgrødedata!$A$4:$L$4,0),FALSE),1),Afgrødedata!$O$9)))</f>
        <v>2.5831850000000003</v>
      </c>
      <c r="J133" s="301">
        <f>IF($A133&lt;&gt;"Grøntsager i drivhus",IF($F133="C - land",0,IF($F133="CO2 - atmosfære",VLOOKUP(IF($F131="Halm",$F130,$F131),Afgrødedata!$A$5:$L$18,MATCH(CONCATENATE("CO2-",'Processer - data'!$C133),Afgrødedata!$A$4:$L$4,0),FALSE),IF($F133="Gødning",-VLOOKUP(IF($F132="Halm",$F131,$F132),Afgrødedata!$A$5:$L$18,MATCH(CONCATENATE("Kvælstofnorm-",'Processer - data'!$C133),Afgrødedata!$A$4:$L$4,0),FALSE),IF($F133="Halm",VLOOKUP($F132,Afgrødedata!$A$2:$L$18,MATCH(Afgrødedata!$C$4,Afgrødedata!$A$4:$L$4,0),FALSE)/10,VLOOKUP($F133,Afgrødedata!$A$2:$L$18,MATCH("Hovedafgrøde",Afgrødedata!$A$4:$L$4,0),FALSE)/10)*IF($C133="OC6",VLOOKUP(IF($F133="Gødning",IF($F132="Halm",$F131,$F132),IF($F133="Halm",$F132,$F133)),Afgrødedata!$A$2:$L$18,MATCH(Afgrødedata!$E$4,Afgrødedata!$A$4:$L$4,0),FALSE),IF($C133="OC12",VLOOKUP(IF($F133="Gødning",IF($F132="Halm",$F131,$F132),IF($F133="Halm",$F132,$F133)),Afgrødedata!$A$2:$L$18,MATCH(Afgrødedata!$F$4,Afgrødedata!$A$4:$L$4,0),FALSE),1)))*IF($B133="Økologisk",VLOOKUP(IF($F133="Gødning",IF($F132="Halm",$F131,$F132),IF($F133="Halm",$F132,$F133)),Afgrødedata!$A$2:$L$18,MATCH(Afgrødedata!$D$4,Afgrødedata!$A$4:$L$4,0),FALSE),1))),IF($F133="Grøntsager",Afgrødedata!$M$9/10*IF($B133="Økologisk",VLOOKUP($F133,Afgrødedata!$A$2:$L$18,MATCH(Afgrødedata!$D$4,Afgrødedata!$A$4:$L$4,0),FALSE),1),IF($F133="Gødning",-Afgrødedata!$N$9*IF($B133="Økologisk",VLOOKUP($F132,Afgrødedata!$A$2:$L$18,MATCH(Afgrødedata!$D$4,Afgrødedata!$A$4:$L$4,0),FALSE),1),Afgrødedata!$O$9)))</f>
        <v>2.5831850000000003</v>
      </c>
      <c r="K133" s="147"/>
    </row>
    <row r="134" spans="1:11" s="146" customFormat="1" x14ac:dyDescent="0.55000000000000004">
      <c r="A134" s="187" t="s">
        <v>25</v>
      </c>
      <c r="B134" s="181" t="s">
        <v>46</v>
      </c>
      <c r="C134" s="181" t="str">
        <f>Jordbund1</f>
        <v>JB1-10</v>
      </c>
      <c r="D134" s="146" t="s">
        <v>358</v>
      </c>
      <c r="E134" s="146" t="str">
        <f>IFERROR(VLOOKUP(D134,Table2[],2,FALSE),"")</f>
        <v>Hektar</v>
      </c>
      <c r="F134" s="146" t="s">
        <v>303</v>
      </c>
      <c r="G134" s="146" t="str">
        <f>IFERROR(VLOOKUP(F134,Table2[],2,FALSE),"")</f>
        <v>kg N</v>
      </c>
      <c r="H134" s="168">
        <f>IF($A134&lt;&gt;"Grøntsager i drivhus",IF($F134="C - land",0,IF($F134="CO2 - atmosfære",VLOOKUP(IF($F132="Halm",$F131,$F132),Afgrødedata!$A$5:$L$18,MATCH(CONCATENATE("CO2-",'Processer - data'!$C134),Afgrødedata!$A$4:$L$4,0),FALSE),IF($F134="Gødning",-VLOOKUP(IF($F133="Halm",$F132,$F133),Afgrødedata!$A$5:$L$18,MATCH(CONCATENATE("Kvælstofnorm-",'Processer - data'!$C134),Afgrødedata!$A$4:$L$4,0),FALSE),IF($F134="Halm",VLOOKUP($F133,Afgrødedata!$A$2:$L$18,MATCH(Afgrødedata!$C$4,Afgrødedata!$A$4:$L$4,0),FALSE)/10,VLOOKUP($F134,Afgrødedata!$A$2:$L$18,MATCH("Hovedafgrøde",Afgrødedata!$A$4:$L$4,0),FALSE)/10)*IF($C134="OC6",VLOOKUP(IF($F134="Gødning",IF($F133="Halm",$F132,$F133),IF($F134="Halm",$F133,$F134)),Afgrødedata!$A$2:$L$18,MATCH(Afgrødedata!$E$4,Afgrødedata!$A$4:$L$4,0),FALSE),IF($C134="OC12",VLOOKUP(IF($F134="Gødning",IF($F133="Halm",$F132,$F133),IF($F134="Halm",$F133,$F134)),Afgrødedata!$A$2:$L$18,MATCH(Afgrødedata!$F$4,Afgrødedata!$A$4:$L$4,0),FALSE),1)))*IF($B134="Økologisk",VLOOKUP(IF($F134="Gødning",IF($F133="Halm",$F132,$F133),IF($F134="Halm",$F133,$F134)),Afgrødedata!$A$2:$L$18,MATCH(Afgrødedata!$D$4,Afgrødedata!$A$4:$L$4,0),FALSE),1))),IF($F134="Grøntsager",Afgrødedata!$M$9/10*IF($B134="Økologisk",VLOOKUP($F134,Afgrødedata!$A$2:$L$18,MATCH(Afgrødedata!$D$4,Afgrødedata!$A$4:$L$4,0),FALSE),1),IF($F134="Gødning",-Afgrødedata!$N$9*IF($B134="Økologisk",VLOOKUP($F133,Afgrødedata!$A$2:$L$18,MATCH(Afgrødedata!$D$4,Afgrødedata!$A$4:$L$4,0),FALSE),1),Afgrødedata!$O$9)))</f>
        <v>-107.2</v>
      </c>
      <c r="I134" s="168">
        <f>IF($A134&lt;&gt;"Grøntsager i drivhus",IF($F134="C - land",0,IF($F134="CO2 - atmosfære",VLOOKUP(IF($F132="Halm",$F131,$F132),Afgrødedata!$A$5:$L$18,MATCH(CONCATENATE("CO2-",'Processer - data'!$C134),Afgrødedata!$A$4:$L$4,0),FALSE),IF($F134="Gødning",-VLOOKUP(IF($F133="Halm",$F132,$F133),Afgrødedata!$A$5:$L$18,MATCH(CONCATENATE("Kvælstofnorm-",'Processer - data'!$C134),Afgrødedata!$A$4:$L$4,0),FALSE),IF($F134="Halm",VLOOKUP($F133,Afgrødedata!$A$2:$L$18,MATCH(Afgrødedata!$C$4,Afgrødedata!$A$4:$L$4,0),FALSE)/10,VLOOKUP($F134,Afgrødedata!$A$2:$L$18,MATCH("Hovedafgrøde",Afgrødedata!$A$4:$L$4,0),FALSE)/10)*IF($C134="OC6",VLOOKUP(IF($F134="Gødning",IF($F133="Halm",$F132,$F133),IF($F134="Halm",$F133,$F134)),Afgrødedata!$A$2:$L$18,MATCH(Afgrødedata!$E$4,Afgrødedata!$A$4:$L$4,0),FALSE),IF($C134="OC12",VLOOKUP(IF($F134="Gødning",IF($F133="Halm",$F132,$F133),IF($F134="Halm",$F133,$F134)),Afgrødedata!$A$2:$L$18,MATCH(Afgrødedata!$F$4,Afgrødedata!$A$4:$L$4,0),FALSE),1)))*IF($B134="Økologisk",VLOOKUP(IF($F134="Gødning",IF($F133="Halm",$F132,$F133),IF($F134="Halm",$F133,$F134)),Afgrødedata!$A$2:$L$18,MATCH(Afgrødedata!$D$4,Afgrødedata!$A$4:$L$4,0),FALSE),1))),IF($F134="Grøntsager",Afgrødedata!$M$9/10*IF($B134="Økologisk",VLOOKUP($F134,Afgrødedata!$A$2:$L$18,MATCH(Afgrødedata!$D$4,Afgrødedata!$A$4:$L$4,0),FALSE),1),IF($F134="Gødning",-Afgrødedata!$N$9*IF($B134="Økologisk",VLOOKUP($F133,Afgrødedata!$A$2:$L$18,MATCH(Afgrødedata!$D$4,Afgrødedata!$A$4:$L$4,0),FALSE),1),Afgrødedata!$O$9)))</f>
        <v>-107.2</v>
      </c>
      <c r="J134" s="168">
        <f>IF($A134&lt;&gt;"Grøntsager i drivhus",IF($F134="C - land",0,IF($F134="CO2 - atmosfære",VLOOKUP(IF($F132="Halm",$F131,$F132),Afgrødedata!$A$5:$L$18,MATCH(CONCATENATE("CO2-",'Processer - data'!$C134),Afgrødedata!$A$4:$L$4,0),FALSE),IF($F134="Gødning",-VLOOKUP(IF($F133="Halm",$F132,$F133),Afgrødedata!$A$5:$L$18,MATCH(CONCATENATE("Kvælstofnorm-",'Processer - data'!$C134),Afgrødedata!$A$4:$L$4,0),FALSE),IF($F134="Halm",VLOOKUP($F133,Afgrødedata!$A$2:$L$18,MATCH(Afgrødedata!$C$4,Afgrødedata!$A$4:$L$4,0),FALSE)/10,VLOOKUP($F134,Afgrødedata!$A$2:$L$18,MATCH("Hovedafgrøde",Afgrødedata!$A$4:$L$4,0),FALSE)/10)*IF($C134="OC6",VLOOKUP(IF($F134="Gødning",IF($F133="Halm",$F132,$F133),IF($F134="Halm",$F133,$F134)),Afgrødedata!$A$2:$L$18,MATCH(Afgrødedata!$E$4,Afgrødedata!$A$4:$L$4,0),FALSE),IF($C134="OC12",VLOOKUP(IF($F134="Gødning",IF($F133="Halm",$F132,$F133),IF($F134="Halm",$F133,$F134)),Afgrødedata!$A$2:$L$18,MATCH(Afgrødedata!$F$4,Afgrødedata!$A$4:$L$4,0),FALSE),1)))*IF($B134="Økologisk",VLOOKUP(IF($F134="Gødning",IF($F133="Halm",$F132,$F133),IF($F134="Halm",$F133,$F134)),Afgrødedata!$A$2:$L$18,MATCH(Afgrødedata!$D$4,Afgrødedata!$A$4:$L$4,0),FALSE),1))),IF($F134="Grøntsager",Afgrødedata!$M$9/10*IF($B134="Økologisk",VLOOKUP($F134,Afgrødedata!$A$2:$L$18,MATCH(Afgrødedata!$D$4,Afgrødedata!$A$4:$L$4,0),FALSE),1),IF($F134="Gødning",-Afgrødedata!$N$9*IF($B134="Økologisk",VLOOKUP($F133,Afgrødedata!$A$2:$L$18,MATCH(Afgrødedata!$D$4,Afgrødedata!$A$4:$L$4,0),FALSE),1),Afgrødedata!$O$9)))</f>
        <v>-107.2</v>
      </c>
      <c r="K134" s="147"/>
    </row>
    <row r="135" spans="1:11" s="146" customFormat="1" ht="14.7" thickBot="1" x14ac:dyDescent="0.6">
      <c r="A135" s="188" t="s">
        <v>25</v>
      </c>
      <c r="B135" s="182" t="s">
        <v>46</v>
      </c>
      <c r="C135" s="182" t="str">
        <f>Jordbund1</f>
        <v>JB1-10</v>
      </c>
      <c r="D135" s="148" t="s">
        <v>358</v>
      </c>
      <c r="E135" s="148" t="str">
        <f>IFERROR(VLOOKUP(D135,Table2[],2,FALSE),"")</f>
        <v>Hektar</v>
      </c>
      <c r="F135" s="202" t="s">
        <v>344</v>
      </c>
      <c r="G135" s="148" t="str">
        <f>IFERROR(VLOOKUP(F135,Table2[],2,FALSE),"")</f>
        <v>t CO2-ækvivalenter</v>
      </c>
      <c r="H135" s="177">
        <f>IF($A135&lt;&gt;"Grøntsager i drivhus",IF($F135="C - land",0,IF($F135="CO2 - atmosfære",VLOOKUP(IF($F133="Halm",$F132,$F133),Afgrødedata!$A$5:$L$18,MATCH(CONCATENATE("CO2-",'Processer - data'!$C135),Afgrødedata!$A$4:$L$4,0),FALSE),IF($F135="Gødning",-VLOOKUP(IF($F134="Halm",$F133,$F134),Afgrødedata!$A$5:$L$18,MATCH(CONCATENATE("Kvælstofnorm-",'Processer - data'!$C135),Afgrødedata!$A$4:$L$4,0),FALSE),IF($F135="Halm",VLOOKUP($F134,Afgrødedata!$A$2:$L$18,MATCH(Afgrødedata!$C$4,Afgrødedata!$A$4:$L$4,0),FALSE)/10,VLOOKUP($F135,Afgrødedata!$A$2:$L$18,MATCH("Hovedafgrøde",Afgrødedata!$A$4:$L$4,0),FALSE)/10)*IF($C135="OC6",VLOOKUP(IF($F135="Gødning",IF($F134="Halm",$F133,$F134),IF($F135="Halm",$F134,$F135)),Afgrødedata!$A$2:$L$18,MATCH(Afgrødedata!$E$4,Afgrødedata!$A$4:$L$4,0),FALSE),IF($C135="OC12",VLOOKUP(IF($F135="Gødning",IF($F134="Halm",$F133,$F134),IF($F135="Halm",$F134,$F135)),Afgrødedata!$A$2:$L$18,MATCH(Afgrødedata!$F$4,Afgrødedata!$A$4:$L$4,0),FALSE),1)))*IF($B135="Økologisk",VLOOKUP(IF($F135="Gødning",IF($F134="Halm",$F133,$F134),IF($F135="Halm",$F134,$F135)),Afgrødedata!$A$2:$L$18,MATCH(Afgrødedata!$D$4,Afgrødedata!$A$4:$L$4,0),FALSE),1))),IF($F135="Grøntsager",Afgrødedata!$M$9/10*IF($B135="Økologisk",VLOOKUP($F135,Afgrødedata!$A$2:$L$18,MATCH(Afgrødedata!$D$4,Afgrødedata!$A$4:$L$4,0),FALSE),1),IF($F135="Gødning",-Afgrødedata!$N$9*IF($B135="Økologisk",VLOOKUP($F134,Afgrødedata!$A$2:$L$18,MATCH(Afgrødedata!$D$4,Afgrødedata!$A$4:$L$4,0),FALSE),1),Afgrødedata!$O$9)))</f>
        <v>2.2736943674854606</v>
      </c>
      <c r="I135" s="177">
        <f>IF($A135&lt;&gt;"Grøntsager i drivhus",IF($F135="C - land",0,IF($F135="CO2 - atmosfære",VLOOKUP(IF($F133="Halm",$F132,$F133),Afgrødedata!$A$5:$L$18,MATCH(CONCATENATE("CO2-",'Processer - data'!$C135),Afgrødedata!$A$4:$L$4,0),FALSE),IF($F135="Gødning",-VLOOKUP(IF($F134="Halm",$F133,$F134),Afgrødedata!$A$5:$L$18,MATCH(CONCATENATE("Kvælstofnorm-",'Processer - data'!$C135),Afgrødedata!$A$4:$L$4,0),FALSE),IF($F135="Halm",VLOOKUP($F134,Afgrødedata!$A$2:$L$18,MATCH(Afgrødedata!$C$4,Afgrødedata!$A$4:$L$4,0),FALSE)/10,VLOOKUP($F135,Afgrødedata!$A$2:$L$18,MATCH("Hovedafgrøde",Afgrødedata!$A$4:$L$4,0),FALSE)/10)*IF($C135="OC6",VLOOKUP(IF($F135="Gødning",IF($F134="Halm",$F133,$F134),IF($F135="Halm",$F134,$F135)),Afgrødedata!$A$2:$L$18,MATCH(Afgrødedata!$E$4,Afgrødedata!$A$4:$L$4,0),FALSE),IF($C135="OC12",VLOOKUP(IF($F135="Gødning",IF($F134="Halm",$F133,$F134),IF($F135="Halm",$F134,$F135)),Afgrødedata!$A$2:$L$18,MATCH(Afgrødedata!$F$4,Afgrødedata!$A$4:$L$4,0),FALSE),1)))*IF($B135="Økologisk",VLOOKUP(IF($F135="Gødning",IF($F134="Halm",$F133,$F134),IF($F135="Halm",$F134,$F135)),Afgrødedata!$A$2:$L$18,MATCH(Afgrødedata!$D$4,Afgrødedata!$A$4:$L$4,0),FALSE),1))),IF($F135="Grøntsager",Afgrødedata!$M$9/10*IF($B135="Økologisk",VLOOKUP($F135,Afgrødedata!$A$2:$L$18,MATCH(Afgrødedata!$D$4,Afgrødedata!$A$4:$L$4,0),FALSE),1),IF($F135="Gødning",-Afgrødedata!$N$9*IF($B135="Økologisk",VLOOKUP($F134,Afgrødedata!$A$2:$L$18,MATCH(Afgrødedata!$D$4,Afgrødedata!$A$4:$L$4,0),FALSE),1),Afgrødedata!$O$9)))</f>
        <v>2.2736943674854606</v>
      </c>
      <c r="J135" s="177">
        <f>IF($A135&lt;&gt;"Grøntsager i drivhus",IF($F135="C - land",0,IF($F135="CO2 - atmosfære",VLOOKUP(IF($F133="Halm",$F132,$F133),Afgrødedata!$A$5:$L$18,MATCH(CONCATENATE("CO2-",'Processer - data'!$C135),Afgrødedata!$A$4:$L$4,0),FALSE),IF($F135="Gødning",-VLOOKUP(IF($F134="Halm",$F133,$F134),Afgrødedata!$A$5:$L$18,MATCH(CONCATENATE("Kvælstofnorm-",'Processer - data'!$C135),Afgrødedata!$A$4:$L$4,0),FALSE),IF($F135="Halm",VLOOKUP($F134,Afgrødedata!$A$2:$L$18,MATCH(Afgrødedata!$C$4,Afgrødedata!$A$4:$L$4,0),FALSE)/10,VLOOKUP($F135,Afgrødedata!$A$2:$L$18,MATCH("Hovedafgrøde",Afgrødedata!$A$4:$L$4,0),FALSE)/10)*IF($C135="OC6",VLOOKUP(IF($F135="Gødning",IF($F134="Halm",$F133,$F134),IF($F135="Halm",$F134,$F135)),Afgrødedata!$A$2:$L$18,MATCH(Afgrødedata!$E$4,Afgrødedata!$A$4:$L$4,0),FALSE),IF($C135="OC12",VLOOKUP(IF($F135="Gødning",IF($F134="Halm",$F133,$F134),IF($F135="Halm",$F134,$F135)),Afgrødedata!$A$2:$L$18,MATCH(Afgrødedata!$F$4,Afgrødedata!$A$4:$L$4,0),FALSE),1)))*IF($B135="Økologisk",VLOOKUP(IF($F135="Gødning",IF($F134="Halm",$F133,$F134),IF($F135="Halm",$F134,$F135)),Afgrødedata!$A$2:$L$18,MATCH(Afgrødedata!$D$4,Afgrødedata!$A$4:$L$4,0),FALSE),1))),IF($F135="Grøntsager",Afgrødedata!$M$9/10*IF($B135="Økologisk",VLOOKUP($F135,Afgrødedata!$A$2:$L$18,MATCH(Afgrødedata!$D$4,Afgrødedata!$A$4:$L$4,0),FALSE),1),IF($F135="Gødning",-Afgrødedata!$N$9*IF($B135="Økologisk",VLOOKUP($F134,Afgrødedata!$A$2:$L$18,MATCH(Afgrødedata!$D$4,Afgrødedata!$A$4:$L$4,0),FALSE),1),Afgrødedata!$O$9)))</f>
        <v>2.2736943674854606</v>
      </c>
      <c r="K135" s="149"/>
    </row>
    <row r="136" spans="1:11" s="146" customFormat="1" ht="14.7" thickTop="1" x14ac:dyDescent="0.55000000000000004">
      <c r="A136" s="186" t="s">
        <v>25</v>
      </c>
      <c r="B136" s="180" t="s">
        <v>46</v>
      </c>
      <c r="C136" s="180" t="str">
        <f>Organ6</f>
        <v>OC6</v>
      </c>
      <c r="D136" s="144" t="s">
        <v>358</v>
      </c>
      <c r="E136" s="144" t="str">
        <f>IFERROR(VLOOKUP(D136,Table2[],2,FALSE),"")</f>
        <v>Hektar</v>
      </c>
      <c r="F136" s="144" t="s">
        <v>11</v>
      </c>
      <c r="G136" s="144" t="str">
        <f>IFERROR(VLOOKUP(F136,Table2[],2,FALSE),"")</f>
        <v>Ton</v>
      </c>
      <c r="H136" s="176">
        <f>IF($A136&lt;&gt;"Grøntsager i drivhus",IF($F136="C - land",0,IF($F136="CO2 - atmosfære",VLOOKUP(IF($F134="Halm",$F133,$F134),Afgrødedata!$A$5:$L$18,MATCH(CONCATENATE("CO2-",'Processer - data'!$C136),Afgrødedata!$A$4:$L$4,0),FALSE),IF($F136="Gødning",-VLOOKUP(IF($F135="Halm",$F134,$F135),Afgrødedata!$A$5:$L$18,MATCH(CONCATENATE("Kvælstofnorm-",'Processer - data'!$C136),Afgrødedata!$A$4:$L$4,0),FALSE),IF($F136="Halm",VLOOKUP($F135,Afgrødedata!$A$2:$L$18,MATCH(Afgrødedata!$C$4,Afgrødedata!$A$4:$L$4,0),FALSE)/10,VLOOKUP($F136,Afgrødedata!$A$2:$L$18,MATCH("Hovedafgrøde",Afgrødedata!$A$4:$L$4,0),FALSE)/10)*IF($C136="OC6",VLOOKUP(IF($F136="Gødning",IF($F135="Halm",$F134,$F135),IF($F136="Halm",$F135,$F136)),Afgrødedata!$A$2:$L$18,MATCH(Afgrødedata!$E$4,Afgrødedata!$A$4:$L$4,0),FALSE),IF($C136="OC12",VLOOKUP(IF($F136="Gødning",IF($F135="Halm",$F134,$F135),IF($F136="Halm",$F135,$F136)),Afgrødedata!$A$2:$L$18,MATCH(Afgrødedata!$F$4,Afgrødedata!$A$4:$L$4,0),FALSE),1)))*IF($B136="Økologisk",VLOOKUP(IF($F136="Gødning",IF($F135="Halm",$F134,$F135),IF($F136="Halm",$F135,$F136)),Afgrødedata!$A$2:$L$18,MATCH(Afgrødedata!$D$4,Afgrødedata!$A$4:$L$4,0),FALSE),1))),IF($F136="Grøntsager",Afgrødedata!$M$9/10*IF($B136="Økologisk",VLOOKUP($F136,Afgrødedata!$A$2:$L$18,MATCH(Afgrødedata!$D$4,Afgrødedata!$A$4:$L$4,0),FALSE),1),IF($F136="Gødning",-Afgrødedata!$N$9*IF($B136="Økologisk",VLOOKUP($F135,Afgrødedata!$A$2:$L$18,MATCH(Afgrødedata!$D$4,Afgrødedata!$A$4:$L$4,0),FALSE),1),Afgrødedata!$O$9)))</f>
        <v>5.6360399999999995</v>
      </c>
      <c r="I136" s="176">
        <f>IF($A136&lt;&gt;"Grøntsager i drivhus",IF($F136="C - land",0,IF($F136="CO2 - atmosfære",VLOOKUP(IF($F134="Halm",$F133,$F134),Afgrødedata!$A$5:$L$18,MATCH(CONCATENATE("CO2-",'Processer - data'!$C136),Afgrødedata!$A$4:$L$4,0),FALSE),IF($F136="Gødning",-VLOOKUP(IF($F135="Halm",$F134,$F135),Afgrødedata!$A$5:$L$18,MATCH(CONCATENATE("Kvælstofnorm-",'Processer - data'!$C136),Afgrødedata!$A$4:$L$4,0),FALSE),IF($F136="Halm",VLOOKUP($F135,Afgrødedata!$A$2:$L$18,MATCH(Afgrødedata!$C$4,Afgrødedata!$A$4:$L$4,0),FALSE)/10,VLOOKUP($F136,Afgrødedata!$A$2:$L$18,MATCH("Hovedafgrøde",Afgrødedata!$A$4:$L$4,0),FALSE)/10)*IF($C136="OC6",VLOOKUP(IF($F136="Gødning",IF($F135="Halm",$F134,$F135),IF($F136="Halm",$F135,$F136)),Afgrødedata!$A$2:$L$18,MATCH(Afgrødedata!$E$4,Afgrødedata!$A$4:$L$4,0),FALSE),IF($C136="OC12",VLOOKUP(IF($F136="Gødning",IF($F135="Halm",$F134,$F135),IF($F136="Halm",$F135,$F136)),Afgrødedata!$A$2:$L$18,MATCH(Afgrødedata!$F$4,Afgrødedata!$A$4:$L$4,0),FALSE),1)))*IF($B136="Økologisk",VLOOKUP(IF($F136="Gødning",IF($F135="Halm",$F134,$F135),IF($F136="Halm",$F135,$F136)),Afgrødedata!$A$2:$L$18,MATCH(Afgrødedata!$D$4,Afgrødedata!$A$4:$L$4,0),FALSE),1))),IF($F136="Grøntsager",Afgrødedata!$M$9/10*IF($B136="Økologisk",VLOOKUP($F136,Afgrødedata!$A$2:$L$18,MATCH(Afgrødedata!$D$4,Afgrødedata!$A$4:$L$4,0),FALSE),1),IF($F136="Gødning",-Afgrødedata!$N$9*IF($B136="Økologisk",VLOOKUP($F135,Afgrødedata!$A$2:$L$18,MATCH(Afgrødedata!$D$4,Afgrødedata!$A$4:$L$4,0),FALSE),1),Afgrødedata!$O$9)))</f>
        <v>5.6360399999999995</v>
      </c>
      <c r="J136" s="176">
        <f>IF($A136&lt;&gt;"Grøntsager i drivhus",IF($F136="C - land",0,IF($F136="CO2 - atmosfære",VLOOKUP(IF($F134="Halm",$F133,$F134),Afgrødedata!$A$5:$L$18,MATCH(CONCATENATE("CO2-",'Processer - data'!$C136),Afgrødedata!$A$4:$L$4,0),FALSE),IF($F136="Gødning",-VLOOKUP(IF($F135="Halm",$F134,$F135),Afgrødedata!$A$5:$L$18,MATCH(CONCATENATE("Kvælstofnorm-",'Processer - data'!$C136),Afgrødedata!$A$4:$L$4,0),FALSE),IF($F136="Halm",VLOOKUP($F135,Afgrødedata!$A$2:$L$18,MATCH(Afgrødedata!$C$4,Afgrødedata!$A$4:$L$4,0),FALSE)/10,VLOOKUP($F136,Afgrødedata!$A$2:$L$18,MATCH("Hovedafgrøde",Afgrødedata!$A$4:$L$4,0),FALSE)/10)*IF($C136="OC6",VLOOKUP(IF($F136="Gødning",IF($F135="Halm",$F134,$F135),IF($F136="Halm",$F135,$F136)),Afgrødedata!$A$2:$L$18,MATCH(Afgrødedata!$E$4,Afgrødedata!$A$4:$L$4,0),FALSE),IF($C136="OC12",VLOOKUP(IF($F136="Gødning",IF($F135="Halm",$F134,$F135),IF($F136="Halm",$F135,$F136)),Afgrødedata!$A$2:$L$18,MATCH(Afgrødedata!$F$4,Afgrødedata!$A$4:$L$4,0),FALSE),1)))*IF($B136="Økologisk",VLOOKUP(IF($F136="Gødning",IF($F135="Halm",$F134,$F135),IF($F136="Halm",$F135,$F136)),Afgrødedata!$A$2:$L$18,MATCH(Afgrødedata!$D$4,Afgrødedata!$A$4:$L$4,0),FALSE),1))),IF($F136="Grøntsager",Afgrødedata!$M$9/10*IF($B136="Økologisk",VLOOKUP($F136,Afgrødedata!$A$2:$L$18,MATCH(Afgrødedata!$D$4,Afgrødedata!$A$4:$L$4,0),FALSE),1),IF($F136="Gødning",-Afgrødedata!$N$9*IF($B136="Økologisk",VLOOKUP($F135,Afgrødedata!$A$2:$L$18,MATCH(Afgrødedata!$D$4,Afgrødedata!$A$4:$L$4,0),FALSE),1),Afgrødedata!$O$9)))</f>
        <v>5.6360399999999995</v>
      </c>
      <c r="K136" s="145"/>
    </row>
    <row r="137" spans="1:11" s="146" customFormat="1" x14ac:dyDescent="0.55000000000000004">
      <c r="A137" s="187" t="s">
        <v>25</v>
      </c>
      <c r="B137" s="181" t="s">
        <v>46</v>
      </c>
      <c r="C137" s="181" t="str">
        <f>Organ6</f>
        <v>OC6</v>
      </c>
      <c r="D137" s="146" t="s">
        <v>358</v>
      </c>
      <c r="E137" s="146" t="str">
        <f>IFERROR(VLOOKUP(D137,Table2[],2,FALSE),"")</f>
        <v>Hektar</v>
      </c>
      <c r="F137" s="146" t="s">
        <v>37</v>
      </c>
      <c r="G137" s="146" t="str">
        <f>IFERROR(VLOOKUP(F137,Table2[],2,FALSE),"")</f>
        <v>Ton</v>
      </c>
      <c r="H137" s="168">
        <f>IF($A137&lt;&gt;"Grøntsager i drivhus",IF($F137="C - land",0,IF($F137="CO2 - atmosfære",VLOOKUP(IF($F135="Halm",$F134,$F135),Afgrødedata!$A$5:$L$18,MATCH(CONCATENATE("CO2-",'Processer - data'!$C137),Afgrødedata!$A$4:$L$4,0),FALSE),IF($F137="Gødning",-VLOOKUP(IF($F136="Halm",$F135,$F136),Afgrødedata!$A$5:$L$18,MATCH(CONCATENATE("Kvælstofnorm-",'Processer - data'!$C137),Afgrødedata!$A$4:$L$4,0),FALSE),IF($F137="Halm",VLOOKUP($F136,Afgrødedata!$A$2:$L$18,MATCH(Afgrødedata!$C$4,Afgrødedata!$A$4:$L$4,0),FALSE)/10,VLOOKUP($F137,Afgrødedata!$A$2:$L$18,MATCH("Hovedafgrøde",Afgrødedata!$A$4:$L$4,0),FALSE)/10)*IF($C137="OC6",VLOOKUP(IF($F137="Gødning",IF($F136="Halm",$F135,$F136),IF($F137="Halm",$F136,$F137)),Afgrødedata!$A$2:$L$18,MATCH(Afgrødedata!$E$4,Afgrødedata!$A$4:$L$4,0),FALSE),IF($C137="OC12",VLOOKUP(IF($F137="Gødning",IF($F136="Halm",$F135,$F136),IF($F137="Halm",$F136,$F137)),Afgrødedata!$A$2:$L$18,MATCH(Afgrødedata!$F$4,Afgrødedata!$A$4:$L$4,0),FALSE),1)))*IF($B137="Økologisk",VLOOKUP(IF($F137="Gødning",IF($F136="Halm",$F135,$F136),IF($F137="Halm",$F136,$F137)),Afgrødedata!$A$2:$L$18,MATCH(Afgrødedata!$D$4,Afgrødedata!$A$4:$L$4,0),FALSE),1))),IF($F137="Grøntsager",Afgrødedata!$M$9/10*IF($B137="Økologisk",VLOOKUP($F137,Afgrødedata!$A$2:$L$18,MATCH(Afgrødedata!$D$4,Afgrødedata!$A$4:$L$4,0),FALSE),1),IF($F137="Gødning",-Afgrødedata!$N$9*IF($B137="Økologisk",VLOOKUP($F136,Afgrødedata!$A$2:$L$18,MATCH(Afgrødedata!$D$4,Afgrødedata!$A$4:$L$4,0),FALSE),1),Afgrødedata!$O$9)))</f>
        <v>3.0998220000000001</v>
      </c>
      <c r="I137" s="168">
        <f>IF($A137&lt;&gt;"Grøntsager i drivhus",IF($F137="C - land",0,IF($F137="CO2 - atmosfære",VLOOKUP(IF($F135="Halm",$F134,$F135),Afgrødedata!$A$5:$L$18,MATCH(CONCATENATE("CO2-",'Processer - data'!$C137),Afgrødedata!$A$4:$L$4,0),FALSE),IF($F137="Gødning",-VLOOKUP(IF($F136="Halm",$F135,$F136),Afgrødedata!$A$5:$L$18,MATCH(CONCATENATE("Kvælstofnorm-",'Processer - data'!$C137),Afgrødedata!$A$4:$L$4,0),FALSE),IF($F137="Halm",VLOOKUP($F136,Afgrødedata!$A$2:$L$18,MATCH(Afgrødedata!$C$4,Afgrødedata!$A$4:$L$4,0),FALSE)/10,VLOOKUP($F137,Afgrødedata!$A$2:$L$18,MATCH("Hovedafgrøde",Afgrødedata!$A$4:$L$4,0),FALSE)/10)*IF($C137="OC6",VLOOKUP(IF($F137="Gødning",IF($F136="Halm",$F135,$F136),IF($F137="Halm",$F136,$F137)),Afgrødedata!$A$2:$L$18,MATCH(Afgrødedata!$E$4,Afgrødedata!$A$4:$L$4,0),FALSE),IF($C137="OC12",VLOOKUP(IF($F137="Gødning",IF($F136="Halm",$F135,$F136),IF($F137="Halm",$F136,$F137)),Afgrødedata!$A$2:$L$18,MATCH(Afgrødedata!$F$4,Afgrødedata!$A$4:$L$4,0),FALSE),1)))*IF($B137="Økologisk",VLOOKUP(IF($F137="Gødning",IF($F136="Halm",$F135,$F136),IF($F137="Halm",$F136,$F137)),Afgrødedata!$A$2:$L$18,MATCH(Afgrødedata!$D$4,Afgrødedata!$A$4:$L$4,0),FALSE),1))),IF($F137="Grøntsager",Afgrødedata!$M$9/10*IF($B137="Økologisk",VLOOKUP($F137,Afgrødedata!$A$2:$L$18,MATCH(Afgrødedata!$D$4,Afgrødedata!$A$4:$L$4,0),FALSE),1),IF($F137="Gødning",-Afgrødedata!$N$9*IF($B137="Økologisk",VLOOKUP($F136,Afgrødedata!$A$2:$L$18,MATCH(Afgrødedata!$D$4,Afgrødedata!$A$4:$L$4,0),FALSE),1),Afgrødedata!$O$9)))</f>
        <v>3.0998220000000001</v>
      </c>
      <c r="J137" s="168">
        <f>IF($A137&lt;&gt;"Grøntsager i drivhus",IF($F137="C - land",0,IF($F137="CO2 - atmosfære",VLOOKUP(IF($F135="Halm",$F134,$F135),Afgrødedata!$A$5:$L$18,MATCH(CONCATENATE("CO2-",'Processer - data'!$C137),Afgrødedata!$A$4:$L$4,0),FALSE),IF($F137="Gødning",-VLOOKUP(IF($F136="Halm",$F135,$F136),Afgrødedata!$A$5:$L$18,MATCH(CONCATENATE("Kvælstofnorm-",'Processer - data'!$C137),Afgrødedata!$A$4:$L$4,0),FALSE),IF($F137="Halm",VLOOKUP($F136,Afgrødedata!$A$2:$L$18,MATCH(Afgrødedata!$C$4,Afgrødedata!$A$4:$L$4,0),FALSE)/10,VLOOKUP($F137,Afgrødedata!$A$2:$L$18,MATCH("Hovedafgrøde",Afgrødedata!$A$4:$L$4,0),FALSE)/10)*IF($C137="OC6",VLOOKUP(IF($F137="Gødning",IF($F136="Halm",$F135,$F136),IF($F137="Halm",$F136,$F137)),Afgrødedata!$A$2:$L$18,MATCH(Afgrødedata!$E$4,Afgrødedata!$A$4:$L$4,0),FALSE),IF($C137="OC12",VLOOKUP(IF($F137="Gødning",IF($F136="Halm",$F135,$F136),IF($F137="Halm",$F136,$F137)),Afgrødedata!$A$2:$L$18,MATCH(Afgrødedata!$F$4,Afgrødedata!$A$4:$L$4,0),FALSE),1)))*IF($B137="Økologisk",VLOOKUP(IF($F137="Gødning",IF($F136="Halm",$F135,$F136),IF($F137="Halm",$F136,$F137)),Afgrødedata!$A$2:$L$18,MATCH(Afgrødedata!$D$4,Afgrødedata!$A$4:$L$4,0),FALSE),1))),IF($F137="Grøntsager",Afgrødedata!$M$9/10*IF($B137="Økologisk",VLOOKUP($F137,Afgrødedata!$A$2:$L$18,MATCH(Afgrødedata!$D$4,Afgrødedata!$A$4:$L$4,0),FALSE),1),IF($F137="Gødning",-Afgrødedata!$N$9*IF($B137="Økologisk",VLOOKUP($F136,Afgrødedata!$A$2:$L$18,MATCH(Afgrødedata!$D$4,Afgrødedata!$A$4:$L$4,0),FALSE),1),Afgrødedata!$O$9)))</f>
        <v>3.0998220000000001</v>
      </c>
      <c r="K137" s="147"/>
    </row>
    <row r="138" spans="1:11" s="146" customFormat="1" x14ac:dyDescent="0.55000000000000004">
      <c r="A138" s="187" t="s">
        <v>25</v>
      </c>
      <c r="B138" s="181" t="s">
        <v>46</v>
      </c>
      <c r="C138" s="181" t="str">
        <f>Organ6</f>
        <v>OC6</v>
      </c>
      <c r="D138" s="146" t="s">
        <v>358</v>
      </c>
      <c r="E138" s="146" t="str">
        <f>IFERROR(VLOOKUP(D138,Table2[],2,FALSE),"")</f>
        <v>Hektar</v>
      </c>
      <c r="F138" s="146" t="s">
        <v>303</v>
      </c>
      <c r="G138" s="146" t="str">
        <f>IFERROR(VLOOKUP(F138,Table2[],2,FALSE),"")</f>
        <v>kg N</v>
      </c>
      <c r="H138" s="168">
        <f>IF($A138&lt;&gt;"Grøntsager i drivhus",IF($F138="C - land",0,IF($F138="CO2 - atmosfære",VLOOKUP(IF($F136="Halm",$F135,$F136),Afgrødedata!$A$5:$L$18,MATCH(CONCATENATE("CO2-",'Processer - data'!$C138),Afgrødedata!$A$4:$L$4,0),FALSE),IF($F138="Gødning",-VLOOKUP(IF($F137="Halm",$F136,$F137),Afgrødedata!$A$5:$L$18,MATCH(CONCATENATE("Kvælstofnorm-",'Processer - data'!$C138),Afgrødedata!$A$4:$L$4,0),FALSE),IF($F138="Halm",VLOOKUP($F137,Afgrødedata!$A$2:$L$18,MATCH(Afgrødedata!$C$4,Afgrødedata!$A$4:$L$4,0),FALSE)/10,VLOOKUP($F138,Afgrødedata!$A$2:$L$18,MATCH("Hovedafgrøde",Afgrødedata!$A$4:$L$4,0),FALSE)/10)*IF($C138="OC6",VLOOKUP(IF($F138="Gødning",IF($F137="Halm",$F136,$F137),IF($F138="Halm",$F137,$F138)),Afgrødedata!$A$2:$L$18,MATCH(Afgrødedata!$E$4,Afgrødedata!$A$4:$L$4,0),FALSE),IF($C138="OC12",VLOOKUP(IF($F138="Gødning",IF($F137="Halm",$F136,$F137),IF($F138="Halm",$F137,$F138)),Afgrødedata!$A$2:$L$18,MATCH(Afgrødedata!$F$4,Afgrødedata!$A$4:$L$4,0),FALSE),1)))*IF($B138="Økologisk",VLOOKUP(IF($F138="Gødning",IF($F137="Halm",$F136,$F137),IF($F138="Halm",$F137,$F138)),Afgrødedata!$A$2:$L$18,MATCH(Afgrødedata!$D$4,Afgrødedata!$A$4:$L$4,0),FALSE),1))),IF($F138="Grøntsager",Afgrødedata!$M$9/10*IF($B138="Økologisk",VLOOKUP($F138,Afgrødedata!$A$2:$L$18,MATCH(Afgrødedata!$D$4,Afgrødedata!$A$4:$L$4,0),FALSE),1),IF($F138="Gødning",-Afgrødedata!$N$9*IF($B138="Økologisk",VLOOKUP($F137,Afgrødedata!$A$2:$L$18,MATCH(Afgrødedata!$D$4,Afgrødedata!$A$4:$L$4,0),FALSE),1),Afgrødedata!$O$9)))</f>
        <v>-87.100000000000009</v>
      </c>
      <c r="I138" s="168">
        <f>IF($A138&lt;&gt;"Grøntsager i drivhus",IF($F138="C - land",0,IF($F138="CO2 - atmosfære",VLOOKUP(IF($F136="Halm",$F135,$F136),Afgrødedata!$A$5:$L$18,MATCH(CONCATENATE("CO2-",'Processer - data'!$C138),Afgrødedata!$A$4:$L$4,0),FALSE),IF($F138="Gødning",-VLOOKUP(IF($F137="Halm",$F136,$F137),Afgrødedata!$A$5:$L$18,MATCH(CONCATENATE("Kvælstofnorm-",'Processer - data'!$C138),Afgrødedata!$A$4:$L$4,0),FALSE),IF($F138="Halm",VLOOKUP($F137,Afgrødedata!$A$2:$L$18,MATCH(Afgrødedata!$C$4,Afgrødedata!$A$4:$L$4,0),FALSE)/10,VLOOKUP($F138,Afgrødedata!$A$2:$L$18,MATCH("Hovedafgrøde",Afgrødedata!$A$4:$L$4,0),FALSE)/10)*IF($C138="OC6",VLOOKUP(IF($F138="Gødning",IF($F137="Halm",$F136,$F137),IF($F138="Halm",$F137,$F138)),Afgrødedata!$A$2:$L$18,MATCH(Afgrødedata!$E$4,Afgrødedata!$A$4:$L$4,0),FALSE),IF($C138="OC12",VLOOKUP(IF($F138="Gødning",IF($F137="Halm",$F136,$F137),IF($F138="Halm",$F137,$F138)),Afgrødedata!$A$2:$L$18,MATCH(Afgrødedata!$F$4,Afgrødedata!$A$4:$L$4,0),FALSE),1)))*IF($B138="Økologisk",VLOOKUP(IF($F138="Gødning",IF($F137="Halm",$F136,$F137),IF($F138="Halm",$F137,$F138)),Afgrødedata!$A$2:$L$18,MATCH(Afgrødedata!$D$4,Afgrødedata!$A$4:$L$4,0),FALSE),1))),IF($F138="Grøntsager",Afgrødedata!$M$9/10*IF($B138="Økologisk",VLOOKUP($F138,Afgrødedata!$A$2:$L$18,MATCH(Afgrødedata!$D$4,Afgrødedata!$A$4:$L$4,0),FALSE),1),IF($F138="Gødning",-Afgrødedata!$N$9*IF($B138="Økologisk",VLOOKUP($F137,Afgrødedata!$A$2:$L$18,MATCH(Afgrødedata!$D$4,Afgrødedata!$A$4:$L$4,0),FALSE),1),Afgrødedata!$O$9)))</f>
        <v>-87.100000000000009</v>
      </c>
      <c r="J138" s="168">
        <f>IF($A138&lt;&gt;"Grøntsager i drivhus",IF($F138="C - land",0,IF($F138="CO2 - atmosfære",VLOOKUP(IF($F136="Halm",$F135,$F136),Afgrødedata!$A$5:$L$18,MATCH(CONCATENATE("CO2-",'Processer - data'!$C138),Afgrødedata!$A$4:$L$4,0),FALSE),IF($F138="Gødning",-VLOOKUP(IF($F137="Halm",$F136,$F137),Afgrødedata!$A$5:$L$18,MATCH(CONCATENATE("Kvælstofnorm-",'Processer - data'!$C138),Afgrødedata!$A$4:$L$4,0),FALSE),IF($F138="Halm",VLOOKUP($F137,Afgrødedata!$A$2:$L$18,MATCH(Afgrødedata!$C$4,Afgrødedata!$A$4:$L$4,0),FALSE)/10,VLOOKUP($F138,Afgrødedata!$A$2:$L$18,MATCH("Hovedafgrøde",Afgrødedata!$A$4:$L$4,0),FALSE)/10)*IF($C138="OC6",VLOOKUP(IF($F138="Gødning",IF($F137="Halm",$F136,$F137),IF($F138="Halm",$F137,$F138)),Afgrødedata!$A$2:$L$18,MATCH(Afgrødedata!$E$4,Afgrødedata!$A$4:$L$4,0),FALSE),IF($C138="OC12",VLOOKUP(IF($F138="Gødning",IF($F137="Halm",$F136,$F137),IF($F138="Halm",$F137,$F138)),Afgrødedata!$A$2:$L$18,MATCH(Afgrødedata!$F$4,Afgrødedata!$A$4:$L$4,0),FALSE),1)))*IF($B138="Økologisk",VLOOKUP(IF($F138="Gødning",IF($F137="Halm",$F136,$F137),IF($F138="Halm",$F137,$F138)),Afgrødedata!$A$2:$L$18,MATCH(Afgrødedata!$D$4,Afgrødedata!$A$4:$L$4,0),FALSE),1))),IF($F138="Grøntsager",Afgrødedata!$M$9/10*IF($B138="Økologisk",VLOOKUP($F138,Afgrødedata!$A$2:$L$18,MATCH(Afgrødedata!$D$4,Afgrødedata!$A$4:$L$4,0),FALSE),1),IF($F138="Gødning",-Afgrødedata!$N$9*IF($B138="Økologisk",VLOOKUP($F137,Afgrødedata!$A$2:$L$18,MATCH(Afgrødedata!$D$4,Afgrødedata!$A$4:$L$4,0),FALSE),1),Afgrødedata!$O$9)))</f>
        <v>-87.100000000000009</v>
      </c>
      <c r="K138" s="147"/>
    </row>
    <row r="139" spans="1:11" s="146" customFormat="1" ht="14.7" thickBot="1" x14ac:dyDescent="0.6">
      <c r="A139" s="188" t="s">
        <v>25</v>
      </c>
      <c r="B139" s="182" t="s">
        <v>46</v>
      </c>
      <c r="C139" s="182" t="str">
        <f>Organ6</f>
        <v>OC6</v>
      </c>
      <c r="D139" s="148" t="s">
        <v>358</v>
      </c>
      <c r="E139" s="148" t="str">
        <f>IFERROR(VLOOKUP(D139,Table2[],2,FALSE),"")</f>
        <v>Hektar</v>
      </c>
      <c r="F139" s="202" t="s">
        <v>344</v>
      </c>
      <c r="G139" s="148" t="str">
        <f>IFERROR(VLOOKUP(F139,Table2[],2,FALSE),"")</f>
        <v>t CO2-ækvivalenter</v>
      </c>
      <c r="H139" s="177">
        <f>IF($A139&lt;&gt;"Grøntsager i drivhus",IF($F139="C - land",0,IF($F139="CO2 - atmosfære",VLOOKUP(IF($F137="Halm",$F136,$F137),Afgrødedata!$A$5:$L$18,MATCH(CONCATENATE("CO2-",'Processer - data'!$C139),Afgrødedata!$A$4:$L$4,0),FALSE),IF($F139="Gødning",-VLOOKUP(IF($F138="Halm",$F137,$F138),Afgrødedata!$A$5:$L$18,MATCH(CONCATENATE("Kvælstofnorm-",'Processer - data'!$C139),Afgrødedata!$A$4:$L$4,0),FALSE),IF($F139="Halm",VLOOKUP($F138,Afgrødedata!$A$2:$L$18,MATCH(Afgrødedata!$C$4,Afgrødedata!$A$4:$L$4,0),FALSE)/10,VLOOKUP($F139,Afgrødedata!$A$2:$L$18,MATCH("Hovedafgrøde",Afgrødedata!$A$4:$L$4,0),FALSE)/10)*IF($C139="OC6",VLOOKUP(IF($F139="Gødning",IF($F138="Halm",$F137,$F138),IF($F139="Halm",$F138,$F139)),Afgrødedata!$A$2:$L$18,MATCH(Afgrødedata!$E$4,Afgrødedata!$A$4:$L$4,0),FALSE),IF($C139="OC12",VLOOKUP(IF($F139="Gødning",IF($F138="Halm",$F137,$F138),IF($F139="Halm",$F138,$F139)),Afgrødedata!$A$2:$L$18,MATCH(Afgrødedata!$F$4,Afgrødedata!$A$4:$L$4,0),FALSE),1)))*IF($B139="Økologisk",VLOOKUP(IF($F139="Gødning",IF($F138="Halm",$F137,$F138),IF($F139="Halm",$F138,$F139)),Afgrødedata!$A$2:$L$18,MATCH(Afgrødedata!$D$4,Afgrødedata!$A$4:$L$4,0),FALSE),1))),IF($F139="Grøntsager",Afgrødedata!$M$9/10*IF($B139="Økologisk",VLOOKUP($F139,Afgrødedata!$A$2:$L$18,MATCH(Afgrødedata!$D$4,Afgrødedata!$A$4:$L$4,0),FALSE),1),IF($F139="Gødning",-Afgrødedata!$N$9*IF($B139="Økologisk",VLOOKUP($F138,Afgrødedata!$A$2:$L$18,MATCH(Afgrødedata!$D$4,Afgrødedata!$A$4:$L$4,0),FALSE),1),Afgrødedata!$O$9)))</f>
        <v>15.99169436748546</v>
      </c>
      <c r="I139" s="177">
        <f>IF($A139&lt;&gt;"Grøntsager i drivhus",IF($F139="C - land",0,IF($F139="CO2 - atmosfære",VLOOKUP(IF($F137="Halm",$F136,$F137),Afgrødedata!$A$5:$L$18,MATCH(CONCATENATE("CO2-",'Processer - data'!$C139),Afgrødedata!$A$4:$L$4,0),FALSE),IF($F139="Gødning",-VLOOKUP(IF($F138="Halm",$F137,$F138),Afgrødedata!$A$5:$L$18,MATCH(CONCATENATE("Kvælstofnorm-",'Processer - data'!$C139),Afgrødedata!$A$4:$L$4,0),FALSE),IF($F139="Halm",VLOOKUP($F138,Afgrødedata!$A$2:$L$18,MATCH(Afgrødedata!$C$4,Afgrødedata!$A$4:$L$4,0),FALSE)/10,VLOOKUP($F139,Afgrødedata!$A$2:$L$18,MATCH("Hovedafgrøde",Afgrødedata!$A$4:$L$4,0),FALSE)/10)*IF($C139="OC6",VLOOKUP(IF($F139="Gødning",IF($F138="Halm",$F137,$F138),IF($F139="Halm",$F138,$F139)),Afgrødedata!$A$2:$L$18,MATCH(Afgrødedata!$E$4,Afgrødedata!$A$4:$L$4,0),FALSE),IF($C139="OC12",VLOOKUP(IF($F139="Gødning",IF($F138="Halm",$F137,$F138),IF($F139="Halm",$F138,$F139)),Afgrødedata!$A$2:$L$18,MATCH(Afgrødedata!$F$4,Afgrødedata!$A$4:$L$4,0),FALSE),1)))*IF($B139="Økologisk",VLOOKUP(IF($F139="Gødning",IF($F138="Halm",$F137,$F138),IF($F139="Halm",$F138,$F139)),Afgrødedata!$A$2:$L$18,MATCH(Afgrødedata!$D$4,Afgrødedata!$A$4:$L$4,0),FALSE),1))),IF($F139="Grøntsager",Afgrødedata!$M$9/10*IF($B139="Økologisk",VLOOKUP($F139,Afgrødedata!$A$2:$L$18,MATCH(Afgrødedata!$D$4,Afgrødedata!$A$4:$L$4,0),FALSE),1),IF($F139="Gødning",-Afgrødedata!$N$9*IF($B139="Økologisk",VLOOKUP($F138,Afgrødedata!$A$2:$L$18,MATCH(Afgrødedata!$D$4,Afgrødedata!$A$4:$L$4,0),FALSE),1),Afgrødedata!$O$9)))</f>
        <v>15.99169436748546</v>
      </c>
      <c r="J139" s="177">
        <f>IF($A139&lt;&gt;"Grøntsager i drivhus",IF($F139="C - land",0,IF($F139="CO2 - atmosfære",VLOOKUP(IF($F137="Halm",$F136,$F137),Afgrødedata!$A$5:$L$18,MATCH(CONCATENATE("CO2-",'Processer - data'!$C139),Afgrødedata!$A$4:$L$4,0),FALSE),IF($F139="Gødning",-VLOOKUP(IF($F138="Halm",$F137,$F138),Afgrødedata!$A$5:$L$18,MATCH(CONCATENATE("Kvælstofnorm-",'Processer - data'!$C139),Afgrødedata!$A$4:$L$4,0),FALSE),IF($F139="Halm",VLOOKUP($F138,Afgrødedata!$A$2:$L$18,MATCH(Afgrødedata!$C$4,Afgrødedata!$A$4:$L$4,0),FALSE)/10,VLOOKUP($F139,Afgrødedata!$A$2:$L$18,MATCH("Hovedafgrøde",Afgrødedata!$A$4:$L$4,0),FALSE)/10)*IF($C139="OC6",VLOOKUP(IF($F139="Gødning",IF($F138="Halm",$F137,$F138),IF($F139="Halm",$F138,$F139)),Afgrødedata!$A$2:$L$18,MATCH(Afgrødedata!$E$4,Afgrødedata!$A$4:$L$4,0),FALSE),IF($C139="OC12",VLOOKUP(IF($F139="Gødning",IF($F138="Halm",$F137,$F138),IF($F139="Halm",$F138,$F139)),Afgrødedata!$A$2:$L$18,MATCH(Afgrødedata!$F$4,Afgrødedata!$A$4:$L$4,0),FALSE),1)))*IF($B139="Økologisk",VLOOKUP(IF($F139="Gødning",IF($F138="Halm",$F137,$F138),IF($F139="Halm",$F138,$F139)),Afgrødedata!$A$2:$L$18,MATCH(Afgrødedata!$D$4,Afgrødedata!$A$4:$L$4,0),FALSE),1))),IF($F139="Grøntsager",Afgrødedata!$M$9/10*IF($B139="Økologisk",VLOOKUP($F139,Afgrødedata!$A$2:$L$18,MATCH(Afgrødedata!$D$4,Afgrødedata!$A$4:$L$4,0),FALSE),1),IF($F139="Gødning",-Afgrødedata!$N$9*IF($B139="Økologisk",VLOOKUP($F138,Afgrødedata!$A$2:$L$18,MATCH(Afgrødedata!$D$4,Afgrødedata!$A$4:$L$4,0),FALSE),1),Afgrødedata!$O$9)))</f>
        <v>15.99169436748546</v>
      </c>
      <c r="K139" s="149"/>
    </row>
    <row r="140" spans="1:11" s="146" customFormat="1" ht="14.7" thickTop="1" x14ac:dyDescent="0.55000000000000004">
      <c r="A140" s="186" t="s">
        <v>25</v>
      </c>
      <c r="B140" s="180" t="s">
        <v>46</v>
      </c>
      <c r="C140" s="180" t="str">
        <f>Organ12</f>
        <v>OC12</v>
      </c>
      <c r="D140" s="144" t="s">
        <v>358</v>
      </c>
      <c r="E140" s="144" t="str">
        <f>IFERROR(VLOOKUP(D140,Table2[],2,FALSE),"")</f>
        <v>Hektar</v>
      </c>
      <c r="F140" s="144" t="s">
        <v>11</v>
      </c>
      <c r="G140" s="144" t="str">
        <f>IFERROR(VLOOKUP(F140,Table2[],2,FALSE),"")</f>
        <v>Ton</v>
      </c>
      <c r="H140" s="176">
        <f>IF($A140&lt;&gt;"Grøntsager i drivhus",IF($F140="C - land",0,IF($F140="CO2 - atmosfære",VLOOKUP(IF($F138="Halm",$F137,$F138),Afgrødedata!$A$5:$L$18,MATCH(CONCATENATE("CO2-",'Processer - data'!$C140),Afgrødedata!$A$4:$L$4,0),FALSE),IF($F140="Gødning",-VLOOKUP(IF($F139="Halm",$F138,$F139),Afgrødedata!$A$5:$L$18,MATCH(CONCATENATE("Kvælstofnorm-",'Processer - data'!$C140),Afgrødedata!$A$4:$L$4,0),FALSE),IF($F140="Halm",VLOOKUP($F139,Afgrødedata!$A$2:$L$18,MATCH(Afgrødedata!$C$4,Afgrødedata!$A$4:$L$4,0),FALSE)/10,VLOOKUP($F140,Afgrødedata!$A$2:$L$18,MATCH("Hovedafgrøde",Afgrødedata!$A$4:$L$4,0),FALSE)/10)*IF($C140="OC6",VLOOKUP(IF($F140="Gødning",IF($F139="Halm",$F138,$F139),IF($F140="Halm",$F139,$F140)),Afgrødedata!$A$2:$L$18,MATCH(Afgrødedata!$E$4,Afgrødedata!$A$4:$L$4,0),FALSE),IF($C140="OC12",VLOOKUP(IF($F140="Gødning",IF($F139="Halm",$F138,$F139),IF($F140="Halm",$F139,$F140)),Afgrødedata!$A$2:$L$18,MATCH(Afgrødedata!$F$4,Afgrødedata!$A$4:$L$4,0),FALSE),1)))*IF($B140="Økologisk",VLOOKUP(IF($F140="Gødning",IF($F139="Halm",$F138,$F139),IF($F140="Halm",$F139,$F140)),Afgrødedata!$A$2:$L$18,MATCH(Afgrødedata!$D$4,Afgrødedata!$A$4:$L$4,0),FALSE),1))),IF($F140="Grøntsager",Afgrødedata!$M$9/10*IF($B140="Økologisk",VLOOKUP($F140,Afgrødedata!$A$2:$L$18,MATCH(Afgrødedata!$D$4,Afgrødedata!$A$4:$L$4,0),FALSE),1),IF($F140="Gødning",-Afgrødedata!$N$9*IF($B140="Økologisk",VLOOKUP($F139,Afgrødedata!$A$2:$L$18,MATCH(Afgrødedata!$D$4,Afgrødedata!$A$4:$L$4,0),FALSE),1),Afgrødedata!$O$9)))</f>
        <v>6.5753799999999991</v>
      </c>
      <c r="I140" s="176">
        <f>IF($A140&lt;&gt;"Grøntsager i drivhus",IF($F140="C - land",0,IF($F140="CO2 - atmosfære",VLOOKUP(IF($F138="Halm",$F137,$F138),Afgrødedata!$A$5:$L$18,MATCH(CONCATENATE("CO2-",'Processer - data'!$C140),Afgrødedata!$A$4:$L$4,0),FALSE),IF($F140="Gødning",-VLOOKUP(IF($F139="Halm",$F138,$F139),Afgrødedata!$A$5:$L$18,MATCH(CONCATENATE("Kvælstofnorm-",'Processer - data'!$C140),Afgrødedata!$A$4:$L$4,0),FALSE),IF($F140="Halm",VLOOKUP($F139,Afgrødedata!$A$2:$L$18,MATCH(Afgrødedata!$C$4,Afgrødedata!$A$4:$L$4,0),FALSE)/10,VLOOKUP($F140,Afgrødedata!$A$2:$L$18,MATCH("Hovedafgrøde",Afgrødedata!$A$4:$L$4,0),FALSE)/10)*IF($C140="OC6",VLOOKUP(IF($F140="Gødning",IF($F139="Halm",$F138,$F139),IF($F140="Halm",$F139,$F140)),Afgrødedata!$A$2:$L$18,MATCH(Afgrødedata!$E$4,Afgrødedata!$A$4:$L$4,0),FALSE),IF($C140="OC12",VLOOKUP(IF($F140="Gødning",IF($F139="Halm",$F138,$F139),IF($F140="Halm",$F139,$F140)),Afgrødedata!$A$2:$L$18,MATCH(Afgrødedata!$F$4,Afgrødedata!$A$4:$L$4,0),FALSE),1)))*IF($B140="Økologisk",VLOOKUP(IF($F140="Gødning",IF($F139="Halm",$F138,$F139),IF($F140="Halm",$F139,$F140)),Afgrødedata!$A$2:$L$18,MATCH(Afgrødedata!$D$4,Afgrødedata!$A$4:$L$4,0),FALSE),1))),IF($F140="Grøntsager",Afgrødedata!$M$9/10*IF($B140="Økologisk",VLOOKUP($F140,Afgrødedata!$A$2:$L$18,MATCH(Afgrødedata!$D$4,Afgrødedata!$A$4:$L$4,0),FALSE),1),IF($F140="Gødning",-Afgrødedata!$N$9*IF($B140="Økologisk",VLOOKUP($F139,Afgrødedata!$A$2:$L$18,MATCH(Afgrødedata!$D$4,Afgrødedata!$A$4:$L$4,0),FALSE),1),Afgrødedata!$O$9)))</f>
        <v>6.5753799999999991</v>
      </c>
      <c r="J140" s="176">
        <f>IF($A140&lt;&gt;"Grøntsager i drivhus",IF($F140="C - land",0,IF($F140="CO2 - atmosfære",VLOOKUP(IF($F138="Halm",$F137,$F138),Afgrødedata!$A$5:$L$18,MATCH(CONCATENATE("CO2-",'Processer - data'!$C140),Afgrødedata!$A$4:$L$4,0),FALSE),IF($F140="Gødning",-VLOOKUP(IF($F139="Halm",$F138,$F139),Afgrødedata!$A$5:$L$18,MATCH(CONCATENATE("Kvælstofnorm-",'Processer - data'!$C140),Afgrødedata!$A$4:$L$4,0),FALSE),IF($F140="Halm",VLOOKUP($F139,Afgrødedata!$A$2:$L$18,MATCH(Afgrødedata!$C$4,Afgrødedata!$A$4:$L$4,0),FALSE)/10,VLOOKUP($F140,Afgrødedata!$A$2:$L$18,MATCH("Hovedafgrøde",Afgrødedata!$A$4:$L$4,0),FALSE)/10)*IF($C140="OC6",VLOOKUP(IF($F140="Gødning",IF($F139="Halm",$F138,$F139),IF($F140="Halm",$F139,$F140)),Afgrødedata!$A$2:$L$18,MATCH(Afgrødedata!$E$4,Afgrødedata!$A$4:$L$4,0),FALSE),IF($C140="OC12",VLOOKUP(IF($F140="Gødning",IF($F139="Halm",$F138,$F139),IF($F140="Halm",$F139,$F140)),Afgrødedata!$A$2:$L$18,MATCH(Afgrødedata!$F$4,Afgrødedata!$A$4:$L$4,0),FALSE),1)))*IF($B140="Økologisk",VLOOKUP(IF($F140="Gødning",IF($F139="Halm",$F138,$F139),IF($F140="Halm",$F139,$F140)),Afgrødedata!$A$2:$L$18,MATCH(Afgrødedata!$D$4,Afgrødedata!$A$4:$L$4,0),FALSE),1))),IF($F140="Grøntsager",Afgrødedata!$M$9/10*IF($B140="Økologisk",VLOOKUP($F140,Afgrødedata!$A$2:$L$18,MATCH(Afgrødedata!$D$4,Afgrødedata!$A$4:$L$4,0),FALSE),1),IF($F140="Gødning",-Afgrødedata!$N$9*IF($B140="Økologisk",VLOOKUP($F139,Afgrødedata!$A$2:$L$18,MATCH(Afgrødedata!$D$4,Afgrødedata!$A$4:$L$4,0),FALSE),1),Afgrødedata!$O$9)))</f>
        <v>6.5753799999999991</v>
      </c>
      <c r="K140" s="145"/>
    </row>
    <row r="141" spans="1:11" s="146" customFormat="1" x14ac:dyDescent="0.55000000000000004">
      <c r="A141" s="187" t="s">
        <v>25</v>
      </c>
      <c r="B141" s="181" t="s">
        <v>46</v>
      </c>
      <c r="C141" s="181" t="str">
        <f>Organ12</f>
        <v>OC12</v>
      </c>
      <c r="D141" s="146" t="s">
        <v>358</v>
      </c>
      <c r="E141" s="146" t="str">
        <f>IFERROR(VLOOKUP(D141,Table2[],2,FALSE),"")</f>
        <v>Hektar</v>
      </c>
      <c r="F141" s="146" t="s">
        <v>37</v>
      </c>
      <c r="G141" s="146" t="str">
        <f>IFERROR(VLOOKUP(F141,Table2[],2,FALSE),"")</f>
        <v>Ton</v>
      </c>
      <c r="H141" s="168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3.6164589999999999</v>
      </c>
      <c r="I141" s="168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3.6164589999999999</v>
      </c>
      <c r="J141" s="168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3.6164589999999999</v>
      </c>
      <c r="K141" s="147"/>
    </row>
    <row r="142" spans="1:11" s="146" customFormat="1" x14ac:dyDescent="0.55000000000000004">
      <c r="A142" s="187" t="s">
        <v>25</v>
      </c>
      <c r="B142" s="181" t="s">
        <v>46</v>
      </c>
      <c r="C142" s="181" t="str">
        <f>Organ12</f>
        <v>OC12</v>
      </c>
      <c r="D142" s="146" t="s">
        <v>358</v>
      </c>
      <c r="E142" s="146" t="str">
        <f>IFERROR(VLOOKUP(D142,Table2[],2,FALSE),"")</f>
        <v>Hektar</v>
      </c>
      <c r="F142" s="146" t="s">
        <v>303</v>
      </c>
      <c r="G142" s="146" t="str">
        <f>IFERROR(VLOOKUP(F142,Table2[],2,FALSE),"")</f>
        <v>kg N</v>
      </c>
      <c r="H142" s="168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-67</v>
      </c>
      <c r="I142" s="168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-67</v>
      </c>
      <c r="J142" s="168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-67</v>
      </c>
      <c r="K142" s="147"/>
    </row>
    <row r="143" spans="1:11" s="146" customFormat="1" ht="14.7" thickBot="1" x14ac:dyDescent="0.6">
      <c r="A143" s="188" t="s">
        <v>25</v>
      </c>
      <c r="B143" s="182" t="s">
        <v>46</v>
      </c>
      <c r="C143" s="182" t="str">
        <f>Organ12</f>
        <v>OC12</v>
      </c>
      <c r="D143" s="148" t="s">
        <v>358</v>
      </c>
      <c r="E143" s="148" t="str">
        <f>IFERROR(VLOOKUP(D143,Table2[],2,FALSE),"")</f>
        <v>Hektar</v>
      </c>
      <c r="F143" s="202" t="s">
        <v>344</v>
      </c>
      <c r="G143" s="148" t="str">
        <f>IFERROR(VLOOKUP(F143,Table2[],2,FALSE),"")</f>
        <v>t CO2-ækvivalenter</v>
      </c>
      <c r="H143" s="177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40.951694367485452</v>
      </c>
      <c r="I143" s="177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40.951694367485452</v>
      </c>
      <c r="J143" s="177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40.951694367485452</v>
      </c>
      <c r="K143" s="149"/>
    </row>
    <row r="144" spans="1:11" s="146" customFormat="1" ht="14.7" thickTop="1" x14ac:dyDescent="0.55000000000000004">
      <c r="A144" s="186" t="s">
        <v>26</v>
      </c>
      <c r="B144" s="180" t="s">
        <v>45</v>
      </c>
      <c r="C144" s="180" t="str">
        <f>Jordbund1</f>
        <v>JB1-10</v>
      </c>
      <c r="D144" s="241" t="s">
        <v>356</v>
      </c>
      <c r="E144" s="241" t="str">
        <f>IFERROR(VLOOKUP(D144,Table2[],2,FALSE),"")</f>
        <v>Hektar</v>
      </c>
      <c r="F144" s="241" t="s">
        <v>12</v>
      </c>
      <c r="G144" s="241" t="str">
        <f>IFERROR(VLOOKUP(F144,Table2[],2,FALSE),"")</f>
        <v>Ton</v>
      </c>
      <c r="H144" s="176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20.75</v>
      </c>
      <c r="I144" s="176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20.75</v>
      </c>
      <c r="J144" s="176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20.75</v>
      </c>
      <c r="K144" s="145"/>
    </row>
    <row r="145" spans="1:11" s="146" customFormat="1" x14ac:dyDescent="0.55000000000000004">
      <c r="A145" s="187" t="s">
        <v>26</v>
      </c>
      <c r="B145" s="181" t="s">
        <v>45</v>
      </c>
      <c r="C145" s="181" t="str">
        <f>Jordbund1</f>
        <v>JB1-10</v>
      </c>
      <c r="D145" s="150" t="s">
        <v>356</v>
      </c>
      <c r="E145" s="150" t="str">
        <f>IFERROR(VLOOKUP(D145,Table2[],2,FALSE),"")</f>
        <v>Hektar</v>
      </c>
      <c r="F145" s="150" t="s">
        <v>303</v>
      </c>
      <c r="G145" s="150" t="str">
        <f>IFERROR(VLOOKUP(F145,Table2[],2,FALSE),"")</f>
        <v>kg N</v>
      </c>
      <c r="H145" s="168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-200</v>
      </c>
      <c r="I145" s="168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-200</v>
      </c>
      <c r="J145" s="168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-200</v>
      </c>
      <c r="K145" s="147"/>
    </row>
    <row r="146" spans="1:11" s="146" customFormat="1" ht="14.7" thickBot="1" x14ac:dyDescent="0.6">
      <c r="A146" s="188" t="s">
        <v>26</v>
      </c>
      <c r="B146" s="182" t="s">
        <v>45</v>
      </c>
      <c r="C146" s="182" t="str">
        <f>Jordbund1</f>
        <v>JB1-10</v>
      </c>
      <c r="D146" s="202" t="s">
        <v>356</v>
      </c>
      <c r="E146" s="202" t="str">
        <f>IFERROR(VLOOKUP(D146,Table2[],2,FALSE),"")</f>
        <v>Hektar</v>
      </c>
      <c r="F146" s="202" t="s">
        <v>344</v>
      </c>
      <c r="G146" s="202" t="str">
        <f>IFERROR(VLOOKUP(F146,Table2[],2,FALSE),"")</f>
        <v>t CO2-ækvivalenter</v>
      </c>
      <c r="H146" s="177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2.2736943674854606</v>
      </c>
      <c r="I146" s="177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2.2736943674854606</v>
      </c>
      <c r="J146" s="177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2.2736943674854606</v>
      </c>
      <c r="K146" s="149"/>
    </row>
    <row r="147" spans="1:11" s="146" customFormat="1" ht="14.7" thickTop="1" x14ac:dyDescent="0.55000000000000004">
      <c r="A147" s="186" t="s">
        <v>26</v>
      </c>
      <c r="B147" s="180" t="s">
        <v>45</v>
      </c>
      <c r="C147" s="180" t="str">
        <f>Organ6</f>
        <v>OC6</v>
      </c>
      <c r="D147" s="241" t="s">
        <v>356</v>
      </c>
      <c r="E147" s="241" t="str">
        <f>IFERROR(VLOOKUP(D147,Table2[],2,FALSE),"")</f>
        <v>Hektar</v>
      </c>
      <c r="F147" s="241" t="s">
        <v>12</v>
      </c>
      <c r="G147" s="241" t="str">
        <f>IFERROR(VLOOKUP(F147,Table2[],2,FALSE),"")</f>
        <v>Ton</v>
      </c>
      <c r="H147" s="176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24.9</v>
      </c>
      <c r="I147" s="176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24.9</v>
      </c>
      <c r="J147" s="176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24.9</v>
      </c>
      <c r="K147" s="145"/>
    </row>
    <row r="148" spans="1:11" s="146" customFormat="1" x14ac:dyDescent="0.55000000000000004">
      <c r="A148" s="187" t="s">
        <v>26</v>
      </c>
      <c r="B148" s="181" t="s">
        <v>45</v>
      </c>
      <c r="C148" s="181" t="str">
        <f>Organ6</f>
        <v>OC6</v>
      </c>
      <c r="D148" s="150" t="s">
        <v>356</v>
      </c>
      <c r="E148" s="150" t="str">
        <f>IFERROR(VLOOKUP(D148,Table2[],2,FALSE),"")</f>
        <v>Hektar</v>
      </c>
      <c r="F148" s="150" t="s">
        <v>303</v>
      </c>
      <c r="G148" s="150" t="str">
        <f>IFERROR(VLOOKUP(F148,Table2[],2,FALSE),"")</f>
        <v>kg N</v>
      </c>
      <c r="H148" s="168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-195</v>
      </c>
      <c r="I148" s="146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-195</v>
      </c>
      <c r="J148" s="146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-195</v>
      </c>
      <c r="K148" s="147"/>
    </row>
    <row r="149" spans="1:11" s="146" customFormat="1" ht="14.7" thickBot="1" x14ac:dyDescent="0.6">
      <c r="A149" s="188" t="s">
        <v>26</v>
      </c>
      <c r="B149" s="182" t="s">
        <v>45</v>
      </c>
      <c r="C149" s="182" t="str">
        <f>Organ6</f>
        <v>OC6</v>
      </c>
      <c r="D149" s="202" t="s">
        <v>356</v>
      </c>
      <c r="E149" s="202" t="str">
        <f>IFERROR(VLOOKUP(D149,Table2[],2,FALSE),"")</f>
        <v>Hektar</v>
      </c>
      <c r="F149" s="202" t="s">
        <v>344</v>
      </c>
      <c r="G149" s="202" t="str">
        <f>IFERROR(VLOOKUP(F149,Table2[],2,FALSE),"")</f>
        <v>t CO2-ækvivalenter</v>
      </c>
      <c r="H149" s="177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15.99169436748546</v>
      </c>
      <c r="I149" s="177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15.99169436748546</v>
      </c>
      <c r="J149" s="177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15.99169436748546</v>
      </c>
      <c r="K149" s="149"/>
    </row>
    <row r="150" spans="1:11" s="146" customFormat="1" ht="14.7" thickTop="1" x14ac:dyDescent="0.55000000000000004">
      <c r="A150" s="186" t="s">
        <v>26</v>
      </c>
      <c r="B150" s="180" t="s">
        <v>45</v>
      </c>
      <c r="C150" s="180" t="str">
        <f>Organ12</f>
        <v>OC12</v>
      </c>
      <c r="D150" s="241" t="s">
        <v>356</v>
      </c>
      <c r="E150" s="241" t="str">
        <f>IFERROR(VLOOKUP(D150,Table2[],2,FALSE),"")</f>
        <v>Hektar</v>
      </c>
      <c r="F150" s="241" t="s">
        <v>12</v>
      </c>
      <c r="G150" s="241" t="str">
        <f>IFERROR(VLOOKUP(F150,Table2[],2,FALSE),"")</f>
        <v>Ton</v>
      </c>
      <c r="H150" s="17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29.049999999999997</v>
      </c>
      <c r="I150" s="17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29.049999999999997</v>
      </c>
      <c r="J150" s="17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29.049999999999997</v>
      </c>
      <c r="K150" s="145"/>
    </row>
    <row r="151" spans="1:11" s="146" customFormat="1" x14ac:dyDescent="0.55000000000000004">
      <c r="A151" s="187" t="s">
        <v>26</v>
      </c>
      <c r="B151" s="181" t="s">
        <v>45</v>
      </c>
      <c r="C151" s="181" t="str">
        <f>Organ12</f>
        <v>OC12</v>
      </c>
      <c r="D151" s="150" t="s">
        <v>356</v>
      </c>
      <c r="E151" s="150" t="str">
        <f>IFERROR(VLOOKUP(D151,Table2[],2,FALSE),"")</f>
        <v>Hektar</v>
      </c>
      <c r="F151" s="150" t="s">
        <v>303</v>
      </c>
      <c r="G151" s="150" t="str">
        <f>IFERROR(VLOOKUP(F151,Table2[],2,FALSE),"")</f>
        <v>kg N</v>
      </c>
      <c r="H151" s="168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-190</v>
      </c>
      <c r="I151" s="146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-190</v>
      </c>
      <c r="J151" s="146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-190</v>
      </c>
      <c r="K151" s="147"/>
    </row>
    <row r="152" spans="1:11" s="146" customFormat="1" ht="14.7" thickBot="1" x14ac:dyDescent="0.6">
      <c r="A152" s="188" t="s">
        <v>26</v>
      </c>
      <c r="B152" s="182" t="s">
        <v>45</v>
      </c>
      <c r="C152" s="182" t="str">
        <f>Organ12</f>
        <v>OC12</v>
      </c>
      <c r="D152" s="202" t="s">
        <v>356</v>
      </c>
      <c r="E152" s="202" t="str">
        <f>IFERROR(VLOOKUP(D152,Table2[],2,FALSE),"")</f>
        <v>Hektar</v>
      </c>
      <c r="F152" s="202" t="s">
        <v>344</v>
      </c>
      <c r="G152" s="202" t="str">
        <f>IFERROR(VLOOKUP(F152,Table2[],2,FALSE),"")</f>
        <v>t CO2-ækvivalenter</v>
      </c>
      <c r="H152" s="177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I152" s="177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J152" s="177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K152" s="149"/>
    </row>
    <row r="153" spans="1:11" s="146" customFormat="1" ht="14.7" thickTop="1" x14ac:dyDescent="0.55000000000000004">
      <c r="A153" s="186" t="s">
        <v>26</v>
      </c>
      <c r="B153" s="180" t="s">
        <v>46</v>
      </c>
      <c r="C153" s="180" t="str">
        <f>Jordbund1</f>
        <v>JB1-10</v>
      </c>
      <c r="D153" s="241" t="s">
        <v>356</v>
      </c>
      <c r="E153" s="241" t="str">
        <f>IFERROR(VLOOKUP(D153,Table2[],2,FALSE),"")</f>
        <v>Hektar</v>
      </c>
      <c r="F153" s="241" t="s">
        <v>12</v>
      </c>
      <c r="G153" s="241" t="str">
        <f>IFERROR(VLOOKUP(F153,Table2[],2,FALSE),"")</f>
        <v>Ton</v>
      </c>
      <c r="H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11.827499999999999</v>
      </c>
      <c r="I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11.827499999999999</v>
      </c>
      <c r="J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11.827499999999999</v>
      </c>
      <c r="K153" s="145"/>
    </row>
    <row r="154" spans="1:11" s="146" customFormat="1" x14ac:dyDescent="0.55000000000000004">
      <c r="A154" s="187" t="s">
        <v>26</v>
      </c>
      <c r="B154" s="181" t="s">
        <v>46</v>
      </c>
      <c r="C154" s="181" t="str">
        <f>Jordbund1</f>
        <v>JB1-10</v>
      </c>
      <c r="D154" s="150" t="s">
        <v>356</v>
      </c>
      <c r="E154" s="150" t="str">
        <f>IFERROR(VLOOKUP(D154,Table2[],2,FALSE),"")</f>
        <v>Hektar</v>
      </c>
      <c r="F154" s="150" t="s">
        <v>303</v>
      </c>
      <c r="G154" s="150" t="str">
        <f>IFERROR(VLOOKUP(F154,Table2[],2,FALSE),"")</f>
        <v>kg N</v>
      </c>
      <c r="H154" s="168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-113.99999999999999</v>
      </c>
      <c r="I154" s="146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-113.99999999999999</v>
      </c>
      <c r="J154" s="146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-113.99999999999999</v>
      </c>
      <c r="K154" s="147"/>
    </row>
    <row r="155" spans="1:11" s="146" customFormat="1" ht="14.7" thickBot="1" x14ac:dyDescent="0.6">
      <c r="A155" s="188" t="s">
        <v>26</v>
      </c>
      <c r="B155" s="182" t="s">
        <v>46</v>
      </c>
      <c r="C155" s="182" t="str">
        <f>Jordbund1</f>
        <v>JB1-10</v>
      </c>
      <c r="D155" s="202" t="s">
        <v>356</v>
      </c>
      <c r="E155" s="202" t="str">
        <f>IFERROR(VLOOKUP(D155,Table2[],2,FALSE),"")</f>
        <v>Hektar</v>
      </c>
      <c r="F155" s="202" t="s">
        <v>344</v>
      </c>
      <c r="G155" s="202" t="str">
        <f>IFERROR(VLOOKUP(F155,Table2[],2,FALSE),"")</f>
        <v>t CO2-ækvivalenter</v>
      </c>
      <c r="H155" s="177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2.2736943674854606</v>
      </c>
      <c r="I155" s="177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2.2736943674854606</v>
      </c>
      <c r="J155" s="177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2.2736943674854606</v>
      </c>
      <c r="K155" s="149"/>
    </row>
    <row r="156" spans="1:11" s="146" customFormat="1" ht="14.7" thickTop="1" x14ac:dyDescent="0.55000000000000004">
      <c r="A156" s="186" t="s">
        <v>26</v>
      </c>
      <c r="B156" s="180" t="s">
        <v>46</v>
      </c>
      <c r="C156" s="180" t="str">
        <f>Organ6</f>
        <v>OC6</v>
      </c>
      <c r="D156" s="241" t="s">
        <v>356</v>
      </c>
      <c r="E156" s="241" t="str">
        <f>IFERROR(VLOOKUP(D156,Table2[],2,FALSE),"")</f>
        <v>Hektar</v>
      </c>
      <c r="F156" s="241" t="s">
        <v>12</v>
      </c>
      <c r="G156" s="241" t="str">
        <f>IFERROR(VLOOKUP(F156,Table2[],2,FALSE),"")</f>
        <v>Ton</v>
      </c>
      <c r="H156" s="176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14.192999999999998</v>
      </c>
      <c r="I156" s="176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14.192999999999998</v>
      </c>
      <c r="J156" s="176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14.192999999999998</v>
      </c>
      <c r="K156" s="145"/>
    </row>
    <row r="157" spans="1:11" s="146" customFormat="1" x14ac:dyDescent="0.55000000000000004">
      <c r="A157" s="187" t="s">
        <v>26</v>
      </c>
      <c r="B157" s="181" t="s">
        <v>46</v>
      </c>
      <c r="C157" s="181" t="str">
        <f>Organ6</f>
        <v>OC6</v>
      </c>
      <c r="D157" s="150" t="s">
        <v>356</v>
      </c>
      <c r="E157" s="150" t="str">
        <f>IFERROR(VLOOKUP(D157,Table2[],2,FALSE),"")</f>
        <v>Hektar</v>
      </c>
      <c r="F157" s="150" t="s">
        <v>303</v>
      </c>
      <c r="G157" s="150" t="str">
        <f>IFERROR(VLOOKUP(F157,Table2[],2,FALSE),"")</f>
        <v>kg N</v>
      </c>
      <c r="H157" s="168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-111.14999999999999</v>
      </c>
      <c r="I157" s="14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-111.14999999999999</v>
      </c>
      <c r="J157" s="14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-111.14999999999999</v>
      </c>
      <c r="K157" s="147"/>
    </row>
    <row r="158" spans="1:11" s="146" customFormat="1" ht="14.7" thickBot="1" x14ac:dyDescent="0.6">
      <c r="A158" s="188" t="s">
        <v>26</v>
      </c>
      <c r="B158" s="182" t="s">
        <v>46</v>
      </c>
      <c r="C158" s="182" t="str">
        <f>Organ6</f>
        <v>OC6</v>
      </c>
      <c r="D158" s="202" t="s">
        <v>356</v>
      </c>
      <c r="E158" s="202" t="str">
        <f>IFERROR(VLOOKUP(D158,Table2[],2,FALSE),"")</f>
        <v>Hektar</v>
      </c>
      <c r="F158" s="202" t="s">
        <v>344</v>
      </c>
      <c r="G158" s="202" t="str">
        <f>IFERROR(VLOOKUP(F158,Table2[],2,FALSE),"")</f>
        <v>t CO2-ækvivalenter</v>
      </c>
      <c r="H158" s="177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15.99169436748546</v>
      </c>
      <c r="I158" s="177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15.99169436748546</v>
      </c>
      <c r="J158" s="177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15.99169436748546</v>
      </c>
      <c r="K158" s="149"/>
    </row>
    <row r="159" spans="1:11" s="146" customFormat="1" ht="14.7" thickTop="1" x14ac:dyDescent="0.55000000000000004">
      <c r="A159" s="186" t="s">
        <v>26</v>
      </c>
      <c r="B159" s="180" t="s">
        <v>46</v>
      </c>
      <c r="C159" s="180" t="str">
        <f>Organ12</f>
        <v>OC12</v>
      </c>
      <c r="D159" s="241" t="s">
        <v>356</v>
      </c>
      <c r="E159" s="241" t="str">
        <f>IFERROR(VLOOKUP(D159,Table2[],2,FALSE),"")</f>
        <v>Hektar</v>
      </c>
      <c r="F159" s="241" t="s">
        <v>12</v>
      </c>
      <c r="G159" s="241" t="str">
        <f>IFERROR(VLOOKUP(F159,Table2[],2,FALSE),"")</f>
        <v>Ton</v>
      </c>
      <c r="H159" s="176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16.558499999999999</v>
      </c>
      <c r="I159" s="176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16.558499999999999</v>
      </c>
      <c r="J159" s="176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16.558499999999999</v>
      </c>
      <c r="K159" s="145"/>
    </row>
    <row r="160" spans="1:11" s="146" customFormat="1" x14ac:dyDescent="0.55000000000000004">
      <c r="A160" s="187" t="s">
        <v>26</v>
      </c>
      <c r="B160" s="181" t="s">
        <v>46</v>
      </c>
      <c r="C160" s="181" t="str">
        <f>Organ12</f>
        <v>OC12</v>
      </c>
      <c r="D160" s="150" t="s">
        <v>356</v>
      </c>
      <c r="E160" s="150" t="str">
        <f>IFERROR(VLOOKUP(D160,Table2[],2,FALSE),"")</f>
        <v>Hektar</v>
      </c>
      <c r="F160" s="150" t="s">
        <v>303</v>
      </c>
      <c r="G160" s="150" t="str">
        <f>IFERROR(VLOOKUP(F160,Table2[],2,FALSE),"")</f>
        <v>kg N</v>
      </c>
      <c r="H160" s="168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-108.3</v>
      </c>
      <c r="I160" s="146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-108.3</v>
      </c>
      <c r="J160" s="146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-108.3</v>
      </c>
      <c r="K160" s="147"/>
    </row>
    <row r="161" spans="1:11" s="146" customFormat="1" ht="14.7" thickBot="1" x14ac:dyDescent="0.6">
      <c r="A161" s="188" t="s">
        <v>26</v>
      </c>
      <c r="B161" s="182" t="s">
        <v>46</v>
      </c>
      <c r="C161" s="182" t="str">
        <f>Organ12</f>
        <v>OC12</v>
      </c>
      <c r="D161" s="202" t="s">
        <v>356</v>
      </c>
      <c r="E161" s="202" t="str">
        <f>IFERROR(VLOOKUP(D161,Table2[],2,FALSE),"")</f>
        <v>Hektar</v>
      </c>
      <c r="F161" s="202" t="s">
        <v>344</v>
      </c>
      <c r="G161" s="202" t="str">
        <f>IFERROR(VLOOKUP(F161,Table2[],2,FALSE),"")</f>
        <v>t CO2-ækvivalenter</v>
      </c>
      <c r="H161" s="177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40.951694367485452</v>
      </c>
      <c r="I161" s="177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40.951694367485452</v>
      </c>
      <c r="J161" s="177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40.951694367485452</v>
      </c>
      <c r="K161" s="149"/>
    </row>
    <row r="162" spans="1:11" s="146" customFormat="1" ht="14.7" thickTop="1" x14ac:dyDescent="0.55000000000000004">
      <c r="A162" s="187" t="s">
        <v>27</v>
      </c>
      <c r="B162" s="181" t="s">
        <v>45</v>
      </c>
      <c r="C162" s="181"/>
      <c r="D162" s="150" t="s">
        <v>356</v>
      </c>
      <c r="E162" s="150" t="str">
        <f>IFERROR(VLOOKUP(D162,Table2[],2,FALSE),"")</f>
        <v>Hektar</v>
      </c>
      <c r="F162" s="150" t="s">
        <v>12</v>
      </c>
      <c r="G162" s="150" t="str">
        <f>IFERROR(VLOOKUP(F162,Table2[],2,FALSE),"")</f>
        <v>Ton</v>
      </c>
      <c r="H162" s="259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379.01908396946601</v>
      </c>
      <c r="I162" s="259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379.01908396946601</v>
      </c>
      <c r="J162" s="259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379.01908396946601</v>
      </c>
      <c r="K162" s="147"/>
    </row>
    <row r="163" spans="1:11" s="146" customFormat="1" x14ac:dyDescent="0.55000000000000004">
      <c r="A163" s="187" t="s">
        <v>27</v>
      </c>
      <c r="B163" s="181" t="s">
        <v>45</v>
      </c>
      <c r="C163" s="181"/>
      <c r="D163" s="150" t="s">
        <v>356</v>
      </c>
      <c r="E163" s="150" t="str">
        <f>IFERROR(VLOOKUP(D163,Table2[],2,FALSE),"")</f>
        <v>Hektar</v>
      </c>
      <c r="F163" s="150" t="s">
        <v>303</v>
      </c>
      <c r="G163" s="150" t="str">
        <f>IFERROR(VLOOKUP(F163,Table2[],2,FALSE),"")</f>
        <v>kg N</v>
      </c>
      <c r="H163" s="259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-2100</v>
      </c>
      <c r="I163" s="259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-2100</v>
      </c>
      <c r="J163" s="259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-2100</v>
      </c>
      <c r="K163" s="147"/>
    </row>
    <row r="164" spans="1:11" s="146" customFormat="1" ht="14.7" thickBot="1" x14ac:dyDescent="0.6">
      <c r="A164" s="187" t="s">
        <v>27</v>
      </c>
      <c r="B164" s="181" t="s">
        <v>45</v>
      </c>
      <c r="C164" s="181"/>
      <c r="D164" s="150" t="s">
        <v>356</v>
      </c>
      <c r="E164" s="150" t="str">
        <f>IFERROR(VLOOKUP(D164,Table2[],2,FALSE),"")</f>
        <v>Hektar</v>
      </c>
      <c r="F164" s="150" t="s">
        <v>344</v>
      </c>
      <c r="G164" s="150" t="str">
        <f>IFERROR(VLOOKUP(F164,Table2[],2,FALSE),"")</f>
        <v>t CO2-ækvivalenter</v>
      </c>
      <c r="H164" s="259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0.45473887349709213</v>
      </c>
      <c r="I164" s="259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0.45473887349709213</v>
      </c>
      <c r="J164" s="259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0.45473887349709213</v>
      </c>
      <c r="K164" s="147"/>
    </row>
    <row r="165" spans="1:11" s="146" customFormat="1" ht="14.7" thickTop="1" x14ac:dyDescent="0.55000000000000004">
      <c r="A165" s="186" t="s">
        <v>27</v>
      </c>
      <c r="B165" s="180" t="s">
        <v>46</v>
      </c>
      <c r="C165" s="180"/>
      <c r="D165" s="241" t="s">
        <v>356</v>
      </c>
      <c r="E165" s="241" t="str">
        <f>IFERROR(VLOOKUP(D165,Table2[],2,FALSE),"")</f>
        <v>Hektar</v>
      </c>
      <c r="F165" s="241" t="s">
        <v>12</v>
      </c>
      <c r="G165" s="241" t="str">
        <f>IFERROR(VLOOKUP(F165,Table2[],2,FALSE),"")</f>
        <v>Ton</v>
      </c>
      <c r="H165" s="258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216.04087786259561</v>
      </c>
      <c r="I165" s="258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216.04087786259561</v>
      </c>
      <c r="J165" s="258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216.04087786259561</v>
      </c>
      <c r="K165" s="145"/>
    </row>
    <row r="166" spans="1:11" s="146" customFormat="1" x14ac:dyDescent="0.55000000000000004">
      <c r="A166" s="187" t="s">
        <v>27</v>
      </c>
      <c r="B166" s="181" t="s">
        <v>46</v>
      </c>
      <c r="C166" s="181"/>
      <c r="D166" s="150" t="s">
        <v>356</v>
      </c>
      <c r="E166" s="150" t="str">
        <f>IFERROR(VLOOKUP(D166,Table2[],2,FALSE),"")</f>
        <v>Hektar</v>
      </c>
      <c r="F166" s="150" t="s">
        <v>303</v>
      </c>
      <c r="G166" s="150" t="str">
        <f>IFERROR(VLOOKUP(F166,Table2[],2,FALSE),"")</f>
        <v>kg N</v>
      </c>
      <c r="H166" s="259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-1197</v>
      </c>
      <c r="I166" s="259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-1197</v>
      </c>
      <c r="J166" s="259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-1197</v>
      </c>
      <c r="K166" s="147"/>
    </row>
    <row r="167" spans="1:11" s="146" customFormat="1" ht="14.7" thickBot="1" x14ac:dyDescent="0.6">
      <c r="A167" s="188" t="s">
        <v>27</v>
      </c>
      <c r="B167" s="182" t="s">
        <v>46</v>
      </c>
      <c r="C167" s="182"/>
      <c r="D167" s="148" t="s">
        <v>356</v>
      </c>
      <c r="E167" s="148" t="str">
        <f>IFERROR(VLOOKUP(D167,Table2[],2,FALSE),"")</f>
        <v>Hektar</v>
      </c>
      <c r="F167" s="202" t="s">
        <v>344</v>
      </c>
      <c r="G167" s="148" t="str">
        <f>IFERROR(VLOOKUP(F167,Table2[],2,FALSE),"")</f>
        <v>t CO2-ækvivalenter</v>
      </c>
      <c r="H167" s="296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0.45473887349709213</v>
      </c>
      <c r="I167" s="296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0.45473887349709213</v>
      </c>
      <c r="J167" s="296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0.45473887349709213</v>
      </c>
      <c r="K167" s="149"/>
    </row>
    <row r="168" spans="1:11" s="146" customFormat="1" ht="14.7" thickTop="1" x14ac:dyDescent="0.55000000000000004">
      <c r="A168" s="186" t="s">
        <v>304</v>
      </c>
      <c r="B168" s="180" t="s">
        <v>45</v>
      </c>
      <c r="C168" s="180" t="str">
        <f>Jordbund1</f>
        <v>JB1-10</v>
      </c>
      <c r="D168" s="144" t="s">
        <v>357</v>
      </c>
      <c r="E168" s="144" t="str">
        <f>IFERROR(VLOOKUP(D168,Table2[],2,FALSE),"")</f>
        <v>Hektar</v>
      </c>
      <c r="F168" s="144" t="s">
        <v>188</v>
      </c>
      <c r="G168" s="144" t="str">
        <f>IFERROR(VLOOKUP(F168,Table2[],2,FALSE),"")</f>
        <v>Ton</v>
      </c>
      <c r="H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42.470899470899468</v>
      </c>
      <c r="I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42.470899470899468</v>
      </c>
      <c r="J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42.470899470899468</v>
      </c>
      <c r="K168" s="145"/>
    </row>
    <row r="169" spans="1:11" s="146" customFormat="1" x14ac:dyDescent="0.55000000000000004">
      <c r="A169" s="187" t="s">
        <v>304</v>
      </c>
      <c r="B169" s="181" t="s">
        <v>45</v>
      </c>
      <c r="C169" s="181" t="str">
        <f>Jordbund1</f>
        <v>JB1-10</v>
      </c>
      <c r="D169" s="146" t="s">
        <v>357</v>
      </c>
      <c r="E169" s="146" t="str">
        <f>IFERROR(VLOOKUP(D169,Table2[],2,FALSE),"")</f>
        <v>Hektar</v>
      </c>
      <c r="F169" s="146" t="s">
        <v>303</v>
      </c>
      <c r="G169" s="146" t="str">
        <f>IFERROR(VLOOKUP(F169,Table2[],2,FALSE),"")</f>
        <v>kg N</v>
      </c>
      <c r="H169" s="168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-150</v>
      </c>
      <c r="I169" s="168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-150</v>
      </c>
      <c r="J169" s="168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-150</v>
      </c>
      <c r="K169" s="147"/>
    </row>
    <row r="170" spans="1:11" s="146" customFormat="1" ht="14.7" thickBot="1" x14ac:dyDescent="0.6">
      <c r="A170" s="188" t="s">
        <v>304</v>
      </c>
      <c r="B170" s="182" t="s">
        <v>45</v>
      </c>
      <c r="C170" s="182" t="str">
        <f>Jordbund1</f>
        <v>JB1-10</v>
      </c>
      <c r="D170" s="148" t="s">
        <v>357</v>
      </c>
      <c r="E170" s="148" t="str">
        <f>IFERROR(VLOOKUP(D170,Table2[],2,FALSE),"")</f>
        <v>Hektar</v>
      </c>
      <c r="F170" s="202" t="s">
        <v>344</v>
      </c>
      <c r="G170" s="148" t="str">
        <f>IFERROR(VLOOKUP(F170,Table2[],2,FALSE),"")</f>
        <v>t CO2-ækvivalenter</v>
      </c>
      <c r="H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2.2736943674854606</v>
      </c>
      <c r="I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2.2736943674854606</v>
      </c>
      <c r="J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2.2736943674854606</v>
      </c>
      <c r="K170" s="149"/>
    </row>
    <row r="171" spans="1:11" s="146" customFormat="1" ht="14.7" thickTop="1" x14ac:dyDescent="0.55000000000000004">
      <c r="A171" s="187" t="s">
        <v>304</v>
      </c>
      <c r="B171" s="181" t="s">
        <v>45</v>
      </c>
      <c r="C171" s="181" t="str">
        <f>Organ6</f>
        <v>OC6</v>
      </c>
      <c r="D171" s="146" t="s">
        <v>357</v>
      </c>
      <c r="E171" s="146" t="str">
        <f>IFERROR(VLOOKUP(D171,Table2[],2,FALSE),"")</f>
        <v>Hektar</v>
      </c>
      <c r="F171" s="146" t="s">
        <v>188</v>
      </c>
      <c r="G171" s="146" t="str">
        <f>IFERROR(VLOOKUP(F171,Table2[],2,FALSE),"")</f>
        <v>Ton</v>
      </c>
      <c r="H171" s="168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50.965079365079362</v>
      </c>
      <c r="I171" s="168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50.965079365079362</v>
      </c>
      <c r="J171" s="168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50.965079365079362</v>
      </c>
      <c r="K171" s="147"/>
    </row>
    <row r="172" spans="1:11" s="146" customFormat="1" x14ac:dyDescent="0.55000000000000004">
      <c r="A172" s="187" t="s">
        <v>304</v>
      </c>
      <c r="B172" s="181" t="s">
        <v>45</v>
      </c>
      <c r="C172" s="181" t="str">
        <f>Organ6</f>
        <v>OC6</v>
      </c>
      <c r="D172" s="146" t="s">
        <v>357</v>
      </c>
      <c r="E172" s="146" t="str">
        <f>IFERROR(VLOOKUP(D172,Table2[],2,FALSE),"")</f>
        <v>Hektar</v>
      </c>
      <c r="F172" s="146" t="s">
        <v>303</v>
      </c>
      <c r="G172" s="146" t="str">
        <f>IFERROR(VLOOKUP(F172,Table2[],2,FALSE),"")</f>
        <v>kg N</v>
      </c>
      <c r="H172" s="168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-120</v>
      </c>
      <c r="I172" s="168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-120</v>
      </c>
      <c r="J172" s="168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-120</v>
      </c>
      <c r="K172" s="147"/>
    </row>
    <row r="173" spans="1:11" s="146" customFormat="1" ht="14.7" thickBot="1" x14ac:dyDescent="0.6">
      <c r="A173" s="188" t="s">
        <v>304</v>
      </c>
      <c r="B173" s="182" t="s">
        <v>45</v>
      </c>
      <c r="C173" s="182" t="str">
        <f>Organ6</f>
        <v>OC6</v>
      </c>
      <c r="D173" s="148" t="s">
        <v>357</v>
      </c>
      <c r="E173" s="148" t="str">
        <f>IFERROR(VLOOKUP(D173,Table2[],2,FALSE),"")</f>
        <v>Hektar</v>
      </c>
      <c r="F173" s="202" t="s">
        <v>344</v>
      </c>
      <c r="G173" s="148" t="str">
        <f>IFERROR(VLOOKUP(F173,Table2[],2,FALSE),"")</f>
        <v>t CO2-ækvivalenter</v>
      </c>
      <c r="H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15.99169436748546</v>
      </c>
      <c r="I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15.99169436748546</v>
      </c>
      <c r="J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15.99169436748546</v>
      </c>
      <c r="K173" s="149"/>
    </row>
    <row r="174" spans="1:11" s="146" customFormat="1" ht="14.7" thickTop="1" x14ac:dyDescent="0.55000000000000004">
      <c r="A174" s="186" t="s">
        <v>304</v>
      </c>
      <c r="B174" s="180" t="s">
        <v>45</v>
      </c>
      <c r="C174" s="180" t="str">
        <f>Organ12</f>
        <v>OC12</v>
      </c>
      <c r="D174" s="144" t="s">
        <v>357</v>
      </c>
      <c r="E174" s="144" t="str">
        <f>IFERROR(VLOOKUP(D174,Table2[],2,FALSE),"")</f>
        <v>Hektar</v>
      </c>
      <c r="F174" s="144" t="s">
        <v>188</v>
      </c>
      <c r="G174" s="144" t="str">
        <f>IFERROR(VLOOKUP(F174,Table2[],2,FALSE),"")</f>
        <v>Ton</v>
      </c>
      <c r="H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59.459259259259248</v>
      </c>
      <c r="I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59.459259259259248</v>
      </c>
      <c r="J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59.459259259259248</v>
      </c>
      <c r="K174" s="145"/>
    </row>
    <row r="175" spans="1:11" s="146" customFormat="1" x14ac:dyDescent="0.55000000000000004">
      <c r="A175" s="187" t="s">
        <v>304</v>
      </c>
      <c r="B175" s="181" t="s">
        <v>45</v>
      </c>
      <c r="C175" s="181" t="str">
        <f>Organ12</f>
        <v>OC12</v>
      </c>
      <c r="D175" s="146" t="s">
        <v>357</v>
      </c>
      <c r="E175" s="146" t="str">
        <f>IFERROR(VLOOKUP(D175,Table2[],2,FALSE),"")</f>
        <v>Hektar</v>
      </c>
      <c r="F175" s="146" t="s">
        <v>303</v>
      </c>
      <c r="G175" s="146" t="str">
        <f>IFERROR(VLOOKUP(F175,Table2[],2,FALSE),"")</f>
        <v>kg N</v>
      </c>
      <c r="H175" s="168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-90</v>
      </c>
      <c r="I175" s="168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-90</v>
      </c>
      <c r="J175" s="168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-90</v>
      </c>
      <c r="K175" s="147"/>
    </row>
    <row r="176" spans="1:11" s="146" customFormat="1" ht="14.7" thickBot="1" x14ac:dyDescent="0.6">
      <c r="A176" s="188" t="s">
        <v>304</v>
      </c>
      <c r="B176" s="182" t="s">
        <v>45</v>
      </c>
      <c r="C176" s="182" t="str">
        <f>Organ12</f>
        <v>OC12</v>
      </c>
      <c r="D176" s="148" t="s">
        <v>357</v>
      </c>
      <c r="E176" s="148" t="str">
        <f>IFERROR(VLOOKUP(D176,Table2[],2,FALSE),"")</f>
        <v>Hektar</v>
      </c>
      <c r="F176" s="202" t="s">
        <v>344</v>
      </c>
      <c r="G176" s="148" t="str">
        <f>IFERROR(VLOOKUP(F176,Table2[],2,FALSE),"")</f>
        <v>t CO2-ækvivalenter</v>
      </c>
      <c r="H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40.951694367485452</v>
      </c>
      <c r="I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40.951694367485452</v>
      </c>
      <c r="J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40.951694367485452</v>
      </c>
      <c r="K176" s="149"/>
    </row>
    <row r="177" spans="1:11" s="146" customFormat="1" ht="14.7" thickTop="1" x14ac:dyDescent="0.55000000000000004">
      <c r="A177" s="186" t="s">
        <v>304</v>
      </c>
      <c r="B177" s="180" t="s">
        <v>46</v>
      </c>
      <c r="C177" s="180" t="str">
        <f>Jordbund1</f>
        <v>JB1-10</v>
      </c>
      <c r="D177" s="144" t="s">
        <v>357</v>
      </c>
      <c r="E177" s="144" t="str">
        <f>IFERROR(VLOOKUP(D177,Table2[],2,FALSE),"")</f>
        <v>Hektar</v>
      </c>
      <c r="F177" s="144" t="s">
        <v>188</v>
      </c>
      <c r="G177" s="144" t="str">
        <f>IFERROR(VLOOKUP(F177,Table2[],2,FALSE),"")</f>
        <v>Ton</v>
      </c>
      <c r="H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24.208412698412694</v>
      </c>
      <c r="I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24.208412698412694</v>
      </c>
      <c r="J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24.208412698412694</v>
      </c>
      <c r="K177" s="145"/>
    </row>
    <row r="178" spans="1:11" s="146" customFormat="1" x14ac:dyDescent="0.55000000000000004">
      <c r="A178" s="187" t="s">
        <v>304</v>
      </c>
      <c r="B178" s="181" t="s">
        <v>46</v>
      </c>
      <c r="C178" s="181" t="str">
        <f>Jordbund1</f>
        <v>JB1-10</v>
      </c>
      <c r="D178" s="146" t="s">
        <v>357</v>
      </c>
      <c r="E178" s="146" t="str">
        <f>IFERROR(VLOOKUP(D178,Table2[],2,FALSE),"")</f>
        <v>Hektar</v>
      </c>
      <c r="F178" s="146" t="s">
        <v>303</v>
      </c>
      <c r="G178" s="146" t="str">
        <f>IFERROR(VLOOKUP(F178,Table2[],2,FALSE),"")</f>
        <v>kg N</v>
      </c>
      <c r="H178" s="168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-85.499999999999986</v>
      </c>
      <c r="I178" s="168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-85.499999999999986</v>
      </c>
      <c r="J178" s="168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-85.499999999999986</v>
      </c>
      <c r="K178" s="147"/>
    </row>
    <row r="179" spans="1:11" s="146" customFormat="1" ht="14.7" thickBot="1" x14ac:dyDescent="0.6">
      <c r="A179" s="188" t="s">
        <v>304</v>
      </c>
      <c r="B179" s="182" t="s">
        <v>46</v>
      </c>
      <c r="C179" s="182" t="str">
        <f>Jordbund1</f>
        <v>JB1-10</v>
      </c>
      <c r="D179" s="148" t="s">
        <v>357</v>
      </c>
      <c r="E179" s="148" t="str">
        <f>IFERROR(VLOOKUP(D179,Table2[],2,FALSE),"")</f>
        <v>Hektar</v>
      </c>
      <c r="F179" s="202" t="s">
        <v>344</v>
      </c>
      <c r="G179" s="148" t="str">
        <f>IFERROR(VLOOKUP(F179,Table2[],2,FALSE),"")</f>
        <v>t CO2-ækvivalenter</v>
      </c>
      <c r="H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2.2736943674854606</v>
      </c>
      <c r="I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2.2736943674854606</v>
      </c>
      <c r="J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2.2736943674854606</v>
      </c>
      <c r="K179" s="149"/>
    </row>
    <row r="180" spans="1:11" s="146" customFormat="1" ht="14.7" thickTop="1" x14ac:dyDescent="0.55000000000000004">
      <c r="A180" s="186" t="s">
        <v>304</v>
      </c>
      <c r="B180" s="180" t="s">
        <v>46</v>
      </c>
      <c r="C180" s="180" t="str">
        <f>Organ6</f>
        <v>OC6</v>
      </c>
      <c r="D180" s="144" t="s">
        <v>357</v>
      </c>
      <c r="E180" s="144" t="str">
        <f>IFERROR(VLOOKUP(D180,Table2[],2,FALSE),"")</f>
        <v>Hektar</v>
      </c>
      <c r="F180" s="144" t="s">
        <v>188</v>
      </c>
      <c r="G180" s="144" t="str">
        <f>IFERROR(VLOOKUP(F180,Table2[],2,FALSE),"")</f>
        <v>Ton</v>
      </c>
      <c r="H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29.050095238095235</v>
      </c>
      <c r="I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29.050095238095235</v>
      </c>
      <c r="J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29.050095238095235</v>
      </c>
      <c r="K180" s="145"/>
    </row>
    <row r="181" spans="1:11" s="146" customFormat="1" x14ac:dyDescent="0.55000000000000004">
      <c r="A181" s="187" t="s">
        <v>304</v>
      </c>
      <c r="B181" s="181" t="s">
        <v>46</v>
      </c>
      <c r="C181" s="181" t="str">
        <f>Organ6</f>
        <v>OC6</v>
      </c>
      <c r="D181" s="146" t="s">
        <v>357</v>
      </c>
      <c r="E181" s="146" t="str">
        <f>IFERROR(VLOOKUP(D181,Table2[],2,FALSE),"")</f>
        <v>Hektar</v>
      </c>
      <c r="F181" s="146" t="s">
        <v>303</v>
      </c>
      <c r="G181" s="146" t="str">
        <f>IFERROR(VLOOKUP(F181,Table2[],2,FALSE),"")</f>
        <v>kg N</v>
      </c>
      <c r="H181" s="168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-68.399999999999991</v>
      </c>
      <c r="I181" s="168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-68.399999999999991</v>
      </c>
      <c r="J181" s="168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-68.399999999999991</v>
      </c>
      <c r="K181" s="147"/>
    </row>
    <row r="182" spans="1:11" s="146" customFormat="1" ht="14.7" thickBot="1" x14ac:dyDescent="0.6">
      <c r="A182" s="188" t="s">
        <v>304</v>
      </c>
      <c r="B182" s="182" t="s">
        <v>46</v>
      </c>
      <c r="C182" s="182" t="str">
        <f>Organ6</f>
        <v>OC6</v>
      </c>
      <c r="D182" s="148" t="s">
        <v>357</v>
      </c>
      <c r="E182" s="148" t="str">
        <f>IFERROR(VLOOKUP(D182,Table2[],2,FALSE),"")</f>
        <v>Hektar</v>
      </c>
      <c r="F182" s="202" t="s">
        <v>344</v>
      </c>
      <c r="G182" s="148" t="str">
        <f>IFERROR(VLOOKUP(F182,Table2[],2,FALSE),"")</f>
        <v>t CO2-ækvivalenter</v>
      </c>
      <c r="H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15.99169436748546</v>
      </c>
      <c r="I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15.99169436748546</v>
      </c>
      <c r="J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15.99169436748546</v>
      </c>
      <c r="K182" s="149"/>
    </row>
    <row r="183" spans="1:11" s="146" customFormat="1" ht="14.7" thickTop="1" x14ac:dyDescent="0.55000000000000004">
      <c r="A183" s="186" t="s">
        <v>304</v>
      </c>
      <c r="B183" s="180" t="s">
        <v>46</v>
      </c>
      <c r="C183" s="180" t="str">
        <f>Organ12</f>
        <v>OC12</v>
      </c>
      <c r="D183" s="144" t="s">
        <v>357</v>
      </c>
      <c r="E183" s="144" t="str">
        <f>IFERROR(VLOOKUP(D183,Table2[],2,FALSE),"")</f>
        <v>Hektar</v>
      </c>
      <c r="F183" s="144" t="s">
        <v>188</v>
      </c>
      <c r="G183" s="144" t="str">
        <f>IFERROR(VLOOKUP(F183,Table2[],2,FALSE),"")</f>
        <v>Ton</v>
      </c>
      <c r="H183" s="176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33.891777777777769</v>
      </c>
      <c r="I183" s="176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33.891777777777769</v>
      </c>
      <c r="J183" s="176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33.891777777777769</v>
      </c>
      <c r="K183" s="145"/>
    </row>
    <row r="184" spans="1:11" s="146" customFormat="1" x14ac:dyDescent="0.55000000000000004">
      <c r="A184" s="187" t="s">
        <v>304</v>
      </c>
      <c r="B184" s="181" t="s">
        <v>46</v>
      </c>
      <c r="C184" s="181" t="str">
        <f>Organ12</f>
        <v>OC12</v>
      </c>
      <c r="D184" s="146" t="s">
        <v>357</v>
      </c>
      <c r="E184" s="146" t="str">
        <f>IFERROR(VLOOKUP(D184,Table2[],2,FALSE),"")</f>
        <v>Hektar</v>
      </c>
      <c r="F184" s="146" t="s">
        <v>303</v>
      </c>
      <c r="G184" s="146" t="str">
        <f>IFERROR(VLOOKUP(F184,Table2[],2,FALSE),"")</f>
        <v>kg N</v>
      </c>
      <c r="H184" s="168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-51.3</v>
      </c>
      <c r="I184" s="168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-51.3</v>
      </c>
      <c r="J184" s="168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-51.3</v>
      </c>
      <c r="K184" s="147"/>
    </row>
    <row r="185" spans="1:11" s="146" customFormat="1" ht="14.7" thickBot="1" x14ac:dyDescent="0.6">
      <c r="A185" s="188" t="s">
        <v>304</v>
      </c>
      <c r="B185" s="182" t="s">
        <v>46</v>
      </c>
      <c r="C185" s="182" t="str">
        <f>Organ12</f>
        <v>OC12</v>
      </c>
      <c r="D185" s="148" t="s">
        <v>357</v>
      </c>
      <c r="E185" s="148" t="str">
        <f>IFERROR(VLOOKUP(D185,Table2[],2,FALSE),"")</f>
        <v>Hektar</v>
      </c>
      <c r="F185" s="202" t="s">
        <v>344</v>
      </c>
      <c r="G185" s="148" t="str">
        <f>IFERROR(VLOOKUP(F185,Table2[],2,FALSE),"")</f>
        <v>t CO2-ækvivalenter</v>
      </c>
      <c r="H185" s="177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40.951694367485452</v>
      </c>
      <c r="I185" s="177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40.951694367485452</v>
      </c>
      <c r="J185" s="177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40.951694367485452</v>
      </c>
      <c r="K185" s="149"/>
    </row>
    <row r="186" spans="1:11" s="146" customFormat="1" ht="14.7" thickTop="1" x14ac:dyDescent="0.55000000000000004">
      <c r="A186" s="186" t="s">
        <v>28</v>
      </c>
      <c r="B186" s="180" t="s">
        <v>45</v>
      </c>
      <c r="C186" s="180" t="str">
        <f>Jordbund1</f>
        <v>JB1-10</v>
      </c>
      <c r="D186" s="144" t="s">
        <v>355</v>
      </c>
      <c r="E186" s="144" t="str">
        <f>IFERROR(VLOOKUP(D186,Table2[],2,FALSE),"")</f>
        <v>Hektar</v>
      </c>
      <c r="F186" s="144" t="s">
        <v>13</v>
      </c>
      <c r="G186" s="144" t="str">
        <f>IFERROR(VLOOKUP(F186,Table2[],2,FALSE),"")</f>
        <v>Ton</v>
      </c>
      <c r="H186" s="176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49.62</v>
      </c>
      <c r="I186" s="176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49.62</v>
      </c>
      <c r="J186" s="176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49.62</v>
      </c>
      <c r="K186" s="145"/>
    </row>
    <row r="187" spans="1:11" s="146" customFormat="1" x14ac:dyDescent="0.55000000000000004">
      <c r="A187" s="187" t="s">
        <v>28</v>
      </c>
      <c r="B187" s="181" t="s">
        <v>45</v>
      </c>
      <c r="C187" s="181" t="str">
        <f>Jordbund1</f>
        <v>JB1-10</v>
      </c>
      <c r="D187" s="146" t="s">
        <v>355</v>
      </c>
      <c r="E187" s="146" t="str">
        <f>IFERROR(VLOOKUP(D187,Table2[],2,FALSE),"")</f>
        <v>Hektar</v>
      </c>
      <c r="F187" s="146" t="s">
        <v>303</v>
      </c>
      <c r="G187" s="146" t="str">
        <f>IFERROR(VLOOKUP(F187,Table2[],2,FALSE),"")</f>
        <v>kg N</v>
      </c>
      <c r="H187" s="168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-155</v>
      </c>
      <c r="I187" s="168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-155</v>
      </c>
      <c r="J187" s="168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-155</v>
      </c>
      <c r="K187" s="147"/>
    </row>
    <row r="188" spans="1:11" s="146" customFormat="1" ht="14.7" thickBot="1" x14ac:dyDescent="0.6">
      <c r="A188" s="188" t="s">
        <v>28</v>
      </c>
      <c r="B188" s="182" t="s">
        <v>45</v>
      </c>
      <c r="C188" s="182" t="str">
        <f>Jordbund1</f>
        <v>JB1-10</v>
      </c>
      <c r="D188" s="148" t="s">
        <v>355</v>
      </c>
      <c r="E188" s="148" t="str">
        <f>IFERROR(VLOOKUP(D188,Table2[],2,FALSE),"")</f>
        <v>Hektar</v>
      </c>
      <c r="F188" s="202" t="s">
        <v>344</v>
      </c>
      <c r="G188" s="148" t="str">
        <f>IFERROR(VLOOKUP(F188,Table2[],2,FALSE),"")</f>
        <v>t CO2-ækvivalenter</v>
      </c>
      <c r="H188" s="177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2.2736943674854606</v>
      </c>
      <c r="I188" s="177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2.2736943674854606</v>
      </c>
      <c r="J188" s="177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2.2736943674854606</v>
      </c>
      <c r="K188" s="149"/>
    </row>
    <row r="189" spans="1:11" s="146" customFormat="1" ht="14.7" thickTop="1" x14ac:dyDescent="0.55000000000000004">
      <c r="A189" s="186" t="s">
        <v>28</v>
      </c>
      <c r="B189" s="180" t="s">
        <v>45</v>
      </c>
      <c r="C189" s="180" t="str">
        <f>Organ6</f>
        <v>OC6</v>
      </c>
      <c r="D189" s="144" t="s">
        <v>355</v>
      </c>
      <c r="E189" s="144" t="str">
        <f>IFERROR(VLOOKUP(D189,Table2[],2,FALSE),"")</f>
        <v>Hektar</v>
      </c>
      <c r="F189" s="144" t="s">
        <v>13</v>
      </c>
      <c r="G189" s="144" t="str">
        <f>IFERROR(VLOOKUP(F189,Table2[],2,FALSE),"")</f>
        <v>Ton</v>
      </c>
      <c r="H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59.543999999999997</v>
      </c>
      <c r="I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59.543999999999997</v>
      </c>
      <c r="J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59.543999999999997</v>
      </c>
      <c r="K189" s="145"/>
    </row>
    <row r="190" spans="1:11" s="146" customFormat="1" x14ac:dyDescent="0.55000000000000004">
      <c r="A190" s="187" t="s">
        <v>28</v>
      </c>
      <c r="B190" s="181" t="s">
        <v>45</v>
      </c>
      <c r="C190" s="181" t="str">
        <f>Organ6</f>
        <v>OC6</v>
      </c>
      <c r="D190" s="146" t="s">
        <v>355</v>
      </c>
      <c r="E190" s="146" t="str">
        <f>IFERROR(VLOOKUP(D190,Table2[],2,FALSE),"")</f>
        <v>Hektar</v>
      </c>
      <c r="F190" s="146" t="s">
        <v>303</v>
      </c>
      <c r="G190" s="146" t="str">
        <f>IFERROR(VLOOKUP(F190,Table2[],2,FALSE),"")</f>
        <v>kg N</v>
      </c>
      <c r="H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-130</v>
      </c>
      <c r="I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-130</v>
      </c>
      <c r="J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-130</v>
      </c>
      <c r="K190" s="147"/>
    </row>
    <row r="191" spans="1:11" s="146" customFormat="1" ht="14.7" thickBot="1" x14ac:dyDescent="0.6">
      <c r="A191" s="188" t="s">
        <v>28</v>
      </c>
      <c r="B191" s="182" t="s">
        <v>45</v>
      </c>
      <c r="C191" s="182" t="str">
        <f>Organ6</f>
        <v>OC6</v>
      </c>
      <c r="D191" s="148" t="s">
        <v>355</v>
      </c>
      <c r="E191" s="148" t="str">
        <f>IFERROR(VLOOKUP(D191,Table2[],2,FALSE),"")</f>
        <v>Hektar</v>
      </c>
      <c r="F191" s="202" t="s">
        <v>344</v>
      </c>
      <c r="G191" s="148" t="str">
        <f>IFERROR(VLOOKUP(F191,Table2[],2,FALSE),"")</f>
        <v>t CO2-ækvivalenter</v>
      </c>
      <c r="H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15.99169436748546</v>
      </c>
      <c r="I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15.99169436748546</v>
      </c>
      <c r="J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15.99169436748546</v>
      </c>
      <c r="K191" s="149"/>
    </row>
    <row r="192" spans="1:11" s="146" customFormat="1" ht="14.7" thickTop="1" x14ac:dyDescent="0.55000000000000004">
      <c r="A192" s="186" t="s">
        <v>28</v>
      </c>
      <c r="B192" s="180" t="s">
        <v>45</v>
      </c>
      <c r="C192" s="180" t="str">
        <f>Organ12</f>
        <v>OC12</v>
      </c>
      <c r="D192" s="144" t="s">
        <v>355</v>
      </c>
      <c r="E192" s="144" t="str">
        <f>IFERROR(VLOOKUP(D192,Table2[],2,FALSE),"")</f>
        <v>Hektar</v>
      </c>
      <c r="F192" s="144" t="s">
        <v>13</v>
      </c>
      <c r="G192" s="144" t="str">
        <f>IFERROR(VLOOKUP(F192,Table2[],2,FALSE),"")</f>
        <v>Ton</v>
      </c>
      <c r="H192" s="176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69.467999999999989</v>
      </c>
      <c r="I192" s="176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69.467999999999989</v>
      </c>
      <c r="J192" s="176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69.467999999999989</v>
      </c>
      <c r="K192" s="145"/>
    </row>
    <row r="193" spans="1:11" s="146" customFormat="1" x14ac:dyDescent="0.55000000000000004">
      <c r="A193" s="187" t="s">
        <v>28</v>
      </c>
      <c r="B193" s="181" t="s">
        <v>45</v>
      </c>
      <c r="C193" s="181" t="str">
        <f>Organ12</f>
        <v>OC12</v>
      </c>
      <c r="D193" s="146" t="s">
        <v>355</v>
      </c>
      <c r="E193" s="146" t="str">
        <f>IFERROR(VLOOKUP(D193,Table2[],2,FALSE),"")</f>
        <v>Hektar</v>
      </c>
      <c r="F193" s="146" t="s">
        <v>303</v>
      </c>
      <c r="G193" s="146" t="str">
        <f>IFERROR(VLOOKUP(F193,Table2[],2,FALSE),"")</f>
        <v>kg N</v>
      </c>
      <c r="H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-105</v>
      </c>
      <c r="I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-105</v>
      </c>
      <c r="J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-105</v>
      </c>
      <c r="K193" s="147"/>
    </row>
    <row r="194" spans="1:11" s="146" customFormat="1" ht="14.7" thickBot="1" x14ac:dyDescent="0.6">
      <c r="A194" s="188" t="s">
        <v>28</v>
      </c>
      <c r="B194" s="182" t="s">
        <v>45</v>
      </c>
      <c r="C194" s="182" t="str">
        <f>Organ12</f>
        <v>OC12</v>
      </c>
      <c r="D194" s="148" t="s">
        <v>355</v>
      </c>
      <c r="E194" s="148" t="str">
        <f>IFERROR(VLOOKUP(D194,Table2[],2,FALSE),"")</f>
        <v>Hektar</v>
      </c>
      <c r="F194" s="202" t="s">
        <v>344</v>
      </c>
      <c r="G194" s="148" t="str">
        <f>IFERROR(VLOOKUP(F194,Table2[],2,FALSE),"")</f>
        <v>t CO2-ækvivalenter</v>
      </c>
      <c r="H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40.951694367485452</v>
      </c>
      <c r="I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40.951694367485452</v>
      </c>
      <c r="J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40.951694367485452</v>
      </c>
      <c r="K194" s="149"/>
    </row>
    <row r="195" spans="1:11" s="146" customFormat="1" ht="14.7" thickTop="1" x14ac:dyDescent="0.55000000000000004">
      <c r="A195" s="186" t="s">
        <v>28</v>
      </c>
      <c r="B195" s="180" t="s">
        <v>46</v>
      </c>
      <c r="C195" s="180" t="str">
        <f>Jordbund1</f>
        <v>JB1-10</v>
      </c>
      <c r="D195" s="144" t="s">
        <v>355</v>
      </c>
      <c r="E195" s="144" t="str">
        <f>IFERROR(VLOOKUP(D195,Table2[],2,FALSE),"")</f>
        <v>Hektar</v>
      </c>
      <c r="F195" s="144" t="s">
        <v>13</v>
      </c>
      <c r="G195" s="144" t="str">
        <f>IFERROR(VLOOKUP(F195,Table2[],2,FALSE),"")</f>
        <v>Ton</v>
      </c>
      <c r="H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38.703600000000002</v>
      </c>
      <c r="I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38.703600000000002</v>
      </c>
      <c r="J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38.703600000000002</v>
      </c>
      <c r="K195" s="145"/>
    </row>
    <row r="196" spans="1:11" s="146" customFormat="1" x14ac:dyDescent="0.55000000000000004">
      <c r="A196" s="187" t="s">
        <v>28</v>
      </c>
      <c r="B196" s="181" t="s">
        <v>46</v>
      </c>
      <c r="C196" s="181" t="str">
        <f>Jordbund1</f>
        <v>JB1-10</v>
      </c>
      <c r="D196" s="146" t="s">
        <v>355</v>
      </c>
      <c r="E196" s="146" t="str">
        <f>IFERROR(VLOOKUP(D196,Table2[],2,FALSE),"")</f>
        <v>Hektar</v>
      </c>
      <c r="F196" s="146" t="s">
        <v>303</v>
      </c>
      <c r="G196" s="146" t="str">
        <f>IFERROR(VLOOKUP(F196,Table2[],2,FALSE),"")</f>
        <v>kg N</v>
      </c>
      <c r="H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-120.9</v>
      </c>
      <c r="I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-120.9</v>
      </c>
      <c r="J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-120.9</v>
      </c>
      <c r="K196" s="147"/>
    </row>
    <row r="197" spans="1:11" s="146" customFormat="1" ht="14.7" thickBot="1" x14ac:dyDescent="0.6">
      <c r="A197" s="188" t="s">
        <v>28</v>
      </c>
      <c r="B197" s="182" t="s">
        <v>46</v>
      </c>
      <c r="C197" s="182" t="str">
        <f>Jordbund1</f>
        <v>JB1-10</v>
      </c>
      <c r="D197" s="148" t="s">
        <v>355</v>
      </c>
      <c r="E197" s="148" t="str">
        <f>IFERROR(VLOOKUP(D197,Table2[],2,FALSE),"")</f>
        <v>Hektar</v>
      </c>
      <c r="F197" s="202" t="s">
        <v>344</v>
      </c>
      <c r="G197" s="148" t="str">
        <f>IFERROR(VLOOKUP(F197,Table2[],2,FALSE),"")</f>
        <v>t CO2-ækvivalenter</v>
      </c>
      <c r="H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2.2736943674854606</v>
      </c>
      <c r="I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2.2736943674854606</v>
      </c>
      <c r="J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2.2736943674854606</v>
      </c>
      <c r="K197" s="149"/>
    </row>
    <row r="198" spans="1:11" s="146" customFormat="1" ht="14.7" thickTop="1" x14ac:dyDescent="0.55000000000000004">
      <c r="A198" s="186" t="s">
        <v>28</v>
      </c>
      <c r="B198" s="180" t="s">
        <v>46</v>
      </c>
      <c r="C198" s="180" t="str">
        <f>Organ6</f>
        <v>OC6</v>
      </c>
      <c r="D198" s="144" t="s">
        <v>355</v>
      </c>
      <c r="E198" s="144" t="str">
        <f>IFERROR(VLOOKUP(D198,Table2[],2,FALSE),"")</f>
        <v>Hektar</v>
      </c>
      <c r="F198" s="144" t="s">
        <v>13</v>
      </c>
      <c r="G198" s="144" t="str">
        <f>IFERROR(VLOOKUP(F198,Table2[],2,FALSE),"")</f>
        <v>Ton</v>
      </c>
      <c r="H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46.444319999999998</v>
      </c>
      <c r="I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46.444319999999998</v>
      </c>
      <c r="J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46.444319999999998</v>
      </c>
      <c r="K198" s="145"/>
    </row>
    <row r="199" spans="1:11" s="146" customFormat="1" x14ac:dyDescent="0.55000000000000004">
      <c r="A199" s="187" t="s">
        <v>28</v>
      </c>
      <c r="B199" s="181" t="s">
        <v>46</v>
      </c>
      <c r="C199" s="181" t="str">
        <f>Organ6</f>
        <v>OC6</v>
      </c>
      <c r="D199" s="146" t="s">
        <v>355</v>
      </c>
      <c r="E199" s="146" t="str">
        <f>IFERROR(VLOOKUP(D199,Table2[],2,FALSE),"")</f>
        <v>Hektar</v>
      </c>
      <c r="F199" s="146" t="s">
        <v>303</v>
      </c>
      <c r="G199" s="146" t="str">
        <f>IFERROR(VLOOKUP(F199,Table2[],2,FALSE),"")</f>
        <v>kg N</v>
      </c>
      <c r="H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-101.4</v>
      </c>
      <c r="I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-101.4</v>
      </c>
      <c r="J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-101.4</v>
      </c>
      <c r="K199" s="147"/>
    </row>
    <row r="200" spans="1:11" s="146" customFormat="1" ht="14.7" thickBot="1" x14ac:dyDescent="0.6">
      <c r="A200" s="188" t="s">
        <v>28</v>
      </c>
      <c r="B200" s="182" t="s">
        <v>46</v>
      </c>
      <c r="C200" s="182" t="str">
        <f>Organ6</f>
        <v>OC6</v>
      </c>
      <c r="D200" s="148" t="s">
        <v>355</v>
      </c>
      <c r="E200" s="148" t="str">
        <f>IFERROR(VLOOKUP(D200,Table2[],2,FALSE),"")</f>
        <v>Hektar</v>
      </c>
      <c r="F200" s="202" t="s">
        <v>344</v>
      </c>
      <c r="G200" s="148" t="str">
        <f>IFERROR(VLOOKUP(F200,Table2[],2,FALSE),"")</f>
        <v>t CO2-ækvivalenter</v>
      </c>
      <c r="H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15.99169436748546</v>
      </c>
      <c r="I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15.99169436748546</v>
      </c>
      <c r="J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15.99169436748546</v>
      </c>
      <c r="K200" s="149"/>
    </row>
    <row r="201" spans="1:11" s="146" customFormat="1" ht="14.7" thickTop="1" x14ac:dyDescent="0.55000000000000004">
      <c r="A201" s="186" t="s">
        <v>28</v>
      </c>
      <c r="B201" s="180" t="s">
        <v>46</v>
      </c>
      <c r="C201" s="180" t="str">
        <f>Organ12</f>
        <v>OC12</v>
      </c>
      <c r="D201" s="144" t="s">
        <v>355</v>
      </c>
      <c r="E201" s="144" t="str">
        <f>IFERROR(VLOOKUP(D201,Table2[],2,FALSE),"")</f>
        <v>Hektar</v>
      </c>
      <c r="F201" s="144" t="s">
        <v>13</v>
      </c>
      <c r="G201" s="144" t="str">
        <f>IFERROR(VLOOKUP(F201,Table2[],2,FALSE),"")</f>
        <v>Ton</v>
      </c>
      <c r="H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54.185039999999994</v>
      </c>
      <c r="I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54.185039999999994</v>
      </c>
      <c r="J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54.185039999999994</v>
      </c>
      <c r="K201" s="145"/>
    </row>
    <row r="202" spans="1:11" s="146" customFormat="1" x14ac:dyDescent="0.55000000000000004">
      <c r="A202" s="187" t="s">
        <v>28</v>
      </c>
      <c r="B202" s="181" t="s">
        <v>46</v>
      </c>
      <c r="C202" s="181" t="str">
        <f>Organ12</f>
        <v>OC12</v>
      </c>
      <c r="D202" s="146" t="s">
        <v>355</v>
      </c>
      <c r="E202" s="146" t="str">
        <f>IFERROR(VLOOKUP(D202,Table2[],2,FALSE),"")</f>
        <v>Hektar</v>
      </c>
      <c r="F202" s="146" t="s">
        <v>303</v>
      </c>
      <c r="G202" s="146" t="str">
        <f>IFERROR(VLOOKUP(F202,Table2[],2,FALSE),"")</f>
        <v>kg N</v>
      </c>
      <c r="H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-81.900000000000006</v>
      </c>
      <c r="I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-81.900000000000006</v>
      </c>
      <c r="J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-81.900000000000006</v>
      </c>
      <c r="K202" s="147"/>
    </row>
    <row r="203" spans="1:11" s="146" customFormat="1" ht="14.7" thickBot="1" x14ac:dyDescent="0.6">
      <c r="A203" s="188" t="s">
        <v>28</v>
      </c>
      <c r="B203" s="182" t="s">
        <v>46</v>
      </c>
      <c r="C203" s="182" t="str">
        <f>Organ12</f>
        <v>OC12</v>
      </c>
      <c r="D203" s="148" t="s">
        <v>355</v>
      </c>
      <c r="E203" s="148" t="str">
        <f>IFERROR(VLOOKUP(D203,Table2[],2,FALSE),"")</f>
        <v>Hektar</v>
      </c>
      <c r="F203" s="202" t="s">
        <v>344</v>
      </c>
      <c r="G203" s="148" t="str">
        <f>IFERROR(VLOOKUP(F203,Table2[],2,FALSE),"")</f>
        <v>t CO2-ækvivalenter</v>
      </c>
      <c r="H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40.951694367485452</v>
      </c>
      <c r="I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40.951694367485452</v>
      </c>
      <c r="J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40.951694367485452</v>
      </c>
      <c r="K203" s="149"/>
    </row>
    <row r="204" spans="1:11" s="146" customFormat="1" ht="14.7" thickTop="1" x14ac:dyDescent="0.55000000000000004">
      <c r="A204" s="186" t="s">
        <v>29</v>
      </c>
      <c r="B204" s="180" t="s">
        <v>45</v>
      </c>
      <c r="C204" s="180" t="str">
        <f>Jordbund1</f>
        <v>JB1-10</v>
      </c>
      <c r="D204" s="144" t="s">
        <v>353</v>
      </c>
      <c r="E204" s="144" t="str">
        <f>IFERROR(VLOOKUP(D204,Table2[],2,FALSE),"")</f>
        <v>Hektar</v>
      </c>
      <c r="F204" s="144" t="s">
        <v>14</v>
      </c>
      <c r="G204" s="144" t="str">
        <f>IFERROR(VLOOKUP(F204,Table2[],2,FALSE),"")</f>
        <v>Ton</v>
      </c>
      <c r="H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3.8600000000000003</v>
      </c>
      <c r="I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3.8600000000000003</v>
      </c>
      <c r="J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3.8600000000000003</v>
      </c>
      <c r="K204" s="145"/>
    </row>
    <row r="205" spans="1:11" s="146" customFormat="1" x14ac:dyDescent="0.55000000000000004">
      <c r="A205" s="187" t="s">
        <v>29</v>
      </c>
      <c r="B205" s="181" t="s">
        <v>45</v>
      </c>
      <c r="C205" s="181" t="str">
        <f>Jordbund1</f>
        <v>JB1-10</v>
      </c>
      <c r="D205" s="146" t="s">
        <v>353</v>
      </c>
      <c r="E205" s="146" t="str">
        <f>IFERROR(VLOOKUP(D205,Table2[],2,FALSE),"")</f>
        <v>Hektar</v>
      </c>
      <c r="F205" s="146" t="s">
        <v>37</v>
      </c>
      <c r="G205" s="146" t="str">
        <f>IFERROR(VLOOKUP(F205,Table2[],2,FALSE),"")</f>
        <v>Ton</v>
      </c>
      <c r="H205" s="256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1.9309999999999998</v>
      </c>
      <c r="I205" s="256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1.9309999999999998</v>
      </c>
      <c r="J205" s="256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1.9309999999999998</v>
      </c>
      <c r="K205" s="147"/>
    </row>
    <row r="206" spans="1:11" s="146" customFormat="1" x14ac:dyDescent="0.55000000000000004">
      <c r="A206" s="187" t="s">
        <v>29</v>
      </c>
      <c r="B206" s="181" t="s">
        <v>45</v>
      </c>
      <c r="C206" s="181" t="str">
        <f>Jordbund1</f>
        <v>JB1-10</v>
      </c>
      <c r="D206" s="146" t="s">
        <v>353</v>
      </c>
      <c r="E206" s="146" t="str">
        <f>IFERROR(VLOOKUP(D206,Table2[],2,FALSE),"")</f>
        <v>Hektar</v>
      </c>
      <c r="F206" s="146" t="s">
        <v>303</v>
      </c>
      <c r="G206" s="146" t="str">
        <f>IFERROR(VLOOKUP(F206,Table2[],2,FALSE),"")</f>
        <v>kg N</v>
      </c>
      <c r="H206" s="168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0</v>
      </c>
      <c r="I206" s="168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0</v>
      </c>
      <c r="J206" s="168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0</v>
      </c>
      <c r="K206" s="147"/>
    </row>
    <row r="207" spans="1:11" s="146" customFormat="1" ht="14.7" thickBot="1" x14ac:dyDescent="0.6">
      <c r="A207" s="188" t="s">
        <v>29</v>
      </c>
      <c r="B207" s="182" t="s">
        <v>45</v>
      </c>
      <c r="C207" s="182" t="str">
        <f>Jordbund1</f>
        <v>JB1-10</v>
      </c>
      <c r="D207" s="148" t="s">
        <v>353</v>
      </c>
      <c r="E207" s="148" t="str">
        <f>IFERROR(VLOOKUP(D207,Table2[],2,FALSE),"")</f>
        <v>Hektar</v>
      </c>
      <c r="F207" s="202" t="s">
        <v>344</v>
      </c>
      <c r="G207" s="148" t="str">
        <f>IFERROR(VLOOKUP(F207,Table2[],2,FALSE),"")</f>
        <v>t CO2-ækvivalenter</v>
      </c>
      <c r="H207" s="177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2.2736943674854606</v>
      </c>
      <c r="I207" s="177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2.2736943674854606</v>
      </c>
      <c r="J207" s="177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2.2736943674854606</v>
      </c>
      <c r="K207" s="149"/>
    </row>
    <row r="208" spans="1:11" s="146" customFormat="1" ht="14.7" thickTop="1" x14ac:dyDescent="0.55000000000000004">
      <c r="A208" s="186" t="s">
        <v>29</v>
      </c>
      <c r="B208" s="180" t="s">
        <v>45</v>
      </c>
      <c r="C208" s="180" t="str">
        <f>Organ6</f>
        <v>OC6</v>
      </c>
      <c r="D208" s="144" t="s">
        <v>353</v>
      </c>
      <c r="E208" s="144" t="str">
        <f>IFERROR(VLOOKUP(D208,Table2[],2,FALSE),"")</f>
        <v>Hektar</v>
      </c>
      <c r="F208" s="144" t="s">
        <v>14</v>
      </c>
      <c r="G208" s="144" t="str">
        <f>IFERROR(VLOOKUP(F208,Table2[],2,FALSE),"")</f>
        <v>Ton</v>
      </c>
      <c r="H208" s="176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4.6320000000000006</v>
      </c>
      <c r="I208" s="176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4.6320000000000006</v>
      </c>
      <c r="J208" s="176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4.6320000000000006</v>
      </c>
      <c r="K208" s="145"/>
    </row>
    <row r="209" spans="1:11" s="146" customFormat="1" x14ac:dyDescent="0.55000000000000004">
      <c r="A209" s="187" t="s">
        <v>29</v>
      </c>
      <c r="B209" s="181" t="s">
        <v>45</v>
      </c>
      <c r="C209" s="181" t="str">
        <f>Organ6</f>
        <v>OC6</v>
      </c>
      <c r="D209" s="146" t="s">
        <v>353</v>
      </c>
      <c r="E209" s="146" t="str">
        <f>IFERROR(VLOOKUP(D209,Table2[],2,FALSE),"")</f>
        <v>Hektar</v>
      </c>
      <c r="F209" s="146" t="s">
        <v>37</v>
      </c>
      <c r="G209" s="146" t="str">
        <f>IFERROR(VLOOKUP(F209,Table2[],2,FALSE),"")</f>
        <v>Ton</v>
      </c>
      <c r="H209" s="256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2.3171999999999997</v>
      </c>
      <c r="I209" s="256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2.3171999999999997</v>
      </c>
      <c r="J209" s="256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2.3171999999999997</v>
      </c>
      <c r="K209" s="147"/>
    </row>
    <row r="210" spans="1:11" s="146" customFormat="1" x14ac:dyDescent="0.55000000000000004">
      <c r="A210" s="187" t="s">
        <v>29</v>
      </c>
      <c r="B210" s="181" t="s">
        <v>45</v>
      </c>
      <c r="C210" s="181" t="str">
        <f>Organ6</f>
        <v>OC6</v>
      </c>
      <c r="D210" s="146" t="s">
        <v>353</v>
      </c>
      <c r="E210" s="146" t="str">
        <f>IFERROR(VLOOKUP(D210,Table2[],2,FALSE),"")</f>
        <v>Hektar</v>
      </c>
      <c r="F210" s="146" t="s">
        <v>303</v>
      </c>
      <c r="G210" s="146" t="str">
        <f>IFERROR(VLOOKUP(F210,Table2[],2,FALSE),"")</f>
        <v>kg N</v>
      </c>
      <c r="H210" s="168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0</v>
      </c>
      <c r="I210" s="168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0</v>
      </c>
      <c r="J210" s="168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0</v>
      </c>
      <c r="K210" s="147"/>
    </row>
    <row r="211" spans="1:11" s="146" customFormat="1" ht="14.7" thickBot="1" x14ac:dyDescent="0.6">
      <c r="A211" s="188" t="s">
        <v>29</v>
      </c>
      <c r="B211" s="182" t="s">
        <v>45</v>
      </c>
      <c r="C211" s="182" t="str">
        <f>Organ6</f>
        <v>OC6</v>
      </c>
      <c r="D211" s="148" t="s">
        <v>353</v>
      </c>
      <c r="E211" s="148" t="str">
        <f>IFERROR(VLOOKUP(D211,Table2[],2,FALSE),"")</f>
        <v>Hektar</v>
      </c>
      <c r="F211" s="202" t="s">
        <v>344</v>
      </c>
      <c r="G211" s="148" t="str">
        <f>IFERROR(VLOOKUP(F211,Table2[],2,FALSE),"")</f>
        <v>t CO2-ækvivalenter</v>
      </c>
      <c r="H211" s="177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15.99169436748546</v>
      </c>
      <c r="I211" s="177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15.99169436748546</v>
      </c>
      <c r="J211" s="177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15.99169436748546</v>
      </c>
      <c r="K211" s="149"/>
    </row>
    <row r="212" spans="1:11" s="146" customFormat="1" ht="14.7" thickTop="1" x14ac:dyDescent="0.55000000000000004">
      <c r="A212" s="186" t="s">
        <v>29</v>
      </c>
      <c r="B212" s="180" t="s">
        <v>45</v>
      </c>
      <c r="C212" s="180" t="str">
        <f>Organ12</f>
        <v>OC12</v>
      </c>
      <c r="D212" s="144" t="s">
        <v>353</v>
      </c>
      <c r="E212" s="144" t="str">
        <f>IFERROR(VLOOKUP(D212,Table2[],2,FALSE),"")</f>
        <v>Hektar</v>
      </c>
      <c r="F212" s="144" t="s">
        <v>14</v>
      </c>
      <c r="G212" s="144" t="str">
        <f>IFERROR(VLOOKUP(F212,Table2[],2,FALSE),"")</f>
        <v>Ton</v>
      </c>
      <c r="H212" s="176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5.4039999999999999</v>
      </c>
      <c r="I212" s="176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5.4039999999999999</v>
      </c>
      <c r="J212" s="176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5.4039999999999999</v>
      </c>
      <c r="K212" s="145"/>
    </row>
    <row r="213" spans="1:11" s="146" customFormat="1" x14ac:dyDescent="0.55000000000000004">
      <c r="A213" s="187" t="s">
        <v>29</v>
      </c>
      <c r="B213" s="181" t="s">
        <v>45</v>
      </c>
      <c r="C213" s="181" t="str">
        <f>Organ12</f>
        <v>OC12</v>
      </c>
      <c r="D213" s="146" t="s">
        <v>353</v>
      </c>
      <c r="E213" s="146" t="str">
        <f>IFERROR(VLOOKUP(D213,Table2[],2,FALSE),"")</f>
        <v>Hektar</v>
      </c>
      <c r="F213" s="146" t="s">
        <v>37</v>
      </c>
      <c r="G213" s="146" t="str">
        <f>IFERROR(VLOOKUP(F213,Table2[],2,FALSE),"")</f>
        <v>Ton</v>
      </c>
      <c r="H213" s="25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2.7033999999999998</v>
      </c>
      <c r="I213" s="25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2.7033999999999998</v>
      </c>
      <c r="J213" s="25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2.7033999999999998</v>
      </c>
      <c r="K213" s="147"/>
    </row>
    <row r="214" spans="1:11" s="146" customFormat="1" x14ac:dyDescent="0.55000000000000004">
      <c r="A214" s="187" t="s">
        <v>29</v>
      </c>
      <c r="B214" s="181" t="s">
        <v>45</v>
      </c>
      <c r="C214" s="181" t="str">
        <f>Organ12</f>
        <v>OC12</v>
      </c>
      <c r="D214" s="146" t="s">
        <v>353</v>
      </c>
      <c r="E214" s="146" t="str">
        <f>IFERROR(VLOOKUP(D214,Table2[],2,FALSE),"")</f>
        <v>Hektar</v>
      </c>
      <c r="F214" s="146" t="s">
        <v>303</v>
      </c>
      <c r="G214" s="146" t="str">
        <f>IFERROR(VLOOKUP(F214,Table2[],2,FALSE),"")</f>
        <v>kg N</v>
      </c>
      <c r="H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0</v>
      </c>
      <c r="I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0</v>
      </c>
      <c r="J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0</v>
      </c>
      <c r="K214" s="147"/>
    </row>
    <row r="215" spans="1:11" s="146" customFormat="1" ht="14.7" thickBot="1" x14ac:dyDescent="0.6">
      <c r="A215" s="188" t="s">
        <v>29</v>
      </c>
      <c r="B215" s="182" t="s">
        <v>45</v>
      </c>
      <c r="C215" s="182" t="str">
        <f>Organ12</f>
        <v>OC12</v>
      </c>
      <c r="D215" s="148" t="s">
        <v>353</v>
      </c>
      <c r="E215" s="148" t="str">
        <f>IFERROR(VLOOKUP(D215,Table2[],2,FALSE),"")</f>
        <v>Hektar</v>
      </c>
      <c r="F215" s="202" t="s">
        <v>344</v>
      </c>
      <c r="G215" s="148" t="str">
        <f>IFERROR(VLOOKUP(F215,Table2[],2,FALSE),"")</f>
        <v>t CO2-ækvivalenter</v>
      </c>
      <c r="H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I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J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K215" s="149"/>
    </row>
    <row r="216" spans="1:11" s="146" customFormat="1" ht="14.7" thickTop="1" x14ac:dyDescent="0.55000000000000004">
      <c r="A216" s="186" t="s">
        <v>29</v>
      </c>
      <c r="B216" s="180" t="s">
        <v>46</v>
      </c>
      <c r="C216" s="180" t="str">
        <f>Jordbund1</f>
        <v>JB1-10</v>
      </c>
      <c r="D216" s="144" t="s">
        <v>353</v>
      </c>
      <c r="E216" s="144" t="str">
        <f>IFERROR(VLOOKUP(D216,Table2[],2,FALSE),"")</f>
        <v>Hektar</v>
      </c>
      <c r="F216" s="144" t="s">
        <v>14</v>
      </c>
      <c r="G216" s="144" t="str">
        <f>IFERROR(VLOOKUP(F216,Table2[],2,FALSE),"")</f>
        <v>Ton</v>
      </c>
      <c r="H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2.2002000000000002</v>
      </c>
      <c r="I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2.2002000000000002</v>
      </c>
      <c r="J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2.2002000000000002</v>
      </c>
      <c r="K216" s="145"/>
    </row>
    <row r="217" spans="1:11" s="146" customFormat="1" x14ac:dyDescent="0.55000000000000004">
      <c r="A217" s="187" t="s">
        <v>29</v>
      </c>
      <c r="B217" s="181" t="s">
        <v>46</v>
      </c>
      <c r="C217" s="181" t="str">
        <f>Jordbund1</f>
        <v>JB1-10</v>
      </c>
      <c r="D217" s="146" t="s">
        <v>353</v>
      </c>
      <c r="E217" s="146" t="str">
        <f>IFERROR(VLOOKUP(D217,Table2[],2,FALSE),"")</f>
        <v>Hektar</v>
      </c>
      <c r="F217" s="146" t="s">
        <v>37</v>
      </c>
      <c r="G217" s="146" t="str">
        <f>IFERROR(VLOOKUP(F217,Table2[],2,FALSE),"")</f>
        <v>Ton</v>
      </c>
      <c r="H217" s="256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1.1006699999999998</v>
      </c>
      <c r="I217" s="256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1.1006699999999998</v>
      </c>
      <c r="J217" s="256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1.1006699999999998</v>
      </c>
      <c r="K217" s="147"/>
    </row>
    <row r="218" spans="1:11" s="146" customFormat="1" x14ac:dyDescent="0.55000000000000004">
      <c r="A218" s="187" t="s">
        <v>29</v>
      </c>
      <c r="B218" s="181" t="s">
        <v>46</v>
      </c>
      <c r="C218" s="181" t="str">
        <f>Jordbund1</f>
        <v>JB1-10</v>
      </c>
      <c r="D218" s="146" t="s">
        <v>353</v>
      </c>
      <c r="E218" s="146" t="str">
        <f>IFERROR(VLOOKUP(D218,Table2[],2,FALSE),"")</f>
        <v>Hektar</v>
      </c>
      <c r="F218" s="146" t="s">
        <v>303</v>
      </c>
      <c r="G218" s="146" t="str">
        <f>IFERROR(VLOOKUP(F218,Table2[],2,FALSE),"")</f>
        <v>kg N</v>
      </c>
      <c r="H218" s="168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0</v>
      </c>
      <c r="I218" s="168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0</v>
      </c>
      <c r="J218" s="168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0</v>
      </c>
      <c r="K218" s="147"/>
    </row>
    <row r="219" spans="1:11" s="146" customFormat="1" ht="14.7" thickBot="1" x14ac:dyDescent="0.6">
      <c r="A219" s="188" t="s">
        <v>29</v>
      </c>
      <c r="B219" s="182" t="s">
        <v>46</v>
      </c>
      <c r="C219" s="182" t="str">
        <f>Jordbund1</f>
        <v>JB1-10</v>
      </c>
      <c r="D219" s="148" t="s">
        <v>353</v>
      </c>
      <c r="E219" s="148" t="str">
        <f>IFERROR(VLOOKUP(D219,Table2[],2,FALSE),"")</f>
        <v>Hektar</v>
      </c>
      <c r="F219" s="202" t="s">
        <v>344</v>
      </c>
      <c r="G219" s="148" t="str">
        <f>IFERROR(VLOOKUP(F219,Table2[],2,FALSE),"")</f>
        <v>t CO2-ækvivalenter</v>
      </c>
      <c r="H219" s="177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2.2736943674854606</v>
      </c>
      <c r="I219" s="177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2.2736943674854606</v>
      </c>
      <c r="J219" s="177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2.2736943674854606</v>
      </c>
      <c r="K219" s="149"/>
    </row>
    <row r="220" spans="1:11" s="146" customFormat="1" ht="14.7" thickTop="1" x14ac:dyDescent="0.55000000000000004">
      <c r="A220" s="186" t="s">
        <v>29</v>
      </c>
      <c r="B220" s="180" t="s">
        <v>46</v>
      </c>
      <c r="C220" s="180" t="str">
        <f>Organ6</f>
        <v>OC6</v>
      </c>
      <c r="D220" s="144" t="s">
        <v>353</v>
      </c>
      <c r="E220" s="144" t="str">
        <f>IFERROR(VLOOKUP(D220,Table2[],2,FALSE),"")</f>
        <v>Hektar</v>
      </c>
      <c r="F220" s="144" t="s">
        <v>14</v>
      </c>
      <c r="G220" s="144" t="str">
        <f>IFERROR(VLOOKUP(F220,Table2[],2,FALSE),"")</f>
        <v>Ton</v>
      </c>
      <c r="H220" s="176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2.6402399999999999</v>
      </c>
      <c r="I220" s="176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2.6402399999999999</v>
      </c>
      <c r="J220" s="176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2.6402399999999999</v>
      </c>
      <c r="K220" s="145"/>
    </row>
    <row r="221" spans="1:11" s="146" customFormat="1" x14ac:dyDescent="0.55000000000000004">
      <c r="A221" s="187" t="s">
        <v>29</v>
      </c>
      <c r="B221" s="181" t="s">
        <v>46</v>
      </c>
      <c r="C221" s="181" t="str">
        <f>Organ6</f>
        <v>OC6</v>
      </c>
      <c r="D221" s="146" t="s">
        <v>353</v>
      </c>
      <c r="E221" s="146" t="str">
        <f>IFERROR(VLOOKUP(D221,Table2[],2,FALSE),"")</f>
        <v>Hektar</v>
      </c>
      <c r="F221" s="146" t="s">
        <v>37</v>
      </c>
      <c r="G221" s="146" t="str">
        <f>IFERROR(VLOOKUP(F221,Table2[],2,FALSE),"")</f>
        <v>Ton</v>
      </c>
      <c r="H221" s="256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1.3208039999999996</v>
      </c>
      <c r="I221" s="256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1.3208039999999996</v>
      </c>
      <c r="J221" s="256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1.3208039999999996</v>
      </c>
      <c r="K221" s="147"/>
    </row>
    <row r="222" spans="1:11" s="146" customFormat="1" x14ac:dyDescent="0.55000000000000004">
      <c r="A222" s="187" t="s">
        <v>29</v>
      </c>
      <c r="B222" s="181" t="s">
        <v>46</v>
      </c>
      <c r="C222" s="181" t="str">
        <f>Organ6</f>
        <v>OC6</v>
      </c>
      <c r="D222" s="146" t="s">
        <v>353</v>
      </c>
      <c r="E222" s="146" t="str">
        <f>IFERROR(VLOOKUP(D222,Table2[],2,FALSE),"")</f>
        <v>Hektar</v>
      </c>
      <c r="F222" s="146" t="s">
        <v>303</v>
      </c>
      <c r="G222" s="146" t="str">
        <f>IFERROR(VLOOKUP(F222,Table2[],2,FALSE),"")</f>
        <v>kg N</v>
      </c>
      <c r="H222" s="168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0</v>
      </c>
      <c r="I222" s="168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0</v>
      </c>
      <c r="J222" s="168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0</v>
      </c>
      <c r="K222" s="147"/>
    </row>
    <row r="223" spans="1:11" s="146" customFormat="1" ht="14.7" thickBot="1" x14ac:dyDescent="0.6">
      <c r="A223" s="188" t="s">
        <v>29</v>
      </c>
      <c r="B223" s="182" t="s">
        <v>46</v>
      </c>
      <c r="C223" s="182" t="str">
        <f>Organ6</f>
        <v>OC6</v>
      </c>
      <c r="D223" s="148" t="s">
        <v>353</v>
      </c>
      <c r="E223" s="148" t="str">
        <f>IFERROR(VLOOKUP(D223,Table2[],2,FALSE),"")</f>
        <v>Hektar</v>
      </c>
      <c r="F223" s="202" t="s">
        <v>344</v>
      </c>
      <c r="G223" s="148" t="str">
        <f>IFERROR(VLOOKUP(F223,Table2[],2,FALSE),"")</f>
        <v>t CO2-ækvivalenter</v>
      </c>
      <c r="H223" s="177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15.99169436748546</v>
      </c>
      <c r="I223" s="177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15.99169436748546</v>
      </c>
      <c r="J223" s="177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15.99169436748546</v>
      </c>
      <c r="K223" s="149"/>
    </row>
    <row r="224" spans="1:11" s="146" customFormat="1" ht="14.7" thickTop="1" x14ac:dyDescent="0.55000000000000004">
      <c r="A224" s="186" t="s">
        <v>29</v>
      </c>
      <c r="B224" s="180" t="s">
        <v>46</v>
      </c>
      <c r="C224" s="180" t="str">
        <f>Organ12</f>
        <v>OC12</v>
      </c>
      <c r="D224" s="144" t="s">
        <v>353</v>
      </c>
      <c r="E224" s="144" t="str">
        <f>IFERROR(VLOOKUP(D224,Table2[],2,FALSE),"")</f>
        <v>Hektar</v>
      </c>
      <c r="F224" s="144" t="s">
        <v>14</v>
      </c>
      <c r="G224" s="144" t="str">
        <f>IFERROR(VLOOKUP(F224,Table2[],2,FALSE),"")</f>
        <v>Ton</v>
      </c>
      <c r="H224" s="176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3.0802799999999997</v>
      </c>
      <c r="I224" s="176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3.0802799999999997</v>
      </c>
      <c r="J224" s="176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3.0802799999999997</v>
      </c>
      <c r="K224" s="145"/>
    </row>
    <row r="225" spans="1:11" s="146" customFormat="1" x14ac:dyDescent="0.55000000000000004">
      <c r="A225" s="187" t="s">
        <v>29</v>
      </c>
      <c r="B225" s="181" t="s">
        <v>46</v>
      </c>
      <c r="C225" s="181" t="str">
        <f>Organ12</f>
        <v>OC12</v>
      </c>
      <c r="D225" s="146" t="s">
        <v>353</v>
      </c>
      <c r="E225" s="146" t="str">
        <f>IFERROR(VLOOKUP(D225,Table2[],2,FALSE),"")</f>
        <v>Hektar</v>
      </c>
      <c r="F225" s="146" t="s">
        <v>37</v>
      </c>
      <c r="G225" s="146" t="str">
        <f>IFERROR(VLOOKUP(F225,Table2[],2,FALSE),"")</f>
        <v>Ton</v>
      </c>
      <c r="H225" s="25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1.5409379999999997</v>
      </c>
      <c r="I225" s="25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1.5409379999999997</v>
      </c>
      <c r="J225" s="25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1.5409379999999997</v>
      </c>
      <c r="K225" s="147"/>
    </row>
    <row r="226" spans="1:11" s="146" customFormat="1" x14ac:dyDescent="0.55000000000000004">
      <c r="A226" s="187" t="s">
        <v>29</v>
      </c>
      <c r="B226" s="181" t="s">
        <v>46</v>
      </c>
      <c r="C226" s="181" t="str">
        <f>Organ12</f>
        <v>OC12</v>
      </c>
      <c r="D226" s="146" t="s">
        <v>353</v>
      </c>
      <c r="E226" s="146" t="str">
        <f>IFERROR(VLOOKUP(D226,Table2[],2,FALSE),"")</f>
        <v>Hektar</v>
      </c>
      <c r="F226" s="146" t="s">
        <v>303</v>
      </c>
      <c r="G226" s="146" t="str">
        <f>IFERROR(VLOOKUP(F226,Table2[],2,FALSE),"")</f>
        <v>kg N</v>
      </c>
      <c r="H226" s="168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0</v>
      </c>
      <c r="I226" s="168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0</v>
      </c>
      <c r="J226" s="168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0</v>
      </c>
      <c r="K226" s="147"/>
    </row>
    <row r="227" spans="1:11" s="146" customFormat="1" ht="14.7" thickBot="1" x14ac:dyDescent="0.6">
      <c r="A227" s="188" t="s">
        <v>29</v>
      </c>
      <c r="B227" s="182" t="s">
        <v>46</v>
      </c>
      <c r="C227" s="182" t="str">
        <f>Organ12</f>
        <v>OC12</v>
      </c>
      <c r="D227" s="148" t="s">
        <v>353</v>
      </c>
      <c r="E227" s="148" t="str">
        <f>IFERROR(VLOOKUP(D227,Table2[],2,FALSE),"")</f>
        <v>Hektar</v>
      </c>
      <c r="F227" s="202" t="s">
        <v>344</v>
      </c>
      <c r="G227" s="148" t="str">
        <f>IFERROR(VLOOKUP(F227,Table2[],2,FALSE),"")</f>
        <v>t CO2-ækvivalenter</v>
      </c>
      <c r="H227" s="177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40.951694367485452</v>
      </c>
      <c r="I227" s="177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40.951694367485452</v>
      </c>
      <c r="J227" s="177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40.951694367485452</v>
      </c>
      <c r="K227" s="149"/>
    </row>
    <row r="228" spans="1:11" s="146" customFormat="1" ht="14.7" thickTop="1" x14ac:dyDescent="0.55000000000000004">
      <c r="A228" s="187" t="s">
        <v>30</v>
      </c>
      <c r="B228" s="181" t="s">
        <v>45</v>
      </c>
      <c r="C228" s="181" t="str">
        <f>Jordbund1</f>
        <v>JB1-10</v>
      </c>
      <c r="D228" s="146" t="s">
        <v>363</v>
      </c>
      <c r="E228" s="146" t="str">
        <f>IFERROR(VLOOKUP(D228,Table2[],2,FALSE),"")</f>
        <v>Hektar</v>
      </c>
      <c r="F228" s="146" t="s">
        <v>42</v>
      </c>
      <c r="G228" s="146" t="str">
        <f>IFERROR(VLOOKUP(F228,Table2[],2,FALSE),"")</f>
        <v>Ton</v>
      </c>
      <c r="H228" s="168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81.253731343283576</v>
      </c>
      <c r="I228" s="168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81.253731343283576</v>
      </c>
      <c r="J228" s="168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81.253731343283576</v>
      </c>
      <c r="K228" s="147"/>
    </row>
    <row r="229" spans="1:11" s="146" customFormat="1" x14ac:dyDescent="0.55000000000000004">
      <c r="A229" s="187" t="s">
        <v>30</v>
      </c>
      <c r="B229" s="181" t="s">
        <v>45</v>
      </c>
      <c r="C229" s="181" t="str">
        <f>Jordbund1</f>
        <v>JB1-10</v>
      </c>
      <c r="D229" s="146" t="s">
        <v>363</v>
      </c>
      <c r="E229" s="146" t="str">
        <f>IFERROR(VLOOKUP(D229,Table2[],2,FALSE),"")</f>
        <v>Hektar</v>
      </c>
      <c r="F229" s="146" t="s">
        <v>303</v>
      </c>
      <c r="G229" s="146" t="str">
        <f>IFERROR(VLOOKUP(F229,Table2[],2,FALSE),"")</f>
        <v>kg N</v>
      </c>
      <c r="H229" s="168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-135</v>
      </c>
      <c r="I229" s="168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-135</v>
      </c>
      <c r="J229" s="168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-135</v>
      </c>
      <c r="K229" s="147"/>
    </row>
    <row r="230" spans="1:11" s="146" customFormat="1" ht="14.7" thickBot="1" x14ac:dyDescent="0.6">
      <c r="A230" s="188" t="s">
        <v>30</v>
      </c>
      <c r="B230" s="182" t="s">
        <v>45</v>
      </c>
      <c r="C230" s="182" t="str">
        <f>Jordbund1</f>
        <v>JB1-10</v>
      </c>
      <c r="D230" s="148" t="s">
        <v>363</v>
      </c>
      <c r="E230" s="148" t="str">
        <f>IFERROR(VLOOKUP(D230,Table2[],2,FALSE),"")</f>
        <v>Hektar</v>
      </c>
      <c r="F230" s="202" t="s">
        <v>344</v>
      </c>
      <c r="G230" s="148" t="str">
        <f>IFERROR(VLOOKUP(F230,Table2[],2,FALSE),"")</f>
        <v>t CO2-ækvivalenter</v>
      </c>
      <c r="H230" s="177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2.2736943674854606</v>
      </c>
      <c r="I230" s="177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2.2736943674854606</v>
      </c>
      <c r="J230" s="177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2.2736943674854606</v>
      </c>
      <c r="K230" s="149"/>
    </row>
    <row r="231" spans="1:11" s="146" customFormat="1" ht="14.7" thickTop="1" x14ac:dyDescent="0.55000000000000004">
      <c r="A231" s="186" t="s">
        <v>30</v>
      </c>
      <c r="B231" s="180" t="s">
        <v>45</v>
      </c>
      <c r="C231" s="180" t="str">
        <f>Organ6</f>
        <v>OC6</v>
      </c>
      <c r="D231" s="144" t="s">
        <v>363</v>
      </c>
      <c r="E231" s="144" t="str">
        <f>IFERROR(VLOOKUP(D231,Table2[],2,FALSE),"")</f>
        <v>Hektar</v>
      </c>
      <c r="F231" s="144" t="s">
        <v>42</v>
      </c>
      <c r="G231" s="144" t="str">
        <f>IFERROR(VLOOKUP(F231,Table2[],2,FALSE),"")</f>
        <v>Ton</v>
      </c>
      <c r="H231" s="176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97.504477611940288</v>
      </c>
      <c r="I231" s="176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97.504477611940288</v>
      </c>
      <c r="J231" s="176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97.504477611940288</v>
      </c>
      <c r="K231" s="145"/>
    </row>
    <row r="232" spans="1:11" s="146" customFormat="1" x14ac:dyDescent="0.55000000000000004">
      <c r="A232" s="187" t="s">
        <v>30</v>
      </c>
      <c r="B232" s="181" t="s">
        <v>45</v>
      </c>
      <c r="C232" s="181" t="str">
        <f>Organ6</f>
        <v>OC6</v>
      </c>
      <c r="D232" s="146" t="s">
        <v>363</v>
      </c>
      <c r="E232" s="146" t="str">
        <f>IFERROR(VLOOKUP(D232,Table2[],2,FALSE),"")</f>
        <v>Hektar</v>
      </c>
      <c r="F232" s="146" t="s">
        <v>303</v>
      </c>
      <c r="G232" s="146" t="str">
        <f>IFERROR(VLOOKUP(F232,Table2[],2,FALSE),"")</f>
        <v>kg N</v>
      </c>
      <c r="H232" s="168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-105</v>
      </c>
      <c r="I232" s="168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-105</v>
      </c>
      <c r="J232" s="168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-105</v>
      </c>
      <c r="K232" s="147"/>
    </row>
    <row r="233" spans="1:11" s="146" customFormat="1" ht="14.7" thickBot="1" x14ac:dyDescent="0.6">
      <c r="A233" s="188" t="s">
        <v>30</v>
      </c>
      <c r="B233" s="182" t="s">
        <v>45</v>
      </c>
      <c r="C233" s="182" t="str">
        <f>Organ6</f>
        <v>OC6</v>
      </c>
      <c r="D233" s="148" t="s">
        <v>363</v>
      </c>
      <c r="E233" s="148" t="str">
        <f>IFERROR(VLOOKUP(D233,Table2[],2,FALSE),"")</f>
        <v>Hektar</v>
      </c>
      <c r="F233" s="202" t="s">
        <v>344</v>
      </c>
      <c r="G233" s="148" t="str">
        <f>IFERROR(VLOOKUP(F233,Table2[],2,FALSE),"")</f>
        <v>t CO2-ækvivalenter</v>
      </c>
      <c r="H233" s="177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15.99169436748546</v>
      </c>
      <c r="I233" s="177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15.99169436748546</v>
      </c>
      <c r="J233" s="177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15.99169436748546</v>
      </c>
      <c r="K233" s="149"/>
    </row>
    <row r="234" spans="1:11" s="146" customFormat="1" ht="14.7" thickTop="1" x14ac:dyDescent="0.55000000000000004">
      <c r="A234" s="186" t="s">
        <v>30</v>
      </c>
      <c r="B234" s="180" t="s">
        <v>45</v>
      </c>
      <c r="C234" s="180" t="str">
        <f>Organ12</f>
        <v>OC12</v>
      </c>
      <c r="D234" s="144" t="s">
        <v>363</v>
      </c>
      <c r="E234" s="144" t="str">
        <f>IFERROR(VLOOKUP(D234,Table2[],2,FALSE),"")</f>
        <v>Hektar</v>
      </c>
      <c r="F234" s="144" t="s">
        <v>42</v>
      </c>
      <c r="G234" s="144" t="str">
        <f>IFERROR(VLOOKUP(F234,Table2[],2,FALSE),"")</f>
        <v>Ton</v>
      </c>
      <c r="H234" s="17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113.755223880597</v>
      </c>
      <c r="I234" s="17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113.755223880597</v>
      </c>
      <c r="J234" s="17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113.755223880597</v>
      </c>
      <c r="K234" s="145"/>
    </row>
    <row r="235" spans="1:11" s="146" customFormat="1" x14ac:dyDescent="0.55000000000000004">
      <c r="A235" s="187" t="s">
        <v>30</v>
      </c>
      <c r="B235" s="181" t="s">
        <v>45</v>
      </c>
      <c r="C235" s="181" t="str">
        <f>Organ12</f>
        <v>OC12</v>
      </c>
      <c r="D235" s="146" t="s">
        <v>363</v>
      </c>
      <c r="E235" s="146" t="str">
        <f>IFERROR(VLOOKUP(D235,Table2[],2,FALSE),"")</f>
        <v>Hektar</v>
      </c>
      <c r="F235" s="146" t="s">
        <v>303</v>
      </c>
      <c r="G235" s="146" t="str">
        <f>IFERROR(VLOOKUP(F235,Table2[],2,FALSE),"")</f>
        <v>kg N</v>
      </c>
      <c r="H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-75</v>
      </c>
      <c r="I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-75</v>
      </c>
      <c r="J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-75</v>
      </c>
      <c r="K235" s="147"/>
    </row>
    <row r="236" spans="1:11" s="146" customFormat="1" ht="14.7" thickBot="1" x14ac:dyDescent="0.6">
      <c r="A236" s="188" t="s">
        <v>30</v>
      </c>
      <c r="B236" s="182" t="s">
        <v>45</v>
      </c>
      <c r="C236" s="182" t="str">
        <f>Organ12</f>
        <v>OC12</v>
      </c>
      <c r="D236" s="148" t="s">
        <v>363</v>
      </c>
      <c r="E236" s="148" t="str">
        <f>IFERROR(VLOOKUP(D236,Table2[],2,FALSE),"")</f>
        <v>Hektar</v>
      </c>
      <c r="F236" s="202" t="s">
        <v>344</v>
      </c>
      <c r="G236" s="148" t="str">
        <f>IFERROR(VLOOKUP(F236,Table2[],2,FALSE),"")</f>
        <v>t CO2-ækvivalenter</v>
      </c>
      <c r="H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I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J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K236" s="149"/>
    </row>
    <row r="237" spans="1:11" s="146" customFormat="1" ht="14.7" thickTop="1" x14ac:dyDescent="0.55000000000000004">
      <c r="A237" s="186" t="s">
        <v>30</v>
      </c>
      <c r="B237" s="180" t="s">
        <v>46</v>
      </c>
      <c r="C237" s="180" t="str">
        <f>Jordbund1</f>
        <v>JB1-10</v>
      </c>
      <c r="D237" s="144" t="s">
        <v>363</v>
      </c>
      <c r="E237" s="144" t="str">
        <f>IFERROR(VLOOKUP(D237,Table2[],2,FALSE),"")</f>
        <v>Hektar</v>
      </c>
      <c r="F237" s="144" t="s">
        <v>42</v>
      </c>
      <c r="G237" s="144" t="str">
        <f>IFERROR(VLOOKUP(F237,Table2[],2,FALSE),"")</f>
        <v>Ton</v>
      </c>
      <c r="H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46.314626865671634</v>
      </c>
      <c r="I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46.314626865671634</v>
      </c>
      <c r="J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46.314626865671634</v>
      </c>
      <c r="K237" s="145"/>
    </row>
    <row r="238" spans="1:11" s="146" customFormat="1" x14ac:dyDescent="0.55000000000000004">
      <c r="A238" s="187" t="s">
        <v>30</v>
      </c>
      <c r="B238" s="181" t="s">
        <v>46</v>
      </c>
      <c r="C238" s="181" t="str">
        <f>Jordbund1</f>
        <v>JB1-10</v>
      </c>
      <c r="D238" s="146" t="s">
        <v>363</v>
      </c>
      <c r="E238" s="146" t="str">
        <f>IFERROR(VLOOKUP(D238,Table2[],2,FALSE),"")</f>
        <v>Hektar</v>
      </c>
      <c r="F238" s="146" t="s">
        <v>303</v>
      </c>
      <c r="G238" s="146" t="str">
        <f>IFERROR(VLOOKUP(F238,Table2[],2,FALSE),"")</f>
        <v>kg N</v>
      </c>
      <c r="H238" s="168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-76.949999999999989</v>
      </c>
      <c r="I238" s="168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-76.949999999999989</v>
      </c>
      <c r="J238" s="168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-76.949999999999989</v>
      </c>
      <c r="K238" s="147"/>
    </row>
    <row r="239" spans="1:11" s="146" customFormat="1" ht="14.7" thickBot="1" x14ac:dyDescent="0.6">
      <c r="A239" s="188" t="s">
        <v>30</v>
      </c>
      <c r="B239" s="182" t="s">
        <v>46</v>
      </c>
      <c r="C239" s="182" t="str">
        <f>Jordbund1</f>
        <v>JB1-10</v>
      </c>
      <c r="D239" s="148" t="s">
        <v>363</v>
      </c>
      <c r="E239" s="148" t="str">
        <f>IFERROR(VLOOKUP(D239,Table2[],2,FALSE),"")</f>
        <v>Hektar</v>
      </c>
      <c r="F239" s="202" t="s">
        <v>344</v>
      </c>
      <c r="G239" s="148" t="str">
        <f>IFERROR(VLOOKUP(F239,Table2[],2,FALSE),"")</f>
        <v>t CO2-ækvivalenter</v>
      </c>
      <c r="H239" s="177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2.2736943674854606</v>
      </c>
      <c r="I239" s="177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2.2736943674854606</v>
      </c>
      <c r="J239" s="177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2.2736943674854606</v>
      </c>
      <c r="K239" s="149"/>
    </row>
    <row r="240" spans="1:11" s="146" customFormat="1" ht="14.7" thickTop="1" x14ac:dyDescent="0.55000000000000004">
      <c r="A240" s="186" t="s">
        <v>30</v>
      </c>
      <c r="B240" s="180" t="s">
        <v>46</v>
      </c>
      <c r="C240" s="180" t="str">
        <f>Organ6</f>
        <v>OC6</v>
      </c>
      <c r="D240" s="144" t="s">
        <v>363</v>
      </c>
      <c r="E240" s="144" t="str">
        <f>IFERROR(VLOOKUP(D240,Table2[],2,FALSE),"")</f>
        <v>Hektar</v>
      </c>
      <c r="F240" s="144" t="s">
        <v>42</v>
      </c>
      <c r="G240" s="144" t="str">
        <f>IFERROR(VLOOKUP(F240,Table2[],2,FALSE),"")</f>
        <v>Ton</v>
      </c>
      <c r="H240" s="176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55.577552238805957</v>
      </c>
      <c r="I240" s="176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55.577552238805957</v>
      </c>
      <c r="J240" s="176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55.577552238805957</v>
      </c>
      <c r="K240" s="145"/>
    </row>
    <row r="241" spans="1:11" s="146" customFormat="1" x14ac:dyDescent="0.55000000000000004">
      <c r="A241" s="187" t="s">
        <v>30</v>
      </c>
      <c r="B241" s="181" t="s">
        <v>46</v>
      </c>
      <c r="C241" s="181" t="str">
        <f>Organ6</f>
        <v>OC6</v>
      </c>
      <c r="D241" s="146" t="s">
        <v>363</v>
      </c>
      <c r="E241" s="146" t="str">
        <f>IFERROR(VLOOKUP(D241,Table2[],2,FALSE),"")</f>
        <v>Hektar</v>
      </c>
      <c r="F241" s="146" t="s">
        <v>303</v>
      </c>
      <c r="G241" s="146" t="str">
        <f>IFERROR(VLOOKUP(F241,Table2[],2,FALSE),"")</f>
        <v>kg N</v>
      </c>
      <c r="H241" s="168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-59.849999999999994</v>
      </c>
      <c r="I241" s="168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-59.849999999999994</v>
      </c>
      <c r="J241" s="168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-59.849999999999994</v>
      </c>
      <c r="K241" s="147"/>
    </row>
    <row r="242" spans="1:11" s="146" customFormat="1" ht="14.7" thickBot="1" x14ac:dyDescent="0.6">
      <c r="A242" s="188" t="s">
        <v>30</v>
      </c>
      <c r="B242" s="182" t="s">
        <v>46</v>
      </c>
      <c r="C242" s="182" t="str">
        <f>Organ6</f>
        <v>OC6</v>
      </c>
      <c r="D242" s="148" t="s">
        <v>363</v>
      </c>
      <c r="E242" s="148" t="str">
        <f>IFERROR(VLOOKUP(D242,Table2[],2,FALSE),"")</f>
        <v>Hektar</v>
      </c>
      <c r="F242" s="202" t="s">
        <v>344</v>
      </c>
      <c r="G242" s="148" t="str">
        <f>IFERROR(VLOOKUP(F242,Table2[],2,FALSE),"")</f>
        <v>t CO2-ækvivalenter</v>
      </c>
      <c r="H242" s="177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15.99169436748546</v>
      </c>
      <c r="I242" s="177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15.99169436748546</v>
      </c>
      <c r="J242" s="177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15.99169436748546</v>
      </c>
      <c r="K242" s="149"/>
    </row>
    <row r="243" spans="1:11" s="146" customFormat="1" ht="14.7" thickTop="1" x14ac:dyDescent="0.55000000000000004">
      <c r="A243" s="186" t="s">
        <v>30</v>
      </c>
      <c r="B243" s="180" t="s">
        <v>46</v>
      </c>
      <c r="C243" s="180" t="str">
        <f>Organ12</f>
        <v>OC12</v>
      </c>
      <c r="D243" s="144" t="s">
        <v>363</v>
      </c>
      <c r="E243" s="144" t="str">
        <f>IFERROR(VLOOKUP(D243,Table2[],2,FALSE),"")</f>
        <v>Hektar</v>
      </c>
      <c r="F243" s="144" t="s">
        <v>42</v>
      </c>
      <c r="G243" s="144" t="str">
        <f>IFERROR(VLOOKUP(F243,Table2[],2,FALSE),"")</f>
        <v>Ton</v>
      </c>
      <c r="H243" s="176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64.840477611940287</v>
      </c>
      <c r="I243" s="176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64.840477611940287</v>
      </c>
      <c r="J243" s="176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64.840477611940287</v>
      </c>
      <c r="K243" s="145"/>
    </row>
    <row r="244" spans="1:11" s="146" customFormat="1" x14ac:dyDescent="0.55000000000000004">
      <c r="A244" s="187" t="s">
        <v>30</v>
      </c>
      <c r="B244" s="181" t="s">
        <v>46</v>
      </c>
      <c r="C244" s="181" t="str">
        <f>Organ12</f>
        <v>OC12</v>
      </c>
      <c r="D244" s="146" t="s">
        <v>363</v>
      </c>
      <c r="E244" s="146" t="str">
        <f>IFERROR(VLOOKUP(D244,Table2[],2,FALSE),"")</f>
        <v>Hektar</v>
      </c>
      <c r="F244" s="146" t="s">
        <v>303</v>
      </c>
      <c r="G244" s="146" t="str">
        <f>IFERROR(VLOOKUP(F244,Table2[],2,FALSE),"")</f>
        <v>kg N</v>
      </c>
      <c r="H244" s="168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-42.749999999999993</v>
      </c>
      <c r="I244" s="168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-42.749999999999993</v>
      </c>
      <c r="J244" s="168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-42.749999999999993</v>
      </c>
      <c r="K244" s="147"/>
    </row>
    <row r="245" spans="1:11" s="146" customFormat="1" ht="14.7" thickBot="1" x14ac:dyDescent="0.6">
      <c r="A245" s="188" t="s">
        <v>30</v>
      </c>
      <c r="B245" s="182" t="s">
        <v>46</v>
      </c>
      <c r="C245" s="182" t="str">
        <f>Organ12</f>
        <v>OC12</v>
      </c>
      <c r="D245" s="148" t="s">
        <v>363</v>
      </c>
      <c r="E245" s="148" t="str">
        <f>IFERROR(VLOOKUP(D245,Table2[],2,FALSE),"")</f>
        <v>Hektar</v>
      </c>
      <c r="F245" s="202" t="s">
        <v>344</v>
      </c>
      <c r="G245" s="148" t="str">
        <f>IFERROR(VLOOKUP(F245,Table2[],2,FALSE),"")</f>
        <v>t CO2-ækvivalenter</v>
      </c>
      <c r="H245" s="177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40.951694367485452</v>
      </c>
      <c r="I245" s="177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40.951694367485452</v>
      </c>
      <c r="J245" s="177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40.951694367485452</v>
      </c>
      <c r="K245" s="149"/>
    </row>
    <row r="246" spans="1:11" s="146" customFormat="1" ht="14.7" thickTop="1" x14ac:dyDescent="0.55000000000000004">
      <c r="A246" s="186" t="s">
        <v>545</v>
      </c>
      <c r="B246" s="180" t="s">
        <v>45</v>
      </c>
      <c r="C246" s="180" t="str">
        <f>Jordbund1</f>
        <v>JB1-10</v>
      </c>
      <c r="D246" s="144" t="s">
        <v>547</v>
      </c>
      <c r="E246" s="144" t="str">
        <f>IFERROR(VLOOKUP(D246,Table2[],2,FALSE),"")</f>
        <v>Hektar</v>
      </c>
      <c r="F246" s="144" t="s">
        <v>153</v>
      </c>
      <c r="G246" s="144" t="str">
        <f>IFERROR(VLOOKUP(F246,Table2[],2,FALSE),"")</f>
        <v>Ton</v>
      </c>
      <c r="H246" s="17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8.49</v>
      </c>
      <c r="I246" s="17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8.49</v>
      </c>
      <c r="J246" s="17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8.49</v>
      </c>
      <c r="K246" s="145"/>
    </row>
    <row r="247" spans="1:11" s="146" customFormat="1" x14ac:dyDescent="0.55000000000000004">
      <c r="A247" s="187" t="s">
        <v>545</v>
      </c>
      <c r="B247" s="181" t="s">
        <v>45</v>
      </c>
      <c r="C247" s="181" t="str">
        <f>Jordbund1</f>
        <v>JB1-10</v>
      </c>
      <c r="D247" s="146" t="s">
        <v>547</v>
      </c>
      <c r="E247" s="146" t="str">
        <f>IFERROR(VLOOKUP(D247,Table2[],2,FALSE),"")</f>
        <v>Hektar</v>
      </c>
      <c r="F247" s="146" t="s">
        <v>303</v>
      </c>
      <c r="G247" s="146" t="str">
        <f>IFERROR(VLOOKUP(F247,Table2[],2,FALSE),"")</f>
        <v>kg N</v>
      </c>
      <c r="H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-140</v>
      </c>
      <c r="I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-140</v>
      </c>
      <c r="J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-140</v>
      </c>
      <c r="K247" s="147"/>
    </row>
    <row r="248" spans="1:11" s="146" customFormat="1" ht="14.7" thickBot="1" x14ac:dyDescent="0.6">
      <c r="A248" s="188" t="s">
        <v>545</v>
      </c>
      <c r="B248" s="182" t="s">
        <v>45</v>
      </c>
      <c r="C248" s="182" t="str">
        <f>Jordbund1</f>
        <v>JB1-10</v>
      </c>
      <c r="D248" s="148" t="s">
        <v>547</v>
      </c>
      <c r="E248" s="148" t="str">
        <f>IFERROR(VLOOKUP(D248,Table2[],2,FALSE),"")</f>
        <v>Hektar</v>
      </c>
      <c r="F248" s="202" t="s">
        <v>344</v>
      </c>
      <c r="G248" s="148" t="str">
        <f>IFERROR(VLOOKUP(F248,Table2[],2,FALSE),"")</f>
        <v>t CO2-ækvivalenter</v>
      </c>
      <c r="H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1.9656943674854606</v>
      </c>
      <c r="I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1.9656943674854606</v>
      </c>
      <c r="J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1.9656943674854606</v>
      </c>
      <c r="K248" s="149"/>
    </row>
    <row r="249" spans="1:11" s="146" customFormat="1" ht="14.7" thickTop="1" x14ac:dyDescent="0.55000000000000004">
      <c r="A249" s="186" t="s">
        <v>545</v>
      </c>
      <c r="B249" s="180" t="s">
        <v>45</v>
      </c>
      <c r="C249" s="180" t="str">
        <f>Organ6</f>
        <v>OC6</v>
      </c>
      <c r="D249" s="144" t="s">
        <v>547</v>
      </c>
      <c r="E249" s="144" t="str">
        <f>IFERROR(VLOOKUP(D249,Table2[],2,FALSE),"")</f>
        <v>Hektar</v>
      </c>
      <c r="F249" s="144" t="s">
        <v>153</v>
      </c>
      <c r="G249" s="144" t="str">
        <f>IFERROR(VLOOKUP(F249,Table2[],2,FALSE),"")</f>
        <v>Ton</v>
      </c>
      <c r="H249" s="176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10.188000000000001</v>
      </c>
      <c r="I249" s="176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10.188000000000001</v>
      </c>
      <c r="J249" s="176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10.188000000000001</v>
      </c>
      <c r="K249" s="145"/>
    </row>
    <row r="250" spans="1:11" s="146" customFormat="1" x14ac:dyDescent="0.55000000000000004">
      <c r="A250" s="187" t="s">
        <v>545</v>
      </c>
      <c r="B250" s="181" t="s">
        <v>45</v>
      </c>
      <c r="C250" s="181" t="str">
        <f>Organ6</f>
        <v>OC6</v>
      </c>
      <c r="D250" s="146" t="s">
        <v>547</v>
      </c>
      <c r="E250" s="146" t="str">
        <f>IFERROR(VLOOKUP(D250,Table2[],2,FALSE),"")</f>
        <v>Hektar</v>
      </c>
      <c r="F250" s="146" t="s">
        <v>303</v>
      </c>
      <c r="G250" s="146" t="str">
        <f>IFERROR(VLOOKUP(F250,Table2[],2,FALSE),"")</f>
        <v>kg N</v>
      </c>
      <c r="H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-140</v>
      </c>
      <c r="I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-140</v>
      </c>
      <c r="J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-140</v>
      </c>
      <c r="K250" s="147"/>
    </row>
    <row r="251" spans="1:11" s="146" customFormat="1" ht="14.7" thickBot="1" x14ac:dyDescent="0.6">
      <c r="A251" s="188" t="s">
        <v>545</v>
      </c>
      <c r="B251" s="182" t="s">
        <v>45</v>
      </c>
      <c r="C251" s="182" t="str">
        <f>Organ6</f>
        <v>OC6</v>
      </c>
      <c r="D251" s="148" t="s">
        <v>547</v>
      </c>
      <c r="E251" s="148" t="str">
        <f>IFERROR(VLOOKUP(D251,Table2[],2,FALSE),"")</f>
        <v>Hektar</v>
      </c>
      <c r="F251" s="202" t="s">
        <v>344</v>
      </c>
      <c r="G251" s="148" t="str">
        <f>IFERROR(VLOOKUP(F251,Table2[],2,FALSE),"")</f>
        <v>t CO2-ækvivalenter</v>
      </c>
      <c r="H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10.661694367485461</v>
      </c>
      <c r="I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10.661694367485461</v>
      </c>
      <c r="J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10.661694367485461</v>
      </c>
      <c r="K251" s="149"/>
    </row>
    <row r="252" spans="1:11" s="146" customFormat="1" ht="14.7" thickTop="1" x14ac:dyDescent="0.55000000000000004">
      <c r="A252" s="186" t="s">
        <v>545</v>
      </c>
      <c r="B252" s="180" t="s">
        <v>45</v>
      </c>
      <c r="C252" s="180" t="str">
        <f>Organ12</f>
        <v>OC12</v>
      </c>
      <c r="D252" s="144" t="s">
        <v>547</v>
      </c>
      <c r="E252" s="144" t="str">
        <f>IFERROR(VLOOKUP(D252,Table2[],2,FALSE),"")</f>
        <v>Hektar</v>
      </c>
      <c r="F252" s="144" t="s">
        <v>153</v>
      </c>
      <c r="G252" s="144" t="str">
        <f>IFERROR(VLOOKUP(F252,Table2[],2,FALSE),"")</f>
        <v>Ton</v>
      </c>
      <c r="H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11.885999999999999</v>
      </c>
      <c r="I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11.885999999999999</v>
      </c>
      <c r="J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11.885999999999999</v>
      </c>
      <c r="K252" s="145"/>
    </row>
    <row r="253" spans="1:11" s="146" customFormat="1" x14ac:dyDescent="0.55000000000000004">
      <c r="A253" s="187" t="s">
        <v>545</v>
      </c>
      <c r="B253" s="181" t="s">
        <v>45</v>
      </c>
      <c r="C253" s="181" t="str">
        <f>Organ12</f>
        <v>OC12</v>
      </c>
      <c r="D253" s="146" t="s">
        <v>547</v>
      </c>
      <c r="E253" s="146" t="str">
        <f>IFERROR(VLOOKUP(D253,Table2[],2,FALSE),"")</f>
        <v>Hektar</v>
      </c>
      <c r="F253" s="146" t="s">
        <v>303</v>
      </c>
      <c r="G253" s="146" t="str">
        <f>IFERROR(VLOOKUP(F253,Table2[],2,FALSE),"")</f>
        <v>kg N</v>
      </c>
      <c r="H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-140</v>
      </c>
      <c r="I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-140</v>
      </c>
      <c r="J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-140</v>
      </c>
      <c r="K253" s="147"/>
    </row>
    <row r="254" spans="1:11" s="146" customFormat="1" ht="14.7" thickBot="1" x14ac:dyDescent="0.6">
      <c r="A254" s="188" t="s">
        <v>545</v>
      </c>
      <c r="B254" s="182" t="s">
        <v>45</v>
      </c>
      <c r="C254" s="182" t="str">
        <f>Organ12</f>
        <v>OC12</v>
      </c>
      <c r="D254" s="148" t="s">
        <v>547</v>
      </c>
      <c r="E254" s="148" t="str">
        <f>IFERROR(VLOOKUP(D254,Table2[],2,FALSE),"")</f>
        <v>Hektar</v>
      </c>
      <c r="F254" s="202" t="s">
        <v>344</v>
      </c>
      <c r="G254" s="148" t="str">
        <f>IFERROR(VLOOKUP(F254,Table2[],2,FALSE),"")</f>
        <v>t CO2-ækvivalenter</v>
      </c>
      <c r="H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28.501694367485467</v>
      </c>
      <c r="I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28.501694367485467</v>
      </c>
      <c r="J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28.501694367485467</v>
      </c>
      <c r="K254" s="149"/>
    </row>
    <row r="255" spans="1:11" s="146" customFormat="1" ht="14.7" thickTop="1" x14ac:dyDescent="0.55000000000000004">
      <c r="A255" s="186" t="s">
        <v>545</v>
      </c>
      <c r="B255" s="180" t="s">
        <v>46</v>
      </c>
      <c r="C255" s="180" t="str">
        <f>Jordbund1</f>
        <v>JB1-10</v>
      </c>
      <c r="D255" s="144" t="s">
        <v>547</v>
      </c>
      <c r="E255" s="144" t="str">
        <f>IFERROR(VLOOKUP(D255,Table2[],2,FALSE),"")</f>
        <v>Hektar</v>
      </c>
      <c r="F255" s="144" t="s">
        <v>153</v>
      </c>
      <c r="G255" s="144" t="str">
        <f>IFERROR(VLOOKUP(F255,Table2[],2,FALSE),"")</f>
        <v>Ton</v>
      </c>
      <c r="H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4.8392999999999997</v>
      </c>
      <c r="I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4.8392999999999997</v>
      </c>
      <c r="J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4.8392999999999997</v>
      </c>
      <c r="K255" s="145"/>
    </row>
    <row r="256" spans="1:11" s="146" customFormat="1" x14ac:dyDescent="0.55000000000000004">
      <c r="A256" s="187" t="s">
        <v>545</v>
      </c>
      <c r="B256" s="181" t="s">
        <v>46</v>
      </c>
      <c r="C256" s="181" t="str">
        <f>Jordbund1</f>
        <v>JB1-10</v>
      </c>
      <c r="D256" s="146" t="s">
        <v>547</v>
      </c>
      <c r="E256" s="146" t="str">
        <f>IFERROR(VLOOKUP(D256,Table2[],2,FALSE),"")</f>
        <v>Hektar</v>
      </c>
      <c r="F256" s="146" t="s">
        <v>303</v>
      </c>
      <c r="G256" s="146" t="str">
        <f>IFERROR(VLOOKUP(F256,Table2[],2,FALSE),"")</f>
        <v>kg N</v>
      </c>
      <c r="H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-79.8</v>
      </c>
      <c r="I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-79.8</v>
      </c>
      <c r="J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-79.8</v>
      </c>
      <c r="K256" s="147"/>
    </row>
    <row r="257" spans="1:11" s="146" customFormat="1" ht="14.7" thickBot="1" x14ac:dyDescent="0.6">
      <c r="A257" s="188" t="s">
        <v>545</v>
      </c>
      <c r="B257" s="182" t="s">
        <v>46</v>
      </c>
      <c r="C257" s="182" t="str">
        <f>Jordbund1</f>
        <v>JB1-10</v>
      </c>
      <c r="D257" s="148" t="s">
        <v>547</v>
      </c>
      <c r="E257" s="148" t="str">
        <f>IFERROR(VLOOKUP(D257,Table2[],2,FALSE),"")</f>
        <v>Hektar</v>
      </c>
      <c r="F257" s="202" t="s">
        <v>344</v>
      </c>
      <c r="G257" s="148" t="str">
        <f>IFERROR(VLOOKUP(F257,Table2[],2,FALSE),"")</f>
        <v>t CO2-ækvivalenter</v>
      </c>
      <c r="H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1.9656943674854606</v>
      </c>
      <c r="I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1.9656943674854606</v>
      </c>
      <c r="J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1.9656943674854606</v>
      </c>
      <c r="K257" s="149"/>
    </row>
    <row r="258" spans="1:11" s="146" customFormat="1" ht="14.7" thickTop="1" x14ac:dyDescent="0.55000000000000004">
      <c r="A258" s="186" t="s">
        <v>545</v>
      </c>
      <c r="B258" s="180" t="s">
        <v>46</v>
      </c>
      <c r="C258" s="180" t="str">
        <f>Organ6</f>
        <v>OC6</v>
      </c>
      <c r="D258" s="144" t="s">
        <v>547</v>
      </c>
      <c r="E258" s="144" t="str">
        <f>IFERROR(VLOOKUP(D258,Table2[],2,FALSE),"")</f>
        <v>Hektar</v>
      </c>
      <c r="F258" s="144" t="s">
        <v>153</v>
      </c>
      <c r="G258" s="144" t="str">
        <f>IFERROR(VLOOKUP(F258,Table2[],2,FALSE),"")</f>
        <v>Ton</v>
      </c>
      <c r="H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5.8071599999999997</v>
      </c>
      <c r="I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5.8071599999999997</v>
      </c>
      <c r="J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5.8071599999999997</v>
      </c>
      <c r="K258" s="145"/>
    </row>
    <row r="259" spans="1:11" s="146" customFormat="1" x14ac:dyDescent="0.55000000000000004">
      <c r="A259" s="187" t="s">
        <v>545</v>
      </c>
      <c r="B259" s="181" t="s">
        <v>46</v>
      </c>
      <c r="C259" s="181" t="str">
        <f>Organ6</f>
        <v>OC6</v>
      </c>
      <c r="D259" s="146" t="s">
        <v>547</v>
      </c>
      <c r="E259" s="146" t="str">
        <f>IFERROR(VLOOKUP(D259,Table2[],2,FALSE),"")</f>
        <v>Hektar</v>
      </c>
      <c r="F259" s="146" t="s">
        <v>303</v>
      </c>
      <c r="G259" s="146" t="str">
        <f>IFERROR(VLOOKUP(F259,Table2[],2,FALSE),"")</f>
        <v>kg N</v>
      </c>
      <c r="H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-79.8</v>
      </c>
      <c r="I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-79.8</v>
      </c>
      <c r="J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-79.8</v>
      </c>
      <c r="K259" s="147"/>
    </row>
    <row r="260" spans="1:11" s="146" customFormat="1" ht="14.7" thickBot="1" x14ac:dyDescent="0.6">
      <c r="A260" s="188" t="s">
        <v>545</v>
      </c>
      <c r="B260" s="182" t="s">
        <v>46</v>
      </c>
      <c r="C260" s="182" t="str">
        <f>Organ6</f>
        <v>OC6</v>
      </c>
      <c r="D260" s="148" t="s">
        <v>547</v>
      </c>
      <c r="E260" s="148" t="str">
        <f>IFERROR(VLOOKUP(D260,Table2[],2,FALSE),"")</f>
        <v>Hektar</v>
      </c>
      <c r="F260" s="202" t="s">
        <v>344</v>
      </c>
      <c r="G260" s="148" t="str">
        <f>IFERROR(VLOOKUP(F260,Table2[],2,FALSE),"")</f>
        <v>t CO2-ækvivalenter</v>
      </c>
      <c r="H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10.661694367485461</v>
      </c>
      <c r="I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10.661694367485461</v>
      </c>
      <c r="J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10.661694367485461</v>
      </c>
      <c r="K260" s="149"/>
    </row>
    <row r="261" spans="1:11" s="146" customFormat="1" ht="14.7" thickTop="1" x14ac:dyDescent="0.55000000000000004">
      <c r="A261" s="186" t="s">
        <v>545</v>
      </c>
      <c r="B261" s="180" t="s">
        <v>46</v>
      </c>
      <c r="C261" s="180" t="str">
        <f>Organ12</f>
        <v>OC12</v>
      </c>
      <c r="D261" s="144" t="s">
        <v>547</v>
      </c>
      <c r="E261" s="144" t="str">
        <f>IFERROR(VLOOKUP(D261,Table2[],2,FALSE),"")</f>
        <v>Hektar</v>
      </c>
      <c r="F261" s="144" t="s">
        <v>153</v>
      </c>
      <c r="G261" s="144" t="str">
        <f>IFERROR(VLOOKUP(F261,Table2[],2,FALSE),"")</f>
        <v>Ton</v>
      </c>
      <c r="H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6.7750199999999987</v>
      </c>
      <c r="I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6.7750199999999987</v>
      </c>
      <c r="J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6.7750199999999987</v>
      </c>
      <c r="K261" s="145"/>
    </row>
    <row r="262" spans="1:11" s="146" customFormat="1" x14ac:dyDescent="0.55000000000000004">
      <c r="A262" s="187" t="s">
        <v>545</v>
      </c>
      <c r="B262" s="181" t="s">
        <v>46</v>
      </c>
      <c r="C262" s="181" t="str">
        <f>Organ12</f>
        <v>OC12</v>
      </c>
      <c r="D262" s="146" t="s">
        <v>547</v>
      </c>
      <c r="E262" s="146" t="str">
        <f>IFERROR(VLOOKUP(D262,Table2[],2,FALSE),"")</f>
        <v>Hektar</v>
      </c>
      <c r="F262" s="146" t="s">
        <v>303</v>
      </c>
      <c r="G262" s="146" t="str">
        <f>IFERROR(VLOOKUP(F262,Table2[],2,FALSE),"")</f>
        <v>kg N</v>
      </c>
      <c r="H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-79.8</v>
      </c>
      <c r="I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-79.8</v>
      </c>
      <c r="J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-79.8</v>
      </c>
      <c r="K262" s="147"/>
    </row>
    <row r="263" spans="1:11" s="146" customFormat="1" ht="14.7" thickBot="1" x14ac:dyDescent="0.6">
      <c r="A263" s="188" t="s">
        <v>545</v>
      </c>
      <c r="B263" s="182" t="s">
        <v>46</v>
      </c>
      <c r="C263" s="182" t="str">
        <f>Organ12</f>
        <v>OC12</v>
      </c>
      <c r="D263" s="148" t="s">
        <v>547</v>
      </c>
      <c r="E263" s="148" t="str">
        <f>IFERROR(VLOOKUP(D263,Table2[],2,FALSE),"")</f>
        <v>Hektar</v>
      </c>
      <c r="F263" s="202" t="s">
        <v>344</v>
      </c>
      <c r="G263" s="148" t="str">
        <f>IFERROR(VLOOKUP(F263,Table2[],2,FALSE),"")</f>
        <v>t CO2-ækvivalenter</v>
      </c>
      <c r="H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28.501694367485467</v>
      </c>
      <c r="I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28.501694367485467</v>
      </c>
      <c r="J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28.501694367485467</v>
      </c>
      <c r="K263" s="149"/>
    </row>
    <row r="264" spans="1:11" s="146" customFormat="1" ht="14.7" thickTop="1" x14ac:dyDescent="0.55000000000000004">
      <c r="A264" s="186" t="s">
        <v>546</v>
      </c>
      <c r="B264" s="180" t="s">
        <v>45</v>
      </c>
      <c r="C264" s="180" t="str">
        <f>Jordbund1</f>
        <v>JB1-10</v>
      </c>
      <c r="D264" s="144" t="s">
        <v>548</v>
      </c>
      <c r="E264" s="144" t="str">
        <f>IFERROR(VLOOKUP(D264,Table2[],2,FALSE),"")</f>
        <v>Hektar</v>
      </c>
      <c r="F264" s="144" t="s">
        <v>146</v>
      </c>
      <c r="G264" s="144" t="str">
        <f>IFERROR(VLOOKUP(F264,Table2[],2,FALSE),"")</f>
        <v>Ton</v>
      </c>
      <c r="H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29.795943508186305</v>
      </c>
      <c r="I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29.795943508186305</v>
      </c>
      <c r="J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29.795943508186305</v>
      </c>
      <c r="K264" s="145"/>
    </row>
    <row r="265" spans="1:11" s="146" customFormat="1" x14ac:dyDescent="0.55000000000000004">
      <c r="A265" s="187" t="s">
        <v>546</v>
      </c>
      <c r="B265" s="181" t="s">
        <v>45</v>
      </c>
      <c r="C265" s="181" t="str">
        <f>Jordbund1</f>
        <v>JB1-10</v>
      </c>
      <c r="D265" s="146" t="s">
        <v>548</v>
      </c>
      <c r="E265" s="146" t="str">
        <f>IFERROR(VLOOKUP(D265,Table2[],2,FALSE),"")</f>
        <v>Hektar</v>
      </c>
      <c r="F265" s="146" t="s">
        <v>303</v>
      </c>
      <c r="G265" s="146" t="str">
        <f>IFERROR(VLOOKUP(F265,Table2[],2,FALSE),"")</f>
        <v>kg N</v>
      </c>
      <c r="H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-142.08333333333334</v>
      </c>
      <c r="I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-142.08333333333334</v>
      </c>
      <c r="J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-142.08333333333334</v>
      </c>
      <c r="K265" s="147"/>
    </row>
    <row r="266" spans="1:11" s="146" customFormat="1" ht="14.7" thickBot="1" x14ac:dyDescent="0.6">
      <c r="A266" s="188" t="s">
        <v>546</v>
      </c>
      <c r="B266" s="182" t="s">
        <v>45</v>
      </c>
      <c r="C266" s="182" t="str">
        <f>Jordbund1</f>
        <v>JB1-10</v>
      </c>
      <c r="D266" s="148" t="s">
        <v>548</v>
      </c>
      <c r="E266" s="148" t="str">
        <f>IFERROR(VLOOKUP(D266,Table2[],2,FALSE),"")</f>
        <v>Hektar</v>
      </c>
      <c r="F266" s="202" t="s">
        <v>344</v>
      </c>
      <c r="G266" s="148" t="str">
        <f>IFERROR(VLOOKUP(F266,Table2[],2,FALSE),"")</f>
        <v>t CO2-ækvivalenter</v>
      </c>
      <c r="H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2.2736943674854606</v>
      </c>
      <c r="I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2.2736943674854606</v>
      </c>
      <c r="J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2.2736943674854606</v>
      </c>
      <c r="K266" s="149"/>
    </row>
    <row r="267" spans="1:11" s="146" customFormat="1" ht="14.7" thickTop="1" x14ac:dyDescent="0.55000000000000004">
      <c r="A267" s="186" t="s">
        <v>546</v>
      </c>
      <c r="B267" s="180" t="s">
        <v>45</v>
      </c>
      <c r="C267" s="180" t="str">
        <f>Organ6</f>
        <v>OC6</v>
      </c>
      <c r="D267" s="144" t="s">
        <v>548</v>
      </c>
      <c r="E267" s="144" t="str">
        <f>IFERROR(VLOOKUP(D267,Table2[],2,FALSE),"")</f>
        <v>Hektar</v>
      </c>
      <c r="F267" s="144" t="s">
        <v>146</v>
      </c>
      <c r="G267" s="144" t="str">
        <f>IFERROR(VLOOKUP(F267,Table2[],2,FALSE),"")</f>
        <v>Ton</v>
      </c>
      <c r="H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35.755132209823564</v>
      </c>
      <c r="I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35.755132209823564</v>
      </c>
      <c r="J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35.755132209823564</v>
      </c>
      <c r="K267" s="145"/>
    </row>
    <row r="268" spans="1:11" s="146" customFormat="1" x14ac:dyDescent="0.55000000000000004">
      <c r="A268" s="187" t="s">
        <v>546</v>
      </c>
      <c r="B268" s="181" t="s">
        <v>45</v>
      </c>
      <c r="C268" s="181" t="str">
        <f>Organ6</f>
        <v>OC6</v>
      </c>
      <c r="D268" s="146" t="s">
        <v>548</v>
      </c>
      <c r="E268" s="146" t="str">
        <f>IFERROR(VLOOKUP(D268,Table2[],2,FALSE),"")</f>
        <v>Hektar</v>
      </c>
      <c r="F268" s="146" t="s">
        <v>303</v>
      </c>
      <c r="G268" s="146" t="str">
        <f>IFERROR(VLOOKUP(F268,Table2[],2,FALSE),"")</f>
        <v>kg N</v>
      </c>
      <c r="H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-125</v>
      </c>
      <c r="I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-125</v>
      </c>
      <c r="J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-125</v>
      </c>
      <c r="K268" s="147"/>
    </row>
    <row r="269" spans="1:11" s="146" customFormat="1" ht="14.7" thickBot="1" x14ac:dyDescent="0.6">
      <c r="A269" s="188" t="s">
        <v>546</v>
      </c>
      <c r="B269" s="182" t="s">
        <v>45</v>
      </c>
      <c r="C269" s="182" t="str">
        <f>Organ6</f>
        <v>OC6</v>
      </c>
      <c r="D269" s="148" t="s">
        <v>548</v>
      </c>
      <c r="E269" s="148" t="str">
        <f>IFERROR(VLOOKUP(D269,Table2[],2,FALSE),"")</f>
        <v>Hektar</v>
      </c>
      <c r="F269" s="202" t="s">
        <v>344</v>
      </c>
      <c r="G269" s="148" t="str">
        <f>IFERROR(VLOOKUP(F269,Table2[],2,FALSE),"")</f>
        <v>t CO2-ækvivalenter</v>
      </c>
      <c r="H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15.99169436748546</v>
      </c>
      <c r="I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15.99169436748546</v>
      </c>
      <c r="J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15.99169436748546</v>
      </c>
      <c r="K269" s="149"/>
    </row>
    <row r="270" spans="1:11" s="146" customFormat="1" ht="14.7" thickTop="1" x14ac:dyDescent="0.55000000000000004">
      <c r="A270" s="186" t="s">
        <v>546</v>
      </c>
      <c r="B270" s="180" t="s">
        <v>45</v>
      </c>
      <c r="C270" s="180" t="str">
        <f>Organ12</f>
        <v>OC12</v>
      </c>
      <c r="D270" s="144" t="s">
        <v>548</v>
      </c>
      <c r="E270" s="144" t="str">
        <f>IFERROR(VLOOKUP(D270,Table2[],2,FALSE),"")</f>
        <v>Hektar</v>
      </c>
      <c r="F270" s="144" t="s">
        <v>146</v>
      </c>
      <c r="G270" s="144" t="str">
        <f>IFERROR(VLOOKUP(F270,Table2[],2,FALSE),"")</f>
        <v>Ton</v>
      </c>
      <c r="H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41.714320911460824</v>
      </c>
      <c r="I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41.714320911460824</v>
      </c>
      <c r="J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41.714320911460824</v>
      </c>
      <c r="K270" s="145"/>
    </row>
    <row r="271" spans="1:11" s="146" customFormat="1" x14ac:dyDescent="0.55000000000000004">
      <c r="A271" s="187" t="s">
        <v>546</v>
      </c>
      <c r="B271" s="181" t="s">
        <v>45</v>
      </c>
      <c r="C271" s="181" t="str">
        <f>Organ12</f>
        <v>OC12</v>
      </c>
      <c r="D271" s="146" t="s">
        <v>548</v>
      </c>
      <c r="E271" s="146" t="str">
        <f>IFERROR(VLOOKUP(D271,Table2[],2,FALSE),"")</f>
        <v>Hektar</v>
      </c>
      <c r="F271" s="146" t="s">
        <v>303</v>
      </c>
      <c r="G271" s="146" t="str">
        <f>IFERROR(VLOOKUP(F271,Table2[],2,FALSE),"")</f>
        <v>kg N</v>
      </c>
      <c r="H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-107.91666666666667</v>
      </c>
      <c r="I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-107.91666666666667</v>
      </c>
      <c r="J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-107.91666666666667</v>
      </c>
      <c r="K271" s="147"/>
    </row>
    <row r="272" spans="1:11" s="146" customFormat="1" ht="14.7" thickBot="1" x14ac:dyDescent="0.6">
      <c r="A272" s="188" t="s">
        <v>546</v>
      </c>
      <c r="B272" s="182" t="s">
        <v>45</v>
      </c>
      <c r="C272" s="182" t="str">
        <f>Organ12</f>
        <v>OC12</v>
      </c>
      <c r="D272" s="148" t="s">
        <v>548</v>
      </c>
      <c r="E272" s="148" t="str">
        <f>IFERROR(VLOOKUP(D272,Table2[],2,FALSE),"")</f>
        <v>Hektar</v>
      </c>
      <c r="F272" s="202" t="s">
        <v>344</v>
      </c>
      <c r="G272" s="148" t="str">
        <f>IFERROR(VLOOKUP(F272,Table2[],2,FALSE),"")</f>
        <v>t CO2-ækvivalenter</v>
      </c>
      <c r="H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40.951694367485452</v>
      </c>
      <c r="I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40.951694367485452</v>
      </c>
      <c r="J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40.951694367485452</v>
      </c>
      <c r="K272" s="149"/>
    </row>
    <row r="273" spans="1:11" s="146" customFormat="1" ht="14.7" thickTop="1" x14ac:dyDescent="0.55000000000000004">
      <c r="A273" s="186" t="s">
        <v>546</v>
      </c>
      <c r="B273" s="180" t="s">
        <v>46</v>
      </c>
      <c r="C273" s="180" t="str">
        <f>Jordbund1</f>
        <v>JB1-10</v>
      </c>
      <c r="D273" s="144" t="s">
        <v>548</v>
      </c>
      <c r="E273" s="144" t="str">
        <f>IFERROR(VLOOKUP(D273,Table2[],2,FALSE),"")</f>
        <v>Hektar</v>
      </c>
      <c r="F273" s="144" t="s">
        <v>146</v>
      </c>
      <c r="G273" s="144" t="str">
        <f>IFERROR(VLOOKUP(F273,Table2[],2,FALSE),"")</f>
        <v>Ton</v>
      </c>
      <c r="H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16.983687799666193</v>
      </c>
      <c r="I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16.983687799666193</v>
      </c>
      <c r="J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16.983687799666193</v>
      </c>
      <c r="K273" s="145"/>
    </row>
    <row r="274" spans="1:11" s="146" customFormat="1" x14ac:dyDescent="0.55000000000000004">
      <c r="A274" s="187" t="s">
        <v>546</v>
      </c>
      <c r="B274" s="181" t="s">
        <v>46</v>
      </c>
      <c r="C274" s="181" t="str">
        <f>Jordbund1</f>
        <v>JB1-10</v>
      </c>
      <c r="D274" s="146" t="s">
        <v>548</v>
      </c>
      <c r="E274" s="146" t="str">
        <f>IFERROR(VLOOKUP(D274,Table2[],2,FALSE),"")</f>
        <v>Hektar</v>
      </c>
      <c r="F274" s="146" t="s">
        <v>303</v>
      </c>
      <c r="G274" s="146" t="str">
        <f>IFERROR(VLOOKUP(F274,Table2[],2,FALSE),"")</f>
        <v>kg N</v>
      </c>
      <c r="H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-80.987499999999997</v>
      </c>
      <c r="I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-80.987499999999997</v>
      </c>
      <c r="J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-80.987499999999997</v>
      </c>
      <c r="K274" s="147"/>
    </row>
    <row r="275" spans="1:11" s="146" customFormat="1" ht="14.7" thickBot="1" x14ac:dyDescent="0.6">
      <c r="A275" s="188" t="s">
        <v>546</v>
      </c>
      <c r="B275" s="182" t="s">
        <v>46</v>
      </c>
      <c r="C275" s="182" t="str">
        <f>Jordbund1</f>
        <v>JB1-10</v>
      </c>
      <c r="D275" s="148" t="s">
        <v>548</v>
      </c>
      <c r="E275" s="148" t="str">
        <f>IFERROR(VLOOKUP(D275,Table2[],2,FALSE),"")</f>
        <v>Hektar</v>
      </c>
      <c r="F275" s="202" t="s">
        <v>344</v>
      </c>
      <c r="G275" s="148" t="str">
        <f>IFERROR(VLOOKUP(F275,Table2[],2,FALSE),"")</f>
        <v>t CO2-ækvivalenter</v>
      </c>
      <c r="H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2.2736943674854606</v>
      </c>
      <c r="I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2.2736943674854606</v>
      </c>
      <c r="J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2.2736943674854606</v>
      </c>
      <c r="K275" s="149"/>
    </row>
    <row r="276" spans="1:11" s="146" customFormat="1" ht="14.7" thickTop="1" x14ac:dyDescent="0.55000000000000004">
      <c r="A276" s="186" t="s">
        <v>546</v>
      </c>
      <c r="B276" s="180" t="s">
        <v>46</v>
      </c>
      <c r="C276" s="180" t="str">
        <f>Organ6</f>
        <v>OC6</v>
      </c>
      <c r="D276" s="144" t="s">
        <v>548</v>
      </c>
      <c r="E276" s="144" t="str">
        <f>IFERROR(VLOOKUP(D276,Table2[],2,FALSE),"")</f>
        <v>Hektar</v>
      </c>
      <c r="F276" s="144" t="s">
        <v>146</v>
      </c>
      <c r="G276" s="144" t="str">
        <f>IFERROR(VLOOKUP(F276,Table2[],2,FALSE),"")</f>
        <v>Ton</v>
      </c>
      <c r="H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20.380425359599428</v>
      </c>
      <c r="I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20.380425359599428</v>
      </c>
      <c r="J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20.380425359599428</v>
      </c>
      <c r="K276" s="145"/>
    </row>
    <row r="277" spans="1:11" s="146" customFormat="1" x14ac:dyDescent="0.55000000000000004">
      <c r="A277" s="187" t="s">
        <v>546</v>
      </c>
      <c r="B277" s="181" t="s">
        <v>46</v>
      </c>
      <c r="C277" s="181" t="str">
        <f>Organ6</f>
        <v>OC6</v>
      </c>
      <c r="D277" s="146" t="s">
        <v>548</v>
      </c>
      <c r="E277" s="146" t="str">
        <f>IFERROR(VLOOKUP(D277,Table2[],2,FALSE),"")</f>
        <v>Hektar</v>
      </c>
      <c r="F277" s="146" t="s">
        <v>303</v>
      </c>
      <c r="G277" s="146" t="str">
        <f>IFERROR(VLOOKUP(F277,Table2[],2,FALSE),"")</f>
        <v>kg N</v>
      </c>
      <c r="H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-71.25</v>
      </c>
      <c r="I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-71.25</v>
      </c>
      <c r="J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-71.25</v>
      </c>
      <c r="K277" s="147"/>
    </row>
    <row r="278" spans="1:11" s="146" customFormat="1" ht="14.7" thickBot="1" x14ac:dyDescent="0.6">
      <c r="A278" s="188" t="s">
        <v>546</v>
      </c>
      <c r="B278" s="182" t="s">
        <v>46</v>
      </c>
      <c r="C278" s="182" t="str">
        <f>Organ6</f>
        <v>OC6</v>
      </c>
      <c r="D278" s="148" t="s">
        <v>548</v>
      </c>
      <c r="E278" s="148" t="str">
        <f>IFERROR(VLOOKUP(D278,Table2[],2,FALSE),"")</f>
        <v>Hektar</v>
      </c>
      <c r="F278" s="202" t="s">
        <v>344</v>
      </c>
      <c r="G278" s="148" t="str">
        <f>IFERROR(VLOOKUP(F278,Table2[],2,FALSE),"")</f>
        <v>t CO2-ækvivalenter</v>
      </c>
      <c r="H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15.99169436748546</v>
      </c>
      <c r="I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15.99169436748546</v>
      </c>
      <c r="J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15.99169436748546</v>
      </c>
      <c r="K278" s="149"/>
    </row>
    <row r="279" spans="1:11" s="146" customFormat="1" ht="14.7" thickTop="1" x14ac:dyDescent="0.55000000000000004">
      <c r="A279" s="186" t="s">
        <v>546</v>
      </c>
      <c r="B279" s="180" t="s">
        <v>46</v>
      </c>
      <c r="C279" s="180" t="str">
        <f>Organ12</f>
        <v>OC12</v>
      </c>
      <c r="D279" s="144" t="s">
        <v>548</v>
      </c>
      <c r="E279" s="144" t="str">
        <f>IFERROR(VLOOKUP(D279,Table2[],2,FALSE),"")</f>
        <v>Hektar</v>
      </c>
      <c r="F279" s="144" t="s">
        <v>146</v>
      </c>
      <c r="G279" s="144" t="str">
        <f>IFERROR(VLOOKUP(F279,Table2[],2,FALSE),"")</f>
        <v>Ton</v>
      </c>
      <c r="H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23.777162919532667</v>
      </c>
      <c r="I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23.777162919532667</v>
      </c>
      <c r="J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23.777162919532667</v>
      </c>
      <c r="K279" s="145"/>
    </row>
    <row r="280" spans="1:11" s="146" customFormat="1" x14ac:dyDescent="0.55000000000000004">
      <c r="A280" s="187" t="s">
        <v>546</v>
      </c>
      <c r="B280" s="181" t="s">
        <v>46</v>
      </c>
      <c r="C280" s="181" t="str">
        <f>Organ12</f>
        <v>OC12</v>
      </c>
      <c r="D280" s="146" t="s">
        <v>548</v>
      </c>
      <c r="E280" s="146" t="str">
        <f>IFERROR(VLOOKUP(D280,Table2[],2,FALSE),"")</f>
        <v>Hektar</v>
      </c>
      <c r="F280" s="146" t="s">
        <v>303</v>
      </c>
      <c r="G280" s="146" t="str">
        <f>IFERROR(VLOOKUP(F280,Table2[],2,FALSE),"")</f>
        <v>kg N</v>
      </c>
      <c r="H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-61.512499999999996</v>
      </c>
      <c r="I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-61.512499999999996</v>
      </c>
      <c r="J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-61.512499999999996</v>
      </c>
      <c r="K280" s="147"/>
    </row>
    <row r="281" spans="1:11" s="146" customFormat="1" ht="14.7" thickBot="1" x14ac:dyDescent="0.6">
      <c r="A281" s="188" t="s">
        <v>546</v>
      </c>
      <c r="B281" s="182" t="s">
        <v>46</v>
      </c>
      <c r="C281" s="182" t="str">
        <f>Organ12</f>
        <v>OC12</v>
      </c>
      <c r="D281" s="148" t="s">
        <v>548</v>
      </c>
      <c r="E281" s="148" t="str">
        <f>IFERROR(VLOOKUP(D281,Table2[],2,FALSE),"")</f>
        <v>Hektar</v>
      </c>
      <c r="F281" s="202" t="s">
        <v>344</v>
      </c>
      <c r="G281" s="148" t="str">
        <f>IFERROR(VLOOKUP(F281,Table2[],2,FALSE),"")</f>
        <v>t CO2-ækvivalenter</v>
      </c>
      <c r="H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40.951694367485452</v>
      </c>
      <c r="I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40.951694367485452</v>
      </c>
      <c r="J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40.951694367485452</v>
      </c>
      <c r="K281" s="149"/>
    </row>
    <row r="282" spans="1:11" s="146" customFormat="1" ht="14.7" thickTop="1" x14ac:dyDescent="0.55000000000000004">
      <c r="A282" s="186" t="s">
        <v>31</v>
      </c>
      <c r="B282" s="180" t="s">
        <v>45</v>
      </c>
      <c r="C282" s="180" t="str">
        <f>Jordbund1</f>
        <v>JB1-10</v>
      </c>
      <c r="D282" s="144" t="s">
        <v>359</v>
      </c>
      <c r="E282" s="144" t="str">
        <f>IFERROR(VLOOKUP(D282,Table2[],2,FALSE),"")</f>
        <v>Hektar</v>
      </c>
      <c r="F282" s="144" t="s">
        <v>15</v>
      </c>
      <c r="G282" s="144" t="str">
        <f>IFERROR(VLOOKUP(F282,Table2[],2,FALSE),"")</f>
        <v>Ton</v>
      </c>
      <c r="H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44.510000000000005</v>
      </c>
      <c r="I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44.510000000000005</v>
      </c>
      <c r="J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44.510000000000005</v>
      </c>
      <c r="K282" s="145"/>
    </row>
    <row r="283" spans="1:11" s="146" customFormat="1" x14ac:dyDescent="0.55000000000000004">
      <c r="A283" s="187" t="s">
        <v>31</v>
      </c>
      <c r="B283" s="181" t="s">
        <v>45</v>
      </c>
      <c r="C283" s="181" t="str">
        <f>Jordbund1</f>
        <v>JB1-10</v>
      </c>
      <c r="D283" s="146" t="s">
        <v>359</v>
      </c>
      <c r="E283" s="146" t="str">
        <f>IFERROR(VLOOKUP(D283,Table2[],2,FALSE),"")</f>
        <v>Hektar</v>
      </c>
      <c r="F283" s="146" t="s">
        <v>303</v>
      </c>
      <c r="G283" s="146" t="str">
        <f>IFERROR(VLOOKUP(F283,Table2[],2,FALSE),"")</f>
        <v>kg N</v>
      </c>
      <c r="H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-160</v>
      </c>
      <c r="I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-160</v>
      </c>
      <c r="J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-160</v>
      </c>
      <c r="K283" s="147"/>
    </row>
    <row r="284" spans="1:11" s="146" customFormat="1" ht="14.7" thickBot="1" x14ac:dyDescent="0.6">
      <c r="A284" s="188" t="s">
        <v>31</v>
      </c>
      <c r="B284" s="182" t="s">
        <v>45</v>
      </c>
      <c r="C284" s="182" t="str">
        <f>Jordbund1</f>
        <v>JB1-10</v>
      </c>
      <c r="D284" s="148" t="s">
        <v>359</v>
      </c>
      <c r="E284" s="148" t="str">
        <f>IFERROR(VLOOKUP(D284,Table2[],2,FALSE),"")</f>
        <v>Hektar</v>
      </c>
      <c r="F284" s="202" t="s">
        <v>344</v>
      </c>
      <c r="G284" s="148" t="str">
        <f>IFERROR(VLOOKUP(F284,Table2[],2,FALSE),"")</f>
        <v>t CO2-ækvivalenter</v>
      </c>
      <c r="H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2.2736943674854606</v>
      </c>
      <c r="I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2.2736943674854606</v>
      </c>
      <c r="J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2.2736943674854606</v>
      </c>
      <c r="K284" s="149"/>
    </row>
    <row r="285" spans="1:11" s="146" customFormat="1" ht="14.7" thickTop="1" x14ac:dyDescent="0.55000000000000004">
      <c r="A285" s="186" t="s">
        <v>31</v>
      </c>
      <c r="B285" s="180" t="s">
        <v>45</v>
      </c>
      <c r="C285" s="180" t="str">
        <f>Organ6</f>
        <v>OC6</v>
      </c>
      <c r="D285" s="144" t="s">
        <v>359</v>
      </c>
      <c r="E285" s="144" t="str">
        <f>IFERROR(VLOOKUP(D285,Table2[],2,FALSE),"")</f>
        <v>Hektar</v>
      </c>
      <c r="F285" s="144" t="s">
        <v>15</v>
      </c>
      <c r="G285" s="144" t="str">
        <f>IFERROR(VLOOKUP(F285,Table2[],2,FALSE),"")</f>
        <v>Ton</v>
      </c>
      <c r="H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53.412000000000006</v>
      </c>
      <c r="I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53.412000000000006</v>
      </c>
      <c r="J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53.412000000000006</v>
      </c>
      <c r="K285" s="145"/>
    </row>
    <row r="286" spans="1:11" s="146" customFormat="1" x14ac:dyDescent="0.55000000000000004">
      <c r="A286" s="187" t="s">
        <v>31</v>
      </c>
      <c r="B286" s="181" t="s">
        <v>45</v>
      </c>
      <c r="C286" s="181" t="str">
        <f>Organ6</f>
        <v>OC6</v>
      </c>
      <c r="D286" s="146" t="s">
        <v>359</v>
      </c>
      <c r="E286" s="146" t="str">
        <f>IFERROR(VLOOKUP(D286,Table2[],2,FALSE),"")</f>
        <v>Hektar</v>
      </c>
      <c r="F286" s="146" t="s">
        <v>303</v>
      </c>
      <c r="G286" s="146" t="str">
        <f>IFERROR(VLOOKUP(F286,Table2[],2,FALSE),"")</f>
        <v>kg N</v>
      </c>
      <c r="H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-130</v>
      </c>
      <c r="I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-130</v>
      </c>
      <c r="J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-130</v>
      </c>
      <c r="K286" s="147"/>
    </row>
    <row r="287" spans="1:11" s="146" customFormat="1" ht="14.7" thickBot="1" x14ac:dyDescent="0.6">
      <c r="A287" s="188" t="s">
        <v>31</v>
      </c>
      <c r="B287" s="182" t="s">
        <v>45</v>
      </c>
      <c r="C287" s="182" t="str">
        <f>Organ6</f>
        <v>OC6</v>
      </c>
      <c r="D287" s="148" t="s">
        <v>359</v>
      </c>
      <c r="E287" s="148" t="str">
        <f>IFERROR(VLOOKUP(D287,Table2[],2,FALSE),"")</f>
        <v>Hektar</v>
      </c>
      <c r="F287" s="202" t="s">
        <v>344</v>
      </c>
      <c r="G287" s="148" t="str">
        <f>IFERROR(VLOOKUP(F287,Table2[],2,FALSE),"")</f>
        <v>t CO2-ækvivalenter</v>
      </c>
      <c r="H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15.99169436748546</v>
      </c>
      <c r="I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15.99169436748546</v>
      </c>
      <c r="J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15.99169436748546</v>
      </c>
      <c r="K287" s="149"/>
    </row>
    <row r="288" spans="1:11" s="146" customFormat="1" ht="14.7" thickTop="1" x14ac:dyDescent="0.55000000000000004">
      <c r="A288" s="186" t="s">
        <v>31</v>
      </c>
      <c r="B288" s="180" t="s">
        <v>45</v>
      </c>
      <c r="C288" s="180" t="str">
        <f>Organ12</f>
        <v>OC12</v>
      </c>
      <c r="D288" s="144" t="s">
        <v>359</v>
      </c>
      <c r="E288" s="144" t="str">
        <f>IFERROR(VLOOKUP(D288,Table2[],2,FALSE),"")</f>
        <v>Hektar</v>
      </c>
      <c r="F288" s="144" t="s">
        <v>15</v>
      </c>
      <c r="G288" s="144" t="str">
        <f>IFERROR(VLOOKUP(F288,Table2[],2,FALSE),"")</f>
        <v>Ton</v>
      </c>
      <c r="H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62.314</v>
      </c>
      <c r="I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62.314</v>
      </c>
      <c r="J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62.314</v>
      </c>
      <c r="K288" s="145"/>
    </row>
    <row r="289" spans="1:11" s="146" customFormat="1" x14ac:dyDescent="0.55000000000000004">
      <c r="A289" s="187" t="s">
        <v>31</v>
      </c>
      <c r="B289" s="181" t="s">
        <v>45</v>
      </c>
      <c r="C289" s="181" t="str">
        <f>Organ12</f>
        <v>OC12</v>
      </c>
      <c r="D289" s="146" t="s">
        <v>359</v>
      </c>
      <c r="E289" s="146" t="str">
        <f>IFERROR(VLOOKUP(D289,Table2[],2,FALSE),"")</f>
        <v>Hektar</v>
      </c>
      <c r="F289" s="146" t="s">
        <v>303</v>
      </c>
      <c r="G289" s="146" t="str">
        <f>IFERROR(VLOOKUP(F289,Table2[],2,FALSE),"")</f>
        <v>kg N</v>
      </c>
      <c r="H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-100</v>
      </c>
      <c r="I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-100</v>
      </c>
      <c r="J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-100</v>
      </c>
      <c r="K289" s="147"/>
    </row>
    <row r="290" spans="1:11" s="146" customFormat="1" ht="14.7" thickBot="1" x14ac:dyDescent="0.6">
      <c r="A290" s="188" t="s">
        <v>31</v>
      </c>
      <c r="B290" s="182" t="s">
        <v>45</v>
      </c>
      <c r="C290" s="182" t="str">
        <f>Organ12</f>
        <v>OC12</v>
      </c>
      <c r="D290" s="148" t="s">
        <v>359</v>
      </c>
      <c r="E290" s="148" t="str">
        <f>IFERROR(VLOOKUP(D290,Table2[],2,FALSE),"")</f>
        <v>Hektar</v>
      </c>
      <c r="F290" s="202" t="s">
        <v>344</v>
      </c>
      <c r="G290" s="148" t="str">
        <f>IFERROR(VLOOKUP(F290,Table2[],2,FALSE),"")</f>
        <v>t CO2-ækvivalenter</v>
      </c>
      <c r="H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40.951694367485452</v>
      </c>
      <c r="I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40.951694367485452</v>
      </c>
      <c r="J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40.951694367485452</v>
      </c>
      <c r="K290" s="149"/>
    </row>
    <row r="291" spans="1:11" s="146" customFormat="1" ht="14.7" thickTop="1" x14ac:dyDescent="0.55000000000000004">
      <c r="A291" s="186" t="s">
        <v>31</v>
      </c>
      <c r="B291" s="180" t="s">
        <v>46</v>
      </c>
      <c r="C291" s="180" t="str">
        <f>Jordbund1</f>
        <v>JB1-10</v>
      </c>
      <c r="D291" s="144" t="s">
        <v>359</v>
      </c>
      <c r="E291" s="144" t="str">
        <f>IFERROR(VLOOKUP(D291,Table2[],2,FALSE),"")</f>
        <v>Hektar</v>
      </c>
      <c r="F291" s="144" t="s">
        <v>15</v>
      </c>
      <c r="G291" s="144" t="str">
        <f>IFERROR(VLOOKUP(F291,Table2[],2,FALSE),"")</f>
        <v>Ton</v>
      </c>
      <c r="H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36.943300000000001</v>
      </c>
      <c r="I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36.943300000000001</v>
      </c>
      <c r="J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36.943300000000001</v>
      </c>
      <c r="K291" s="145"/>
    </row>
    <row r="292" spans="1:11" s="146" customFormat="1" x14ac:dyDescent="0.55000000000000004">
      <c r="A292" s="187" t="s">
        <v>31</v>
      </c>
      <c r="B292" s="181" t="s">
        <v>46</v>
      </c>
      <c r="C292" s="181" t="str">
        <f>Jordbund1</f>
        <v>JB1-10</v>
      </c>
      <c r="D292" s="146" t="s">
        <v>359</v>
      </c>
      <c r="E292" s="146" t="str">
        <f>IFERROR(VLOOKUP(D292,Table2[],2,FALSE),"")</f>
        <v>Hektar</v>
      </c>
      <c r="F292" s="146" t="s">
        <v>303</v>
      </c>
      <c r="G292" s="146" t="str">
        <f>IFERROR(VLOOKUP(F292,Table2[],2,FALSE),"")</f>
        <v>kg N</v>
      </c>
      <c r="H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-132.79999999999998</v>
      </c>
      <c r="I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-132.79999999999998</v>
      </c>
      <c r="J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-132.79999999999998</v>
      </c>
      <c r="K292" s="147"/>
    </row>
    <row r="293" spans="1:11" s="146" customFormat="1" ht="14.7" thickBot="1" x14ac:dyDescent="0.6">
      <c r="A293" s="188" t="s">
        <v>31</v>
      </c>
      <c r="B293" s="182" t="s">
        <v>46</v>
      </c>
      <c r="C293" s="182" t="str">
        <f>Jordbund1</f>
        <v>JB1-10</v>
      </c>
      <c r="D293" s="148" t="s">
        <v>359</v>
      </c>
      <c r="E293" s="148" t="str">
        <f>IFERROR(VLOOKUP(D293,Table2[],2,FALSE),"")</f>
        <v>Hektar</v>
      </c>
      <c r="F293" s="202" t="s">
        <v>344</v>
      </c>
      <c r="G293" s="148" t="str">
        <f>IFERROR(VLOOKUP(F293,Table2[],2,FALSE),"")</f>
        <v>t CO2-ækvivalenter</v>
      </c>
      <c r="H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2.2736943674854606</v>
      </c>
      <c r="I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2.2736943674854606</v>
      </c>
      <c r="J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2.2736943674854606</v>
      </c>
      <c r="K293" s="149"/>
    </row>
    <row r="294" spans="1:11" s="146" customFormat="1" ht="14.7" thickTop="1" x14ac:dyDescent="0.55000000000000004">
      <c r="A294" s="186" t="s">
        <v>31</v>
      </c>
      <c r="B294" s="180" t="s">
        <v>46</v>
      </c>
      <c r="C294" s="180" t="str">
        <f>Organ6</f>
        <v>OC6</v>
      </c>
      <c r="D294" s="144" t="s">
        <v>359</v>
      </c>
      <c r="E294" s="144" t="str">
        <f>IFERROR(VLOOKUP(D294,Table2[],2,FALSE),"")</f>
        <v>Hektar</v>
      </c>
      <c r="F294" s="144" t="s">
        <v>15</v>
      </c>
      <c r="G294" s="144" t="str">
        <f>IFERROR(VLOOKUP(F294,Table2[],2,FALSE),"")</f>
        <v>Ton</v>
      </c>
      <c r="H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44.331960000000002</v>
      </c>
      <c r="I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44.331960000000002</v>
      </c>
      <c r="J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44.331960000000002</v>
      </c>
      <c r="K294" s="145"/>
    </row>
    <row r="295" spans="1:11" s="146" customFormat="1" x14ac:dyDescent="0.55000000000000004">
      <c r="A295" s="187" t="s">
        <v>31</v>
      </c>
      <c r="B295" s="181" t="s">
        <v>46</v>
      </c>
      <c r="C295" s="181" t="str">
        <f>Organ6</f>
        <v>OC6</v>
      </c>
      <c r="D295" s="146" t="s">
        <v>359</v>
      </c>
      <c r="E295" s="146" t="str">
        <f>IFERROR(VLOOKUP(D295,Table2[],2,FALSE),"")</f>
        <v>Hektar</v>
      </c>
      <c r="F295" s="146" t="s">
        <v>303</v>
      </c>
      <c r="G295" s="146" t="str">
        <f>IFERROR(VLOOKUP(F295,Table2[],2,FALSE),"")</f>
        <v>kg N</v>
      </c>
      <c r="H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-107.89999999999999</v>
      </c>
      <c r="I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-107.89999999999999</v>
      </c>
      <c r="J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-107.89999999999999</v>
      </c>
      <c r="K295" s="147"/>
    </row>
    <row r="296" spans="1:11" s="146" customFormat="1" ht="14.7" thickBot="1" x14ac:dyDescent="0.6">
      <c r="A296" s="188" t="s">
        <v>31</v>
      </c>
      <c r="B296" s="182" t="s">
        <v>46</v>
      </c>
      <c r="C296" s="182" t="str">
        <f>Organ6</f>
        <v>OC6</v>
      </c>
      <c r="D296" s="148" t="s">
        <v>359</v>
      </c>
      <c r="E296" s="148" t="str">
        <f>IFERROR(VLOOKUP(D296,Table2[],2,FALSE),"")</f>
        <v>Hektar</v>
      </c>
      <c r="F296" s="202" t="s">
        <v>344</v>
      </c>
      <c r="G296" s="148" t="str">
        <f>IFERROR(VLOOKUP(F296,Table2[],2,FALSE),"")</f>
        <v>t CO2-ækvivalenter</v>
      </c>
      <c r="H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15.99169436748546</v>
      </c>
      <c r="I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15.99169436748546</v>
      </c>
      <c r="J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15.99169436748546</v>
      </c>
      <c r="K296" s="149"/>
    </row>
    <row r="297" spans="1:11" s="146" customFormat="1" ht="14.7" thickTop="1" x14ac:dyDescent="0.55000000000000004">
      <c r="A297" s="186" t="s">
        <v>31</v>
      </c>
      <c r="B297" s="180" t="s">
        <v>46</v>
      </c>
      <c r="C297" s="180" t="str">
        <f>Organ12</f>
        <v>OC12</v>
      </c>
      <c r="D297" s="144" t="s">
        <v>359</v>
      </c>
      <c r="E297" s="144" t="str">
        <f>IFERROR(VLOOKUP(D297,Table2[],2,FALSE),"")</f>
        <v>Hektar</v>
      </c>
      <c r="F297" s="144" t="s">
        <v>15</v>
      </c>
      <c r="G297" s="144" t="str">
        <f>IFERROR(VLOOKUP(F297,Table2[],2,FALSE),"")</f>
        <v>Ton</v>
      </c>
      <c r="H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51.720619999999997</v>
      </c>
      <c r="I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51.720619999999997</v>
      </c>
      <c r="J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51.720619999999997</v>
      </c>
      <c r="K297" s="145"/>
    </row>
    <row r="298" spans="1:11" s="146" customFormat="1" x14ac:dyDescent="0.55000000000000004">
      <c r="A298" s="187" t="s">
        <v>31</v>
      </c>
      <c r="B298" s="181" t="s">
        <v>46</v>
      </c>
      <c r="C298" s="181" t="str">
        <f>Organ12</f>
        <v>OC12</v>
      </c>
      <c r="D298" s="146" t="s">
        <v>359</v>
      </c>
      <c r="E298" s="146" t="str">
        <f>IFERROR(VLOOKUP(D298,Table2[],2,FALSE),"")</f>
        <v>Hektar</v>
      </c>
      <c r="F298" s="146" t="s">
        <v>303</v>
      </c>
      <c r="G298" s="146" t="str">
        <f>IFERROR(VLOOKUP(F298,Table2[],2,FALSE),"")</f>
        <v>kg N</v>
      </c>
      <c r="H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-83</v>
      </c>
      <c r="I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-83</v>
      </c>
      <c r="J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-83</v>
      </c>
      <c r="K298" s="147"/>
    </row>
    <row r="299" spans="1:11" s="146" customFormat="1" ht="14.7" thickBot="1" x14ac:dyDescent="0.6">
      <c r="A299" s="188" t="s">
        <v>31</v>
      </c>
      <c r="B299" s="182" t="s">
        <v>46</v>
      </c>
      <c r="C299" s="182" t="str">
        <f>Organ12</f>
        <v>OC12</v>
      </c>
      <c r="D299" s="148" t="s">
        <v>359</v>
      </c>
      <c r="E299" s="148" t="str">
        <f>IFERROR(VLOOKUP(D299,Table2[],2,FALSE),"")</f>
        <v>Hektar</v>
      </c>
      <c r="F299" s="202" t="s">
        <v>344</v>
      </c>
      <c r="G299" s="148" t="str">
        <f>IFERROR(VLOOKUP(F299,Table2[],2,FALSE),"")</f>
        <v>t CO2-ækvivalenter</v>
      </c>
      <c r="H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40.951694367485452</v>
      </c>
      <c r="I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40.951694367485452</v>
      </c>
      <c r="J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40.951694367485452</v>
      </c>
      <c r="K299" s="149"/>
    </row>
    <row r="300" spans="1:11" s="146" customFormat="1" ht="14.7" thickTop="1" x14ac:dyDescent="0.55000000000000004">
      <c r="A300" s="186" t="s">
        <v>305</v>
      </c>
      <c r="B300" s="180" t="s">
        <v>45</v>
      </c>
      <c r="C300" s="180" t="str">
        <f>Jordbund1</f>
        <v>JB1-10</v>
      </c>
      <c r="D300" s="144" t="s">
        <v>362</v>
      </c>
      <c r="E300" s="144" t="str">
        <f>IFERROR(VLOOKUP(D300,Table2[],2,FALSE),"")</f>
        <v>Hektar</v>
      </c>
      <c r="F300" s="144" t="s">
        <v>177</v>
      </c>
      <c r="G300" s="144" t="str">
        <f>IFERROR(VLOOKUP(F300,Table2[],2,FALSE),"")</f>
        <v>Ton</v>
      </c>
      <c r="H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4.4000000000000004</v>
      </c>
      <c r="I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4.4000000000000004</v>
      </c>
      <c r="J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4.4000000000000004</v>
      </c>
      <c r="K300" s="145"/>
    </row>
    <row r="301" spans="1:11" s="146" customFormat="1" x14ac:dyDescent="0.55000000000000004">
      <c r="A301" s="187" t="s">
        <v>305</v>
      </c>
      <c r="B301" s="181" t="s">
        <v>45</v>
      </c>
      <c r="C301" s="181" t="str">
        <f>Jordbund1</f>
        <v>JB1-10</v>
      </c>
      <c r="D301" s="146" t="s">
        <v>362</v>
      </c>
      <c r="E301" s="146" t="str">
        <f>IFERROR(VLOOKUP(D301,Table2[],2,FALSE),"")</f>
        <v>Hektar</v>
      </c>
      <c r="F301" s="146" t="s">
        <v>37</v>
      </c>
      <c r="G301" s="146" t="str">
        <f>IFERROR(VLOOKUP(F301,Table2[],2,FALSE),"")</f>
        <v>Ton</v>
      </c>
      <c r="H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3.96</v>
      </c>
      <c r="I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3.96</v>
      </c>
      <c r="J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3.96</v>
      </c>
      <c r="K301" s="147"/>
    </row>
    <row r="302" spans="1:11" s="146" customFormat="1" x14ac:dyDescent="0.55000000000000004">
      <c r="A302" s="187" t="s">
        <v>305</v>
      </c>
      <c r="B302" s="181" t="s">
        <v>45</v>
      </c>
      <c r="C302" s="181" t="str">
        <f>Jordbund1</f>
        <v>JB1-10</v>
      </c>
      <c r="D302" s="146" t="s">
        <v>362</v>
      </c>
      <c r="E302" s="146" t="str">
        <f>IFERROR(VLOOKUP(D302,Table2[],2,FALSE),"")</f>
        <v>Hektar</v>
      </c>
      <c r="F302" s="146" t="s">
        <v>303</v>
      </c>
      <c r="G302" s="146" t="str">
        <f>IFERROR(VLOOKUP(F302,Table2[],2,FALSE),"")</f>
        <v>kg N</v>
      </c>
      <c r="H302" s="168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-175</v>
      </c>
      <c r="I302" s="168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-175</v>
      </c>
      <c r="J302" s="168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-175</v>
      </c>
      <c r="K302" s="147"/>
    </row>
    <row r="303" spans="1:11" s="146" customFormat="1" ht="14.7" thickBot="1" x14ac:dyDescent="0.6">
      <c r="A303" s="188" t="s">
        <v>305</v>
      </c>
      <c r="B303" s="182" t="s">
        <v>45</v>
      </c>
      <c r="C303" s="182" t="str">
        <f>Jordbund1</f>
        <v>JB1-10</v>
      </c>
      <c r="D303" s="148" t="s">
        <v>362</v>
      </c>
      <c r="E303" s="148" t="str">
        <f>IFERROR(VLOOKUP(D303,Table2[],2,FALSE),"")</f>
        <v>Hektar</v>
      </c>
      <c r="F303" s="202" t="s">
        <v>344</v>
      </c>
      <c r="G303" s="148" t="str">
        <f>IFERROR(VLOOKUP(F303,Table2[],2,FALSE),"")</f>
        <v>t CO2-ækvivalenter</v>
      </c>
      <c r="H303" s="177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2.2736943674854606</v>
      </c>
      <c r="I303" s="177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2.2736943674854606</v>
      </c>
      <c r="J303" s="177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2.2736943674854606</v>
      </c>
      <c r="K303" s="149"/>
    </row>
    <row r="304" spans="1:11" s="146" customFormat="1" ht="14.7" thickTop="1" x14ac:dyDescent="0.55000000000000004">
      <c r="A304" s="186" t="s">
        <v>305</v>
      </c>
      <c r="B304" s="180" t="s">
        <v>45</v>
      </c>
      <c r="C304" s="180" t="str">
        <f>Organ6</f>
        <v>OC6</v>
      </c>
      <c r="D304" s="144" t="s">
        <v>362</v>
      </c>
      <c r="E304" s="144" t="str">
        <f>IFERROR(VLOOKUP(D304,Table2[],2,FALSE),"")</f>
        <v>Hektar</v>
      </c>
      <c r="F304" s="144" t="s">
        <v>177</v>
      </c>
      <c r="G304" s="144" t="str">
        <f>IFERROR(VLOOKUP(F304,Table2[],2,FALSE),"")</f>
        <v>Ton</v>
      </c>
      <c r="H304" s="176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5.28</v>
      </c>
      <c r="I304" s="176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5.28</v>
      </c>
      <c r="J304" s="176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5.28</v>
      </c>
      <c r="K304" s="145"/>
    </row>
    <row r="305" spans="1:11" s="146" customFormat="1" x14ac:dyDescent="0.55000000000000004">
      <c r="A305" s="187" t="s">
        <v>305</v>
      </c>
      <c r="B305" s="181" t="s">
        <v>45</v>
      </c>
      <c r="C305" s="181" t="str">
        <f>Organ6</f>
        <v>OC6</v>
      </c>
      <c r="D305" s="146" t="s">
        <v>362</v>
      </c>
      <c r="E305" s="146" t="str">
        <f>IFERROR(VLOOKUP(D305,Table2[],2,FALSE),"")</f>
        <v>Hektar</v>
      </c>
      <c r="F305" s="146" t="s">
        <v>37</v>
      </c>
      <c r="G305" s="146" t="str">
        <f>IFERROR(VLOOKUP(F305,Table2[],2,FALSE),"")</f>
        <v>Ton</v>
      </c>
      <c r="H305" s="168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4.7519999999999998</v>
      </c>
      <c r="I305" s="168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4.7519999999999998</v>
      </c>
      <c r="J305" s="168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4.7519999999999998</v>
      </c>
      <c r="K305" s="147"/>
    </row>
    <row r="306" spans="1:11" s="146" customFormat="1" x14ac:dyDescent="0.55000000000000004">
      <c r="A306" s="187" t="s">
        <v>305</v>
      </c>
      <c r="B306" s="181" t="s">
        <v>45</v>
      </c>
      <c r="C306" s="181" t="str">
        <f>Organ6</f>
        <v>OC6</v>
      </c>
      <c r="D306" s="146" t="s">
        <v>362</v>
      </c>
      <c r="E306" s="146" t="str">
        <f>IFERROR(VLOOKUP(D306,Table2[],2,FALSE),"")</f>
        <v>Hektar</v>
      </c>
      <c r="F306" s="146" t="s">
        <v>303</v>
      </c>
      <c r="G306" s="146" t="str">
        <f>IFERROR(VLOOKUP(F306,Table2[],2,FALSE),"")</f>
        <v>kg N</v>
      </c>
      <c r="H306" s="168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-145</v>
      </c>
      <c r="I306" s="168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-145</v>
      </c>
      <c r="J306" s="168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-145</v>
      </c>
      <c r="K306" s="147"/>
    </row>
    <row r="307" spans="1:11" s="146" customFormat="1" ht="14.7" thickBot="1" x14ac:dyDescent="0.6">
      <c r="A307" s="188" t="s">
        <v>305</v>
      </c>
      <c r="B307" s="182" t="s">
        <v>45</v>
      </c>
      <c r="C307" s="182" t="str">
        <f>Organ6</f>
        <v>OC6</v>
      </c>
      <c r="D307" s="148" t="s">
        <v>362</v>
      </c>
      <c r="E307" s="148" t="str">
        <f>IFERROR(VLOOKUP(D307,Table2[],2,FALSE),"")</f>
        <v>Hektar</v>
      </c>
      <c r="F307" s="202" t="s">
        <v>344</v>
      </c>
      <c r="G307" s="148" t="str">
        <f>IFERROR(VLOOKUP(F307,Table2[],2,FALSE),"")</f>
        <v>t CO2-ækvivalenter</v>
      </c>
      <c r="H307" s="177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15.99169436748546</v>
      </c>
      <c r="I307" s="177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15.99169436748546</v>
      </c>
      <c r="J307" s="177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15.99169436748546</v>
      </c>
      <c r="K307" s="149"/>
    </row>
    <row r="308" spans="1:11" s="146" customFormat="1" ht="14.7" thickTop="1" x14ac:dyDescent="0.55000000000000004">
      <c r="A308" s="186" t="s">
        <v>305</v>
      </c>
      <c r="B308" s="180" t="s">
        <v>45</v>
      </c>
      <c r="C308" s="180" t="str">
        <f>Organ12</f>
        <v>OC12</v>
      </c>
      <c r="D308" s="144" t="s">
        <v>362</v>
      </c>
      <c r="E308" s="144" t="str">
        <f>IFERROR(VLOOKUP(D308,Table2[],2,FALSE),"")</f>
        <v>Hektar</v>
      </c>
      <c r="F308" s="144" t="s">
        <v>177</v>
      </c>
      <c r="G308" s="144" t="str">
        <f>IFERROR(VLOOKUP(F308,Table2[],2,FALSE),"")</f>
        <v>Ton</v>
      </c>
      <c r="H308" s="176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6.16</v>
      </c>
      <c r="I308" s="176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6.16</v>
      </c>
      <c r="J308" s="176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6.16</v>
      </c>
      <c r="K308" s="145"/>
    </row>
    <row r="309" spans="1:11" s="146" customFormat="1" x14ac:dyDescent="0.55000000000000004">
      <c r="A309" s="187" t="s">
        <v>305</v>
      </c>
      <c r="B309" s="181" t="s">
        <v>45</v>
      </c>
      <c r="C309" s="181" t="str">
        <f>Organ12</f>
        <v>OC12</v>
      </c>
      <c r="D309" s="146" t="s">
        <v>362</v>
      </c>
      <c r="E309" s="146" t="str">
        <f>IFERROR(VLOOKUP(D309,Table2[],2,FALSE),"")</f>
        <v>Hektar</v>
      </c>
      <c r="F309" s="146" t="s">
        <v>37</v>
      </c>
      <c r="G309" s="146" t="str">
        <f>IFERROR(VLOOKUP(F309,Table2[],2,FALSE),"")</f>
        <v>Ton</v>
      </c>
      <c r="H309" s="168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5.5439999999999996</v>
      </c>
      <c r="I309" s="168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5.5439999999999996</v>
      </c>
      <c r="J309" s="168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5.5439999999999996</v>
      </c>
      <c r="K309" s="147"/>
    </row>
    <row r="310" spans="1:11" s="146" customFormat="1" x14ac:dyDescent="0.55000000000000004">
      <c r="A310" s="187" t="s">
        <v>305</v>
      </c>
      <c r="B310" s="181" t="s">
        <v>45</v>
      </c>
      <c r="C310" s="181" t="str">
        <f>Organ12</f>
        <v>OC12</v>
      </c>
      <c r="D310" s="146" t="s">
        <v>362</v>
      </c>
      <c r="E310" s="146" t="str">
        <f>IFERROR(VLOOKUP(D310,Table2[],2,FALSE),"")</f>
        <v>Hektar</v>
      </c>
      <c r="F310" s="146" t="s">
        <v>303</v>
      </c>
      <c r="G310" s="146" t="str">
        <f>IFERROR(VLOOKUP(F310,Table2[],2,FALSE),"")</f>
        <v>kg N</v>
      </c>
      <c r="H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-115</v>
      </c>
      <c r="I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-115</v>
      </c>
      <c r="J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-115</v>
      </c>
      <c r="K310" s="147"/>
    </row>
    <row r="311" spans="1:11" s="146" customFormat="1" ht="14.7" thickBot="1" x14ac:dyDescent="0.6">
      <c r="A311" s="188" t="s">
        <v>305</v>
      </c>
      <c r="B311" s="182" t="s">
        <v>45</v>
      </c>
      <c r="C311" s="182" t="str">
        <f>Organ12</f>
        <v>OC12</v>
      </c>
      <c r="D311" s="148" t="s">
        <v>362</v>
      </c>
      <c r="E311" s="148" t="str">
        <f>IFERROR(VLOOKUP(D311,Table2[],2,FALSE),"")</f>
        <v>Hektar</v>
      </c>
      <c r="F311" s="202" t="s">
        <v>344</v>
      </c>
      <c r="G311" s="148" t="str">
        <f>IFERROR(VLOOKUP(F311,Table2[],2,FALSE),"")</f>
        <v>t CO2-ækvivalenter</v>
      </c>
      <c r="H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I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J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K311" s="149"/>
    </row>
    <row r="312" spans="1:11" s="146" customFormat="1" ht="14.7" thickTop="1" x14ac:dyDescent="0.55000000000000004">
      <c r="A312" s="186" t="s">
        <v>305</v>
      </c>
      <c r="B312" s="180" t="s">
        <v>46</v>
      </c>
      <c r="C312" s="180" t="str">
        <f>Jordbund1</f>
        <v>JB1-10</v>
      </c>
      <c r="D312" s="144" t="s">
        <v>362</v>
      </c>
      <c r="E312" s="144" t="str">
        <f>IFERROR(VLOOKUP(D312,Table2[],2,FALSE),"")</f>
        <v>Hektar</v>
      </c>
      <c r="F312" s="144" t="s">
        <v>177</v>
      </c>
      <c r="G312" s="144" t="str">
        <f>IFERROR(VLOOKUP(F312,Table2[],2,FALSE),"")</f>
        <v>Ton</v>
      </c>
      <c r="H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2.4200000000000004</v>
      </c>
      <c r="I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2.4200000000000004</v>
      </c>
      <c r="J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2.4200000000000004</v>
      </c>
      <c r="K312" s="145"/>
    </row>
    <row r="313" spans="1:11" s="146" customFormat="1" x14ac:dyDescent="0.55000000000000004">
      <c r="A313" s="187" t="s">
        <v>305</v>
      </c>
      <c r="B313" s="181" t="s">
        <v>46</v>
      </c>
      <c r="C313" s="181" t="str">
        <f>Jordbund1</f>
        <v>JB1-10</v>
      </c>
      <c r="D313" s="146" t="s">
        <v>362</v>
      </c>
      <c r="E313" s="146" t="str">
        <f>IFERROR(VLOOKUP(D313,Table2[],2,FALSE),"")</f>
        <v>Hektar</v>
      </c>
      <c r="F313" s="146" t="s">
        <v>37</v>
      </c>
      <c r="G313" s="146" t="str">
        <f>IFERROR(VLOOKUP(F313,Table2[],2,FALSE),"")</f>
        <v>Ton</v>
      </c>
      <c r="H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2.1779999999999999</v>
      </c>
      <c r="I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2.1779999999999999</v>
      </c>
      <c r="J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2.1779999999999999</v>
      </c>
      <c r="K313" s="147"/>
    </row>
    <row r="314" spans="1:11" s="146" customFormat="1" x14ac:dyDescent="0.55000000000000004">
      <c r="A314" s="187" t="s">
        <v>305</v>
      </c>
      <c r="B314" s="181" t="s">
        <v>46</v>
      </c>
      <c r="C314" s="181" t="str">
        <f>Jordbund1</f>
        <v>JB1-10</v>
      </c>
      <c r="D314" s="146" t="s">
        <v>362</v>
      </c>
      <c r="E314" s="146" t="str">
        <f>IFERROR(VLOOKUP(D314,Table2[],2,FALSE),"")</f>
        <v>Hektar</v>
      </c>
      <c r="F314" s="146" t="s">
        <v>303</v>
      </c>
      <c r="G314" s="146" t="str">
        <f>IFERROR(VLOOKUP(F314,Table2[],2,FALSE),"")</f>
        <v>kg N</v>
      </c>
      <c r="H314" s="168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-96.250000000000014</v>
      </c>
      <c r="I314" s="168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-96.250000000000014</v>
      </c>
      <c r="J314" s="168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-96.250000000000014</v>
      </c>
      <c r="K314" s="147"/>
    </row>
    <row r="315" spans="1:11" s="146" customFormat="1" ht="14.7" thickBot="1" x14ac:dyDescent="0.6">
      <c r="A315" s="188" t="s">
        <v>305</v>
      </c>
      <c r="B315" s="182" t="s">
        <v>46</v>
      </c>
      <c r="C315" s="182" t="str">
        <f>Jordbund1</f>
        <v>JB1-10</v>
      </c>
      <c r="D315" s="148" t="s">
        <v>362</v>
      </c>
      <c r="E315" s="148" t="str">
        <f>IFERROR(VLOOKUP(D315,Table2[],2,FALSE),"")</f>
        <v>Hektar</v>
      </c>
      <c r="F315" s="202" t="s">
        <v>344</v>
      </c>
      <c r="G315" s="148" t="str">
        <f>IFERROR(VLOOKUP(F315,Table2[],2,FALSE),"")</f>
        <v>t CO2-ækvivalenter</v>
      </c>
      <c r="H315" s="177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2.2736943674854606</v>
      </c>
      <c r="I315" s="177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2.2736943674854606</v>
      </c>
      <c r="J315" s="177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2.2736943674854606</v>
      </c>
      <c r="K315" s="149"/>
    </row>
    <row r="316" spans="1:11" s="146" customFormat="1" ht="14.7" thickTop="1" x14ac:dyDescent="0.55000000000000004">
      <c r="A316" s="186" t="s">
        <v>305</v>
      </c>
      <c r="B316" s="180" t="s">
        <v>46</v>
      </c>
      <c r="C316" s="180" t="str">
        <f>Organ6</f>
        <v>OC6</v>
      </c>
      <c r="D316" s="144" t="s">
        <v>362</v>
      </c>
      <c r="E316" s="144" t="str">
        <f>IFERROR(VLOOKUP(D316,Table2[],2,FALSE),"")</f>
        <v>Hektar</v>
      </c>
      <c r="F316" s="144" t="s">
        <v>177</v>
      </c>
      <c r="G316" s="144" t="str">
        <f>IFERROR(VLOOKUP(F316,Table2[],2,FALSE),"")</f>
        <v>Ton</v>
      </c>
      <c r="H316" s="176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2.9040000000000004</v>
      </c>
      <c r="I316" s="176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2.9040000000000004</v>
      </c>
      <c r="J316" s="176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2.9040000000000004</v>
      </c>
      <c r="K316" s="145"/>
    </row>
    <row r="317" spans="1:11" s="146" customFormat="1" x14ac:dyDescent="0.55000000000000004">
      <c r="A317" s="187" t="s">
        <v>305</v>
      </c>
      <c r="B317" s="181" t="s">
        <v>46</v>
      </c>
      <c r="C317" s="181" t="str">
        <f>Organ6</f>
        <v>OC6</v>
      </c>
      <c r="D317" s="146" t="s">
        <v>362</v>
      </c>
      <c r="E317" s="146" t="str">
        <f>IFERROR(VLOOKUP(D317,Table2[],2,FALSE),"")</f>
        <v>Hektar</v>
      </c>
      <c r="F317" s="146" t="s">
        <v>37</v>
      </c>
      <c r="G317" s="146" t="str">
        <f>IFERROR(VLOOKUP(F317,Table2[],2,FALSE),"")</f>
        <v>Ton</v>
      </c>
      <c r="H317" s="168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2.6135999999999999</v>
      </c>
      <c r="I317" s="168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2.6135999999999999</v>
      </c>
      <c r="J317" s="168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2.6135999999999999</v>
      </c>
      <c r="K317" s="147"/>
    </row>
    <row r="318" spans="1:11" s="146" customFormat="1" x14ac:dyDescent="0.55000000000000004">
      <c r="A318" s="187" t="s">
        <v>305</v>
      </c>
      <c r="B318" s="181" t="s">
        <v>46</v>
      </c>
      <c r="C318" s="181" t="str">
        <f>Organ6</f>
        <v>OC6</v>
      </c>
      <c r="D318" s="146" t="s">
        <v>362</v>
      </c>
      <c r="E318" s="146" t="str">
        <f>IFERROR(VLOOKUP(D318,Table2[],2,FALSE),"")</f>
        <v>Hektar</v>
      </c>
      <c r="F318" s="146" t="s">
        <v>303</v>
      </c>
      <c r="G318" s="146" t="str">
        <f>IFERROR(VLOOKUP(F318,Table2[],2,FALSE),"")</f>
        <v>kg N</v>
      </c>
      <c r="H318" s="168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-79.75</v>
      </c>
      <c r="I318" s="168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-79.75</v>
      </c>
      <c r="J318" s="168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-79.75</v>
      </c>
      <c r="K318" s="147"/>
    </row>
    <row r="319" spans="1:11" s="146" customFormat="1" ht="14.7" thickBot="1" x14ac:dyDescent="0.6">
      <c r="A319" s="188" t="s">
        <v>305</v>
      </c>
      <c r="B319" s="182" t="s">
        <v>46</v>
      </c>
      <c r="C319" s="182" t="str">
        <f>Organ6</f>
        <v>OC6</v>
      </c>
      <c r="D319" s="148" t="s">
        <v>362</v>
      </c>
      <c r="E319" s="148" t="str">
        <f>IFERROR(VLOOKUP(D319,Table2[],2,FALSE),"")</f>
        <v>Hektar</v>
      </c>
      <c r="F319" s="202" t="s">
        <v>344</v>
      </c>
      <c r="G319" s="148" t="str">
        <f>IFERROR(VLOOKUP(F319,Table2[],2,FALSE),"")</f>
        <v>t CO2-ækvivalenter</v>
      </c>
      <c r="H319" s="177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15.99169436748546</v>
      </c>
      <c r="I319" s="177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15.99169436748546</v>
      </c>
      <c r="J319" s="177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15.99169436748546</v>
      </c>
      <c r="K319" s="149"/>
    </row>
    <row r="320" spans="1:11" s="146" customFormat="1" ht="14.7" thickTop="1" x14ac:dyDescent="0.55000000000000004">
      <c r="A320" s="186" t="s">
        <v>305</v>
      </c>
      <c r="B320" s="180" t="s">
        <v>46</v>
      </c>
      <c r="C320" s="180" t="str">
        <f>Organ12</f>
        <v>OC12</v>
      </c>
      <c r="D320" s="144" t="s">
        <v>362</v>
      </c>
      <c r="E320" s="144" t="str">
        <f>IFERROR(VLOOKUP(D320,Table2[],2,FALSE),"")</f>
        <v>Hektar</v>
      </c>
      <c r="F320" s="144" t="s">
        <v>177</v>
      </c>
      <c r="G320" s="144" t="str">
        <f>IFERROR(VLOOKUP(F320,Table2[],2,FALSE),"")</f>
        <v>Ton</v>
      </c>
      <c r="H320" s="176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3.3880000000000003</v>
      </c>
      <c r="I320" s="176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3.3880000000000003</v>
      </c>
      <c r="J320" s="176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3.3880000000000003</v>
      </c>
      <c r="K320" s="145"/>
    </row>
    <row r="321" spans="1:11" s="146" customFormat="1" x14ac:dyDescent="0.55000000000000004">
      <c r="A321" s="187" t="s">
        <v>305</v>
      </c>
      <c r="B321" s="181" t="s">
        <v>46</v>
      </c>
      <c r="C321" s="181" t="str">
        <f>Organ12</f>
        <v>OC12</v>
      </c>
      <c r="D321" s="146" t="s">
        <v>362</v>
      </c>
      <c r="E321" s="146" t="str">
        <f>IFERROR(VLOOKUP(D321,Table2[],2,FALSE),"")</f>
        <v>Hektar</v>
      </c>
      <c r="F321" s="146" t="s">
        <v>37</v>
      </c>
      <c r="G321" s="146" t="str">
        <f>IFERROR(VLOOKUP(F321,Table2[],2,FALSE),"")</f>
        <v>Ton</v>
      </c>
      <c r="H321" s="168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3.0491999999999999</v>
      </c>
      <c r="I321" s="168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3.0491999999999999</v>
      </c>
      <c r="J321" s="168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3.0491999999999999</v>
      </c>
      <c r="K321" s="147"/>
    </row>
    <row r="322" spans="1:11" s="146" customFormat="1" x14ac:dyDescent="0.55000000000000004">
      <c r="A322" s="187" t="s">
        <v>305</v>
      </c>
      <c r="B322" s="181" t="s">
        <v>46</v>
      </c>
      <c r="C322" s="181" t="str">
        <f>Organ12</f>
        <v>OC12</v>
      </c>
      <c r="D322" s="146" t="s">
        <v>362</v>
      </c>
      <c r="E322" s="146" t="str">
        <f>IFERROR(VLOOKUP(D322,Table2[],2,FALSE),"")</f>
        <v>Hektar</v>
      </c>
      <c r="F322" s="146" t="s">
        <v>303</v>
      </c>
      <c r="G322" s="146" t="str">
        <f>IFERROR(VLOOKUP(F322,Table2[],2,FALSE),"")</f>
        <v>kg N</v>
      </c>
      <c r="H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-63.250000000000007</v>
      </c>
      <c r="I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-63.250000000000007</v>
      </c>
      <c r="J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-63.250000000000007</v>
      </c>
      <c r="K322" s="147"/>
    </row>
    <row r="323" spans="1:11" s="146" customFormat="1" ht="14.7" thickBot="1" x14ac:dyDescent="0.6">
      <c r="A323" s="188" t="s">
        <v>305</v>
      </c>
      <c r="B323" s="182" t="s">
        <v>46</v>
      </c>
      <c r="C323" s="182" t="str">
        <f>Organ12</f>
        <v>OC12</v>
      </c>
      <c r="D323" s="148" t="s">
        <v>362</v>
      </c>
      <c r="E323" s="148" t="str">
        <f>IFERROR(VLOOKUP(D323,Table2[],2,FALSE),"")</f>
        <v>Hektar</v>
      </c>
      <c r="F323" s="202" t="s">
        <v>344</v>
      </c>
      <c r="G323" s="148" t="str">
        <f>IFERROR(VLOOKUP(F323,Table2[],2,FALSE),"")</f>
        <v>t CO2-ækvivalenter</v>
      </c>
      <c r="H323" s="177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40.951694367485452</v>
      </c>
      <c r="I323" s="177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40.951694367485452</v>
      </c>
      <c r="J323" s="177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40.951694367485452</v>
      </c>
      <c r="K323" s="149"/>
    </row>
    <row r="324" spans="1:11" s="146" customFormat="1" ht="14.7" thickTop="1" x14ac:dyDescent="0.55000000000000004">
      <c r="A324" s="187" t="s">
        <v>306</v>
      </c>
      <c r="B324" s="181" t="s">
        <v>45</v>
      </c>
      <c r="C324" s="181" t="str">
        <f>Jordbund1</f>
        <v>JB1-10</v>
      </c>
      <c r="D324" s="146" t="s">
        <v>354</v>
      </c>
      <c r="E324" s="146" t="str">
        <f>IFERROR(VLOOKUP(D324,Table2[],2,FALSE),"")</f>
        <v>Hektar</v>
      </c>
      <c r="F324" s="146" t="s">
        <v>307</v>
      </c>
      <c r="G324" s="146" t="str">
        <f>IFERROR(VLOOKUP(F324,Table2[],2,FALSE),"")</f>
        <v>Ton</v>
      </c>
      <c r="H324" s="168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14.288860759493669</v>
      </c>
      <c r="I324" s="168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14.288860759493669</v>
      </c>
      <c r="J324" s="168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14.288860759493669</v>
      </c>
      <c r="K324" s="147"/>
    </row>
    <row r="325" spans="1:11" s="146" customFormat="1" x14ac:dyDescent="0.55000000000000004">
      <c r="A325" s="187" t="s">
        <v>306</v>
      </c>
      <c r="B325" s="181" t="s">
        <v>45</v>
      </c>
      <c r="C325" s="181" t="str">
        <f>Jordbund1</f>
        <v>JB1-10</v>
      </c>
      <c r="D325" s="146" t="s">
        <v>354</v>
      </c>
      <c r="E325" s="146" t="str">
        <f>IFERROR(VLOOKUP(D325,Table2[],2,FALSE),"")</f>
        <v>Hektar</v>
      </c>
      <c r="F325" s="146" t="s">
        <v>37</v>
      </c>
      <c r="G325" s="146" t="str">
        <f>IFERROR(VLOOKUP(F325,Table2[],2,FALSE),"")</f>
        <v>Ton</v>
      </c>
      <c r="H325" s="168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4</v>
      </c>
      <c r="I325" s="168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4</v>
      </c>
      <c r="J325" s="168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4</v>
      </c>
      <c r="K325" s="147"/>
    </row>
    <row r="326" spans="1:11" s="146" customFormat="1" x14ac:dyDescent="0.55000000000000004">
      <c r="A326" s="187" t="s">
        <v>306</v>
      </c>
      <c r="B326" s="181" t="s">
        <v>45</v>
      </c>
      <c r="C326" s="181" t="str">
        <f>Jordbund1</f>
        <v>JB1-10</v>
      </c>
      <c r="D326" s="146" t="s">
        <v>354</v>
      </c>
      <c r="E326" s="146" t="str">
        <f>IFERROR(VLOOKUP(D326,Table2[],2,FALSE),"")</f>
        <v>Hektar</v>
      </c>
      <c r="F326" s="146" t="s">
        <v>303</v>
      </c>
      <c r="G326" s="146" t="str">
        <f>IFERROR(VLOOKUP(F326,Table2[],2,FALSE),"")</f>
        <v>kg N</v>
      </c>
      <c r="H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-150</v>
      </c>
      <c r="I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-150</v>
      </c>
      <c r="J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-150</v>
      </c>
      <c r="K326" s="147"/>
    </row>
    <row r="327" spans="1:11" s="146" customFormat="1" ht="14.7" thickBot="1" x14ac:dyDescent="0.6">
      <c r="A327" s="188" t="s">
        <v>306</v>
      </c>
      <c r="B327" s="182" t="s">
        <v>45</v>
      </c>
      <c r="C327" s="182" t="str">
        <f>Jordbund1</f>
        <v>JB1-10</v>
      </c>
      <c r="D327" s="148" t="s">
        <v>354</v>
      </c>
      <c r="E327" s="148" t="str">
        <f>IFERROR(VLOOKUP(D327,Table2[],2,FALSE),"")</f>
        <v>Hektar</v>
      </c>
      <c r="F327" s="202" t="s">
        <v>344</v>
      </c>
      <c r="G327" s="148" t="str">
        <f>IFERROR(VLOOKUP(F327,Table2[],2,FALSE),"")</f>
        <v>t CO2-ækvivalenter</v>
      </c>
      <c r="H327" s="177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2.2736943674854606</v>
      </c>
      <c r="I327" s="177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2.2736943674854606</v>
      </c>
      <c r="J327" s="177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2.2736943674854606</v>
      </c>
      <c r="K327" s="149"/>
    </row>
    <row r="328" spans="1:11" s="146" customFormat="1" ht="14.7" thickTop="1" x14ac:dyDescent="0.55000000000000004">
      <c r="A328" s="186" t="s">
        <v>306</v>
      </c>
      <c r="B328" s="180" t="s">
        <v>45</v>
      </c>
      <c r="C328" s="180" t="str">
        <f>Organ6</f>
        <v>OC6</v>
      </c>
      <c r="D328" s="144" t="s">
        <v>354</v>
      </c>
      <c r="E328" s="144" t="str">
        <f>IFERROR(VLOOKUP(D328,Table2[],2,FALSE),"")</f>
        <v>Hektar</v>
      </c>
      <c r="F328" s="144" t="s">
        <v>307</v>
      </c>
      <c r="G328" s="144" t="str">
        <f>IFERROR(VLOOKUP(F328,Table2[],2,FALSE),"")</f>
        <v>Ton</v>
      </c>
      <c r="H328" s="176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17.146632911392402</v>
      </c>
      <c r="I328" s="176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17.146632911392402</v>
      </c>
      <c r="J328" s="176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17.146632911392402</v>
      </c>
      <c r="K328" s="145"/>
    </row>
    <row r="329" spans="1:11" s="146" customFormat="1" x14ac:dyDescent="0.55000000000000004">
      <c r="A329" s="187" t="s">
        <v>306</v>
      </c>
      <c r="B329" s="181" t="s">
        <v>45</v>
      </c>
      <c r="C329" s="181" t="str">
        <f>Organ6</f>
        <v>OC6</v>
      </c>
      <c r="D329" s="146" t="s">
        <v>354</v>
      </c>
      <c r="E329" s="146" t="str">
        <f>IFERROR(VLOOKUP(D329,Table2[],2,FALSE),"")</f>
        <v>Hektar</v>
      </c>
      <c r="F329" s="146" t="s">
        <v>37</v>
      </c>
      <c r="G329" s="146" t="str">
        <f>IFERROR(VLOOKUP(F329,Table2[],2,FALSE),"")</f>
        <v>Ton</v>
      </c>
      <c r="H329" s="168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4.8</v>
      </c>
      <c r="I329" s="168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4.8</v>
      </c>
      <c r="J329" s="168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4.8</v>
      </c>
      <c r="K329" s="147"/>
    </row>
    <row r="330" spans="1:11" s="146" customFormat="1" x14ac:dyDescent="0.55000000000000004">
      <c r="A330" s="187" t="s">
        <v>306</v>
      </c>
      <c r="B330" s="181" t="s">
        <v>45</v>
      </c>
      <c r="C330" s="181" t="str">
        <f>Organ6</f>
        <v>OC6</v>
      </c>
      <c r="D330" s="146" t="s">
        <v>354</v>
      </c>
      <c r="E330" s="146" t="str">
        <f>IFERROR(VLOOKUP(D330,Table2[],2,FALSE),"")</f>
        <v>Hektar</v>
      </c>
      <c r="F330" s="146" t="s">
        <v>303</v>
      </c>
      <c r="G330" s="146" t="str">
        <f>IFERROR(VLOOKUP(F330,Table2[],2,FALSE),"")</f>
        <v>kg N</v>
      </c>
      <c r="H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-135</v>
      </c>
      <c r="I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-135</v>
      </c>
      <c r="J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-135</v>
      </c>
      <c r="K330" s="147"/>
    </row>
    <row r="331" spans="1:11" s="146" customFormat="1" ht="14.7" thickBot="1" x14ac:dyDescent="0.6">
      <c r="A331" s="188" t="s">
        <v>306</v>
      </c>
      <c r="B331" s="182" t="s">
        <v>45</v>
      </c>
      <c r="C331" s="182" t="str">
        <f>Organ6</f>
        <v>OC6</v>
      </c>
      <c r="D331" s="148" t="s">
        <v>354</v>
      </c>
      <c r="E331" s="148" t="str">
        <f>IFERROR(VLOOKUP(D331,Table2[],2,FALSE),"")</f>
        <v>Hektar</v>
      </c>
      <c r="F331" s="202" t="s">
        <v>344</v>
      </c>
      <c r="G331" s="148" t="str">
        <f>IFERROR(VLOOKUP(F331,Table2[],2,FALSE),"")</f>
        <v>t CO2-ækvivalenter</v>
      </c>
      <c r="H331" s="177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15.99169436748546</v>
      </c>
      <c r="I331" s="177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15.99169436748546</v>
      </c>
      <c r="J331" s="177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15.99169436748546</v>
      </c>
      <c r="K331" s="149"/>
    </row>
    <row r="332" spans="1:11" s="146" customFormat="1" ht="14.7" thickTop="1" x14ac:dyDescent="0.55000000000000004">
      <c r="A332" s="186" t="s">
        <v>306</v>
      </c>
      <c r="B332" s="180" t="s">
        <v>45</v>
      </c>
      <c r="C332" s="180" t="str">
        <f>Organ12</f>
        <v>OC12</v>
      </c>
      <c r="D332" s="144" t="s">
        <v>354</v>
      </c>
      <c r="E332" s="144" t="str">
        <f>IFERROR(VLOOKUP(D332,Table2[],2,FALSE),"")</f>
        <v>Hektar</v>
      </c>
      <c r="F332" s="144" t="s">
        <v>307</v>
      </c>
      <c r="G332" s="144" t="str">
        <f>IFERROR(VLOOKUP(F332,Table2[],2,FALSE),"")</f>
        <v>Ton</v>
      </c>
      <c r="H332" s="176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20.004405063291134</v>
      </c>
      <c r="I332" s="176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20.004405063291134</v>
      </c>
      <c r="J332" s="176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20.004405063291134</v>
      </c>
      <c r="K332" s="145"/>
    </row>
    <row r="333" spans="1:11" s="146" customFormat="1" x14ac:dyDescent="0.55000000000000004">
      <c r="A333" s="187" t="s">
        <v>306</v>
      </c>
      <c r="B333" s="181" t="s">
        <v>45</v>
      </c>
      <c r="C333" s="181" t="str">
        <f>Organ12</f>
        <v>OC12</v>
      </c>
      <c r="D333" s="146" t="s">
        <v>354</v>
      </c>
      <c r="E333" s="146" t="str">
        <f>IFERROR(VLOOKUP(D333,Table2[],2,FALSE),"")</f>
        <v>Hektar</v>
      </c>
      <c r="F333" s="146" t="s">
        <v>37</v>
      </c>
      <c r="G333" s="146" t="str">
        <f>IFERROR(VLOOKUP(F333,Table2[],2,FALSE),"")</f>
        <v>Ton</v>
      </c>
      <c r="H333" s="168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5.6</v>
      </c>
      <c r="I333" s="168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5.6</v>
      </c>
      <c r="J333" s="168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5.6</v>
      </c>
      <c r="K333" s="147"/>
    </row>
    <row r="334" spans="1:11" s="146" customFormat="1" x14ac:dyDescent="0.55000000000000004">
      <c r="A334" s="187" t="s">
        <v>306</v>
      </c>
      <c r="B334" s="181" t="s">
        <v>45</v>
      </c>
      <c r="C334" s="181" t="str">
        <f>Organ12</f>
        <v>OC12</v>
      </c>
      <c r="D334" s="146" t="s">
        <v>354</v>
      </c>
      <c r="E334" s="146" t="str">
        <f>IFERROR(VLOOKUP(D334,Table2[],2,FALSE),"")</f>
        <v>Hektar</v>
      </c>
      <c r="F334" s="146" t="s">
        <v>303</v>
      </c>
      <c r="G334" s="146" t="str">
        <f>IFERROR(VLOOKUP(F334,Table2[],2,FALSE),"")</f>
        <v>kg N</v>
      </c>
      <c r="H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-120</v>
      </c>
      <c r="I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-120</v>
      </c>
      <c r="J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-120</v>
      </c>
      <c r="K334" s="147"/>
    </row>
    <row r="335" spans="1:11" s="146" customFormat="1" ht="14.7" thickBot="1" x14ac:dyDescent="0.6">
      <c r="A335" s="188" t="s">
        <v>306</v>
      </c>
      <c r="B335" s="182" t="s">
        <v>45</v>
      </c>
      <c r="C335" s="182" t="str">
        <f>Organ12</f>
        <v>OC12</v>
      </c>
      <c r="D335" s="148" t="s">
        <v>354</v>
      </c>
      <c r="E335" s="148" t="str">
        <f>IFERROR(VLOOKUP(D335,Table2[],2,FALSE),"")</f>
        <v>Hektar</v>
      </c>
      <c r="F335" s="202" t="s">
        <v>344</v>
      </c>
      <c r="G335" s="148" t="str">
        <f>IFERROR(VLOOKUP(F335,Table2[],2,FALSE),"")</f>
        <v>t CO2-ækvivalenter</v>
      </c>
      <c r="H335" s="177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40.951694367485452</v>
      </c>
      <c r="I335" s="177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40.951694367485452</v>
      </c>
      <c r="J335" s="177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40.951694367485452</v>
      </c>
      <c r="K335" s="149"/>
    </row>
    <row r="336" spans="1:11" s="146" customFormat="1" ht="14.7" thickTop="1" x14ac:dyDescent="0.55000000000000004">
      <c r="A336" s="186" t="s">
        <v>306</v>
      </c>
      <c r="B336" s="180" t="s">
        <v>46</v>
      </c>
      <c r="C336" s="180" t="str">
        <f>Jordbund1</f>
        <v>JB1-10</v>
      </c>
      <c r="D336" s="144" t="s">
        <v>354</v>
      </c>
      <c r="E336" s="144" t="str">
        <f>IFERROR(VLOOKUP(D336,Table2[],2,FALSE),"")</f>
        <v>Hektar</v>
      </c>
      <c r="F336" s="144" t="s">
        <v>307</v>
      </c>
      <c r="G336" s="144" t="str">
        <f>IFERROR(VLOOKUP(F336,Table2[],2,FALSE),"")</f>
        <v>Ton</v>
      </c>
      <c r="H336" s="176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8.1446506329113912</v>
      </c>
      <c r="I336" s="176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8.1446506329113912</v>
      </c>
      <c r="J336" s="176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8.1446506329113912</v>
      </c>
      <c r="K336" s="145"/>
    </row>
    <row r="337" spans="1:11" s="146" customFormat="1" x14ac:dyDescent="0.55000000000000004">
      <c r="A337" s="187" t="s">
        <v>306</v>
      </c>
      <c r="B337" s="181" t="s">
        <v>46</v>
      </c>
      <c r="C337" s="181" t="str">
        <f>Jordbund1</f>
        <v>JB1-10</v>
      </c>
      <c r="D337" s="146" t="s">
        <v>354</v>
      </c>
      <c r="E337" s="146" t="str">
        <f>IFERROR(VLOOKUP(D337,Table2[],2,FALSE),"")</f>
        <v>Hektar</v>
      </c>
      <c r="F337" s="146" t="s">
        <v>37</v>
      </c>
      <c r="G337" s="146" t="str">
        <f>IFERROR(VLOOKUP(F337,Table2[],2,FALSE),"")</f>
        <v>Ton</v>
      </c>
      <c r="H337" s="168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2.2799999999999998</v>
      </c>
      <c r="I337" s="168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2.2799999999999998</v>
      </c>
      <c r="J337" s="168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2.2799999999999998</v>
      </c>
      <c r="K337" s="147"/>
    </row>
    <row r="338" spans="1:11" s="146" customFormat="1" x14ac:dyDescent="0.55000000000000004">
      <c r="A338" s="187" t="s">
        <v>306</v>
      </c>
      <c r="B338" s="181" t="s">
        <v>46</v>
      </c>
      <c r="C338" s="181" t="str">
        <f>Jordbund1</f>
        <v>JB1-10</v>
      </c>
      <c r="D338" s="146" t="s">
        <v>354</v>
      </c>
      <c r="E338" s="146" t="str">
        <f>IFERROR(VLOOKUP(D338,Table2[],2,FALSE),"")</f>
        <v>Hektar</v>
      </c>
      <c r="F338" s="146" t="s">
        <v>303</v>
      </c>
      <c r="G338" s="146" t="str">
        <f>IFERROR(VLOOKUP(F338,Table2[],2,FALSE),"")</f>
        <v>kg N</v>
      </c>
      <c r="H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-85.499999999999986</v>
      </c>
      <c r="I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-85.499999999999986</v>
      </c>
      <c r="J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-85.499999999999986</v>
      </c>
      <c r="K338" s="147"/>
    </row>
    <row r="339" spans="1:11" s="146" customFormat="1" ht="14.7" thickBot="1" x14ac:dyDescent="0.6">
      <c r="A339" s="188" t="s">
        <v>306</v>
      </c>
      <c r="B339" s="182" t="s">
        <v>46</v>
      </c>
      <c r="C339" s="182" t="str">
        <f>Jordbund1</f>
        <v>JB1-10</v>
      </c>
      <c r="D339" s="148" t="s">
        <v>354</v>
      </c>
      <c r="E339" s="148" t="str">
        <f>IFERROR(VLOOKUP(D339,Table2[],2,FALSE),"")</f>
        <v>Hektar</v>
      </c>
      <c r="F339" s="202" t="s">
        <v>344</v>
      </c>
      <c r="G339" s="148" t="str">
        <f>IFERROR(VLOOKUP(F339,Table2[],2,FALSE),"")</f>
        <v>t CO2-ækvivalenter</v>
      </c>
      <c r="H339" s="177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2.2736943674854606</v>
      </c>
      <c r="I339" s="177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2.2736943674854606</v>
      </c>
      <c r="J339" s="177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2.2736943674854606</v>
      </c>
      <c r="K339" s="149"/>
    </row>
    <row r="340" spans="1:11" s="146" customFormat="1" ht="14.7" thickTop="1" x14ac:dyDescent="0.55000000000000004">
      <c r="A340" s="186" t="s">
        <v>306</v>
      </c>
      <c r="B340" s="180" t="s">
        <v>46</v>
      </c>
      <c r="C340" s="180" t="str">
        <f>Organ6</f>
        <v>OC6</v>
      </c>
      <c r="D340" s="144" t="s">
        <v>354</v>
      </c>
      <c r="E340" s="144" t="str">
        <f>IFERROR(VLOOKUP(D340,Table2[],2,FALSE),"")</f>
        <v>Hektar</v>
      </c>
      <c r="F340" s="144" t="s">
        <v>307</v>
      </c>
      <c r="G340" s="144" t="str">
        <f>IFERROR(VLOOKUP(F340,Table2[],2,FALSE),"")</f>
        <v>Ton</v>
      </c>
      <c r="H340" s="176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9.7735807594936688</v>
      </c>
      <c r="I340" s="176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9.7735807594936688</v>
      </c>
      <c r="J340" s="176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9.7735807594936688</v>
      </c>
      <c r="K340" s="145"/>
    </row>
    <row r="341" spans="1:11" s="146" customFormat="1" x14ac:dyDescent="0.55000000000000004">
      <c r="A341" s="187" t="s">
        <v>306</v>
      </c>
      <c r="B341" s="181" t="s">
        <v>46</v>
      </c>
      <c r="C341" s="181" t="str">
        <f>Organ6</f>
        <v>OC6</v>
      </c>
      <c r="D341" s="146" t="s">
        <v>354</v>
      </c>
      <c r="E341" s="146" t="str">
        <f>IFERROR(VLOOKUP(D341,Table2[],2,FALSE),"")</f>
        <v>Hektar</v>
      </c>
      <c r="F341" s="146" t="s">
        <v>37</v>
      </c>
      <c r="G341" s="146" t="str">
        <f>IFERROR(VLOOKUP(F341,Table2[],2,FALSE),"")</f>
        <v>Ton</v>
      </c>
      <c r="H341" s="168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2.7359999999999998</v>
      </c>
      <c r="I341" s="168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2.7359999999999998</v>
      </c>
      <c r="J341" s="168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2.7359999999999998</v>
      </c>
      <c r="K341" s="147"/>
    </row>
    <row r="342" spans="1:11" s="146" customFormat="1" x14ac:dyDescent="0.55000000000000004">
      <c r="A342" s="187" t="s">
        <v>306</v>
      </c>
      <c r="B342" s="181" t="s">
        <v>46</v>
      </c>
      <c r="C342" s="181" t="str">
        <f>Organ6</f>
        <v>OC6</v>
      </c>
      <c r="D342" s="146" t="s">
        <v>354</v>
      </c>
      <c r="E342" s="146" t="str">
        <f>IFERROR(VLOOKUP(D342,Table2[],2,FALSE),"")</f>
        <v>Hektar</v>
      </c>
      <c r="F342" s="146" t="s">
        <v>303</v>
      </c>
      <c r="G342" s="146" t="str">
        <f>IFERROR(VLOOKUP(F342,Table2[],2,FALSE),"")</f>
        <v>kg N</v>
      </c>
      <c r="H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-76.949999999999989</v>
      </c>
      <c r="I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-76.949999999999989</v>
      </c>
      <c r="J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-76.949999999999989</v>
      </c>
      <c r="K342" s="147"/>
    </row>
    <row r="343" spans="1:11" s="146" customFormat="1" ht="14.7" thickBot="1" x14ac:dyDescent="0.6">
      <c r="A343" s="188" t="s">
        <v>306</v>
      </c>
      <c r="B343" s="182" t="s">
        <v>46</v>
      </c>
      <c r="C343" s="182" t="str">
        <f>Organ6</f>
        <v>OC6</v>
      </c>
      <c r="D343" s="148" t="s">
        <v>354</v>
      </c>
      <c r="E343" s="148" t="str">
        <f>IFERROR(VLOOKUP(D343,Table2[],2,FALSE),"")</f>
        <v>Hektar</v>
      </c>
      <c r="F343" s="202" t="s">
        <v>344</v>
      </c>
      <c r="G343" s="148" t="str">
        <f>IFERROR(VLOOKUP(F343,Table2[],2,FALSE),"")</f>
        <v>t CO2-ækvivalenter</v>
      </c>
      <c r="H343" s="177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15.99169436748546</v>
      </c>
      <c r="I343" s="177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15.99169436748546</v>
      </c>
      <c r="J343" s="177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15.99169436748546</v>
      </c>
      <c r="K343" s="149"/>
    </row>
    <row r="344" spans="1:11" s="146" customFormat="1" ht="14.7" thickTop="1" x14ac:dyDescent="0.55000000000000004">
      <c r="A344" s="186" t="s">
        <v>306</v>
      </c>
      <c r="B344" s="180" t="s">
        <v>46</v>
      </c>
      <c r="C344" s="180" t="str">
        <f>Organ12</f>
        <v>OC12</v>
      </c>
      <c r="D344" s="144" t="s">
        <v>354</v>
      </c>
      <c r="E344" s="144" t="str">
        <f>IFERROR(VLOOKUP(D344,Table2[],2,FALSE),"")</f>
        <v>Hektar</v>
      </c>
      <c r="F344" s="144" t="s">
        <v>307</v>
      </c>
      <c r="G344" s="144" t="str">
        <f>IFERROR(VLOOKUP(F344,Table2[],2,FALSE),"")</f>
        <v>Ton</v>
      </c>
      <c r="H344" s="176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11.402510886075946</v>
      </c>
      <c r="I344" s="176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11.402510886075946</v>
      </c>
      <c r="J344" s="176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11.402510886075946</v>
      </c>
      <c r="K344" s="145"/>
    </row>
    <row r="345" spans="1:11" s="146" customFormat="1" x14ac:dyDescent="0.55000000000000004">
      <c r="A345" s="187" t="s">
        <v>306</v>
      </c>
      <c r="B345" s="181" t="s">
        <v>46</v>
      </c>
      <c r="C345" s="181" t="str">
        <f>Organ12</f>
        <v>OC12</v>
      </c>
      <c r="D345" s="146" t="s">
        <v>354</v>
      </c>
      <c r="E345" s="146" t="str">
        <f>IFERROR(VLOOKUP(D345,Table2[],2,FALSE),"")</f>
        <v>Hektar</v>
      </c>
      <c r="F345" s="146" t="s">
        <v>37</v>
      </c>
      <c r="G345" s="146" t="str">
        <f>IFERROR(VLOOKUP(F345,Table2[],2,FALSE),"")</f>
        <v>Ton</v>
      </c>
      <c r="H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3.1919999999999997</v>
      </c>
      <c r="I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3.1919999999999997</v>
      </c>
      <c r="J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3.1919999999999997</v>
      </c>
      <c r="K345" s="147"/>
    </row>
    <row r="346" spans="1:11" s="146" customFormat="1" x14ac:dyDescent="0.55000000000000004">
      <c r="A346" s="187" t="s">
        <v>306</v>
      </c>
      <c r="B346" s="181" t="s">
        <v>46</v>
      </c>
      <c r="C346" s="181" t="str">
        <f>Organ12</f>
        <v>OC12</v>
      </c>
      <c r="D346" s="146" t="s">
        <v>354</v>
      </c>
      <c r="E346" s="146" t="str">
        <f>IFERROR(VLOOKUP(D346,Table2[],2,FALSE),"")</f>
        <v>Hektar</v>
      </c>
      <c r="F346" s="146" t="s">
        <v>303</v>
      </c>
      <c r="G346" s="146" t="str">
        <f>IFERROR(VLOOKUP(F346,Table2[],2,FALSE),"")</f>
        <v>kg N</v>
      </c>
      <c r="H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-68.399999999999991</v>
      </c>
      <c r="I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-68.399999999999991</v>
      </c>
      <c r="J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-68.399999999999991</v>
      </c>
      <c r="K346" s="147"/>
    </row>
    <row r="347" spans="1:11" s="146" customFormat="1" ht="14.7" thickBot="1" x14ac:dyDescent="0.6">
      <c r="A347" s="188" t="s">
        <v>306</v>
      </c>
      <c r="B347" s="182" t="s">
        <v>46</v>
      </c>
      <c r="C347" s="182" t="str">
        <f>Organ12</f>
        <v>OC12</v>
      </c>
      <c r="D347" s="148" t="s">
        <v>354</v>
      </c>
      <c r="E347" s="148" t="str">
        <f>IFERROR(VLOOKUP(D347,Table2[],2,FALSE),"")</f>
        <v>Hektar</v>
      </c>
      <c r="F347" s="202" t="s">
        <v>344</v>
      </c>
      <c r="G347" s="148" t="str">
        <f>IFERROR(VLOOKUP(F347,Table2[],2,FALSE),"")</f>
        <v>t CO2-ækvivalenter</v>
      </c>
      <c r="H347" s="177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40.951694367485452</v>
      </c>
      <c r="I347" s="177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40.951694367485452</v>
      </c>
      <c r="J347" s="177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40.951694367485452</v>
      </c>
      <c r="K347" s="149"/>
    </row>
    <row r="348" spans="1:11" s="146" customFormat="1" ht="14.7" thickTop="1" x14ac:dyDescent="0.55000000000000004">
      <c r="A348" s="186" t="s">
        <v>550</v>
      </c>
      <c r="B348" s="180" t="s">
        <v>45</v>
      </c>
      <c r="C348" s="180" t="str">
        <f>Jordbund1</f>
        <v>JB1-10</v>
      </c>
      <c r="D348" s="144" t="s">
        <v>549</v>
      </c>
      <c r="E348" s="144" t="str">
        <f>IFERROR(VLOOKUP(D348,Table2[],2,FALSE),"")</f>
        <v>Hektar</v>
      </c>
      <c r="F348" s="144" t="s">
        <v>148</v>
      </c>
      <c r="G348" s="144" t="str">
        <f>IFERROR(VLOOKUP(F348,Table2[],2,FALSE),"")</f>
        <v>Ton</v>
      </c>
      <c r="H348" s="176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50</v>
      </c>
      <c r="I348" s="176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50</v>
      </c>
      <c r="J348" s="176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50</v>
      </c>
      <c r="K348" s="145"/>
    </row>
    <row r="349" spans="1:11" s="146" customFormat="1" x14ac:dyDescent="0.55000000000000004">
      <c r="A349" s="187" t="s">
        <v>550</v>
      </c>
      <c r="B349" s="181" t="s">
        <v>45</v>
      </c>
      <c r="C349" s="181" t="str">
        <f>Jordbund1</f>
        <v>JB1-10</v>
      </c>
      <c r="D349" s="146" t="s">
        <v>549</v>
      </c>
      <c r="E349" s="146" t="str">
        <f>IFERROR(VLOOKUP(D349,Table2[],2,FALSE),"")</f>
        <v>Hektar</v>
      </c>
      <c r="F349" s="146" t="s">
        <v>303</v>
      </c>
      <c r="G349" s="146" t="str">
        <f>IFERROR(VLOOKUP(F349,Table2[],2,FALSE),"")</f>
        <v>kg N</v>
      </c>
      <c r="H349" s="168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-110</v>
      </c>
      <c r="I349" s="168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-110</v>
      </c>
      <c r="J349" s="168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-110</v>
      </c>
      <c r="K349" s="147"/>
    </row>
    <row r="350" spans="1:11" s="146" customFormat="1" ht="14.7" thickBot="1" x14ac:dyDescent="0.6">
      <c r="A350" s="188" t="s">
        <v>550</v>
      </c>
      <c r="B350" s="182" t="s">
        <v>45</v>
      </c>
      <c r="C350" s="182" t="str">
        <f>Jordbund1</f>
        <v>JB1-10</v>
      </c>
      <c r="D350" s="148" t="s">
        <v>549</v>
      </c>
      <c r="E350" s="148" t="str">
        <f>IFERROR(VLOOKUP(D350,Table2[],2,FALSE),"")</f>
        <v>Hektar</v>
      </c>
      <c r="F350" s="202" t="s">
        <v>344</v>
      </c>
      <c r="G350" s="148" t="str">
        <f>IFERROR(VLOOKUP(F350,Table2[],2,FALSE),"")</f>
        <v>t CO2-ækvivalenter</v>
      </c>
      <c r="H350" s="177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1.9656943674854606</v>
      </c>
      <c r="I350" s="177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1.9656943674854606</v>
      </c>
      <c r="J350" s="177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1.9656943674854606</v>
      </c>
      <c r="K350" s="149"/>
    </row>
    <row r="351" spans="1:11" s="146" customFormat="1" ht="14.7" thickTop="1" x14ac:dyDescent="0.55000000000000004">
      <c r="A351" s="186" t="s">
        <v>550</v>
      </c>
      <c r="B351" s="180" t="s">
        <v>45</v>
      </c>
      <c r="C351" s="180" t="str">
        <f>Organ6</f>
        <v>OC6</v>
      </c>
      <c r="D351" s="144" t="s">
        <v>549</v>
      </c>
      <c r="E351" s="144" t="str">
        <f>IFERROR(VLOOKUP(D351,Table2[],2,FALSE),"")</f>
        <v>Hektar</v>
      </c>
      <c r="F351" s="144" t="s">
        <v>148</v>
      </c>
      <c r="G351" s="144" t="str">
        <f>IFERROR(VLOOKUP(F351,Table2[],2,FALSE),"")</f>
        <v>Ton</v>
      </c>
      <c r="H351" s="176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60</v>
      </c>
      <c r="I351" s="176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60</v>
      </c>
      <c r="J351" s="176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60</v>
      </c>
      <c r="K351" s="145"/>
    </row>
    <row r="352" spans="1:11" s="146" customFormat="1" x14ac:dyDescent="0.55000000000000004">
      <c r="A352" s="187" t="s">
        <v>550</v>
      </c>
      <c r="B352" s="181" t="s">
        <v>45</v>
      </c>
      <c r="C352" s="181" t="str">
        <f>Organ6</f>
        <v>OC6</v>
      </c>
      <c r="D352" s="146" t="s">
        <v>549</v>
      </c>
      <c r="E352" s="146" t="str">
        <f>IFERROR(VLOOKUP(D352,Table2[],2,FALSE),"")</f>
        <v>Hektar</v>
      </c>
      <c r="F352" s="146" t="s">
        <v>303</v>
      </c>
      <c r="G352" s="146" t="str">
        <f>IFERROR(VLOOKUP(F352,Table2[],2,FALSE),"")</f>
        <v>kg N</v>
      </c>
      <c r="H352" s="168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-100</v>
      </c>
      <c r="I352" s="168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-100</v>
      </c>
      <c r="J352" s="168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-100</v>
      </c>
      <c r="K352" s="147"/>
    </row>
    <row r="353" spans="1:11" s="146" customFormat="1" ht="14.7" thickBot="1" x14ac:dyDescent="0.6">
      <c r="A353" s="188" t="s">
        <v>550</v>
      </c>
      <c r="B353" s="182" t="s">
        <v>45</v>
      </c>
      <c r="C353" s="182" t="str">
        <f>Organ6</f>
        <v>OC6</v>
      </c>
      <c r="D353" s="148" t="s">
        <v>549</v>
      </c>
      <c r="E353" s="148" t="str">
        <f>IFERROR(VLOOKUP(D353,Table2[],2,FALSE),"")</f>
        <v>Hektar</v>
      </c>
      <c r="F353" s="202" t="s">
        <v>344</v>
      </c>
      <c r="G353" s="148" t="str">
        <f>IFERROR(VLOOKUP(F353,Table2[],2,FALSE),"")</f>
        <v>t CO2-ækvivalenter</v>
      </c>
      <c r="H353" s="177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10.661694367485461</v>
      </c>
      <c r="I353" s="177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10.661694367485461</v>
      </c>
      <c r="J353" s="177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10.661694367485461</v>
      </c>
      <c r="K353" s="149"/>
    </row>
    <row r="354" spans="1:11" s="146" customFormat="1" ht="14.7" thickTop="1" x14ac:dyDescent="0.55000000000000004">
      <c r="A354" s="186" t="s">
        <v>550</v>
      </c>
      <c r="B354" s="180" t="s">
        <v>45</v>
      </c>
      <c r="C354" s="180" t="str">
        <f>Organ12</f>
        <v>OC12</v>
      </c>
      <c r="D354" s="144" t="s">
        <v>549</v>
      </c>
      <c r="E354" s="144" t="str">
        <f>IFERROR(VLOOKUP(D354,Table2[],2,FALSE),"")</f>
        <v>Hektar</v>
      </c>
      <c r="F354" s="144" t="s">
        <v>148</v>
      </c>
      <c r="G354" s="144" t="str">
        <f>IFERROR(VLOOKUP(F354,Table2[],2,FALSE),"")</f>
        <v>Ton</v>
      </c>
      <c r="H354" s="176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70</v>
      </c>
      <c r="I354" s="176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70</v>
      </c>
      <c r="J354" s="176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70</v>
      </c>
      <c r="K354" s="145"/>
    </row>
    <row r="355" spans="1:11" s="146" customFormat="1" x14ac:dyDescent="0.55000000000000004">
      <c r="A355" s="187" t="s">
        <v>550</v>
      </c>
      <c r="B355" s="181" t="s">
        <v>45</v>
      </c>
      <c r="C355" s="181" t="str">
        <f>Organ12</f>
        <v>OC12</v>
      </c>
      <c r="D355" s="146" t="s">
        <v>549</v>
      </c>
      <c r="E355" s="146" t="str">
        <f>IFERROR(VLOOKUP(D355,Table2[],2,FALSE),"")</f>
        <v>Hektar</v>
      </c>
      <c r="F355" s="146" t="s">
        <v>303</v>
      </c>
      <c r="G355" s="146" t="str">
        <f>IFERROR(VLOOKUP(F355,Table2[],2,FALSE),"")</f>
        <v>kg N</v>
      </c>
      <c r="H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-90</v>
      </c>
      <c r="I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-90</v>
      </c>
      <c r="J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-90</v>
      </c>
      <c r="K355" s="147"/>
    </row>
    <row r="356" spans="1:11" s="146" customFormat="1" ht="14.7" thickBot="1" x14ac:dyDescent="0.6">
      <c r="A356" s="188" t="s">
        <v>550</v>
      </c>
      <c r="B356" s="182" t="s">
        <v>45</v>
      </c>
      <c r="C356" s="182" t="str">
        <f>Organ12</f>
        <v>OC12</v>
      </c>
      <c r="D356" s="148" t="s">
        <v>549</v>
      </c>
      <c r="E356" s="148" t="str">
        <f>IFERROR(VLOOKUP(D356,Table2[],2,FALSE),"")</f>
        <v>Hektar</v>
      </c>
      <c r="F356" s="202" t="s">
        <v>344</v>
      </c>
      <c r="G356" s="148" t="str">
        <f>IFERROR(VLOOKUP(F356,Table2[],2,FALSE),"")</f>
        <v>t CO2-ækvivalenter</v>
      </c>
      <c r="H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28.501694367485467</v>
      </c>
      <c r="I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28.501694367485467</v>
      </c>
      <c r="J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28.501694367485467</v>
      </c>
      <c r="K356" s="149"/>
    </row>
    <row r="357" spans="1:11" s="146" customFormat="1" ht="14.7" thickTop="1" x14ac:dyDescent="0.55000000000000004">
      <c r="A357" s="186" t="s">
        <v>550</v>
      </c>
      <c r="B357" s="180" t="s">
        <v>46</v>
      </c>
      <c r="C357" s="180" t="str">
        <f>Jordbund1</f>
        <v>JB1-10</v>
      </c>
      <c r="D357" s="144" t="s">
        <v>549</v>
      </c>
      <c r="E357" s="144" t="str">
        <f>IFERROR(VLOOKUP(D357,Table2[],2,FALSE),"")</f>
        <v>Hektar</v>
      </c>
      <c r="F357" s="144" t="s">
        <v>148</v>
      </c>
      <c r="G357" s="144" t="str">
        <f>IFERROR(VLOOKUP(F357,Table2[],2,FALSE),"")</f>
        <v>Ton</v>
      </c>
      <c r="H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28.499999999999996</v>
      </c>
      <c r="I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28.499999999999996</v>
      </c>
      <c r="J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28.499999999999996</v>
      </c>
      <c r="K357" s="145"/>
    </row>
    <row r="358" spans="1:11" s="146" customFormat="1" x14ac:dyDescent="0.55000000000000004">
      <c r="A358" s="187" t="s">
        <v>550</v>
      </c>
      <c r="B358" s="181" t="s">
        <v>46</v>
      </c>
      <c r="C358" s="181" t="str">
        <f>Jordbund1</f>
        <v>JB1-10</v>
      </c>
      <c r="D358" s="146" t="s">
        <v>549</v>
      </c>
      <c r="E358" s="146" t="str">
        <f>IFERROR(VLOOKUP(D358,Table2[],2,FALSE),"")</f>
        <v>Hektar</v>
      </c>
      <c r="F358" s="146" t="s">
        <v>303</v>
      </c>
      <c r="G358" s="146" t="str">
        <f>IFERROR(VLOOKUP(F358,Table2[],2,FALSE),"")</f>
        <v>kg N</v>
      </c>
      <c r="H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-62.699999999999996</v>
      </c>
      <c r="I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-62.699999999999996</v>
      </c>
      <c r="J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-62.699999999999996</v>
      </c>
      <c r="K358" s="147"/>
    </row>
    <row r="359" spans="1:11" s="146" customFormat="1" ht="14.7" thickBot="1" x14ac:dyDescent="0.6">
      <c r="A359" s="188" t="s">
        <v>550</v>
      </c>
      <c r="B359" s="182" t="s">
        <v>46</v>
      </c>
      <c r="C359" s="182" t="str">
        <f>Jordbund1</f>
        <v>JB1-10</v>
      </c>
      <c r="D359" s="148" t="s">
        <v>549</v>
      </c>
      <c r="E359" s="148" t="str">
        <f>IFERROR(VLOOKUP(D359,Table2[],2,FALSE),"")</f>
        <v>Hektar</v>
      </c>
      <c r="F359" s="202" t="s">
        <v>344</v>
      </c>
      <c r="G359" s="148" t="str">
        <f>IFERROR(VLOOKUP(F359,Table2[],2,FALSE),"")</f>
        <v>t CO2-ækvivalenter</v>
      </c>
      <c r="H359" s="177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1.9656943674854606</v>
      </c>
      <c r="I359" s="177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1.9656943674854606</v>
      </c>
      <c r="J359" s="177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1.9656943674854606</v>
      </c>
      <c r="K359" s="149"/>
    </row>
    <row r="360" spans="1:11" s="146" customFormat="1" ht="14.7" thickTop="1" x14ac:dyDescent="0.55000000000000004">
      <c r="A360" s="186" t="s">
        <v>550</v>
      </c>
      <c r="B360" s="180" t="s">
        <v>46</v>
      </c>
      <c r="C360" s="180" t="str">
        <f>Organ6</f>
        <v>OC6</v>
      </c>
      <c r="D360" s="144" t="s">
        <v>549</v>
      </c>
      <c r="E360" s="144" t="str">
        <f>IFERROR(VLOOKUP(D360,Table2[],2,FALSE),"")</f>
        <v>Hektar</v>
      </c>
      <c r="F360" s="144" t="s">
        <v>148</v>
      </c>
      <c r="G360" s="144" t="str">
        <f>IFERROR(VLOOKUP(F360,Table2[],2,FALSE),"")</f>
        <v>Ton</v>
      </c>
      <c r="H360" s="176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34.199999999999996</v>
      </c>
      <c r="I360" s="176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34.199999999999996</v>
      </c>
      <c r="J360" s="176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34.199999999999996</v>
      </c>
      <c r="K360" s="145"/>
    </row>
    <row r="361" spans="1:11" s="146" customFormat="1" x14ac:dyDescent="0.55000000000000004">
      <c r="A361" s="187" t="s">
        <v>550</v>
      </c>
      <c r="B361" s="181" t="s">
        <v>46</v>
      </c>
      <c r="C361" s="181" t="str">
        <f>Organ6</f>
        <v>OC6</v>
      </c>
      <c r="D361" s="146" t="s">
        <v>549</v>
      </c>
      <c r="E361" s="146" t="str">
        <f>IFERROR(VLOOKUP(D361,Table2[],2,FALSE),"")</f>
        <v>Hektar</v>
      </c>
      <c r="F361" s="146" t="s">
        <v>303</v>
      </c>
      <c r="G361" s="146" t="str">
        <f>IFERROR(VLOOKUP(F361,Table2[],2,FALSE),"")</f>
        <v>kg N</v>
      </c>
      <c r="H361" s="168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-56.999999999999993</v>
      </c>
      <c r="I361" s="168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-56.999999999999993</v>
      </c>
      <c r="J361" s="168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-56.999999999999993</v>
      </c>
      <c r="K361" s="147"/>
    </row>
    <row r="362" spans="1:11" s="146" customFormat="1" ht="14.7" thickBot="1" x14ac:dyDescent="0.6">
      <c r="A362" s="188" t="s">
        <v>550</v>
      </c>
      <c r="B362" s="182" t="s">
        <v>46</v>
      </c>
      <c r="C362" s="182" t="str">
        <f>Organ6</f>
        <v>OC6</v>
      </c>
      <c r="D362" s="148" t="s">
        <v>549</v>
      </c>
      <c r="E362" s="148" t="str">
        <f>IFERROR(VLOOKUP(D362,Table2[],2,FALSE),"")</f>
        <v>Hektar</v>
      </c>
      <c r="F362" s="202" t="s">
        <v>344</v>
      </c>
      <c r="G362" s="148" t="str">
        <f>IFERROR(VLOOKUP(F362,Table2[],2,FALSE),"")</f>
        <v>t CO2-ækvivalenter</v>
      </c>
      <c r="H362" s="177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10.661694367485461</v>
      </c>
      <c r="I362" s="177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10.661694367485461</v>
      </c>
      <c r="J362" s="177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10.661694367485461</v>
      </c>
      <c r="K362" s="149"/>
    </row>
    <row r="363" spans="1:11" s="146" customFormat="1" ht="14.7" thickTop="1" x14ac:dyDescent="0.55000000000000004">
      <c r="A363" s="186" t="s">
        <v>550</v>
      </c>
      <c r="B363" s="180" t="s">
        <v>46</v>
      </c>
      <c r="C363" s="180" t="str">
        <f>Organ12</f>
        <v>OC12</v>
      </c>
      <c r="D363" s="144" t="s">
        <v>549</v>
      </c>
      <c r="E363" s="144" t="str">
        <f>IFERROR(VLOOKUP(D363,Table2[],2,FALSE),"")</f>
        <v>Hektar</v>
      </c>
      <c r="F363" s="144" t="s">
        <v>148</v>
      </c>
      <c r="G363" s="144" t="str">
        <f>IFERROR(VLOOKUP(F363,Table2[],2,FALSE),"")</f>
        <v>Ton</v>
      </c>
      <c r="H363" s="176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39.9</v>
      </c>
      <c r="I363" s="176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39.9</v>
      </c>
      <c r="J363" s="176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39.9</v>
      </c>
      <c r="K363" s="145"/>
    </row>
    <row r="364" spans="1:11" s="146" customFormat="1" x14ac:dyDescent="0.55000000000000004">
      <c r="A364" s="187" t="s">
        <v>550</v>
      </c>
      <c r="B364" s="181" t="s">
        <v>46</v>
      </c>
      <c r="C364" s="181" t="str">
        <f>Organ12</f>
        <v>OC12</v>
      </c>
      <c r="D364" s="146" t="s">
        <v>549</v>
      </c>
      <c r="E364" s="146" t="str">
        <f>IFERROR(VLOOKUP(D364,Table2[],2,FALSE),"")</f>
        <v>Hektar</v>
      </c>
      <c r="F364" s="146" t="s">
        <v>303</v>
      </c>
      <c r="G364" s="146" t="str">
        <f>IFERROR(VLOOKUP(F364,Table2[],2,FALSE),"")</f>
        <v>kg N</v>
      </c>
      <c r="H364" s="168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-51.3</v>
      </c>
      <c r="I364" s="168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-51.3</v>
      </c>
      <c r="J364" s="168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-51.3</v>
      </c>
      <c r="K364" s="147"/>
    </row>
    <row r="365" spans="1:11" s="146" customFormat="1" ht="14.7" thickBot="1" x14ac:dyDescent="0.6">
      <c r="A365" s="188" t="s">
        <v>550</v>
      </c>
      <c r="B365" s="182" t="s">
        <v>46</v>
      </c>
      <c r="C365" s="182" t="str">
        <f>Organ12</f>
        <v>OC12</v>
      </c>
      <c r="D365" s="148" t="s">
        <v>549</v>
      </c>
      <c r="E365" s="148" t="str">
        <f>IFERROR(VLOOKUP(D365,Table2[],2,FALSE),"")</f>
        <v>Hektar</v>
      </c>
      <c r="F365" s="202" t="s">
        <v>344</v>
      </c>
      <c r="G365" s="148" t="str">
        <f>IFERROR(VLOOKUP(F365,Table2[],2,FALSE),"")</f>
        <v>t CO2-ækvivalenter</v>
      </c>
      <c r="H365" s="177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28.501694367485467</v>
      </c>
      <c r="I365" s="177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28.501694367485467</v>
      </c>
      <c r="J365" s="177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28.501694367485467</v>
      </c>
      <c r="K365" s="149"/>
    </row>
    <row r="366" spans="1:11" s="146" customFormat="1" ht="14.7" thickTop="1" x14ac:dyDescent="0.55000000000000004">
      <c r="A366" s="186" t="s">
        <v>32</v>
      </c>
      <c r="B366" s="180" t="s">
        <v>45</v>
      </c>
      <c r="C366" s="180" t="str">
        <f>Jordbund1</f>
        <v>JB1-10</v>
      </c>
      <c r="D366" s="144" t="s">
        <v>361</v>
      </c>
      <c r="E366" s="144" t="str">
        <f>IFERROR(VLOOKUP(D366,Table2[],2,FALSE),"")</f>
        <v>Hektar</v>
      </c>
      <c r="F366" s="144" t="s">
        <v>339</v>
      </c>
      <c r="G366" s="144" t="str">
        <f>IFERROR(VLOOKUP(F366,Table2[],2,FALSE),"")</f>
        <v>Ton</v>
      </c>
      <c r="H366" s="176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24.390243902439025</v>
      </c>
      <c r="I366" s="176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24.390243902439025</v>
      </c>
      <c r="J366" s="176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24.390243902439025</v>
      </c>
      <c r="K366" s="145"/>
    </row>
    <row r="367" spans="1:11" s="146" customFormat="1" x14ac:dyDescent="0.55000000000000004">
      <c r="A367" s="187" t="s">
        <v>32</v>
      </c>
      <c r="B367" s="181" t="s">
        <v>45</v>
      </c>
      <c r="C367" s="181" t="str">
        <f>Jordbund1</f>
        <v>JB1-10</v>
      </c>
      <c r="D367" s="146" t="s">
        <v>361</v>
      </c>
      <c r="E367" s="146" t="str">
        <f>IFERROR(VLOOKUP(D367,Table2[],2,FALSE),"")</f>
        <v>Hektar</v>
      </c>
      <c r="F367" s="146" t="s">
        <v>303</v>
      </c>
      <c r="G367" s="146" t="str">
        <f>IFERROR(VLOOKUP(F367,Table2[],2,FALSE),"")</f>
        <v>kg N</v>
      </c>
      <c r="H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-120</v>
      </c>
      <c r="I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-120</v>
      </c>
      <c r="J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-120</v>
      </c>
      <c r="K367" s="147"/>
    </row>
    <row r="368" spans="1:11" s="146" customFormat="1" ht="14.7" thickBot="1" x14ac:dyDescent="0.6">
      <c r="A368" s="188" t="s">
        <v>32</v>
      </c>
      <c r="B368" s="182" t="s">
        <v>45</v>
      </c>
      <c r="C368" s="182" t="str">
        <f>Jordbund1</f>
        <v>JB1-10</v>
      </c>
      <c r="D368" s="148" t="s">
        <v>361</v>
      </c>
      <c r="E368" s="148" t="str">
        <f>IFERROR(VLOOKUP(D368,Table2[],2,FALSE),"")</f>
        <v>Hektar</v>
      </c>
      <c r="F368" s="202" t="s">
        <v>344</v>
      </c>
      <c r="G368" s="148" t="str">
        <f>IFERROR(VLOOKUP(F368,Table2[],2,FALSE),"")</f>
        <v>t CO2-ækvivalenter</v>
      </c>
      <c r="H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1.9656943674854606</v>
      </c>
      <c r="I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1.9656943674854606</v>
      </c>
      <c r="J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1.9656943674854606</v>
      </c>
      <c r="K368" s="149"/>
    </row>
    <row r="369" spans="1:11" s="146" customFormat="1" ht="14.7" thickTop="1" x14ac:dyDescent="0.55000000000000004">
      <c r="A369" s="186" t="s">
        <v>32</v>
      </c>
      <c r="B369" s="180" t="s">
        <v>45</v>
      </c>
      <c r="C369" s="180" t="str">
        <f>Organ6</f>
        <v>OC6</v>
      </c>
      <c r="D369" s="144" t="s">
        <v>361</v>
      </c>
      <c r="E369" s="144" t="str">
        <f>IFERROR(VLOOKUP(D369,Table2[],2,FALSE),"")</f>
        <v>Hektar</v>
      </c>
      <c r="F369" s="144" t="s">
        <v>339</v>
      </c>
      <c r="G369" s="144" t="str">
        <f>IFERROR(VLOOKUP(F369,Table2[],2,FALSE),"")</f>
        <v>Ton</v>
      </c>
      <c r="H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29.268292682926827</v>
      </c>
      <c r="I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29.268292682926827</v>
      </c>
      <c r="J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29.268292682926827</v>
      </c>
      <c r="K369" s="145"/>
    </row>
    <row r="370" spans="1:11" s="146" customFormat="1" x14ac:dyDescent="0.55000000000000004">
      <c r="A370" s="187" t="s">
        <v>32</v>
      </c>
      <c r="B370" s="181" t="s">
        <v>45</v>
      </c>
      <c r="C370" s="181" t="str">
        <f>Organ6</f>
        <v>OC6</v>
      </c>
      <c r="D370" s="146" t="s">
        <v>361</v>
      </c>
      <c r="E370" s="146" t="str">
        <f>IFERROR(VLOOKUP(D370,Table2[],2,FALSE),"")</f>
        <v>Hektar</v>
      </c>
      <c r="F370" s="146" t="s">
        <v>303</v>
      </c>
      <c r="G370" s="146" t="str">
        <f>IFERROR(VLOOKUP(F370,Table2[],2,FALSE),"")</f>
        <v>kg N</v>
      </c>
      <c r="H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-120</v>
      </c>
      <c r="I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-120</v>
      </c>
      <c r="J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-120</v>
      </c>
      <c r="K370" s="147"/>
    </row>
    <row r="371" spans="1:11" s="146" customFormat="1" ht="14.7" thickBot="1" x14ac:dyDescent="0.6">
      <c r="A371" s="188" t="s">
        <v>32</v>
      </c>
      <c r="B371" s="182" t="s">
        <v>45</v>
      </c>
      <c r="C371" s="182" t="str">
        <f>Organ6</f>
        <v>OC6</v>
      </c>
      <c r="D371" s="148" t="s">
        <v>361</v>
      </c>
      <c r="E371" s="148" t="str">
        <f>IFERROR(VLOOKUP(D371,Table2[],2,FALSE),"")</f>
        <v>Hektar</v>
      </c>
      <c r="F371" s="202" t="s">
        <v>344</v>
      </c>
      <c r="G371" s="148" t="str">
        <f>IFERROR(VLOOKUP(F371,Table2[],2,FALSE),"")</f>
        <v>t CO2-ækvivalenter</v>
      </c>
      <c r="H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10.661694367485461</v>
      </c>
      <c r="I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10.661694367485461</v>
      </c>
      <c r="J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10.661694367485461</v>
      </c>
      <c r="K371" s="149"/>
    </row>
    <row r="372" spans="1:11" s="146" customFormat="1" ht="14.7" thickTop="1" x14ac:dyDescent="0.55000000000000004">
      <c r="A372" s="187" t="s">
        <v>32</v>
      </c>
      <c r="B372" s="181" t="s">
        <v>45</v>
      </c>
      <c r="C372" s="181" t="str">
        <f>Organ12</f>
        <v>OC12</v>
      </c>
      <c r="D372" s="146" t="s">
        <v>361</v>
      </c>
      <c r="E372" s="146" t="str">
        <f>IFERROR(VLOOKUP(D372,Table2[],2,FALSE),"")</f>
        <v>Hektar</v>
      </c>
      <c r="F372" s="146" t="s">
        <v>339</v>
      </c>
      <c r="G372" s="146" t="str">
        <f>IFERROR(VLOOKUP(F372,Table2[],2,FALSE),"")</f>
        <v>Ton</v>
      </c>
      <c r="H372" s="168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34.146341463414629</v>
      </c>
      <c r="I372" s="168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34.146341463414629</v>
      </c>
      <c r="J372" s="168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34.146341463414629</v>
      </c>
      <c r="K372" s="147"/>
    </row>
    <row r="373" spans="1:11" s="146" customFormat="1" x14ac:dyDescent="0.55000000000000004">
      <c r="A373" s="187" t="s">
        <v>32</v>
      </c>
      <c r="B373" s="181" t="s">
        <v>45</v>
      </c>
      <c r="C373" s="181" t="str">
        <f>Organ12</f>
        <v>OC12</v>
      </c>
      <c r="D373" s="146" t="s">
        <v>361</v>
      </c>
      <c r="E373" s="146" t="str">
        <f>IFERROR(VLOOKUP(D373,Table2[],2,FALSE),"")</f>
        <v>Hektar</v>
      </c>
      <c r="F373" s="146" t="s">
        <v>303</v>
      </c>
      <c r="G373" s="146" t="str">
        <f>IFERROR(VLOOKUP(F373,Table2[],2,FALSE),"")</f>
        <v>kg N</v>
      </c>
      <c r="H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-120</v>
      </c>
      <c r="I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-120</v>
      </c>
      <c r="J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-120</v>
      </c>
      <c r="K373" s="147"/>
    </row>
    <row r="374" spans="1:11" s="146" customFormat="1" ht="14.7" thickBot="1" x14ac:dyDescent="0.6">
      <c r="A374" s="188" t="s">
        <v>32</v>
      </c>
      <c r="B374" s="182" t="s">
        <v>45</v>
      </c>
      <c r="C374" s="182" t="str">
        <f>Organ12</f>
        <v>OC12</v>
      </c>
      <c r="D374" s="148" t="s">
        <v>361</v>
      </c>
      <c r="E374" s="148" t="str">
        <f>IFERROR(VLOOKUP(D374,Table2[],2,FALSE),"")</f>
        <v>Hektar</v>
      </c>
      <c r="F374" s="202" t="s">
        <v>344</v>
      </c>
      <c r="G374" s="148" t="str">
        <f>IFERROR(VLOOKUP(F374,Table2[],2,FALSE),"")</f>
        <v>t CO2-ækvivalenter</v>
      </c>
      <c r="H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28.501694367485467</v>
      </c>
      <c r="I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28.501694367485467</v>
      </c>
      <c r="J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28.501694367485467</v>
      </c>
      <c r="K374" s="149"/>
    </row>
    <row r="375" spans="1:11" s="146" customFormat="1" ht="14.7" thickTop="1" x14ac:dyDescent="0.55000000000000004">
      <c r="A375" s="186" t="s">
        <v>32</v>
      </c>
      <c r="B375" s="180" t="s">
        <v>46</v>
      </c>
      <c r="C375" s="180" t="str">
        <f>Jordbund1</f>
        <v>JB1-10</v>
      </c>
      <c r="D375" s="144" t="s">
        <v>361</v>
      </c>
      <c r="E375" s="144" t="str">
        <f>IFERROR(VLOOKUP(D375,Table2[],2,FALSE),"")</f>
        <v>Hektar</v>
      </c>
      <c r="F375" s="144" t="s">
        <v>339</v>
      </c>
      <c r="G375" s="144" t="str">
        <f>IFERROR(VLOOKUP(F375,Table2[],2,FALSE),"")</f>
        <v>Ton</v>
      </c>
      <c r="H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13.902439024390242</v>
      </c>
      <c r="I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13.902439024390242</v>
      </c>
      <c r="J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13.902439024390242</v>
      </c>
      <c r="K375" s="145"/>
    </row>
    <row r="376" spans="1:11" s="146" customFormat="1" x14ac:dyDescent="0.55000000000000004">
      <c r="A376" s="187" t="s">
        <v>32</v>
      </c>
      <c r="B376" s="181" t="s">
        <v>46</v>
      </c>
      <c r="C376" s="181" t="str">
        <f>Jordbund1</f>
        <v>JB1-10</v>
      </c>
      <c r="D376" s="146" t="s">
        <v>361</v>
      </c>
      <c r="E376" s="146" t="str">
        <f>IFERROR(VLOOKUP(D376,Table2[],2,FALSE),"")</f>
        <v>Hektar</v>
      </c>
      <c r="F376" s="146" t="s">
        <v>303</v>
      </c>
      <c r="G376" s="146" t="str">
        <f>IFERROR(VLOOKUP(F376,Table2[],2,FALSE),"")</f>
        <v>kg N</v>
      </c>
      <c r="H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-68.399999999999991</v>
      </c>
      <c r="I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-68.399999999999991</v>
      </c>
      <c r="J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-68.399999999999991</v>
      </c>
      <c r="K376" s="147"/>
    </row>
    <row r="377" spans="1:11" s="146" customFormat="1" ht="14.7" thickBot="1" x14ac:dyDescent="0.6">
      <c r="A377" s="188" t="s">
        <v>32</v>
      </c>
      <c r="B377" s="182" t="s">
        <v>46</v>
      </c>
      <c r="C377" s="182" t="str">
        <f>Jordbund1</f>
        <v>JB1-10</v>
      </c>
      <c r="D377" s="148" t="s">
        <v>361</v>
      </c>
      <c r="E377" s="148" t="str">
        <f>IFERROR(VLOOKUP(D377,Table2[],2,FALSE),"")</f>
        <v>Hektar</v>
      </c>
      <c r="F377" s="202" t="s">
        <v>344</v>
      </c>
      <c r="G377" s="148" t="str">
        <f>IFERROR(VLOOKUP(F377,Table2[],2,FALSE),"")</f>
        <v>t CO2-ækvivalenter</v>
      </c>
      <c r="H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1.9656943674854606</v>
      </c>
      <c r="I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1.9656943674854606</v>
      </c>
      <c r="J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1.9656943674854606</v>
      </c>
      <c r="K377" s="149"/>
    </row>
    <row r="378" spans="1:11" s="146" customFormat="1" ht="14.7" thickTop="1" x14ac:dyDescent="0.55000000000000004">
      <c r="A378" s="186" t="s">
        <v>32</v>
      </c>
      <c r="B378" s="180" t="s">
        <v>46</v>
      </c>
      <c r="C378" s="180" t="str">
        <f>Organ6</f>
        <v>OC6</v>
      </c>
      <c r="D378" s="144" t="s">
        <v>361</v>
      </c>
      <c r="E378" s="144" t="str">
        <f>IFERROR(VLOOKUP(D378,Table2[],2,FALSE),"")</f>
        <v>Hektar</v>
      </c>
      <c r="F378" s="144" t="s">
        <v>339</v>
      </c>
      <c r="G378" s="144" t="str">
        <f>IFERROR(VLOOKUP(F378,Table2[],2,FALSE),"")</f>
        <v>Ton</v>
      </c>
      <c r="H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16.68292682926829</v>
      </c>
      <c r="I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16.68292682926829</v>
      </c>
      <c r="J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16.68292682926829</v>
      </c>
      <c r="K378" s="145"/>
    </row>
    <row r="379" spans="1:11" s="146" customFormat="1" x14ac:dyDescent="0.55000000000000004">
      <c r="A379" s="187" t="s">
        <v>32</v>
      </c>
      <c r="B379" s="181" t="s">
        <v>46</v>
      </c>
      <c r="C379" s="181" t="str">
        <f>Organ6</f>
        <v>OC6</v>
      </c>
      <c r="D379" s="146" t="s">
        <v>361</v>
      </c>
      <c r="E379" s="146" t="str">
        <f>IFERROR(VLOOKUP(D379,Table2[],2,FALSE),"")</f>
        <v>Hektar</v>
      </c>
      <c r="F379" s="146" t="s">
        <v>303</v>
      </c>
      <c r="G379" s="146" t="str">
        <f>IFERROR(VLOOKUP(F379,Table2[],2,FALSE),"")</f>
        <v>kg N</v>
      </c>
      <c r="H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-68.399999999999991</v>
      </c>
      <c r="I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-68.399999999999991</v>
      </c>
      <c r="J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-68.399999999999991</v>
      </c>
      <c r="K379" s="147"/>
    </row>
    <row r="380" spans="1:11" s="146" customFormat="1" ht="14.7" thickBot="1" x14ac:dyDescent="0.6">
      <c r="A380" s="188" t="s">
        <v>32</v>
      </c>
      <c r="B380" s="182" t="s">
        <v>46</v>
      </c>
      <c r="C380" s="182" t="str">
        <f>Organ6</f>
        <v>OC6</v>
      </c>
      <c r="D380" s="148" t="s">
        <v>361</v>
      </c>
      <c r="E380" s="148" t="str">
        <f>IFERROR(VLOOKUP(D380,Table2[],2,FALSE),"")</f>
        <v>Hektar</v>
      </c>
      <c r="F380" s="202" t="s">
        <v>344</v>
      </c>
      <c r="G380" s="148" t="str">
        <f>IFERROR(VLOOKUP(F380,Table2[],2,FALSE),"")</f>
        <v>t CO2-ækvivalenter</v>
      </c>
      <c r="H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10.661694367485461</v>
      </c>
      <c r="I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10.661694367485461</v>
      </c>
      <c r="J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10.661694367485461</v>
      </c>
      <c r="K380" s="149"/>
    </row>
    <row r="381" spans="1:11" s="146" customFormat="1" ht="14.7" thickTop="1" x14ac:dyDescent="0.55000000000000004">
      <c r="A381" s="186" t="s">
        <v>32</v>
      </c>
      <c r="B381" s="180" t="s">
        <v>46</v>
      </c>
      <c r="C381" s="180" t="str">
        <f>Organ12</f>
        <v>OC12</v>
      </c>
      <c r="D381" s="144" t="s">
        <v>361</v>
      </c>
      <c r="E381" s="144" t="str">
        <f>IFERROR(VLOOKUP(D381,Table2[],2,FALSE),"")</f>
        <v>Hektar</v>
      </c>
      <c r="F381" s="144" t="s">
        <v>339</v>
      </c>
      <c r="G381" s="144" t="str">
        <f>IFERROR(VLOOKUP(F381,Table2[],2,FALSE),"")</f>
        <v>Ton</v>
      </c>
      <c r="H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19.463414634146336</v>
      </c>
      <c r="I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19.463414634146336</v>
      </c>
      <c r="J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19.463414634146336</v>
      </c>
      <c r="K381" s="145"/>
    </row>
    <row r="382" spans="1:11" s="146" customFormat="1" x14ac:dyDescent="0.55000000000000004">
      <c r="A382" s="187" t="s">
        <v>32</v>
      </c>
      <c r="B382" s="181" t="s">
        <v>46</v>
      </c>
      <c r="C382" s="181" t="str">
        <f>Organ12</f>
        <v>OC12</v>
      </c>
      <c r="D382" s="146" t="s">
        <v>361</v>
      </c>
      <c r="E382" s="146" t="str">
        <f>IFERROR(VLOOKUP(D382,Table2[],2,FALSE),"")</f>
        <v>Hektar</v>
      </c>
      <c r="F382" s="146" t="s">
        <v>303</v>
      </c>
      <c r="G382" s="146" t="str">
        <f>IFERROR(VLOOKUP(F382,Table2[],2,FALSE),"")</f>
        <v>kg N</v>
      </c>
      <c r="H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-68.399999999999991</v>
      </c>
      <c r="I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-68.399999999999991</v>
      </c>
      <c r="J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-68.399999999999991</v>
      </c>
      <c r="K382" s="147"/>
    </row>
    <row r="383" spans="1:11" s="146" customFormat="1" ht="14.7" thickBot="1" x14ac:dyDescent="0.6">
      <c r="A383" s="188" t="s">
        <v>32</v>
      </c>
      <c r="B383" s="182" t="s">
        <v>46</v>
      </c>
      <c r="C383" s="182" t="str">
        <f>Organ12</f>
        <v>OC12</v>
      </c>
      <c r="D383" s="148" t="s">
        <v>361</v>
      </c>
      <c r="E383" s="148" t="str">
        <f>IFERROR(VLOOKUP(D383,Table2[],2,FALSE),"")</f>
        <v>Hektar</v>
      </c>
      <c r="F383" s="202" t="s">
        <v>344</v>
      </c>
      <c r="G383" s="148" t="str">
        <f>IFERROR(VLOOKUP(F383,Table2[],2,FALSE),"")</f>
        <v>t CO2-ækvivalenter</v>
      </c>
      <c r="H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28.501694367485467</v>
      </c>
      <c r="I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28.501694367485467</v>
      </c>
      <c r="J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28.501694367485467</v>
      </c>
      <c r="K383" s="149"/>
    </row>
    <row r="384" spans="1:11" s="146" customFormat="1" ht="14.7" thickTop="1" x14ac:dyDescent="0.55000000000000004">
      <c r="A384" s="186" t="s">
        <v>61</v>
      </c>
      <c r="B384" s="180" t="s">
        <v>45</v>
      </c>
      <c r="C384" s="180" t="str">
        <f>Jordbund1</f>
        <v>JB1-10</v>
      </c>
      <c r="D384" s="144" t="s">
        <v>360</v>
      </c>
      <c r="E384" s="144" t="str">
        <f>IFERROR(VLOOKUP(D384,Table2[],2,FALSE),"")</f>
        <v>Hektar</v>
      </c>
      <c r="F384" s="144" t="s">
        <v>13</v>
      </c>
      <c r="G384" s="144" t="str">
        <f>IFERROR(VLOOKUP(F384,Table2[],2,FALSE),"")</f>
        <v>Ton</v>
      </c>
      <c r="H384" s="258">
        <f>IF($F384="C - land",0,IF($F384="CO2 - atmosfære",VLOOKUP("Permanent græs",Afgrødedata!$A$5:$L$18,MATCH(CONCATENATE("CO2-",'Processer - data'!$C384),Afgrødedata!$A$4:$L$4,0),FALSE),IF($F384="Gødning",-VLOOKUP("Permanent græs",Afgrødedata!$A$5:$L$18,MATCH(CONCATENATE("Kvælstofnorm-",'Processer - data'!$C384),Afgrødedata!$A$4:$L$4,0),FALSE),IF($F384="Halm",VLOOKUP("Permanent græs",Afgrødedata!$A$2:$L$18,MATCH(Afgrødedata!$C$4,Afgrødedata!$A$4:$L$4,0),FALSE)/10,VLOOKUP("Permanent græs",Afgrødedata!$A$2:$L$18,MATCH("Hovedafgrøde",Afgrødedata!$A$4:$L$4,0),FALSE)/10)*IF($C384="OC6",VLOOKUP("Permanent græs",Afgrødedata!$A$2:$L$18,MATCH(Afgrødedata!$E$4,Afgrødedata!$A$4:$L$4,0),FALSE),IF($C384="OC12",VLOOKUP("Permanent græs",Afgrødedata!$A$2:$L$18,MATCH(Afgrødedata!$F$4,Afgrødedata!$A$4:$L$4,0),FALSE),1)))*IF($B384="Økologisk",VLOOKUP("Permanent græs",Afgrødedata!$A$2:$L$18,MATCH(Afgrødedata!$D$4,Afgrødedata!$A$4:$L$4,0),FALSE),1)))</f>
        <v>13.790000000000001</v>
      </c>
      <c r="I384" s="258">
        <f>IF($F384="C - land",0,IF($F384="CO2 - atmosfære",VLOOKUP("Permanent græs",Afgrødedata!$A$5:$L$18,MATCH(CONCATENATE("CO2-",'Processer - data'!$C384),Afgrødedata!$A$4:$L$4,0),FALSE),IF($F384="Gødning",-VLOOKUP("Permanent græs",Afgrødedata!$A$5:$L$18,MATCH(CONCATENATE("Kvælstofnorm-",'Processer - data'!$C384),Afgrødedata!$A$4:$L$4,0),FALSE),IF($F384="Halm",VLOOKUP("Permanent græs",Afgrødedata!$A$2:$L$18,MATCH(Afgrødedata!$C$4,Afgrødedata!$A$4:$L$4,0),FALSE)/10,VLOOKUP("Permanent græs",Afgrødedata!$A$2:$L$18,MATCH("Hovedafgrøde",Afgrødedata!$A$4:$L$4,0),FALSE)/10)*IF($C384="OC6",VLOOKUP("Permanent græs",Afgrødedata!$A$2:$L$18,MATCH(Afgrødedata!$E$4,Afgrødedata!$A$4:$L$4,0),FALSE),IF($C384="OC12",VLOOKUP("Permanent græs",Afgrødedata!$A$2:$L$18,MATCH(Afgrødedata!$F$4,Afgrødedata!$A$4:$L$4,0),FALSE),1)))*IF($B384="Økologisk",VLOOKUP("Permanent græs",Afgrødedata!$A$2:$L$18,MATCH(Afgrødedata!$D$4,Afgrødedata!$A$4:$L$4,0),FALSE),1)))</f>
        <v>13.790000000000001</v>
      </c>
      <c r="J384" s="258">
        <f>IF($F384="C - land",0,IF($F384="CO2 - atmosfære",VLOOKUP("Permanent græs",Afgrødedata!$A$5:$L$18,MATCH(CONCATENATE("CO2-",'Processer - data'!$C384),Afgrødedata!$A$4:$L$4,0),FALSE),IF($F384="Gødning",-VLOOKUP("Permanent græs",Afgrødedata!$A$5:$L$18,MATCH(CONCATENATE("Kvælstofnorm-",'Processer - data'!$C384),Afgrødedata!$A$4:$L$4,0),FALSE),IF($F384="Halm",VLOOKUP("Permanent græs",Afgrødedata!$A$2:$L$18,MATCH(Afgrødedata!$C$4,Afgrødedata!$A$4:$L$4,0),FALSE)/10,VLOOKUP("Permanent græs",Afgrødedata!$A$2:$L$18,MATCH("Hovedafgrøde",Afgrødedata!$A$4:$L$4,0),FALSE)/10)*IF($C384="OC6",VLOOKUP("Permanent græs",Afgrødedata!$A$2:$L$18,MATCH(Afgrødedata!$E$4,Afgrødedata!$A$4:$L$4,0),FALSE),IF($C384="OC12",VLOOKUP("Permanent græs",Afgrødedata!$A$2:$L$18,MATCH(Afgrødedata!$F$4,Afgrødedata!$A$4:$L$4,0),FALSE),1)))*IF($B384="Økologisk",VLOOKUP("Permanent græs",Afgrødedata!$A$2:$L$18,MATCH(Afgrødedata!$D$4,Afgrødedata!$A$4:$L$4,0),FALSE),1)))</f>
        <v>13.790000000000001</v>
      </c>
      <c r="K384" s="145" t="s">
        <v>540</v>
      </c>
    </row>
    <row r="385" spans="1:11" s="146" customFormat="1" x14ac:dyDescent="0.55000000000000004">
      <c r="A385" s="187" t="s">
        <v>61</v>
      </c>
      <c r="B385" s="181" t="s">
        <v>45</v>
      </c>
      <c r="C385" s="181" t="str">
        <f>Jordbund1</f>
        <v>JB1-10</v>
      </c>
      <c r="D385" s="146" t="s">
        <v>360</v>
      </c>
      <c r="E385" s="146" t="str">
        <f>IFERROR(VLOOKUP(D385,Table2[],2,FALSE),"")</f>
        <v>Hektar</v>
      </c>
      <c r="F385" s="146" t="s">
        <v>303</v>
      </c>
      <c r="G385" s="146" t="str">
        <f>IFERROR(VLOOKUP(F385,Table2[],2,FALSE),"")</f>
        <v>kg N</v>
      </c>
      <c r="H385" s="259">
        <f>IF($F385="C - land",0,IF($F385="CO2 - atmosfære",VLOOKUP("Permanent græs",Afgrødedata!$A$5:$L$18,MATCH(CONCATENATE("CO2-",'Processer - data'!$C385),Afgrødedata!$A$4:$L$4,0),FALSE),IF($F385="Gødning",-VLOOKUP("Permanent græs",Afgrødedata!$A$5:$L$18,MATCH(CONCATENATE("Kvælstofnorm-",'Processer - data'!$C385),Afgrødedata!$A$4:$L$4,0),FALSE),IF($F385="Halm",VLOOKUP("Permanent græs",Afgrødedata!$A$2:$L$18,MATCH(Afgrødedata!$C$4,Afgrødedata!$A$4:$L$4,0),FALSE)/10,VLOOKUP("Permanent græs",Afgrødedata!$A$2:$L$18,MATCH("Hovedafgrøde",Afgrødedata!$A$4:$L$4,0),FALSE)/10)*IF($C385="OC6",VLOOKUP("Permanent græs",Afgrødedata!$A$2:$L$18,MATCH(Afgrødedata!$E$4,Afgrødedata!$A$4:$L$4,0),FALSE),IF($C385="OC12",VLOOKUP("Permanent græs",Afgrødedata!$A$2:$L$18,MATCH(Afgrødedata!$F$4,Afgrødedata!$A$4:$L$4,0),FALSE),1)))*IF($B385="Økologisk",VLOOKUP("Permanent græs",Afgrødedata!$A$2:$L$18,MATCH(Afgrødedata!$D$4,Afgrødedata!$A$4:$L$4,0),FALSE),1)))</f>
        <v>-50</v>
      </c>
      <c r="I385" s="259">
        <f>IF($F385="C - land",0,IF($F385="CO2 - atmosfære",VLOOKUP("Permanent græs",Afgrødedata!$A$5:$L$18,MATCH(CONCATENATE("CO2-",'Processer - data'!$C385),Afgrødedata!$A$4:$L$4,0),FALSE),IF($F385="Gødning",-VLOOKUP("Permanent græs",Afgrødedata!$A$5:$L$18,MATCH(CONCATENATE("Kvælstofnorm-",'Processer - data'!$C385),Afgrødedata!$A$4:$L$4,0),FALSE),IF($F385="Halm",VLOOKUP("Permanent græs",Afgrødedata!$A$2:$L$18,MATCH(Afgrødedata!$C$4,Afgrødedata!$A$4:$L$4,0),FALSE)/10,VLOOKUP("Permanent græs",Afgrødedata!$A$2:$L$18,MATCH("Hovedafgrøde",Afgrødedata!$A$4:$L$4,0),FALSE)/10)*IF($C385="OC6",VLOOKUP("Permanent græs",Afgrødedata!$A$2:$L$18,MATCH(Afgrødedata!$E$4,Afgrødedata!$A$4:$L$4,0),FALSE),IF($C385="OC12",VLOOKUP("Permanent græs",Afgrødedata!$A$2:$L$18,MATCH(Afgrødedata!$F$4,Afgrødedata!$A$4:$L$4,0),FALSE),1)))*IF($B385="Økologisk",VLOOKUP("Permanent græs",Afgrødedata!$A$2:$L$18,MATCH(Afgrødedata!$D$4,Afgrødedata!$A$4:$L$4,0),FALSE),1)))</f>
        <v>-50</v>
      </c>
      <c r="J385" s="259">
        <f>IF($F385="C - land",0,IF($F385="CO2 - atmosfære",VLOOKUP("Permanent græs",Afgrødedata!$A$5:$L$18,MATCH(CONCATENATE("CO2-",'Processer - data'!$C385),Afgrødedata!$A$4:$L$4,0),FALSE),IF($F385="Gødning",-VLOOKUP("Permanent græs",Afgrødedata!$A$5:$L$18,MATCH(CONCATENATE("Kvælstofnorm-",'Processer - data'!$C385),Afgrødedata!$A$4:$L$4,0),FALSE),IF($F385="Halm",VLOOKUP("Permanent græs",Afgrødedata!$A$2:$L$18,MATCH(Afgrødedata!$C$4,Afgrødedata!$A$4:$L$4,0),FALSE)/10,VLOOKUP("Permanent græs",Afgrødedata!$A$2:$L$18,MATCH("Hovedafgrøde",Afgrødedata!$A$4:$L$4,0),FALSE)/10)*IF($C385="OC6",VLOOKUP("Permanent græs",Afgrødedata!$A$2:$L$18,MATCH(Afgrødedata!$E$4,Afgrødedata!$A$4:$L$4,0),FALSE),IF($C385="OC12",VLOOKUP("Permanent græs",Afgrødedata!$A$2:$L$18,MATCH(Afgrødedata!$F$4,Afgrødedata!$A$4:$L$4,0),FALSE),1)))*IF($B385="Økologisk",VLOOKUP("Permanent græs",Afgrødedata!$A$2:$L$18,MATCH(Afgrødedata!$D$4,Afgrødedata!$A$4:$L$4,0),FALSE),1)))</f>
        <v>-50</v>
      </c>
      <c r="K385" s="147" t="s">
        <v>540</v>
      </c>
    </row>
    <row r="386" spans="1:11" s="146" customFormat="1" ht="14.7" thickBot="1" x14ac:dyDescent="0.6">
      <c r="A386" s="188" t="s">
        <v>61</v>
      </c>
      <c r="B386" s="182" t="s">
        <v>45</v>
      </c>
      <c r="C386" s="182" t="str">
        <f>Jordbund1</f>
        <v>JB1-10</v>
      </c>
      <c r="D386" s="148" t="s">
        <v>360</v>
      </c>
      <c r="E386" s="148" t="str">
        <f>IFERROR(VLOOKUP(D386,Table2[],2,FALSE),"")</f>
        <v>Hektar</v>
      </c>
      <c r="F386" s="202" t="s">
        <v>344</v>
      </c>
      <c r="G386" s="148" t="str">
        <f>IFERROR(VLOOKUP(F386,Table2[],2,FALSE),"")</f>
        <v>t CO2-ækvivalenter</v>
      </c>
      <c r="H386" s="296">
        <f>IF($F386="C - land",0,IF($F386="CO2 - atmosfære",VLOOKUP("Permanent græs",Afgrødedata!$A$5:$L$18,MATCH(CONCATENATE("CO2-",'Processer - data'!$C386),Afgrødedata!$A$4:$L$4,0),FALSE),IF($F386="Gødning",-VLOOKUP("Permanent græs",Afgrødedata!$A$5:$L$18,MATCH(CONCATENATE("Kvælstofnorm-",'Processer - data'!$C386),Afgrødedata!$A$4:$L$4,0),FALSE),IF($F386="Halm",VLOOKUP("Permanent græs",Afgrødedata!$A$2:$L$18,MATCH(Afgrødedata!$C$4,Afgrødedata!$A$4:$L$4,0),FALSE)/10,VLOOKUP("Permanent græs",Afgrødedata!$A$2:$L$18,MATCH("Hovedafgrøde",Afgrødedata!$A$4:$L$4,0),FALSE)/10)*IF($C386="OC6",VLOOKUP("Permanent græs",Afgrødedata!$A$2:$L$18,MATCH(Afgrødedata!$E$4,Afgrødedata!$A$4:$L$4,0),FALSE),IF($C386="OC12",VLOOKUP("Permanent græs",Afgrødedata!$A$2:$L$18,MATCH(Afgrødedata!$F$4,Afgrødedata!$A$4:$L$4,0),FALSE),1)))*IF($B386="Økologisk",VLOOKUP("Permanent græs",Afgrødedata!$A$2:$L$18,MATCH(Afgrødedata!$D$4,Afgrødedata!$A$4:$L$4,0),FALSE),1)))</f>
        <v>1.9656943674854606</v>
      </c>
      <c r="I386" s="296">
        <f>IF($F386="C - land",0,IF($F386="CO2 - atmosfære",VLOOKUP("Permanent græs",Afgrødedata!$A$5:$L$18,MATCH(CONCATENATE("CO2-",'Processer - data'!$C386),Afgrødedata!$A$4:$L$4,0),FALSE),IF($F386="Gødning",-VLOOKUP("Permanent græs",Afgrødedata!$A$5:$L$18,MATCH(CONCATENATE("Kvælstofnorm-",'Processer - data'!$C386),Afgrødedata!$A$4:$L$4,0),FALSE),IF($F386="Halm",VLOOKUP("Permanent græs",Afgrødedata!$A$2:$L$18,MATCH(Afgrødedata!$C$4,Afgrødedata!$A$4:$L$4,0),FALSE)/10,VLOOKUP("Permanent græs",Afgrødedata!$A$2:$L$18,MATCH("Hovedafgrøde",Afgrødedata!$A$4:$L$4,0),FALSE)/10)*IF($C386="OC6",VLOOKUP("Permanent græs",Afgrødedata!$A$2:$L$18,MATCH(Afgrødedata!$E$4,Afgrødedata!$A$4:$L$4,0),FALSE),IF($C386="OC12",VLOOKUP("Permanent græs",Afgrødedata!$A$2:$L$18,MATCH(Afgrødedata!$F$4,Afgrødedata!$A$4:$L$4,0),FALSE),1)))*IF($B386="Økologisk",VLOOKUP("Permanent græs",Afgrødedata!$A$2:$L$18,MATCH(Afgrødedata!$D$4,Afgrødedata!$A$4:$L$4,0),FALSE),1)))</f>
        <v>1.9656943674854606</v>
      </c>
      <c r="J386" s="296">
        <f>IF($F386="C - land",0,IF($F386="CO2 - atmosfære",VLOOKUP("Permanent græs",Afgrødedata!$A$5:$L$18,MATCH(CONCATENATE("CO2-",'Processer - data'!$C386),Afgrødedata!$A$4:$L$4,0),FALSE),IF($F386="Gødning",-VLOOKUP("Permanent græs",Afgrødedata!$A$5:$L$18,MATCH(CONCATENATE("Kvælstofnorm-",'Processer - data'!$C386),Afgrødedata!$A$4:$L$4,0),FALSE),IF($F386="Halm",VLOOKUP("Permanent græs",Afgrødedata!$A$2:$L$18,MATCH(Afgrødedata!$C$4,Afgrødedata!$A$4:$L$4,0),FALSE)/10,VLOOKUP("Permanent græs",Afgrødedata!$A$2:$L$18,MATCH("Hovedafgrøde",Afgrødedata!$A$4:$L$4,0),FALSE)/10)*IF($C386="OC6",VLOOKUP("Permanent græs",Afgrødedata!$A$2:$L$18,MATCH(Afgrødedata!$E$4,Afgrødedata!$A$4:$L$4,0),FALSE),IF($C386="OC12",VLOOKUP("Permanent græs",Afgrødedata!$A$2:$L$18,MATCH(Afgrødedata!$F$4,Afgrødedata!$A$4:$L$4,0),FALSE),1)))*IF($B386="Økologisk",VLOOKUP("Permanent græs",Afgrødedata!$A$2:$L$18,MATCH(Afgrødedata!$D$4,Afgrødedata!$A$4:$L$4,0),FALSE),1)))</f>
        <v>1.9656943674854606</v>
      </c>
      <c r="K386" s="149" t="s">
        <v>540</v>
      </c>
    </row>
    <row r="387" spans="1:11" s="146" customFormat="1" ht="14.7" thickTop="1" x14ac:dyDescent="0.55000000000000004">
      <c r="A387" s="186" t="s">
        <v>61</v>
      </c>
      <c r="B387" s="180" t="s">
        <v>45</v>
      </c>
      <c r="C387" s="180" t="str">
        <f>Organ6</f>
        <v>OC6</v>
      </c>
      <c r="D387" s="144" t="s">
        <v>360</v>
      </c>
      <c r="E387" s="144" t="str">
        <f>IFERROR(VLOOKUP(D387,Table2[],2,FALSE),"")</f>
        <v>Hektar</v>
      </c>
      <c r="F387" s="144" t="s">
        <v>13</v>
      </c>
      <c r="G387" s="144" t="str">
        <f>IFERROR(VLOOKUP(F387,Table2[],2,FALSE),"")</f>
        <v>Ton</v>
      </c>
      <c r="H387" s="258">
        <f>IF($F387="C - land",0,IF($F387="CO2 - atmosfære",VLOOKUP("Permanent græs",Afgrødedata!$A$5:$L$18,MATCH(CONCATENATE("CO2-",'Processer - data'!$C387),Afgrødedata!$A$4:$L$4,0),FALSE),IF($F387="Gødning",-VLOOKUP("Permanent græs",Afgrødedata!$A$5:$L$18,MATCH(CONCATENATE("Kvælstofnorm-",'Processer - data'!$C387),Afgrødedata!$A$4:$L$4,0),FALSE),IF($F387="Halm",VLOOKUP("Permanent græs",Afgrødedata!$A$2:$L$18,MATCH(Afgrødedata!$C$4,Afgrødedata!$A$4:$L$4,0),FALSE)/10,VLOOKUP("Permanent græs",Afgrødedata!$A$2:$L$18,MATCH("Hovedafgrøde",Afgrødedata!$A$4:$L$4,0),FALSE)/10)*IF($C387="OC6",VLOOKUP("Permanent græs",Afgrødedata!$A$2:$L$18,MATCH(Afgrødedata!$E$4,Afgrødedata!$A$4:$L$4,0),FALSE),IF($C387="OC12",VLOOKUP("Permanent græs",Afgrødedata!$A$2:$L$18,MATCH(Afgrødedata!$F$4,Afgrødedata!$A$4:$L$4,0),FALSE),1)))*IF($B387="Økologisk",VLOOKUP("Permanent græs",Afgrødedata!$A$2:$L$18,MATCH(Afgrødedata!$D$4,Afgrødedata!$A$4:$L$4,0),FALSE),1)))</f>
        <v>16.548000000000002</v>
      </c>
      <c r="I387" s="258">
        <f>IF($F387="C - land",0,IF($F387="CO2 - atmosfære",VLOOKUP("Permanent græs",Afgrødedata!$A$5:$L$18,MATCH(CONCATENATE("CO2-",'Processer - data'!$C387),Afgrødedata!$A$4:$L$4,0),FALSE),IF($F387="Gødning",-VLOOKUP("Permanent græs",Afgrødedata!$A$5:$L$18,MATCH(CONCATENATE("Kvælstofnorm-",'Processer - data'!$C387),Afgrødedata!$A$4:$L$4,0),FALSE),IF($F387="Halm",VLOOKUP("Permanent græs",Afgrødedata!$A$2:$L$18,MATCH(Afgrødedata!$C$4,Afgrødedata!$A$4:$L$4,0),FALSE)/10,VLOOKUP("Permanent græs",Afgrødedata!$A$2:$L$18,MATCH("Hovedafgrøde",Afgrødedata!$A$4:$L$4,0),FALSE)/10)*IF($C387="OC6",VLOOKUP("Permanent græs",Afgrødedata!$A$2:$L$18,MATCH(Afgrødedata!$E$4,Afgrødedata!$A$4:$L$4,0),FALSE),IF($C387="OC12",VLOOKUP("Permanent græs",Afgrødedata!$A$2:$L$18,MATCH(Afgrødedata!$F$4,Afgrødedata!$A$4:$L$4,0),FALSE),1)))*IF($B387="Økologisk",VLOOKUP("Permanent græs",Afgrødedata!$A$2:$L$18,MATCH(Afgrødedata!$D$4,Afgrødedata!$A$4:$L$4,0),FALSE),1)))</f>
        <v>16.548000000000002</v>
      </c>
      <c r="J387" s="258">
        <f>IF($F387="C - land",0,IF($F387="CO2 - atmosfære",VLOOKUP("Permanent græs",Afgrødedata!$A$5:$L$18,MATCH(CONCATENATE("CO2-",'Processer - data'!$C387),Afgrødedata!$A$4:$L$4,0),FALSE),IF($F387="Gødning",-VLOOKUP("Permanent græs",Afgrødedata!$A$5:$L$18,MATCH(CONCATENATE("Kvælstofnorm-",'Processer - data'!$C387),Afgrødedata!$A$4:$L$4,0),FALSE),IF($F387="Halm",VLOOKUP("Permanent græs",Afgrødedata!$A$2:$L$18,MATCH(Afgrødedata!$C$4,Afgrødedata!$A$4:$L$4,0),FALSE)/10,VLOOKUP("Permanent græs",Afgrødedata!$A$2:$L$18,MATCH("Hovedafgrøde",Afgrødedata!$A$4:$L$4,0),FALSE)/10)*IF($C387="OC6",VLOOKUP("Permanent græs",Afgrødedata!$A$2:$L$18,MATCH(Afgrødedata!$E$4,Afgrødedata!$A$4:$L$4,0),FALSE),IF($C387="OC12",VLOOKUP("Permanent græs",Afgrødedata!$A$2:$L$18,MATCH(Afgrødedata!$F$4,Afgrødedata!$A$4:$L$4,0),FALSE),1)))*IF($B387="Økologisk",VLOOKUP("Permanent græs",Afgrødedata!$A$2:$L$18,MATCH(Afgrødedata!$D$4,Afgrødedata!$A$4:$L$4,0),FALSE),1)))</f>
        <v>16.548000000000002</v>
      </c>
      <c r="K387" s="145" t="s">
        <v>540</v>
      </c>
    </row>
    <row r="388" spans="1:11" s="146" customFormat="1" x14ac:dyDescent="0.55000000000000004">
      <c r="A388" s="187" t="s">
        <v>61</v>
      </c>
      <c r="B388" s="181" t="s">
        <v>45</v>
      </c>
      <c r="C388" s="181" t="str">
        <f>Organ6</f>
        <v>OC6</v>
      </c>
      <c r="D388" s="146" t="s">
        <v>360</v>
      </c>
      <c r="E388" s="146" t="str">
        <f>IFERROR(VLOOKUP(D388,Table2[],2,FALSE),"")</f>
        <v>Hektar</v>
      </c>
      <c r="F388" s="146" t="s">
        <v>303</v>
      </c>
      <c r="G388" s="146" t="str">
        <f>IFERROR(VLOOKUP(F388,Table2[],2,FALSE),"")</f>
        <v>kg N</v>
      </c>
      <c r="H388" s="259">
        <f>IF($F388="C - land",0,IF($F388="CO2 - atmosfære",VLOOKUP("Permanent græs",Afgrødedata!$A$5:$L$18,MATCH(CONCATENATE("CO2-",'Processer - data'!$C388),Afgrødedata!$A$4:$L$4,0),FALSE),IF($F388="Gødning",-VLOOKUP("Permanent græs",Afgrødedata!$A$5:$L$18,MATCH(CONCATENATE("Kvælstofnorm-",'Processer - data'!$C388),Afgrødedata!$A$4:$L$4,0),FALSE),IF($F388="Halm",VLOOKUP("Permanent græs",Afgrødedata!$A$2:$L$18,MATCH(Afgrødedata!$C$4,Afgrødedata!$A$4:$L$4,0),FALSE)/10,VLOOKUP("Permanent græs",Afgrødedata!$A$2:$L$18,MATCH("Hovedafgrøde",Afgrødedata!$A$4:$L$4,0),FALSE)/10)*IF($C388="OC6",VLOOKUP("Permanent græs",Afgrødedata!$A$2:$L$18,MATCH(Afgrødedata!$E$4,Afgrødedata!$A$4:$L$4,0),FALSE),IF($C388="OC12",VLOOKUP("Permanent græs",Afgrødedata!$A$2:$L$18,MATCH(Afgrødedata!$F$4,Afgrødedata!$A$4:$L$4,0),FALSE),1)))*IF($B388="Økologisk",VLOOKUP("Permanent græs",Afgrødedata!$A$2:$L$18,MATCH(Afgrødedata!$D$4,Afgrødedata!$A$4:$L$4,0),FALSE),1)))</f>
        <v>-50</v>
      </c>
      <c r="I388" s="259">
        <f>IF($F388="C - land",0,IF($F388="CO2 - atmosfære",VLOOKUP("Permanent græs",Afgrødedata!$A$5:$L$18,MATCH(CONCATENATE("CO2-",'Processer - data'!$C388),Afgrødedata!$A$4:$L$4,0),FALSE),IF($F388="Gødning",-VLOOKUP("Permanent græs",Afgrødedata!$A$5:$L$18,MATCH(CONCATENATE("Kvælstofnorm-",'Processer - data'!$C388),Afgrødedata!$A$4:$L$4,0),FALSE),IF($F388="Halm",VLOOKUP("Permanent græs",Afgrødedata!$A$2:$L$18,MATCH(Afgrødedata!$C$4,Afgrødedata!$A$4:$L$4,0),FALSE)/10,VLOOKUP("Permanent græs",Afgrødedata!$A$2:$L$18,MATCH("Hovedafgrøde",Afgrødedata!$A$4:$L$4,0),FALSE)/10)*IF($C388="OC6",VLOOKUP("Permanent græs",Afgrødedata!$A$2:$L$18,MATCH(Afgrødedata!$E$4,Afgrødedata!$A$4:$L$4,0),FALSE),IF($C388="OC12",VLOOKUP("Permanent græs",Afgrødedata!$A$2:$L$18,MATCH(Afgrødedata!$F$4,Afgrødedata!$A$4:$L$4,0),FALSE),1)))*IF($B388="Økologisk",VLOOKUP("Permanent græs",Afgrødedata!$A$2:$L$18,MATCH(Afgrødedata!$D$4,Afgrødedata!$A$4:$L$4,0),FALSE),1)))</f>
        <v>-50</v>
      </c>
      <c r="J388" s="259">
        <f>IF($F388="C - land",0,IF($F388="CO2 - atmosfære",VLOOKUP("Permanent græs",Afgrødedata!$A$5:$L$18,MATCH(CONCATENATE("CO2-",'Processer - data'!$C388),Afgrødedata!$A$4:$L$4,0),FALSE),IF($F388="Gødning",-VLOOKUP("Permanent græs",Afgrødedata!$A$5:$L$18,MATCH(CONCATENATE("Kvælstofnorm-",'Processer - data'!$C388),Afgrødedata!$A$4:$L$4,0),FALSE),IF($F388="Halm",VLOOKUP("Permanent græs",Afgrødedata!$A$2:$L$18,MATCH(Afgrødedata!$C$4,Afgrødedata!$A$4:$L$4,0),FALSE)/10,VLOOKUP("Permanent græs",Afgrødedata!$A$2:$L$18,MATCH("Hovedafgrøde",Afgrødedata!$A$4:$L$4,0),FALSE)/10)*IF($C388="OC6",VLOOKUP("Permanent græs",Afgrødedata!$A$2:$L$18,MATCH(Afgrødedata!$E$4,Afgrødedata!$A$4:$L$4,0),FALSE),IF($C388="OC12",VLOOKUP("Permanent græs",Afgrødedata!$A$2:$L$18,MATCH(Afgrødedata!$F$4,Afgrødedata!$A$4:$L$4,0),FALSE),1)))*IF($B388="Økologisk",VLOOKUP("Permanent græs",Afgrødedata!$A$2:$L$18,MATCH(Afgrødedata!$D$4,Afgrødedata!$A$4:$L$4,0),FALSE),1)))</f>
        <v>-50</v>
      </c>
      <c r="K388" s="147" t="s">
        <v>540</v>
      </c>
    </row>
    <row r="389" spans="1:11" s="146" customFormat="1" ht="14.7" thickBot="1" x14ac:dyDescent="0.6">
      <c r="A389" s="188" t="s">
        <v>61</v>
      </c>
      <c r="B389" s="182" t="s">
        <v>45</v>
      </c>
      <c r="C389" s="182" t="str">
        <f>Organ6</f>
        <v>OC6</v>
      </c>
      <c r="D389" s="148" t="s">
        <v>360</v>
      </c>
      <c r="E389" s="148" t="str">
        <f>IFERROR(VLOOKUP(D389,Table2[],2,FALSE),"")</f>
        <v>Hektar</v>
      </c>
      <c r="F389" s="202" t="s">
        <v>344</v>
      </c>
      <c r="G389" s="148" t="str">
        <f>IFERROR(VLOOKUP(F389,Table2[],2,FALSE),"")</f>
        <v>t CO2-ækvivalenter</v>
      </c>
      <c r="H389" s="296">
        <f>IF($F389="C - land",0,IF($F389="CO2 - atmosfære",VLOOKUP("Permanent græs",Afgrødedata!$A$5:$L$18,MATCH(CONCATENATE("CO2-",'Processer - data'!$C389),Afgrødedata!$A$4:$L$4,0),FALSE),IF($F389="Gødning",-VLOOKUP("Permanent græs",Afgrødedata!$A$5:$L$18,MATCH(CONCATENATE("Kvælstofnorm-",'Processer - data'!$C389),Afgrødedata!$A$4:$L$4,0),FALSE),IF($F389="Halm",VLOOKUP("Permanent græs",Afgrødedata!$A$2:$L$18,MATCH(Afgrødedata!$C$4,Afgrødedata!$A$4:$L$4,0),FALSE)/10,VLOOKUP("Permanent græs",Afgrødedata!$A$2:$L$18,MATCH("Hovedafgrøde",Afgrødedata!$A$4:$L$4,0),FALSE)/10)*IF($C389="OC6",VLOOKUP("Permanent græs",Afgrødedata!$A$2:$L$18,MATCH(Afgrødedata!$E$4,Afgrødedata!$A$4:$L$4,0),FALSE),IF($C389="OC12",VLOOKUP("Permanent græs",Afgrødedata!$A$2:$L$18,MATCH(Afgrødedata!$F$4,Afgrødedata!$A$4:$L$4,0),FALSE),1)))*IF($B389="Økologisk",VLOOKUP("Permanent græs",Afgrødedata!$A$2:$L$18,MATCH(Afgrødedata!$D$4,Afgrødedata!$A$4:$L$4,0),FALSE),1)))</f>
        <v>10.661694367485461</v>
      </c>
      <c r="I389" s="296">
        <f>IF($F389="C - land",0,IF($F389="CO2 - atmosfære",VLOOKUP("Permanent græs",Afgrødedata!$A$5:$L$18,MATCH(CONCATENATE("CO2-",'Processer - data'!$C389),Afgrødedata!$A$4:$L$4,0),FALSE),IF($F389="Gødning",-VLOOKUP("Permanent græs",Afgrødedata!$A$5:$L$18,MATCH(CONCATENATE("Kvælstofnorm-",'Processer - data'!$C389),Afgrødedata!$A$4:$L$4,0),FALSE),IF($F389="Halm",VLOOKUP("Permanent græs",Afgrødedata!$A$2:$L$18,MATCH(Afgrødedata!$C$4,Afgrødedata!$A$4:$L$4,0),FALSE)/10,VLOOKUP("Permanent græs",Afgrødedata!$A$2:$L$18,MATCH("Hovedafgrøde",Afgrødedata!$A$4:$L$4,0),FALSE)/10)*IF($C389="OC6",VLOOKUP("Permanent græs",Afgrødedata!$A$2:$L$18,MATCH(Afgrødedata!$E$4,Afgrødedata!$A$4:$L$4,0),FALSE),IF($C389="OC12",VLOOKUP("Permanent græs",Afgrødedata!$A$2:$L$18,MATCH(Afgrødedata!$F$4,Afgrødedata!$A$4:$L$4,0),FALSE),1)))*IF($B389="Økologisk",VLOOKUP("Permanent græs",Afgrødedata!$A$2:$L$18,MATCH(Afgrødedata!$D$4,Afgrødedata!$A$4:$L$4,0),FALSE),1)))</f>
        <v>10.661694367485461</v>
      </c>
      <c r="J389" s="296">
        <f>IF($F389="C - land",0,IF($F389="CO2 - atmosfære",VLOOKUP("Permanent græs",Afgrødedata!$A$5:$L$18,MATCH(CONCATENATE("CO2-",'Processer - data'!$C389),Afgrødedata!$A$4:$L$4,0),FALSE),IF($F389="Gødning",-VLOOKUP("Permanent græs",Afgrødedata!$A$5:$L$18,MATCH(CONCATENATE("Kvælstofnorm-",'Processer - data'!$C389),Afgrødedata!$A$4:$L$4,0),FALSE),IF($F389="Halm",VLOOKUP("Permanent græs",Afgrødedata!$A$2:$L$18,MATCH(Afgrødedata!$C$4,Afgrødedata!$A$4:$L$4,0),FALSE)/10,VLOOKUP("Permanent græs",Afgrødedata!$A$2:$L$18,MATCH("Hovedafgrøde",Afgrødedata!$A$4:$L$4,0),FALSE)/10)*IF($C389="OC6",VLOOKUP("Permanent græs",Afgrødedata!$A$2:$L$18,MATCH(Afgrødedata!$E$4,Afgrødedata!$A$4:$L$4,0),FALSE),IF($C389="OC12",VLOOKUP("Permanent græs",Afgrødedata!$A$2:$L$18,MATCH(Afgrødedata!$F$4,Afgrødedata!$A$4:$L$4,0),FALSE),1)))*IF($B389="Økologisk",VLOOKUP("Permanent græs",Afgrødedata!$A$2:$L$18,MATCH(Afgrødedata!$D$4,Afgrødedata!$A$4:$L$4,0),FALSE),1)))</f>
        <v>10.661694367485461</v>
      </c>
      <c r="K389" s="149" t="s">
        <v>540</v>
      </c>
    </row>
    <row r="390" spans="1:11" s="146" customFormat="1" ht="14.7" thickTop="1" x14ac:dyDescent="0.55000000000000004">
      <c r="A390" s="186" t="s">
        <v>61</v>
      </c>
      <c r="B390" s="180" t="s">
        <v>45</v>
      </c>
      <c r="C390" s="180" t="str">
        <f>Organ12</f>
        <v>OC12</v>
      </c>
      <c r="D390" s="144" t="s">
        <v>360</v>
      </c>
      <c r="E390" s="144" t="str">
        <f>IFERROR(VLOOKUP(D390,Table2[],2,FALSE),"")</f>
        <v>Hektar</v>
      </c>
      <c r="F390" s="144" t="s">
        <v>13</v>
      </c>
      <c r="G390" s="144" t="str">
        <f>IFERROR(VLOOKUP(F390,Table2[],2,FALSE),"")</f>
        <v>Ton</v>
      </c>
      <c r="H390" s="258">
        <f>IF($F390="C - land",0,IF($F390="CO2 - atmosfære",VLOOKUP("Permanent græs",Afgrødedata!$A$5:$L$18,MATCH(CONCATENATE("CO2-",'Processer - data'!$C390),Afgrødedata!$A$4:$L$4,0),FALSE),IF($F390="Gødning",-VLOOKUP("Permanent græs",Afgrødedata!$A$5:$L$18,MATCH(CONCATENATE("Kvælstofnorm-",'Processer - data'!$C390),Afgrødedata!$A$4:$L$4,0),FALSE),IF($F390="Halm",VLOOKUP("Permanent græs",Afgrødedata!$A$2:$L$18,MATCH(Afgrødedata!$C$4,Afgrødedata!$A$4:$L$4,0),FALSE)/10,VLOOKUP("Permanent græs",Afgrødedata!$A$2:$L$18,MATCH("Hovedafgrøde",Afgrødedata!$A$4:$L$4,0),FALSE)/10)*IF($C390="OC6",VLOOKUP("Permanent græs",Afgrødedata!$A$2:$L$18,MATCH(Afgrødedata!$E$4,Afgrødedata!$A$4:$L$4,0),FALSE),IF($C390="OC12",VLOOKUP("Permanent græs",Afgrødedata!$A$2:$L$18,MATCH(Afgrødedata!$F$4,Afgrødedata!$A$4:$L$4,0),FALSE),1)))*IF($B390="Økologisk",VLOOKUP("Permanent græs",Afgrødedata!$A$2:$L$18,MATCH(Afgrødedata!$D$4,Afgrødedata!$A$4:$L$4,0),FALSE),1)))</f>
        <v>19.306000000000001</v>
      </c>
      <c r="I390" s="258">
        <f>IF($F390="C - land",0,IF($F390="CO2 - atmosfære",VLOOKUP("Permanent græs",Afgrødedata!$A$5:$L$18,MATCH(CONCATENATE("CO2-",'Processer - data'!$C390),Afgrødedata!$A$4:$L$4,0),FALSE),IF($F390="Gødning",-VLOOKUP("Permanent græs",Afgrødedata!$A$5:$L$18,MATCH(CONCATENATE("Kvælstofnorm-",'Processer - data'!$C390),Afgrødedata!$A$4:$L$4,0),FALSE),IF($F390="Halm",VLOOKUP("Permanent græs",Afgrødedata!$A$2:$L$18,MATCH(Afgrødedata!$C$4,Afgrødedata!$A$4:$L$4,0),FALSE)/10,VLOOKUP("Permanent græs",Afgrødedata!$A$2:$L$18,MATCH("Hovedafgrøde",Afgrødedata!$A$4:$L$4,0),FALSE)/10)*IF($C390="OC6",VLOOKUP("Permanent græs",Afgrødedata!$A$2:$L$18,MATCH(Afgrødedata!$E$4,Afgrødedata!$A$4:$L$4,0),FALSE),IF($C390="OC12",VLOOKUP("Permanent græs",Afgrødedata!$A$2:$L$18,MATCH(Afgrødedata!$F$4,Afgrødedata!$A$4:$L$4,0),FALSE),1)))*IF($B390="Økologisk",VLOOKUP("Permanent græs",Afgrødedata!$A$2:$L$18,MATCH(Afgrødedata!$D$4,Afgrødedata!$A$4:$L$4,0),FALSE),1)))</f>
        <v>19.306000000000001</v>
      </c>
      <c r="J390" s="258">
        <f>IF($F390="C - land",0,IF($F390="CO2 - atmosfære",VLOOKUP("Permanent græs",Afgrødedata!$A$5:$L$18,MATCH(CONCATENATE("CO2-",'Processer - data'!$C390),Afgrødedata!$A$4:$L$4,0),FALSE),IF($F390="Gødning",-VLOOKUP("Permanent græs",Afgrødedata!$A$5:$L$18,MATCH(CONCATENATE("Kvælstofnorm-",'Processer - data'!$C390),Afgrødedata!$A$4:$L$4,0),FALSE),IF($F390="Halm",VLOOKUP("Permanent græs",Afgrødedata!$A$2:$L$18,MATCH(Afgrødedata!$C$4,Afgrødedata!$A$4:$L$4,0),FALSE)/10,VLOOKUP("Permanent græs",Afgrødedata!$A$2:$L$18,MATCH("Hovedafgrøde",Afgrødedata!$A$4:$L$4,0),FALSE)/10)*IF($C390="OC6",VLOOKUP("Permanent græs",Afgrødedata!$A$2:$L$18,MATCH(Afgrødedata!$E$4,Afgrødedata!$A$4:$L$4,0),FALSE),IF($C390="OC12",VLOOKUP("Permanent græs",Afgrødedata!$A$2:$L$18,MATCH(Afgrødedata!$F$4,Afgrødedata!$A$4:$L$4,0),FALSE),1)))*IF($B390="Økologisk",VLOOKUP("Permanent græs",Afgrødedata!$A$2:$L$18,MATCH(Afgrødedata!$D$4,Afgrødedata!$A$4:$L$4,0),FALSE),1)))</f>
        <v>19.306000000000001</v>
      </c>
      <c r="K390" s="145" t="s">
        <v>540</v>
      </c>
    </row>
    <row r="391" spans="1:11" s="146" customFormat="1" x14ac:dyDescent="0.55000000000000004">
      <c r="A391" s="187" t="s">
        <v>61</v>
      </c>
      <c r="B391" s="181" t="s">
        <v>45</v>
      </c>
      <c r="C391" s="181" t="str">
        <f>Organ12</f>
        <v>OC12</v>
      </c>
      <c r="D391" s="146" t="s">
        <v>360</v>
      </c>
      <c r="E391" s="146" t="str">
        <f>IFERROR(VLOOKUP(D391,Table2[],2,FALSE),"")</f>
        <v>Hektar</v>
      </c>
      <c r="F391" s="146" t="s">
        <v>303</v>
      </c>
      <c r="G391" s="146" t="str">
        <f>IFERROR(VLOOKUP(F391,Table2[],2,FALSE),"")</f>
        <v>kg N</v>
      </c>
      <c r="H391" s="259">
        <f>IF($F391="C - land",0,IF($F391="CO2 - atmosfære",VLOOKUP("Permanent græs",Afgrødedata!$A$5:$L$18,MATCH(CONCATENATE("CO2-",'Processer - data'!$C391),Afgrødedata!$A$4:$L$4,0),FALSE),IF($F391="Gødning",-VLOOKUP("Permanent græs",Afgrødedata!$A$5:$L$18,MATCH(CONCATENATE("Kvælstofnorm-",'Processer - data'!$C391),Afgrødedata!$A$4:$L$4,0),FALSE),IF($F391="Halm",VLOOKUP("Permanent græs",Afgrødedata!$A$2:$L$18,MATCH(Afgrødedata!$C$4,Afgrødedata!$A$4:$L$4,0),FALSE)/10,VLOOKUP("Permanent græs",Afgrødedata!$A$2:$L$18,MATCH("Hovedafgrøde",Afgrødedata!$A$4:$L$4,0),FALSE)/10)*IF($C391="OC6",VLOOKUP("Permanent græs",Afgrødedata!$A$2:$L$18,MATCH(Afgrødedata!$E$4,Afgrødedata!$A$4:$L$4,0),FALSE),IF($C391="OC12",VLOOKUP("Permanent græs",Afgrødedata!$A$2:$L$18,MATCH(Afgrødedata!$F$4,Afgrødedata!$A$4:$L$4,0),FALSE),1)))*IF($B391="Økologisk",VLOOKUP("Permanent græs",Afgrødedata!$A$2:$L$18,MATCH(Afgrødedata!$D$4,Afgrødedata!$A$4:$L$4,0),FALSE),1)))</f>
        <v>-50</v>
      </c>
      <c r="I391" s="259">
        <f>IF($F391="C - land",0,IF($F391="CO2 - atmosfære",VLOOKUP("Permanent græs",Afgrødedata!$A$5:$L$18,MATCH(CONCATENATE("CO2-",'Processer - data'!$C391),Afgrødedata!$A$4:$L$4,0),FALSE),IF($F391="Gødning",-VLOOKUP("Permanent græs",Afgrødedata!$A$5:$L$18,MATCH(CONCATENATE("Kvælstofnorm-",'Processer - data'!$C391),Afgrødedata!$A$4:$L$4,0),FALSE),IF($F391="Halm",VLOOKUP("Permanent græs",Afgrødedata!$A$2:$L$18,MATCH(Afgrødedata!$C$4,Afgrødedata!$A$4:$L$4,0),FALSE)/10,VLOOKUP("Permanent græs",Afgrødedata!$A$2:$L$18,MATCH("Hovedafgrøde",Afgrødedata!$A$4:$L$4,0),FALSE)/10)*IF($C391="OC6",VLOOKUP("Permanent græs",Afgrødedata!$A$2:$L$18,MATCH(Afgrødedata!$E$4,Afgrødedata!$A$4:$L$4,0),FALSE),IF($C391="OC12",VLOOKUP("Permanent græs",Afgrødedata!$A$2:$L$18,MATCH(Afgrødedata!$F$4,Afgrødedata!$A$4:$L$4,0),FALSE),1)))*IF($B391="Økologisk",VLOOKUP("Permanent græs",Afgrødedata!$A$2:$L$18,MATCH(Afgrødedata!$D$4,Afgrødedata!$A$4:$L$4,0),FALSE),1)))</f>
        <v>-50</v>
      </c>
      <c r="J391" s="259">
        <f>IF($F391="C - land",0,IF($F391="CO2 - atmosfære",VLOOKUP("Permanent græs",Afgrødedata!$A$5:$L$18,MATCH(CONCATENATE("CO2-",'Processer - data'!$C391),Afgrødedata!$A$4:$L$4,0),FALSE),IF($F391="Gødning",-VLOOKUP("Permanent græs",Afgrødedata!$A$5:$L$18,MATCH(CONCATENATE("Kvælstofnorm-",'Processer - data'!$C391),Afgrødedata!$A$4:$L$4,0),FALSE),IF($F391="Halm",VLOOKUP("Permanent græs",Afgrødedata!$A$2:$L$18,MATCH(Afgrødedata!$C$4,Afgrødedata!$A$4:$L$4,0),FALSE)/10,VLOOKUP("Permanent græs",Afgrødedata!$A$2:$L$18,MATCH("Hovedafgrøde",Afgrødedata!$A$4:$L$4,0),FALSE)/10)*IF($C391="OC6",VLOOKUP("Permanent græs",Afgrødedata!$A$2:$L$18,MATCH(Afgrødedata!$E$4,Afgrødedata!$A$4:$L$4,0),FALSE),IF($C391="OC12",VLOOKUP("Permanent græs",Afgrødedata!$A$2:$L$18,MATCH(Afgrødedata!$F$4,Afgrødedata!$A$4:$L$4,0),FALSE),1)))*IF($B391="Økologisk",VLOOKUP("Permanent græs",Afgrødedata!$A$2:$L$18,MATCH(Afgrødedata!$D$4,Afgrødedata!$A$4:$L$4,0),FALSE),1)))</f>
        <v>-50</v>
      </c>
      <c r="K391" s="147" t="s">
        <v>540</v>
      </c>
    </row>
    <row r="392" spans="1:11" s="146" customFormat="1" ht="14.7" thickBot="1" x14ac:dyDescent="0.6">
      <c r="A392" s="188" t="s">
        <v>61</v>
      </c>
      <c r="B392" s="182" t="s">
        <v>45</v>
      </c>
      <c r="C392" s="182" t="str">
        <f>Organ12</f>
        <v>OC12</v>
      </c>
      <c r="D392" s="148" t="s">
        <v>360</v>
      </c>
      <c r="E392" s="148" t="str">
        <f>IFERROR(VLOOKUP(D392,Table2[],2,FALSE),"")</f>
        <v>Hektar</v>
      </c>
      <c r="F392" s="202" t="s">
        <v>344</v>
      </c>
      <c r="G392" s="148" t="str">
        <f>IFERROR(VLOOKUP(F392,Table2[],2,FALSE),"")</f>
        <v>t CO2-ækvivalenter</v>
      </c>
      <c r="H392" s="296">
        <f>IF($F392="C - land",0,IF($F392="CO2 - atmosfære",VLOOKUP("Permanent græs",Afgrødedata!$A$5:$L$18,MATCH(CONCATENATE("CO2-",'Processer - data'!$C392),Afgrødedata!$A$4:$L$4,0),FALSE),IF($F392="Gødning",-VLOOKUP("Permanent græs",Afgrødedata!$A$5:$L$18,MATCH(CONCATENATE("Kvælstofnorm-",'Processer - data'!$C392),Afgrødedata!$A$4:$L$4,0),FALSE),IF($F392="Halm",VLOOKUP("Permanent græs",Afgrødedata!$A$2:$L$18,MATCH(Afgrødedata!$C$4,Afgrødedata!$A$4:$L$4,0),FALSE)/10,VLOOKUP("Permanent græs",Afgrødedata!$A$2:$L$18,MATCH("Hovedafgrøde",Afgrødedata!$A$4:$L$4,0),FALSE)/10)*IF($C392="OC6",VLOOKUP("Permanent græs",Afgrødedata!$A$2:$L$18,MATCH(Afgrødedata!$E$4,Afgrødedata!$A$4:$L$4,0),FALSE),IF($C392="OC12",VLOOKUP("Permanent græs",Afgrødedata!$A$2:$L$18,MATCH(Afgrødedata!$F$4,Afgrødedata!$A$4:$L$4,0),FALSE),1)))*IF($B392="Økologisk",VLOOKUP("Permanent græs",Afgrødedata!$A$2:$L$18,MATCH(Afgrødedata!$D$4,Afgrødedata!$A$4:$L$4,0),FALSE),1)))</f>
        <v>28.501694367485467</v>
      </c>
      <c r="I392" s="296">
        <f>IF($F392="C - land",0,IF($F392="CO2 - atmosfære",VLOOKUP("Permanent græs",Afgrødedata!$A$5:$L$18,MATCH(CONCATENATE("CO2-",'Processer - data'!$C392),Afgrødedata!$A$4:$L$4,0),FALSE),IF($F392="Gødning",-VLOOKUP("Permanent græs",Afgrødedata!$A$5:$L$18,MATCH(CONCATENATE("Kvælstofnorm-",'Processer - data'!$C392),Afgrødedata!$A$4:$L$4,0),FALSE),IF($F392="Halm",VLOOKUP("Permanent græs",Afgrødedata!$A$2:$L$18,MATCH(Afgrødedata!$C$4,Afgrødedata!$A$4:$L$4,0),FALSE)/10,VLOOKUP("Permanent græs",Afgrødedata!$A$2:$L$18,MATCH("Hovedafgrøde",Afgrødedata!$A$4:$L$4,0),FALSE)/10)*IF($C392="OC6",VLOOKUP("Permanent græs",Afgrødedata!$A$2:$L$18,MATCH(Afgrødedata!$E$4,Afgrødedata!$A$4:$L$4,0),FALSE),IF($C392="OC12",VLOOKUP("Permanent græs",Afgrødedata!$A$2:$L$18,MATCH(Afgrødedata!$F$4,Afgrødedata!$A$4:$L$4,0),FALSE),1)))*IF($B392="Økologisk",VLOOKUP("Permanent græs",Afgrødedata!$A$2:$L$18,MATCH(Afgrødedata!$D$4,Afgrødedata!$A$4:$L$4,0),FALSE),1)))</f>
        <v>28.501694367485467</v>
      </c>
      <c r="J392" s="296">
        <f>IF($F392="C - land",0,IF($F392="CO2 - atmosfære",VLOOKUP("Permanent græs",Afgrødedata!$A$5:$L$18,MATCH(CONCATENATE("CO2-",'Processer - data'!$C392),Afgrødedata!$A$4:$L$4,0),FALSE),IF($F392="Gødning",-VLOOKUP("Permanent græs",Afgrødedata!$A$5:$L$18,MATCH(CONCATENATE("Kvælstofnorm-",'Processer - data'!$C392),Afgrødedata!$A$4:$L$4,0),FALSE),IF($F392="Halm",VLOOKUP("Permanent græs",Afgrødedata!$A$2:$L$18,MATCH(Afgrødedata!$C$4,Afgrødedata!$A$4:$L$4,0),FALSE)/10,VLOOKUP("Permanent græs",Afgrødedata!$A$2:$L$18,MATCH("Hovedafgrøde",Afgrødedata!$A$4:$L$4,0),FALSE)/10)*IF($C392="OC6",VLOOKUP("Permanent græs",Afgrødedata!$A$2:$L$18,MATCH(Afgrødedata!$E$4,Afgrødedata!$A$4:$L$4,0),FALSE),IF($C392="OC12",VLOOKUP("Permanent græs",Afgrødedata!$A$2:$L$18,MATCH(Afgrødedata!$F$4,Afgrødedata!$A$4:$L$4,0),FALSE),1)))*IF($B392="Økologisk",VLOOKUP("Permanent græs",Afgrødedata!$A$2:$L$18,MATCH(Afgrødedata!$D$4,Afgrødedata!$A$4:$L$4,0),FALSE),1)))</f>
        <v>28.501694367485467</v>
      </c>
      <c r="K392" s="149" t="s">
        <v>540</v>
      </c>
    </row>
    <row r="393" spans="1:11" s="146" customFormat="1" ht="14.7" thickTop="1" x14ac:dyDescent="0.55000000000000004">
      <c r="A393" s="186" t="s">
        <v>61</v>
      </c>
      <c r="B393" s="180" t="s">
        <v>46</v>
      </c>
      <c r="C393" s="180" t="str">
        <f>Jordbund1</f>
        <v>JB1-10</v>
      </c>
      <c r="D393" s="144" t="s">
        <v>360</v>
      </c>
      <c r="E393" s="144" t="str">
        <f>IFERROR(VLOOKUP(D393,Table2[],2,FALSE),"")</f>
        <v>Hektar</v>
      </c>
      <c r="F393" s="144" t="s">
        <v>13</v>
      </c>
      <c r="G393" s="144" t="str">
        <f>IFERROR(VLOOKUP(F393,Table2[],2,FALSE),"")</f>
        <v>Ton</v>
      </c>
      <c r="H393" s="258">
        <f>IF($F393="C - land",0,IF($F393="CO2 - atmosfære",VLOOKUP("Permanent græs",Afgrødedata!$A$5:$L$18,MATCH(CONCATENATE("CO2-",'Processer - data'!$C393),Afgrødedata!$A$4:$L$4,0),FALSE),IF($F393="Gødning",-VLOOKUP("Permanent græs",Afgrødedata!$A$5:$L$18,MATCH(CONCATENATE("Kvælstofnorm-",'Processer - data'!$C393),Afgrødedata!$A$4:$L$4,0),FALSE),IF($F393="Halm",VLOOKUP("Permanent græs",Afgrødedata!$A$2:$L$18,MATCH(Afgrødedata!$C$4,Afgrødedata!$A$4:$L$4,0),FALSE)/10,VLOOKUP("Permanent græs",Afgrødedata!$A$2:$L$18,MATCH("Hovedafgrøde",Afgrødedata!$A$4:$L$4,0),FALSE)/10)*IF($C393="OC6",VLOOKUP("Permanent græs",Afgrødedata!$A$2:$L$18,MATCH(Afgrødedata!$E$4,Afgrødedata!$A$4:$L$4,0),FALSE),IF($C393="OC12",VLOOKUP("Permanent græs",Afgrødedata!$A$2:$L$18,MATCH(Afgrødedata!$F$4,Afgrødedata!$A$4:$L$4,0),FALSE),1)))*IF($B393="Økologisk",VLOOKUP("Permanent græs",Afgrødedata!$A$2:$L$18,MATCH(Afgrødedata!$D$4,Afgrødedata!$A$4:$L$4,0),FALSE),1)))</f>
        <v>13.790000000000001</v>
      </c>
      <c r="I393" s="258">
        <f>IF($F393="C - land",0,IF($F393="CO2 - atmosfære",VLOOKUP("Permanent græs",Afgrødedata!$A$5:$L$18,MATCH(CONCATENATE("CO2-",'Processer - data'!$C393),Afgrødedata!$A$4:$L$4,0),FALSE),IF($F393="Gødning",-VLOOKUP("Permanent græs",Afgrødedata!$A$5:$L$18,MATCH(CONCATENATE("Kvælstofnorm-",'Processer - data'!$C393),Afgrødedata!$A$4:$L$4,0),FALSE),IF($F393="Halm",VLOOKUP("Permanent græs",Afgrødedata!$A$2:$L$18,MATCH(Afgrødedata!$C$4,Afgrødedata!$A$4:$L$4,0),FALSE)/10,VLOOKUP("Permanent græs",Afgrødedata!$A$2:$L$18,MATCH("Hovedafgrøde",Afgrødedata!$A$4:$L$4,0),FALSE)/10)*IF($C393="OC6",VLOOKUP("Permanent græs",Afgrødedata!$A$2:$L$18,MATCH(Afgrødedata!$E$4,Afgrødedata!$A$4:$L$4,0),FALSE),IF($C393="OC12",VLOOKUP("Permanent græs",Afgrødedata!$A$2:$L$18,MATCH(Afgrødedata!$F$4,Afgrødedata!$A$4:$L$4,0),FALSE),1)))*IF($B393="Økologisk",VLOOKUP("Permanent græs",Afgrødedata!$A$2:$L$18,MATCH(Afgrødedata!$D$4,Afgrødedata!$A$4:$L$4,0),FALSE),1)))</f>
        <v>13.790000000000001</v>
      </c>
      <c r="J393" s="258">
        <f>IF($F393="C - land",0,IF($F393="CO2 - atmosfære",VLOOKUP("Permanent græs",Afgrødedata!$A$5:$L$18,MATCH(CONCATENATE("CO2-",'Processer - data'!$C393),Afgrødedata!$A$4:$L$4,0),FALSE),IF($F393="Gødning",-VLOOKUP("Permanent græs",Afgrødedata!$A$5:$L$18,MATCH(CONCATENATE("Kvælstofnorm-",'Processer - data'!$C393),Afgrødedata!$A$4:$L$4,0),FALSE),IF($F393="Halm",VLOOKUP("Permanent græs",Afgrødedata!$A$2:$L$18,MATCH(Afgrødedata!$C$4,Afgrødedata!$A$4:$L$4,0),FALSE)/10,VLOOKUP("Permanent græs",Afgrødedata!$A$2:$L$18,MATCH("Hovedafgrøde",Afgrødedata!$A$4:$L$4,0),FALSE)/10)*IF($C393="OC6",VLOOKUP("Permanent græs",Afgrødedata!$A$2:$L$18,MATCH(Afgrødedata!$E$4,Afgrødedata!$A$4:$L$4,0),FALSE),IF($C393="OC12",VLOOKUP("Permanent græs",Afgrødedata!$A$2:$L$18,MATCH(Afgrødedata!$F$4,Afgrødedata!$A$4:$L$4,0),FALSE),1)))*IF($B393="Økologisk",VLOOKUP("Permanent græs",Afgrødedata!$A$2:$L$18,MATCH(Afgrødedata!$D$4,Afgrødedata!$A$4:$L$4,0),FALSE),1)))</f>
        <v>13.790000000000001</v>
      </c>
      <c r="K393" s="145" t="s">
        <v>540</v>
      </c>
    </row>
    <row r="394" spans="1:11" s="146" customFormat="1" x14ac:dyDescent="0.55000000000000004">
      <c r="A394" s="187" t="s">
        <v>61</v>
      </c>
      <c r="B394" s="181" t="s">
        <v>46</v>
      </c>
      <c r="C394" s="181" t="str">
        <f>Jordbund1</f>
        <v>JB1-10</v>
      </c>
      <c r="D394" s="146" t="s">
        <v>360</v>
      </c>
      <c r="E394" s="146" t="str">
        <f>IFERROR(VLOOKUP(D394,Table2[],2,FALSE),"")</f>
        <v>Hektar</v>
      </c>
      <c r="F394" s="146" t="s">
        <v>303</v>
      </c>
      <c r="G394" s="146" t="str">
        <f>IFERROR(VLOOKUP(F394,Table2[],2,FALSE),"")</f>
        <v>kg N</v>
      </c>
      <c r="H394" s="259">
        <f>IF($F394="C - land",0,IF($F394="CO2 - atmosfære",VLOOKUP("Permanent græs",Afgrødedata!$A$5:$L$18,MATCH(CONCATENATE("CO2-",'Processer - data'!$C394),Afgrødedata!$A$4:$L$4,0),FALSE),IF($F394="Gødning",-VLOOKUP("Permanent græs",Afgrødedata!$A$5:$L$18,MATCH(CONCATENATE("Kvælstofnorm-",'Processer - data'!$C394),Afgrødedata!$A$4:$L$4,0),FALSE),IF($F394="Halm",VLOOKUP("Permanent græs",Afgrødedata!$A$2:$L$18,MATCH(Afgrødedata!$C$4,Afgrødedata!$A$4:$L$4,0),FALSE)/10,VLOOKUP("Permanent græs",Afgrødedata!$A$2:$L$18,MATCH("Hovedafgrøde",Afgrødedata!$A$4:$L$4,0),FALSE)/10)*IF($C394="OC6",VLOOKUP("Permanent græs",Afgrødedata!$A$2:$L$18,MATCH(Afgrødedata!$E$4,Afgrødedata!$A$4:$L$4,0),FALSE),IF($C394="OC12",VLOOKUP("Permanent græs",Afgrødedata!$A$2:$L$18,MATCH(Afgrødedata!$F$4,Afgrødedata!$A$4:$L$4,0),FALSE),1)))*IF($B394="Økologisk",VLOOKUP("Permanent græs",Afgrødedata!$A$2:$L$18,MATCH(Afgrødedata!$D$4,Afgrødedata!$A$4:$L$4,0),FALSE),1)))</f>
        <v>-50</v>
      </c>
      <c r="I394" s="259">
        <f>IF($F394="C - land",0,IF($F394="CO2 - atmosfære",VLOOKUP("Permanent græs",Afgrødedata!$A$5:$L$18,MATCH(CONCATENATE("CO2-",'Processer - data'!$C394),Afgrødedata!$A$4:$L$4,0),FALSE),IF($F394="Gødning",-VLOOKUP("Permanent græs",Afgrødedata!$A$5:$L$18,MATCH(CONCATENATE("Kvælstofnorm-",'Processer - data'!$C394),Afgrødedata!$A$4:$L$4,0),FALSE),IF($F394="Halm",VLOOKUP("Permanent græs",Afgrødedata!$A$2:$L$18,MATCH(Afgrødedata!$C$4,Afgrødedata!$A$4:$L$4,0),FALSE)/10,VLOOKUP("Permanent græs",Afgrødedata!$A$2:$L$18,MATCH("Hovedafgrøde",Afgrødedata!$A$4:$L$4,0),FALSE)/10)*IF($C394="OC6",VLOOKUP("Permanent græs",Afgrødedata!$A$2:$L$18,MATCH(Afgrødedata!$E$4,Afgrødedata!$A$4:$L$4,0),FALSE),IF($C394="OC12",VLOOKUP("Permanent græs",Afgrødedata!$A$2:$L$18,MATCH(Afgrødedata!$F$4,Afgrødedata!$A$4:$L$4,0),FALSE),1)))*IF($B394="Økologisk",VLOOKUP("Permanent græs",Afgrødedata!$A$2:$L$18,MATCH(Afgrødedata!$D$4,Afgrødedata!$A$4:$L$4,0),FALSE),1)))</f>
        <v>-50</v>
      </c>
      <c r="J394" s="259">
        <f>IF($F394="C - land",0,IF($F394="CO2 - atmosfære",VLOOKUP("Permanent græs",Afgrødedata!$A$5:$L$18,MATCH(CONCATENATE("CO2-",'Processer - data'!$C394),Afgrødedata!$A$4:$L$4,0),FALSE),IF($F394="Gødning",-VLOOKUP("Permanent græs",Afgrødedata!$A$5:$L$18,MATCH(CONCATENATE("Kvælstofnorm-",'Processer - data'!$C394),Afgrødedata!$A$4:$L$4,0),FALSE),IF($F394="Halm",VLOOKUP("Permanent græs",Afgrødedata!$A$2:$L$18,MATCH(Afgrødedata!$C$4,Afgrødedata!$A$4:$L$4,0),FALSE)/10,VLOOKUP("Permanent græs",Afgrødedata!$A$2:$L$18,MATCH("Hovedafgrøde",Afgrødedata!$A$4:$L$4,0),FALSE)/10)*IF($C394="OC6",VLOOKUP("Permanent græs",Afgrødedata!$A$2:$L$18,MATCH(Afgrødedata!$E$4,Afgrødedata!$A$4:$L$4,0),FALSE),IF($C394="OC12",VLOOKUP("Permanent græs",Afgrødedata!$A$2:$L$18,MATCH(Afgrødedata!$F$4,Afgrødedata!$A$4:$L$4,0),FALSE),1)))*IF($B394="Økologisk",VLOOKUP("Permanent græs",Afgrødedata!$A$2:$L$18,MATCH(Afgrødedata!$D$4,Afgrødedata!$A$4:$L$4,0),FALSE),1)))</f>
        <v>-50</v>
      </c>
      <c r="K394" s="147" t="s">
        <v>540</v>
      </c>
    </row>
    <row r="395" spans="1:11" s="146" customFormat="1" ht="14.7" thickBot="1" x14ac:dyDescent="0.6">
      <c r="A395" s="188" t="s">
        <v>61</v>
      </c>
      <c r="B395" s="182" t="s">
        <v>46</v>
      </c>
      <c r="C395" s="182" t="str">
        <f>Jordbund1</f>
        <v>JB1-10</v>
      </c>
      <c r="D395" s="148" t="s">
        <v>360</v>
      </c>
      <c r="E395" s="148" t="str">
        <f>IFERROR(VLOOKUP(D395,Table2[],2,FALSE),"")</f>
        <v>Hektar</v>
      </c>
      <c r="F395" s="202" t="s">
        <v>344</v>
      </c>
      <c r="G395" s="148" t="str">
        <f>IFERROR(VLOOKUP(F395,Table2[],2,FALSE),"")</f>
        <v>t CO2-ækvivalenter</v>
      </c>
      <c r="H395" s="296">
        <f>IF($F395="C - land",0,IF($F395="CO2 - atmosfære",VLOOKUP("Permanent græs",Afgrødedata!$A$5:$L$18,MATCH(CONCATENATE("CO2-",'Processer - data'!$C395),Afgrødedata!$A$4:$L$4,0),FALSE),IF($F395="Gødning",-VLOOKUP("Permanent græs",Afgrødedata!$A$5:$L$18,MATCH(CONCATENATE("Kvælstofnorm-",'Processer - data'!$C395),Afgrødedata!$A$4:$L$4,0),FALSE),IF($F395="Halm",VLOOKUP("Permanent græs",Afgrødedata!$A$2:$L$18,MATCH(Afgrødedata!$C$4,Afgrødedata!$A$4:$L$4,0),FALSE)/10,VLOOKUP("Permanent græs",Afgrødedata!$A$2:$L$18,MATCH("Hovedafgrøde",Afgrødedata!$A$4:$L$4,0),FALSE)/10)*IF($C395="OC6",VLOOKUP("Permanent græs",Afgrødedata!$A$2:$L$18,MATCH(Afgrødedata!$E$4,Afgrødedata!$A$4:$L$4,0),FALSE),IF($C395="OC12",VLOOKUP("Permanent græs",Afgrødedata!$A$2:$L$18,MATCH(Afgrødedata!$F$4,Afgrødedata!$A$4:$L$4,0),FALSE),1)))*IF($B395="Økologisk",VLOOKUP("Permanent græs",Afgrødedata!$A$2:$L$18,MATCH(Afgrødedata!$D$4,Afgrødedata!$A$4:$L$4,0),FALSE),1)))</f>
        <v>1.9656943674854606</v>
      </c>
      <c r="I395" s="296">
        <f>IF($F395="C - land",0,IF($F395="CO2 - atmosfære",VLOOKUP("Permanent græs",Afgrødedata!$A$5:$L$18,MATCH(CONCATENATE("CO2-",'Processer - data'!$C395),Afgrødedata!$A$4:$L$4,0),FALSE),IF($F395="Gødning",-VLOOKUP("Permanent græs",Afgrødedata!$A$5:$L$18,MATCH(CONCATENATE("Kvælstofnorm-",'Processer - data'!$C395),Afgrødedata!$A$4:$L$4,0),FALSE),IF($F395="Halm",VLOOKUP("Permanent græs",Afgrødedata!$A$2:$L$18,MATCH(Afgrødedata!$C$4,Afgrødedata!$A$4:$L$4,0),FALSE)/10,VLOOKUP("Permanent græs",Afgrødedata!$A$2:$L$18,MATCH("Hovedafgrøde",Afgrødedata!$A$4:$L$4,0),FALSE)/10)*IF($C395="OC6",VLOOKUP("Permanent græs",Afgrødedata!$A$2:$L$18,MATCH(Afgrødedata!$E$4,Afgrødedata!$A$4:$L$4,0),FALSE),IF($C395="OC12",VLOOKUP("Permanent græs",Afgrødedata!$A$2:$L$18,MATCH(Afgrødedata!$F$4,Afgrødedata!$A$4:$L$4,0),FALSE),1)))*IF($B395="Økologisk",VLOOKUP("Permanent græs",Afgrødedata!$A$2:$L$18,MATCH(Afgrødedata!$D$4,Afgrødedata!$A$4:$L$4,0),FALSE),1)))</f>
        <v>1.9656943674854606</v>
      </c>
      <c r="J395" s="296">
        <f>IF($F395="C - land",0,IF($F395="CO2 - atmosfære",VLOOKUP("Permanent græs",Afgrødedata!$A$5:$L$18,MATCH(CONCATENATE("CO2-",'Processer - data'!$C395),Afgrødedata!$A$4:$L$4,0),FALSE),IF($F395="Gødning",-VLOOKUP("Permanent græs",Afgrødedata!$A$5:$L$18,MATCH(CONCATENATE("Kvælstofnorm-",'Processer - data'!$C395),Afgrødedata!$A$4:$L$4,0),FALSE),IF($F395="Halm",VLOOKUP("Permanent græs",Afgrødedata!$A$2:$L$18,MATCH(Afgrødedata!$C$4,Afgrødedata!$A$4:$L$4,0),FALSE)/10,VLOOKUP("Permanent græs",Afgrødedata!$A$2:$L$18,MATCH("Hovedafgrøde",Afgrødedata!$A$4:$L$4,0),FALSE)/10)*IF($C395="OC6",VLOOKUP("Permanent græs",Afgrødedata!$A$2:$L$18,MATCH(Afgrødedata!$E$4,Afgrødedata!$A$4:$L$4,0),FALSE),IF($C395="OC12",VLOOKUP("Permanent græs",Afgrødedata!$A$2:$L$18,MATCH(Afgrødedata!$F$4,Afgrødedata!$A$4:$L$4,0),FALSE),1)))*IF($B395="Økologisk",VLOOKUP("Permanent græs",Afgrødedata!$A$2:$L$18,MATCH(Afgrødedata!$D$4,Afgrødedata!$A$4:$L$4,0),FALSE),1)))</f>
        <v>1.9656943674854606</v>
      </c>
      <c r="K395" s="149" t="s">
        <v>540</v>
      </c>
    </row>
    <row r="396" spans="1:11" s="146" customFormat="1" ht="14.7" thickTop="1" x14ac:dyDescent="0.55000000000000004">
      <c r="A396" s="186" t="s">
        <v>61</v>
      </c>
      <c r="B396" s="180" t="s">
        <v>46</v>
      </c>
      <c r="C396" s="180" t="str">
        <f>Organ6</f>
        <v>OC6</v>
      </c>
      <c r="D396" s="144" t="s">
        <v>360</v>
      </c>
      <c r="E396" s="144" t="str">
        <f>IFERROR(VLOOKUP(D396,Table2[],2,FALSE),"")</f>
        <v>Hektar</v>
      </c>
      <c r="F396" s="144" t="s">
        <v>13</v>
      </c>
      <c r="G396" s="144" t="str">
        <f>IFERROR(VLOOKUP(F396,Table2[],2,FALSE),"")</f>
        <v>Ton</v>
      </c>
      <c r="H396" s="258">
        <f>IF($F396="C - land",0,IF($F396="CO2 - atmosfære",VLOOKUP("Permanent græs",Afgrødedata!$A$5:$L$18,MATCH(CONCATENATE("CO2-",'Processer - data'!$C396),Afgrødedata!$A$4:$L$4,0),FALSE),IF($F396="Gødning",-VLOOKUP("Permanent græs",Afgrødedata!$A$5:$L$18,MATCH(CONCATENATE("Kvælstofnorm-",'Processer - data'!$C396),Afgrødedata!$A$4:$L$4,0),FALSE),IF($F396="Halm",VLOOKUP("Permanent græs",Afgrødedata!$A$2:$L$18,MATCH(Afgrødedata!$C$4,Afgrødedata!$A$4:$L$4,0),FALSE)/10,VLOOKUP("Permanent græs",Afgrødedata!$A$2:$L$18,MATCH("Hovedafgrøde",Afgrødedata!$A$4:$L$4,0),FALSE)/10)*IF($C396="OC6",VLOOKUP("Permanent græs",Afgrødedata!$A$2:$L$18,MATCH(Afgrødedata!$E$4,Afgrødedata!$A$4:$L$4,0),FALSE),IF($C396="OC12",VLOOKUP("Permanent græs",Afgrødedata!$A$2:$L$18,MATCH(Afgrødedata!$F$4,Afgrødedata!$A$4:$L$4,0),FALSE),1)))*IF($B396="Økologisk",VLOOKUP("Permanent græs",Afgrødedata!$A$2:$L$18,MATCH(Afgrødedata!$D$4,Afgrødedata!$A$4:$L$4,0),FALSE),1)))</f>
        <v>16.548000000000002</v>
      </c>
      <c r="I396" s="258">
        <f>IF($F396="C - land",0,IF($F396="CO2 - atmosfære",VLOOKUP("Permanent græs",Afgrødedata!$A$5:$L$18,MATCH(CONCATENATE("CO2-",'Processer - data'!$C396),Afgrødedata!$A$4:$L$4,0),FALSE),IF($F396="Gødning",-VLOOKUP("Permanent græs",Afgrødedata!$A$5:$L$18,MATCH(CONCATENATE("Kvælstofnorm-",'Processer - data'!$C396),Afgrødedata!$A$4:$L$4,0),FALSE),IF($F396="Halm",VLOOKUP("Permanent græs",Afgrødedata!$A$2:$L$18,MATCH(Afgrødedata!$C$4,Afgrødedata!$A$4:$L$4,0),FALSE)/10,VLOOKUP("Permanent græs",Afgrødedata!$A$2:$L$18,MATCH("Hovedafgrøde",Afgrødedata!$A$4:$L$4,0),FALSE)/10)*IF($C396="OC6",VLOOKUP("Permanent græs",Afgrødedata!$A$2:$L$18,MATCH(Afgrødedata!$E$4,Afgrødedata!$A$4:$L$4,0),FALSE),IF($C396="OC12",VLOOKUP("Permanent græs",Afgrødedata!$A$2:$L$18,MATCH(Afgrødedata!$F$4,Afgrødedata!$A$4:$L$4,0),FALSE),1)))*IF($B396="Økologisk",VLOOKUP("Permanent græs",Afgrødedata!$A$2:$L$18,MATCH(Afgrødedata!$D$4,Afgrødedata!$A$4:$L$4,0),FALSE),1)))</f>
        <v>16.548000000000002</v>
      </c>
      <c r="J396" s="258">
        <f>IF($F396="C - land",0,IF($F396="CO2 - atmosfære",VLOOKUP("Permanent græs",Afgrødedata!$A$5:$L$18,MATCH(CONCATENATE("CO2-",'Processer - data'!$C396),Afgrødedata!$A$4:$L$4,0),FALSE),IF($F396="Gødning",-VLOOKUP("Permanent græs",Afgrødedata!$A$5:$L$18,MATCH(CONCATENATE("Kvælstofnorm-",'Processer - data'!$C396),Afgrødedata!$A$4:$L$4,0),FALSE),IF($F396="Halm",VLOOKUP("Permanent græs",Afgrødedata!$A$2:$L$18,MATCH(Afgrødedata!$C$4,Afgrødedata!$A$4:$L$4,0),FALSE)/10,VLOOKUP("Permanent græs",Afgrødedata!$A$2:$L$18,MATCH("Hovedafgrøde",Afgrødedata!$A$4:$L$4,0),FALSE)/10)*IF($C396="OC6",VLOOKUP("Permanent græs",Afgrødedata!$A$2:$L$18,MATCH(Afgrødedata!$E$4,Afgrødedata!$A$4:$L$4,0),FALSE),IF($C396="OC12",VLOOKUP("Permanent græs",Afgrødedata!$A$2:$L$18,MATCH(Afgrødedata!$F$4,Afgrødedata!$A$4:$L$4,0),FALSE),1)))*IF($B396="Økologisk",VLOOKUP("Permanent græs",Afgrødedata!$A$2:$L$18,MATCH(Afgrødedata!$D$4,Afgrødedata!$A$4:$L$4,0),FALSE),1)))</f>
        <v>16.548000000000002</v>
      </c>
      <c r="K396" s="145" t="s">
        <v>540</v>
      </c>
    </row>
    <row r="397" spans="1:11" s="146" customFormat="1" x14ac:dyDescent="0.55000000000000004">
      <c r="A397" s="187" t="s">
        <v>61</v>
      </c>
      <c r="B397" s="181" t="s">
        <v>46</v>
      </c>
      <c r="C397" s="181" t="str">
        <f>Organ6</f>
        <v>OC6</v>
      </c>
      <c r="D397" s="146" t="s">
        <v>360</v>
      </c>
      <c r="E397" s="146" t="str">
        <f>IFERROR(VLOOKUP(D397,Table2[],2,FALSE),"")</f>
        <v>Hektar</v>
      </c>
      <c r="F397" s="146" t="s">
        <v>303</v>
      </c>
      <c r="G397" s="146" t="str">
        <f>IFERROR(VLOOKUP(F397,Table2[],2,FALSE),"")</f>
        <v>kg N</v>
      </c>
      <c r="H397" s="259">
        <f>IF($F397="C - land",0,IF($F397="CO2 - atmosfære",VLOOKUP("Permanent græs",Afgrødedata!$A$5:$L$18,MATCH(CONCATENATE("CO2-",'Processer - data'!$C397),Afgrødedata!$A$4:$L$4,0),FALSE),IF($F397="Gødning",-VLOOKUP("Permanent græs",Afgrødedata!$A$5:$L$18,MATCH(CONCATENATE("Kvælstofnorm-",'Processer - data'!$C397),Afgrødedata!$A$4:$L$4,0),FALSE),IF($F397="Halm",VLOOKUP("Permanent græs",Afgrødedata!$A$2:$L$18,MATCH(Afgrødedata!$C$4,Afgrødedata!$A$4:$L$4,0),FALSE)/10,VLOOKUP("Permanent græs",Afgrødedata!$A$2:$L$18,MATCH("Hovedafgrøde",Afgrødedata!$A$4:$L$4,0),FALSE)/10)*IF($C397="OC6",VLOOKUP("Permanent græs",Afgrødedata!$A$2:$L$18,MATCH(Afgrødedata!$E$4,Afgrødedata!$A$4:$L$4,0),FALSE),IF($C397="OC12",VLOOKUP("Permanent græs",Afgrødedata!$A$2:$L$18,MATCH(Afgrødedata!$F$4,Afgrødedata!$A$4:$L$4,0),FALSE),1)))*IF($B397="Økologisk",VLOOKUP("Permanent græs",Afgrødedata!$A$2:$L$18,MATCH(Afgrødedata!$D$4,Afgrødedata!$A$4:$L$4,0),FALSE),1)))</f>
        <v>-50</v>
      </c>
      <c r="I397" s="259">
        <f>IF($F397="C - land",0,IF($F397="CO2 - atmosfære",VLOOKUP("Permanent græs",Afgrødedata!$A$5:$L$18,MATCH(CONCATENATE("CO2-",'Processer - data'!$C397),Afgrødedata!$A$4:$L$4,0),FALSE),IF($F397="Gødning",-VLOOKUP("Permanent græs",Afgrødedata!$A$5:$L$18,MATCH(CONCATENATE("Kvælstofnorm-",'Processer - data'!$C397),Afgrødedata!$A$4:$L$4,0),FALSE),IF($F397="Halm",VLOOKUP("Permanent græs",Afgrødedata!$A$2:$L$18,MATCH(Afgrødedata!$C$4,Afgrødedata!$A$4:$L$4,0),FALSE)/10,VLOOKUP("Permanent græs",Afgrødedata!$A$2:$L$18,MATCH("Hovedafgrøde",Afgrødedata!$A$4:$L$4,0),FALSE)/10)*IF($C397="OC6",VLOOKUP("Permanent græs",Afgrødedata!$A$2:$L$18,MATCH(Afgrødedata!$E$4,Afgrødedata!$A$4:$L$4,0),FALSE),IF($C397="OC12",VLOOKUP("Permanent græs",Afgrødedata!$A$2:$L$18,MATCH(Afgrødedata!$F$4,Afgrødedata!$A$4:$L$4,0),FALSE),1)))*IF($B397="Økologisk",VLOOKUP("Permanent græs",Afgrødedata!$A$2:$L$18,MATCH(Afgrødedata!$D$4,Afgrødedata!$A$4:$L$4,0),FALSE),1)))</f>
        <v>-50</v>
      </c>
      <c r="J397" s="259">
        <f>IF($F397="C - land",0,IF($F397="CO2 - atmosfære",VLOOKUP("Permanent græs",Afgrødedata!$A$5:$L$18,MATCH(CONCATENATE("CO2-",'Processer - data'!$C397),Afgrødedata!$A$4:$L$4,0),FALSE),IF($F397="Gødning",-VLOOKUP("Permanent græs",Afgrødedata!$A$5:$L$18,MATCH(CONCATENATE("Kvælstofnorm-",'Processer - data'!$C397),Afgrødedata!$A$4:$L$4,0),FALSE),IF($F397="Halm",VLOOKUP("Permanent græs",Afgrødedata!$A$2:$L$18,MATCH(Afgrødedata!$C$4,Afgrødedata!$A$4:$L$4,0),FALSE)/10,VLOOKUP("Permanent græs",Afgrødedata!$A$2:$L$18,MATCH("Hovedafgrøde",Afgrødedata!$A$4:$L$4,0),FALSE)/10)*IF($C397="OC6",VLOOKUP("Permanent græs",Afgrødedata!$A$2:$L$18,MATCH(Afgrødedata!$E$4,Afgrødedata!$A$4:$L$4,0),FALSE),IF($C397="OC12",VLOOKUP("Permanent græs",Afgrødedata!$A$2:$L$18,MATCH(Afgrødedata!$F$4,Afgrødedata!$A$4:$L$4,0),FALSE),1)))*IF($B397="Økologisk",VLOOKUP("Permanent græs",Afgrødedata!$A$2:$L$18,MATCH(Afgrødedata!$D$4,Afgrødedata!$A$4:$L$4,0),FALSE),1)))</f>
        <v>-50</v>
      </c>
      <c r="K397" s="147" t="s">
        <v>540</v>
      </c>
    </row>
    <row r="398" spans="1:11" s="146" customFormat="1" ht="14.7" thickBot="1" x14ac:dyDescent="0.6">
      <c r="A398" s="188" t="s">
        <v>61</v>
      </c>
      <c r="B398" s="182" t="s">
        <v>46</v>
      </c>
      <c r="C398" s="182" t="str">
        <f>Organ6</f>
        <v>OC6</v>
      </c>
      <c r="D398" s="148" t="s">
        <v>360</v>
      </c>
      <c r="E398" s="148" t="str">
        <f>IFERROR(VLOOKUP(D398,Table2[],2,FALSE),"")</f>
        <v>Hektar</v>
      </c>
      <c r="F398" s="202" t="s">
        <v>344</v>
      </c>
      <c r="G398" s="148" t="str">
        <f>IFERROR(VLOOKUP(F398,Table2[],2,FALSE),"")</f>
        <v>t CO2-ækvivalenter</v>
      </c>
      <c r="H398" s="296">
        <f>IF($F398="C - land",0,IF($F398="CO2 - atmosfære",VLOOKUP("Permanent græs",Afgrødedata!$A$5:$L$18,MATCH(CONCATENATE("CO2-",'Processer - data'!$C398),Afgrødedata!$A$4:$L$4,0),FALSE),IF($F398="Gødning",-VLOOKUP("Permanent græs",Afgrødedata!$A$5:$L$18,MATCH(CONCATENATE("Kvælstofnorm-",'Processer - data'!$C398),Afgrødedata!$A$4:$L$4,0),FALSE),IF($F398="Halm",VLOOKUP("Permanent græs",Afgrødedata!$A$2:$L$18,MATCH(Afgrødedata!$C$4,Afgrødedata!$A$4:$L$4,0),FALSE)/10,VLOOKUP("Permanent græs",Afgrødedata!$A$2:$L$18,MATCH("Hovedafgrøde",Afgrødedata!$A$4:$L$4,0),FALSE)/10)*IF($C398="OC6",VLOOKUP("Permanent græs",Afgrødedata!$A$2:$L$18,MATCH(Afgrødedata!$E$4,Afgrødedata!$A$4:$L$4,0),FALSE),IF($C398="OC12",VLOOKUP("Permanent græs",Afgrødedata!$A$2:$L$18,MATCH(Afgrødedata!$F$4,Afgrødedata!$A$4:$L$4,0),FALSE),1)))*IF($B398="Økologisk",VLOOKUP("Permanent græs",Afgrødedata!$A$2:$L$18,MATCH(Afgrødedata!$D$4,Afgrødedata!$A$4:$L$4,0),FALSE),1)))</f>
        <v>10.661694367485461</v>
      </c>
      <c r="I398" s="296">
        <f>IF($F398="C - land",0,IF($F398="CO2 - atmosfære",VLOOKUP("Permanent græs",Afgrødedata!$A$5:$L$18,MATCH(CONCATENATE("CO2-",'Processer - data'!$C398),Afgrødedata!$A$4:$L$4,0),FALSE),IF($F398="Gødning",-VLOOKUP("Permanent græs",Afgrødedata!$A$5:$L$18,MATCH(CONCATENATE("Kvælstofnorm-",'Processer - data'!$C398),Afgrødedata!$A$4:$L$4,0),FALSE),IF($F398="Halm",VLOOKUP("Permanent græs",Afgrødedata!$A$2:$L$18,MATCH(Afgrødedata!$C$4,Afgrødedata!$A$4:$L$4,0),FALSE)/10,VLOOKUP("Permanent græs",Afgrødedata!$A$2:$L$18,MATCH("Hovedafgrøde",Afgrødedata!$A$4:$L$4,0),FALSE)/10)*IF($C398="OC6",VLOOKUP("Permanent græs",Afgrødedata!$A$2:$L$18,MATCH(Afgrødedata!$E$4,Afgrødedata!$A$4:$L$4,0),FALSE),IF($C398="OC12",VLOOKUP("Permanent græs",Afgrødedata!$A$2:$L$18,MATCH(Afgrødedata!$F$4,Afgrødedata!$A$4:$L$4,0),FALSE),1)))*IF($B398="Økologisk",VLOOKUP("Permanent græs",Afgrødedata!$A$2:$L$18,MATCH(Afgrødedata!$D$4,Afgrødedata!$A$4:$L$4,0),FALSE),1)))</f>
        <v>10.661694367485461</v>
      </c>
      <c r="J398" s="296">
        <f>IF($F398="C - land",0,IF($F398="CO2 - atmosfære",VLOOKUP("Permanent græs",Afgrødedata!$A$5:$L$18,MATCH(CONCATENATE("CO2-",'Processer - data'!$C398),Afgrødedata!$A$4:$L$4,0),FALSE),IF($F398="Gødning",-VLOOKUP("Permanent græs",Afgrødedata!$A$5:$L$18,MATCH(CONCATENATE("Kvælstofnorm-",'Processer - data'!$C398),Afgrødedata!$A$4:$L$4,0),FALSE),IF($F398="Halm",VLOOKUP("Permanent græs",Afgrødedata!$A$2:$L$18,MATCH(Afgrødedata!$C$4,Afgrødedata!$A$4:$L$4,0),FALSE)/10,VLOOKUP("Permanent græs",Afgrødedata!$A$2:$L$18,MATCH("Hovedafgrøde",Afgrødedata!$A$4:$L$4,0),FALSE)/10)*IF($C398="OC6",VLOOKUP("Permanent græs",Afgrødedata!$A$2:$L$18,MATCH(Afgrødedata!$E$4,Afgrødedata!$A$4:$L$4,0),FALSE),IF($C398="OC12",VLOOKUP("Permanent græs",Afgrødedata!$A$2:$L$18,MATCH(Afgrødedata!$F$4,Afgrødedata!$A$4:$L$4,0),FALSE),1)))*IF($B398="Økologisk",VLOOKUP("Permanent græs",Afgrødedata!$A$2:$L$18,MATCH(Afgrødedata!$D$4,Afgrødedata!$A$4:$L$4,0),FALSE),1)))</f>
        <v>10.661694367485461</v>
      </c>
      <c r="K398" s="149" t="s">
        <v>540</v>
      </c>
    </row>
    <row r="399" spans="1:11" s="146" customFormat="1" ht="14.7" thickTop="1" x14ac:dyDescent="0.55000000000000004">
      <c r="A399" s="186" t="s">
        <v>61</v>
      </c>
      <c r="B399" s="180" t="s">
        <v>46</v>
      </c>
      <c r="C399" s="180" t="str">
        <f>Organ12</f>
        <v>OC12</v>
      </c>
      <c r="D399" s="144" t="s">
        <v>360</v>
      </c>
      <c r="E399" s="144" t="str">
        <f>IFERROR(VLOOKUP(D399,Table2[],2,FALSE),"")</f>
        <v>Hektar</v>
      </c>
      <c r="F399" s="144" t="s">
        <v>13</v>
      </c>
      <c r="G399" s="144" t="str">
        <f>IFERROR(VLOOKUP(F399,Table2[],2,FALSE),"")</f>
        <v>Ton</v>
      </c>
      <c r="H399" s="258">
        <f>IF($F399="C - land",0,IF($F399="CO2 - atmosfære",VLOOKUP("Permanent græs",Afgrødedata!$A$5:$L$18,MATCH(CONCATENATE("CO2-",'Processer - data'!$C399),Afgrødedata!$A$4:$L$4,0),FALSE),IF($F399="Gødning",-VLOOKUP("Permanent græs",Afgrødedata!$A$5:$L$18,MATCH(CONCATENATE("Kvælstofnorm-",'Processer - data'!$C399),Afgrødedata!$A$4:$L$4,0),FALSE),IF($F399="Halm",VLOOKUP("Permanent græs",Afgrødedata!$A$2:$L$18,MATCH(Afgrødedata!$C$4,Afgrødedata!$A$4:$L$4,0),FALSE)/10,VLOOKUP("Permanent græs",Afgrødedata!$A$2:$L$18,MATCH("Hovedafgrøde",Afgrødedata!$A$4:$L$4,0),FALSE)/10)*IF($C399="OC6",VLOOKUP("Permanent græs",Afgrødedata!$A$2:$L$18,MATCH(Afgrødedata!$E$4,Afgrødedata!$A$4:$L$4,0),FALSE),IF($C399="OC12",VLOOKUP("Permanent græs",Afgrødedata!$A$2:$L$18,MATCH(Afgrødedata!$F$4,Afgrødedata!$A$4:$L$4,0),FALSE),1)))*IF($B399="Økologisk",VLOOKUP("Permanent græs",Afgrødedata!$A$2:$L$18,MATCH(Afgrødedata!$D$4,Afgrødedata!$A$4:$L$4,0),FALSE),1)))</f>
        <v>19.306000000000001</v>
      </c>
      <c r="I399" s="258">
        <f>IF($F399="C - land",0,IF($F399="CO2 - atmosfære",VLOOKUP("Permanent græs",Afgrødedata!$A$5:$L$18,MATCH(CONCATENATE("CO2-",'Processer - data'!$C399),Afgrødedata!$A$4:$L$4,0),FALSE),IF($F399="Gødning",-VLOOKUP("Permanent græs",Afgrødedata!$A$5:$L$18,MATCH(CONCATENATE("Kvælstofnorm-",'Processer - data'!$C399),Afgrødedata!$A$4:$L$4,0),FALSE),IF($F399="Halm",VLOOKUP("Permanent græs",Afgrødedata!$A$2:$L$18,MATCH(Afgrødedata!$C$4,Afgrødedata!$A$4:$L$4,0),FALSE)/10,VLOOKUP("Permanent græs",Afgrødedata!$A$2:$L$18,MATCH("Hovedafgrøde",Afgrødedata!$A$4:$L$4,0),FALSE)/10)*IF($C399="OC6",VLOOKUP("Permanent græs",Afgrødedata!$A$2:$L$18,MATCH(Afgrødedata!$E$4,Afgrødedata!$A$4:$L$4,0),FALSE),IF($C399="OC12",VLOOKUP("Permanent græs",Afgrødedata!$A$2:$L$18,MATCH(Afgrødedata!$F$4,Afgrødedata!$A$4:$L$4,0),FALSE),1)))*IF($B399="Økologisk",VLOOKUP("Permanent græs",Afgrødedata!$A$2:$L$18,MATCH(Afgrødedata!$D$4,Afgrødedata!$A$4:$L$4,0),FALSE),1)))</f>
        <v>19.306000000000001</v>
      </c>
      <c r="J399" s="258">
        <f>IF($F399="C - land",0,IF($F399="CO2 - atmosfære",VLOOKUP("Permanent græs",Afgrødedata!$A$5:$L$18,MATCH(CONCATENATE("CO2-",'Processer - data'!$C399),Afgrødedata!$A$4:$L$4,0),FALSE),IF($F399="Gødning",-VLOOKUP("Permanent græs",Afgrødedata!$A$5:$L$18,MATCH(CONCATENATE("Kvælstofnorm-",'Processer - data'!$C399),Afgrødedata!$A$4:$L$4,0),FALSE),IF($F399="Halm",VLOOKUP("Permanent græs",Afgrødedata!$A$2:$L$18,MATCH(Afgrødedata!$C$4,Afgrødedata!$A$4:$L$4,0),FALSE)/10,VLOOKUP("Permanent græs",Afgrødedata!$A$2:$L$18,MATCH("Hovedafgrøde",Afgrødedata!$A$4:$L$4,0),FALSE)/10)*IF($C399="OC6",VLOOKUP("Permanent græs",Afgrødedata!$A$2:$L$18,MATCH(Afgrødedata!$E$4,Afgrødedata!$A$4:$L$4,0),FALSE),IF($C399="OC12",VLOOKUP("Permanent græs",Afgrødedata!$A$2:$L$18,MATCH(Afgrødedata!$F$4,Afgrødedata!$A$4:$L$4,0),FALSE),1)))*IF($B399="Økologisk",VLOOKUP("Permanent græs",Afgrødedata!$A$2:$L$18,MATCH(Afgrødedata!$D$4,Afgrødedata!$A$4:$L$4,0),FALSE),1)))</f>
        <v>19.306000000000001</v>
      </c>
      <c r="K399" s="145" t="s">
        <v>540</v>
      </c>
    </row>
    <row r="400" spans="1:11" s="146" customFormat="1" x14ac:dyDescent="0.55000000000000004">
      <c r="A400" s="187" t="s">
        <v>61</v>
      </c>
      <c r="B400" s="181" t="s">
        <v>46</v>
      </c>
      <c r="C400" s="181" t="str">
        <f>Organ12</f>
        <v>OC12</v>
      </c>
      <c r="D400" s="146" t="s">
        <v>360</v>
      </c>
      <c r="E400" s="146" t="str">
        <f>IFERROR(VLOOKUP(D400,Table2[],2,FALSE),"")</f>
        <v>Hektar</v>
      </c>
      <c r="F400" s="146" t="s">
        <v>303</v>
      </c>
      <c r="G400" s="146" t="str">
        <f>IFERROR(VLOOKUP(F400,Table2[],2,FALSE),"")</f>
        <v>kg N</v>
      </c>
      <c r="H400" s="259">
        <f>IF($F400="C - land",0,IF($F400="CO2 - atmosfære",VLOOKUP("Permanent græs",Afgrødedata!$A$5:$L$18,MATCH(CONCATENATE("CO2-",'Processer - data'!$C400),Afgrødedata!$A$4:$L$4,0),FALSE),IF($F400="Gødning",-VLOOKUP("Permanent græs",Afgrødedata!$A$5:$L$18,MATCH(CONCATENATE("Kvælstofnorm-",'Processer - data'!$C400),Afgrødedata!$A$4:$L$4,0),FALSE),IF($F400="Halm",VLOOKUP("Permanent græs",Afgrødedata!$A$2:$L$18,MATCH(Afgrødedata!$C$4,Afgrødedata!$A$4:$L$4,0),FALSE)/10,VLOOKUP("Permanent græs",Afgrødedata!$A$2:$L$18,MATCH("Hovedafgrøde",Afgrødedata!$A$4:$L$4,0),FALSE)/10)*IF($C400="OC6",VLOOKUP("Permanent græs",Afgrødedata!$A$2:$L$18,MATCH(Afgrødedata!$E$4,Afgrødedata!$A$4:$L$4,0),FALSE),IF($C400="OC12",VLOOKUP("Permanent græs",Afgrødedata!$A$2:$L$18,MATCH(Afgrødedata!$F$4,Afgrødedata!$A$4:$L$4,0),FALSE),1)))*IF($B400="Økologisk",VLOOKUP("Permanent græs",Afgrødedata!$A$2:$L$18,MATCH(Afgrødedata!$D$4,Afgrødedata!$A$4:$L$4,0),FALSE),1)))</f>
        <v>-50</v>
      </c>
      <c r="I400" s="259">
        <f>IF($F400="C - land",0,IF($F400="CO2 - atmosfære",VLOOKUP("Permanent græs",Afgrødedata!$A$5:$L$18,MATCH(CONCATENATE("CO2-",'Processer - data'!$C400),Afgrødedata!$A$4:$L$4,0),FALSE),IF($F400="Gødning",-VLOOKUP("Permanent græs",Afgrødedata!$A$5:$L$18,MATCH(CONCATENATE("Kvælstofnorm-",'Processer - data'!$C400),Afgrødedata!$A$4:$L$4,0),FALSE),IF($F400="Halm",VLOOKUP("Permanent græs",Afgrødedata!$A$2:$L$18,MATCH(Afgrødedata!$C$4,Afgrødedata!$A$4:$L$4,0),FALSE)/10,VLOOKUP("Permanent græs",Afgrødedata!$A$2:$L$18,MATCH("Hovedafgrøde",Afgrødedata!$A$4:$L$4,0),FALSE)/10)*IF($C400="OC6",VLOOKUP("Permanent græs",Afgrødedata!$A$2:$L$18,MATCH(Afgrødedata!$E$4,Afgrødedata!$A$4:$L$4,0),FALSE),IF($C400="OC12",VLOOKUP("Permanent græs",Afgrødedata!$A$2:$L$18,MATCH(Afgrødedata!$F$4,Afgrødedata!$A$4:$L$4,0),FALSE),1)))*IF($B400="Økologisk",VLOOKUP("Permanent græs",Afgrødedata!$A$2:$L$18,MATCH(Afgrødedata!$D$4,Afgrødedata!$A$4:$L$4,0),FALSE),1)))</f>
        <v>-50</v>
      </c>
      <c r="J400" s="259">
        <f>IF($F400="C - land",0,IF($F400="CO2 - atmosfære",VLOOKUP("Permanent græs",Afgrødedata!$A$5:$L$18,MATCH(CONCATENATE("CO2-",'Processer - data'!$C400),Afgrødedata!$A$4:$L$4,0),FALSE),IF($F400="Gødning",-VLOOKUP("Permanent græs",Afgrødedata!$A$5:$L$18,MATCH(CONCATENATE("Kvælstofnorm-",'Processer - data'!$C400),Afgrødedata!$A$4:$L$4,0),FALSE),IF($F400="Halm",VLOOKUP("Permanent græs",Afgrødedata!$A$2:$L$18,MATCH(Afgrødedata!$C$4,Afgrødedata!$A$4:$L$4,0),FALSE)/10,VLOOKUP("Permanent græs",Afgrødedata!$A$2:$L$18,MATCH("Hovedafgrøde",Afgrødedata!$A$4:$L$4,0),FALSE)/10)*IF($C400="OC6",VLOOKUP("Permanent græs",Afgrødedata!$A$2:$L$18,MATCH(Afgrødedata!$E$4,Afgrødedata!$A$4:$L$4,0),FALSE),IF($C400="OC12",VLOOKUP("Permanent græs",Afgrødedata!$A$2:$L$18,MATCH(Afgrødedata!$F$4,Afgrødedata!$A$4:$L$4,0),FALSE),1)))*IF($B400="Økologisk",VLOOKUP("Permanent græs",Afgrødedata!$A$2:$L$18,MATCH(Afgrødedata!$D$4,Afgrødedata!$A$4:$L$4,0),FALSE),1)))</f>
        <v>-50</v>
      </c>
      <c r="K400" s="147" t="s">
        <v>540</v>
      </c>
    </row>
    <row r="401" spans="1:14" s="146" customFormat="1" ht="14.7" thickBot="1" x14ac:dyDescent="0.6">
      <c r="A401" s="188" t="s">
        <v>61</v>
      </c>
      <c r="B401" s="182" t="s">
        <v>46</v>
      </c>
      <c r="C401" s="182" t="str">
        <f>Organ12</f>
        <v>OC12</v>
      </c>
      <c r="D401" s="148" t="s">
        <v>360</v>
      </c>
      <c r="E401" s="148" t="str">
        <f>IFERROR(VLOOKUP(D401,Table2[],2,FALSE),"")</f>
        <v>Hektar</v>
      </c>
      <c r="F401" s="202" t="s">
        <v>344</v>
      </c>
      <c r="G401" s="148" t="str">
        <f>IFERROR(VLOOKUP(F401,Table2[],2,FALSE),"")</f>
        <v>t CO2-ækvivalenter</v>
      </c>
      <c r="H401" s="296">
        <f>IF($F401="C - land",0,IF($F401="CO2 - atmosfære",VLOOKUP("Permanent græs",Afgrødedata!$A$5:$L$18,MATCH(CONCATENATE("CO2-",'Processer - data'!$C401),Afgrødedata!$A$4:$L$4,0),FALSE),IF($F401="Gødning",-VLOOKUP("Permanent græs",Afgrødedata!$A$5:$L$18,MATCH(CONCATENATE("Kvælstofnorm-",'Processer - data'!$C401),Afgrødedata!$A$4:$L$4,0),FALSE),IF($F401="Halm",VLOOKUP("Permanent græs",Afgrødedata!$A$2:$L$18,MATCH(Afgrødedata!$C$4,Afgrødedata!$A$4:$L$4,0),FALSE)/10,VLOOKUP("Permanent græs",Afgrødedata!$A$2:$L$18,MATCH("Hovedafgrøde",Afgrødedata!$A$4:$L$4,0),FALSE)/10)*IF($C401="OC6",VLOOKUP("Permanent græs",Afgrødedata!$A$2:$L$18,MATCH(Afgrødedata!$E$4,Afgrødedata!$A$4:$L$4,0),FALSE),IF($C401="OC12",VLOOKUP("Permanent græs",Afgrødedata!$A$2:$L$18,MATCH(Afgrødedata!$F$4,Afgrødedata!$A$4:$L$4,0),FALSE),1)))*IF($B401="Økologisk",VLOOKUP("Permanent græs",Afgrødedata!$A$2:$L$18,MATCH(Afgrødedata!$D$4,Afgrødedata!$A$4:$L$4,0),FALSE),1)))</f>
        <v>28.501694367485467</v>
      </c>
      <c r="I401" s="296">
        <f>IF($F401="C - land",0,IF($F401="CO2 - atmosfære",VLOOKUP("Permanent græs",Afgrødedata!$A$5:$L$18,MATCH(CONCATENATE("CO2-",'Processer - data'!$C401),Afgrødedata!$A$4:$L$4,0),FALSE),IF($F401="Gødning",-VLOOKUP("Permanent græs",Afgrødedata!$A$5:$L$18,MATCH(CONCATENATE("Kvælstofnorm-",'Processer - data'!$C401),Afgrødedata!$A$4:$L$4,0),FALSE),IF($F401="Halm",VLOOKUP("Permanent græs",Afgrødedata!$A$2:$L$18,MATCH(Afgrødedata!$C$4,Afgrødedata!$A$4:$L$4,0),FALSE)/10,VLOOKUP("Permanent græs",Afgrødedata!$A$2:$L$18,MATCH("Hovedafgrøde",Afgrødedata!$A$4:$L$4,0),FALSE)/10)*IF($C401="OC6",VLOOKUP("Permanent græs",Afgrødedata!$A$2:$L$18,MATCH(Afgrødedata!$E$4,Afgrødedata!$A$4:$L$4,0),FALSE),IF($C401="OC12",VLOOKUP("Permanent græs",Afgrødedata!$A$2:$L$18,MATCH(Afgrødedata!$F$4,Afgrødedata!$A$4:$L$4,0),FALSE),1)))*IF($B401="Økologisk",VLOOKUP("Permanent græs",Afgrødedata!$A$2:$L$18,MATCH(Afgrødedata!$D$4,Afgrødedata!$A$4:$L$4,0),FALSE),1)))</f>
        <v>28.501694367485467</v>
      </c>
      <c r="J401" s="296">
        <f>IF($F401="C - land",0,IF($F401="CO2 - atmosfære",VLOOKUP("Permanent græs",Afgrødedata!$A$5:$L$18,MATCH(CONCATENATE("CO2-",'Processer - data'!$C401),Afgrødedata!$A$4:$L$4,0),FALSE),IF($F401="Gødning",-VLOOKUP("Permanent græs",Afgrødedata!$A$5:$L$18,MATCH(CONCATENATE("Kvælstofnorm-",'Processer - data'!$C401),Afgrødedata!$A$4:$L$4,0),FALSE),IF($F401="Halm",VLOOKUP("Permanent græs",Afgrødedata!$A$2:$L$18,MATCH(Afgrødedata!$C$4,Afgrødedata!$A$4:$L$4,0),FALSE)/10,VLOOKUP("Permanent græs",Afgrødedata!$A$2:$L$18,MATCH("Hovedafgrøde",Afgrødedata!$A$4:$L$4,0),FALSE)/10)*IF($C401="OC6",VLOOKUP("Permanent græs",Afgrødedata!$A$2:$L$18,MATCH(Afgrødedata!$E$4,Afgrødedata!$A$4:$L$4,0),FALSE),IF($C401="OC12",VLOOKUP("Permanent græs",Afgrødedata!$A$2:$L$18,MATCH(Afgrødedata!$F$4,Afgrødedata!$A$4:$L$4,0),FALSE),1)))*IF($B401="Økologisk",VLOOKUP("Permanent græs",Afgrødedata!$A$2:$L$18,MATCH(Afgrødedata!$D$4,Afgrødedata!$A$4:$L$4,0),FALSE),1)))</f>
        <v>28.501694367485467</v>
      </c>
      <c r="K401" s="149" t="s">
        <v>540</v>
      </c>
    </row>
    <row r="402" spans="1:14" ht="14.7" thickTop="1" x14ac:dyDescent="0.55000000000000004">
      <c r="A402" s="187" t="s">
        <v>33</v>
      </c>
      <c r="B402" s="181"/>
      <c r="C402" s="181"/>
      <c r="D402" s="146" t="s">
        <v>553</v>
      </c>
      <c r="E402" s="146" t="str">
        <f>IFERROR(VLOOKUP(D402,Table2[],2,FALSE),"")</f>
        <v>m3</v>
      </c>
      <c r="F402" s="146" t="s">
        <v>308</v>
      </c>
      <c r="G402" s="146" t="str">
        <f>IFERROR(VLOOKUP(F402,Table2[],2,FALSE),"")</f>
        <v>m3</v>
      </c>
      <c r="H402" s="208">
        <v>0.48</v>
      </c>
      <c r="I402" s="208">
        <v>0.48</v>
      </c>
      <c r="J402" s="208">
        <v>0.48</v>
      </c>
      <c r="K402" s="147" t="s">
        <v>624</v>
      </c>
    </row>
    <row r="403" spans="1:14" s="146" customFormat="1" ht="14.7" thickBot="1" x14ac:dyDescent="0.6">
      <c r="A403" s="187" t="s">
        <v>33</v>
      </c>
      <c r="B403" s="181"/>
      <c r="C403" s="181"/>
      <c r="D403" s="146" t="s">
        <v>553</v>
      </c>
      <c r="E403" s="146" t="str">
        <f>IFERROR(VLOOKUP(D403,Table2[],2,FALSE),"")</f>
        <v>m3</v>
      </c>
      <c r="F403" s="150" t="s">
        <v>405</v>
      </c>
      <c r="G403" s="146" t="str">
        <f>IFERROR(VLOOKUP(F403,Table2[],2,FALSE),"")</f>
        <v>m3</v>
      </c>
      <c r="H403" s="208">
        <v>0.52</v>
      </c>
      <c r="I403" s="208">
        <v>0.52</v>
      </c>
      <c r="J403" s="208">
        <v>0.52</v>
      </c>
      <c r="K403" s="147" t="s">
        <v>624</v>
      </c>
    </row>
    <row r="404" spans="1:14" ht="14.7" thickTop="1" x14ac:dyDescent="0.55000000000000004">
      <c r="A404" s="186" t="s">
        <v>34</v>
      </c>
      <c r="B404" s="183"/>
      <c r="C404" s="183"/>
      <c r="D404" s="144" t="s">
        <v>302</v>
      </c>
      <c r="E404" s="144" t="str">
        <f>IFERROR(VLOOKUP(D404,Table2[],2,FALSE),"")</f>
        <v>Ton</v>
      </c>
      <c r="F404" s="144" t="s">
        <v>309</v>
      </c>
      <c r="G404" s="144" t="str">
        <f>IFERROR(VLOOKUP(F404,Table2[],2,FALSE),"")</f>
        <v>Ton</v>
      </c>
      <c r="H404" s="210">
        <f>1-H405-H407</f>
        <v>0.64217654203833741</v>
      </c>
      <c r="I404" s="210">
        <f>H404</f>
        <v>0.64217654203833741</v>
      </c>
      <c r="J404" s="210">
        <f>I404</f>
        <v>0.64217654203833741</v>
      </c>
      <c r="K404" s="145" t="s">
        <v>762</v>
      </c>
    </row>
    <row r="405" spans="1:14" x14ac:dyDescent="0.55000000000000004">
      <c r="A405" s="187" t="s">
        <v>34</v>
      </c>
      <c r="B405" s="185"/>
      <c r="C405" s="185"/>
      <c r="D405" s="146" t="s">
        <v>302</v>
      </c>
      <c r="E405" s="146" t="str">
        <f>IFERROR(VLOOKUP(D405,Table2[],2,FALSE),"")</f>
        <v>Ton</v>
      </c>
      <c r="F405" s="150" t="s">
        <v>502</v>
      </c>
      <c r="G405" s="146" t="str">
        <f>IFERROR(VLOOKUP(F405,Table2[],2,FALSE),"")</f>
        <v>Ton</v>
      </c>
      <c r="H405" s="211">
        <f>0.025</f>
        <v>2.5000000000000001E-2</v>
      </c>
      <c r="I405" s="211">
        <f>0.025</f>
        <v>2.5000000000000001E-2</v>
      </c>
      <c r="J405" s="211">
        <f>0.025</f>
        <v>2.5000000000000001E-2</v>
      </c>
      <c r="K405" s="147" t="s">
        <v>423</v>
      </c>
    </row>
    <row r="406" spans="1:14" x14ac:dyDescent="0.55000000000000004">
      <c r="A406" s="187" t="s">
        <v>34</v>
      </c>
      <c r="B406" s="185"/>
      <c r="C406" s="185"/>
      <c r="D406" s="146" t="s">
        <v>302</v>
      </c>
      <c r="E406" s="146" t="str">
        <f>IFERROR(VLOOKUP(D406,Table2[],2,FALSE),"")</f>
        <v>Ton</v>
      </c>
      <c r="F406" s="150" t="s">
        <v>41</v>
      </c>
      <c r="G406" s="146" t="str">
        <f>IFERROR(VLOOKUP(F406,Table2[],2,FALSE),"")</f>
        <v>Ton</v>
      </c>
      <c r="H406" s="439">
        <f>0.003285</f>
        <v>3.2850000000000002E-3</v>
      </c>
      <c r="I406" s="439">
        <f t="shared" ref="I406:J406" si="1">0.003285</f>
        <v>3.2850000000000002E-3</v>
      </c>
      <c r="J406" s="439">
        <f t="shared" si="1"/>
        <v>3.2850000000000002E-3</v>
      </c>
      <c r="K406" s="147" t="s">
        <v>826</v>
      </c>
    </row>
    <row r="407" spans="1:14" ht="14.7" thickBot="1" x14ac:dyDescent="0.6">
      <c r="A407" s="187" t="s">
        <v>34</v>
      </c>
      <c r="B407" s="185"/>
      <c r="C407" s="185"/>
      <c r="D407" s="146" t="s">
        <v>302</v>
      </c>
      <c r="E407" s="146" t="str">
        <f>IFERROR(VLOOKUP(D407,Table2[],2,FALSE),"")</f>
        <v>Ton</v>
      </c>
      <c r="F407" s="146" t="s">
        <v>430</v>
      </c>
      <c r="G407" s="146" t="str">
        <f>IFERROR(VLOOKUP(F407,Table2[],2,FALSE),"")</f>
        <v>Ton</v>
      </c>
      <c r="H407" s="211">
        <f>0.0272+'Procesdata (baggrund)'!$B$10</f>
        <v>0.33282345796166263</v>
      </c>
      <c r="I407" s="211">
        <f>0.0272+'Procesdata (baggrund)'!$B$10</f>
        <v>0.33282345796166263</v>
      </c>
      <c r="J407" s="211">
        <f>0.0272+'Procesdata (baggrund)'!$B$10</f>
        <v>0.33282345796166263</v>
      </c>
      <c r="K407" s="147" t="s">
        <v>762</v>
      </c>
    </row>
    <row r="408" spans="1:14" ht="14.7" thickTop="1" x14ac:dyDescent="0.55000000000000004">
      <c r="A408" s="186" t="s">
        <v>35</v>
      </c>
      <c r="B408" s="180"/>
      <c r="C408" s="180"/>
      <c r="D408" s="144" t="s">
        <v>300</v>
      </c>
      <c r="E408" s="144" t="str">
        <f>IFERROR(VLOOKUP(D408,Table2[],2,FALSE),"")</f>
        <v>Antal</v>
      </c>
      <c r="F408" s="144" t="s">
        <v>318</v>
      </c>
      <c r="G408" s="144" t="str">
        <f>IFERROR(VLOOKUP(F408,Table2[],2,FALSE),"")</f>
        <v>Ton</v>
      </c>
      <c r="H408" s="210">
        <f>1770.5/18356</f>
        <v>9.6453475702767494E-2</v>
      </c>
      <c r="I408" s="210">
        <f t="shared" ref="I408:J408" si="2">1770.5/18356</f>
        <v>9.6453475702767494E-2</v>
      </c>
      <c r="J408" s="210">
        <f t="shared" si="2"/>
        <v>9.6453475702767494E-2</v>
      </c>
      <c r="K408" s="145" t="s">
        <v>423</v>
      </c>
    </row>
    <row r="409" spans="1:14" x14ac:dyDescent="0.55000000000000004">
      <c r="A409" s="187" t="s">
        <v>35</v>
      </c>
      <c r="B409" s="181"/>
      <c r="C409" s="181"/>
      <c r="D409" s="146" t="s">
        <v>300</v>
      </c>
      <c r="E409" s="146" t="str">
        <f>IFERROR(VLOOKUP(D409,Table2[],2,FALSE),"")</f>
        <v>Antal</v>
      </c>
      <c r="F409" s="146" t="s">
        <v>41</v>
      </c>
      <c r="G409" s="146" t="str">
        <f>IFERROR(VLOOKUP(F409,Table2[],2,FALSE),"")</f>
        <v>Ton</v>
      </c>
      <c r="H409" s="212">
        <f>21.2/18356*N410</f>
        <v>1.3691762911309652E-3</v>
      </c>
      <c r="I409" s="212">
        <f t="shared" ref="I409:J409" si="3">21.2/18356*1.6</f>
        <v>1.8478971453475702E-3</v>
      </c>
      <c r="J409" s="212">
        <f t="shared" si="3"/>
        <v>1.8478971453475702E-3</v>
      </c>
      <c r="K409" s="147" t="s">
        <v>510</v>
      </c>
    </row>
    <row r="410" spans="1:14" x14ac:dyDescent="0.55000000000000004">
      <c r="A410" s="187" t="s">
        <v>35</v>
      </c>
      <c r="B410" s="181"/>
      <c r="C410" s="181"/>
      <c r="D410" s="146" t="s">
        <v>300</v>
      </c>
      <c r="E410" s="146" t="str">
        <f>IFERROR(VLOOKUP(D410,Table2[],2,FALSE),"")</f>
        <v>Antal</v>
      </c>
      <c r="F410" s="146" t="s">
        <v>424</v>
      </c>
      <c r="G410" s="146" t="str">
        <f>IFERROR(VLOOKUP(F410,Table2[],2,FALSE),"")</f>
        <v>Ton</v>
      </c>
      <c r="H410" s="212">
        <f>(90.5+67.4)/18356</f>
        <v>8.602091959032469E-3</v>
      </c>
      <c r="I410" s="212">
        <f t="shared" ref="I410:J410" si="4">(90.5+67.4)/18356</f>
        <v>8.602091959032469E-3</v>
      </c>
      <c r="J410" s="212">
        <f t="shared" si="4"/>
        <v>8.602091959032469E-3</v>
      </c>
      <c r="K410" s="147" t="s">
        <v>423</v>
      </c>
      <c r="M410" t="s">
        <v>823</v>
      </c>
      <c r="N410">
        <v>1.1855</v>
      </c>
    </row>
    <row r="411" spans="1:14" x14ac:dyDescent="0.55000000000000004">
      <c r="A411" s="187" t="s">
        <v>35</v>
      </c>
      <c r="B411" s="181"/>
      <c r="C411" s="181"/>
      <c r="D411" s="146" t="s">
        <v>300</v>
      </c>
      <c r="E411" s="146" t="str">
        <f>IFERROR(VLOOKUP(D411,Table2[],2,FALSE),"")</f>
        <v>Antal</v>
      </c>
      <c r="F411" s="146" t="s">
        <v>425</v>
      </c>
      <c r="G411" s="146" t="str">
        <f>IFERROR(VLOOKUP(F411,Table2[],2,FALSE),"")</f>
        <v>Ton</v>
      </c>
      <c r="H411" s="212">
        <f>(151.6+4.2)/18356</f>
        <v>8.4876879494443225E-3</v>
      </c>
      <c r="I411" s="212">
        <f t="shared" ref="I411:J411" si="5">(151.6+4.2)/18356</f>
        <v>8.4876879494443225E-3</v>
      </c>
      <c r="J411" s="212">
        <f t="shared" si="5"/>
        <v>8.4876879494443225E-3</v>
      </c>
      <c r="K411" s="147" t="s">
        <v>423</v>
      </c>
    </row>
    <row r="412" spans="1:14" x14ac:dyDescent="0.55000000000000004">
      <c r="A412" s="187" t="s">
        <v>35</v>
      </c>
      <c r="B412" s="181"/>
      <c r="C412" s="181"/>
      <c r="D412" s="146" t="s">
        <v>301</v>
      </c>
      <c r="E412" s="146" t="str">
        <f>IFERROR(VLOOKUP(D412,Table2[],2,FALSE),"")</f>
        <v>Antal</v>
      </c>
      <c r="F412" s="146" t="s">
        <v>319</v>
      </c>
      <c r="G412" s="146" t="str">
        <f>IFERROR(VLOOKUP(F412,Table2[],2,FALSE),"")</f>
        <v>Ton</v>
      </c>
      <c r="H412" s="211">
        <f>123400/495000</f>
        <v>0.24929292929292929</v>
      </c>
      <c r="I412" s="211">
        <f t="shared" ref="I412:J412" si="6">123400/495000</f>
        <v>0.24929292929292929</v>
      </c>
      <c r="J412" s="211">
        <f t="shared" si="6"/>
        <v>0.24929292929292929</v>
      </c>
      <c r="K412" s="147" t="s">
        <v>423</v>
      </c>
    </row>
    <row r="413" spans="1:14" x14ac:dyDescent="0.55000000000000004">
      <c r="A413" s="187" t="s">
        <v>35</v>
      </c>
      <c r="B413" s="181"/>
      <c r="C413" s="181"/>
      <c r="D413" s="146" t="s">
        <v>301</v>
      </c>
      <c r="E413" s="146" t="str">
        <f>IFERROR(VLOOKUP(D413,Table2[],2,FALSE),"")</f>
        <v>Antal</v>
      </c>
      <c r="F413" s="146" t="s">
        <v>41</v>
      </c>
      <c r="G413" s="146" t="str">
        <f>IFERROR(VLOOKUP(F413,Table2[],2,FALSE),"")</f>
        <v>Ton</v>
      </c>
      <c r="H413" s="211">
        <f>(45)/495*N410</f>
        <v>0.10777272727272727</v>
      </c>
      <c r="I413" s="211">
        <f>(45)/495*1.33</f>
        <v>0.12090909090909092</v>
      </c>
      <c r="J413" s="211">
        <f>(45)/495*1.33</f>
        <v>0.12090909090909092</v>
      </c>
      <c r="K413" s="147" t="s">
        <v>510</v>
      </c>
    </row>
    <row r="414" spans="1:14" x14ac:dyDescent="0.55000000000000004">
      <c r="A414" s="187" t="s">
        <v>35</v>
      </c>
      <c r="B414" s="181"/>
      <c r="C414" s="181"/>
      <c r="D414" s="146" t="s">
        <v>301</v>
      </c>
      <c r="E414" s="146" t="str">
        <f>IFERROR(VLOOKUP(D414,Table2[],2,FALSE),"")</f>
        <v>Antal</v>
      </c>
      <c r="F414" s="146" t="s">
        <v>424</v>
      </c>
      <c r="G414" s="146" t="str">
        <f>IFERROR(VLOOKUP(F414,Table2[],2,FALSE),"")</f>
        <v>Ton</v>
      </c>
      <c r="H414" s="211">
        <f>7.9/495</f>
        <v>1.5959595959595962E-2</v>
      </c>
      <c r="I414" s="211">
        <f t="shared" ref="I414:J414" si="7">7.9/495</f>
        <v>1.5959595959595962E-2</v>
      </c>
      <c r="J414" s="211">
        <f t="shared" si="7"/>
        <v>1.5959595959595962E-2</v>
      </c>
      <c r="K414" s="147" t="s">
        <v>423</v>
      </c>
    </row>
    <row r="415" spans="1:14" x14ac:dyDescent="0.55000000000000004">
      <c r="A415" s="187" t="s">
        <v>35</v>
      </c>
      <c r="B415" s="181"/>
      <c r="C415" s="181"/>
      <c r="D415" s="146" t="s">
        <v>301</v>
      </c>
      <c r="E415" s="146" t="str">
        <f>IFERROR(VLOOKUP(D415,Table2[],2,FALSE),"")</f>
        <v>Antal</v>
      </c>
      <c r="F415" s="146" t="s">
        <v>425</v>
      </c>
      <c r="G415" s="146" t="str">
        <f>IFERROR(VLOOKUP(F415,Table2[],2,FALSE),"")</f>
        <v>Ton</v>
      </c>
      <c r="H415" s="211">
        <f>(39.5+19.8+4.4+0.1+17.4)/495</f>
        <v>0.16404040404040401</v>
      </c>
      <c r="I415" s="211">
        <f t="shared" ref="I415:J415" si="8">(39.5+19.8+4.4+0.1+17.4)/495</f>
        <v>0.16404040404040401</v>
      </c>
      <c r="J415" s="211">
        <f t="shared" si="8"/>
        <v>0.16404040404040401</v>
      </c>
      <c r="K415" s="147" t="s">
        <v>423</v>
      </c>
    </row>
    <row r="416" spans="1:14" x14ac:dyDescent="0.55000000000000004">
      <c r="A416" s="187" t="s">
        <v>35</v>
      </c>
      <c r="B416" s="181"/>
      <c r="C416" s="181"/>
      <c r="D416" s="146" t="s">
        <v>364</v>
      </c>
      <c r="E416" s="146" t="str">
        <f>IFERROR(VLOOKUP(D416,Table2[],2,FALSE),"")</f>
        <v>Antal</v>
      </c>
      <c r="F416" s="146" t="s">
        <v>365</v>
      </c>
      <c r="G416" s="146" t="str">
        <f>IFERROR(VLOOKUP(F416,Table2[],2,FALSE),"")</f>
        <v>Ton</v>
      </c>
      <c r="H416" s="212">
        <f>192000/101500000*(1-0.0023)</f>
        <v>1.8872748768472907E-3</v>
      </c>
      <c r="I416" s="212">
        <f t="shared" ref="I416:J416" si="9">192000/101500000*(1-0.0023)</f>
        <v>1.8872748768472907E-3</v>
      </c>
      <c r="J416" s="212">
        <f t="shared" si="9"/>
        <v>1.8872748768472907E-3</v>
      </c>
      <c r="K416" s="147" t="s">
        <v>423</v>
      </c>
    </row>
    <row r="417" spans="1:11" ht="14.7" thickBot="1" x14ac:dyDescent="0.6">
      <c r="A417" s="187" t="s">
        <v>35</v>
      </c>
      <c r="B417" s="181"/>
      <c r="C417" s="181"/>
      <c r="D417" s="150" t="s">
        <v>364</v>
      </c>
      <c r="E417" s="146" t="str">
        <f>IFERROR(VLOOKUP(D417,Table2[],2,FALSE),"")</f>
        <v>Antal</v>
      </c>
      <c r="F417" s="146" t="s">
        <v>41</v>
      </c>
      <c r="G417" s="146" t="str">
        <f>IFERROR(VLOOKUP(F417,Table2[],2,FALSE),"")</f>
        <v>Ton</v>
      </c>
      <c r="H417" s="215">
        <f>192000/101500000*(0.0023)*N410</f>
        <v>5.1578009852216749E-6</v>
      </c>
      <c r="I417" s="215">
        <f t="shared" ref="I417:J417" si="10">192000/101500000*(0.0023)*1.6</f>
        <v>6.9611822660098529E-6</v>
      </c>
      <c r="J417" s="215">
        <f t="shared" si="10"/>
        <v>6.9611822660098529E-6</v>
      </c>
      <c r="K417" s="147" t="s">
        <v>510</v>
      </c>
    </row>
    <row r="418" spans="1:11" ht="14.7" thickTop="1" x14ac:dyDescent="0.55000000000000004">
      <c r="A418" s="186" t="s">
        <v>415</v>
      </c>
      <c r="B418" s="180"/>
      <c r="C418" s="180"/>
      <c r="D418" s="144" t="s">
        <v>11</v>
      </c>
      <c r="E418" s="144" t="str">
        <f>IFERROR(VLOOKUP(D418,Table2[],2,FALSE),"")</f>
        <v>Ton</v>
      </c>
      <c r="F418" s="144" t="s">
        <v>416</v>
      </c>
      <c r="G418" s="144" t="str">
        <f>IFERROR(VLOOKUP(F418,Table2[],2,FALSE),"")</f>
        <v>FE</v>
      </c>
      <c r="H418" s="204">
        <f>VLOOKUP('Processer - data'!$D418,Foder!$A$2:$C$16,3,FALSE)</f>
        <v>899.89334145969838</v>
      </c>
      <c r="I418" s="204">
        <f>VLOOKUP('Processer - data'!$D418,Foder!$A$2:$C$16,3,FALSE)</f>
        <v>899.89334145969838</v>
      </c>
      <c r="J418" s="204">
        <f>VLOOKUP('Processer - data'!$D418,Foder!$A$2:$C$16,3,FALSE)</f>
        <v>899.89334145969838</v>
      </c>
      <c r="K418" s="145"/>
    </row>
    <row r="419" spans="1:11" x14ac:dyDescent="0.55000000000000004">
      <c r="A419" s="187" t="s">
        <v>415</v>
      </c>
      <c r="B419" s="181"/>
      <c r="C419" s="181"/>
      <c r="D419" s="146" t="s">
        <v>37</v>
      </c>
      <c r="E419" s="146" t="str">
        <f>IFERROR(VLOOKUP(D419,Table2[],2,FALSE),"")</f>
        <v>Ton</v>
      </c>
      <c r="F419" s="146" t="s">
        <v>416</v>
      </c>
      <c r="G419" s="146" t="str">
        <f>IFERROR(VLOOKUP(F419,Table2[],2,FALSE),"")</f>
        <v>FE</v>
      </c>
      <c r="H419" s="201">
        <f>VLOOKUP('Processer - data'!$D419,Foder!$A$2:$C$16,3,FALSE)</f>
        <v>190.03476245654693</v>
      </c>
      <c r="I419" s="201">
        <f>VLOOKUP('Processer - data'!$D419,Foder!$A$2:$C$16,3,FALSE)</f>
        <v>190.03476245654693</v>
      </c>
      <c r="J419" s="201">
        <f>VLOOKUP('Processer - data'!$D419,Foder!$A$2:$C$16,3,FALSE)</f>
        <v>190.03476245654693</v>
      </c>
      <c r="K419" s="147"/>
    </row>
    <row r="420" spans="1:11" x14ac:dyDescent="0.55000000000000004">
      <c r="A420" s="187" t="s">
        <v>415</v>
      </c>
      <c r="B420" s="181"/>
      <c r="C420" s="181"/>
      <c r="D420" s="146" t="s">
        <v>188</v>
      </c>
      <c r="E420" s="146" t="str">
        <f>IFERROR(VLOOKUP(D420,Table2[],2,FALSE),"")</f>
        <v>Ton</v>
      </c>
      <c r="F420" s="146" t="s">
        <v>416</v>
      </c>
      <c r="G420" s="146" t="str">
        <f>IFERROR(VLOOKUP(F420,Table2[],2,FALSE),"")</f>
        <v>FE</v>
      </c>
      <c r="H420" s="201">
        <f>VLOOKUP('Processer - data'!$D420,Foder!$A$2:$C$16,3,FALSE)</f>
        <v>250</v>
      </c>
      <c r="I420" s="201">
        <f>VLOOKUP('Processer - data'!$D420,Foder!$A$2:$C$16,3,FALSE)</f>
        <v>250</v>
      </c>
      <c r="J420" s="201">
        <f>VLOOKUP('Processer - data'!$D420,Foder!$A$2:$C$16,3,FALSE)</f>
        <v>250</v>
      </c>
      <c r="K420" s="147"/>
    </row>
    <row r="421" spans="1:11" x14ac:dyDescent="0.55000000000000004">
      <c r="A421" s="187" t="s">
        <v>415</v>
      </c>
      <c r="B421" s="181"/>
      <c r="C421" s="181"/>
      <c r="D421" s="146" t="s">
        <v>14</v>
      </c>
      <c r="E421" s="146" t="str">
        <f>IFERROR(VLOOKUP(D421,Table2[],2,FALSE),"")</f>
        <v>Ton</v>
      </c>
      <c r="F421" s="146" t="s">
        <v>416</v>
      </c>
      <c r="G421" s="146" t="str">
        <f>IFERROR(VLOOKUP(F421,Table2[],2,FALSE),"")</f>
        <v>FE</v>
      </c>
      <c r="H421" s="201">
        <f>VLOOKUP('Processer - data'!$D421,Foder!$A$2:$C$16,3,FALSE)</f>
        <v>1083.3333333333333</v>
      </c>
      <c r="I421" s="201">
        <f>VLOOKUP('Processer - data'!$D421,Foder!$A$2:$C$16,3,FALSE)</f>
        <v>1083.3333333333333</v>
      </c>
      <c r="J421" s="201">
        <f>VLOOKUP('Processer - data'!$D421,Foder!$A$2:$C$16,3,FALSE)</f>
        <v>1083.3333333333333</v>
      </c>
      <c r="K421" s="147"/>
    </row>
    <row r="422" spans="1:11" x14ac:dyDescent="0.55000000000000004">
      <c r="A422" s="187" t="s">
        <v>415</v>
      </c>
      <c r="B422" s="181"/>
      <c r="C422" s="181"/>
      <c r="D422" s="146" t="s">
        <v>42</v>
      </c>
      <c r="E422" s="146" t="str">
        <f>IFERROR(VLOOKUP(D422,Table2[],2,FALSE),"")</f>
        <v>Ton</v>
      </c>
      <c r="F422" s="146" t="s">
        <v>416</v>
      </c>
      <c r="G422" s="146" t="str">
        <f>IFERROR(VLOOKUP(F422,Table2[],2,FALSE),"")</f>
        <v>FE</v>
      </c>
      <c r="H422" s="201">
        <f>VLOOKUP('Processer - data'!$D422,Foder!$A$2:$C$16,3,FALSE)</f>
        <v>152.28966986155484</v>
      </c>
      <c r="I422" s="201">
        <f>VLOOKUP('Processer - data'!$D422,Foder!$A$2:$C$16,3,FALSE)</f>
        <v>152.28966986155484</v>
      </c>
      <c r="J422" s="201">
        <f>VLOOKUP('Processer - data'!$D422,Foder!$A$2:$C$16,3,FALSE)</f>
        <v>152.28966986155484</v>
      </c>
      <c r="K422" s="147"/>
    </row>
    <row r="423" spans="1:11" x14ac:dyDescent="0.55000000000000004">
      <c r="A423" s="187" t="s">
        <v>415</v>
      </c>
      <c r="B423" s="181"/>
      <c r="C423" s="181"/>
      <c r="D423" s="146" t="s">
        <v>15</v>
      </c>
      <c r="E423" s="146" t="str">
        <f>IFERROR(VLOOKUP(D423,Table2[],2,FALSE),"")</f>
        <v>Ton</v>
      </c>
      <c r="F423" s="146" t="s">
        <v>416</v>
      </c>
      <c r="G423" s="146" t="str">
        <f>IFERROR(VLOOKUP(F423,Table2[],2,FALSE),"")</f>
        <v>FE</v>
      </c>
      <c r="H423" s="201">
        <f>VLOOKUP('Processer - data'!$D423,Foder!$A$2:$C$16,3,FALSE)</f>
        <v>264.92478226444973</v>
      </c>
      <c r="I423" s="201">
        <f>VLOOKUP('Processer - data'!$D423,Foder!$A$2:$C$16,3,FALSE)</f>
        <v>264.92478226444973</v>
      </c>
      <c r="J423" s="201">
        <f>VLOOKUP('Processer - data'!$D423,Foder!$A$2:$C$16,3,FALSE)</f>
        <v>264.92478226444973</v>
      </c>
      <c r="K423" s="147"/>
    </row>
    <row r="424" spans="1:11" x14ac:dyDescent="0.55000000000000004">
      <c r="A424" s="187" t="s">
        <v>415</v>
      </c>
      <c r="B424" s="181"/>
      <c r="C424" s="181"/>
      <c r="D424" s="146" t="s">
        <v>720</v>
      </c>
      <c r="E424" s="146" t="str">
        <f>IFERROR(VLOOKUP(D424,Table2[],2,FALSE),"")</f>
        <v>Ton</v>
      </c>
      <c r="F424" s="146" t="s">
        <v>416</v>
      </c>
      <c r="G424" s="146" t="str">
        <f>IFERROR(VLOOKUP(F424,Table2[],2,FALSE),"")</f>
        <v>FE</v>
      </c>
      <c r="H424" s="201">
        <f>VLOOKUP('Processer - data'!$D424,Foder!$A$2:$C$16,3,FALSE)</f>
        <v>1008.3682008368201</v>
      </c>
      <c r="I424" s="201">
        <f>VLOOKUP('Processer - data'!$D424,Foder!$A$2:$C$16,3,FALSE)</f>
        <v>1008.3682008368201</v>
      </c>
      <c r="J424" s="201">
        <f>VLOOKUP('Processer - data'!$D424,Foder!$A$2:$C$16,3,FALSE)</f>
        <v>1008.3682008368201</v>
      </c>
      <c r="K424" s="147"/>
    </row>
    <row r="425" spans="1:11" x14ac:dyDescent="0.55000000000000004">
      <c r="A425" s="187" t="s">
        <v>415</v>
      </c>
      <c r="B425" s="181"/>
      <c r="C425" s="181"/>
      <c r="D425" s="146" t="s">
        <v>310</v>
      </c>
      <c r="E425" s="146" t="str">
        <f>IFERROR(VLOOKUP(D425,Table2[],2,FALSE),"")</f>
        <v>Ton</v>
      </c>
      <c r="F425" s="146" t="s">
        <v>416</v>
      </c>
      <c r="G425" s="146" t="str">
        <f>IFERROR(VLOOKUP(F425,Table2[],2,FALSE),"")</f>
        <v>FE</v>
      </c>
      <c r="H425" s="201">
        <f>VLOOKUP('Processer - data'!$D425,Foder!$A$2:$C$16,3,FALSE)</f>
        <v>1360</v>
      </c>
      <c r="I425" s="201">
        <f>VLOOKUP('Processer - data'!$D425,Foder!$A$2:$C$16,3,FALSE)</f>
        <v>1360</v>
      </c>
      <c r="J425" s="201">
        <f>VLOOKUP('Processer - data'!$D425,Foder!$A$2:$C$16,3,FALSE)</f>
        <v>1360</v>
      </c>
      <c r="K425" s="147"/>
    </row>
    <row r="426" spans="1:11" x14ac:dyDescent="0.55000000000000004">
      <c r="A426" s="187" t="s">
        <v>415</v>
      </c>
      <c r="B426" s="181"/>
      <c r="C426" s="181"/>
      <c r="D426" s="146" t="s">
        <v>311</v>
      </c>
      <c r="E426" s="146" t="str">
        <f>IFERROR(VLOOKUP(D426,Table2[],2,FALSE),"")</f>
        <v>Ton</v>
      </c>
      <c r="F426" s="146" t="s">
        <v>416</v>
      </c>
      <c r="G426" s="146" t="str">
        <f>IFERROR(VLOOKUP(F426,Table2[],2,FALSE),"")</f>
        <v>FE</v>
      </c>
      <c r="H426" s="201">
        <f>VLOOKUP('Processer - data'!$D426,Foder!$A$2:$C$16,3,FALSE)</f>
        <v>1410</v>
      </c>
      <c r="I426" s="201">
        <f>VLOOKUP('Processer - data'!$D426,Foder!$A$2:$C$16,3,FALSE)</f>
        <v>1410</v>
      </c>
      <c r="J426" s="201">
        <f>VLOOKUP('Processer - data'!$D426,Foder!$A$2:$C$16,3,FALSE)</f>
        <v>1410</v>
      </c>
      <c r="K426" s="147"/>
    </row>
    <row r="427" spans="1:11" x14ac:dyDescent="0.55000000000000004">
      <c r="A427" s="187" t="s">
        <v>415</v>
      </c>
      <c r="B427" s="181"/>
      <c r="C427" s="181"/>
      <c r="D427" s="146" t="s">
        <v>13</v>
      </c>
      <c r="E427" s="146" t="str">
        <f>IFERROR(VLOOKUP(D427,Table2[],2,FALSE),"")</f>
        <v>Ton</v>
      </c>
      <c r="F427" s="146" t="s">
        <v>416</v>
      </c>
      <c r="G427" s="146" t="str">
        <f>IFERROR(VLOOKUP(F427,Table2[],2,FALSE),"")</f>
        <v>FE</v>
      </c>
      <c r="H427" s="201">
        <f>VLOOKUP('Processer - data'!$D427,Foder!$A$2:$C$16,3,FALSE)</f>
        <v>166.31286143034919</v>
      </c>
      <c r="I427" s="201">
        <f>VLOOKUP('Processer - data'!$D427,Foder!$A$2:$C$16,3,FALSE)</f>
        <v>166.31286143034919</v>
      </c>
      <c r="J427" s="201">
        <f>VLOOKUP('Processer - data'!$D427,Foder!$A$2:$C$16,3,FALSE)</f>
        <v>166.31286143034919</v>
      </c>
      <c r="K427" s="147"/>
    </row>
    <row r="428" spans="1:11" x14ac:dyDescent="0.55000000000000004">
      <c r="A428" s="187" t="s">
        <v>415</v>
      </c>
      <c r="B428" s="181"/>
      <c r="C428" s="181"/>
      <c r="D428" s="146" t="s">
        <v>430</v>
      </c>
      <c r="E428" s="146" t="str">
        <f>IFERROR(VLOOKUP(D428,Table2[],2,FALSE),"")</f>
        <v>Ton</v>
      </c>
      <c r="F428" s="146" t="s">
        <v>416</v>
      </c>
      <c r="G428" s="146" t="str">
        <f>IFERROR(VLOOKUP(F428,Table2[],2,FALSE),"")</f>
        <v>FE</v>
      </c>
      <c r="H428" s="201">
        <f>VLOOKUP('Processer - data'!$D428,Foder!$A$2:$C$16,3,FALSE)</f>
        <v>96.335697399527191</v>
      </c>
      <c r="I428" s="201">
        <f>VLOOKUP('Processer - data'!$D428,Foder!$A$2:$C$16,3,FALSE)</f>
        <v>96.335697399527191</v>
      </c>
      <c r="J428" s="201">
        <f>VLOOKUP('Processer - data'!$D428,Foder!$A$2:$C$16,3,FALSE)</f>
        <v>96.335697399527191</v>
      </c>
      <c r="K428" s="147"/>
    </row>
    <row r="429" spans="1:11" x14ac:dyDescent="0.55000000000000004">
      <c r="A429" s="187" t="s">
        <v>415</v>
      </c>
      <c r="B429" s="181"/>
      <c r="C429" s="181"/>
      <c r="D429" s="146" t="s">
        <v>657</v>
      </c>
      <c r="E429" s="146" t="str">
        <f>IFERROR(VLOOKUP(D429,Table2[],2,FALSE),"")</f>
        <v>Ton</v>
      </c>
      <c r="F429" s="146" t="s">
        <v>416</v>
      </c>
      <c r="G429" s="146" t="str">
        <f>IFERROR(VLOOKUP(F429,Table2[],2,FALSE),"")</f>
        <v>FE</v>
      </c>
      <c r="H429" s="201">
        <f>VLOOKUP('Processer - data'!$D429,Foder!$A$2:$C$16,3,FALSE)</f>
        <v>309.40000000000003</v>
      </c>
      <c r="I429" s="201">
        <f>VLOOKUP('Processer - data'!$D429,Foder!$A$2:$C$16,3,FALSE)</f>
        <v>309.40000000000003</v>
      </c>
      <c r="J429" s="201">
        <f>VLOOKUP('Processer - data'!$D429,Foder!$A$2:$C$16,3,FALSE)</f>
        <v>309.40000000000003</v>
      </c>
      <c r="K429" s="147"/>
    </row>
    <row r="430" spans="1:11" x14ac:dyDescent="0.55000000000000004">
      <c r="A430" s="187" t="s">
        <v>415</v>
      </c>
      <c r="B430" s="181"/>
      <c r="C430" s="181"/>
      <c r="D430" s="146" t="s">
        <v>655</v>
      </c>
      <c r="E430" s="146" t="str">
        <f>IFERROR(VLOOKUP(D430,Table2[],2,FALSE),"")</f>
        <v>Ton</v>
      </c>
      <c r="F430" s="146" t="s">
        <v>416</v>
      </c>
      <c r="G430" s="146" t="str">
        <f>IFERROR(VLOOKUP(F430,Table2[],2,FALSE),"")</f>
        <v>FE</v>
      </c>
      <c r="H430" s="201">
        <f>VLOOKUP('Processer - data'!$D430,Foder!$A$2:$C$16,3,FALSE)</f>
        <v>2750</v>
      </c>
      <c r="I430" s="201">
        <f>VLOOKUP('Processer - data'!$D430,Foder!$A$2:$C$16,3,FALSE)</f>
        <v>2750</v>
      </c>
      <c r="J430" s="201">
        <f>VLOOKUP('Processer - data'!$D430,Foder!$A$2:$C$16,3,FALSE)</f>
        <v>2750</v>
      </c>
      <c r="K430" s="147"/>
    </row>
    <row r="431" spans="1:11" x14ac:dyDescent="0.55000000000000004">
      <c r="A431" s="187" t="s">
        <v>415</v>
      </c>
      <c r="B431" s="181"/>
      <c r="C431" s="181"/>
      <c r="D431" s="146" t="s">
        <v>424</v>
      </c>
      <c r="E431" s="146" t="str">
        <f>IFERROR(VLOOKUP(D431,Table2[],2,FALSE),"")</f>
        <v>Ton</v>
      </c>
      <c r="F431" s="146" t="s">
        <v>416</v>
      </c>
      <c r="G431" s="146" t="str">
        <f>IFERROR(VLOOKUP(F431,Table2[],2,FALSE),"")</f>
        <v>FE</v>
      </c>
      <c r="H431" s="201">
        <f>VLOOKUP('Processer - data'!$D431,Foder!$A$2:$C$16,3,FALSE)</f>
        <v>2750</v>
      </c>
      <c r="I431" s="201">
        <f>VLOOKUP('Processer - data'!$D431,Foder!$A$2:$C$16,3,FALSE)</f>
        <v>2750</v>
      </c>
      <c r="J431" s="201">
        <f>VLOOKUP('Processer - data'!$D431,Foder!$A$2:$C$16,3,FALSE)</f>
        <v>2750</v>
      </c>
      <c r="K431" s="147"/>
    </row>
    <row r="432" spans="1:11" ht="14.7" thickBot="1" x14ac:dyDescent="0.6">
      <c r="A432" s="188" t="s">
        <v>415</v>
      </c>
      <c r="B432" s="182"/>
      <c r="C432" s="182"/>
      <c r="D432" s="148" t="s">
        <v>497</v>
      </c>
      <c r="E432" s="148" t="str">
        <f>IFERROR(VLOOKUP(D432,Table2[],2,FALSE),"")</f>
        <v>Ton</v>
      </c>
      <c r="F432" s="148" t="s">
        <v>416</v>
      </c>
      <c r="G432" s="148" t="str">
        <f>IFERROR(VLOOKUP(F432,Table2[],2,FALSE),"")</f>
        <v>FE</v>
      </c>
      <c r="H432" s="205">
        <f>VLOOKUP('Processer - data'!$D432,Foder!$A$2:$C$16,3,FALSE)</f>
        <v>743.22820037105748</v>
      </c>
      <c r="I432" s="205">
        <f>VLOOKUP('Processer - data'!$D432,Foder!$A$2:$C$16,3,FALSE)</f>
        <v>743.22820037105748</v>
      </c>
      <c r="J432" s="205">
        <f>VLOOKUP('Processer - data'!$D432,Foder!$A$2:$C$16,3,FALSE)</f>
        <v>743.22820037105748</v>
      </c>
      <c r="K432" s="149"/>
    </row>
    <row r="433" spans="1:15" ht="14.7" thickTop="1" x14ac:dyDescent="0.55000000000000004">
      <c r="A433" s="187" t="s">
        <v>36</v>
      </c>
      <c r="B433" s="181"/>
      <c r="C433" s="181"/>
      <c r="D433" s="146" t="s">
        <v>37</v>
      </c>
      <c r="E433" s="146" t="str">
        <f>IFERROR(VLOOKUP(D433,Table2[],2,FALSE),"")</f>
        <v>Ton</v>
      </c>
      <c r="F433" s="146" t="s">
        <v>312</v>
      </c>
      <c r="G433" s="146" t="str">
        <f>IFERROR(VLOOKUP(F433,Table2[],2,FALSE),"")</f>
        <v>Nm3 CH4</v>
      </c>
      <c r="H433" s="173">
        <f>VLOOKUP('Processer - data'!$D433,Biogasudbytte!$A$2:$C$18,2,FALSE)</f>
        <v>160.6</v>
      </c>
      <c r="I433" s="173">
        <f>VLOOKUP('Processer - data'!$D433,Biogasudbytte!$A$2:$C$18,2,FALSE)</f>
        <v>160.6</v>
      </c>
      <c r="J433" s="173">
        <f>VLOOKUP('Processer - data'!$D433,Biogasudbytte!$A$2:$C$18,2,FALSE)</f>
        <v>160.6</v>
      </c>
      <c r="K433" s="147"/>
    </row>
    <row r="434" spans="1:15" x14ac:dyDescent="0.55000000000000004">
      <c r="A434" s="187" t="s">
        <v>36</v>
      </c>
      <c r="B434" s="181"/>
      <c r="C434" s="181"/>
      <c r="D434" s="146" t="s">
        <v>11</v>
      </c>
      <c r="E434" s="146" t="str">
        <f>IFERROR(VLOOKUP(D434,Table2[],2,FALSE),"")</f>
        <v>Ton</v>
      </c>
      <c r="F434" s="146" t="s">
        <v>312</v>
      </c>
      <c r="G434" s="146" t="str">
        <f>IFERROR(VLOOKUP(F434,Table2[],2,FALSE),"")</f>
        <v>Nm3 CH4</v>
      </c>
      <c r="H434" s="173">
        <f>VLOOKUP('Processer - data'!$D434,Biogasudbytte!$A$2:$C$18,2,FALSE)</f>
        <v>95.4</v>
      </c>
      <c r="I434" s="173">
        <f>VLOOKUP('Processer - data'!$D434,Biogasudbytte!$A$2:$C$18,2,FALSE)</f>
        <v>95.4</v>
      </c>
      <c r="J434" s="173">
        <f>VLOOKUP('Processer - data'!$D434,Biogasudbytte!$A$2:$C$18,2,FALSE)</f>
        <v>95.4</v>
      </c>
      <c r="K434" s="147"/>
    </row>
    <row r="435" spans="1:15" x14ac:dyDescent="0.55000000000000004">
      <c r="A435" s="187" t="s">
        <v>36</v>
      </c>
      <c r="B435" s="181"/>
      <c r="C435" s="181"/>
      <c r="D435" s="146" t="s">
        <v>13</v>
      </c>
      <c r="E435" s="146" t="str">
        <f>IFERROR(VLOOKUP(D435,Table2[],2,FALSE),"")</f>
        <v>Ton</v>
      </c>
      <c r="F435" t="s">
        <v>312</v>
      </c>
      <c r="G435" s="146" t="str">
        <f>IFERROR(VLOOKUP(F435,Table2[],2,FALSE),"")</f>
        <v>Nm3 CH4</v>
      </c>
      <c r="H435" s="173">
        <f>VLOOKUP('Processer - data'!$D435,Biogasudbytte!$A$2:$C$18,2,FALSE)</f>
        <v>51.25</v>
      </c>
      <c r="I435" s="173">
        <f>VLOOKUP('Processer - data'!$D435,Biogasudbytte!$A$2:$C$18,2,FALSE)</f>
        <v>51.25</v>
      </c>
      <c r="J435" s="173">
        <f>VLOOKUP('Processer - data'!$D435,Biogasudbytte!$A$2:$C$18,2,FALSE)</f>
        <v>51.25</v>
      </c>
      <c r="K435" s="147"/>
      <c r="O435" s="9"/>
    </row>
    <row r="436" spans="1:15" x14ac:dyDescent="0.55000000000000004">
      <c r="A436" s="187" t="s">
        <v>36</v>
      </c>
      <c r="B436" s="181"/>
      <c r="C436" s="181"/>
      <c r="D436" s="146" t="s">
        <v>498</v>
      </c>
      <c r="E436" s="146" t="str">
        <f>IFERROR(VLOOKUP(D436,Table2[],2,FALSE),"")</f>
        <v>Ton</v>
      </c>
      <c r="F436" s="146" t="s">
        <v>312</v>
      </c>
      <c r="G436" s="146" t="str">
        <f>IFERROR(VLOOKUP(F436,Table2[],2,FALSE),"")</f>
        <v>Nm3 CH4</v>
      </c>
      <c r="H436" s="173">
        <f>VLOOKUP('Processer - data'!$D436,Biogasudbytte!$A$2:$C$18,2,FALSE)</f>
        <v>12</v>
      </c>
      <c r="I436" s="173">
        <f>VLOOKUP('Processer - data'!$D436,Biogasudbytte!$A$2:$C$18,2,FALSE)</f>
        <v>12</v>
      </c>
      <c r="J436" s="173">
        <f>VLOOKUP('Processer - data'!$D436,Biogasudbytte!$A$2:$C$18,2,FALSE)</f>
        <v>12</v>
      </c>
      <c r="K436" s="147"/>
      <c r="O436" s="10"/>
    </row>
    <row r="437" spans="1:15" s="459" customFormat="1" x14ac:dyDescent="0.55000000000000004">
      <c r="A437" s="187" t="s">
        <v>36</v>
      </c>
      <c r="B437" s="181"/>
      <c r="C437" s="181"/>
      <c r="D437" s="444" t="s">
        <v>498</v>
      </c>
      <c r="E437" s="444" t="str">
        <f>IFERROR(VLOOKUP(D437,Table2[],2,FALSE),"")</f>
        <v>Ton</v>
      </c>
      <c r="F437" s="444" t="s">
        <v>344</v>
      </c>
      <c r="G437" s="444" t="str">
        <f>IFERROR(VLOOKUP(F437,Table2[],2,FALSE),"")</f>
        <v>t CO2-ækvivalenter</v>
      </c>
      <c r="H437" s="471">
        <f>-Dyrehold!$U$13*Afgrødedata!$C$66</f>
        <v>-1.2727600045138086E-2</v>
      </c>
      <c r="I437" s="471">
        <f>-Dyrehold!$U$13*Afgrødedata!$C$66</f>
        <v>-1.2727600045138086E-2</v>
      </c>
      <c r="J437" s="471">
        <f>-Dyrehold!$U$13*Afgrødedata!$C$66</f>
        <v>-1.2727600045138086E-2</v>
      </c>
      <c r="K437" s="147"/>
      <c r="O437" s="10"/>
    </row>
    <row r="438" spans="1:15" x14ac:dyDescent="0.55000000000000004">
      <c r="A438" s="187" t="s">
        <v>36</v>
      </c>
      <c r="B438" s="181"/>
      <c r="C438" s="181"/>
      <c r="D438" s="146" t="s">
        <v>499</v>
      </c>
      <c r="E438" s="146" t="str">
        <f>IFERROR(VLOOKUP(D438,Table2[],2,FALSE),"")</f>
        <v>Ton</v>
      </c>
      <c r="F438" s="146" t="s">
        <v>312</v>
      </c>
      <c r="G438" s="146" t="str">
        <f>IFERROR(VLOOKUP(F438,Table2[],2,FALSE),"")</f>
        <v>Nm3 CH4</v>
      </c>
      <c r="H438" s="173">
        <f>VLOOKUP('Processer - data'!$D438,Biogasudbytte!$A$2:$C$18,2,FALSE)</f>
        <v>14.1</v>
      </c>
      <c r="I438" s="173">
        <f>VLOOKUP('Processer - data'!$D438,Biogasudbytte!$A$2:$C$18,2,FALSE)</f>
        <v>14.1</v>
      </c>
      <c r="J438" s="173">
        <f>VLOOKUP('Processer - data'!$D438,Biogasudbytte!$A$2:$C$18,2,FALSE)</f>
        <v>14.1</v>
      </c>
      <c r="K438" s="147"/>
      <c r="O438" s="10"/>
    </row>
    <row r="439" spans="1:15" s="459" customFormat="1" x14ac:dyDescent="0.55000000000000004">
      <c r="A439" s="187" t="s">
        <v>36</v>
      </c>
      <c r="B439" s="181"/>
      <c r="C439" s="181"/>
      <c r="D439" s="444" t="s">
        <v>499</v>
      </c>
      <c r="E439" s="444" t="str">
        <f>IFERROR(VLOOKUP(D439,Table2[],2,FALSE),"")</f>
        <v>Ton</v>
      </c>
      <c r="F439" s="444" t="s">
        <v>344</v>
      </c>
      <c r="G439" s="444" t="str">
        <f>IFERROR(VLOOKUP(F439,Table2[],2,FALSE),"")</f>
        <v>t CO2-ækvivalenter</v>
      </c>
      <c r="H439" s="471">
        <f>-Dyrehold!$U$8*Afgrødedata!$C$64</f>
        <v>-2.942635474487016E-2</v>
      </c>
      <c r="I439" s="471">
        <f>-Dyrehold!$U$8*Afgrødedata!$C$64</f>
        <v>-2.942635474487016E-2</v>
      </c>
      <c r="J439" s="471">
        <f>-Dyrehold!$U$8*Afgrødedata!$C$64</f>
        <v>-2.942635474487016E-2</v>
      </c>
      <c r="K439" s="147"/>
      <c r="O439" s="10"/>
    </row>
    <row r="440" spans="1:15" x14ac:dyDescent="0.55000000000000004">
      <c r="A440" s="187" t="s">
        <v>36</v>
      </c>
      <c r="B440" s="181"/>
      <c r="C440" s="181"/>
      <c r="D440" s="146" t="s">
        <v>500</v>
      </c>
      <c r="E440" s="146" t="str">
        <f>IFERROR(VLOOKUP(D440,Table2[],2,FALSE),"")</f>
        <v>Ton</v>
      </c>
      <c r="F440" s="146" t="s">
        <v>312</v>
      </c>
      <c r="G440" s="146" t="str">
        <f>IFERROR(VLOOKUP(F440,Table2[],2,FALSE),"")</f>
        <v>Nm3 CH4</v>
      </c>
      <c r="H440" s="173">
        <f>VLOOKUP('Processer - data'!$D440,Biogasudbytte!$A$2:$C$18,2,FALSE)</f>
        <v>13.1</v>
      </c>
      <c r="I440" s="173">
        <f>VLOOKUP('Processer - data'!$D440,Biogasudbytte!$A$2:$C$18,2,FALSE)</f>
        <v>13.1</v>
      </c>
      <c r="J440" s="173">
        <f>VLOOKUP('Processer - data'!$D440,Biogasudbytte!$A$2:$C$18,2,FALSE)</f>
        <v>13.1</v>
      </c>
      <c r="K440" s="147"/>
      <c r="O440" s="10"/>
    </row>
    <row r="441" spans="1:15" x14ac:dyDescent="0.55000000000000004">
      <c r="A441" s="187" t="s">
        <v>36</v>
      </c>
      <c r="B441" s="181"/>
      <c r="C441" s="181"/>
      <c r="D441" s="146" t="s">
        <v>39</v>
      </c>
      <c r="E441" s="146" t="str">
        <f>IFERROR(VLOOKUP(D441,Table2[],2,FALSE),"")</f>
        <v>Ton</v>
      </c>
      <c r="F441" s="146" t="s">
        <v>312</v>
      </c>
      <c r="G441" s="146" t="str">
        <f>IFERROR(VLOOKUP(F441,Table2[],2,FALSE),"")</f>
        <v>Nm3 CH4</v>
      </c>
      <c r="H441" s="173">
        <f>VLOOKUP('Processer - data'!$D441,Biogasudbytte!$A$2:$C$18,2,FALSE)</f>
        <v>60</v>
      </c>
      <c r="I441" s="173">
        <f>VLOOKUP('Processer - data'!$D441,Biogasudbytte!$A$2:$C$18,2,FALSE)</f>
        <v>60</v>
      </c>
      <c r="J441" s="173">
        <f>VLOOKUP('Processer - data'!$D441,Biogasudbytte!$A$2:$C$18,2,FALSE)</f>
        <v>60</v>
      </c>
      <c r="K441" s="147"/>
      <c r="O441" s="9"/>
    </row>
    <row r="442" spans="1:15" x14ac:dyDescent="0.55000000000000004">
      <c r="A442" s="187" t="s">
        <v>36</v>
      </c>
      <c r="B442" s="181"/>
      <c r="C442" s="181"/>
      <c r="D442" s="146" t="s">
        <v>15</v>
      </c>
      <c r="E442" s="146" t="str">
        <f>IFERROR(VLOOKUP(D442,Table2[],2,FALSE),"")</f>
        <v>Ton</v>
      </c>
      <c r="F442" s="146" t="s">
        <v>312</v>
      </c>
      <c r="G442" s="146" t="str">
        <f>IFERROR(VLOOKUP(F442,Table2[],2,FALSE),"")</f>
        <v>Nm3 CH4</v>
      </c>
      <c r="H442" s="173">
        <f>VLOOKUP('Processer - data'!$D442,Biogasudbytte!$A$2:$C$18,2,FALSE)</f>
        <v>100</v>
      </c>
      <c r="I442" s="173">
        <f>VLOOKUP('Processer - data'!$D442,Biogasudbytte!$A$2:$C$18,2,FALSE)</f>
        <v>100</v>
      </c>
      <c r="J442" s="173">
        <f>VLOOKUP('Processer - data'!$D442,Biogasudbytte!$A$2:$C$18,2,FALSE)</f>
        <v>100</v>
      </c>
      <c r="K442" s="147"/>
      <c r="O442" s="9"/>
    </row>
    <row r="443" spans="1:15" x14ac:dyDescent="0.55000000000000004">
      <c r="A443" s="187" t="s">
        <v>36</v>
      </c>
      <c r="B443" s="181"/>
      <c r="C443" s="181"/>
      <c r="D443" s="146" t="s">
        <v>42</v>
      </c>
      <c r="E443" s="146" t="str">
        <f>IFERROR(VLOOKUP(D443,Table2[],2,FALSE),"")</f>
        <v>Ton</v>
      </c>
      <c r="F443" s="146" t="s">
        <v>312</v>
      </c>
      <c r="G443" s="146" t="str">
        <f>IFERROR(VLOOKUP(F443,Table2[],2,FALSE),"")</f>
        <v>Nm3 CH4</v>
      </c>
      <c r="H443" s="173">
        <f>VLOOKUP('Processer - data'!$D443,Biogasudbytte!$A$2:$C$18,2,FALSE)</f>
        <v>75.599999999999994</v>
      </c>
      <c r="I443" s="173">
        <f>VLOOKUP('Processer - data'!$D443,Biogasudbytte!$A$2:$C$18,2,FALSE)</f>
        <v>75.599999999999994</v>
      </c>
      <c r="J443" s="173">
        <f>VLOOKUP('Processer - data'!$D443,Biogasudbytte!$A$2:$C$18,2,FALSE)</f>
        <v>75.599999999999994</v>
      </c>
      <c r="K443" s="147"/>
      <c r="O443" s="9"/>
    </row>
    <row r="444" spans="1:15" x14ac:dyDescent="0.55000000000000004">
      <c r="A444" s="187" t="s">
        <v>36</v>
      </c>
      <c r="B444" s="181"/>
      <c r="C444" s="181"/>
      <c r="D444" s="146" t="s">
        <v>322</v>
      </c>
      <c r="E444" s="146" t="str">
        <f>IFERROR(VLOOKUP(D444,Table2[],2,FALSE),"")</f>
        <v>Ton</v>
      </c>
      <c r="F444" s="146" t="s">
        <v>312</v>
      </c>
      <c r="G444" s="146" t="str">
        <f>IFERROR(VLOOKUP(F444,Table2[],2,FALSE),"")</f>
        <v>Nm3 CH4</v>
      </c>
      <c r="H444" s="173">
        <f>VLOOKUP('Processer - data'!$D444,Biogasudbytte!$A$2:$C$18,2,FALSE)</f>
        <v>94.9</v>
      </c>
      <c r="I444" s="173">
        <f>VLOOKUP('Processer - data'!$D444,Biogasudbytte!$A$2:$C$18,2,FALSE)</f>
        <v>94.9</v>
      </c>
      <c r="J444" s="173">
        <f>VLOOKUP('Processer - data'!$D444,Biogasudbytte!$A$2:$C$18,2,FALSE)</f>
        <v>94.9</v>
      </c>
      <c r="K444" s="147"/>
      <c r="O444" s="9"/>
    </row>
    <row r="445" spans="1:15" x14ac:dyDescent="0.55000000000000004">
      <c r="A445" s="187" t="s">
        <v>36</v>
      </c>
      <c r="B445" s="181"/>
      <c r="C445" s="181"/>
      <c r="D445" s="146" t="s">
        <v>41</v>
      </c>
      <c r="E445" s="146" t="str">
        <f>IFERROR(VLOOKUP(D445,Table2[],2,FALSE),"")</f>
        <v>Ton</v>
      </c>
      <c r="F445" s="146" t="s">
        <v>312</v>
      </c>
      <c r="G445" s="146" t="str">
        <f>IFERROR(VLOOKUP(F445,Table2[],2,FALSE),"")</f>
        <v>Nm3 CH4</v>
      </c>
      <c r="H445" s="173">
        <f>VLOOKUP('Processer - data'!$D445,Biogasudbytte!$A$2:$C$18,2,FALSE)</f>
        <v>120.7</v>
      </c>
      <c r="I445" s="173">
        <f>VLOOKUP('Processer - data'!$D445,Biogasudbytte!$A$2:$C$18,2,FALSE)</f>
        <v>120.7</v>
      </c>
      <c r="J445" s="173">
        <f>VLOOKUP('Processer - data'!$D445,Biogasudbytte!$A$2:$C$18,2,FALSE)</f>
        <v>120.7</v>
      </c>
      <c r="K445" s="147"/>
      <c r="O445" s="9"/>
    </row>
    <row r="446" spans="1:15" x14ac:dyDescent="0.55000000000000004">
      <c r="A446" s="187" t="s">
        <v>36</v>
      </c>
      <c r="B446" s="181"/>
      <c r="C446" s="181"/>
      <c r="D446" s="146" t="s">
        <v>311</v>
      </c>
      <c r="E446" s="146" t="str">
        <f>IFERROR(VLOOKUP(D446,Table2[],2,FALSE),"")</f>
        <v>Ton</v>
      </c>
      <c r="F446" s="146" t="s">
        <v>312</v>
      </c>
      <c r="G446" s="146" t="str">
        <f>IFERROR(VLOOKUP(F446,Table2[],2,FALSE),"")</f>
        <v>Nm3 CH4</v>
      </c>
      <c r="H446" s="173">
        <f>VLOOKUP('Processer - data'!$D446,Biogasudbytte!$A$2:$C$18,2,FALSE)</f>
        <v>25</v>
      </c>
      <c r="I446" s="173">
        <f>VLOOKUP('Processer - data'!$D446,Biogasudbytte!$A$2:$C$18,2,FALSE)</f>
        <v>25</v>
      </c>
      <c r="J446" s="173">
        <f>VLOOKUP('Processer - data'!$D446,Biogasudbytte!$A$2:$C$18,2,FALSE)</f>
        <v>25</v>
      </c>
      <c r="K446" s="147"/>
      <c r="O446" s="9"/>
    </row>
    <row r="447" spans="1:15" x14ac:dyDescent="0.55000000000000004">
      <c r="A447" s="187" t="s">
        <v>36</v>
      </c>
      <c r="B447" s="181"/>
      <c r="C447" s="181"/>
      <c r="D447" s="146" t="s">
        <v>310</v>
      </c>
      <c r="E447" s="146" t="str">
        <f>IFERROR(VLOOKUP(D447,Table2[],2,FALSE),"")</f>
        <v>Ton</v>
      </c>
      <c r="F447" s="146" t="s">
        <v>312</v>
      </c>
      <c r="G447" s="146" t="str">
        <f>IFERROR(VLOOKUP(F447,Table2[],2,FALSE),"")</f>
        <v>Nm3 CH4</v>
      </c>
      <c r="H447" s="173">
        <f>VLOOKUP('Processer - data'!$D447,Biogasudbytte!$A$2:$C$18,2,FALSE)</f>
        <v>25</v>
      </c>
      <c r="I447" s="173">
        <f>VLOOKUP('Processer - data'!$D447,Biogasudbytte!$A$2:$C$18,2,FALSE)</f>
        <v>25</v>
      </c>
      <c r="J447" s="173">
        <f>VLOOKUP('Processer - data'!$D447,Biogasudbytte!$A$2:$C$18,2,FALSE)</f>
        <v>25</v>
      </c>
      <c r="K447" s="147"/>
      <c r="O447" s="9"/>
    </row>
    <row r="448" spans="1:15" x14ac:dyDescent="0.55000000000000004">
      <c r="A448" s="187" t="s">
        <v>36</v>
      </c>
      <c r="B448" s="181"/>
      <c r="C448" s="181"/>
      <c r="D448" s="146" t="s">
        <v>527</v>
      </c>
      <c r="E448" s="146" t="str">
        <f>IFERROR(VLOOKUP(D448,Table2[],2,FALSE),"")</f>
        <v>Ton</v>
      </c>
      <c r="F448" s="146" t="s">
        <v>312</v>
      </c>
      <c r="G448" s="146" t="str">
        <f>IFERROR(VLOOKUP(F448,Table2[],2,FALSE),"")</f>
        <v>Nm3 CH4</v>
      </c>
      <c r="H448" s="173">
        <f>VLOOKUP('Processer - data'!$D448,Biogasudbytte!$A$2:$C$18,2,FALSE)</f>
        <v>47.3</v>
      </c>
      <c r="I448" s="173">
        <f>VLOOKUP('Processer - data'!$D448,Biogasudbytte!$A$2:$C$18,2,FALSE)</f>
        <v>47.3</v>
      </c>
      <c r="J448" s="173">
        <f>VLOOKUP('Processer - data'!$D448,Biogasudbytte!$A$2:$C$18,2,FALSE)</f>
        <v>47.3</v>
      </c>
      <c r="K448" s="147"/>
      <c r="O448" s="9"/>
    </row>
    <row r="449" spans="1:15" x14ac:dyDescent="0.55000000000000004">
      <c r="A449" s="187" t="s">
        <v>36</v>
      </c>
      <c r="B449" s="181"/>
      <c r="C449" s="181"/>
      <c r="D449" s="146" t="s">
        <v>661</v>
      </c>
      <c r="E449" s="146" t="str">
        <f>IFERROR(VLOOKUP(D449,Table2[],2,FALSE),"")</f>
        <v>PJ</v>
      </c>
      <c r="F449" s="146" t="s">
        <v>312</v>
      </c>
      <c r="G449" s="146" t="str">
        <f>IFERROR(VLOOKUP(F449,Table2[],2,FALSE),"")</f>
        <v>Nm3 CH4</v>
      </c>
      <c r="H449" s="173">
        <f>VLOOKUP('Processer - data'!$D449,Biogasudbytte!$A$2:$C$18,2,FALSE)</f>
        <v>15.822453396634783</v>
      </c>
      <c r="I449" s="173">
        <f>VLOOKUP('Processer - data'!$D449,Biogasudbytte!$A$2:$C$18,2,FALSE)</f>
        <v>15.822453396634783</v>
      </c>
      <c r="J449" s="173">
        <f>VLOOKUP('Processer - data'!$D449,Biogasudbytte!$A$2:$C$18,2,FALSE)</f>
        <v>15.822453396634783</v>
      </c>
      <c r="K449" s="147"/>
      <c r="O449" s="9"/>
    </row>
    <row r="450" spans="1:15" x14ac:dyDescent="0.55000000000000004">
      <c r="A450" s="187" t="s">
        <v>36</v>
      </c>
      <c r="B450" s="181"/>
      <c r="C450" s="181"/>
      <c r="D450" s="146" t="s">
        <v>519</v>
      </c>
      <c r="E450" s="146" t="str">
        <f>IFERROR(VLOOKUP(D450,Table2[],2,FALSE),"")</f>
        <v>Ton</v>
      </c>
      <c r="F450" s="146" t="s">
        <v>312</v>
      </c>
      <c r="G450" s="146" t="str">
        <f>IFERROR(VLOOKUP(F450,Table2[],2,FALSE),"")</f>
        <v>Nm3 CH4</v>
      </c>
      <c r="H450" s="173">
        <f>VLOOKUP('Processer - data'!$D450,Biogasudbytte!$A$2:$C$18,2,FALSE)</f>
        <v>423.36</v>
      </c>
      <c r="I450" s="173">
        <f>VLOOKUP('Processer - data'!$D450,Biogasudbytte!$A$2:$C$18,2,FALSE)</f>
        <v>423.36</v>
      </c>
      <c r="J450" s="173">
        <f>VLOOKUP('Processer - data'!$D450,Biogasudbytte!$A$2:$C$18,2,FALSE)</f>
        <v>423.36</v>
      </c>
      <c r="K450" s="147"/>
      <c r="O450" s="9"/>
    </row>
    <row r="451" spans="1:15" x14ac:dyDescent="0.55000000000000004">
      <c r="A451" s="187" t="s">
        <v>36</v>
      </c>
      <c r="B451" s="181"/>
      <c r="C451" s="181"/>
      <c r="D451" s="146" t="s">
        <v>502</v>
      </c>
      <c r="E451" s="146" t="str">
        <f>IFERROR(VLOOKUP(D451,Table2[],2,FALSE),"")</f>
        <v>Ton</v>
      </c>
      <c r="F451" s="146" t="s">
        <v>312</v>
      </c>
      <c r="G451" s="146" t="str">
        <f>IFERROR(VLOOKUP(F451,Table2[],2,FALSE),"")</f>
        <v>Nm3 CH4</v>
      </c>
      <c r="H451" s="173">
        <f>VLOOKUP('Processer - data'!$D451,Biogasudbytte!$A$2:$C$18,2,FALSE)</f>
        <v>13.9</v>
      </c>
      <c r="I451" s="173">
        <f>VLOOKUP('Processer - data'!$D451,Biogasudbytte!$A$2:$C$18,2,FALSE)</f>
        <v>13.9</v>
      </c>
      <c r="J451" s="173">
        <f>VLOOKUP('Processer - data'!$D451,Biogasudbytte!$A$2:$C$18,2,FALSE)</f>
        <v>13.9</v>
      </c>
      <c r="K451" s="147"/>
      <c r="O451" s="9"/>
    </row>
    <row r="452" spans="1:15" ht="14.7" thickBot="1" x14ac:dyDescent="0.6">
      <c r="A452" s="187" t="s">
        <v>36</v>
      </c>
      <c r="B452" s="181"/>
      <c r="C452" s="181"/>
      <c r="D452" s="150" t="s">
        <v>352</v>
      </c>
      <c r="E452" s="146" t="str">
        <f>IFERROR(VLOOKUP(D452,Table2[],2,FALSE),"")</f>
        <v>Ton</v>
      </c>
      <c r="F452" s="146" t="s">
        <v>314</v>
      </c>
      <c r="G452" s="146" t="str">
        <f>IFERROR(VLOOKUP(F452,Table2[],2,FALSE),"")</f>
        <v>Ton</v>
      </c>
      <c r="H452" s="208">
        <f>0.9193</f>
        <v>0.91930000000000001</v>
      </c>
      <c r="I452" s="208">
        <f>0.9193</f>
        <v>0.91930000000000001</v>
      </c>
      <c r="J452" s="208">
        <f>0.9193</f>
        <v>0.91930000000000001</v>
      </c>
      <c r="K452" s="147" t="s">
        <v>508</v>
      </c>
      <c r="O452" s="9"/>
    </row>
    <row r="453" spans="1:15" s="146" customFormat="1" ht="14.7" thickTop="1" x14ac:dyDescent="0.55000000000000004">
      <c r="A453" s="186" t="s">
        <v>303</v>
      </c>
      <c r="B453" s="180"/>
      <c r="C453" s="180"/>
      <c r="D453" s="241" t="s">
        <v>498</v>
      </c>
      <c r="E453" s="241" t="str">
        <f>IFERROR(VLOOKUP(D453,Table2[],2,FALSE),"")</f>
        <v>Ton</v>
      </c>
      <c r="F453" s="144" t="s">
        <v>303</v>
      </c>
      <c r="G453" s="144" t="str">
        <f>IFERROR(VLOOKUP(F453,Table2[],2,FALSE),"")</f>
        <v>kg N</v>
      </c>
      <c r="H453" s="242">
        <f>5.3</f>
        <v>5.3</v>
      </c>
      <c r="I453" s="242">
        <f>H453</f>
        <v>5.3</v>
      </c>
      <c r="J453" s="242">
        <f>I453</f>
        <v>5.3</v>
      </c>
      <c r="K453" s="145" t="s">
        <v>552</v>
      </c>
    </row>
    <row r="454" spans="1:15" s="146" customFormat="1" x14ac:dyDescent="0.55000000000000004">
      <c r="A454" s="187" t="s">
        <v>303</v>
      </c>
      <c r="B454" s="181"/>
      <c r="C454" s="181"/>
      <c r="D454" s="150" t="s">
        <v>499</v>
      </c>
      <c r="E454" s="150" t="str">
        <f>IFERROR(VLOOKUP(D454,Table2[],2,FALSE),"")</f>
        <v>Ton</v>
      </c>
      <c r="F454" s="146" t="s">
        <v>303</v>
      </c>
      <c r="G454" s="146" t="str">
        <f>IFERROR(VLOOKUP(F454,Table2[],2,FALSE),"")</f>
        <v>kg N</v>
      </c>
      <c r="H454" s="243">
        <f>8</f>
        <v>8</v>
      </c>
      <c r="I454" s="243">
        <f t="shared" ref="I454:I457" si="11">H454</f>
        <v>8</v>
      </c>
      <c r="J454" s="243">
        <f>I454</f>
        <v>8</v>
      </c>
      <c r="K454" s="147" t="s">
        <v>552</v>
      </c>
    </row>
    <row r="455" spans="1:15" s="146" customFormat="1" x14ac:dyDescent="0.55000000000000004">
      <c r="A455" s="187" t="s">
        <v>303</v>
      </c>
      <c r="B455" s="181"/>
      <c r="C455" s="181"/>
      <c r="D455" s="150" t="s">
        <v>500</v>
      </c>
      <c r="E455" s="150" t="str">
        <f>IFERROR(VLOOKUP(D455,Table2[],2,FALSE),"")</f>
        <v>Ton</v>
      </c>
      <c r="F455" s="146" t="s">
        <v>303</v>
      </c>
      <c r="G455" s="146" t="str">
        <f>IFERROR(VLOOKUP(F455,Table2[],2,FALSE),"")</f>
        <v>kg N</v>
      </c>
      <c r="H455" s="243">
        <f>7</f>
        <v>7</v>
      </c>
      <c r="I455" s="243">
        <f t="shared" si="11"/>
        <v>7</v>
      </c>
      <c r="J455" s="243">
        <f>I455</f>
        <v>7</v>
      </c>
      <c r="K455" s="147" t="s">
        <v>552</v>
      </c>
    </row>
    <row r="456" spans="1:15" s="146" customFormat="1" x14ac:dyDescent="0.55000000000000004">
      <c r="A456" s="187" t="s">
        <v>303</v>
      </c>
      <c r="B456" s="181"/>
      <c r="C456" s="181"/>
      <c r="D456" s="150" t="s">
        <v>39</v>
      </c>
      <c r="E456" s="150" t="str">
        <f>IFERROR(VLOOKUP(D456,Table2[],2,FALSE),"")</f>
        <v>Ton</v>
      </c>
      <c r="F456" s="146" t="s">
        <v>303</v>
      </c>
      <c r="G456" s="146" t="str">
        <f>IFERROR(VLOOKUP(F456,Table2[],2,FALSE),"")</f>
        <v>kg N</v>
      </c>
      <c r="H456" s="243">
        <v>14</v>
      </c>
      <c r="I456" s="243">
        <f t="shared" si="11"/>
        <v>14</v>
      </c>
      <c r="J456" s="243">
        <f>I456</f>
        <v>14</v>
      </c>
      <c r="K456" s="147" t="s">
        <v>552</v>
      </c>
    </row>
    <row r="457" spans="1:15" s="146" customFormat="1" x14ac:dyDescent="0.55000000000000004">
      <c r="A457" s="187" t="s">
        <v>303</v>
      </c>
      <c r="B457" s="181"/>
      <c r="C457" s="181"/>
      <c r="D457" s="146" t="s">
        <v>314</v>
      </c>
      <c r="E457" s="146" t="str">
        <f>IFERROR(VLOOKUP(D457,Table2[],2,FALSE),"")</f>
        <v>Ton</v>
      </c>
      <c r="F457" s="146" t="s">
        <v>303</v>
      </c>
      <c r="G457" s="146" t="str">
        <f>IFERROR(VLOOKUP(F457,Table2[],2,FALSE),"")</f>
        <v>kg N</v>
      </c>
      <c r="H457" s="209">
        <f>7</f>
        <v>7</v>
      </c>
      <c r="I457" s="209">
        <f t="shared" si="11"/>
        <v>7</v>
      </c>
      <c r="J457" s="209">
        <f>I457</f>
        <v>7</v>
      </c>
      <c r="K457" s="147" t="s">
        <v>422</v>
      </c>
    </row>
    <row r="458" spans="1:15" s="146" customFormat="1" ht="14.7" thickBot="1" x14ac:dyDescent="0.6">
      <c r="A458" s="187" t="s">
        <v>303</v>
      </c>
      <c r="B458" s="181"/>
      <c r="C458" s="181"/>
      <c r="D458" s="146" t="s">
        <v>320</v>
      </c>
      <c r="E458" s="146" t="str">
        <f>IFERROR(VLOOKUP(D458,Table2[],2,FALSE),"")</f>
        <v>Ton</v>
      </c>
      <c r="F458" s="146" t="s">
        <v>303</v>
      </c>
      <c r="G458" s="146" t="str">
        <f>IFERROR(VLOOKUP(F458,Table2[],2,FALSE),"")</f>
        <v>kg N</v>
      </c>
      <c r="H458" s="209">
        <v>160</v>
      </c>
      <c r="I458" s="209">
        <f t="shared" ref="I458" si="12">H458</f>
        <v>160</v>
      </c>
      <c r="J458" s="209">
        <f>I458</f>
        <v>160</v>
      </c>
      <c r="K458" s="147" t="s">
        <v>421</v>
      </c>
    </row>
    <row r="459" spans="1:15" ht="14.7" thickTop="1" x14ac:dyDescent="0.55000000000000004">
      <c r="A459" s="186" t="s">
        <v>408</v>
      </c>
      <c r="B459" s="180"/>
      <c r="C459" s="180"/>
      <c r="D459" s="144" t="s">
        <v>37</v>
      </c>
      <c r="E459" s="144" t="str">
        <f>IFERROR(VLOOKUP(D459,Table2[],2,FALSE),"")</f>
        <v>Ton</v>
      </c>
      <c r="F459" s="144" t="s">
        <v>409</v>
      </c>
      <c r="G459" s="144" t="str">
        <f>IFERROR(VLOOKUP(F459,Table2[],2,FALSE),"")</f>
        <v>PJ</v>
      </c>
      <c r="H459" s="144">
        <f>VLOOKUP($D459,Energiindhold!$A$2:$C$10,3,FALSE)</f>
        <v>1.0335806339134365E-5</v>
      </c>
      <c r="I459" s="144">
        <f>VLOOKUP($D459,Energiindhold!$A$2:$C$10,3,FALSE)</f>
        <v>1.0335806339134365E-5</v>
      </c>
      <c r="J459" s="144">
        <f>VLOOKUP($D459,Energiindhold!$A$2:$C$10,3,FALSE)</f>
        <v>1.0335806339134365E-5</v>
      </c>
      <c r="K459" s="145"/>
    </row>
    <row r="460" spans="1:15" x14ac:dyDescent="0.55000000000000004">
      <c r="A460" s="187" t="s">
        <v>408</v>
      </c>
      <c r="B460" s="181"/>
      <c r="C460" s="181"/>
      <c r="D460" s="150" t="s">
        <v>721</v>
      </c>
      <c r="E460" s="146" t="str">
        <f>IFERROR(VLOOKUP(D460,Table2[],2,FALSE),"")</f>
        <v>Ton</v>
      </c>
      <c r="F460" s="146" t="s">
        <v>409</v>
      </c>
      <c r="G460" s="146" t="str">
        <f>IFERROR(VLOOKUP(F460,Table2[],2,FALSE),"")</f>
        <v>PJ</v>
      </c>
      <c r="H460" s="146">
        <f>VLOOKUP($D460,Energiindhold!$A$2:$C$10,3,FALSE)</f>
        <v>3.4999999999999997E-5</v>
      </c>
      <c r="I460" s="146">
        <f>VLOOKUP($D460,Energiindhold!$A$2:$C$10,3,FALSE)</f>
        <v>3.4999999999999997E-5</v>
      </c>
      <c r="J460" s="146">
        <f>VLOOKUP($D460,Energiindhold!$A$2:$C$10,3,FALSE)</f>
        <v>3.4999999999999997E-5</v>
      </c>
      <c r="K460" s="147"/>
    </row>
    <row r="461" spans="1:15" x14ac:dyDescent="0.55000000000000004">
      <c r="A461" s="187" t="s">
        <v>408</v>
      </c>
      <c r="B461" s="181"/>
      <c r="C461" s="181"/>
      <c r="D461" s="150" t="s">
        <v>339</v>
      </c>
      <c r="E461" s="146" t="str">
        <f>IFERROR(VLOOKUP(D461,Table2[],2,FALSE),"")</f>
        <v>Ton</v>
      </c>
      <c r="F461" s="146" t="s">
        <v>409</v>
      </c>
      <c r="G461" s="146" t="str">
        <f>IFERROR(VLOOKUP(F461,Table2[],2,FALSE),"")</f>
        <v>PJ</v>
      </c>
      <c r="H461" s="146">
        <f>VLOOKUP($D461,Energiindhold!$A$2:$C$10,3,FALSE)</f>
        <v>1.8399999999999997E-5</v>
      </c>
      <c r="I461" s="146">
        <f>VLOOKUP($D461,Energiindhold!$A$2:$C$10,3,FALSE)</f>
        <v>1.8399999999999997E-5</v>
      </c>
      <c r="J461" s="146">
        <f>VLOOKUP($D461,Energiindhold!$A$2:$C$10,3,FALSE)</f>
        <v>1.8399999999999997E-5</v>
      </c>
      <c r="K461" s="147"/>
    </row>
    <row r="462" spans="1:15" x14ac:dyDescent="0.55000000000000004">
      <c r="A462" s="187" t="s">
        <v>408</v>
      </c>
      <c r="B462" s="181"/>
      <c r="C462" s="181"/>
      <c r="D462" s="146" t="s">
        <v>405</v>
      </c>
      <c r="E462" s="146" t="str">
        <f>IFERROR(VLOOKUP(D462,Table2[],2,FALSE),"")</f>
        <v>m3</v>
      </c>
      <c r="F462" s="146" t="s">
        <v>409</v>
      </c>
      <c r="G462" s="146" t="str">
        <f>IFERROR(VLOOKUP(F462,Table2[],2,FALSE),"")</f>
        <v>PJ</v>
      </c>
      <c r="H462" s="146">
        <f>VLOOKUP($D462,Energiindhold!$A$2:$C$10,3,FALSE)</f>
        <v>1.449356890077532E-5</v>
      </c>
      <c r="I462" s="146">
        <f>VLOOKUP($D462,Energiindhold!$A$2:$C$10,3,FALSE)</f>
        <v>1.449356890077532E-5</v>
      </c>
      <c r="J462" s="146">
        <f>VLOOKUP($D462,Energiindhold!$A$2:$C$10,3,FALSE)</f>
        <v>1.449356890077532E-5</v>
      </c>
      <c r="K462" s="147"/>
    </row>
    <row r="463" spans="1:15" x14ac:dyDescent="0.55000000000000004">
      <c r="A463" s="187" t="s">
        <v>408</v>
      </c>
      <c r="B463" s="181"/>
      <c r="C463" s="181"/>
      <c r="D463" s="146" t="s">
        <v>527</v>
      </c>
      <c r="E463" s="146" t="str">
        <f>IFERROR(VLOOKUP(D463,Table2[],2,FALSE),"")</f>
        <v>Ton</v>
      </c>
      <c r="F463" s="146" t="s">
        <v>409</v>
      </c>
      <c r="G463" s="146" t="str">
        <f>IFERROR(VLOOKUP(F463,Table2[],2,FALSE),"")</f>
        <v>PJ</v>
      </c>
      <c r="H463" s="146">
        <f>VLOOKUP($D463,Energiindhold!$A$2:$C$10,3,FALSE)</f>
        <v>1.7852220520673815E-5</v>
      </c>
      <c r="I463" s="146">
        <f>VLOOKUP($D463,Energiindhold!$A$2:$C$10,3,FALSE)</f>
        <v>1.7852220520673815E-5</v>
      </c>
      <c r="J463" s="146">
        <f>VLOOKUP($D463,Energiindhold!$A$2:$C$10,3,FALSE)</f>
        <v>1.7852220520673815E-5</v>
      </c>
      <c r="K463" s="147"/>
    </row>
    <row r="464" spans="1:15" x14ac:dyDescent="0.55000000000000004">
      <c r="A464" s="187" t="s">
        <v>408</v>
      </c>
      <c r="B464" s="181"/>
      <c r="C464" s="181"/>
      <c r="D464" s="146" t="s">
        <v>322</v>
      </c>
      <c r="E464" s="146" t="str">
        <f>IFERROR(VLOOKUP(D464,Table2[],2,FALSE),"")</f>
        <v>Ton</v>
      </c>
      <c r="F464" s="146" t="s">
        <v>409</v>
      </c>
      <c r="G464" s="146" t="str">
        <f>IFERROR(VLOOKUP(F464,Table2[],2,FALSE),"")</f>
        <v>PJ</v>
      </c>
      <c r="H464" s="146">
        <f>VLOOKUP($D464,Energiindhold!$A$2:$C$10,3,FALSE)</f>
        <v>1.7852220520673815E-5</v>
      </c>
      <c r="I464" s="146">
        <f>VLOOKUP($D464,Energiindhold!$A$2:$C$10,3,FALSE)</f>
        <v>1.7852220520673815E-5</v>
      </c>
      <c r="J464" s="146">
        <f>VLOOKUP($D464,Energiindhold!$A$2:$C$10,3,FALSE)</f>
        <v>1.7852220520673815E-5</v>
      </c>
      <c r="K464" s="147"/>
    </row>
    <row r="465" spans="1:11" s="459" customFormat="1" x14ac:dyDescent="0.55000000000000004">
      <c r="A465" s="187" t="s">
        <v>408</v>
      </c>
      <c r="B465" s="181"/>
      <c r="C465" s="181"/>
      <c r="D465" s="150" t="s">
        <v>890</v>
      </c>
      <c r="E465" s="444" t="str">
        <f>IFERROR(VLOOKUP(D465,Table2[],2,FALSE),"")</f>
        <v>Ton</v>
      </c>
      <c r="F465" s="444" t="s">
        <v>409</v>
      </c>
      <c r="G465" s="444" t="str">
        <f>IFERROR(VLOOKUP(F465,Table2[],2,FALSE),"")</f>
        <v>PJ</v>
      </c>
      <c r="H465" s="444">
        <f>VLOOKUP($D465,Energiindhold!$A$2:$C$10,3,FALSE)</f>
        <v>3.326857142857142E-5</v>
      </c>
      <c r="I465" s="444">
        <f>VLOOKUP($D465,Energiindhold!$A$2:$C$10,3,FALSE)</f>
        <v>3.326857142857142E-5</v>
      </c>
      <c r="J465" s="444">
        <f>VLOOKUP($D465,Energiindhold!$A$2:$C$10,3,FALSE)</f>
        <v>3.326857142857142E-5</v>
      </c>
      <c r="K465" s="147"/>
    </row>
    <row r="466" spans="1:11" s="459" customFormat="1" x14ac:dyDescent="0.55000000000000004">
      <c r="A466" s="187" t="s">
        <v>408</v>
      </c>
      <c r="B466" s="181"/>
      <c r="C466" s="181"/>
      <c r="D466" s="150" t="s">
        <v>878</v>
      </c>
      <c r="E466" s="444" t="str">
        <f>IFERROR(VLOOKUP(D466,Table2[],2,FALSE),"")</f>
        <v>Ton</v>
      </c>
      <c r="F466" s="444" t="s">
        <v>409</v>
      </c>
      <c r="G466" s="444" t="str">
        <f>IFERROR(VLOOKUP(F466,Table2[],2,FALSE),"")</f>
        <v>PJ</v>
      </c>
      <c r="H466" s="444">
        <f>VLOOKUP($D466,Energiindhold!$A$2:$C$10,3,FALSE)</f>
        <v>8.9614285714285689E-6</v>
      </c>
      <c r="I466" s="444">
        <f>VLOOKUP($D466,Energiindhold!$A$2:$C$10,3,FALSE)</f>
        <v>8.9614285714285689E-6</v>
      </c>
      <c r="J466" s="444">
        <f>VLOOKUP($D466,Energiindhold!$A$2:$C$10,3,FALSE)</f>
        <v>8.9614285714285689E-6</v>
      </c>
      <c r="K466" s="147"/>
    </row>
    <row r="467" spans="1:11" ht="14.7" thickBot="1" x14ac:dyDescent="0.6">
      <c r="A467" s="188" t="s">
        <v>408</v>
      </c>
      <c r="B467" s="182"/>
      <c r="C467" s="182"/>
      <c r="D467" s="148" t="s">
        <v>312</v>
      </c>
      <c r="E467" s="148" t="str">
        <f>IFERROR(VLOOKUP(D467,Table2[],2,FALSE),"")</f>
        <v>Nm3 CH4</v>
      </c>
      <c r="F467" s="148" t="s">
        <v>409</v>
      </c>
      <c r="G467" s="148" t="str">
        <f>IFERROR(VLOOKUP(F467,Table2[],2,FALSE),"")</f>
        <v>PJ</v>
      </c>
      <c r="H467" s="148">
        <f>VLOOKUP($D467,Energiindhold!$A$2:$C$10,3,FALSE)</f>
        <v>3.5900000000000004E-8</v>
      </c>
      <c r="I467" s="148">
        <f>VLOOKUP($D467,Energiindhold!$A$2:$C$10,3,FALSE)</f>
        <v>3.5900000000000004E-8</v>
      </c>
      <c r="J467" s="148">
        <f>VLOOKUP($D467,Energiindhold!$A$2:$C$10,3,FALSE)</f>
        <v>3.5900000000000004E-8</v>
      </c>
      <c r="K467" s="149"/>
    </row>
    <row r="468" spans="1:11" ht="14.7" thickTop="1" x14ac:dyDescent="0.55000000000000004">
      <c r="A468" s="186" t="s">
        <v>656</v>
      </c>
      <c r="B468" s="180"/>
      <c r="C468" s="180"/>
      <c r="D468" s="144" t="s">
        <v>13</v>
      </c>
      <c r="E468" s="144" t="str">
        <f>IFERROR(VLOOKUP(D468,Table2[],2,FALSE),"")</f>
        <v>Ton</v>
      </c>
      <c r="F468" s="144" t="s">
        <v>655</v>
      </c>
      <c r="G468" s="144" t="str">
        <f>IFERROR(VLOOKUP(F468,Table2[],2,FALSE),"")</f>
        <v>Ton</v>
      </c>
      <c r="H468" s="176">
        <f>'Procesdata (baggrund)'!E3</f>
        <v>0.16717139181723129</v>
      </c>
      <c r="I468" s="176">
        <f t="shared" ref="I468:J470" si="13">H468</f>
        <v>0.16717139181723129</v>
      </c>
      <c r="J468" s="176">
        <f t="shared" si="13"/>
        <v>0.16717139181723129</v>
      </c>
      <c r="K468" s="145"/>
    </row>
    <row r="469" spans="1:11" x14ac:dyDescent="0.55000000000000004">
      <c r="A469" s="187" t="s">
        <v>656</v>
      </c>
      <c r="B469" s="181"/>
      <c r="C469" s="181"/>
      <c r="D469" s="146" t="s">
        <v>13</v>
      </c>
      <c r="E469" s="146" t="str">
        <f>IFERROR(VLOOKUP(D469,Table2[],2,FALSE),"")</f>
        <v>Ton</v>
      </c>
      <c r="F469" s="146" t="s">
        <v>657</v>
      </c>
      <c r="G469" s="146" t="str">
        <f>IFERROR(VLOOKUP(F469,Table2[],2,FALSE),"")</f>
        <v>Ton</v>
      </c>
      <c r="H469" s="168">
        <f>'Procesdata (baggrund)'!E4</f>
        <v>0.34417639491782914</v>
      </c>
      <c r="I469" s="168">
        <f t="shared" si="13"/>
        <v>0.34417639491782914</v>
      </c>
      <c r="J469" s="168">
        <f t="shared" si="13"/>
        <v>0.34417639491782914</v>
      </c>
      <c r="K469" s="147"/>
    </row>
    <row r="470" spans="1:11" ht="14.7" thickBot="1" x14ac:dyDescent="0.6">
      <c r="A470" s="188" t="s">
        <v>656</v>
      </c>
      <c r="B470" s="182"/>
      <c r="C470" s="182"/>
      <c r="D470" s="148" t="s">
        <v>13</v>
      </c>
      <c r="E470" s="148" t="str">
        <f>IFERROR(VLOOKUP(D470,Table2[],2,FALSE),"")</f>
        <v>Ton</v>
      </c>
      <c r="F470" s="148" t="s">
        <v>661</v>
      </c>
      <c r="G470" s="148" t="str">
        <f>IFERROR(VLOOKUP(F470,Table2[],2,FALSE),"")</f>
        <v>PJ</v>
      </c>
      <c r="H470" s="177">
        <f>'Procesdata (baggrund)'!E5</f>
        <v>0.48865221326493952</v>
      </c>
      <c r="I470" s="177">
        <f t="shared" si="13"/>
        <v>0.48865221326493952</v>
      </c>
      <c r="J470" s="177">
        <f t="shared" si="13"/>
        <v>0.48865221326493952</v>
      </c>
      <c r="K470" s="149"/>
    </row>
    <row r="471" spans="1:11" ht="14.7" thickTop="1" x14ac:dyDescent="0.55000000000000004">
      <c r="A471" s="186" t="s">
        <v>722</v>
      </c>
      <c r="B471" s="180"/>
      <c r="C471" s="180"/>
      <c r="D471" s="144" t="s">
        <v>177</v>
      </c>
      <c r="E471" s="144" t="str">
        <f>IFERROR(VLOOKUP(D471,Table2[],2,FALSE),"")</f>
        <v>Ton</v>
      </c>
      <c r="F471" s="144" t="s">
        <v>720</v>
      </c>
      <c r="G471" s="144" t="str">
        <f>IFERROR(VLOOKUP(F471,Table2[],2,FALSE),"")</f>
        <v>Ton</v>
      </c>
      <c r="H471" s="176">
        <v>0.5</v>
      </c>
      <c r="I471" s="176">
        <f t="shared" ref="I471:I475" si="14">H471</f>
        <v>0.5</v>
      </c>
      <c r="J471" s="176">
        <f t="shared" ref="J471:J475" si="15">I471</f>
        <v>0.5</v>
      </c>
      <c r="K471" s="145"/>
    </row>
    <row r="472" spans="1:11" ht="14.7" thickBot="1" x14ac:dyDescent="0.6">
      <c r="A472" s="188" t="s">
        <v>722</v>
      </c>
      <c r="B472" s="182"/>
      <c r="C472" s="182"/>
      <c r="D472" s="148" t="s">
        <v>177</v>
      </c>
      <c r="E472" s="148" t="str">
        <f>IFERROR(VLOOKUP(D472,Table2[],2,FALSE),"")</f>
        <v>Ton</v>
      </c>
      <c r="F472" s="148" t="s">
        <v>721</v>
      </c>
      <c r="G472" s="148" t="str">
        <f>IFERROR(VLOOKUP(F472,Table2[],2,FALSE),"")</f>
        <v>Ton</v>
      </c>
      <c r="H472" s="177">
        <v>0.32</v>
      </c>
      <c r="I472" s="177">
        <f t="shared" si="14"/>
        <v>0.32</v>
      </c>
      <c r="J472" s="177">
        <f t="shared" si="15"/>
        <v>0.32</v>
      </c>
      <c r="K472" s="149"/>
    </row>
    <row r="473" spans="1:11" ht="14.7" thickTop="1" x14ac:dyDescent="0.55000000000000004">
      <c r="A473" s="186" t="s">
        <v>876</v>
      </c>
      <c r="B473" s="180"/>
      <c r="C473" s="180"/>
      <c r="D473" s="144" t="s">
        <v>37</v>
      </c>
      <c r="E473" s="144" t="str">
        <f>IFERROR(VLOOKUP(D473,Table2[],2,FALSE),"")</f>
        <v>Ton</v>
      </c>
      <c r="F473" s="144" t="s">
        <v>344</v>
      </c>
      <c r="G473" s="144" t="str">
        <f>IFERROR(VLOOKUP(F473,Table2[],2,FALSE),"")</f>
        <v>t CO2-ækvivalenter</v>
      </c>
      <c r="H473" s="176">
        <f>'Procesdata (baggrund)'!B15</f>
        <v>-0.65266666666666662</v>
      </c>
      <c r="I473" s="176">
        <f t="shared" si="14"/>
        <v>-0.65266666666666662</v>
      </c>
      <c r="J473" s="176">
        <f t="shared" si="15"/>
        <v>-0.65266666666666662</v>
      </c>
      <c r="K473" s="145"/>
    </row>
    <row r="474" spans="1:11" x14ac:dyDescent="0.55000000000000004">
      <c r="A474" s="187" t="s">
        <v>876</v>
      </c>
      <c r="B474" s="181"/>
      <c r="C474" s="181"/>
      <c r="D474" s="444" t="s">
        <v>37</v>
      </c>
      <c r="E474" s="444" t="str">
        <f>IFERROR(VLOOKUP(D474,Table2[],2,FALSE),"")</f>
        <v>Ton</v>
      </c>
      <c r="F474" s="150" t="s">
        <v>890</v>
      </c>
      <c r="G474" s="444" t="str">
        <f>IFERROR(VLOOKUP(F474,Table2[],2,FALSE),"")</f>
        <v>Ton</v>
      </c>
      <c r="H474" s="168">
        <f>'Procesdata (baggrund)'!B16</f>
        <v>0.14000000000000001</v>
      </c>
      <c r="I474" s="168">
        <f t="shared" si="14"/>
        <v>0.14000000000000001</v>
      </c>
      <c r="J474" s="168">
        <f t="shared" si="15"/>
        <v>0.14000000000000001</v>
      </c>
      <c r="K474" s="147"/>
    </row>
    <row r="475" spans="1:11" ht="14.7" thickBot="1" x14ac:dyDescent="0.6">
      <c r="A475" s="188" t="s">
        <v>876</v>
      </c>
      <c r="B475" s="182"/>
      <c r="C475" s="182"/>
      <c r="D475" s="148" t="s">
        <v>37</v>
      </c>
      <c r="E475" s="148" t="str">
        <f>IFERROR(VLOOKUP(D475,Table2[],2,FALSE),"")</f>
        <v>Ton</v>
      </c>
      <c r="F475" s="148" t="s">
        <v>878</v>
      </c>
      <c r="G475" s="148" t="str">
        <f>IFERROR(VLOOKUP(F475,Table2[],2,FALSE),"")</f>
        <v>Ton</v>
      </c>
      <c r="H475" s="177">
        <f>'Procesdata (baggrund)'!B17</f>
        <v>0.56000000000000005</v>
      </c>
      <c r="I475" s="177">
        <f t="shared" si="14"/>
        <v>0.56000000000000005</v>
      </c>
      <c r="J475" s="177">
        <f t="shared" si="15"/>
        <v>0.56000000000000005</v>
      </c>
      <c r="K475" s="149"/>
    </row>
    <row r="476" spans="1:11" ht="14.7" thickTop="1" x14ac:dyDescent="0.55000000000000004"/>
  </sheetData>
  <autoFilter ref="A2:O475" xr:uid="{8B1B2767-000A-4BCC-AA7A-47421BF47247}"/>
  <mergeCells count="1">
    <mergeCell ref="H1:J1"/>
  </mergeCells>
  <phoneticPr fontId="18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DF6589C-DC80-4163-82C7-C024966754D9}">
          <x14:formula1>
            <xm:f>'Processer &amp; råvarer'!$E$2:$E$94</xm:f>
          </x14:formula1>
          <xm:sqref>D3:D475 F3:F475</xm:sqref>
        </x14:dataValidation>
        <x14:dataValidation type="list" allowBlank="1" showInputMessage="1" showErrorMessage="1" xr:uid="{1D29B192-BE8C-4081-B1E9-7DD5A91088F7}">
          <x14:formula1>
            <xm:f>'Processer &amp; råvarer'!$A$2:$A$32</xm:f>
          </x14:formula1>
          <xm:sqref>A3:A475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625D8-FF7E-4A2B-8B4D-0837D4DCA550}">
  <sheetPr codeName="Sheet11">
    <tabColor theme="4" tint="-0.249977111117893"/>
  </sheetPr>
  <dimension ref="A1:H98"/>
  <sheetViews>
    <sheetView topLeftCell="A58" workbookViewId="0">
      <selection activeCell="B25" sqref="B25"/>
    </sheetView>
  </sheetViews>
  <sheetFormatPr defaultRowHeight="14.4" x14ac:dyDescent="0.55000000000000004"/>
  <cols>
    <col min="1" max="2" width="30.41796875" customWidth="1"/>
    <col min="5" max="5" width="26.15625" customWidth="1"/>
    <col min="10" max="10" width="18.41796875" customWidth="1"/>
  </cols>
  <sheetData>
    <row r="1" spans="1:8" x14ac:dyDescent="0.55000000000000004">
      <c r="A1" t="s">
        <v>338</v>
      </c>
      <c r="B1" t="s">
        <v>788</v>
      </c>
      <c r="E1" s="146" t="s">
        <v>787</v>
      </c>
      <c r="F1" t="s">
        <v>315</v>
      </c>
      <c r="G1" t="s">
        <v>402</v>
      </c>
      <c r="H1" t="s">
        <v>426</v>
      </c>
    </row>
    <row r="2" spans="1:8" x14ac:dyDescent="0.55000000000000004">
      <c r="A2" s="171" t="s">
        <v>29</v>
      </c>
      <c r="B2" s="171" t="s">
        <v>418</v>
      </c>
      <c r="E2" s="146" t="s">
        <v>313</v>
      </c>
      <c r="F2" t="s">
        <v>317</v>
      </c>
      <c r="H2" t="b">
        <f>IF(COUNTIF('Processer - data'!$D:$F,Table2[[#This Row],[Råvare]])&gt;0,TRUE,FALSE)</f>
        <v>1</v>
      </c>
    </row>
    <row r="3" spans="1:8" x14ac:dyDescent="0.55000000000000004">
      <c r="A3" s="170" t="s">
        <v>22</v>
      </c>
      <c r="B3" s="171" t="s">
        <v>418</v>
      </c>
      <c r="E3" s="146" t="s">
        <v>353</v>
      </c>
      <c r="F3" t="s">
        <v>62</v>
      </c>
      <c r="G3">
        <v>1</v>
      </c>
      <c r="H3" t="b">
        <f>IF(COUNTIF('Processer - data'!$D:$F,Table2[[#This Row],[Råvare]])&gt;0,TRUE,FALSE)</f>
        <v>1</v>
      </c>
    </row>
    <row r="4" spans="1:8" x14ac:dyDescent="0.55000000000000004">
      <c r="A4" s="171" t="s">
        <v>36</v>
      </c>
      <c r="B4" s="171" t="s">
        <v>427</v>
      </c>
      <c r="E4" t="s">
        <v>581</v>
      </c>
      <c r="F4" t="s">
        <v>62</v>
      </c>
      <c r="G4">
        <v>1</v>
      </c>
      <c r="H4" s="213" t="b">
        <f>IF(COUNTIF('Processer - data'!$D:$F,Table2[[#This Row],[Råvare]])&gt;0,TRUE,FALSE)</f>
        <v>1</v>
      </c>
    </row>
    <row r="5" spans="1:8" x14ac:dyDescent="0.55000000000000004">
      <c r="A5" s="171" t="s">
        <v>350</v>
      </c>
      <c r="B5" s="171" t="s">
        <v>418</v>
      </c>
      <c r="E5" s="146" t="s">
        <v>354</v>
      </c>
      <c r="F5" t="s">
        <v>62</v>
      </c>
      <c r="G5">
        <v>1</v>
      </c>
      <c r="H5" t="b">
        <f>IF(COUNTIF('Processer - data'!$D:$F,Table2[[#This Row],[Råvare]])&gt;0,TRUE,FALSE)</f>
        <v>1</v>
      </c>
    </row>
    <row r="6" spans="1:8" x14ac:dyDescent="0.55000000000000004">
      <c r="A6" s="171" t="s">
        <v>415</v>
      </c>
      <c r="B6" s="171" t="s">
        <v>429</v>
      </c>
      <c r="E6" t="s">
        <v>547</v>
      </c>
      <c r="F6" t="s">
        <v>62</v>
      </c>
      <c r="G6">
        <v>1</v>
      </c>
      <c r="H6" s="213" t="b">
        <f>IF(COUNTIF('Processer - data'!$D:$F,Table2[[#This Row],[Råvare]])&gt;0,TRUE,FALSE)</f>
        <v>1</v>
      </c>
    </row>
    <row r="7" spans="1:8" x14ac:dyDescent="0.55000000000000004">
      <c r="A7" s="171" t="s">
        <v>306</v>
      </c>
      <c r="B7" s="171" t="s">
        <v>418</v>
      </c>
      <c r="E7" s="146" t="s">
        <v>355</v>
      </c>
      <c r="F7" t="s">
        <v>62</v>
      </c>
      <c r="G7">
        <v>1</v>
      </c>
      <c r="H7" t="b">
        <f>IF(COUNTIF('Processer - data'!$D:$F,Table2[[#This Row],[Råvare]])&gt;0,TRUE,FALSE)</f>
        <v>1</v>
      </c>
    </row>
    <row r="8" spans="1:8" x14ac:dyDescent="0.55000000000000004">
      <c r="A8" s="172" t="s">
        <v>545</v>
      </c>
      <c r="B8" s="172" t="s">
        <v>418</v>
      </c>
      <c r="E8" s="146" t="s">
        <v>356</v>
      </c>
      <c r="F8" t="s">
        <v>62</v>
      </c>
      <c r="G8">
        <v>1</v>
      </c>
      <c r="H8" t="b">
        <f>IF(COUNTIF('Processer - data'!$D:$F,Table2[[#This Row],[Råvare]])&gt;0,TRUE,FALSE)</f>
        <v>1</v>
      </c>
    </row>
    <row r="9" spans="1:8" x14ac:dyDescent="0.55000000000000004">
      <c r="A9" s="171" t="s">
        <v>303</v>
      </c>
      <c r="B9" s="171" t="s">
        <v>428</v>
      </c>
      <c r="E9" t="s">
        <v>549</v>
      </c>
      <c r="F9" t="s">
        <v>62</v>
      </c>
      <c r="G9">
        <v>1</v>
      </c>
      <c r="H9" s="213" t="b">
        <f>IF(COUNTIF('Processer - data'!$D:$F,Table2[[#This Row],[Råvare]])&gt;0,TRUE,FALSE)</f>
        <v>1</v>
      </c>
    </row>
    <row r="10" spans="1:8" x14ac:dyDescent="0.55000000000000004">
      <c r="A10" s="171" t="s">
        <v>28</v>
      </c>
      <c r="B10" s="171" t="s">
        <v>418</v>
      </c>
      <c r="E10" s="146" t="s">
        <v>357</v>
      </c>
      <c r="F10" t="s">
        <v>62</v>
      </c>
      <c r="G10">
        <v>1</v>
      </c>
      <c r="H10" t="b">
        <f>IF(COUNTIF('Processer - data'!$D:$F,Table2[[#This Row],[Råvare]])&gt;0,TRUE,FALSE)</f>
        <v>1</v>
      </c>
    </row>
    <row r="11" spans="1:8" x14ac:dyDescent="0.55000000000000004">
      <c r="A11" s="171" t="s">
        <v>349</v>
      </c>
      <c r="B11" s="171" t="s">
        <v>418</v>
      </c>
      <c r="E11" s="146" t="s">
        <v>358</v>
      </c>
      <c r="F11" t="s">
        <v>62</v>
      </c>
      <c r="G11">
        <v>1</v>
      </c>
      <c r="H11" t="b">
        <f>IF(COUNTIF('Processer - data'!$D:$F,Table2[[#This Row],[Råvare]])&gt;0,TRUE,FALSE)</f>
        <v>1</v>
      </c>
    </row>
    <row r="12" spans="1:8" x14ac:dyDescent="0.55000000000000004">
      <c r="A12" s="171" t="s">
        <v>27</v>
      </c>
      <c r="B12" s="171" t="s">
        <v>418</v>
      </c>
      <c r="E12" s="146" t="s">
        <v>359</v>
      </c>
      <c r="F12" t="s">
        <v>62</v>
      </c>
      <c r="G12">
        <v>1</v>
      </c>
      <c r="H12" t="b">
        <f>IF(COUNTIF('Processer - data'!$D:$F,Table2[[#This Row],[Råvare]])&gt;0,TRUE,FALSE)</f>
        <v>1</v>
      </c>
    </row>
    <row r="13" spans="1:8" x14ac:dyDescent="0.55000000000000004">
      <c r="A13" s="171" t="s">
        <v>26</v>
      </c>
      <c r="B13" s="171" t="s">
        <v>418</v>
      </c>
      <c r="E13" t="s">
        <v>548</v>
      </c>
      <c r="F13" t="s">
        <v>62</v>
      </c>
      <c r="G13">
        <v>1</v>
      </c>
      <c r="H13" s="213" t="b">
        <f>IF(COUNTIF('Processer - data'!$D:$F,Table2[[#This Row],[Råvare]])&gt;0,TRUE,FALSE)</f>
        <v>1</v>
      </c>
    </row>
    <row r="14" spans="1:8" x14ac:dyDescent="0.55000000000000004">
      <c r="A14" s="172" t="s">
        <v>550</v>
      </c>
      <c r="B14" s="172" t="s">
        <v>418</v>
      </c>
      <c r="E14" s="146" t="s">
        <v>360</v>
      </c>
      <c r="F14" t="s">
        <v>62</v>
      </c>
      <c r="G14">
        <v>1</v>
      </c>
      <c r="H14" t="b">
        <f>IF(COUNTIF('Processer - data'!$D:$F,Table2[[#This Row],[Råvare]])&gt;0,TRUE,FALSE)</f>
        <v>1</v>
      </c>
    </row>
    <row r="15" spans="1:8" x14ac:dyDescent="0.55000000000000004">
      <c r="A15" s="171" t="s">
        <v>304</v>
      </c>
      <c r="B15" s="171" t="s">
        <v>418</v>
      </c>
      <c r="E15" s="146" t="s">
        <v>361</v>
      </c>
      <c r="F15" t="s">
        <v>62</v>
      </c>
      <c r="G15">
        <v>1</v>
      </c>
      <c r="H15" t="b">
        <f>IF(COUNTIF('Processer - data'!$D:$F,Table2[[#This Row],[Råvare]])&gt;0,TRUE,FALSE)</f>
        <v>1</v>
      </c>
    </row>
    <row r="16" spans="1:8" x14ac:dyDescent="0.55000000000000004">
      <c r="A16" s="171" t="s">
        <v>25</v>
      </c>
      <c r="B16" s="171" t="s">
        <v>418</v>
      </c>
      <c r="E16" s="146" t="s">
        <v>362</v>
      </c>
      <c r="F16" t="s">
        <v>62</v>
      </c>
      <c r="G16">
        <v>1</v>
      </c>
      <c r="H16" t="b">
        <f>IF(COUNTIF('Processer - data'!$D:$F,Table2[[#This Row],[Råvare]])&gt;0,TRUE,FALSE)</f>
        <v>1</v>
      </c>
    </row>
    <row r="17" spans="1:8" x14ac:dyDescent="0.55000000000000004">
      <c r="A17" s="171" t="s">
        <v>351</v>
      </c>
      <c r="B17" s="171" t="s">
        <v>418</v>
      </c>
      <c r="E17" s="146" t="s">
        <v>363</v>
      </c>
      <c r="F17" t="s">
        <v>62</v>
      </c>
      <c r="G17">
        <v>1</v>
      </c>
      <c r="H17" t="b">
        <f>IF(COUNTIF('Processer - data'!$D:$F,Table2[[#This Row],[Råvare]])&gt;0,TRUE,FALSE)</f>
        <v>1</v>
      </c>
    </row>
    <row r="18" spans="1:8" x14ac:dyDescent="0.55000000000000004">
      <c r="A18" s="171" t="s">
        <v>31</v>
      </c>
      <c r="B18" s="171" t="s">
        <v>418</v>
      </c>
      <c r="E18" t="s">
        <v>561</v>
      </c>
      <c r="F18" t="s">
        <v>62</v>
      </c>
      <c r="G18">
        <v>1</v>
      </c>
      <c r="H18" s="213" t="b">
        <f>IF(COUNTIF('Processer - data'!$D:$F,Table2[[#This Row],[Råvare]])&gt;0,TRUE,FALSE)</f>
        <v>1</v>
      </c>
    </row>
    <row r="19" spans="1:8" x14ac:dyDescent="0.55000000000000004">
      <c r="A19" s="170" t="s">
        <v>34</v>
      </c>
      <c r="B19" s="172" t="s">
        <v>417</v>
      </c>
      <c r="E19" t="s">
        <v>562</v>
      </c>
      <c r="F19" t="s">
        <v>62</v>
      </c>
      <c r="G19">
        <v>1</v>
      </c>
      <c r="H19" s="213" t="b">
        <f>IF(COUNTIF('Processer - data'!$D:$F,Table2[[#This Row],[Råvare]])&gt;0,TRUE,FALSE)</f>
        <v>1</v>
      </c>
    </row>
    <row r="20" spans="1:8" x14ac:dyDescent="0.55000000000000004">
      <c r="A20" s="170" t="s">
        <v>23</v>
      </c>
      <c r="B20" s="171" t="s">
        <v>418</v>
      </c>
      <c r="E20" t="s">
        <v>563</v>
      </c>
      <c r="F20" t="s">
        <v>62</v>
      </c>
      <c r="G20">
        <v>1</v>
      </c>
      <c r="H20" s="213" t="b">
        <f>IF(COUNTIF('Processer - data'!$D:$F,Table2[[#This Row],[Råvare]])&gt;0,TRUE,FALSE)</f>
        <v>1</v>
      </c>
    </row>
    <row r="21" spans="1:8" x14ac:dyDescent="0.55000000000000004">
      <c r="A21" s="172" t="s">
        <v>546</v>
      </c>
      <c r="B21" s="172" t="s">
        <v>418</v>
      </c>
      <c r="E21" t="s">
        <v>564</v>
      </c>
      <c r="F21" t="s">
        <v>62</v>
      </c>
      <c r="G21">
        <v>1</v>
      </c>
      <c r="H21" s="213" t="b">
        <f>IF(COUNTIF('Processer - data'!$D:$F,Table2[[#This Row],[Råvare]])&gt;0,TRUE,FALSE)</f>
        <v>1</v>
      </c>
    </row>
    <row r="22" spans="1:8" x14ac:dyDescent="0.55000000000000004">
      <c r="A22" s="171" t="s">
        <v>61</v>
      </c>
      <c r="B22" s="171" t="s">
        <v>418</v>
      </c>
      <c r="E22" t="s">
        <v>565</v>
      </c>
      <c r="F22" t="s">
        <v>62</v>
      </c>
      <c r="G22">
        <v>1</v>
      </c>
      <c r="H22" s="213" t="b">
        <f>IF(COUNTIF('Processer - data'!$D:$F,Table2[[#This Row],[Råvare]])&gt;0,TRUE,FALSE)</f>
        <v>1</v>
      </c>
    </row>
    <row r="23" spans="1:8" x14ac:dyDescent="0.55000000000000004">
      <c r="A23" s="171" t="s">
        <v>32</v>
      </c>
      <c r="B23" s="171" t="s">
        <v>418</v>
      </c>
      <c r="E23" t="s">
        <v>566</v>
      </c>
      <c r="F23" t="s">
        <v>62</v>
      </c>
      <c r="G23">
        <v>1</v>
      </c>
      <c r="H23" s="213" t="b">
        <f>IF(COUNTIF('Processer - data'!$D:$F,Table2[[#This Row],[Råvare]])&gt;0,TRUE,FALSE)</f>
        <v>1</v>
      </c>
    </row>
    <row r="24" spans="1:8" x14ac:dyDescent="0.55000000000000004">
      <c r="A24" s="172" t="s">
        <v>656</v>
      </c>
      <c r="B24" s="172" t="s">
        <v>669</v>
      </c>
      <c r="E24" t="s">
        <v>567</v>
      </c>
      <c r="F24" t="s">
        <v>62</v>
      </c>
      <c r="G24">
        <v>1</v>
      </c>
      <c r="H24" s="213" t="b">
        <f>IF(COUNTIF('Processer - data'!$D:$F,Table2[[#This Row],[Råvare]])&gt;0,TRUE,FALSE)</f>
        <v>1</v>
      </c>
    </row>
    <row r="25" spans="1:8" x14ac:dyDescent="0.55000000000000004">
      <c r="A25" s="172" t="s">
        <v>876</v>
      </c>
      <c r="B25" s="172" t="s">
        <v>877</v>
      </c>
      <c r="E25" t="s">
        <v>568</v>
      </c>
      <c r="F25" t="s">
        <v>62</v>
      </c>
      <c r="G25">
        <v>1</v>
      </c>
      <c r="H25" s="213" t="b">
        <f>IF(COUNTIF('Processer - data'!$D:$F,Table2[[#This Row],[Råvare]])&gt;0,TRUE,FALSE)</f>
        <v>1</v>
      </c>
    </row>
    <row r="26" spans="1:8" x14ac:dyDescent="0.55000000000000004">
      <c r="A26" s="172" t="s">
        <v>722</v>
      </c>
      <c r="B26" s="172" t="s">
        <v>417</v>
      </c>
      <c r="E26" t="s">
        <v>569</v>
      </c>
      <c r="F26" t="s">
        <v>62</v>
      </c>
      <c r="G26">
        <v>1</v>
      </c>
      <c r="H26" s="213" t="b">
        <f>IF(COUNTIF('Processer - data'!$D:$F,Table2[[#This Row],[Råvare]])&gt;0,TRUE,FALSE)</f>
        <v>1</v>
      </c>
    </row>
    <row r="27" spans="1:8" x14ac:dyDescent="0.55000000000000004">
      <c r="A27" s="207" t="s">
        <v>305</v>
      </c>
      <c r="B27" s="171" t="s">
        <v>418</v>
      </c>
      <c r="E27" t="s">
        <v>570</v>
      </c>
      <c r="F27" t="s">
        <v>62</v>
      </c>
      <c r="G27">
        <v>1</v>
      </c>
      <c r="H27" s="213" t="b">
        <f>IF(COUNTIF('Processer - data'!$D:$F,Table2[[#This Row],[Råvare]])&gt;0,TRUE,FALSE)</f>
        <v>1</v>
      </c>
    </row>
    <row r="28" spans="1:8" x14ac:dyDescent="0.55000000000000004">
      <c r="A28" s="171" t="s">
        <v>30</v>
      </c>
      <c r="B28" s="171" t="s">
        <v>418</v>
      </c>
      <c r="E28" t="s">
        <v>571</v>
      </c>
      <c r="F28" t="s">
        <v>62</v>
      </c>
      <c r="G28">
        <v>1</v>
      </c>
      <c r="H28" s="213" t="b">
        <f>IF(COUNTIF('Processer - data'!$D:$F,Table2[[#This Row],[Råvare]])&gt;0,TRUE,FALSE)</f>
        <v>1</v>
      </c>
    </row>
    <row r="29" spans="1:8" x14ac:dyDescent="0.55000000000000004">
      <c r="A29" s="172" t="s">
        <v>554</v>
      </c>
      <c r="B29" s="172" t="s">
        <v>418</v>
      </c>
      <c r="E29" t="s">
        <v>572</v>
      </c>
      <c r="F29" t="s">
        <v>62</v>
      </c>
      <c r="G29">
        <v>1</v>
      </c>
      <c r="H29" s="213" t="b">
        <f>IF(COUNTIF('Processer - data'!$D:$F,Table2[[#This Row],[Råvare]])&gt;0,TRUE,FALSE)</f>
        <v>1</v>
      </c>
    </row>
    <row r="30" spans="1:8" x14ac:dyDescent="0.55000000000000004">
      <c r="A30" s="171" t="s">
        <v>35</v>
      </c>
      <c r="B30" s="171" t="s">
        <v>417</v>
      </c>
      <c r="E30" t="s">
        <v>573</v>
      </c>
      <c r="F30" t="s">
        <v>62</v>
      </c>
      <c r="G30">
        <v>1</v>
      </c>
      <c r="H30" s="213" t="b">
        <f>IF(COUNTIF('Processer - data'!$D:$F,Table2[[#This Row],[Råvare]])&gt;0,TRUE,FALSE)</f>
        <v>1</v>
      </c>
    </row>
    <row r="31" spans="1:8" x14ac:dyDescent="0.55000000000000004">
      <c r="A31" s="171" t="s">
        <v>21</v>
      </c>
      <c r="B31" s="171" t="s">
        <v>418</v>
      </c>
      <c r="E31" t="s">
        <v>574</v>
      </c>
      <c r="F31" t="s">
        <v>62</v>
      </c>
      <c r="G31">
        <v>1</v>
      </c>
      <c r="H31" s="213" t="b">
        <f>IF(COUNTIF('Processer - data'!$D:$F,Table2[[#This Row],[Råvare]])&gt;0,TRUE,FALSE)</f>
        <v>1</v>
      </c>
    </row>
    <row r="32" spans="1:8" x14ac:dyDescent="0.55000000000000004">
      <c r="A32" s="170" t="s">
        <v>24</v>
      </c>
      <c r="B32" s="171" t="s">
        <v>418</v>
      </c>
      <c r="E32" t="s">
        <v>575</v>
      </c>
      <c r="F32" t="s">
        <v>62</v>
      </c>
      <c r="G32">
        <v>1</v>
      </c>
      <c r="H32" s="213" t="b">
        <f>IF(COUNTIF('Processer - data'!$D:$F,Table2[[#This Row],[Råvare]])&gt;0,TRUE,FALSE)</f>
        <v>1</v>
      </c>
    </row>
    <row r="33" spans="1:8" x14ac:dyDescent="0.55000000000000004">
      <c r="A33" s="172" t="s">
        <v>408</v>
      </c>
      <c r="B33" s="171" t="s">
        <v>419</v>
      </c>
      <c r="E33" t="s">
        <v>576</v>
      </c>
      <c r="F33" t="s">
        <v>62</v>
      </c>
      <c r="G33">
        <v>1</v>
      </c>
      <c r="H33" s="213" t="b">
        <f>IF(COUNTIF('Processer - data'!$D:$F,Table2[[#This Row],[Råvare]])&gt;0,TRUE,FALSE)</f>
        <v>1</v>
      </c>
    </row>
    <row r="34" spans="1:8" x14ac:dyDescent="0.55000000000000004">
      <c r="A34" s="171" t="s">
        <v>33</v>
      </c>
      <c r="B34" s="171" t="s">
        <v>417</v>
      </c>
      <c r="E34" t="s">
        <v>577</v>
      </c>
      <c r="F34" t="s">
        <v>62</v>
      </c>
      <c r="G34">
        <v>1</v>
      </c>
      <c r="H34" s="213" t="b">
        <f>IF(COUNTIF('Processer - data'!$D:$F,Table2[[#This Row],[Råvare]])&gt;0,TRUE,FALSE)</f>
        <v>1</v>
      </c>
    </row>
    <row r="35" spans="1:8" x14ac:dyDescent="0.55000000000000004">
      <c r="E35" t="s">
        <v>578</v>
      </c>
      <c r="F35" t="s">
        <v>62</v>
      </c>
      <c r="G35">
        <v>1</v>
      </c>
      <c r="H35" s="213" t="b">
        <f>IF(COUNTIF('Processer - data'!$D:$F,Table2[[#This Row],[Råvare]])&gt;0,TRUE,FALSE)</f>
        <v>1</v>
      </c>
    </row>
    <row r="36" spans="1:8" x14ac:dyDescent="0.55000000000000004">
      <c r="E36" t="s">
        <v>579</v>
      </c>
      <c r="F36" t="s">
        <v>62</v>
      </c>
      <c r="G36">
        <v>1</v>
      </c>
      <c r="H36" s="213" t="b">
        <f>IF(COUNTIF('Processer - data'!$D:$F,Table2[[#This Row],[Råvare]])&gt;0,TRUE,FALSE)</f>
        <v>1</v>
      </c>
    </row>
    <row r="37" spans="1:8" x14ac:dyDescent="0.55000000000000004">
      <c r="E37" t="s">
        <v>580</v>
      </c>
      <c r="F37" t="s">
        <v>62</v>
      </c>
      <c r="G37">
        <v>1</v>
      </c>
      <c r="H37" s="213" t="b">
        <f>IF(COUNTIF('Processer - data'!$D:$F,Table2[[#This Row],[Råvare]])&gt;0,TRUE,FALSE)</f>
        <v>1</v>
      </c>
    </row>
    <row r="38" spans="1:8" x14ac:dyDescent="0.55000000000000004">
      <c r="E38" s="146" t="s">
        <v>14</v>
      </c>
      <c r="F38" t="s">
        <v>317</v>
      </c>
      <c r="H38" t="b">
        <f>IF(COUNTIF('Processer - data'!$D:$F,Table2[[#This Row],[Råvare]])&gt;0,TRUE,FALSE)</f>
        <v>1</v>
      </c>
    </row>
    <row r="39" spans="1:8" x14ac:dyDescent="0.55000000000000004">
      <c r="E39" s="146" t="s">
        <v>297</v>
      </c>
      <c r="F39" t="s">
        <v>316</v>
      </c>
      <c r="G39">
        <v>1</v>
      </c>
      <c r="H39" t="b">
        <f>IF(COUNTIF('Processer - data'!$D:$F,Table2[[#This Row],[Råvare]])&gt;0,TRUE,FALSE)</f>
        <v>1</v>
      </c>
    </row>
    <row r="40" spans="1:8" x14ac:dyDescent="0.55000000000000004">
      <c r="E40" s="146" t="s">
        <v>322</v>
      </c>
      <c r="F40" t="s">
        <v>317</v>
      </c>
      <c r="H40" t="b">
        <f>IF(COUNTIF('Processer - data'!$D:$F,Table2[[#This Row],[Råvare]])&gt;0,TRUE,FALSE)</f>
        <v>1</v>
      </c>
    </row>
    <row r="41" spans="1:8" x14ac:dyDescent="0.55000000000000004">
      <c r="E41" s="146" t="s">
        <v>312</v>
      </c>
      <c r="F41" t="s">
        <v>431</v>
      </c>
      <c r="H41" t="b">
        <f>IF(COUNTIF('Processer - data'!$D:$F,Table2[[#This Row],[Råvare]])&gt;0,TRUE,FALSE)</f>
        <v>1</v>
      </c>
    </row>
    <row r="42" spans="1:8" x14ac:dyDescent="0.55000000000000004">
      <c r="E42" s="146" t="s">
        <v>314</v>
      </c>
      <c r="F42" t="s">
        <v>317</v>
      </c>
      <c r="H42" t="b">
        <f>IF(COUNTIF('Processer - data'!$D:$F,Table2[[#This Row],[Råvare]])&gt;0,TRUE,FALSE)</f>
        <v>1</v>
      </c>
    </row>
    <row r="43" spans="1:8" x14ac:dyDescent="0.55000000000000004">
      <c r="E43" t="s">
        <v>661</v>
      </c>
      <c r="F43" t="s">
        <v>410</v>
      </c>
      <c r="H43" s="213" t="b">
        <f>IF(COUNTIF('Processer - data'!$D:$F,Table2[[#This Row],[Råvare]])&gt;0,TRUE,FALSE)</f>
        <v>1</v>
      </c>
    </row>
    <row r="44" spans="1:8" x14ac:dyDescent="0.55000000000000004">
      <c r="E44" t="s">
        <v>344</v>
      </c>
      <c r="F44" t="s">
        <v>345</v>
      </c>
      <c r="H44" s="459" t="b">
        <f>IF(COUNTIF('Processer - data'!$D:$F,Table2[[#This Row],[Råvare]])&gt;0,TRUE,FALSE)</f>
        <v>1</v>
      </c>
    </row>
    <row r="45" spans="1:8" x14ac:dyDescent="0.55000000000000004">
      <c r="E45" s="444" t="s">
        <v>39</v>
      </c>
      <c r="F45" t="s">
        <v>317</v>
      </c>
      <c r="H45" t="b">
        <f>IF(COUNTIF('Processer - data'!$D:$F,Table2[[#This Row],[Råvare]])&gt;0,TRUE,FALSE)</f>
        <v>1</v>
      </c>
    </row>
    <row r="46" spans="1:8" x14ac:dyDescent="0.55000000000000004">
      <c r="E46" s="459" t="s">
        <v>409</v>
      </c>
      <c r="F46" t="s">
        <v>410</v>
      </c>
      <c r="H46" t="b">
        <f>IF(COUNTIF('Processer - data'!$D:$F,Table2[[#This Row],[Råvare]])&gt;0,TRUE,FALSE)</f>
        <v>1</v>
      </c>
    </row>
    <row r="47" spans="1:8" x14ac:dyDescent="0.55000000000000004">
      <c r="E47" t="s">
        <v>657</v>
      </c>
      <c r="F47" t="s">
        <v>317</v>
      </c>
      <c r="H47" s="213" t="b">
        <f>IF(COUNTIF('Processer - data'!$D:$F,Table2[[#This Row],[Råvare]])&gt;0,TRUE,FALSE)</f>
        <v>1</v>
      </c>
    </row>
    <row r="48" spans="1:8" x14ac:dyDescent="0.55000000000000004">
      <c r="E48" t="s">
        <v>18</v>
      </c>
      <c r="F48" t="s">
        <v>316</v>
      </c>
      <c r="G48">
        <v>1</v>
      </c>
      <c r="H48" s="459" t="b">
        <f>IF(COUNTIF('Processer - data'!$D:$F,Table2[[#This Row],[Råvare]])&gt;0,TRUE,FALSE)</f>
        <v>1</v>
      </c>
    </row>
    <row r="49" spans="5:8" x14ac:dyDescent="0.55000000000000004">
      <c r="E49" t="s">
        <v>500</v>
      </c>
      <c r="F49" t="s">
        <v>317</v>
      </c>
      <c r="H49" s="213" t="b">
        <f>IF(COUNTIF('Processer - data'!$D:$F,Table2[[#This Row],[Råvare]])&gt;0,TRUE,FALSE)</f>
        <v>1</v>
      </c>
    </row>
    <row r="50" spans="5:8" x14ac:dyDescent="0.55000000000000004">
      <c r="E50" t="s">
        <v>365</v>
      </c>
      <c r="F50" t="s">
        <v>317</v>
      </c>
      <c r="H50" s="459" t="b">
        <f>IF(COUNTIF('Processer - data'!$D:$F,Table2[[#This Row],[Råvare]])&gt;0,TRUE,FALSE)</f>
        <v>1</v>
      </c>
    </row>
    <row r="51" spans="5:8" x14ac:dyDescent="0.55000000000000004">
      <c r="E51" t="s">
        <v>416</v>
      </c>
      <c r="F51" t="s">
        <v>343</v>
      </c>
      <c r="H51" t="b">
        <f>IF(COUNTIF('Processer - data'!$D:$F,Table2[[#This Row],[Råvare]])&gt;0,TRUE,FALSE)</f>
        <v>1</v>
      </c>
    </row>
    <row r="52" spans="5:8" x14ac:dyDescent="0.55000000000000004">
      <c r="E52" s="444" t="s">
        <v>307</v>
      </c>
      <c r="F52" t="s">
        <v>317</v>
      </c>
      <c r="H52" t="b">
        <f>IF(COUNTIF('Processer - data'!$D:$F,Table2[[#This Row],[Råvare]])&gt;0,TRUE,FALSE)</f>
        <v>1</v>
      </c>
    </row>
    <row r="53" spans="5:8" x14ac:dyDescent="0.55000000000000004">
      <c r="E53" s="459" t="s">
        <v>153</v>
      </c>
      <c r="F53" t="s">
        <v>317</v>
      </c>
      <c r="H53" s="213" t="b">
        <f>IF(COUNTIF('Processer - data'!$D:$F,Table2[[#This Row],[Råvare]])&gt;0,TRUE,FALSE)</f>
        <v>1</v>
      </c>
    </row>
    <row r="54" spans="5:8" x14ac:dyDescent="0.55000000000000004">
      <c r="E54" t="s">
        <v>519</v>
      </c>
      <c r="F54" t="s">
        <v>317</v>
      </c>
      <c r="H54" s="213" t="b">
        <f>IF(COUNTIF('Processer - data'!$D:$F,Table2[[#This Row],[Råvare]])&gt;0,TRUE,FALSE)</f>
        <v>1</v>
      </c>
    </row>
    <row r="55" spans="5:8" x14ac:dyDescent="0.55000000000000004">
      <c r="E55" s="444" t="s">
        <v>303</v>
      </c>
      <c r="F55" t="s">
        <v>420</v>
      </c>
      <c r="H55" s="459" t="b">
        <f>IF(COUNTIF('Processer - data'!$D:$F,Table2[[#This Row],[Råvare]])&gt;0,TRUE,FALSE)</f>
        <v>1</v>
      </c>
    </row>
    <row r="56" spans="5:8" x14ac:dyDescent="0.55000000000000004">
      <c r="E56" s="146" t="s">
        <v>13</v>
      </c>
      <c r="F56" t="s">
        <v>317</v>
      </c>
      <c r="H56" t="b">
        <f>IF(COUNTIF('Processer - data'!$D:$F,Table2[[#This Row],[Råvare]])&gt;0,TRUE,FALSE)</f>
        <v>1</v>
      </c>
    </row>
    <row r="57" spans="5:8" x14ac:dyDescent="0.55000000000000004">
      <c r="E57" s="459" t="s">
        <v>655</v>
      </c>
      <c r="F57" t="s">
        <v>317</v>
      </c>
      <c r="H57" s="213" t="b">
        <f>IF(COUNTIF('Processer - data'!$D:$F,Table2[[#This Row],[Råvare]])&gt;0,TRUE,FALSE)</f>
        <v>1</v>
      </c>
    </row>
    <row r="58" spans="5:8" x14ac:dyDescent="0.55000000000000004">
      <c r="E58" s="444" t="s">
        <v>12</v>
      </c>
      <c r="F58" t="s">
        <v>317</v>
      </c>
      <c r="H58" s="459" t="b">
        <f>IF(COUNTIF('Processer - data'!$D:$F,Table2[[#This Row],[Råvare]])&gt;0,TRUE,FALSE)</f>
        <v>1</v>
      </c>
    </row>
    <row r="59" spans="5:8" x14ac:dyDescent="0.55000000000000004">
      <c r="E59" s="146" t="s">
        <v>37</v>
      </c>
      <c r="F59" t="s">
        <v>317</v>
      </c>
      <c r="H59" t="b">
        <f>IF(COUNTIF('Processer - data'!$D:$F,Table2[[#This Row],[Råvare]])&gt;0,TRUE,FALSE)</f>
        <v>1</v>
      </c>
    </row>
    <row r="60" spans="5:8" x14ac:dyDescent="0.55000000000000004">
      <c r="E60" s="459" t="s">
        <v>527</v>
      </c>
      <c r="F60" t="s">
        <v>317</v>
      </c>
      <c r="H60" s="213" t="b">
        <f>IF(COUNTIF('Processer - data'!$D:$F,Table2[[#This Row],[Råvare]])&gt;0,TRUE,FALSE)</f>
        <v>1</v>
      </c>
    </row>
    <row r="61" spans="5:8" x14ac:dyDescent="0.55000000000000004">
      <c r="E61" t="s">
        <v>497</v>
      </c>
      <c r="F61" t="s">
        <v>317</v>
      </c>
      <c r="H61" s="213" t="b">
        <f>IF(COUNTIF('Processer - data'!$D:$F,Table2[[#This Row],[Råvare]])&gt;0,TRUE,FALSE)</f>
        <v>1</v>
      </c>
    </row>
    <row r="62" spans="5:8" x14ac:dyDescent="0.55000000000000004">
      <c r="E62" s="444" t="s">
        <v>41</v>
      </c>
      <c r="F62" t="s">
        <v>317</v>
      </c>
      <c r="H62" s="459" t="b">
        <f>IF(COUNTIF('Processer - data'!$D:$F,Table2[[#This Row],[Råvare]])&gt;0,TRUE,FALSE)</f>
        <v>1</v>
      </c>
    </row>
    <row r="63" spans="5:8" x14ac:dyDescent="0.55000000000000004">
      <c r="E63" s="459" t="s">
        <v>148</v>
      </c>
      <c r="F63" t="s">
        <v>317</v>
      </c>
      <c r="H63" s="213" t="b">
        <f>IF(COUNTIF('Processer - data'!$D:$F,Table2[[#This Row],[Råvare]])&gt;0,TRUE,FALSE)</f>
        <v>1</v>
      </c>
    </row>
    <row r="64" spans="5:8" x14ac:dyDescent="0.55000000000000004">
      <c r="E64" s="444" t="s">
        <v>188</v>
      </c>
      <c r="F64" t="s">
        <v>317</v>
      </c>
      <c r="H64" s="459" t="b">
        <f>IF(COUNTIF('Processer - data'!$D:$F,Table2[[#This Row],[Råvare]])&gt;0,TRUE,FALSE)</f>
        <v>1</v>
      </c>
    </row>
    <row r="65" spans="5:8" x14ac:dyDescent="0.55000000000000004">
      <c r="E65" s="146" t="s">
        <v>17</v>
      </c>
      <c r="F65" t="s">
        <v>316</v>
      </c>
      <c r="G65">
        <v>1</v>
      </c>
      <c r="H65" t="b">
        <f>IF(COUNTIF('Processer - data'!$D:$F,Table2[[#This Row],[Råvare]])&gt;0,TRUE,FALSE)</f>
        <v>1</v>
      </c>
    </row>
    <row r="66" spans="5:8" x14ac:dyDescent="0.55000000000000004">
      <c r="E66" s="146" t="s">
        <v>11</v>
      </c>
      <c r="F66" t="s">
        <v>317</v>
      </c>
      <c r="H66" t="b">
        <f>IF(COUNTIF('Processer - data'!$D:$F,Table2[[#This Row],[Råvare]])&gt;0,TRUE,FALSE)</f>
        <v>1</v>
      </c>
    </row>
    <row r="67" spans="5:8" x14ac:dyDescent="0.55000000000000004">
      <c r="E67" s="146" t="s">
        <v>320</v>
      </c>
      <c r="F67" t="s">
        <v>317</v>
      </c>
      <c r="H67" t="b">
        <f>IF(COUNTIF('Processer - data'!$D:$F,Table2[[#This Row],[Råvare]])&gt;0,TRUE,FALSE)</f>
        <v>1</v>
      </c>
    </row>
    <row r="68" spans="5:8" x14ac:dyDescent="0.55000000000000004">
      <c r="E68" s="459" t="s">
        <v>499</v>
      </c>
      <c r="F68" t="s">
        <v>317</v>
      </c>
      <c r="H68" s="213" t="b">
        <f>IF(COUNTIF('Processer - data'!$D:$F,Table2[[#This Row],[Råvare]])&gt;0,TRUE,FALSE)</f>
        <v>1</v>
      </c>
    </row>
    <row r="69" spans="5:8" x14ac:dyDescent="0.55000000000000004">
      <c r="E69" t="s">
        <v>430</v>
      </c>
      <c r="F69" t="s">
        <v>317</v>
      </c>
      <c r="H69" s="213" t="b">
        <f>IF(COUNTIF('Processer - data'!$D:$F,Table2[[#This Row],[Råvare]])&gt;0,TRUE,FALSE)</f>
        <v>1</v>
      </c>
    </row>
    <row r="70" spans="5:8" x14ac:dyDescent="0.55000000000000004">
      <c r="E70" s="444" t="s">
        <v>15</v>
      </c>
      <c r="F70" t="s">
        <v>317</v>
      </c>
      <c r="H70" s="459" t="b">
        <f>IF(COUNTIF('Processer - data'!$D:$F,Table2[[#This Row],[Råvare]])&gt;0,TRUE,FALSE)</f>
        <v>1</v>
      </c>
    </row>
    <row r="71" spans="5:8" x14ac:dyDescent="0.55000000000000004">
      <c r="E71" s="146" t="s">
        <v>309</v>
      </c>
      <c r="F71" t="s">
        <v>317</v>
      </c>
      <c r="H71" t="b">
        <f>IF(COUNTIF('Processer - data'!$D:$F,Table2[[#This Row],[Råvare]])&gt;0,TRUE,FALSE)</f>
        <v>1</v>
      </c>
    </row>
    <row r="72" spans="5:8" x14ac:dyDescent="0.55000000000000004">
      <c r="E72" s="146" t="s">
        <v>298</v>
      </c>
      <c r="F72" t="s">
        <v>62</v>
      </c>
      <c r="G72">
        <v>1</v>
      </c>
      <c r="H72" t="b">
        <f>IF(COUNTIF('Processer - data'!$D:$F,Table2[[#This Row],[Råvare]])&gt;0,TRUE,FALSE)</f>
        <v>1</v>
      </c>
    </row>
    <row r="73" spans="5:8" x14ac:dyDescent="0.55000000000000004">
      <c r="E73" s="146" t="s">
        <v>311</v>
      </c>
      <c r="F73" t="s">
        <v>317</v>
      </c>
      <c r="H73" t="b">
        <f>IF(COUNTIF('Processer - data'!$D:$F,Table2[[#This Row],[Råvare]])&gt;0,TRUE,FALSE)</f>
        <v>1</v>
      </c>
    </row>
    <row r="74" spans="5:8" x14ac:dyDescent="0.55000000000000004">
      <c r="E74" s="146" t="s">
        <v>319</v>
      </c>
      <c r="F74" t="s">
        <v>317</v>
      </c>
      <c r="H74" t="b">
        <f>IF(COUNTIF('Processer - data'!$D:$F,Table2[[#This Row],[Råvare]])&gt;0,TRUE,FALSE)</f>
        <v>1</v>
      </c>
    </row>
    <row r="75" spans="5:8" x14ac:dyDescent="0.55000000000000004">
      <c r="E75" s="459" t="s">
        <v>146</v>
      </c>
      <c r="F75" t="s">
        <v>317</v>
      </c>
      <c r="H75" s="213" t="b">
        <f>IF(COUNTIF('Processer - data'!$D:$F,Table2[[#This Row],[Råvare]])&gt;0,TRUE,FALSE)</f>
        <v>1</v>
      </c>
    </row>
    <row r="76" spans="5:8" x14ac:dyDescent="0.55000000000000004">
      <c r="E76" s="444" t="s">
        <v>339</v>
      </c>
      <c r="F76" t="s">
        <v>317</v>
      </c>
      <c r="H76" s="459" t="b">
        <f>IF(COUNTIF('Processer - data'!$D:$F,Table2[[#This Row],[Råvare]])&gt;0,TRUE,FALSE)</f>
        <v>1</v>
      </c>
    </row>
    <row r="77" spans="5:8" x14ac:dyDescent="0.55000000000000004">
      <c r="E77" s="459" t="s">
        <v>878</v>
      </c>
      <c r="F77" t="s">
        <v>317</v>
      </c>
      <c r="H77" s="213" t="b">
        <f>IF(COUNTIF('Processer - data'!$D:$F,Table2[[#This Row],[Råvare]])&gt;0,TRUE,FALSE)</f>
        <v>1</v>
      </c>
    </row>
    <row r="78" spans="5:8" x14ac:dyDescent="0.55000000000000004">
      <c r="E78" s="459" t="s">
        <v>890</v>
      </c>
      <c r="F78" t="s">
        <v>317</v>
      </c>
      <c r="H78" s="213" t="b">
        <f>IF(COUNTIF('Processer - data'!$D:$F,Table2[[#This Row],[Råvare]])&gt;0,TRUE,FALSE)</f>
        <v>1</v>
      </c>
    </row>
    <row r="79" spans="5:8" x14ac:dyDescent="0.55000000000000004">
      <c r="E79" s="444" t="s">
        <v>302</v>
      </c>
      <c r="F79" t="s">
        <v>317</v>
      </c>
      <c r="H79" s="459" t="b">
        <f>IF(COUNTIF('Processer - data'!$D:$F,Table2[[#This Row],[Råvare]])&gt;0,TRUE,FALSE)</f>
        <v>1</v>
      </c>
    </row>
    <row r="80" spans="5:8" x14ac:dyDescent="0.55000000000000004">
      <c r="E80" s="444" t="s">
        <v>177</v>
      </c>
      <c r="F80" t="s">
        <v>317</v>
      </c>
      <c r="H80" s="459" t="b">
        <f>IF(COUNTIF('Processer - data'!$D:$F,Table2[[#This Row],[Råvare]])&gt;0,TRUE,FALSE)</f>
        <v>1</v>
      </c>
    </row>
    <row r="81" spans="5:8" x14ac:dyDescent="0.55000000000000004">
      <c r="E81" s="459" t="s">
        <v>720</v>
      </c>
      <c r="F81" t="s">
        <v>317</v>
      </c>
      <c r="H81" s="213" t="b">
        <f>IF(COUNTIF('Processer - data'!$D:$F,Table2[[#This Row],[Råvare]])&gt;0,TRUE,FALSE)</f>
        <v>1</v>
      </c>
    </row>
    <row r="82" spans="5:8" x14ac:dyDescent="0.55000000000000004">
      <c r="E82" s="459" t="s">
        <v>721</v>
      </c>
      <c r="F82" t="s">
        <v>317</v>
      </c>
      <c r="H82" s="213" t="b">
        <f>IF(COUNTIF('Processer - data'!$D:$F,Table2[[#This Row],[Råvare]])&gt;0,TRUE,FALSE)</f>
        <v>1</v>
      </c>
    </row>
    <row r="83" spans="5:8" x14ac:dyDescent="0.55000000000000004">
      <c r="E83" s="146" t="s">
        <v>42</v>
      </c>
      <c r="F83" t="s">
        <v>317</v>
      </c>
      <c r="H83" t="b">
        <f>IF(COUNTIF('Processer - data'!$D:$F,Table2[[#This Row],[Råvare]])&gt;0,TRUE,FALSE)</f>
        <v>1</v>
      </c>
    </row>
    <row r="84" spans="5:8" x14ac:dyDescent="0.55000000000000004">
      <c r="E84" s="444" t="s">
        <v>364</v>
      </c>
      <c r="F84" t="s">
        <v>316</v>
      </c>
      <c r="H84" t="b">
        <f>IF(COUNTIF('Processer - data'!$D:$F,Table2[[#This Row],[Råvare]])&gt;0,TRUE,FALSE)</f>
        <v>1</v>
      </c>
    </row>
    <row r="85" spans="5:8" x14ac:dyDescent="0.55000000000000004">
      <c r="E85" s="444" t="s">
        <v>301</v>
      </c>
      <c r="F85" t="s">
        <v>316</v>
      </c>
      <c r="H85" t="b">
        <f>IF(COUNTIF('Processer - data'!$D:$F,Table2[[#This Row],[Råvare]])&gt;0,TRUE,FALSE)</f>
        <v>1</v>
      </c>
    </row>
    <row r="86" spans="5:8" x14ac:dyDescent="0.55000000000000004">
      <c r="E86" s="459" t="s">
        <v>425</v>
      </c>
      <c r="F86" t="s">
        <v>317</v>
      </c>
      <c r="H86" t="b">
        <f>IF(COUNTIF('Processer - data'!$D:$F,Table2[[#This Row],[Råvare]])&gt;0,TRUE,FALSE)</f>
        <v>1</v>
      </c>
    </row>
    <row r="87" spans="5:8" x14ac:dyDescent="0.55000000000000004">
      <c r="E87" s="459" t="s">
        <v>424</v>
      </c>
      <c r="F87" t="s">
        <v>317</v>
      </c>
      <c r="H87" t="b">
        <f>IF(COUNTIF('Processer - data'!$D:$F,Table2[[#This Row],[Råvare]])&gt;0,TRUE,FALSE)</f>
        <v>1</v>
      </c>
    </row>
    <row r="88" spans="5:8" x14ac:dyDescent="0.55000000000000004">
      <c r="E88" s="146" t="s">
        <v>300</v>
      </c>
      <c r="F88" t="s">
        <v>316</v>
      </c>
      <c r="H88" t="b">
        <f>IF(COUNTIF('Processer - data'!$D:$F,Table2[[#This Row],[Råvare]])&gt;0,TRUE,FALSE)</f>
        <v>1</v>
      </c>
    </row>
    <row r="89" spans="5:8" x14ac:dyDescent="0.55000000000000004">
      <c r="E89" s="146" t="s">
        <v>502</v>
      </c>
      <c r="F89" t="s">
        <v>317</v>
      </c>
      <c r="H89" t="b">
        <f>IF(COUNTIF('Processer - data'!$D:$F,Table2[[#This Row],[Råvare]])&gt;0,TRUE,FALSE)</f>
        <v>1</v>
      </c>
    </row>
    <row r="90" spans="5:8" x14ac:dyDescent="0.55000000000000004">
      <c r="E90" s="146" t="s">
        <v>16</v>
      </c>
      <c r="F90" t="s">
        <v>316</v>
      </c>
      <c r="G90">
        <v>1</v>
      </c>
      <c r="H90" t="b">
        <f>IF(COUNTIF('Processer - data'!$D:$F,Table2[[#This Row],[Råvare]])&gt;0,TRUE,FALSE)</f>
        <v>1</v>
      </c>
    </row>
    <row r="91" spans="5:8" x14ac:dyDescent="0.55000000000000004">
      <c r="E91" s="146" t="s">
        <v>498</v>
      </c>
      <c r="F91" t="s">
        <v>317</v>
      </c>
      <c r="H91" t="b">
        <f>IF(COUNTIF('Processer - data'!$D:$F,Table2[[#This Row],[Råvare]])&gt;0,TRUE,FALSE)</f>
        <v>1</v>
      </c>
    </row>
    <row r="92" spans="5:8" x14ac:dyDescent="0.55000000000000004">
      <c r="E92" s="146" t="s">
        <v>318</v>
      </c>
      <c r="F92" t="s">
        <v>317</v>
      </c>
      <c r="H92" t="b">
        <f>IF(COUNTIF('Processer - data'!$D:$F,Table2[[#This Row],[Råvare]])&gt;0,TRUE,FALSE)</f>
        <v>1</v>
      </c>
    </row>
    <row r="93" spans="5:8" x14ac:dyDescent="0.55000000000000004">
      <c r="E93" s="444" t="s">
        <v>310</v>
      </c>
      <c r="F93" t="s">
        <v>317</v>
      </c>
      <c r="H93" t="b">
        <f>IF(COUNTIF('Processer - data'!$D:$F,Table2[[#This Row],[Råvare]])&gt;0,TRUE,FALSE)</f>
        <v>1</v>
      </c>
    </row>
    <row r="94" spans="5:8" x14ac:dyDescent="0.55000000000000004">
      <c r="E94" s="444" t="s">
        <v>299</v>
      </c>
      <c r="F94" t="s">
        <v>62</v>
      </c>
      <c r="G94">
        <v>1</v>
      </c>
      <c r="H94" t="b">
        <f>IF(COUNTIF('Processer - data'!$D:$F,Table2[[#This Row],[Råvare]])&gt;0,TRUE,FALSE)</f>
        <v>1</v>
      </c>
    </row>
    <row r="95" spans="5:8" x14ac:dyDescent="0.55000000000000004">
      <c r="E95" s="459" t="s">
        <v>352</v>
      </c>
      <c r="F95" t="s">
        <v>317</v>
      </c>
      <c r="H95" t="b">
        <f>IF(COUNTIF('Processer - data'!$D:$F,Table2[[#This Row],[Råvare]])&gt;0,TRUE,FALSE)</f>
        <v>1</v>
      </c>
    </row>
    <row r="96" spans="5:8" x14ac:dyDescent="0.55000000000000004">
      <c r="E96" s="459" t="s">
        <v>405</v>
      </c>
      <c r="F96" t="s">
        <v>625</v>
      </c>
      <c r="H96" t="b">
        <f>IF(COUNTIF('Processer - data'!$D:$F,Table2[[#This Row],[Råvare]])&gt;0,TRUE,FALSE)</f>
        <v>1</v>
      </c>
    </row>
    <row r="97" spans="5:8" x14ac:dyDescent="0.55000000000000004">
      <c r="E97" s="444" t="s">
        <v>553</v>
      </c>
      <c r="F97" t="s">
        <v>625</v>
      </c>
      <c r="H97" s="459" t="b">
        <f>IF(COUNTIF('Processer - data'!$D:$F,Table2[[#This Row],[Råvare]])&gt;0,TRUE,FALSE)</f>
        <v>1</v>
      </c>
    </row>
    <row r="98" spans="5:8" x14ac:dyDescent="0.55000000000000004">
      <c r="E98" s="444" t="s">
        <v>308</v>
      </c>
      <c r="F98" t="s">
        <v>625</v>
      </c>
      <c r="H98" s="459" t="b">
        <f>IF(COUNTIF('Processer - data'!$D:$F,Table2[[#This Row],[Råvare]])&gt;0,TRUE,FALSE)</f>
        <v>1</v>
      </c>
    </row>
  </sheetData>
  <phoneticPr fontId="18" type="noConversion"/>
  <dataValidations count="1">
    <dataValidation type="list" allowBlank="1" showInputMessage="1" showErrorMessage="1" sqref="A27" xr:uid="{86B916DC-34F5-4416-B9AE-B45451CB8639}">
      <formula1>$A$2:$A$34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5F845-5ED6-42ED-AE11-5C10BEFDC2BC}">
  <sheetPr codeName="Sheet5">
    <tabColor theme="4" tint="-0.249977111117893"/>
  </sheetPr>
  <dimension ref="A1:L25"/>
  <sheetViews>
    <sheetView workbookViewId="0">
      <selection activeCell="C10" sqref="C10"/>
    </sheetView>
  </sheetViews>
  <sheetFormatPr defaultColWidth="9.15625" defaultRowHeight="14.4" x14ac:dyDescent="0.55000000000000004"/>
  <cols>
    <col min="1" max="1" width="20.83984375" style="1" customWidth="1"/>
    <col min="2" max="2" width="9.68359375" style="1" bestFit="1" customWidth="1"/>
    <col min="3" max="3" width="9.15625" style="1"/>
    <col min="4" max="4" width="11.68359375" style="1" bestFit="1" customWidth="1"/>
    <col min="5" max="5" width="10.578125" style="1" bestFit="1" customWidth="1"/>
    <col min="6" max="8" width="9.15625" style="1"/>
    <col min="9" max="9" width="11.578125" style="1" bestFit="1" customWidth="1"/>
    <col min="10" max="16384" width="9.15625" style="1"/>
  </cols>
  <sheetData>
    <row r="1" spans="1:9" x14ac:dyDescent="0.55000000000000004">
      <c r="A1" s="2" t="s">
        <v>666</v>
      </c>
    </row>
    <row r="2" spans="1:9" x14ac:dyDescent="0.55000000000000004">
      <c r="A2" s="8"/>
      <c r="B2" s="8"/>
      <c r="C2" s="8" t="s">
        <v>501</v>
      </c>
      <c r="D2" s="8" t="s">
        <v>662</v>
      </c>
      <c r="E2" s="8" t="s">
        <v>664</v>
      </c>
      <c r="F2" s="8" t="s">
        <v>663</v>
      </c>
      <c r="G2" s="8" t="s">
        <v>665</v>
      </c>
      <c r="H2" s="1" t="s">
        <v>668</v>
      </c>
      <c r="I2" s="1" t="s">
        <v>813</v>
      </c>
    </row>
    <row r="3" spans="1:9" x14ac:dyDescent="0.55000000000000004">
      <c r="A3" s="8" t="s">
        <v>440</v>
      </c>
      <c r="B3" s="326">
        <v>0.18</v>
      </c>
      <c r="C3" s="8">
        <v>3600</v>
      </c>
      <c r="D3" s="8">
        <f>C3/B3</f>
        <v>20000</v>
      </c>
      <c r="E3" s="8">
        <f>D3/$D$6</f>
        <v>0.16717139181723129</v>
      </c>
      <c r="F3" s="8">
        <v>1.1000000000000001</v>
      </c>
      <c r="G3" s="8">
        <f>F3*C3/D3</f>
        <v>0.19800000000000001</v>
      </c>
    </row>
    <row r="4" spans="1:9" x14ac:dyDescent="0.55000000000000004">
      <c r="A4" s="8" t="s">
        <v>660</v>
      </c>
      <c r="B4" s="326">
        <v>0.34</v>
      </c>
      <c r="C4" s="8">
        <v>14000</v>
      </c>
      <c r="D4" s="8">
        <f>C4/B4</f>
        <v>41176.470588235294</v>
      </c>
      <c r="E4" s="8">
        <f>D4/$D$6</f>
        <v>0.34417639491782914</v>
      </c>
      <c r="F4" s="8">
        <v>0.91</v>
      </c>
      <c r="G4" s="8">
        <f>F4*C4/D4</f>
        <v>0.30940000000000001</v>
      </c>
    </row>
    <row r="5" spans="1:9" x14ac:dyDescent="0.55000000000000004">
      <c r="A5" s="8" t="s">
        <v>661</v>
      </c>
      <c r="B5" s="327">
        <f>2450/57292</f>
        <v>4.2763387558472386E-2</v>
      </c>
      <c r="C5" s="8">
        <v>2500</v>
      </c>
      <c r="D5" s="8">
        <f>C5/B5</f>
        <v>58461.224489795917</v>
      </c>
      <c r="E5" s="8">
        <f>D5/$D$6</f>
        <v>0.48865221326493952</v>
      </c>
      <c r="F5" s="8"/>
      <c r="G5" s="8"/>
      <c r="H5" s="1">
        <v>370</v>
      </c>
      <c r="I5" s="1">
        <f>H5*B5</f>
        <v>15.822453396634783</v>
      </c>
    </row>
    <row r="6" spans="1:9" x14ac:dyDescent="0.55000000000000004">
      <c r="A6" s="8"/>
      <c r="B6" s="8"/>
      <c r="C6" s="8">
        <f>SUM(C3:C5)</f>
        <v>20100</v>
      </c>
      <c r="D6" s="8">
        <f>SUM(D3:D5)</f>
        <v>119637.69507803122</v>
      </c>
      <c r="E6" s="8">
        <f>SUM(E3:E5)</f>
        <v>1</v>
      </c>
      <c r="F6" s="8"/>
      <c r="G6" s="8"/>
    </row>
    <row r="7" spans="1:9" x14ac:dyDescent="0.55000000000000004">
      <c r="A7" s="1" t="s">
        <v>67</v>
      </c>
      <c r="B7" s="1" t="s">
        <v>667</v>
      </c>
    </row>
    <row r="9" spans="1:9" x14ac:dyDescent="0.55000000000000004">
      <c r="A9" s="2" t="s">
        <v>779</v>
      </c>
    </row>
    <row r="10" spans="1:9" x14ac:dyDescent="0.55000000000000004">
      <c r="A10" s="8" t="s">
        <v>761</v>
      </c>
      <c r="B10" s="8">
        <f>B11/B12</f>
        <v>0.30562345796166263</v>
      </c>
    </row>
    <row r="11" spans="1:9" x14ac:dyDescent="0.55000000000000004">
      <c r="A11" s="8" t="s">
        <v>763</v>
      </c>
      <c r="B11" s="8">
        <f>(1582.7+27.63)*1000000</f>
        <v>1610330000.0000002</v>
      </c>
    </row>
    <row r="12" spans="1:9" x14ac:dyDescent="0.55000000000000004">
      <c r="A12" s="8" t="s">
        <v>780</v>
      </c>
      <c r="B12" s="8">
        <f>4786000000+483000000</f>
        <v>5269000000</v>
      </c>
    </row>
    <row r="14" spans="1:9" x14ac:dyDescent="0.55000000000000004">
      <c r="A14" s="2" t="s">
        <v>876</v>
      </c>
    </row>
    <row r="15" spans="1:9" x14ac:dyDescent="0.55000000000000004">
      <c r="A15" s="481" t="s">
        <v>879</v>
      </c>
      <c r="B15" s="481">
        <f>H22</f>
        <v>-0.65266666666666662</v>
      </c>
      <c r="C15" s="481" t="s">
        <v>888</v>
      </c>
    </row>
    <row r="16" spans="1:9" x14ac:dyDescent="0.55000000000000004">
      <c r="A16" s="481" t="s">
        <v>890</v>
      </c>
      <c r="B16" s="481">
        <f>B23/1000</f>
        <v>0.14000000000000001</v>
      </c>
      <c r="C16" s="481" t="s">
        <v>889</v>
      </c>
    </row>
    <row r="17" spans="1:12" x14ac:dyDescent="0.55000000000000004">
      <c r="A17" s="481" t="s">
        <v>878</v>
      </c>
      <c r="B17" s="481">
        <f>B24/1000</f>
        <v>0.56000000000000005</v>
      </c>
      <c r="C17" s="481" t="s">
        <v>889</v>
      </c>
    </row>
    <row r="19" spans="1:12" ht="14.7" thickBot="1" x14ac:dyDescent="0.6">
      <c r="A19" s="459" t="s">
        <v>880</v>
      </c>
      <c r="B19" s="459"/>
      <c r="C19" s="459"/>
      <c r="D19" s="459"/>
      <c r="E19" s="459"/>
      <c r="F19" s="459"/>
      <c r="G19" s="459"/>
      <c r="H19" s="459" t="s">
        <v>893</v>
      </c>
      <c r="I19" s="459"/>
      <c r="J19" s="459"/>
      <c r="K19" s="459"/>
      <c r="L19" s="459"/>
    </row>
    <row r="20" spans="1:12" ht="14.7" thickBot="1" x14ac:dyDescent="0.6">
      <c r="A20" s="472"/>
      <c r="B20" s="472" t="s">
        <v>881</v>
      </c>
      <c r="C20" s="473"/>
      <c r="D20" s="472" t="s">
        <v>410</v>
      </c>
      <c r="E20" s="473"/>
      <c r="F20" s="159" t="s">
        <v>882</v>
      </c>
      <c r="G20" s="159"/>
      <c r="H20" s="484" t="s">
        <v>883</v>
      </c>
      <c r="I20" s="484" t="s">
        <v>814</v>
      </c>
      <c r="J20" s="484"/>
      <c r="K20" s="482" t="s">
        <v>884</v>
      </c>
      <c r="L20" s="482" t="s">
        <v>885</v>
      </c>
    </row>
    <row r="21" spans="1:12" x14ac:dyDescent="0.55000000000000004">
      <c r="A21" s="475" t="s">
        <v>37</v>
      </c>
      <c r="B21" s="475">
        <v>1000</v>
      </c>
      <c r="C21" s="476">
        <v>1</v>
      </c>
      <c r="D21" s="475">
        <f>16.4/1000000</f>
        <v>1.6399999999999999E-5</v>
      </c>
      <c r="E21" s="476">
        <v>1</v>
      </c>
      <c r="F21" s="475">
        <v>420</v>
      </c>
      <c r="G21" s="477"/>
      <c r="H21" s="484"/>
      <c r="I21" s="484"/>
      <c r="J21" s="484"/>
      <c r="K21" s="482" t="s">
        <v>886</v>
      </c>
      <c r="L21" s="482">
        <v>12</v>
      </c>
    </row>
    <row r="22" spans="1:12" x14ac:dyDescent="0.55000000000000004">
      <c r="A22" s="474" t="s">
        <v>344</v>
      </c>
      <c r="B22" s="474">
        <v>300</v>
      </c>
      <c r="C22" s="478">
        <v>0.3</v>
      </c>
      <c r="D22" s="474">
        <f>$D$21*E22</f>
        <v>6.740399999999999E-6</v>
      </c>
      <c r="E22" s="479">
        <v>0.41099999999999998</v>
      </c>
      <c r="F22" s="474">
        <v>178</v>
      </c>
      <c r="G22" s="480">
        <v>0.42</v>
      </c>
      <c r="H22" s="484">
        <f>-(F22*(2*L22/L21)+F22)/1000</f>
        <v>-0.65266666666666662</v>
      </c>
      <c r="I22" s="484">
        <f>D22/(B22/1000)</f>
        <v>2.2467999999999999E-5</v>
      </c>
      <c r="J22" s="484"/>
      <c r="K22" s="482" t="s">
        <v>887</v>
      </c>
      <c r="L22" s="482">
        <v>16</v>
      </c>
    </row>
    <row r="23" spans="1:12" x14ac:dyDescent="0.55000000000000004">
      <c r="A23" s="474" t="s">
        <v>890</v>
      </c>
      <c r="B23" s="474">
        <v>140</v>
      </c>
      <c r="C23" s="478">
        <v>0.14000000000000001</v>
      </c>
      <c r="D23" s="474">
        <f t="shared" ref="D23:D24" si="0">$D$21*E23</f>
        <v>4.6575999999999992E-6</v>
      </c>
      <c r="E23" s="479">
        <v>0.28399999999999997</v>
      </c>
      <c r="F23" s="474">
        <v>98</v>
      </c>
      <c r="G23" s="480">
        <v>0.23</v>
      </c>
      <c r="H23" s="484"/>
      <c r="I23" s="484">
        <f t="shared" ref="I23:I24" si="1">D23/(B23/1000)</f>
        <v>3.326857142857142E-5</v>
      </c>
      <c r="J23" s="484"/>
      <c r="K23" s="482"/>
      <c r="L23" s="482"/>
    </row>
    <row r="24" spans="1:12" x14ac:dyDescent="0.55000000000000004">
      <c r="A24" s="474" t="s">
        <v>878</v>
      </c>
      <c r="B24" s="474">
        <v>560</v>
      </c>
      <c r="C24" s="478">
        <v>0.56000000000000005</v>
      </c>
      <c r="D24" s="474">
        <f t="shared" si="0"/>
        <v>5.0183999999999993E-6</v>
      </c>
      <c r="E24" s="479">
        <v>0.30599999999999999</v>
      </c>
      <c r="F24" s="474">
        <v>144</v>
      </c>
      <c r="G24" s="480">
        <v>0.34</v>
      </c>
      <c r="H24" s="484"/>
      <c r="I24" s="484">
        <f t="shared" si="1"/>
        <v>8.9614285714285689E-6</v>
      </c>
      <c r="J24" s="484"/>
      <c r="K24" s="482"/>
      <c r="L24" s="482"/>
    </row>
    <row r="25" spans="1:12" x14ac:dyDescent="0.55000000000000004">
      <c r="A25" s="1" t="s">
        <v>892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DC3C0-B2B1-49FF-8041-DC59C8D81225}">
  <sheetPr codeName="Sheet10">
    <tabColor theme="9"/>
  </sheetPr>
  <dimension ref="A1:S53"/>
  <sheetViews>
    <sheetView workbookViewId="0">
      <selection activeCell="A25" sqref="A25"/>
    </sheetView>
  </sheetViews>
  <sheetFormatPr defaultColWidth="9.15625" defaultRowHeight="14.4" x14ac:dyDescent="0.55000000000000004"/>
  <cols>
    <col min="1" max="1" width="29.41796875" style="47" customWidth="1"/>
    <col min="2" max="2" width="27.83984375" style="47" customWidth="1"/>
    <col min="3" max="3" width="50.26171875" style="47" customWidth="1"/>
    <col min="4" max="4" width="21.26171875" style="47" customWidth="1"/>
    <col min="5" max="5" width="13" style="47" customWidth="1"/>
    <col min="6" max="6" width="15.26171875" style="47" customWidth="1"/>
    <col min="7" max="8" width="8.83984375" style="47" customWidth="1"/>
    <col min="9" max="9" width="13.41796875" style="47" customWidth="1"/>
    <col min="10" max="11" width="10.41796875" style="47" customWidth="1"/>
    <col min="12" max="13" width="11.15625" style="47" customWidth="1"/>
    <col min="14" max="14" width="10.68359375" style="47" customWidth="1"/>
    <col min="15" max="15" width="8.83984375" style="47" customWidth="1"/>
    <col min="16" max="16" width="11" style="47" customWidth="1"/>
    <col min="17" max="17" width="15.26171875" style="47" customWidth="1"/>
    <col min="18" max="18" width="7.26171875" style="47" customWidth="1"/>
    <col min="19" max="19" width="17.15625" style="47" customWidth="1"/>
    <col min="20" max="16384" width="9.15625" style="47"/>
  </cols>
  <sheetData>
    <row r="1" spans="1:5" ht="18.3" x14ac:dyDescent="0.7">
      <c r="A1" s="417" t="s">
        <v>789</v>
      </c>
    </row>
    <row r="2" spans="1:5" x14ac:dyDescent="0.55000000000000004">
      <c r="A2" s="41"/>
      <c r="B2" s="41" t="s">
        <v>51</v>
      </c>
      <c r="C2" s="41" t="s">
        <v>52</v>
      </c>
    </row>
    <row r="3" spans="1:5" x14ac:dyDescent="0.55000000000000004">
      <c r="A3" s="41" t="s">
        <v>790</v>
      </c>
      <c r="B3" s="413">
        <f>D23/C23</f>
        <v>0.77115679138975146</v>
      </c>
      <c r="C3" s="413">
        <f>E23/C23</f>
        <v>0.22884789216581661</v>
      </c>
    </row>
    <row r="6" spans="1:5" x14ac:dyDescent="0.55000000000000004">
      <c r="A6" s="72"/>
      <c r="B6" s="5" t="s">
        <v>51</v>
      </c>
      <c r="C6" s="5" t="s">
        <v>52</v>
      </c>
      <c r="D6" s="71"/>
      <c r="E6" s="71"/>
    </row>
    <row r="7" spans="1:5" x14ac:dyDescent="0.55000000000000004">
      <c r="A7" s="414" t="str">
        <f>Bebyg</f>
        <v>Bebyggelse &amp; infrastruktur</v>
      </c>
      <c r="B7" s="416">
        <f>SUM(D15:D17)/SUM($C15:$C17)</f>
        <v>0.69809884645309694</v>
      </c>
      <c r="C7" s="416">
        <f>SUM(E15:E17)/SUM($C15:$C17)</f>
        <v>0.30191806772436658</v>
      </c>
      <c r="D7" s="71"/>
      <c r="E7" s="71"/>
    </row>
    <row r="8" spans="1:5" x14ac:dyDescent="0.55000000000000004">
      <c r="A8" s="414" t="str">
        <f>Afgrøder</f>
        <v>Landbrugsafgrøder</v>
      </c>
      <c r="B8" s="416">
        <f>D18/$C18</f>
        <v>0.77910074969845278</v>
      </c>
      <c r="C8" s="416">
        <f>E18/$C18</f>
        <v>0.22089925030154711</v>
      </c>
      <c r="D8" s="71"/>
      <c r="E8" s="71"/>
    </row>
    <row r="9" spans="1:5" x14ac:dyDescent="0.55000000000000004">
      <c r="A9" s="414" t="str">
        <f>SkovAreal</f>
        <v>Skov</v>
      </c>
      <c r="B9" s="416">
        <f>D19/$C19</f>
        <v>0.77355804310298804</v>
      </c>
      <c r="C9" s="416">
        <f>E19/$C19</f>
        <v>0.22642416045274155</v>
      </c>
      <c r="D9" s="71"/>
      <c r="E9" s="71"/>
    </row>
    <row r="10" spans="1:5" x14ac:dyDescent="0.55000000000000004">
      <c r="A10" s="414" t="str">
        <f>NaturAreal</f>
        <v>Natur</v>
      </c>
      <c r="B10" s="416">
        <f>SUM(D20:D21)/SUM($C20:$C21)</f>
        <v>0.82510044406851346</v>
      </c>
      <c r="C10" s="416">
        <f>SUM(E20:E21)/SUM($C20:$C21)</f>
        <v>0.17494184817086067</v>
      </c>
      <c r="D10" s="71"/>
      <c r="E10" s="71"/>
    </row>
    <row r="11" spans="1:5" ht="14.7" thickBot="1" x14ac:dyDescent="0.6">
      <c r="A11" s="415" t="str">
        <f>IKareal</f>
        <v>Ikke klassificeret</v>
      </c>
      <c r="B11" s="416">
        <f>D22/$C22</f>
        <v>0.70816884300030369</v>
      </c>
      <c r="C11" s="416">
        <f>E22/$C22</f>
        <v>0.29183115699969631</v>
      </c>
      <c r="D11" s="71"/>
      <c r="E11" s="71"/>
    </row>
    <row r="12" spans="1:5" x14ac:dyDescent="0.55000000000000004">
      <c r="A12" s="72"/>
      <c r="B12" s="71"/>
      <c r="C12" s="71"/>
      <c r="D12" s="71"/>
      <c r="E12" s="71"/>
    </row>
    <row r="13" spans="1:5" x14ac:dyDescent="0.55000000000000004">
      <c r="A13" s="1"/>
      <c r="B13" s="1"/>
      <c r="C13" s="1"/>
      <c r="D13" s="1"/>
      <c r="E13" s="1"/>
    </row>
    <row r="14" spans="1:5" x14ac:dyDescent="0.55000000000000004">
      <c r="A14" s="8"/>
      <c r="B14" s="8" t="s">
        <v>110</v>
      </c>
      <c r="C14" s="68" t="s">
        <v>109</v>
      </c>
      <c r="D14" s="70" t="s">
        <v>51</v>
      </c>
      <c r="E14" s="70" t="s">
        <v>52</v>
      </c>
    </row>
    <row r="15" spans="1:5" x14ac:dyDescent="0.55000000000000004">
      <c r="A15" s="68" t="s">
        <v>93</v>
      </c>
      <c r="B15" s="68" t="str">
        <f>Bebyg</f>
        <v>Bebyggelse &amp; infrastruktur</v>
      </c>
      <c r="C15" s="69">
        <f>SUMIF(Arealanvendelse!$C$28:$C$52,A15,Arealanvendelse!$D$28:$D$52)*100</f>
        <v>235619.99999999997</v>
      </c>
      <c r="D15" s="69" cm="1">
        <f t="array" ref="D15">SUMPRODUCT((ISNUMBER(SEARCH(A15,Arealanvendelse!$C$28:$C$52)))*(Arealanvendelse!$G$28:$I$52))*100</f>
        <v>173400</v>
      </c>
      <c r="E15" s="69" cm="1">
        <f t="array" ref="E15">SUMPRODUCT((ISNUMBER(SEARCH(A15,Arealanvendelse!$C$28:$C$52)))*(Arealanvendelse!$E$28:$F$52))*100</f>
        <v>62229.999999999993</v>
      </c>
    </row>
    <row r="16" spans="1:5" x14ac:dyDescent="0.55000000000000004">
      <c r="A16" s="68" t="s">
        <v>88</v>
      </c>
      <c r="B16" s="68" t="str">
        <f>Bebyg</f>
        <v>Bebyggelse &amp; infrastruktur</v>
      </c>
      <c r="C16" s="69">
        <f>SUMIF(Arealanvendelse!$C$28:$C$52,A16,Arealanvendelse!$D$28:$D$52)*100</f>
        <v>313180</v>
      </c>
      <c r="D16" s="69" cm="1">
        <f t="array" ref="D16">SUMPRODUCT((ISNUMBER(SEARCH(A16,Arealanvendelse!$C$28:$C$52)))*(Arealanvendelse!$G$28:$I$52))*100</f>
        <v>211940</v>
      </c>
      <c r="E16" s="69" cm="1">
        <f t="array" ref="E16">SUMPRODUCT((ISNUMBER(SEARCH(A16,Arealanvendelse!$C$28:$C$52)))*(Arealanvendelse!$E$28:$F$52))*100</f>
        <v>101240</v>
      </c>
    </row>
    <row r="17" spans="1:19" x14ac:dyDescent="0.55000000000000004">
      <c r="A17" s="68" t="s">
        <v>85</v>
      </c>
      <c r="B17" s="68" t="str">
        <f>Bebyg</f>
        <v>Bebyggelse &amp; infrastruktur</v>
      </c>
      <c r="C17" s="69">
        <f>SUMIF(Arealanvendelse!$C$28:$C$52,A17,Arealanvendelse!$D$28:$D$52)*100</f>
        <v>42420</v>
      </c>
      <c r="D17" s="69" cm="1">
        <f t="array" ref="D17">SUMPRODUCT((ISNUMBER(SEARCH(A17,Arealanvendelse!$C$28:$C$52)))*(Arealanvendelse!$G$28:$I$52))*100</f>
        <v>27389.999999999996</v>
      </c>
      <c r="E17" s="69" cm="1">
        <f t="array" ref="E17">SUMPRODUCT((ISNUMBER(SEARCH(A17,Arealanvendelse!$C$28:$C$52)))*(Arealanvendelse!$E$28:$F$52))*100</f>
        <v>15030.000000000002</v>
      </c>
    </row>
    <row r="18" spans="1:19" x14ac:dyDescent="0.55000000000000004">
      <c r="A18" s="68" t="s">
        <v>82</v>
      </c>
      <c r="B18" s="68" t="str">
        <f>Afgrøder</f>
        <v>Landbrugsafgrøder</v>
      </c>
      <c r="C18" s="69">
        <f>SUMIF(Arealanvendelse!$C$28:$C$52,A18,Arealanvendelse!$D$28:$D$52)*100</f>
        <v>2578370</v>
      </c>
      <c r="D18" s="69" cm="1">
        <f t="array" ref="D18">SUMPRODUCT((ISNUMBER(SEARCH(A18,Arealanvendelse!$C$28:$C$52)))*(Arealanvendelse!$G$28:$I$52))*100</f>
        <v>2008809.9999999998</v>
      </c>
      <c r="E18" s="69" cm="1">
        <f t="array" ref="E18">SUMPRODUCT((ISNUMBER(SEARCH(A18,Arealanvendelse!$C$28:$C$52)))*(Arealanvendelse!$E$28:$F$52))*100</f>
        <v>569560</v>
      </c>
    </row>
    <row r="19" spans="1:19" x14ac:dyDescent="0.55000000000000004">
      <c r="A19" s="68" t="s">
        <v>77</v>
      </c>
      <c r="B19" s="68" t="str">
        <f>SkovAreal</f>
        <v>Skov</v>
      </c>
      <c r="C19" s="69">
        <f>SUMIF(Arealanvendelse!$C$28:$C$52,A19,Arealanvendelse!$D$28:$D$52)*100</f>
        <v>561910</v>
      </c>
      <c r="D19" s="69" cm="1">
        <f t="array" ref="D19">SUMPRODUCT((ISNUMBER(SEARCH(A19,Arealanvendelse!$C$28:$C$52)))*(Arealanvendelse!$G$28:$I$52))*100</f>
        <v>434670</v>
      </c>
      <c r="E19" s="69" cm="1">
        <f t="array" ref="E19">SUMPRODUCT((ISNUMBER(SEARCH(A19,Arealanvendelse!$C$28:$C$52)))*(Arealanvendelse!$E$28:$F$52))*100</f>
        <v>127230</v>
      </c>
    </row>
    <row r="20" spans="1:19" x14ac:dyDescent="0.55000000000000004">
      <c r="A20" s="68" t="s">
        <v>76</v>
      </c>
      <c r="B20" s="68" t="str">
        <f>NaturAreal</f>
        <v>Natur</v>
      </c>
      <c r="C20" s="69">
        <f>SUMIF(Arealanvendelse!$C$28:$C$52,A20,Arealanvendelse!$D$28:$D$52)*100</f>
        <v>375670</v>
      </c>
      <c r="D20" s="69" cm="1">
        <f t="array" ref="D20">SUMPRODUCT((ISNUMBER(SEARCH(A20,Arealanvendelse!$C$28:$C$52)))*(Arealanvendelse!$G$28:$I$52))*100</f>
        <v>320960</v>
      </c>
      <c r="E20" s="69" cm="1">
        <f t="array" ref="E20">SUMPRODUCT((ISNUMBER(SEARCH(A20,Arealanvendelse!$C$28:$C$52)))*(Arealanvendelse!$E$28:$F$52))*100</f>
        <v>54720.000000000007</v>
      </c>
    </row>
    <row r="21" spans="1:19" x14ac:dyDescent="0.55000000000000004">
      <c r="A21" s="68" t="s">
        <v>73</v>
      </c>
      <c r="B21" s="68" t="str">
        <f>NaturAreal</f>
        <v>Natur</v>
      </c>
      <c r="C21" s="69">
        <f>SUMIF(Arealanvendelse!$C$28:$C$52,A21,Arealanvendelse!$D$28:$D$52)*100</f>
        <v>97230</v>
      </c>
      <c r="D21" s="69" cm="1">
        <f t="array" ref="D21">SUMPRODUCT((ISNUMBER(SEARCH(A21,Arealanvendelse!$C$28:$C$52)))*(Arealanvendelse!$G$28:$I$52))*100</f>
        <v>69230</v>
      </c>
      <c r="E21" s="69" cm="1">
        <f t="array" ref="E21">SUMPRODUCT((ISNUMBER(SEARCH(A21,Arealanvendelse!$C$28:$C$52)))*(Arealanvendelse!$E$28:$F$52))*100</f>
        <v>28010.000000000004</v>
      </c>
    </row>
    <row r="22" spans="1:19" x14ac:dyDescent="0.55000000000000004">
      <c r="A22" s="68" t="s">
        <v>70</v>
      </c>
      <c r="B22" s="68" t="str">
        <f>IKareal</f>
        <v>Ikke klassificeret</v>
      </c>
      <c r="C22" s="69">
        <f>SUMIF(Arealanvendelse!$C$28:$C$52,A22,Arealanvendelse!$D$28:$D$52)*100</f>
        <v>65860</v>
      </c>
      <c r="D22" s="69" cm="1">
        <f t="array" ref="D22">SUMPRODUCT((ISNUMBER(SEARCH(A22,Arealanvendelse!$C$28:$C$52)))*(Arealanvendelse!$G$28:$I$52))*100</f>
        <v>46640</v>
      </c>
      <c r="E22" s="69" cm="1">
        <f t="array" ref="E22">SUMPRODUCT((ISNUMBER(SEARCH(A22,Arealanvendelse!$C$28:$C$52)))*(Arealanvendelse!$E$28:$F$52))*100</f>
        <v>19220</v>
      </c>
    </row>
    <row r="23" spans="1:19" x14ac:dyDescent="0.55000000000000004">
      <c r="A23" s="68" t="s">
        <v>64</v>
      </c>
      <c r="B23" s="68"/>
      <c r="C23" s="67">
        <f>SUM(C15:C22)</f>
        <v>4270260</v>
      </c>
      <c r="D23" s="67">
        <f>SUM(D15:D22)</f>
        <v>3293040</v>
      </c>
      <c r="E23" s="67">
        <f>SUM(E15:E22)</f>
        <v>977240</v>
      </c>
    </row>
    <row r="24" spans="1:19" ht="14.7" thickBot="1" x14ac:dyDescent="0.6"/>
    <row r="25" spans="1:19" s="64" customFormat="1" ht="16.8" x14ac:dyDescent="0.65">
      <c r="A25" s="66" t="s">
        <v>108</v>
      </c>
      <c r="B25" s="65"/>
      <c r="C25" s="65"/>
      <c r="D25" s="65"/>
      <c r="E25" s="65"/>
      <c r="F25" s="65"/>
      <c r="G25" s="65"/>
      <c r="H25" s="65"/>
      <c r="I25" s="65"/>
    </row>
    <row r="26" spans="1:19" s="54" customFormat="1" x14ac:dyDescent="0.55000000000000004">
      <c r="A26" s="63" t="s">
        <v>107</v>
      </c>
      <c r="B26" s="58"/>
      <c r="C26" s="58"/>
      <c r="D26" s="58"/>
      <c r="E26" s="58"/>
      <c r="F26" s="58"/>
      <c r="G26" s="58"/>
      <c r="H26" s="58"/>
      <c r="I26" s="58"/>
    </row>
    <row r="27" spans="1:19" s="54" customFormat="1" x14ac:dyDescent="0.55000000000000004">
      <c r="A27" s="59"/>
      <c r="B27" s="58"/>
      <c r="C27" s="58"/>
      <c r="D27" s="60" t="s">
        <v>106</v>
      </c>
      <c r="E27" s="60" t="s">
        <v>56</v>
      </c>
      <c r="F27" s="60" t="s">
        <v>55</v>
      </c>
      <c r="G27" s="60" t="s">
        <v>54</v>
      </c>
      <c r="H27" s="60" t="s">
        <v>53</v>
      </c>
      <c r="I27" s="60" t="s">
        <v>50</v>
      </c>
      <c r="J27" s="62" t="s">
        <v>105</v>
      </c>
      <c r="K27" s="62" t="s">
        <v>104</v>
      </c>
      <c r="L27" s="62" t="s">
        <v>103</v>
      </c>
      <c r="M27" s="62" t="s">
        <v>102</v>
      </c>
      <c r="N27" s="62" t="s">
        <v>101</v>
      </c>
      <c r="O27" s="62" t="s">
        <v>100</v>
      </c>
      <c r="P27" s="62" t="s">
        <v>99</v>
      </c>
      <c r="Q27" s="62" t="s">
        <v>98</v>
      </c>
      <c r="R27" s="62" t="s">
        <v>97</v>
      </c>
      <c r="S27" s="62" t="s">
        <v>96</v>
      </c>
    </row>
    <row r="28" spans="1:19" s="54" customFormat="1" x14ac:dyDescent="0.55000000000000004">
      <c r="A28" s="61" t="s">
        <v>95</v>
      </c>
      <c r="B28" s="60" t="s">
        <v>94</v>
      </c>
      <c r="C28" s="60" t="s">
        <v>57</v>
      </c>
      <c r="D28" s="55">
        <v>42702.6</v>
      </c>
      <c r="E28" s="56">
        <v>2555.4</v>
      </c>
      <c r="F28" s="56">
        <v>7216.8</v>
      </c>
      <c r="G28" s="56">
        <v>12094.6</v>
      </c>
      <c r="H28" s="56">
        <v>12986.9</v>
      </c>
      <c r="I28" s="56">
        <v>7848.9</v>
      </c>
      <c r="J28" s="55">
        <v>511</v>
      </c>
      <c r="K28" s="55">
        <v>633</v>
      </c>
      <c r="L28" s="55">
        <v>205.4</v>
      </c>
      <c r="M28" s="55">
        <v>288.2</v>
      </c>
      <c r="N28" s="55">
        <v>298.5</v>
      </c>
      <c r="O28" s="55">
        <v>449.4</v>
      </c>
      <c r="P28" s="55">
        <v>276.7</v>
      </c>
      <c r="Q28" s="55">
        <v>304.60000000000002</v>
      </c>
      <c r="R28" s="55">
        <v>415</v>
      </c>
      <c r="S28" s="55">
        <v>89.3</v>
      </c>
    </row>
    <row r="29" spans="1:19" s="54" customFormat="1" x14ac:dyDescent="0.55000000000000004">
      <c r="A29" s="59"/>
      <c r="B29" s="58"/>
      <c r="C29" s="60" t="s">
        <v>93</v>
      </c>
      <c r="D29" s="55">
        <v>2356.1999999999998</v>
      </c>
      <c r="E29" s="56">
        <v>237.6</v>
      </c>
      <c r="F29" s="56">
        <v>384.7</v>
      </c>
      <c r="G29" s="56">
        <v>634.5</v>
      </c>
      <c r="H29" s="56">
        <v>708.9</v>
      </c>
      <c r="I29" s="56">
        <v>390.6</v>
      </c>
      <c r="J29" s="55">
        <v>28.2</v>
      </c>
      <c r="K29" s="55">
        <v>32.799999999999997</v>
      </c>
      <c r="L29" s="55">
        <v>10.7</v>
      </c>
      <c r="M29" s="55">
        <v>11.7</v>
      </c>
      <c r="N29" s="55">
        <v>20.2</v>
      </c>
      <c r="O29" s="55">
        <v>22.1</v>
      </c>
      <c r="P29" s="55">
        <v>9.4</v>
      </c>
      <c r="Q29" s="55">
        <v>31.7</v>
      </c>
      <c r="R29" s="55">
        <v>22.1</v>
      </c>
      <c r="S29" s="55">
        <v>3.8</v>
      </c>
    </row>
    <row r="30" spans="1:19" s="54" customFormat="1" x14ac:dyDescent="0.55000000000000004">
      <c r="A30" s="59"/>
      <c r="B30" s="58"/>
      <c r="C30" s="57" t="s">
        <v>92</v>
      </c>
      <c r="D30" s="55">
        <v>1385.9</v>
      </c>
      <c r="E30" s="56">
        <v>174</v>
      </c>
      <c r="F30" s="56">
        <v>224.6</v>
      </c>
      <c r="G30" s="56">
        <v>391.6</v>
      </c>
      <c r="H30" s="56">
        <v>394.9</v>
      </c>
      <c r="I30" s="56">
        <v>200.8</v>
      </c>
      <c r="J30" s="55">
        <v>15.9</v>
      </c>
      <c r="K30" s="55">
        <v>18.3</v>
      </c>
      <c r="L30" s="55">
        <v>6.1</v>
      </c>
      <c r="M30" s="55">
        <v>6.2</v>
      </c>
      <c r="N30" s="55">
        <v>12.7</v>
      </c>
      <c r="O30" s="55">
        <v>12.2</v>
      </c>
      <c r="P30" s="55">
        <v>6.6</v>
      </c>
      <c r="Q30" s="55">
        <v>25.3</v>
      </c>
      <c r="R30" s="55">
        <v>13.7</v>
      </c>
      <c r="S30" s="55">
        <v>2.5</v>
      </c>
    </row>
    <row r="31" spans="1:19" s="54" customFormat="1" x14ac:dyDescent="0.55000000000000004">
      <c r="A31" s="59"/>
      <c r="B31" s="58"/>
      <c r="C31" s="57" t="s">
        <v>91</v>
      </c>
      <c r="D31" s="55">
        <v>875.9</v>
      </c>
      <c r="E31" s="56">
        <v>42.3</v>
      </c>
      <c r="F31" s="56">
        <v>141.5</v>
      </c>
      <c r="G31" s="56">
        <v>219.1</v>
      </c>
      <c r="H31" s="56">
        <v>292.10000000000002</v>
      </c>
      <c r="I31" s="56">
        <v>180.9</v>
      </c>
      <c r="J31" s="55">
        <v>11.4</v>
      </c>
      <c r="K31" s="55">
        <v>14</v>
      </c>
      <c r="L31" s="55">
        <v>4.3</v>
      </c>
      <c r="M31" s="55">
        <v>5.5</v>
      </c>
      <c r="N31" s="55">
        <v>6.8</v>
      </c>
      <c r="O31" s="55">
        <v>9.6</v>
      </c>
      <c r="P31" s="55">
        <v>2.2000000000000002</v>
      </c>
      <c r="Q31" s="55">
        <v>5.5</v>
      </c>
      <c r="R31" s="55">
        <v>7.9</v>
      </c>
      <c r="S31" s="55">
        <v>1.3</v>
      </c>
    </row>
    <row r="32" spans="1:19" s="54" customFormat="1" x14ac:dyDescent="0.55000000000000004">
      <c r="A32" s="59"/>
      <c r="B32" s="58"/>
      <c r="C32" s="57" t="s">
        <v>90</v>
      </c>
      <c r="D32" s="55">
        <v>69.400000000000006</v>
      </c>
      <c r="E32" s="56">
        <v>10.7</v>
      </c>
      <c r="F32" s="56">
        <v>15.2</v>
      </c>
      <c r="G32" s="56">
        <v>18.100000000000001</v>
      </c>
      <c r="H32" s="56">
        <v>18.2</v>
      </c>
      <c r="I32" s="56">
        <v>7.1</v>
      </c>
      <c r="J32" s="55">
        <v>0.9</v>
      </c>
      <c r="K32" s="55">
        <v>0.5</v>
      </c>
      <c r="L32" s="55">
        <v>0.2</v>
      </c>
      <c r="M32" s="55">
        <v>0</v>
      </c>
      <c r="N32" s="55">
        <v>0.7</v>
      </c>
      <c r="O32" s="55">
        <v>0</v>
      </c>
      <c r="P32" s="55">
        <v>0.6</v>
      </c>
      <c r="Q32" s="55">
        <v>0.9</v>
      </c>
      <c r="R32" s="55">
        <v>0.3</v>
      </c>
      <c r="S32" s="55">
        <v>0</v>
      </c>
    </row>
    <row r="33" spans="1:19" s="54" customFormat="1" x14ac:dyDescent="0.55000000000000004">
      <c r="A33" s="59"/>
      <c r="B33" s="58"/>
      <c r="C33" s="57" t="s">
        <v>89</v>
      </c>
      <c r="D33" s="55">
        <v>25.1</v>
      </c>
      <c r="E33" s="56">
        <v>10.6</v>
      </c>
      <c r="F33" s="56">
        <v>3.3</v>
      </c>
      <c r="G33" s="56">
        <v>5.7</v>
      </c>
      <c r="H33" s="56">
        <v>3.7</v>
      </c>
      <c r="I33" s="56">
        <v>1.8</v>
      </c>
      <c r="J33" s="55">
        <v>0</v>
      </c>
      <c r="K33" s="55">
        <v>0</v>
      </c>
      <c r="L33" s="55">
        <v>0</v>
      </c>
      <c r="M33" s="55">
        <v>0</v>
      </c>
      <c r="N33" s="55">
        <v>0</v>
      </c>
      <c r="O33" s="55">
        <v>0.3</v>
      </c>
      <c r="P33" s="55">
        <v>0</v>
      </c>
      <c r="Q33" s="55">
        <v>0</v>
      </c>
      <c r="R33" s="55">
        <v>0.1</v>
      </c>
      <c r="S33" s="55">
        <v>0</v>
      </c>
    </row>
    <row r="34" spans="1:19" s="54" customFormat="1" x14ac:dyDescent="0.55000000000000004">
      <c r="A34" s="59"/>
      <c r="B34" s="58"/>
      <c r="C34" s="60" t="s">
        <v>88</v>
      </c>
      <c r="D34" s="55">
        <v>3131.8</v>
      </c>
      <c r="E34" s="56">
        <v>447</v>
      </c>
      <c r="F34" s="56">
        <v>565.4</v>
      </c>
      <c r="G34" s="56">
        <v>823.4</v>
      </c>
      <c r="H34" s="56">
        <v>832.1</v>
      </c>
      <c r="I34" s="56">
        <v>463.9</v>
      </c>
      <c r="J34" s="55">
        <v>35.4</v>
      </c>
      <c r="K34" s="55">
        <v>44.6</v>
      </c>
      <c r="L34" s="55">
        <v>18</v>
      </c>
      <c r="M34" s="55">
        <v>17.399999999999999</v>
      </c>
      <c r="N34" s="55">
        <v>28.4</v>
      </c>
      <c r="O34" s="55">
        <v>28.6</v>
      </c>
      <c r="P34" s="55">
        <v>22.4</v>
      </c>
      <c r="Q34" s="55">
        <v>65.2</v>
      </c>
      <c r="R34" s="55">
        <v>35.6</v>
      </c>
      <c r="S34" s="55">
        <v>6</v>
      </c>
    </row>
    <row r="35" spans="1:19" s="54" customFormat="1" x14ac:dyDescent="0.55000000000000004">
      <c r="A35" s="59"/>
      <c r="B35" s="58"/>
      <c r="C35" s="57" t="s">
        <v>87</v>
      </c>
      <c r="D35" s="55">
        <v>700.1</v>
      </c>
      <c r="E35" s="56">
        <v>108.7</v>
      </c>
      <c r="F35" s="56">
        <v>114.4</v>
      </c>
      <c r="G35" s="56">
        <v>189</v>
      </c>
      <c r="H35" s="56">
        <v>187</v>
      </c>
      <c r="I35" s="56">
        <v>101</v>
      </c>
      <c r="J35" s="55">
        <v>7.2</v>
      </c>
      <c r="K35" s="55">
        <v>9.4</v>
      </c>
      <c r="L35" s="55">
        <v>4.0999999999999996</v>
      </c>
      <c r="M35" s="55">
        <v>3.2</v>
      </c>
      <c r="N35" s="55">
        <v>6.1</v>
      </c>
      <c r="O35" s="55">
        <v>6.2</v>
      </c>
      <c r="P35" s="55">
        <v>4.5999999999999996</v>
      </c>
      <c r="Q35" s="55">
        <v>18.3</v>
      </c>
      <c r="R35" s="55">
        <v>7.7</v>
      </c>
      <c r="S35" s="55">
        <v>1.3</v>
      </c>
    </row>
    <row r="36" spans="1:19" s="54" customFormat="1" x14ac:dyDescent="0.55000000000000004">
      <c r="A36" s="59"/>
      <c r="B36" s="58"/>
      <c r="C36" s="57" t="s">
        <v>86</v>
      </c>
      <c r="D36" s="55">
        <v>2431.6999999999998</v>
      </c>
      <c r="E36" s="56">
        <v>338.3</v>
      </c>
      <c r="F36" s="56">
        <v>451</v>
      </c>
      <c r="G36" s="56">
        <v>634.5</v>
      </c>
      <c r="H36" s="56">
        <v>645.1</v>
      </c>
      <c r="I36" s="56">
        <v>362.8</v>
      </c>
      <c r="J36" s="55">
        <v>28.1</v>
      </c>
      <c r="K36" s="55">
        <v>35.200000000000003</v>
      </c>
      <c r="L36" s="55">
        <v>13.9</v>
      </c>
      <c r="M36" s="55">
        <v>14.2</v>
      </c>
      <c r="N36" s="55">
        <v>22.3</v>
      </c>
      <c r="O36" s="55">
        <v>22.4</v>
      </c>
      <c r="P36" s="55">
        <v>17.8</v>
      </c>
      <c r="Q36" s="55">
        <v>47</v>
      </c>
      <c r="R36" s="55">
        <v>27.9</v>
      </c>
      <c r="S36" s="55">
        <v>4.7</v>
      </c>
    </row>
    <row r="37" spans="1:19" s="54" customFormat="1" x14ac:dyDescent="0.55000000000000004">
      <c r="A37" s="59"/>
      <c r="B37" s="58"/>
      <c r="C37" s="60" t="s">
        <v>85</v>
      </c>
      <c r="D37" s="55">
        <v>424.2</v>
      </c>
      <c r="E37" s="56">
        <v>81.900000000000006</v>
      </c>
      <c r="F37" s="56">
        <v>68.400000000000006</v>
      </c>
      <c r="G37" s="56">
        <v>103.4</v>
      </c>
      <c r="H37" s="56">
        <v>107.1</v>
      </c>
      <c r="I37" s="56">
        <v>63.4</v>
      </c>
      <c r="J37" s="55">
        <v>3.3</v>
      </c>
      <c r="K37" s="55">
        <v>4.5</v>
      </c>
      <c r="L37" s="55">
        <v>2.4</v>
      </c>
      <c r="M37" s="55">
        <v>1.6</v>
      </c>
      <c r="N37" s="55">
        <v>2.9</v>
      </c>
      <c r="O37" s="55">
        <v>3.3</v>
      </c>
      <c r="P37" s="55">
        <v>2.5</v>
      </c>
      <c r="Q37" s="55">
        <v>10.8</v>
      </c>
      <c r="R37" s="55">
        <v>4.4000000000000004</v>
      </c>
      <c r="S37" s="55">
        <v>1.2</v>
      </c>
    </row>
    <row r="38" spans="1:19" s="54" customFormat="1" x14ac:dyDescent="0.55000000000000004">
      <c r="A38" s="59"/>
      <c r="B38" s="58"/>
      <c r="C38" s="57" t="s">
        <v>84</v>
      </c>
      <c r="D38" s="55">
        <v>49.6</v>
      </c>
      <c r="E38" s="56">
        <v>4.7</v>
      </c>
      <c r="F38" s="56">
        <v>9.9</v>
      </c>
      <c r="G38" s="56">
        <v>8.8000000000000007</v>
      </c>
      <c r="H38" s="56">
        <v>14</v>
      </c>
      <c r="I38" s="56">
        <v>12.2</v>
      </c>
      <c r="J38" s="55">
        <v>0.4</v>
      </c>
      <c r="K38" s="55">
        <v>0.5</v>
      </c>
      <c r="L38" s="55">
        <v>0</v>
      </c>
      <c r="M38" s="55">
        <v>0</v>
      </c>
      <c r="N38" s="55">
        <v>0.2</v>
      </c>
      <c r="O38" s="55">
        <v>0.2</v>
      </c>
      <c r="P38" s="55">
        <v>0.3</v>
      </c>
      <c r="Q38" s="55">
        <v>0.3</v>
      </c>
      <c r="R38" s="55">
        <v>0.7</v>
      </c>
      <c r="S38" s="55">
        <v>0.1</v>
      </c>
    </row>
    <row r="39" spans="1:19" s="54" customFormat="1" x14ac:dyDescent="0.55000000000000004">
      <c r="A39" s="59"/>
      <c r="B39" s="58"/>
      <c r="C39" s="57" t="s">
        <v>83</v>
      </c>
      <c r="D39" s="55">
        <v>374.6</v>
      </c>
      <c r="E39" s="56">
        <v>77.2</v>
      </c>
      <c r="F39" s="56">
        <v>58.4</v>
      </c>
      <c r="G39" s="56">
        <v>94.6</v>
      </c>
      <c r="H39" s="56">
        <v>93.1</v>
      </c>
      <c r="I39" s="56">
        <v>51.3</v>
      </c>
      <c r="J39" s="55">
        <v>3</v>
      </c>
      <c r="K39" s="55">
        <v>4</v>
      </c>
      <c r="L39" s="55">
        <v>2.4</v>
      </c>
      <c r="M39" s="55">
        <v>1.5</v>
      </c>
      <c r="N39" s="55">
        <v>2.7</v>
      </c>
      <c r="O39" s="55">
        <v>3.1</v>
      </c>
      <c r="P39" s="55">
        <v>2.2000000000000002</v>
      </c>
      <c r="Q39" s="55">
        <v>10.5</v>
      </c>
      <c r="R39" s="55">
        <v>3.7</v>
      </c>
      <c r="S39" s="55">
        <v>1.1000000000000001</v>
      </c>
    </row>
    <row r="40" spans="1:19" s="54" customFormat="1" x14ac:dyDescent="0.55000000000000004">
      <c r="A40" s="59"/>
      <c r="B40" s="58"/>
      <c r="C40" s="60" t="s">
        <v>82</v>
      </c>
      <c r="D40" s="55">
        <v>25783.7</v>
      </c>
      <c r="E40" s="56">
        <v>978.7</v>
      </c>
      <c r="F40" s="56">
        <v>4716.8999999999996</v>
      </c>
      <c r="G40" s="56">
        <v>7690.3</v>
      </c>
      <c r="H40" s="56">
        <v>7746.3</v>
      </c>
      <c r="I40" s="56">
        <v>4651.5</v>
      </c>
      <c r="J40" s="55">
        <v>334.8</v>
      </c>
      <c r="K40" s="55">
        <v>403.9</v>
      </c>
      <c r="L40" s="55">
        <v>142.30000000000001</v>
      </c>
      <c r="M40" s="55">
        <v>201.2</v>
      </c>
      <c r="N40" s="55">
        <v>186.6</v>
      </c>
      <c r="O40" s="55">
        <v>320.3</v>
      </c>
      <c r="P40" s="55">
        <v>189.2</v>
      </c>
      <c r="Q40" s="55">
        <v>134.19999999999999</v>
      </c>
      <c r="R40" s="55">
        <v>259.60000000000002</v>
      </c>
      <c r="S40" s="55">
        <v>62.2</v>
      </c>
    </row>
    <row r="41" spans="1:19" s="54" customFormat="1" x14ac:dyDescent="0.55000000000000004">
      <c r="A41" s="59"/>
      <c r="B41" s="58"/>
      <c r="C41" s="57" t="s">
        <v>81</v>
      </c>
      <c r="D41" s="55">
        <v>23342.799999999999</v>
      </c>
      <c r="E41" s="56">
        <v>806</v>
      </c>
      <c r="F41" s="56">
        <v>4319.5</v>
      </c>
      <c r="G41" s="56">
        <v>7013.9</v>
      </c>
      <c r="H41" s="56">
        <v>6963.4</v>
      </c>
      <c r="I41" s="56">
        <v>4240</v>
      </c>
      <c r="J41" s="55">
        <v>304.7</v>
      </c>
      <c r="K41" s="55">
        <v>353.7</v>
      </c>
      <c r="L41" s="55">
        <v>133.4</v>
      </c>
      <c r="M41" s="55">
        <v>183.4</v>
      </c>
      <c r="N41" s="55">
        <v>170.5</v>
      </c>
      <c r="O41" s="55">
        <v>299</v>
      </c>
      <c r="P41" s="55">
        <v>175</v>
      </c>
      <c r="Q41" s="55">
        <v>113.4</v>
      </c>
      <c r="R41" s="55">
        <v>231.6</v>
      </c>
      <c r="S41" s="55">
        <v>56.2</v>
      </c>
    </row>
    <row r="42" spans="1:19" s="54" customFormat="1" x14ac:dyDescent="0.55000000000000004">
      <c r="A42" s="59"/>
      <c r="B42" s="58"/>
      <c r="C42" s="57" t="s">
        <v>80</v>
      </c>
      <c r="D42" s="55">
        <v>357.3</v>
      </c>
      <c r="E42" s="56">
        <v>10.3</v>
      </c>
      <c r="F42" s="56">
        <v>53.4</v>
      </c>
      <c r="G42" s="56">
        <v>113.2</v>
      </c>
      <c r="H42" s="56">
        <v>108.5</v>
      </c>
      <c r="I42" s="56">
        <v>71.8</v>
      </c>
      <c r="J42" s="55">
        <v>5.8</v>
      </c>
      <c r="K42" s="55">
        <v>13.2</v>
      </c>
      <c r="L42" s="55">
        <v>2.2999999999999998</v>
      </c>
      <c r="M42" s="55">
        <v>4.3</v>
      </c>
      <c r="N42" s="55">
        <v>2.9</v>
      </c>
      <c r="O42" s="55">
        <v>4.5999999999999996</v>
      </c>
      <c r="P42" s="55">
        <v>4.8</v>
      </c>
      <c r="Q42" s="55">
        <v>2.4</v>
      </c>
      <c r="R42" s="55">
        <v>7.4</v>
      </c>
      <c r="S42" s="55">
        <v>0.4</v>
      </c>
    </row>
    <row r="43" spans="1:19" s="54" customFormat="1" x14ac:dyDescent="0.55000000000000004">
      <c r="A43" s="59"/>
      <c r="B43" s="58"/>
      <c r="C43" s="57" t="s">
        <v>79</v>
      </c>
      <c r="D43" s="55">
        <v>1869.2</v>
      </c>
      <c r="E43" s="56">
        <v>147.6</v>
      </c>
      <c r="F43" s="56">
        <v>308</v>
      </c>
      <c r="G43" s="56">
        <v>500.8</v>
      </c>
      <c r="H43" s="56">
        <v>601.70000000000005</v>
      </c>
      <c r="I43" s="56">
        <v>311.10000000000002</v>
      </c>
      <c r="J43" s="55">
        <v>20.8</v>
      </c>
      <c r="K43" s="55">
        <v>32.6</v>
      </c>
      <c r="L43" s="55">
        <v>5.5</v>
      </c>
      <c r="M43" s="55">
        <v>12.8</v>
      </c>
      <c r="N43" s="55">
        <v>11.4</v>
      </c>
      <c r="O43" s="55">
        <v>14</v>
      </c>
      <c r="P43" s="55">
        <v>7.8</v>
      </c>
      <c r="Q43" s="55">
        <v>14</v>
      </c>
      <c r="R43" s="55">
        <v>17.7</v>
      </c>
      <c r="S43" s="55">
        <v>4.9000000000000004</v>
      </c>
    </row>
    <row r="44" spans="1:19" s="54" customFormat="1" x14ac:dyDescent="0.55000000000000004">
      <c r="A44" s="59"/>
      <c r="B44" s="58"/>
      <c r="C44" s="57" t="s">
        <v>78</v>
      </c>
      <c r="D44" s="55">
        <v>214.4</v>
      </c>
      <c r="E44" s="56">
        <v>14.7</v>
      </c>
      <c r="F44" s="56">
        <v>36</v>
      </c>
      <c r="G44" s="56">
        <v>62.3</v>
      </c>
      <c r="H44" s="56">
        <v>72.8</v>
      </c>
      <c r="I44" s="56">
        <v>28.6</v>
      </c>
      <c r="J44" s="55">
        <v>3.6</v>
      </c>
      <c r="K44" s="55">
        <v>4.4000000000000004</v>
      </c>
      <c r="L44" s="55">
        <v>1.1000000000000001</v>
      </c>
      <c r="M44" s="55">
        <v>0.6</v>
      </c>
      <c r="N44" s="55">
        <v>1.9</v>
      </c>
      <c r="O44" s="55">
        <v>2.9</v>
      </c>
      <c r="P44" s="55">
        <v>1.6</v>
      </c>
      <c r="Q44" s="55">
        <v>4.4000000000000004</v>
      </c>
      <c r="R44" s="55">
        <v>2.9</v>
      </c>
      <c r="S44" s="55">
        <v>0.8</v>
      </c>
    </row>
    <row r="45" spans="1:19" s="54" customFormat="1" x14ac:dyDescent="0.55000000000000004">
      <c r="A45" s="59"/>
      <c r="B45" s="58"/>
      <c r="C45" s="60" t="s">
        <v>77</v>
      </c>
      <c r="D45" s="55">
        <v>5619.1</v>
      </c>
      <c r="E45" s="56">
        <v>420</v>
      </c>
      <c r="F45" s="56">
        <v>852.3</v>
      </c>
      <c r="G45" s="56">
        <v>1416.8</v>
      </c>
      <c r="H45" s="56">
        <v>2010</v>
      </c>
      <c r="I45" s="56">
        <v>919.9</v>
      </c>
      <c r="J45" s="55">
        <v>57.5</v>
      </c>
      <c r="K45" s="55">
        <v>85.9</v>
      </c>
      <c r="L45" s="55">
        <v>13.9</v>
      </c>
      <c r="M45" s="55">
        <v>28</v>
      </c>
      <c r="N45" s="55">
        <v>30.4</v>
      </c>
      <c r="O45" s="55">
        <v>35.5</v>
      </c>
      <c r="P45" s="55">
        <v>30.7</v>
      </c>
      <c r="Q45" s="55">
        <v>29.2</v>
      </c>
      <c r="R45" s="55">
        <v>60.4</v>
      </c>
      <c r="S45" s="55">
        <v>2.1</v>
      </c>
    </row>
    <row r="46" spans="1:19" s="54" customFormat="1" x14ac:dyDescent="0.55000000000000004">
      <c r="A46" s="59"/>
      <c r="B46" s="58"/>
      <c r="C46" s="57" t="s">
        <v>76</v>
      </c>
      <c r="D46" s="55">
        <v>3756.7</v>
      </c>
      <c r="E46" s="56">
        <v>193.2</v>
      </c>
      <c r="F46" s="56">
        <v>354</v>
      </c>
      <c r="G46" s="56">
        <v>983.9</v>
      </c>
      <c r="H46" s="56">
        <v>1140.3</v>
      </c>
      <c r="I46" s="56">
        <v>1085.4000000000001</v>
      </c>
      <c r="J46" s="55">
        <v>31.1</v>
      </c>
      <c r="K46" s="55">
        <v>34</v>
      </c>
      <c r="L46" s="55">
        <v>9.9</v>
      </c>
      <c r="M46" s="55">
        <v>18.3</v>
      </c>
      <c r="N46" s="55">
        <v>16.7</v>
      </c>
      <c r="O46" s="55">
        <v>21.2</v>
      </c>
      <c r="P46" s="55">
        <v>12</v>
      </c>
      <c r="Q46" s="55">
        <v>15.6</v>
      </c>
      <c r="R46" s="55">
        <v>15.1</v>
      </c>
      <c r="S46" s="55">
        <v>11</v>
      </c>
    </row>
    <row r="47" spans="1:19" s="54" customFormat="1" x14ac:dyDescent="0.55000000000000004">
      <c r="A47" s="59"/>
      <c r="B47" s="58"/>
      <c r="C47" s="57" t="s">
        <v>75</v>
      </c>
      <c r="D47" s="55">
        <v>1469.2</v>
      </c>
      <c r="E47" s="56">
        <v>65.2</v>
      </c>
      <c r="F47" s="56">
        <v>68.8</v>
      </c>
      <c r="G47" s="56">
        <v>313.7</v>
      </c>
      <c r="H47" s="56">
        <v>498.6</v>
      </c>
      <c r="I47" s="56">
        <v>522.9</v>
      </c>
      <c r="J47" s="55">
        <v>6.3</v>
      </c>
      <c r="K47" s="55">
        <v>6.6</v>
      </c>
      <c r="L47" s="55">
        <v>2.2999999999999998</v>
      </c>
      <c r="M47" s="55">
        <v>4.5999999999999996</v>
      </c>
      <c r="N47" s="55">
        <v>2</v>
      </c>
      <c r="O47" s="55">
        <v>3.4</v>
      </c>
      <c r="P47" s="55">
        <v>1.4</v>
      </c>
      <c r="Q47" s="55">
        <v>4.2</v>
      </c>
      <c r="R47" s="55">
        <v>2.1</v>
      </c>
      <c r="S47" s="55">
        <v>2.4</v>
      </c>
    </row>
    <row r="48" spans="1:19" s="54" customFormat="1" x14ac:dyDescent="0.55000000000000004">
      <c r="A48" s="59"/>
      <c r="B48" s="58"/>
      <c r="C48" s="60" t="s">
        <v>74</v>
      </c>
      <c r="D48" s="55">
        <v>2287.6</v>
      </c>
      <c r="E48" s="56">
        <v>128</v>
      </c>
      <c r="F48" s="56">
        <v>285.2</v>
      </c>
      <c r="G48" s="56">
        <v>670.2</v>
      </c>
      <c r="H48" s="56">
        <v>641.70000000000005</v>
      </c>
      <c r="I48" s="56">
        <v>562.6</v>
      </c>
      <c r="J48" s="55">
        <v>24.9</v>
      </c>
      <c r="K48" s="55">
        <v>27.4</v>
      </c>
      <c r="L48" s="55">
        <v>7.6</v>
      </c>
      <c r="M48" s="55">
        <v>13.7</v>
      </c>
      <c r="N48" s="55">
        <v>14.7</v>
      </c>
      <c r="O48" s="55">
        <v>17.8</v>
      </c>
      <c r="P48" s="55">
        <v>10.7</v>
      </c>
      <c r="Q48" s="55">
        <v>11.3</v>
      </c>
      <c r="R48" s="55">
        <v>13</v>
      </c>
      <c r="S48" s="55">
        <v>8.6</v>
      </c>
    </row>
    <row r="49" spans="1:19" s="54" customFormat="1" x14ac:dyDescent="0.55000000000000004">
      <c r="A49" s="59"/>
      <c r="B49" s="58"/>
      <c r="C49" s="60" t="s">
        <v>73</v>
      </c>
      <c r="D49" s="55">
        <v>972.3</v>
      </c>
      <c r="E49" s="56">
        <v>127.3</v>
      </c>
      <c r="F49" s="56">
        <v>152.80000000000001</v>
      </c>
      <c r="G49" s="56">
        <v>274.2</v>
      </c>
      <c r="H49" s="56">
        <v>248.8</v>
      </c>
      <c r="I49" s="56">
        <v>169.3</v>
      </c>
      <c r="J49" s="55">
        <v>9.8000000000000007</v>
      </c>
      <c r="K49" s="55">
        <v>15.6</v>
      </c>
      <c r="L49" s="55">
        <v>4</v>
      </c>
      <c r="M49" s="55">
        <v>6.3</v>
      </c>
      <c r="N49" s="55">
        <v>5.9</v>
      </c>
      <c r="O49" s="55">
        <v>10.8</v>
      </c>
      <c r="P49" s="55">
        <v>5</v>
      </c>
      <c r="Q49" s="55">
        <v>6.6</v>
      </c>
      <c r="R49" s="55">
        <v>8.3000000000000007</v>
      </c>
      <c r="S49" s="55">
        <v>1.7</v>
      </c>
    </row>
    <row r="50" spans="1:19" s="54" customFormat="1" x14ac:dyDescent="0.55000000000000004">
      <c r="A50" s="59"/>
      <c r="B50" s="58"/>
      <c r="C50" s="57" t="s">
        <v>72</v>
      </c>
      <c r="D50" s="55">
        <v>570.9</v>
      </c>
      <c r="E50" s="56">
        <v>114.6</v>
      </c>
      <c r="F50" s="56">
        <v>95.7</v>
      </c>
      <c r="G50" s="56">
        <v>132.80000000000001</v>
      </c>
      <c r="H50" s="56">
        <v>138.30000000000001</v>
      </c>
      <c r="I50" s="56">
        <v>89.5</v>
      </c>
      <c r="J50" s="55">
        <v>6.3</v>
      </c>
      <c r="K50" s="55">
        <v>10.5</v>
      </c>
      <c r="L50" s="55">
        <v>2.5</v>
      </c>
      <c r="M50" s="55">
        <v>4.5999999999999996</v>
      </c>
      <c r="N50" s="55">
        <v>3.7</v>
      </c>
      <c r="O50" s="55">
        <v>6.5</v>
      </c>
      <c r="P50" s="55">
        <v>3</v>
      </c>
      <c r="Q50" s="55">
        <v>3.6</v>
      </c>
      <c r="R50" s="55">
        <v>5.5</v>
      </c>
      <c r="S50" s="55">
        <v>1.2</v>
      </c>
    </row>
    <row r="51" spans="1:19" s="54" customFormat="1" x14ac:dyDescent="0.55000000000000004">
      <c r="A51" s="59"/>
      <c r="B51" s="58"/>
      <c r="C51" s="57" t="s">
        <v>71</v>
      </c>
      <c r="D51" s="55">
        <v>401.4</v>
      </c>
      <c r="E51" s="56">
        <v>12.6</v>
      </c>
      <c r="F51" s="56">
        <v>57.1</v>
      </c>
      <c r="G51" s="56">
        <v>141.4</v>
      </c>
      <c r="H51" s="56">
        <v>110.5</v>
      </c>
      <c r="I51" s="56">
        <v>79.8</v>
      </c>
      <c r="J51" s="55">
        <v>3.5</v>
      </c>
      <c r="K51" s="55">
        <v>5.0999999999999996</v>
      </c>
      <c r="L51" s="55">
        <v>1.5</v>
      </c>
      <c r="M51" s="55">
        <v>1.6</v>
      </c>
      <c r="N51" s="55">
        <v>2.2000000000000002</v>
      </c>
      <c r="O51" s="55">
        <v>4.3</v>
      </c>
      <c r="P51" s="55">
        <v>2</v>
      </c>
      <c r="Q51" s="55">
        <v>3</v>
      </c>
      <c r="R51" s="55">
        <v>2.7</v>
      </c>
      <c r="S51" s="55">
        <v>0.5</v>
      </c>
    </row>
    <row r="52" spans="1:19" s="48" customFormat="1" ht="14.7" thickBot="1" x14ac:dyDescent="0.6">
      <c r="A52" s="53"/>
      <c r="B52" s="52"/>
      <c r="C52" s="51" t="s">
        <v>70</v>
      </c>
      <c r="D52" s="49">
        <v>658.6</v>
      </c>
      <c r="E52" s="50">
        <v>69.8</v>
      </c>
      <c r="F52" s="50">
        <v>122.4</v>
      </c>
      <c r="G52" s="50">
        <v>168.1</v>
      </c>
      <c r="H52" s="50">
        <v>193.4</v>
      </c>
      <c r="I52" s="50">
        <v>104.9</v>
      </c>
      <c r="J52" s="49">
        <v>10.8</v>
      </c>
      <c r="K52" s="49">
        <v>11.9</v>
      </c>
      <c r="L52" s="49">
        <v>4.2</v>
      </c>
      <c r="M52" s="49">
        <v>3.9</v>
      </c>
      <c r="N52" s="49">
        <v>7.4</v>
      </c>
      <c r="O52" s="49">
        <v>7.7</v>
      </c>
      <c r="P52" s="49">
        <v>5.5</v>
      </c>
      <c r="Q52" s="49">
        <v>11.3</v>
      </c>
      <c r="R52" s="49">
        <v>9.6999999999999993</v>
      </c>
      <c r="S52" s="49">
        <v>1.4</v>
      </c>
    </row>
    <row r="53" spans="1:19" x14ac:dyDescent="0.55000000000000004">
      <c r="A53" s="1"/>
      <c r="B53" s="1"/>
      <c r="C53" s="1"/>
      <c r="D53" s="1"/>
      <c r="E53" s="1"/>
      <c r="F53" s="1"/>
      <c r="G53" s="1"/>
      <c r="H53" s="1"/>
      <c r="I53" s="1"/>
    </row>
  </sheetData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40170-6BCF-42E9-BA45-B06C3BA1583B}">
  <sheetPr codeName="Sheet8">
    <tabColor theme="9"/>
  </sheetPr>
  <dimension ref="A1:J72"/>
  <sheetViews>
    <sheetView workbookViewId="0">
      <selection activeCell="D17" sqref="D17"/>
    </sheetView>
  </sheetViews>
  <sheetFormatPr defaultColWidth="8.83984375" defaultRowHeight="14.4" x14ac:dyDescent="0.55000000000000004"/>
  <cols>
    <col min="1" max="1" width="17.578125" style="1" bestFit="1" customWidth="1"/>
    <col min="2" max="2" width="11.68359375" style="1" customWidth="1"/>
    <col min="3" max="3" width="19.83984375" style="1" bestFit="1" customWidth="1"/>
    <col min="4" max="4" width="22.15625" style="1" bestFit="1" customWidth="1"/>
    <col min="5" max="5" width="17.15625" style="1" customWidth="1"/>
    <col min="6" max="6" width="9.41796875" style="1" customWidth="1"/>
    <col min="7" max="7" width="8.578125" style="1" customWidth="1"/>
    <col min="8" max="16384" width="8.83984375" style="1"/>
  </cols>
  <sheetData>
    <row r="1" spans="1:7" x14ac:dyDescent="0.55000000000000004">
      <c r="A1" s="11"/>
      <c r="B1" s="12"/>
      <c r="C1" s="12"/>
      <c r="D1" s="12"/>
      <c r="E1" s="12"/>
      <c r="F1" s="13"/>
      <c r="G1" s="14"/>
    </row>
    <row r="2" spans="1:7" x14ac:dyDescent="0.55000000000000004">
      <c r="A2" s="15"/>
      <c r="B2" s="16" t="s">
        <v>47</v>
      </c>
      <c r="C2" s="16" t="s">
        <v>48</v>
      </c>
      <c r="D2" s="16" t="s">
        <v>49</v>
      </c>
      <c r="G2" s="17"/>
    </row>
    <row r="3" spans="1:7" x14ac:dyDescent="0.55000000000000004">
      <c r="A3" s="15" t="s">
        <v>50</v>
      </c>
      <c r="B3" s="18">
        <f>SUMIFS(Arealanvendelse!$D$28:$S$28,Arealanvendelse!$D$27:$S$27,A3)*100</f>
        <v>784890</v>
      </c>
      <c r="C3" s="19">
        <f>1000*(H29+H35)</f>
        <v>25100</v>
      </c>
      <c r="D3" s="20">
        <f>C3/$C$8</f>
        <v>0.18592592592592588</v>
      </c>
      <c r="F3" s="1" t="s">
        <v>51</v>
      </c>
      <c r="G3" s="17" t="s">
        <v>52</v>
      </c>
    </row>
    <row r="4" spans="1:7" x14ac:dyDescent="0.55000000000000004">
      <c r="A4" s="15" t="s">
        <v>53</v>
      </c>
      <c r="B4" s="18">
        <f>SUMIFS(Arealanvendelse!$D$28:$S$28,Arealanvendelse!$D$27:$S$27,A4)*100</f>
        <v>1298690</v>
      </c>
      <c r="C4" s="19">
        <f>1000*(H54+H48+H60)</f>
        <v>47900</v>
      </c>
      <c r="D4" s="20">
        <f>C4/$C$8</f>
        <v>0.35481481481481475</v>
      </c>
      <c r="F4" s="21">
        <f>SUM(D3:D5)</f>
        <v>0.90270682785509138</v>
      </c>
      <c r="G4" s="22">
        <f>SUM(D6:D7)</f>
        <v>9.7293172144908485E-2</v>
      </c>
    </row>
    <row r="5" spans="1:7" x14ac:dyDescent="0.55000000000000004">
      <c r="A5" s="15" t="s">
        <v>54</v>
      </c>
      <c r="B5" s="18">
        <f>SUMIFS(Arealanvendelse!$D$28:$S$28,Arealanvendelse!$D$27:$S$27,A5)*100</f>
        <v>1209460</v>
      </c>
      <c r="C5" s="19">
        <f>1000*(H41+H66*(100*SUM(Arealanvendelse!$J$28:$S$28)/($B$6+$B$7+100*SUM(Arealanvendelse!$J$28:$S$28))))</f>
        <v>48865.421760437355</v>
      </c>
      <c r="D5" s="20">
        <f>C5/$C$8</f>
        <v>0.36196608711435069</v>
      </c>
      <c r="G5" s="17"/>
    </row>
    <row r="6" spans="1:7" x14ac:dyDescent="0.55000000000000004">
      <c r="A6" s="15" t="s">
        <v>55</v>
      </c>
      <c r="B6" s="18">
        <f>SUMIFS(Arealanvendelse!$D$28:$S$28,Arealanvendelse!$D$27:$S$27,A6)*100</f>
        <v>721680</v>
      </c>
      <c r="C6" s="23">
        <f>1000*(H66*(B6/($B$6+$B$7+100*SUM(Arealanvendelse!$J$28:$S$28))))</f>
        <v>9699.9267554159469</v>
      </c>
      <c r="D6" s="20">
        <f>C6/$C$8</f>
        <v>7.1851309299377372E-2</v>
      </c>
      <c r="G6" s="17"/>
    </row>
    <row r="7" spans="1:7" ht="14.7" thickBot="1" x14ac:dyDescent="0.6">
      <c r="A7" s="24" t="s">
        <v>56</v>
      </c>
      <c r="B7" s="25">
        <f>SUMIFS(Arealanvendelse!$D$28:$S$28,Arealanvendelse!$D$27:$S$27,A7)*100</f>
        <v>255540</v>
      </c>
      <c r="C7" s="26">
        <f>1000*(H66*(B7/($B$6+$B$7+100*SUM(Arealanvendelse!$J$28:$S$28))))</f>
        <v>3434.6514841467006</v>
      </c>
      <c r="D7" s="20">
        <f>C7/$C$8</f>
        <v>2.544186284553111E-2</v>
      </c>
      <c r="G7" s="17"/>
    </row>
    <row r="8" spans="1:7" x14ac:dyDescent="0.55000000000000004">
      <c r="A8" s="27" t="s">
        <v>57</v>
      </c>
      <c r="B8" s="28">
        <f>SUM(B3:B7)</f>
        <v>4270260</v>
      </c>
      <c r="C8" s="29">
        <f>SUM(C3:C7)</f>
        <v>135000.00000000003</v>
      </c>
      <c r="D8" s="30">
        <f>SUM(D3:D7)</f>
        <v>0.99999999999999978</v>
      </c>
      <c r="G8" s="17"/>
    </row>
    <row r="9" spans="1:7" x14ac:dyDescent="0.55000000000000004">
      <c r="A9" s="31"/>
      <c r="B9" s="32"/>
      <c r="C9" s="32"/>
      <c r="D9" s="33"/>
      <c r="E9" s="34"/>
      <c r="F9" s="34"/>
      <c r="G9" s="35"/>
    </row>
    <row r="10" spans="1:7" x14ac:dyDescent="0.55000000000000004">
      <c r="A10" s="36"/>
      <c r="B10" s="494" t="s">
        <v>58</v>
      </c>
      <c r="C10" s="494"/>
      <c r="D10" s="494"/>
      <c r="E10" s="494"/>
      <c r="F10" s="494"/>
      <c r="G10" s="495"/>
    </row>
    <row r="11" spans="1:7" x14ac:dyDescent="0.55000000000000004">
      <c r="A11" s="37"/>
      <c r="B11" s="494" t="s">
        <v>65</v>
      </c>
      <c r="C11" s="494"/>
      <c r="D11" s="494"/>
      <c r="E11" s="494"/>
      <c r="F11" s="494"/>
      <c r="G11" s="495"/>
    </row>
    <row r="12" spans="1:7" ht="28.5" customHeight="1" x14ac:dyDescent="0.55000000000000004">
      <c r="A12" s="38"/>
      <c r="B12" s="496" t="s">
        <v>59</v>
      </c>
      <c r="C12" s="496"/>
      <c r="D12" s="496"/>
      <c r="E12" s="496"/>
      <c r="F12" s="496"/>
      <c r="G12" s="497"/>
    </row>
    <row r="13" spans="1:7" x14ac:dyDescent="0.55000000000000004">
      <c r="A13" s="40"/>
      <c r="G13" s="17"/>
    </row>
    <row r="14" spans="1:7" x14ac:dyDescent="0.55000000000000004">
      <c r="A14" s="39" t="s">
        <v>62</v>
      </c>
      <c r="B14" s="41" t="s">
        <v>60</v>
      </c>
      <c r="C14" s="8" t="s">
        <v>61</v>
      </c>
      <c r="D14" s="8" t="s">
        <v>57</v>
      </c>
      <c r="E14" s="8" t="s">
        <v>63</v>
      </c>
      <c r="G14" s="17"/>
    </row>
    <row r="15" spans="1:7" x14ac:dyDescent="0.55000000000000004">
      <c r="A15" s="39" t="str">
        <f>Organ12</f>
        <v>OC12</v>
      </c>
      <c r="B15" s="42">
        <v>50394</v>
      </c>
      <c r="C15" s="42">
        <v>27838</v>
      </c>
      <c r="D15" s="42">
        <v>78232</v>
      </c>
      <c r="E15" s="42">
        <v>129000</v>
      </c>
      <c r="G15" s="17"/>
    </row>
    <row r="16" spans="1:7" x14ac:dyDescent="0.55000000000000004">
      <c r="A16" s="39" t="str">
        <f>Organ6</f>
        <v>OC6</v>
      </c>
      <c r="B16" s="42">
        <v>77009</v>
      </c>
      <c r="C16" s="42">
        <v>23493</v>
      </c>
      <c r="D16" s="42">
        <v>100502</v>
      </c>
      <c r="E16" s="42">
        <v>162000</v>
      </c>
      <c r="G16" s="17"/>
    </row>
    <row r="17" spans="1:10" x14ac:dyDescent="0.55000000000000004">
      <c r="A17" s="39" t="s">
        <v>64</v>
      </c>
      <c r="B17" s="42">
        <v>127403</v>
      </c>
      <c r="C17" s="42">
        <v>51331</v>
      </c>
      <c r="D17" s="42">
        <v>178734</v>
      </c>
      <c r="E17" s="42">
        <v>291000</v>
      </c>
      <c r="G17" s="17"/>
    </row>
    <row r="18" spans="1:10" ht="14.7" thickBot="1" x14ac:dyDescent="0.6">
      <c r="A18" s="43"/>
      <c r="B18" s="44"/>
      <c r="C18" s="44"/>
      <c r="D18" s="44"/>
      <c r="E18" s="44"/>
      <c r="F18" s="44"/>
      <c r="G18" s="45"/>
    </row>
    <row r="21" spans="1:10" ht="14.7" thickBot="1" x14ac:dyDescent="0.6">
      <c r="A21" s="106" t="s">
        <v>139</v>
      </c>
      <c r="B21" s="73"/>
      <c r="C21" s="73"/>
      <c r="D21" s="73"/>
      <c r="E21" s="73"/>
      <c r="F21" s="73"/>
      <c r="G21" s="73"/>
      <c r="H21" s="74"/>
      <c r="I21" s="73"/>
      <c r="J21" s="73"/>
    </row>
    <row r="22" spans="1:10" x14ac:dyDescent="0.55000000000000004">
      <c r="A22" s="105" t="s">
        <v>138</v>
      </c>
      <c r="B22" s="104" t="s">
        <v>137</v>
      </c>
      <c r="C22" s="103" t="s">
        <v>136</v>
      </c>
      <c r="D22" s="103" t="s">
        <v>135</v>
      </c>
      <c r="E22" s="103" t="s">
        <v>134</v>
      </c>
      <c r="F22" s="103" t="s">
        <v>133</v>
      </c>
      <c r="G22" s="103" t="s">
        <v>132</v>
      </c>
      <c r="H22" s="102" t="s">
        <v>131</v>
      </c>
      <c r="I22" s="101" t="s">
        <v>130</v>
      </c>
      <c r="J22" s="100" t="s">
        <v>111</v>
      </c>
    </row>
    <row r="23" spans="1:10" ht="15.6" thickBot="1" x14ac:dyDescent="0.6">
      <c r="A23" s="99" t="s">
        <v>129</v>
      </c>
      <c r="B23" s="98">
        <v>1</v>
      </c>
      <c r="C23" s="97">
        <v>2</v>
      </c>
      <c r="D23" s="97" t="s">
        <v>128</v>
      </c>
      <c r="E23" s="97" t="s">
        <v>127</v>
      </c>
      <c r="F23" s="97">
        <v>7</v>
      </c>
      <c r="G23" s="96" t="s">
        <v>126</v>
      </c>
      <c r="H23" s="95">
        <v>11</v>
      </c>
      <c r="I23" s="94">
        <v>12</v>
      </c>
      <c r="J23" s="93"/>
    </row>
    <row r="24" spans="1:10" ht="20.399999999999999" x14ac:dyDescent="0.55000000000000004">
      <c r="A24" s="91" t="s">
        <v>125</v>
      </c>
      <c r="B24" s="84">
        <v>1.3</v>
      </c>
      <c r="C24" s="84">
        <v>0.7</v>
      </c>
      <c r="D24" s="84">
        <v>3</v>
      </c>
      <c r="E24" s="84">
        <v>1.5</v>
      </c>
      <c r="F24" s="84">
        <v>0.2</v>
      </c>
      <c r="G24" s="84">
        <v>0</v>
      </c>
      <c r="H24" s="90">
        <v>4.7</v>
      </c>
      <c r="I24" s="82">
        <v>0.1</v>
      </c>
      <c r="J24" s="82">
        <v>11.4</v>
      </c>
    </row>
    <row r="25" spans="1:10" x14ac:dyDescent="0.55000000000000004">
      <c r="A25" s="87" t="s">
        <v>115</v>
      </c>
      <c r="B25" s="84">
        <v>0.9</v>
      </c>
      <c r="C25" s="84">
        <v>0.9</v>
      </c>
      <c r="D25" s="84">
        <v>0.5</v>
      </c>
      <c r="E25" s="84">
        <v>0.1</v>
      </c>
      <c r="F25" s="84">
        <v>0</v>
      </c>
      <c r="G25" s="84">
        <v>0</v>
      </c>
      <c r="H25" s="90">
        <v>0.8</v>
      </c>
      <c r="I25" s="82">
        <v>0</v>
      </c>
      <c r="J25" s="82">
        <v>3.2</v>
      </c>
    </row>
    <row r="26" spans="1:10" x14ac:dyDescent="0.55000000000000004">
      <c r="A26" s="87" t="s">
        <v>114</v>
      </c>
      <c r="B26" s="84">
        <v>0.7</v>
      </c>
      <c r="C26" s="84">
        <v>1</v>
      </c>
      <c r="D26" s="84">
        <v>1.1000000000000001</v>
      </c>
      <c r="E26" s="84">
        <v>0.4</v>
      </c>
      <c r="F26" s="84">
        <v>0</v>
      </c>
      <c r="G26" s="84">
        <v>0</v>
      </c>
      <c r="H26" s="90">
        <v>1.5</v>
      </c>
      <c r="I26" s="82">
        <v>0</v>
      </c>
      <c r="J26" s="82">
        <v>4.8</v>
      </c>
    </row>
    <row r="27" spans="1:10" x14ac:dyDescent="0.55000000000000004">
      <c r="A27" s="87" t="s">
        <v>113</v>
      </c>
      <c r="B27" s="84">
        <v>2.1</v>
      </c>
      <c r="C27" s="84">
        <v>6.5</v>
      </c>
      <c r="D27" s="84">
        <v>1.8</v>
      </c>
      <c r="E27" s="84">
        <v>0.9</v>
      </c>
      <c r="F27" s="84">
        <v>0.2</v>
      </c>
      <c r="G27" s="84">
        <v>0</v>
      </c>
      <c r="H27" s="90">
        <v>2.4</v>
      </c>
      <c r="I27" s="82">
        <v>0.7</v>
      </c>
      <c r="J27" s="82">
        <v>14.5</v>
      </c>
    </row>
    <row r="28" spans="1:10" ht="14.7" thickBot="1" x14ac:dyDescent="0.6">
      <c r="A28" s="89" t="s">
        <v>117</v>
      </c>
      <c r="B28" s="77">
        <v>0.1</v>
      </c>
      <c r="C28" s="77">
        <v>0</v>
      </c>
      <c r="D28" s="77">
        <v>0.2</v>
      </c>
      <c r="E28" s="77">
        <v>0.2</v>
      </c>
      <c r="F28" s="77">
        <v>0</v>
      </c>
      <c r="G28" s="77">
        <v>0</v>
      </c>
      <c r="H28" s="92">
        <v>0</v>
      </c>
      <c r="I28" s="75">
        <v>0</v>
      </c>
      <c r="J28" s="75">
        <v>0.5</v>
      </c>
    </row>
    <row r="29" spans="1:10" ht="14.7" thickBot="1" x14ac:dyDescent="0.6">
      <c r="A29" s="80" t="s">
        <v>111</v>
      </c>
      <c r="B29" s="77">
        <v>5</v>
      </c>
      <c r="C29" s="77">
        <v>9.1</v>
      </c>
      <c r="D29" s="77">
        <v>6.6</v>
      </c>
      <c r="E29" s="77">
        <v>3.1</v>
      </c>
      <c r="F29" s="77">
        <v>0.4</v>
      </c>
      <c r="G29" s="77">
        <v>0</v>
      </c>
      <c r="H29" s="92">
        <v>9.3000000000000007</v>
      </c>
      <c r="I29" s="75">
        <v>0.7</v>
      </c>
      <c r="J29" s="75">
        <v>34.4</v>
      </c>
    </row>
    <row r="30" spans="1:10" ht="30.6" x14ac:dyDescent="0.55000000000000004">
      <c r="A30" s="91" t="s">
        <v>124</v>
      </c>
      <c r="B30" s="84">
        <v>0.8</v>
      </c>
      <c r="C30" s="84">
        <v>6.1</v>
      </c>
      <c r="D30" s="84">
        <v>2.2000000000000002</v>
      </c>
      <c r="E30" s="84">
        <v>0.2</v>
      </c>
      <c r="F30" s="84">
        <v>0.1</v>
      </c>
      <c r="G30" s="84">
        <v>0.1</v>
      </c>
      <c r="H30" s="90">
        <v>3.7</v>
      </c>
      <c r="I30" s="82">
        <v>0</v>
      </c>
      <c r="J30" s="82">
        <v>13.2</v>
      </c>
    </row>
    <row r="31" spans="1:10" x14ac:dyDescent="0.55000000000000004">
      <c r="A31" s="87" t="s">
        <v>115</v>
      </c>
      <c r="B31" s="84">
        <v>0.1</v>
      </c>
      <c r="C31" s="84">
        <v>3.7</v>
      </c>
      <c r="D31" s="84">
        <v>2.1</v>
      </c>
      <c r="E31" s="84">
        <v>0.4</v>
      </c>
      <c r="F31" s="84">
        <v>0.1</v>
      </c>
      <c r="G31" s="84">
        <v>0</v>
      </c>
      <c r="H31" s="90">
        <v>3.1</v>
      </c>
      <c r="I31" s="82">
        <v>0</v>
      </c>
      <c r="J31" s="82">
        <v>9.6</v>
      </c>
    </row>
    <row r="32" spans="1:10" x14ac:dyDescent="0.55000000000000004">
      <c r="A32" s="87" t="s">
        <v>114</v>
      </c>
      <c r="B32" s="84">
        <v>3</v>
      </c>
      <c r="C32" s="84">
        <v>8.6999999999999993</v>
      </c>
      <c r="D32" s="84">
        <v>2.5</v>
      </c>
      <c r="E32" s="84">
        <v>0.7</v>
      </c>
      <c r="F32" s="84">
        <v>0.3</v>
      </c>
      <c r="G32" s="84">
        <v>0.3</v>
      </c>
      <c r="H32" s="90">
        <v>2.8</v>
      </c>
      <c r="I32" s="82">
        <v>0</v>
      </c>
      <c r="J32" s="82">
        <v>18.3</v>
      </c>
    </row>
    <row r="33" spans="1:10" x14ac:dyDescent="0.55000000000000004">
      <c r="A33" s="87" t="s">
        <v>113</v>
      </c>
      <c r="B33" s="84">
        <v>1.6</v>
      </c>
      <c r="C33" s="86">
        <v>18.899999999999999</v>
      </c>
      <c r="D33" s="85">
        <v>11.7</v>
      </c>
      <c r="E33" s="84">
        <v>2.1</v>
      </c>
      <c r="F33" s="84">
        <v>1.4</v>
      </c>
      <c r="G33" s="84">
        <v>0.2</v>
      </c>
      <c r="H33" s="90">
        <v>6.1</v>
      </c>
      <c r="I33" s="82">
        <v>0.1</v>
      </c>
      <c r="J33" s="82">
        <v>42</v>
      </c>
    </row>
    <row r="34" spans="1:10" ht="14.7" thickBot="1" x14ac:dyDescent="0.6">
      <c r="A34" s="89" t="s">
        <v>117</v>
      </c>
      <c r="B34" s="77">
        <v>1.8</v>
      </c>
      <c r="C34" s="77">
        <v>1</v>
      </c>
      <c r="D34" s="77">
        <v>0.2</v>
      </c>
      <c r="E34" s="77">
        <v>0</v>
      </c>
      <c r="F34" s="77">
        <v>0</v>
      </c>
      <c r="G34" s="77">
        <v>0</v>
      </c>
      <c r="H34" s="92">
        <v>0</v>
      </c>
      <c r="I34" s="75">
        <v>0</v>
      </c>
      <c r="J34" s="75">
        <v>3.1</v>
      </c>
    </row>
    <row r="35" spans="1:10" ht="14.7" thickBot="1" x14ac:dyDescent="0.6">
      <c r="A35" s="80" t="s">
        <v>111</v>
      </c>
      <c r="B35" s="77">
        <v>7.3</v>
      </c>
      <c r="C35" s="78">
        <v>38.4</v>
      </c>
      <c r="D35" s="79">
        <v>18.600000000000001</v>
      </c>
      <c r="E35" s="77">
        <v>3.4</v>
      </c>
      <c r="F35" s="77">
        <v>1.9</v>
      </c>
      <c r="G35" s="77">
        <v>0.6</v>
      </c>
      <c r="H35" s="76">
        <v>15.8</v>
      </c>
      <c r="I35" s="75">
        <v>0.1</v>
      </c>
      <c r="J35" s="75">
        <v>86.2</v>
      </c>
    </row>
    <row r="36" spans="1:10" ht="30.6" x14ac:dyDescent="0.55000000000000004">
      <c r="A36" s="91" t="s">
        <v>123</v>
      </c>
      <c r="B36" s="84">
        <v>17.7</v>
      </c>
      <c r="C36" s="84">
        <v>3.8</v>
      </c>
      <c r="D36" s="84">
        <v>4.7</v>
      </c>
      <c r="E36" s="84">
        <v>0.8</v>
      </c>
      <c r="F36" s="84">
        <v>1.4</v>
      </c>
      <c r="G36" s="84">
        <v>8.8000000000000007</v>
      </c>
      <c r="H36" s="83">
        <v>18.899999999999999</v>
      </c>
      <c r="I36" s="82">
        <v>0</v>
      </c>
      <c r="J36" s="82">
        <v>56</v>
      </c>
    </row>
    <row r="37" spans="1:10" x14ac:dyDescent="0.55000000000000004">
      <c r="A37" s="87" t="s">
        <v>115</v>
      </c>
      <c r="B37" s="84">
        <v>7.2</v>
      </c>
      <c r="C37" s="84">
        <v>0.7</v>
      </c>
      <c r="D37" s="84">
        <v>2.2000000000000002</v>
      </c>
      <c r="E37" s="84">
        <v>0.1</v>
      </c>
      <c r="F37" s="84">
        <v>0.1</v>
      </c>
      <c r="G37" s="84">
        <v>0.7</v>
      </c>
      <c r="H37" s="90">
        <v>7.4</v>
      </c>
      <c r="I37" s="82">
        <v>0.1</v>
      </c>
      <c r="J37" s="82">
        <v>18.600000000000001</v>
      </c>
    </row>
    <row r="38" spans="1:10" x14ac:dyDescent="0.55000000000000004">
      <c r="A38" s="87" t="s">
        <v>114</v>
      </c>
      <c r="B38" s="84">
        <v>8</v>
      </c>
      <c r="C38" s="84">
        <v>0.2</v>
      </c>
      <c r="D38" s="84">
        <v>1.3</v>
      </c>
      <c r="E38" s="84">
        <v>0.1</v>
      </c>
      <c r="F38" s="84">
        <v>0</v>
      </c>
      <c r="G38" s="84">
        <v>0.1</v>
      </c>
      <c r="H38" s="90">
        <v>5.5</v>
      </c>
      <c r="I38" s="82">
        <v>0</v>
      </c>
      <c r="J38" s="82">
        <v>15.2</v>
      </c>
    </row>
    <row r="39" spans="1:10" x14ac:dyDescent="0.55000000000000004">
      <c r="A39" s="87" t="s">
        <v>113</v>
      </c>
      <c r="B39" s="84">
        <v>16.899999999999999</v>
      </c>
      <c r="C39" s="84">
        <v>0.5</v>
      </c>
      <c r="D39" s="84">
        <v>4.5</v>
      </c>
      <c r="E39" s="84">
        <v>0.4</v>
      </c>
      <c r="F39" s="84">
        <v>1.4</v>
      </c>
      <c r="G39" s="84">
        <v>3.7</v>
      </c>
      <c r="H39" s="83">
        <v>12.3</v>
      </c>
      <c r="I39" s="82">
        <v>0</v>
      </c>
      <c r="J39" s="82">
        <v>39.700000000000003</v>
      </c>
    </row>
    <row r="40" spans="1:10" ht="14.7" thickBot="1" x14ac:dyDescent="0.6">
      <c r="A40" s="89" t="s">
        <v>117</v>
      </c>
      <c r="B40" s="77">
        <v>2.8</v>
      </c>
      <c r="C40" s="77">
        <v>0.3</v>
      </c>
      <c r="D40" s="77">
        <v>0.7</v>
      </c>
      <c r="E40" s="77">
        <v>0.1</v>
      </c>
      <c r="F40" s="77">
        <v>0.4</v>
      </c>
      <c r="G40" s="77">
        <v>0.4</v>
      </c>
      <c r="H40" s="92">
        <v>0.1</v>
      </c>
      <c r="I40" s="75">
        <v>0</v>
      </c>
      <c r="J40" s="75">
        <v>4.9000000000000004</v>
      </c>
    </row>
    <row r="41" spans="1:10" ht="14.7" thickBot="1" x14ac:dyDescent="0.6">
      <c r="A41" s="80" t="s">
        <v>111</v>
      </c>
      <c r="B41" s="77">
        <v>52.6</v>
      </c>
      <c r="C41" s="77">
        <v>5.5</v>
      </c>
      <c r="D41" s="79">
        <v>13.4</v>
      </c>
      <c r="E41" s="77">
        <v>1.5</v>
      </c>
      <c r="F41" s="77">
        <v>3.3</v>
      </c>
      <c r="G41" s="77">
        <v>13.8</v>
      </c>
      <c r="H41" s="76">
        <v>44.2</v>
      </c>
      <c r="I41" s="75">
        <v>0.1</v>
      </c>
      <c r="J41" s="75">
        <v>134.4</v>
      </c>
    </row>
    <row r="42" spans="1:10" x14ac:dyDescent="0.55000000000000004">
      <c r="A42" s="504" t="s">
        <v>122</v>
      </c>
      <c r="B42" s="86" t="s">
        <v>121</v>
      </c>
      <c r="C42" s="506">
        <v>1.6</v>
      </c>
      <c r="D42" s="506">
        <v>1</v>
      </c>
      <c r="E42" s="506">
        <v>0.3</v>
      </c>
      <c r="F42" s="506">
        <v>0.3</v>
      </c>
      <c r="G42" s="506">
        <v>0</v>
      </c>
      <c r="H42" s="498">
        <v>5.9</v>
      </c>
      <c r="I42" s="500">
        <v>0</v>
      </c>
      <c r="J42" s="502">
        <v>12.2</v>
      </c>
    </row>
    <row r="43" spans="1:10" x14ac:dyDescent="0.55000000000000004">
      <c r="A43" s="505"/>
      <c r="B43" s="84">
        <v>3.2</v>
      </c>
      <c r="C43" s="507"/>
      <c r="D43" s="507"/>
      <c r="E43" s="507"/>
      <c r="F43" s="507"/>
      <c r="G43" s="507"/>
      <c r="H43" s="499"/>
      <c r="I43" s="501"/>
      <c r="J43" s="503"/>
    </row>
    <row r="44" spans="1:10" x14ac:dyDescent="0.55000000000000004">
      <c r="A44" s="87" t="s">
        <v>115</v>
      </c>
      <c r="B44" s="84">
        <v>1.6</v>
      </c>
      <c r="C44" s="84">
        <v>0.5</v>
      </c>
      <c r="D44" s="84">
        <v>1.3</v>
      </c>
      <c r="E44" s="84">
        <v>0.1</v>
      </c>
      <c r="F44" s="84">
        <v>0</v>
      </c>
      <c r="G44" s="84">
        <v>0</v>
      </c>
      <c r="H44" s="90">
        <v>3.2</v>
      </c>
      <c r="I44" s="82">
        <v>0</v>
      </c>
      <c r="J44" s="82">
        <v>6.6</v>
      </c>
    </row>
    <row r="45" spans="1:10" x14ac:dyDescent="0.55000000000000004">
      <c r="A45" s="87" t="s">
        <v>114</v>
      </c>
      <c r="B45" s="84">
        <v>2.1</v>
      </c>
      <c r="C45" s="84">
        <v>0.9</v>
      </c>
      <c r="D45" s="84">
        <v>1</v>
      </c>
      <c r="E45" s="84">
        <v>0.1</v>
      </c>
      <c r="F45" s="84">
        <v>0.1</v>
      </c>
      <c r="G45" s="84">
        <v>0</v>
      </c>
      <c r="H45" s="90">
        <v>4</v>
      </c>
      <c r="I45" s="82">
        <v>1</v>
      </c>
      <c r="J45" s="82">
        <v>9.1999999999999993</v>
      </c>
    </row>
    <row r="46" spans="1:10" x14ac:dyDescent="0.55000000000000004">
      <c r="A46" s="87" t="s">
        <v>113</v>
      </c>
      <c r="B46" s="84">
        <v>8.5</v>
      </c>
      <c r="C46" s="86">
        <v>10.8</v>
      </c>
      <c r="D46" s="84">
        <v>9.8000000000000007</v>
      </c>
      <c r="E46" s="84">
        <v>1.9</v>
      </c>
      <c r="F46" s="84">
        <v>1.1000000000000001</v>
      </c>
      <c r="G46" s="84">
        <v>0.2</v>
      </c>
      <c r="H46" s="83">
        <v>16.600000000000001</v>
      </c>
      <c r="I46" s="82">
        <v>1</v>
      </c>
      <c r="J46" s="82">
        <v>50</v>
      </c>
    </row>
    <row r="47" spans="1:10" ht="14.7" thickBot="1" x14ac:dyDescent="0.6">
      <c r="A47" s="89" t="s">
        <v>117</v>
      </c>
      <c r="B47" s="77">
        <v>0.2</v>
      </c>
      <c r="C47" s="77">
        <v>0.2</v>
      </c>
      <c r="D47" s="77">
        <v>0.5</v>
      </c>
      <c r="E47" s="77">
        <v>0</v>
      </c>
      <c r="F47" s="77">
        <v>0</v>
      </c>
      <c r="G47" s="77">
        <v>0</v>
      </c>
      <c r="H47" s="92">
        <v>0</v>
      </c>
      <c r="I47" s="75">
        <v>0</v>
      </c>
      <c r="J47" s="75">
        <v>1</v>
      </c>
    </row>
    <row r="48" spans="1:10" ht="14.7" thickBot="1" x14ac:dyDescent="0.6">
      <c r="A48" s="80" t="s">
        <v>111</v>
      </c>
      <c r="B48" s="77">
        <v>15.6</v>
      </c>
      <c r="C48" s="78">
        <v>13.9</v>
      </c>
      <c r="D48" s="79">
        <v>13.5</v>
      </c>
      <c r="E48" s="77">
        <v>2.4</v>
      </c>
      <c r="F48" s="77">
        <v>1.5</v>
      </c>
      <c r="G48" s="77">
        <v>0.3</v>
      </c>
      <c r="H48" s="76">
        <v>29.7</v>
      </c>
      <c r="I48" s="75">
        <v>2</v>
      </c>
      <c r="J48" s="75">
        <v>79</v>
      </c>
    </row>
    <row r="49" spans="1:10" ht="30.6" x14ac:dyDescent="0.55000000000000004">
      <c r="A49" s="91" t="s">
        <v>120</v>
      </c>
      <c r="B49" s="84">
        <v>1.9</v>
      </c>
      <c r="C49" s="84">
        <v>0</v>
      </c>
      <c r="D49" s="84">
        <v>1.8</v>
      </c>
      <c r="E49" s="84">
        <v>0.4</v>
      </c>
      <c r="F49" s="84">
        <v>0</v>
      </c>
      <c r="G49" s="84">
        <v>0.1</v>
      </c>
      <c r="H49" s="90">
        <v>4.8</v>
      </c>
      <c r="I49" s="82">
        <v>0</v>
      </c>
      <c r="J49" s="82">
        <v>8.8000000000000007</v>
      </c>
    </row>
    <row r="50" spans="1:10" x14ac:dyDescent="0.55000000000000004">
      <c r="A50" s="87" t="s">
        <v>115</v>
      </c>
      <c r="B50" s="84">
        <v>0.3</v>
      </c>
      <c r="C50" s="84">
        <v>0</v>
      </c>
      <c r="D50" s="84">
        <v>0.6</v>
      </c>
      <c r="E50" s="84">
        <v>0</v>
      </c>
      <c r="F50" s="84">
        <v>0</v>
      </c>
      <c r="G50" s="84">
        <v>0</v>
      </c>
      <c r="H50" s="90">
        <v>0.9</v>
      </c>
      <c r="I50" s="82">
        <v>0</v>
      </c>
      <c r="J50" s="82">
        <v>1.9</v>
      </c>
    </row>
    <row r="51" spans="1:10" x14ac:dyDescent="0.55000000000000004">
      <c r="A51" s="87" t="s">
        <v>114</v>
      </c>
      <c r="B51" s="84">
        <v>0.5</v>
      </c>
      <c r="C51" s="84">
        <v>0.1</v>
      </c>
      <c r="D51" s="84">
        <v>0.9</v>
      </c>
      <c r="E51" s="84">
        <v>0.2</v>
      </c>
      <c r="F51" s="84">
        <v>0.1</v>
      </c>
      <c r="G51" s="84">
        <v>0</v>
      </c>
      <c r="H51" s="90">
        <v>1.6</v>
      </c>
      <c r="I51" s="82">
        <v>0</v>
      </c>
      <c r="J51" s="82">
        <v>3.4</v>
      </c>
    </row>
    <row r="52" spans="1:10" x14ac:dyDescent="0.55000000000000004">
      <c r="A52" s="87" t="s">
        <v>113</v>
      </c>
      <c r="B52" s="84">
        <v>2.2999999999999998</v>
      </c>
      <c r="C52" s="84">
        <v>0</v>
      </c>
      <c r="D52" s="84">
        <v>4.5</v>
      </c>
      <c r="E52" s="84">
        <v>2.2000000000000002</v>
      </c>
      <c r="F52" s="84">
        <v>0.5</v>
      </c>
      <c r="G52" s="84">
        <v>0.3</v>
      </c>
      <c r="H52" s="90">
        <v>5</v>
      </c>
      <c r="I52" s="82">
        <v>0</v>
      </c>
      <c r="J52" s="82">
        <v>14.8</v>
      </c>
    </row>
    <row r="53" spans="1:10" ht="14.7" thickBot="1" x14ac:dyDescent="0.6">
      <c r="A53" s="89" t="s">
        <v>117</v>
      </c>
      <c r="B53" s="77">
        <v>0.2</v>
      </c>
      <c r="C53" s="77">
        <v>0</v>
      </c>
      <c r="D53" s="77">
        <v>0.6</v>
      </c>
      <c r="E53" s="77">
        <v>0.6</v>
      </c>
      <c r="F53" s="77">
        <v>0.1</v>
      </c>
      <c r="G53" s="77">
        <v>0</v>
      </c>
      <c r="H53" s="92">
        <v>0.1</v>
      </c>
      <c r="I53" s="75">
        <v>0</v>
      </c>
      <c r="J53" s="75">
        <v>1.6</v>
      </c>
    </row>
    <row r="54" spans="1:10" ht="14.7" thickBot="1" x14ac:dyDescent="0.6">
      <c r="A54" s="80" t="s">
        <v>111</v>
      </c>
      <c r="B54" s="77">
        <v>5.2</v>
      </c>
      <c r="C54" s="77">
        <v>0.1</v>
      </c>
      <c r="D54" s="77">
        <v>8.3000000000000007</v>
      </c>
      <c r="E54" s="77">
        <v>3.4</v>
      </c>
      <c r="F54" s="77">
        <v>0.7</v>
      </c>
      <c r="G54" s="77">
        <v>0.4</v>
      </c>
      <c r="H54" s="76">
        <v>12.4</v>
      </c>
      <c r="I54" s="75">
        <v>0</v>
      </c>
      <c r="J54" s="75">
        <v>30.5</v>
      </c>
    </row>
    <row r="55" spans="1:10" ht="30.6" x14ac:dyDescent="0.55000000000000004">
      <c r="A55" s="91" t="s">
        <v>119</v>
      </c>
      <c r="B55" s="84">
        <v>0.4</v>
      </c>
      <c r="C55" s="84">
        <v>0.1</v>
      </c>
      <c r="D55" s="84">
        <v>0.6</v>
      </c>
      <c r="E55" s="84">
        <v>0.6</v>
      </c>
      <c r="F55" s="84">
        <v>0.1</v>
      </c>
      <c r="G55" s="84">
        <v>0</v>
      </c>
      <c r="H55" s="90">
        <v>1.4</v>
      </c>
      <c r="I55" s="82">
        <v>0</v>
      </c>
      <c r="J55" s="82">
        <v>3.3</v>
      </c>
    </row>
    <row r="56" spans="1:10" x14ac:dyDescent="0.55000000000000004">
      <c r="A56" s="87" t="s">
        <v>115</v>
      </c>
      <c r="B56" s="84">
        <v>0.2</v>
      </c>
      <c r="C56" s="84">
        <v>0.2</v>
      </c>
      <c r="D56" s="84">
        <v>0.1</v>
      </c>
      <c r="E56" s="84">
        <v>0.2</v>
      </c>
      <c r="F56" s="84">
        <v>0</v>
      </c>
      <c r="G56" s="84">
        <v>0</v>
      </c>
      <c r="H56" s="90">
        <v>0.7</v>
      </c>
      <c r="I56" s="82">
        <v>0</v>
      </c>
      <c r="J56" s="82">
        <v>1.5</v>
      </c>
    </row>
    <row r="57" spans="1:10" x14ac:dyDescent="0.55000000000000004">
      <c r="A57" s="87" t="s">
        <v>114</v>
      </c>
      <c r="B57" s="84">
        <v>0.6</v>
      </c>
      <c r="C57" s="84">
        <v>0</v>
      </c>
      <c r="D57" s="84">
        <v>0.1</v>
      </c>
      <c r="E57" s="84">
        <v>0.1</v>
      </c>
      <c r="F57" s="84">
        <v>0</v>
      </c>
      <c r="G57" s="84">
        <v>0</v>
      </c>
      <c r="H57" s="90">
        <v>0.8</v>
      </c>
      <c r="I57" s="82">
        <v>0</v>
      </c>
      <c r="J57" s="82">
        <v>1.6</v>
      </c>
    </row>
    <row r="58" spans="1:10" x14ac:dyDescent="0.55000000000000004">
      <c r="A58" s="87" t="s">
        <v>113</v>
      </c>
      <c r="B58" s="84">
        <v>0.9</v>
      </c>
      <c r="C58" s="84">
        <v>0.4</v>
      </c>
      <c r="D58" s="84">
        <v>1.9</v>
      </c>
      <c r="E58" s="84">
        <v>3.8</v>
      </c>
      <c r="F58" s="84">
        <v>0.7</v>
      </c>
      <c r="G58" s="84">
        <v>0.2</v>
      </c>
      <c r="H58" s="90">
        <v>2.8</v>
      </c>
      <c r="I58" s="82">
        <v>0.1</v>
      </c>
      <c r="J58" s="82">
        <v>10.8</v>
      </c>
    </row>
    <row r="59" spans="1:10" ht="14.7" thickBot="1" x14ac:dyDescent="0.6">
      <c r="A59" s="89" t="s">
        <v>117</v>
      </c>
      <c r="B59" s="77">
        <v>0.1</v>
      </c>
      <c r="C59" s="77">
        <v>0.2</v>
      </c>
      <c r="D59" s="77">
        <v>0.3</v>
      </c>
      <c r="E59" s="77">
        <v>0.6</v>
      </c>
      <c r="F59" s="77">
        <v>0.2</v>
      </c>
      <c r="G59" s="77">
        <v>0</v>
      </c>
      <c r="H59" s="92">
        <v>0.1</v>
      </c>
      <c r="I59" s="75">
        <v>0</v>
      </c>
      <c r="J59" s="75">
        <v>1.3</v>
      </c>
    </row>
    <row r="60" spans="1:10" ht="14.7" thickBot="1" x14ac:dyDescent="0.6">
      <c r="A60" s="80" t="s">
        <v>111</v>
      </c>
      <c r="B60" s="77">
        <v>2.2999999999999998</v>
      </c>
      <c r="C60" s="77">
        <v>0.9</v>
      </c>
      <c r="D60" s="77">
        <v>3</v>
      </c>
      <c r="E60" s="77">
        <v>5.2</v>
      </c>
      <c r="F60" s="77">
        <v>1</v>
      </c>
      <c r="G60" s="77">
        <v>0.2</v>
      </c>
      <c r="H60" s="92">
        <v>5.8</v>
      </c>
      <c r="I60" s="75">
        <v>0.1</v>
      </c>
      <c r="J60" s="75">
        <v>18.600000000000001</v>
      </c>
    </row>
    <row r="61" spans="1:10" ht="20.399999999999999" x14ac:dyDescent="0.55000000000000004">
      <c r="A61" s="91" t="s">
        <v>118</v>
      </c>
      <c r="B61" s="84">
        <v>0</v>
      </c>
      <c r="C61" s="84">
        <v>0</v>
      </c>
      <c r="D61" s="84">
        <v>0</v>
      </c>
      <c r="E61" s="84">
        <v>0</v>
      </c>
      <c r="F61" s="84">
        <v>0</v>
      </c>
      <c r="G61" s="84">
        <v>0</v>
      </c>
      <c r="H61" s="90">
        <v>0</v>
      </c>
      <c r="I61" s="82">
        <v>0</v>
      </c>
      <c r="J61" s="82">
        <v>0</v>
      </c>
    </row>
    <row r="62" spans="1:10" x14ac:dyDescent="0.55000000000000004">
      <c r="A62" s="87" t="s">
        <v>115</v>
      </c>
      <c r="B62" s="84">
        <v>0</v>
      </c>
      <c r="C62" s="84">
        <v>0</v>
      </c>
      <c r="D62" s="84">
        <v>0</v>
      </c>
      <c r="E62" s="84">
        <v>0</v>
      </c>
      <c r="F62" s="84">
        <v>0</v>
      </c>
      <c r="G62" s="84">
        <v>0</v>
      </c>
      <c r="H62" s="90">
        <v>0</v>
      </c>
      <c r="I62" s="82">
        <v>0</v>
      </c>
      <c r="J62" s="82">
        <v>0</v>
      </c>
    </row>
    <row r="63" spans="1:10" x14ac:dyDescent="0.55000000000000004">
      <c r="A63" s="87" t="s">
        <v>114</v>
      </c>
      <c r="B63" s="84">
        <v>0</v>
      </c>
      <c r="C63" s="84">
        <v>0</v>
      </c>
      <c r="D63" s="84">
        <v>0</v>
      </c>
      <c r="E63" s="84">
        <v>0</v>
      </c>
      <c r="F63" s="84">
        <v>0</v>
      </c>
      <c r="G63" s="84">
        <v>0</v>
      </c>
      <c r="H63" s="90">
        <v>0</v>
      </c>
      <c r="I63" s="82">
        <v>0</v>
      </c>
      <c r="J63" s="82">
        <v>0</v>
      </c>
    </row>
    <row r="64" spans="1:10" x14ac:dyDescent="0.55000000000000004">
      <c r="A64" s="87" t="s">
        <v>113</v>
      </c>
      <c r="B64" s="84">
        <v>0</v>
      </c>
      <c r="C64" s="84">
        <v>0</v>
      </c>
      <c r="D64" s="84">
        <v>0</v>
      </c>
      <c r="E64" s="84">
        <v>0</v>
      </c>
      <c r="F64" s="84">
        <v>0</v>
      </c>
      <c r="G64" s="84">
        <v>0</v>
      </c>
      <c r="H64" s="90">
        <v>0</v>
      </c>
      <c r="I64" s="82">
        <v>0</v>
      </c>
      <c r="J64" s="82">
        <v>0</v>
      </c>
    </row>
    <row r="65" spans="1:10" ht="14.7" thickBot="1" x14ac:dyDescent="0.6">
      <c r="A65" s="89" t="s">
        <v>117</v>
      </c>
      <c r="B65" s="77">
        <v>5.9</v>
      </c>
      <c r="C65" s="77">
        <v>8.9</v>
      </c>
      <c r="D65" s="79">
        <v>15</v>
      </c>
      <c r="E65" s="79">
        <v>10.6</v>
      </c>
      <c r="F65" s="77">
        <v>3.1</v>
      </c>
      <c r="G65" s="77">
        <v>0.2</v>
      </c>
      <c r="H65" s="76">
        <v>17.8</v>
      </c>
      <c r="I65" s="75">
        <v>3</v>
      </c>
      <c r="J65" s="75">
        <v>64.3</v>
      </c>
    </row>
    <row r="66" spans="1:10" ht="14.7" thickBot="1" x14ac:dyDescent="0.6">
      <c r="A66" s="80" t="s">
        <v>111</v>
      </c>
      <c r="B66" s="77">
        <v>5.9</v>
      </c>
      <c r="C66" s="77">
        <v>8.9</v>
      </c>
      <c r="D66" s="79">
        <v>15</v>
      </c>
      <c r="E66" s="79">
        <v>10.6</v>
      </c>
      <c r="F66" s="77">
        <v>3.1</v>
      </c>
      <c r="G66" s="77">
        <v>0.2</v>
      </c>
      <c r="H66" s="76">
        <v>17.8</v>
      </c>
      <c r="I66" s="75">
        <v>3</v>
      </c>
      <c r="J66" s="75">
        <v>64.3</v>
      </c>
    </row>
    <row r="67" spans="1:10" ht="20.399999999999999" x14ac:dyDescent="0.55000000000000004">
      <c r="A67" s="88" t="s">
        <v>116</v>
      </c>
      <c r="B67" s="84">
        <v>25.2</v>
      </c>
      <c r="C67" s="86">
        <v>12.3</v>
      </c>
      <c r="D67" s="85">
        <v>13.1</v>
      </c>
      <c r="E67" s="84">
        <v>3.8</v>
      </c>
      <c r="F67" s="84">
        <v>2.1</v>
      </c>
      <c r="G67" s="84">
        <v>9</v>
      </c>
      <c r="H67" s="83">
        <v>39.299999999999997</v>
      </c>
      <c r="I67" s="82">
        <v>0.1</v>
      </c>
      <c r="J67" s="82">
        <v>105</v>
      </c>
    </row>
    <row r="68" spans="1:10" x14ac:dyDescent="0.55000000000000004">
      <c r="A68" s="87" t="s">
        <v>115</v>
      </c>
      <c r="B68" s="84">
        <v>10.3</v>
      </c>
      <c r="C68" s="84">
        <v>6</v>
      </c>
      <c r="D68" s="84">
        <v>6.9</v>
      </c>
      <c r="E68" s="84">
        <v>1</v>
      </c>
      <c r="F68" s="84">
        <v>0.3</v>
      </c>
      <c r="G68" s="84">
        <v>0.8</v>
      </c>
      <c r="H68" s="83">
        <v>16.100000000000001</v>
      </c>
      <c r="I68" s="82">
        <v>0.1</v>
      </c>
      <c r="J68" s="82">
        <v>41.4</v>
      </c>
    </row>
    <row r="69" spans="1:10" x14ac:dyDescent="0.55000000000000004">
      <c r="A69" s="87" t="s">
        <v>114</v>
      </c>
      <c r="B69" s="84">
        <v>14.9</v>
      </c>
      <c r="C69" s="86">
        <v>10.9</v>
      </c>
      <c r="D69" s="84">
        <v>6.8</v>
      </c>
      <c r="E69" s="84">
        <v>1.5</v>
      </c>
      <c r="F69" s="84">
        <v>0.5</v>
      </c>
      <c r="G69" s="84">
        <v>0.4</v>
      </c>
      <c r="H69" s="83">
        <v>16.100000000000001</v>
      </c>
      <c r="I69" s="82">
        <v>1</v>
      </c>
      <c r="J69" s="82">
        <v>52.4</v>
      </c>
    </row>
    <row r="70" spans="1:10" x14ac:dyDescent="0.55000000000000004">
      <c r="A70" s="87" t="s">
        <v>113</v>
      </c>
      <c r="B70" s="84">
        <v>32.299999999999997</v>
      </c>
      <c r="C70" s="86">
        <v>37.1</v>
      </c>
      <c r="D70" s="85">
        <v>34.1</v>
      </c>
      <c r="E70" s="85">
        <v>11.3</v>
      </c>
      <c r="F70" s="84">
        <v>5.3</v>
      </c>
      <c r="G70" s="84">
        <v>4.5999999999999996</v>
      </c>
      <c r="H70" s="83">
        <v>45.2</v>
      </c>
      <c r="I70" s="82">
        <v>1.9</v>
      </c>
      <c r="J70" s="82">
        <v>171.8</v>
      </c>
    </row>
    <row r="71" spans="1:10" ht="15.6" thickBot="1" x14ac:dyDescent="0.6">
      <c r="A71" s="81" t="s">
        <v>112</v>
      </c>
      <c r="B71" s="77">
        <v>11.1</v>
      </c>
      <c r="C71" s="78">
        <v>10.5</v>
      </c>
      <c r="D71" s="79">
        <v>17.5</v>
      </c>
      <c r="E71" s="79">
        <v>12.1</v>
      </c>
      <c r="F71" s="77">
        <v>3.8</v>
      </c>
      <c r="G71" s="77">
        <v>0.6</v>
      </c>
      <c r="H71" s="76">
        <v>18.100000000000001</v>
      </c>
      <c r="I71" s="75">
        <v>3</v>
      </c>
      <c r="J71" s="75">
        <v>76.599999999999994</v>
      </c>
    </row>
    <row r="72" spans="1:10" ht="14.7" thickBot="1" x14ac:dyDescent="0.6">
      <c r="A72" s="80" t="s">
        <v>111</v>
      </c>
      <c r="B72" s="77">
        <v>93.9</v>
      </c>
      <c r="C72" s="78">
        <v>76.8</v>
      </c>
      <c r="D72" s="79">
        <v>78.400000000000006</v>
      </c>
      <c r="E72" s="79">
        <v>29.7</v>
      </c>
      <c r="F72" s="78">
        <v>12</v>
      </c>
      <c r="G72" s="77">
        <v>15.5</v>
      </c>
      <c r="H72" s="76">
        <v>134.9</v>
      </c>
      <c r="I72" s="75">
        <v>6.1</v>
      </c>
      <c r="J72" s="75">
        <v>447.2</v>
      </c>
    </row>
  </sheetData>
  <mergeCells count="12">
    <mergeCell ref="J42:J43"/>
    <mergeCell ref="A42:A43"/>
    <mergeCell ref="C42:C43"/>
    <mergeCell ref="D42:D43"/>
    <mergeCell ref="E42:E43"/>
    <mergeCell ref="F42:F43"/>
    <mergeCell ref="G42:G43"/>
    <mergeCell ref="B10:G10"/>
    <mergeCell ref="B12:G12"/>
    <mergeCell ref="B11:G11"/>
    <mergeCell ref="H42:H43"/>
    <mergeCell ref="I42:I4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23D3A-4402-496D-9BAF-DA01A8AA25FE}">
  <sheetPr codeName="Sheet12">
    <tabColor theme="7"/>
  </sheetPr>
  <dimension ref="A1:P78"/>
  <sheetViews>
    <sheetView workbookViewId="0">
      <selection activeCell="C14" sqref="C14"/>
    </sheetView>
  </sheetViews>
  <sheetFormatPr defaultColWidth="8.83984375" defaultRowHeight="14.4" x14ac:dyDescent="0.55000000000000004"/>
  <cols>
    <col min="1" max="1" width="10.15625" style="73" customWidth="1"/>
    <col min="2" max="2" width="19.578125" style="73" customWidth="1"/>
    <col min="3" max="3" width="25.68359375" style="73" customWidth="1"/>
    <col min="4" max="4" width="21.26171875" style="73" customWidth="1"/>
    <col min="5" max="5" width="13.26171875" style="73" customWidth="1"/>
    <col min="6" max="6" width="21.26171875" style="73" customWidth="1"/>
    <col min="7" max="7" width="17.26171875" style="73" customWidth="1"/>
    <col min="8" max="8" width="20.41796875" style="73" customWidth="1"/>
    <col min="9" max="9" width="19.83984375" style="73" customWidth="1"/>
    <col min="10" max="10" width="20" style="73" customWidth="1"/>
    <col min="11" max="16384" width="8.83984375" style="73"/>
  </cols>
  <sheetData>
    <row r="1" spans="2:9" x14ac:dyDescent="0.55000000000000004">
      <c r="B1" s="120" t="s">
        <v>205</v>
      </c>
      <c r="C1" s="120" t="s">
        <v>204</v>
      </c>
      <c r="D1" s="119" t="s">
        <v>109</v>
      </c>
      <c r="E1" s="119" t="s">
        <v>56</v>
      </c>
      <c r="F1" s="119" t="s">
        <v>55</v>
      </c>
      <c r="G1" s="119" t="s">
        <v>54</v>
      </c>
      <c r="H1" s="119" t="s">
        <v>53</v>
      </c>
      <c r="I1" s="119" t="s">
        <v>50</v>
      </c>
    </row>
    <row r="2" spans="2:9" x14ac:dyDescent="0.55000000000000004">
      <c r="C2" s="73" t="s">
        <v>11</v>
      </c>
      <c r="D2" s="73">
        <f t="shared" ref="D2:D13" si="0">SUMIF($D$20:$D$81,$C2,E$20:E$81)</f>
        <v>1371329</v>
      </c>
      <c r="E2" s="73">
        <f t="shared" ref="E2:I10" si="1">SUMIF($D$20:$D$81,$C2,F$20:F$81)</f>
        <v>50991</v>
      </c>
      <c r="F2" s="73">
        <f t="shared" si="1"/>
        <v>281422</v>
      </c>
      <c r="G2" s="73">
        <f t="shared" si="1"/>
        <v>384925</v>
      </c>
      <c r="H2" s="73">
        <f t="shared" si="1"/>
        <v>417632</v>
      </c>
      <c r="I2" s="73">
        <f t="shared" si="1"/>
        <v>236359</v>
      </c>
    </row>
    <row r="3" spans="2:9" x14ac:dyDescent="0.55000000000000004">
      <c r="C3" s="73" t="s">
        <v>14</v>
      </c>
      <c r="D3" s="73">
        <f t="shared" si="0"/>
        <v>79310</v>
      </c>
      <c r="E3" s="73">
        <f t="shared" si="1"/>
        <v>1931</v>
      </c>
      <c r="F3" s="73">
        <f t="shared" si="1"/>
        <v>5340</v>
      </c>
      <c r="G3" s="73">
        <f t="shared" si="1"/>
        <v>25315</v>
      </c>
      <c r="H3" s="73">
        <f t="shared" si="1"/>
        <v>24674</v>
      </c>
      <c r="I3" s="73">
        <f t="shared" si="1"/>
        <v>22050</v>
      </c>
    </row>
    <row r="4" spans="2:9" x14ac:dyDescent="0.55000000000000004">
      <c r="C4" s="73" t="s">
        <v>177</v>
      </c>
      <c r="D4" s="73">
        <f t="shared" si="0"/>
        <v>165218</v>
      </c>
      <c r="E4" s="73">
        <f t="shared" si="1"/>
        <v>7751</v>
      </c>
      <c r="F4" s="73">
        <f t="shared" si="1"/>
        <v>37807</v>
      </c>
      <c r="G4" s="73">
        <f t="shared" si="1"/>
        <v>40248</v>
      </c>
      <c r="H4" s="73">
        <f t="shared" si="1"/>
        <v>47888</v>
      </c>
      <c r="I4" s="73">
        <f t="shared" si="1"/>
        <v>31524</v>
      </c>
    </row>
    <row r="5" spans="2:9" x14ac:dyDescent="0.55000000000000004">
      <c r="C5" s="73" t="s">
        <v>13</v>
      </c>
      <c r="D5" s="73">
        <f t="shared" si="0"/>
        <v>293751</v>
      </c>
      <c r="E5" s="73">
        <f t="shared" si="1"/>
        <v>10328</v>
      </c>
      <c r="F5" s="73">
        <f t="shared" si="1"/>
        <v>21452</v>
      </c>
      <c r="G5" s="73">
        <f t="shared" si="1"/>
        <v>99408</v>
      </c>
      <c r="H5" s="73">
        <f t="shared" si="1"/>
        <v>88778</v>
      </c>
      <c r="I5" s="73">
        <f t="shared" si="1"/>
        <v>73785</v>
      </c>
    </row>
    <row r="6" spans="2:9" x14ac:dyDescent="0.55000000000000004">
      <c r="C6" s="73" t="s">
        <v>12</v>
      </c>
      <c r="D6" s="73">
        <f t="shared" si="0"/>
        <v>13008</v>
      </c>
      <c r="E6" s="73">
        <f t="shared" si="1"/>
        <v>533</v>
      </c>
      <c r="F6" s="73">
        <f t="shared" si="1"/>
        <v>3752</v>
      </c>
      <c r="G6" s="73">
        <f t="shared" si="1"/>
        <v>3547</v>
      </c>
      <c r="H6" s="73">
        <f t="shared" si="1"/>
        <v>4303</v>
      </c>
      <c r="I6" s="73">
        <f t="shared" si="1"/>
        <v>873</v>
      </c>
    </row>
    <row r="7" spans="2:9" x14ac:dyDescent="0.55000000000000004">
      <c r="C7" s="73" t="s">
        <v>188</v>
      </c>
      <c r="D7" s="73">
        <f t="shared" si="0"/>
        <v>56805</v>
      </c>
      <c r="E7" s="73">
        <f t="shared" si="1"/>
        <v>504</v>
      </c>
      <c r="F7" s="73">
        <f t="shared" si="1"/>
        <v>2350</v>
      </c>
      <c r="G7" s="73">
        <f t="shared" si="1"/>
        <v>16023</v>
      </c>
      <c r="H7" s="73">
        <f t="shared" si="1"/>
        <v>27129</v>
      </c>
      <c r="I7" s="73">
        <f t="shared" si="1"/>
        <v>10800</v>
      </c>
    </row>
    <row r="8" spans="2:9" x14ac:dyDescent="0.55000000000000004">
      <c r="C8" s="73" t="s">
        <v>42</v>
      </c>
      <c r="D8" s="73">
        <f t="shared" si="0"/>
        <v>33542</v>
      </c>
      <c r="E8" s="73">
        <f t="shared" si="1"/>
        <v>97</v>
      </c>
      <c r="F8" s="73">
        <f t="shared" si="1"/>
        <v>28390</v>
      </c>
      <c r="G8" s="73">
        <f t="shared" si="1"/>
        <v>2111</v>
      </c>
      <c r="H8" s="73">
        <f t="shared" si="1"/>
        <v>1095</v>
      </c>
      <c r="I8" s="73">
        <f t="shared" si="1"/>
        <v>1851</v>
      </c>
    </row>
    <row r="9" spans="2:9" x14ac:dyDescent="0.55000000000000004">
      <c r="C9" s="73" t="s">
        <v>15</v>
      </c>
      <c r="D9" s="73">
        <f t="shared" si="0"/>
        <v>186289</v>
      </c>
      <c r="E9" s="73">
        <f t="shared" si="1"/>
        <v>2671</v>
      </c>
      <c r="F9" s="73">
        <f t="shared" si="1"/>
        <v>5611</v>
      </c>
      <c r="G9" s="73">
        <f t="shared" si="1"/>
        <v>91175</v>
      </c>
      <c r="H9" s="73">
        <f t="shared" si="1"/>
        <v>53495</v>
      </c>
      <c r="I9" s="73">
        <f t="shared" si="1"/>
        <v>33337</v>
      </c>
    </row>
    <row r="10" spans="2:9" x14ac:dyDescent="0.55000000000000004">
      <c r="C10" s="73" t="s">
        <v>153</v>
      </c>
      <c r="D10" s="73">
        <f t="shared" si="0"/>
        <v>5213</v>
      </c>
      <c r="E10" s="73">
        <f t="shared" si="1"/>
        <v>276</v>
      </c>
      <c r="F10" s="73">
        <f t="shared" si="1"/>
        <v>1657</v>
      </c>
      <c r="G10" s="73">
        <f t="shared" si="1"/>
        <v>2345</v>
      </c>
      <c r="H10" s="73">
        <f t="shared" si="1"/>
        <v>653</v>
      </c>
      <c r="I10" s="73">
        <f t="shared" si="1"/>
        <v>283</v>
      </c>
    </row>
    <row r="11" spans="2:9" x14ac:dyDescent="0.55000000000000004">
      <c r="C11" s="73" t="s">
        <v>146</v>
      </c>
      <c r="D11" s="73">
        <f>SUMIF($D$20:$D$81,$C11,E$20:E$81)-D14</f>
        <v>71837</v>
      </c>
      <c r="E11" s="184">
        <f>L19-E14</f>
        <v>3222.8552811220056</v>
      </c>
      <c r="F11" s="184">
        <f>M19-F14</f>
        <v>10579.702246493733</v>
      </c>
      <c r="G11" s="184">
        <f>N19-G14</f>
        <v>17423.923544743702</v>
      </c>
      <c r="H11" s="184">
        <f>O19-H14</f>
        <v>22342.455380414547</v>
      </c>
      <c r="I11" s="184">
        <f>P19-I14</f>
        <v>18261.063547226015</v>
      </c>
    </row>
    <row r="12" spans="2:9" x14ac:dyDescent="0.55000000000000004">
      <c r="C12" s="73" t="s">
        <v>307</v>
      </c>
      <c r="D12" s="73">
        <f t="shared" si="0"/>
        <v>110335</v>
      </c>
      <c r="E12" s="73">
        <f t="shared" ref="E12:I13" si="2">SUMIF($D$20:$D$81,$C12,F$20:F$81)</f>
        <v>4425</v>
      </c>
      <c r="F12" s="73">
        <f t="shared" si="2"/>
        <v>40993</v>
      </c>
      <c r="G12" s="73">
        <f t="shared" si="2"/>
        <v>31128</v>
      </c>
      <c r="H12" s="73">
        <f t="shared" si="2"/>
        <v>22739</v>
      </c>
      <c r="I12" s="73">
        <f t="shared" si="2"/>
        <v>11051</v>
      </c>
    </row>
    <row r="13" spans="2:9" x14ac:dyDescent="0.55000000000000004">
      <c r="C13" s="73" t="s">
        <v>148</v>
      </c>
      <c r="D13" s="73">
        <f t="shared" si="0"/>
        <v>19484</v>
      </c>
      <c r="E13" s="73">
        <f t="shared" si="2"/>
        <v>399</v>
      </c>
      <c r="F13" s="73">
        <f t="shared" si="2"/>
        <v>2630</v>
      </c>
      <c r="G13" s="73">
        <f t="shared" si="2"/>
        <v>5835</v>
      </c>
      <c r="H13" s="73">
        <f t="shared" si="2"/>
        <v>6664</v>
      </c>
      <c r="I13" s="73">
        <f t="shared" si="2"/>
        <v>3957</v>
      </c>
    </row>
    <row r="14" spans="2:9" x14ac:dyDescent="0.55000000000000004">
      <c r="C14" s="73" t="s">
        <v>339</v>
      </c>
      <c r="D14" s="73">
        <v>8740</v>
      </c>
      <c r="E14" s="184">
        <f>L19/SUM($L$19:$P$19)*$D$14</f>
        <v>392.14471887799431</v>
      </c>
      <c r="F14" s="184">
        <f>M19/SUM($L$19:$P$19)*$D$14</f>
        <v>1287.2977535062678</v>
      </c>
      <c r="G14" s="184">
        <f>N19/SUM($L$19:$P$19)*$D$14</f>
        <v>2120.0764552562987</v>
      </c>
      <c r="H14" s="184">
        <f>O19/SUM($L$19:$P$19)*$D$14</f>
        <v>2718.5446195854538</v>
      </c>
      <c r="I14" s="184">
        <f>P19/SUM($L$19:$P$19)*$D$14</f>
        <v>2221.9364527739854</v>
      </c>
    </row>
    <row r="15" spans="2:9" x14ac:dyDescent="0.55000000000000004">
      <c r="C15" s="73" t="s">
        <v>61</v>
      </c>
      <c r="D15" s="73">
        <f t="shared" ref="D15:I15" si="3">SUMIF($D$20:$D$81,$C15,E$20:E$81)</f>
        <v>224492</v>
      </c>
      <c r="E15" s="73">
        <f t="shared" si="3"/>
        <v>16402</v>
      </c>
      <c r="F15" s="73">
        <f t="shared" si="3"/>
        <v>27890</v>
      </c>
      <c r="G15" s="73">
        <f t="shared" si="3"/>
        <v>63892</v>
      </c>
      <c r="H15" s="73">
        <f t="shared" si="3"/>
        <v>65494</v>
      </c>
      <c r="I15" s="73">
        <f t="shared" si="3"/>
        <v>50814</v>
      </c>
    </row>
    <row r="16" spans="2:9" x14ac:dyDescent="0.55000000000000004">
      <c r="B16" s="73" t="s">
        <v>47</v>
      </c>
      <c r="D16" s="73">
        <f>SUM(D2:D15)</f>
        <v>2639353</v>
      </c>
    </row>
    <row r="17" spans="1:16" ht="16.8" x14ac:dyDescent="0.65">
      <c r="A17" s="118" t="s">
        <v>203</v>
      </c>
      <c r="B17" s="110"/>
      <c r="C17" s="110"/>
      <c r="D17" s="110"/>
      <c r="E17" s="110"/>
      <c r="F17" s="110"/>
      <c r="G17" s="110"/>
      <c r="H17" s="110"/>
      <c r="I17" s="110"/>
      <c r="J17" s="110"/>
    </row>
    <row r="18" spans="1:16" x14ac:dyDescent="0.55000000000000004">
      <c r="A18" s="117" t="s">
        <v>107</v>
      </c>
      <c r="B18" s="110"/>
      <c r="C18" s="110"/>
      <c r="D18" s="110"/>
      <c r="E18" s="110"/>
      <c r="F18" s="110"/>
      <c r="G18" s="110"/>
      <c r="H18" s="110"/>
      <c r="I18" s="110"/>
      <c r="J18" s="110"/>
      <c r="L18" s="73" t="s">
        <v>341</v>
      </c>
    </row>
    <row r="19" spans="1:16" x14ac:dyDescent="0.55000000000000004">
      <c r="A19" s="110"/>
      <c r="B19" s="110"/>
      <c r="C19" s="110"/>
      <c r="D19" s="116" t="s">
        <v>110</v>
      </c>
      <c r="E19" s="115" t="s">
        <v>109</v>
      </c>
      <c r="F19" s="115" t="s">
        <v>56</v>
      </c>
      <c r="G19" s="115" t="s">
        <v>55</v>
      </c>
      <c r="H19" s="115" t="s">
        <v>54</v>
      </c>
      <c r="I19" s="115" t="s">
        <v>53</v>
      </c>
      <c r="J19" s="115" t="s">
        <v>50</v>
      </c>
      <c r="L19" s="73">
        <f>SUMIF($D$20:$D$81,$C11,F$20:F$81)</f>
        <v>3615</v>
      </c>
      <c r="M19" s="73">
        <f>SUMIF($D$20:$D$81,$C11,G$20:G$81)</f>
        <v>11867</v>
      </c>
      <c r="N19" s="73">
        <f>SUMIF($D$20:$D$81,$C11,H$20:H$81)</f>
        <v>19544</v>
      </c>
      <c r="O19" s="73">
        <f>SUMIF($D$20:$D$81,$C11,I$20:I$81)</f>
        <v>25061</v>
      </c>
      <c r="P19" s="73">
        <f>SUMIF($D$20:$D$81,$C11,J$20:J$81)</f>
        <v>20483</v>
      </c>
    </row>
    <row r="20" spans="1:16" x14ac:dyDescent="0.55000000000000004">
      <c r="A20" s="115" t="s">
        <v>62</v>
      </c>
      <c r="B20" s="113">
        <v>1</v>
      </c>
      <c r="C20" s="109" t="s">
        <v>202</v>
      </c>
      <c r="D20" s="108"/>
      <c r="E20" s="111">
        <v>556307</v>
      </c>
      <c r="F20" s="111">
        <v>23767</v>
      </c>
      <c r="G20" s="111">
        <v>137890</v>
      </c>
      <c r="H20" s="111">
        <v>154824</v>
      </c>
      <c r="I20" s="111">
        <v>145579</v>
      </c>
      <c r="J20" s="111">
        <v>94247</v>
      </c>
    </row>
    <row r="21" spans="1:16" x14ac:dyDescent="0.55000000000000004">
      <c r="A21" s="110"/>
      <c r="B21" s="110">
        <v>1</v>
      </c>
      <c r="C21" s="109" t="s">
        <v>201</v>
      </c>
      <c r="D21" s="108"/>
      <c r="E21" s="111">
        <v>13793</v>
      </c>
      <c r="F21" s="111">
        <v>1138</v>
      </c>
      <c r="G21" s="111">
        <v>2431</v>
      </c>
      <c r="H21" s="111">
        <v>5032</v>
      </c>
      <c r="I21" s="111">
        <v>3172</v>
      </c>
      <c r="J21" s="111">
        <v>2020</v>
      </c>
    </row>
    <row r="22" spans="1:16" x14ac:dyDescent="0.55000000000000004">
      <c r="A22" s="110"/>
      <c r="B22" s="110">
        <v>1</v>
      </c>
      <c r="C22" s="109" t="s">
        <v>200</v>
      </c>
      <c r="D22" s="108"/>
      <c r="E22" s="111">
        <v>570100</v>
      </c>
      <c r="F22" s="111">
        <v>24905</v>
      </c>
      <c r="G22" s="111">
        <v>140322</v>
      </c>
      <c r="H22" s="111">
        <v>159857</v>
      </c>
      <c r="I22" s="111">
        <v>148751</v>
      </c>
      <c r="J22" s="111">
        <v>96267</v>
      </c>
    </row>
    <row r="23" spans="1:16" x14ac:dyDescent="0.55000000000000004">
      <c r="A23" s="110"/>
      <c r="B23" s="110">
        <v>1</v>
      </c>
      <c r="C23" s="109" t="s">
        <v>199</v>
      </c>
      <c r="D23" s="108"/>
      <c r="E23" s="111">
        <v>146311</v>
      </c>
      <c r="F23" s="111">
        <v>4793</v>
      </c>
      <c r="G23" s="111">
        <v>10370</v>
      </c>
      <c r="H23" s="111">
        <v>40495</v>
      </c>
      <c r="I23" s="111">
        <v>55738</v>
      </c>
      <c r="J23" s="111">
        <v>34915</v>
      </c>
    </row>
    <row r="24" spans="1:16" x14ac:dyDescent="0.55000000000000004">
      <c r="A24" s="110"/>
      <c r="B24" s="110">
        <v>1</v>
      </c>
      <c r="C24" s="109" t="s">
        <v>198</v>
      </c>
      <c r="D24" s="108"/>
      <c r="E24" s="111">
        <v>100085</v>
      </c>
      <c r="F24" s="111">
        <v>3354</v>
      </c>
      <c r="G24" s="111">
        <v>9789</v>
      </c>
      <c r="H24" s="111">
        <v>29044</v>
      </c>
      <c r="I24" s="111">
        <v>39659</v>
      </c>
      <c r="J24" s="111">
        <v>18240</v>
      </c>
    </row>
    <row r="25" spans="1:16" x14ac:dyDescent="0.55000000000000004">
      <c r="A25" s="110"/>
      <c r="B25" s="110">
        <v>1</v>
      </c>
      <c r="C25" s="109" t="s">
        <v>197</v>
      </c>
      <c r="D25" s="108"/>
      <c r="E25" s="111">
        <v>484883</v>
      </c>
      <c r="F25" s="111">
        <v>15560</v>
      </c>
      <c r="G25" s="111">
        <v>114463</v>
      </c>
      <c r="H25" s="111">
        <v>132196</v>
      </c>
      <c r="I25" s="111">
        <v>151849</v>
      </c>
      <c r="J25" s="111">
        <v>70816</v>
      </c>
    </row>
    <row r="26" spans="1:16" x14ac:dyDescent="0.55000000000000004">
      <c r="A26" s="110"/>
      <c r="B26" s="110">
        <v>1</v>
      </c>
      <c r="C26" s="109" t="s">
        <v>196</v>
      </c>
      <c r="D26" s="108"/>
      <c r="E26" s="111">
        <v>584968</v>
      </c>
      <c r="F26" s="111">
        <v>18914</v>
      </c>
      <c r="G26" s="111">
        <v>124251</v>
      </c>
      <c r="H26" s="111">
        <v>161240</v>
      </c>
      <c r="I26" s="111">
        <v>191508</v>
      </c>
      <c r="J26" s="111">
        <v>89055</v>
      </c>
    </row>
    <row r="27" spans="1:16" x14ac:dyDescent="0.55000000000000004">
      <c r="A27" s="110"/>
      <c r="B27" s="110">
        <v>1</v>
      </c>
      <c r="C27" s="109" t="s">
        <v>195</v>
      </c>
      <c r="D27" s="108"/>
      <c r="E27" s="111">
        <v>48799</v>
      </c>
      <c r="F27" s="111">
        <v>1732</v>
      </c>
      <c r="G27" s="111">
        <v>3471</v>
      </c>
      <c r="H27" s="111">
        <v>16997</v>
      </c>
      <c r="I27" s="111">
        <v>14273</v>
      </c>
      <c r="J27" s="111">
        <v>12326</v>
      </c>
    </row>
    <row r="28" spans="1:16" x14ac:dyDescent="0.55000000000000004">
      <c r="A28" s="110"/>
      <c r="B28" s="110">
        <v>1</v>
      </c>
      <c r="C28" s="109" t="s">
        <v>194</v>
      </c>
      <c r="D28" s="108"/>
      <c r="E28" s="111">
        <v>21151</v>
      </c>
      <c r="F28" s="111">
        <v>649</v>
      </c>
      <c r="G28" s="111">
        <v>3007</v>
      </c>
      <c r="H28" s="111">
        <v>6337</v>
      </c>
      <c r="I28" s="111">
        <v>7363</v>
      </c>
      <c r="J28" s="111">
        <v>3795</v>
      </c>
    </row>
    <row r="29" spans="1:16" x14ac:dyDescent="0.55000000000000004">
      <c r="A29" s="110"/>
      <c r="B29" s="110">
        <v>1</v>
      </c>
      <c r="C29" s="115" t="s">
        <v>193</v>
      </c>
      <c r="D29" s="114" t="s">
        <v>11</v>
      </c>
      <c r="E29" s="113">
        <v>1371329</v>
      </c>
      <c r="F29" s="113">
        <v>50991</v>
      </c>
      <c r="G29" s="113">
        <v>281422</v>
      </c>
      <c r="H29" s="113">
        <v>384925</v>
      </c>
      <c r="I29" s="113">
        <v>417632</v>
      </c>
      <c r="J29" s="113">
        <v>236359</v>
      </c>
      <c r="K29" s="112">
        <v>1</v>
      </c>
    </row>
    <row r="30" spans="1:16" x14ac:dyDescent="0.55000000000000004">
      <c r="A30" s="110"/>
      <c r="B30" s="110">
        <v>2</v>
      </c>
      <c r="C30" s="115" t="s">
        <v>192</v>
      </c>
      <c r="D30" s="114" t="s">
        <v>14</v>
      </c>
      <c r="E30" s="113">
        <v>22230</v>
      </c>
      <c r="F30" s="113">
        <v>1233</v>
      </c>
      <c r="G30" s="113">
        <v>3588</v>
      </c>
      <c r="H30" s="113">
        <v>6808</v>
      </c>
      <c r="I30" s="113">
        <v>6167</v>
      </c>
      <c r="J30" s="113">
        <v>4434</v>
      </c>
      <c r="K30" s="112">
        <v>2</v>
      </c>
    </row>
    <row r="31" spans="1:16" x14ac:dyDescent="0.55000000000000004">
      <c r="A31" s="110"/>
      <c r="B31" s="110">
        <v>3</v>
      </c>
      <c r="C31" s="109" t="s">
        <v>191</v>
      </c>
      <c r="D31" s="108"/>
      <c r="E31" s="111">
        <v>8151</v>
      </c>
      <c r="F31" s="111">
        <v>37</v>
      </c>
      <c r="G31" s="111">
        <v>751</v>
      </c>
      <c r="H31" s="111">
        <v>1906</v>
      </c>
      <c r="I31" s="111">
        <v>4193</v>
      </c>
      <c r="J31" s="111">
        <v>1264</v>
      </c>
    </row>
    <row r="32" spans="1:16" x14ac:dyDescent="0.55000000000000004">
      <c r="A32" s="110"/>
      <c r="B32" s="110">
        <v>3</v>
      </c>
      <c r="C32" s="109" t="s">
        <v>190</v>
      </c>
      <c r="D32" s="108"/>
      <c r="E32" s="111">
        <v>35773</v>
      </c>
      <c r="F32" s="107" t="s">
        <v>140</v>
      </c>
      <c r="G32" s="107" t="s">
        <v>140</v>
      </c>
      <c r="H32" s="111">
        <v>9687</v>
      </c>
      <c r="I32" s="111">
        <v>18600</v>
      </c>
      <c r="J32" s="111">
        <v>7486</v>
      </c>
    </row>
    <row r="33" spans="1:11" x14ac:dyDescent="0.55000000000000004">
      <c r="A33" s="110"/>
      <c r="B33" s="110">
        <v>3</v>
      </c>
      <c r="C33" s="109" t="s">
        <v>189</v>
      </c>
      <c r="D33" s="108"/>
      <c r="E33" s="111">
        <v>12881</v>
      </c>
      <c r="F33" s="111">
        <v>466</v>
      </c>
      <c r="G33" s="111">
        <v>1599</v>
      </c>
      <c r="H33" s="111">
        <v>4430</v>
      </c>
      <c r="I33" s="111">
        <v>4336</v>
      </c>
      <c r="J33" s="111">
        <v>2050</v>
      </c>
    </row>
    <row r="34" spans="1:11" x14ac:dyDescent="0.55000000000000004">
      <c r="A34" s="110"/>
      <c r="B34" s="110">
        <v>3</v>
      </c>
      <c r="C34" s="109" t="s">
        <v>188</v>
      </c>
      <c r="D34" s="108" t="s">
        <v>188</v>
      </c>
      <c r="E34" s="111">
        <v>56805</v>
      </c>
      <c r="F34" s="111">
        <v>504</v>
      </c>
      <c r="G34" s="111">
        <v>2350</v>
      </c>
      <c r="H34" s="111">
        <v>16023</v>
      </c>
      <c r="I34" s="111">
        <v>27129</v>
      </c>
      <c r="J34" s="111">
        <v>10800</v>
      </c>
    </row>
    <row r="35" spans="1:11" x14ac:dyDescent="0.55000000000000004">
      <c r="A35" s="110"/>
      <c r="B35" s="110">
        <v>3</v>
      </c>
      <c r="C35" s="109" t="s">
        <v>187</v>
      </c>
      <c r="D35" s="108" t="s">
        <v>42</v>
      </c>
      <c r="E35" s="111">
        <v>29083</v>
      </c>
      <c r="F35" s="111">
        <v>65</v>
      </c>
      <c r="G35" s="111">
        <v>28268</v>
      </c>
      <c r="H35" s="111">
        <v>743</v>
      </c>
      <c r="I35" s="111">
        <v>8</v>
      </c>
      <c r="J35" s="107" t="s">
        <v>140</v>
      </c>
    </row>
    <row r="36" spans="1:11" x14ac:dyDescent="0.55000000000000004">
      <c r="A36" s="110"/>
      <c r="B36" s="110">
        <v>3</v>
      </c>
      <c r="C36" s="109" t="s">
        <v>186</v>
      </c>
      <c r="D36" s="108" t="s">
        <v>42</v>
      </c>
      <c r="E36" s="111">
        <v>4459</v>
      </c>
      <c r="F36" s="111">
        <v>32</v>
      </c>
      <c r="G36" s="111">
        <v>122</v>
      </c>
      <c r="H36" s="111">
        <v>1368</v>
      </c>
      <c r="I36" s="111">
        <v>1087</v>
      </c>
      <c r="J36" s="111">
        <v>1851</v>
      </c>
    </row>
    <row r="37" spans="1:11" x14ac:dyDescent="0.55000000000000004">
      <c r="A37" s="110"/>
      <c r="B37" s="110">
        <v>3</v>
      </c>
      <c r="C37" s="115" t="s">
        <v>185</v>
      </c>
      <c r="D37" s="114"/>
      <c r="E37" s="113">
        <v>90347</v>
      </c>
      <c r="F37" s="113">
        <v>600</v>
      </c>
      <c r="G37" s="113">
        <v>30740</v>
      </c>
      <c r="H37" s="113">
        <v>18133</v>
      </c>
      <c r="I37" s="113">
        <v>28223</v>
      </c>
      <c r="J37" s="113">
        <v>12651</v>
      </c>
      <c r="K37" s="112">
        <v>3</v>
      </c>
    </row>
    <row r="38" spans="1:11" x14ac:dyDescent="0.55000000000000004">
      <c r="A38" s="110"/>
      <c r="B38" s="110">
        <v>4</v>
      </c>
      <c r="C38" s="109" t="s">
        <v>184</v>
      </c>
      <c r="D38" s="108"/>
      <c r="E38" s="111">
        <v>164379</v>
      </c>
      <c r="F38" s="111">
        <v>7751</v>
      </c>
      <c r="G38" s="111">
        <v>37517</v>
      </c>
      <c r="H38" s="111">
        <v>39869</v>
      </c>
      <c r="I38" s="111">
        <v>47764</v>
      </c>
      <c r="J38" s="111">
        <v>31478</v>
      </c>
    </row>
    <row r="39" spans="1:11" x14ac:dyDescent="0.55000000000000004">
      <c r="A39" s="110"/>
      <c r="B39" s="110">
        <v>4</v>
      </c>
      <c r="C39" s="109" t="s">
        <v>183</v>
      </c>
      <c r="D39" s="108"/>
      <c r="E39" s="107" t="s">
        <v>140</v>
      </c>
      <c r="F39" s="107" t="s">
        <v>140</v>
      </c>
      <c r="G39" s="107" t="s">
        <v>140</v>
      </c>
      <c r="H39" s="107" t="s">
        <v>140</v>
      </c>
      <c r="I39" s="107" t="s">
        <v>140</v>
      </c>
      <c r="J39" s="107" t="s">
        <v>140</v>
      </c>
    </row>
    <row r="40" spans="1:11" x14ac:dyDescent="0.55000000000000004">
      <c r="A40" s="110"/>
      <c r="B40" s="110">
        <v>4</v>
      </c>
      <c r="C40" s="109" t="s">
        <v>182</v>
      </c>
      <c r="D40" s="108"/>
      <c r="E40" s="111">
        <v>164379</v>
      </c>
      <c r="F40" s="111">
        <v>7751</v>
      </c>
      <c r="G40" s="111">
        <v>37517</v>
      </c>
      <c r="H40" s="111">
        <v>39869</v>
      </c>
      <c r="I40" s="111">
        <v>47764</v>
      </c>
      <c r="J40" s="111">
        <v>31478</v>
      </c>
    </row>
    <row r="41" spans="1:11" x14ac:dyDescent="0.55000000000000004">
      <c r="A41" s="110"/>
      <c r="B41" s="110">
        <v>4</v>
      </c>
      <c r="C41" s="109" t="s">
        <v>181</v>
      </c>
      <c r="D41" s="108"/>
      <c r="E41" s="111">
        <v>839</v>
      </c>
      <c r="F41" s="107" t="s">
        <v>140</v>
      </c>
      <c r="G41" s="111">
        <v>289</v>
      </c>
      <c r="H41" s="111">
        <v>379</v>
      </c>
      <c r="I41" s="111">
        <v>124</v>
      </c>
      <c r="J41" s="111">
        <v>47</v>
      </c>
    </row>
    <row r="42" spans="1:11" x14ac:dyDescent="0.55000000000000004">
      <c r="A42" s="110"/>
      <c r="B42" s="110">
        <v>4</v>
      </c>
      <c r="C42" s="109" t="s">
        <v>180</v>
      </c>
      <c r="D42" s="108"/>
      <c r="E42" s="107" t="s">
        <v>140</v>
      </c>
      <c r="F42" s="107" t="s">
        <v>140</v>
      </c>
      <c r="G42" s="107" t="s">
        <v>140</v>
      </c>
      <c r="H42" s="107" t="s">
        <v>140</v>
      </c>
      <c r="I42" s="107" t="s">
        <v>140</v>
      </c>
      <c r="J42" s="107" t="s">
        <v>140</v>
      </c>
    </row>
    <row r="43" spans="1:11" x14ac:dyDescent="0.55000000000000004">
      <c r="A43" s="110"/>
      <c r="B43" s="110">
        <v>4</v>
      </c>
      <c r="C43" s="109" t="s">
        <v>179</v>
      </c>
      <c r="D43" s="108"/>
      <c r="E43" s="111">
        <v>839</v>
      </c>
      <c r="F43" s="107" t="s">
        <v>140</v>
      </c>
      <c r="G43" s="111">
        <v>289</v>
      </c>
      <c r="H43" s="111">
        <v>379</v>
      </c>
      <c r="I43" s="111">
        <v>124</v>
      </c>
      <c r="J43" s="111">
        <v>47</v>
      </c>
    </row>
    <row r="44" spans="1:11" x14ac:dyDescent="0.55000000000000004">
      <c r="A44" s="110"/>
      <c r="B44" s="110">
        <v>4</v>
      </c>
      <c r="C44" s="109" t="s">
        <v>178</v>
      </c>
      <c r="D44" s="108" t="s">
        <v>177</v>
      </c>
      <c r="E44" s="111">
        <v>165218</v>
      </c>
      <c r="F44" s="111">
        <v>7751</v>
      </c>
      <c r="G44" s="111">
        <v>37807</v>
      </c>
      <c r="H44" s="111">
        <v>40248</v>
      </c>
      <c r="I44" s="111">
        <v>47888</v>
      </c>
      <c r="J44" s="111">
        <v>31524</v>
      </c>
      <c r="K44" s="112"/>
    </row>
    <row r="45" spans="1:11" x14ac:dyDescent="0.55000000000000004">
      <c r="A45" s="110"/>
      <c r="B45" s="110">
        <v>4</v>
      </c>
      <c r="C45" s="109" t="s">
        <v>176</v>
      </c>
      <c r="D45" s="108" t="s">
        <v>146</v>
      </c>
      <c r="E45" s="111">
        <v>100</v>
      </c>
      <c r="F45" s="107" t="s">
        <v>140</v>
      </c>
      <c r="G45" s="107" t="s">
        <v>140</v>
      </c>
      <c r="H45" s="107" t="s">
        <v>140</v>
      </c>
      <c r="I45" s="111">
        <v>91</v>
      </c>
      <c r="J45" s="111">
        <v>6</v>
      </c>
    </row>
    <row r="46" spans="1:11" x14ac:dyDescent="0.55000000000000004">
      <c r="A46" s="110"/>
      <c r="B46" s="110">
        <v>4</v>
      </c>
      <c r="C46" s="109" t="s">
        <v>175</v>
      </c>
      <c r="D46" s="108" t="s">
        <v>146</v>
      </c>
      <c r="E46" s="111">
        <v>957</v>
      </c>
      <c r="F46" s="111">
        <v>18</v>
      </c>
      <c r="G46" s="111">
        <v>389</v>
      </c>
      <c r="H46" s="111">
        <v>48</v>
      </c>
      <c r="I46" s="111">
        <v>453</v>
      </c>
      <c r="J46" s="111">
        <v>49</v>
      </c>
    </row>
    <row r="47" spans="1:11" x14ac:dyDescent="0.55000000000000004">
      <c r="A47" s="110"/>
      <c r="B47" s="110">
        <v>4</v>
      </c>
      <c r="C47" s="115" t="s">
        <v>174</v>
      </c>
      <c r="D47" s="114"/>
      <c r="E47" s="113">
        <v>166275</v>
      </c>
      <c r="F47" s="113">
        <v>7770</v>
      </c>
      <c r="G47" s="113">
        <v>38196</v>
      </c>
      <c r="H47" s="113">
        <v>40296</v>
      </c>
      <c r="I47" s="113">
        <v>48433</v>
      </c>
      <c r="J47" s="113">
        <v>31579</v>
      </c>
      <c r="K47" s="112">
        <v>4</v>
      </c>
    </row>
    <row r="48" spans="1:11" x14ac:dyDescent="0.55000000000000004">
      <c r="A48" s="110"/>
      <c r="B48" s="110">
        <v>5</v>
      </c>
      <c r="C48" s="115" t="s">
        <v>173</v>
      </c>
      <c r="D48" s="114" t="s">
        <v>307</v>
      </c>
      <c r="E48" s="113">
        <v>110335</v>
      </c>
      <c r="F48" s="113">
        <v>4425</v>
      </c>
      <c r="G48" s="113">
        <v>40993</v>
      </c>
      <c r="H48" s="113">
        <v>31128</v>
      </c>
      <c r="I48" s="113">
        <v>22739</v>
      </c>
      <c r="J48" s="113">
        <v>11051</v>
      </c>
      <c r="K48" s="112">
        <v>5</v>
      </c>
    </row>
    <row r="49" spans="1:11" x14ac:dyDescent="0.55000000000000004">
      <c r="A49" s="110"/>
      <c r="B49" s="110">
        <v>6</v>
      </c>
      <c r="C49" s="109" t="s">
        <v>172</v>
      </c>
      <c r="D49" s="108" t="s">
        <v>14</v>
      </c>
      <c r="E49" s="111">
        <v>825</v>
      </c>
      <c r="F49" s="111">
        <v>46</v>
      </c>
      <c r="G49" s="111">
        <v>230</v>
      </c>
      <c r="H49" s="111">
        <v>346</v>
      </c>
      <c r="I49" s="111">
        <v>131</v>
      </c>
      <c r="J49" s="111">
        <v>72</v>
      </c>
    </row>
    <row r="50" spans="1:11" x14ac:dyDescent="0.55000000000000004">
      <c r="A50" s="110"/>
      <c r="B50" s="110">
        <v>6</v>
      </c>
      <c r="C50" s="109" t="s">
        <v>171</v>
      </c>
      <c r="D50" s="108" t="s">
        <v>15</v>
      </c>
      <c r="E50" s="111">
        <v>186289</v>
      </c>
      <c r="F50" s="111">
        <v>2671</v>
      </c>
      <c r="G50" s="111">
        <v>5611</v>
      </c>
      <c r="H50" s="111">
        <v>91175</v>
      </c>
      <c r="I50" s="111">
        <v>53495</v>
      </c>
      <c r="J50" s="111">
        <v>33337</v>
      </c>
    </row>
    <row r="51" spans="1:11" x14ac:dyDescent="0.55000000000000004">
      <c r="A51" s="110"/>
      <c r="B51" s="110">
        <v>6</v>
      </c>
      <c r="C51" s="109" t="s">
        <v>170</v>
      </c>
      <c r="D51" s="108" t="s">
        <v>14</v>
      </c>
      <c r="E51" s="111">
        <v>56255</v>
      </c>
      <c r="F51" s="111">
        <v>652</v>
      </c>
      <c r="G51" s="111">
        <v>1522</v>
      </c>
      <c r="H51" s="111">
        <v>18161</v>
      </c>
      <c r="I51" s="111">
        <v>18376</v>
      </c>
      <c r="J51" s="111">
        <v>17544</v>
      </c>
    </row>
    <row r="52" spans="1:11" x14ac:dyDescent="0.55000000000000004">
      <c r="A52" s="110"/>
      <c r="B52" s="110">
        <v>6</v>
      </c>
      <c r="C52" s="109" t="s">
        <v>169</v>
      </c>
      <c r="D52" s="108" t="s">
        <v>14</v>
      </c>
      <c r="E52" s="107" t="s">
        <v>140</v>
      </c>
      <c r="F52" s="107" t="s">
        <v>140</v>
      </c>
      <c r="G52" s="107" t="s">
        <v>140</v>
      </c>
      <c r="H52" s="107" t="s">
        <v>140</v>
      </c>
      <c r="I52" s="107" t="s">
        <v>140</v>
      </c>
      <c r="J52" s="107" t="s">
        <v>140</v>
      </c>
    </row>
    <row r="53" spans="1:11" x14ac:dyDescent="0.55000000000000004">
      <c r="A53" s="110"/>
      <c r="B53" s="110">
        <v>6</v>
      </c>
      <c r="C53" s="109" t="s">
        <v>168</v>
      </c>
      <c r="D53" s="108" t="s">
        <v>13</v>
      </c>
      <c r="E53" s="111">
        <v>285937</v>
      </c>
      <c r="F53" s="111">
        <v>9765</v>
      </c>
      <c r="G53" s="111">
        <v>19135</v>
      </c>
      <c r="H53" s="111">
        <v>97327</v>
      </c>
      <c r="I53" s="111">
        <v>86875</v>
      </c>
      <c r="J53" s="111">
        <v>72835</v>
      </c>
    </row>
    <row r="54" spans="1:11" x14ac:dyDescent="0.55000000000000004">
      <c r="A54" s="110"/>
      <c r="B54" s="110">
        <v>6</v>
      </c>
      <c r="C54" s="115" t="s">
        <v>167</v>
      </c>
      <c r="D54" s="114"/>
      <c r="E54" s="113">
        <v>529305</v>
      </c>
      <c r="F54" s="113">
        <v>13133</v>
      </c>
      <c r="G54" s="113">
        <v>26499</v>
      </c>
      <c r="H54" s="113">
        <v>207009</v>
      </c>
      <c r="I54" s="113">
        <v>158876</v>
      </c>
      <c r="J54" s="113">
        <v>123788</v>
      </c>
      <c r="K54" s="112">
        <v>6</v>
      </c>
    </row>
    <row r="55" spans="1:11" x14ac:dyDescent="0.55000000000000004">
      <c r="A55" s="110"/>
      <c r="B55" s="110">
        <v>7</v>
      </c>
      <c r="C55" s="109" t="s">
        <v>166</v>
      </c>
      <c r="D55" s="108"/>
      <c r="E55" s="111">
        <v>9582</v>
      </c>
      <c r="F55" s="111">
        <v>464</v>
      </c>
      <c r="G55" s="111">
        <v>1609</v>
      </c>
      <c r="H55" s="111">
        <v>2463</v>
      </c>
      <c r="I55" s="111">
        <v>4207</v>
      </c>
      <c r="J55" s="111">
        <v>838</v>
      </c>
    </row>
    <row r="56" spans="1:11" x14ac:dyDescent="0.55000000000000004">
      <c r="A56" s="110"/>
      <c r="B56" s="110">
        <v>7</v>
      </c>
      <c r="C56" s="109" t="s">
        <v>165</v>
      </c>
      <c r="D56" s="108"/>
      <c r="E56" s="111">
        <v>3427</v>
      </c>
      <c r="F56" s="111">
        <v>69</v>
      </c>
      <c r="G56" s="111">
        <v>2143</v>
      </c>
      <c r="H56" s="111">
        <v>1084</v>
      </c>
      <c r="I56" s="111">
        <v>96</v>
      </c>
      <c r="J56" s="111">
        <v>35</v>
      </c>
    </row>
    <row r="57" spans="1:11" x14ac:dyDescent="0.55000000000000004">
      <c r="A57" s="110"/>
      <c r="B57" s="110">
        <v>7</v>
      </c>
      <c r="C57" s="109" t="s">
        <v>164</v>
      </c>
      <c r="D57" s="108" t="s">
        <v>12</v>
      </c>
      <c r="E57" s="111">
        <v>13008</v>
      </c>
      <c r="F57" s="111">
        <v>533</v>
      </c>
      <c r="G57" s="111">
        <v>3752</v>
      </c>
      <c r="H57" s="111">
        <v>3547</v>
      </c>
      <c r="I57" s="111">
        <v>4303</v>
      </c>
      <c r="J57" s="111">
        <v>873</v>
      </c>
    </row>
    <row r="58" spans="1:11" x14ac:dyDescent="0.55000000000000004">
      <c r="A58" s="110"/>
      <c r="B58" s="110">
        <v>7</v>
      </c>
      <c r="C58" s="109" t="s">
        <v>163</v>
      </c>
      <c r="D58" s="108" t="s">
        <v>146</v>
      </c>
      <c r="E58" s="111">
        <v>63</v>
      </c>
      <c r="F58" s="111">
        <v>6</v>
      </c>
      <c r="G58" s="111">
        <v>40</v>
      </c>
      <c r="H58" s="111">
        <v>13</v>
      </c>
      <c r="I58" s="107" t="s">
        <v>140</v>
      </c>
      <c r="J58" s="107" t="s">
        <v>140</v>
      </c>
    </row>
    <row r="59" spans="1:11" x14ac:dyDescent="0.55000000000000004">
      <c r="A59" s="110"/>
      <c r="B59" s="110">
        <v>7</v>
      </c>
      <c r="C59" s="109" t="s">
        <v>162</v>
      </c>
      <c r="D59" s="108"/>
      <c r="E59" s="111">
        <v>1495</v>
      </c>
      <c r="F59" s="111">
        <v>93</v>
      </c>
      <c r="G59" s="111">
        <v>443</v>
      </c>
      <c r="H59" s="111">
        <v>786</v>
      </c>
      <c r="I59" s="111">
        <v>130</v>
      </c>
      <c r="J59" s="111">
        <v>42</v>
      </c>
    </row>
    <row r="60" spans="1:11" x14ac:dyDescent="0.55000000000000004">
      <c r="A60" s="110"/>
      <c r="B60" s="110">
        <v>7</v>
      </c>
      <c r="C60" s="109" t="s">
        <v>161</v>
      </c>
      <c r="D60" s="108"/>
      <c r="E60" s="111">
        <v>298</v>
      </c>
      <c r="F60" s="111">
        <v>15</v>
      </c>
      <c r="G60" s="111">
        <v>116</v>
      </c>
      <c r="H60" s="111">
        <v>132</v>
      </c>
      <c r="I60" s="111">
        <v>31</v>
      </c>
      <c r="J60" s="107" t="s">
        <v>140</v>
      </c>
    </row>
    <row r="61" spans="1:11" x14ac:dyDescent="0.55000000000000004">
      <c r="A61" s="110"/>
      <c r="B61" s="110">
        <v>7</v>
      </c>
      <c r="C61" s="109" t="s">
        <v>160</v>
      </c>
      <c r="D61" s="108"/>
      <c r="E61" s="111">
        <v>1139</v>
      </c>
      <c r="F61" s="111">
        <v>62</v>
      </c>
      <c r="G61" s="111">
        <v>372</v>
      </c>
      <c r="H61" s="111">
        <v>374</v>
      </c>
      <c r="I61" s="111">
        <v>209</v>
      </c>
      <c r="J61" s="111">
        <v>123</v>
      </c>
    </row>
    <row r="62" spans="1:11" x14ac:dyDescent="0.55000000000000004">
      <c r="A62" s="110"/>
      <c r="B62" s="110">
        <v>7</v>
      </c>
      <c r="C62" s="109" t="s">
        <v>159</v>
      </c>
      <c r="D62" s="108"/>
      <c r="E62" s="107" t="s">
        <v>140</v>
      </c>
      <c r="F62" s="107" t="s">
        <v>140</v>
      </c>
      <c r="G62" s="107" t="s">
        <v>140</v>
      </c>
      <c r="H62" s="107" t="s">
        <v>140</v>
      </c>
      <c r="I62" s="107" t="s">
        <v>140</v>
      </c>
      <c r="J62" s="107" t="s">
        <v>140</v>
      </c>
    </row>
    <row r="63" spans="1:11" x14ac:dyDescent="0.55000000000000004">
      <c r="A63" s="110"/>
      <c r="B63" s="110">
        <v>7</v>
      </c>
      <c r="C63" s="109" t="s">
        <v>158</v>
      </c>
      <c r="D63" s="108"/>
      <c r="E63" s="107" t="s">
        <v>140</v>
      </c>
      <c r="F63" s="107" t="s">
        <v>140</v>
      </c>
      <c r="G63" s="107" t="s">
        <v>140</v>
      </c>
      <c r="H63" s="107" t="s">
        <v>140</v>
      </c>
      <c r="I63" s="107" t="s">
        <v>140</v>
      </c>
      <c r="J63" s="107" t="s">
        <v>140</v>
      </c>
    </row>
    <row r="64" spans="1:11" x14ac:dyDescent="0.55000000000000004">
      <c r="A64" s="110"/>
      <c r="B64" s="110">
        <v>7</v>
      </c>
      <c r="C64" s="109" t="s">
        <v>157</v>
      </c>
      <c r="D64" s="108"/>
      <c r="E64" s="111">
        <v>671</v>
      </c>
      <c r="F64" s="111">
        <v>8</v>
      </c>
      <c r="G64" s="111">
        <v>319</v>
      </c>
      <c r="H64" s="111">
        <v>317</v>
      </c>
      <c r="I64" s="111">
        <v>21</v>
      </c>
      <c r="J64" s="111">
        <v>5</v>
      </c>
    </row>
    <row r="65" spans="1:11" x14ac:dyDescent="0.55000000000000004">
      <c r="A65" s="110"/>
      <c r="B65" s="110">
        <v>7</v>
      </c>
      <c r="C65" s="109" t="s">
        <v>156</v>
      </c>
      <c r="D65" s="108"/>
      <c r="E65" s="111">
        <v>427</v>
      </c>
      <c r="F65" s="111">
        <v>22</v>
      </c>
      <c r="G65" s="111">
        <v>130</v>
      </c>
      <c r="H65" s="111">
        <v>176</v>
      </c>
      <c r="I65" s="111">
        <v>86</v>
      </c>
      <c r="J65" s="111">
        <v>14</v>
      </c>
    </row>
    <row r="66" spans="1:11" x14ac:dyDescent="0.55000000000000004">
      <c r="A66" s="110"/>
      <c r="B66" s="110">
        <v>7</v>
      </c>
      <c r="C66" s="109" t="s">
        <v>155</v>
      </c>
      <c r="D66" s="108"/>
      <c r="E66" s="111">
        <v>1183</v>
      </c>
      <c r="F66" s="111">
        <v>75</v>
      </c>
      <c r="G66" s="111">
        <v>277</v>
      </c>
      <c r="H66" s="111">
        <v>559</v>
      </c>
      <c r="I66" s="111">
        <v>177</v>
      </c>
      <c r="J66" s="111">
        <v>94</v>
      </c>
    </row>
    <row r="67" spans="1:11" x14ac:dyDescent="0.55000000000000004">
      <c r="A67" s="110"/>
      <c r="B67" s="110">
        <v>7</v>
      </c>
      <c r="C67" s="109" t="s">
        <v>154</v>
      </c>
      <c r="D67" s="108" t="s">
        <v>153</v>
      </c>
      <c r="E67" s="111">
        <v>5213</v>
      </c>
      <c r="F67" s="111">
        <v>276</v>
      </c>
      <c r="G67" s="111">
        <v>1657</v>
      </c>
      <c r="H67" s="111">
        <v>2345</v>
      </c>
      <c r="I67" s="111">
        <v>653</v>
      </c>
      <c r="J67" s="111">
        <v>283</v>
      </c>
    </row>
    <row r="68" spans="1:11" x14ac:dyDescent="0.55000000000000004">
      <c r="A68" s="110"/>
      <c r="B68" s="110">
        <v>7</v>
      </c>
      <c r="C68" s="109" t="s">
        <v>152</v>
      </c>
      <c r="D68" s="108" t="s">
        <v>146</v>
      </c>
      <c r="E68" s="111">
        <v>1882</v>
      </c>
      <c r="F68" s="111">
        <v>72</v>
      </c>
      <c r="G68" s="111">
        <v>197</v>
      </c>
      <c r="H68" s="111">
        <v>1012</v>
      </c>
      <c r="I68" s="111">
        <v>548</v>
      </c>
      <c r="J68" s="111">
        <v>53</v>
      </c>
    </row>
    <row r="69" spans="1:11" x14ac:dyDescent="0.55000000000000004">
      <c r="A69" s="110"/>
      <c r="B69" s="110">
        <v>7</v>
      </c>
      <c r="C69" s="115" t="s">
        <v>151</v>
      </c>
      <c r="D69" s="114"/>
      <c r="E69" s="113">
        <v>20167</v>
      </c>
      <c r="F69" s="113">
        <v>887</v>
      </c>
      <c r="G69" s="113">
        <v>5645</v>
      </c>
      <c r="H69" s="113">
        <v>6918</v>
      </c>
      <c r="I69" s="113">
        <v>5508</v>
      </c>
      <c r="J69" s="113">
        <v>1209</v>
      </c>
      <c r="K69" s="112">
        <v>7</v>
      </c>
    </row>
    <row r="70" spans="1:11" x14ac:dyDescent="0.55000000000000004">
      <c r="A70" s="110"/>
      <c r="B70" s="110">
        <v>8</v>
      </c>
      <c r="C70" s="115" t="s">
        <v>150</v>
      </c>
      <c r="D70" s="114" t="s">
        <v>61</v>
      </c>
      <c r="E70" s="113">
        <v>224492</v>
      </c>
      <c r="F70" s="113">
        <v>16402</v>
      </c>
      <c r="G70" s="113">
        <v>27890</v>
      </c>
      <c r="H70" s="113">
        <v>63892</v>
      </c>
      <c r="I70" s="113">
        <v>65494</v>
      </c>
      <c r="J70" s="113">
        <v>50814</v>
      </c>
      <c r="K70" s="112">
        <v>8</v>
      </c>
    </row>
    <row r="71" spans="1:11" x14ac:dyDescent="0.55000000000000004">
      <c r="A71" s="110"/>
      <c r="B71" s="110">
        <v>9</v>
      </c>
      <c r="C71" s="115" t="s">
        <v>149</v>
      </c>
      <c r="D71" s="114" t="s">
        <v>13</v>
      </c>
      <c r="E71" s="113">
        <v>7814</v>
      </c>
      <c r="F71" s="113">
        <v>563</v>
      </c>
      <c r="G71" s="113">
        <v>2317</v>
      </c>
      <c r="H71" s="113">
        <v>2081</v>
      </c>
      <c r="I71" s="113">
        <v>1903</v>
      </c>
      <c r="J71" s="113">
        <v>950</v>
      </c>
      <c r="K71" s="112">
        <v>9</v>
      </c>
    </row>
    <row r="72" spans="1:11" x14ac:dyDescent="0.55000000000000004">
      <c r="A72" s="110"/>
      <c r="B72" s="110">
        <v>10</v>
      </c>
      <c r="C72" s="115" t="s">
        <v>148</v>
      </c>
      <c r="D72" s="114" t="s">
        <v>148</v>
      </c>
      <c r="E72" s="113">
        <v>19484</v>
      </c>
      <c r="F72" s="113">
        <v>399</v>
      </c>
      <c r="G72" s="113">
        <v>2630</v>
      </c>
      <c r="H72" s="113">
        <v>5835</v>
      </c>
      <c r="I72" s="113">
        <v>6664</v>
      </c>
      <c r="J72" s="113">
        <v>3957</v>
      </c>
      <c r="K72" s="112">
        <v>10</v>
      </c>
    </row>
    <row r="73" spans="1:11" x14ac:dyDescent="0.55000000000000004">
      <c r="A73" s="110"/>
      <c r="B73" s="110">
        <v>11</v>
      </c>
      <c r="C73" s="115" t="s">
        <v>147</v>
      </c>
      <c r="D73" s="114" t="s">
        <v>146</v>
      </c>
      <c r="E73" s="113">
        <v>77575</v>
      </c>
      <c r="F73" s="113">
        <v>3519</v>
      </c>
      <c r="G73" s="113">
        <v>11241</v>
      </c>
      <c r="H73" s="113">
        <v>18471</v>
      </c>
      <c r="I73" s="113">
        <v>23969</v>
      </c>
      <c r="J73" s="113">
        <v>20375</v>
      </c>
      <c r="K73" s="112">
        <v>11</v>
      </c>
    </row>
    <row r="74" spans="1:11" x14ac:dyDescent="0.55000000000000004">
      <c r="A74" s="110"/>
      <c r="B74" s="110">
        <v>11</v>
      </c>
      <c r="C74" s="109" t="s">
        <v>145</v>
      </c>
      <c r="D74" s="108"/>
      <c r="E74" s="111">
        <v>8690</v>
      </c>
      <c r="F74" s="111">
        <v>181</v>
      </c>
      <c r="G74" s="111">
        <v>625</v>
      </c>
      <c r="H74" s="111">
        <v>2473</v>
      </c>
      <c r="I74" s="111">
        <v>2791</v>
      </c>
      <c r="J74" s="111">
        <v>2620</v>
      </c>
    </row>
    <row r="75" spans="1:11" x14ac:dyDescent="0.55000000000000004">
      <c r="A75" s="110"/>
      <c r="B75" s="110">
        <v>11</v>
      </c>
      <c r="C75" s="109" t="s">
        <v>144</v>
      </c>
      <c r="D75" s="108"/>
      <c r="E75" s="111">
        <v>68885</v>
      </c>
      <c r="F75" s="111">
        <v>3338</v>
      </c>
      <c r="G75" s="111">
        <v>10616</v>
      </c>
      <c r="H75" s="111">
        <v>15998</v>
      </c>
      <c r="I75" s="111">
        <v>21178</v>
      </c>
      <c r="J75" s="111">
        <v>17755</v>
      </c>
    </row>
    <row r="76" spans="1:11" x14ac:dyDescent="0.55000000000000004">
      <c r="A76" s="110"/>
      <c r="B76" s="110"/>
      <c r="C76" s="109" t="s">
        <v>143</v>
      </c>
      <c r="D76" s="108"/>
      <c r="E76" s="111">
        <v>2639353</v>
      </c>
      <c r="F76" s="111">
        <v>99922</v>
      </c>
      <c r="G76" s="111">
        <v>471162</v>
      </c>
      <c r="H76" s="111">
        <v>785496</v>
      </c>
      <c r="I76" s="111">
        <v>785607</v>
      </c>
      <c r="J76" s="111">
        <v>497167</v>
      </c>
    </row>
    <row r="77" spans="1:11" x14ac:dyDescent="0.55000000000000004">
      <c r="A77" s="110"/>
      <c r="B77" s="110"/>
      <c r="C77" s="109" t="s">
        <v>142</v>
      </c>
      <c r="D77" s="108"/>
      <c r="E77" s="111">
        <v>7814</v>
      </c>
      <c r="F77" s="111">
        <v>563</v>
      </c>
      <c r="G77" s="111">
        <v>2317</v>
      </c>
      <c r="H77" s="111">
        <v>2081</v>
      </c>
      <c r="I77" s="111">
        <v>1903</v>
      </c>
      <c r="J77" s="111">
        <v>950</v>
      </c>
    </row>
    <row r="78" spans="1:11" x14ac:dyDescent="0.55000000000000004">
      <c r="A78" s="110"/>
      <c r="B78" s="110"/>
      <c r="C78" s="109" t="s">
        <v>141</v>
      </c>
      <c r="D78" s="108"/>
      <c r="E78" s="107" t="s">
        <v>140</v>
      </c>
      <c r="F78" s="107" t="s">
        <v>140</v>
      </c>
      <c r="G78" s="107" t="s">
        <v>140</v>
      </c>
      <c r="H78" s="107" t="s">
        <v>140</v>
      </c>
      <c r="I78" s="107" t="s">
        <v>140</v>
      </c>
      <c r="J78" s="107" t="s">
        <v>140</v>
      </c>
    </row>
  </sheetData>
  <pageMargins left="0.75" right="0.75" top="0.75" bottom="0.5" header="0.5" footer="0.7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8C19-782A-4A60-811C-773558220ADF}">
  <sheetPr codeName="Sheet2">
    <tabColor theme="7"/>
  </sheetPr>
  <dimension ref="A1:AA67"/>
  <sheetViews>
    <sheetView tabSelected="1" topLeftCell="J1" workbookViewId="0">
      <selection activeCell="Y16" sqref="Y16"/>
    </sheetView>
  </sheetViews>
  <sheetFormatPr defaultRowHeight="14.4" x14ac:dyDescent="0.55000000000000004"/>
  <cols>
    <col min="1" max="1" width="30.26171875" bestFit="1" customWidth="1"/>
    <col min="2" max="2" width="12.83984375" bestFit="1" customWidth="1"/>
    <col min="3" max="3" width="11.26171875" bestFit="1" customWidth="1"/>
    <col min="4" max="4" width="11.26171875" customWidth="1"/>
    <col min="5" max="5" width="10.26171875" bestFit="1" customWidth="1"/>
    <col min="6" max="6" width="10.26171875" customWidth="1"/>
    <col min="7" max="7" width="11.83984375" customWidth="1"/>
    <col min="8" max="8" width="10.26171875" customWidth="1"/>
    <col min="9" max="9" width="12.83984375" bestFit="1" customWidth="1"/>
    <col min="10" max="10" width="11.41796875" bestFit="1" customWidth="1"/>
    <col min="13" max="13" width="10.578125" customWidth="1"/>
    <col min="15" max="15" width="10.15625" customWidth="1"/>
    <col min="16" max="17" width="13.15625" bestFit="1" customWidth="1"/>
    <col min="19" max="19" width="12.68359375" customWidth="1"/>
    <col min="20" max="20" width="9.578125" bestFit="1" customWidth="1"/>
  </cols>
  <sheetData>
    <row r="1" spans="1:27" x14ac:dyDescent="0.55000000000000004">
      <c r="B1" s="381" t="s">
        <v>366</v>
      </c>
      <c r="C1" s="262"/>
      <c r="D1" s="262"/>
      <c r="E1" s="262"/>
      <c r="F1" s="262"/>
      <c r="G1" s="262"/>
      <c r="H1" s="262"/>
      <c r="I1" s="382"/>
      <c r="K1" s="381" t="s">
        <v>367</v>
      </c>
      <c r="L1" s="262"/>
      <c r="M1" s="262"/>
      <c r="N1" s="262"/>
      <c r="O1" s="262"/>
      <c r="P1" s="262"/>
      <c r="Q1" s="262"/>
      <c r="R1" s="382"/>
      <c r="T1" t="s">
        <v>897</v>
      </c>
    </row>
    <row r="2" spans="1:27" x14ac:dyDescent="0.55000000000000004">
      <c r="B2" s="383"/>
      <c r="C2" s="146" t="s">
        <v>734</v>
      </c>
      <c r="D2" s="146"/>
      <c r="E2" s="146"/>
      <c r="F2" s="390"/>
      <c r="G2" s="390" t="s">
        <v>756</v>
      </c>
      <c r="H2" s="390"/>
      <c r="I2" s="391"/>
      <c r="K2" s="383"/>
      <c r="L2" s="146" t="s">
        <v>734</v>
      </c>
      <c r="M2" s="146"/>
      <c r="N2" s="146"/>
      <c r="O2" s="390"/>
      <c r="P2" s="390" t="s">
        <v>756</v>
      </c>
      <c r="Q2" s="390"/>
      <c r="R2" s="391"/>
      <c r="T2" s="383"/>
      <c r="U2" s="444" t="s">
        <v>734</v>
      </c>
      <c r="V2" s="444"/>
      <c r="W2" s="444"/>
      <c r="X2" s="390"/>
      <c r="Y2" s="390" t="s">
        <v>756</v>
      </c>
      <c r="Z2" s="390"/>
      <c r="AA2" s="391"/>
    </row>
    <row r="3" spans="1:27" x14ac:dyDescent="0.55000000000000004">
      <c r="B3" s="383" t="s">
        <v>778</v>
      </c>
      <c r="C3" s="146" t="str">
        <f>Jordbund1</f>
        <v>JB1-10</v>
      </c>
      <c r="D3" s="146" t="str">
        <f>Organ6</f>
        <v>OC6</v>
      </c>
      <c r="E3" s="146" t="str">
        <f>Organ12</f>
        <v>OC12</v>
      </c>
      <c r="F3" s="390"/>
      <c r="G3" s="146" t="str">
        <f>Jordbund1</f>
        <v>JB1-10</v>
      </c>
      <c r="H3" s="146" t="str">
        <f>Organ6</f>
        <v>OC6</v>
      </c>
      <c r="I3" s="384" t="str">
        <f>Organ12</f>
        <v>OC12</v>
      </c>
      <c r="J3" s="372"/>
      <c r="K3" s="383" t="s">
        <v>778</v>
      </c>
      <c r="L3" s="146" t="str">
        <f>Jordbund1</f>
        <v>JB1-10</v>
      </c>
      <c r="M3" s="146" t="str">
        <f>Organ6</f>
        <v>OC6</v>
      </c>
      <c r="N3" s="146" t="str">
        <f>Organ12</f>
        <v>OC12</v>
      </c>
      <c r="O3" s="390"/>
      <c r="P3" s="146" t="str">
        <f>Jordbund1</f>
        <v>JB1-10</v>
      </c>
      <c r="Q3" s="146" t="str">
        <f>Organ6</f>
        <v>OC6</v>
      </c>
      <c r="R3" s="384" t="str">
        <f>Organ12</f>
        <v>OC12</v>
      </c>
      <c r="T3" s="383" t="s">
        <v>778</v>
      </c>
      <c r="U3" s="444" t="str">
        <f>Jordbund1</f>
        <v>JB1-10</v>
      </c>
      <c r="V3" s="444" t="str">
        <f>Organ6</f>
        <v>OC6</v>
      </c>
      <c r="W3" s="444" t="str">
        <f>Organ12</f>
        <v>OC12</v>
      </c>
      <c r="X3" s="390"/>
      <c r="Y3" s="444" t="str">
        <f>Jordbund1</f>
        <v>JB1-10</v>
      </c>
      <c r="Z3" s="444" t="str">
        <f>Organ6</f>
        <v>OC6</v>
      </c>
      <c r="AA3" s="384" t="str">
        <f>Organ12</f>
        <v>OC12</v>
      </c>
    </row>
    <row r="4" spans="1:27" x14ac:dyDescent="0.55000000000000004">
      <c r="A4" s="167" t="s">
        <v>11</v>
      </c>
      <c r="B4" s="383">
        <f>SUM(Afgrødefordeling!G2:I2)</f>
        <v>1038916</v>
      </c>
      <c r="C4" s="146">
        <f>$B4*F21</f>
        <v>1004007.0034807447</v>
      </c>
      <c r="D4" s="146">
        <f>$B4*G21</f>
        <v>23471.392533795915</v>
      </c>
      <c r="E4" s="146">
        <f t="shared" ref="E4:E17" si="0">$B4*H21</f>
        <v>11437.603985459307</v>
      </c>
      <c r="F4" s="390" t="s">
        <v>11</v>
      </c>
      <c r="G4" s="371">
        <f>C4/SUM(C$4:C$17)</f>
        <v>0.52078807763652124</v>
      </c>
      <c r="H4" s="371">
        <f t="shared" ref="H4:I17" si="1">D4/SUM(D$4:D$17)</f>
        <v>0.29260742948449031</v>
      </c>
      <c r="I4" s="385">
        <f t="shared" si="1"/>
        <v>0.19001733521339526</v>
      </c>
      <c r="J4" s="226"/>
      <c r="K4" s="383">
        <f>SUM(Afgrødefordeling!E2:F2)</f>
        <v>332413</v>
      </c>
      <c r="L4" s="146">
        <f t="shared" ref="L4:L17" si="2">$K4*F21</f>
        <v>321243.46920063294</v>
      </c>
      <c r="M4" s="146">
        <f t="shared" ref="M4:M17" si="3">$K4*G21</f>
        <v>7509.9392119639133</v>
      </c>
      <c r="N4" s="146">
        <f t="shared" ref="N4:N17" si="4">$K4*H21</f>
        <v>3659.5915874031057</v>
      </c>
      <c r="O4" s="390" t="s">
        <v>11</v>
      </c>
      <c r="P4" s="371">
        <f>L4/SUM(L$4:L$17)</f>
        <v>0.59758624874726696</v>
      </c>
      <c r="Q4" s="371">
        <f t="shared" ref="Q4:R17" si="5">M4/SUM(M$4:M$17)</f>
        <v>0.38313743571343106</v>
      </c>
      <c r="R4" s="385">
        <f t="shared" si="5"/>
        <v>0.26300634149592406</v>
      </c>
      <c r="S4" s="226"/>
      <c r="T4">
        <f>SUM(B4,K4)</f>
        <v>1371329</v>
      </c>
      <c r="U4" s="459">
        <f t="shared" ref="U4:W4" si="6">SUM(C4,L4)</f>
        <v>1325250.4726813775</v>
      </c>
      <c r="V4" s="459">
        <f t="shared" si="6"/>
        <v>30981.331745759828</v>
      </c>
      <c r="W4" s="459">
        <f t="shared" si="6"/>
        <v>15097.195572862413</v>
      </c>
      <c r="X4" s="390" t="s">
        <v>11</v>
      </c>
      <c r="Y4" s="371">
        <f>U4/SUM(U$4:U$17)</f>
        <v>0.53753334285647836</v>
      </c>
      <c r="Z4" s="371">
        <f t="shared" ref="Z4:AA4" si="7">V4/SUM(V$4:V$17)</f>
        <v>0.3103851136120081</v>
      </c>
      <c r="AA4" s="371">
        <f t="shared" si="7"/>
        <v>0.20372190135299265</v>
      </c>
    </row>
    <row r="5" spans="1:27" x14ac:dyDescent="0.55000000000000004">
      <c r="A5" s="167" t="s">
        <v>14</v>
      </c>
      <c r="B5" s="383">
        <f>SUM(Afgrødefordeling!G3:I3)</f>
        <v>72039</v>
      </c>
      <c r="C5" s="146">
        <f t="shared" ref="C4:C17" si="8">$B5*F22</f>
        <v>69368.365239349441</v>
      </c>
      <c r="D5" s="146">
        <f t="shared" ref="D5:D17" si="9">$B5*G22</f>
        <v>2012.0664181985262</v>
      </c>
      <c r="E5" s="146">
        <f t="shared" si="0"/>
        <v>658.56834245203004</v>
      </c>
      <c r="F5" s="390" t="s">
        <v>14</v>
      </c>
      <c r="G5" s="371">
        <f t="shared" ref="G5:G17" si="10">C5/SUM(C$4:C$17)</f>
        <v>3.5982037432552356E-2</v>
      </c>
      <c r="H5" s="371">
        <f t="shared" si="1"/>
        <v>2.5083538683672694E-2</v>
      </c>
      <c r="I5" s="385">
        <f t="shared" si="1"/>
        <v>1.0941050385004404E-2</v>
      </c>
      <c r="J5" s="226"/>
      <c r="K5" s="383">
        <f>SUM(Afgrødefordeling!E3:F3)</f>
        <v>7271</v>
      </c>
      <c r="L5" s="146">
        <f t="shared" si="2"/>
        <v>7001.4489881218469</v>
      </c>
      <c r="M5" s="146">
        <f t="shared" si="3"/>
        <v>203.08076079236918</v>
      </c>
      <c r="N5" s="146">
        <f t="shared" si="4"/>
        <v>66.470251085782849</v>
      </c>
      <c r="O5" s="390" t="s">
        <v>14</v>
      </c>
      <c r="P5" s="371">
        <f t="shared" ref="P5:P17" si="11">L5/SUM(L$4:L$17)</f>
        <v>1.3024294772492263E-2</v>
      </c>
      <c r="Q5" s="371">
        <f t="shared" si="5"/>
        <v>1.0360648699894549E-2</v>
      </c>
      <c r="R5" s="385">
        <f t="shared" si="5"/>
        <v>4.777062450510427E-3</v>
      </c>
      <c r="S5" s="226"/>
      <c r="T5" s="459">
        <f t="shared" ref="T5:T17" si="12">SUM(B5,K5)</f>
        <v>79310</v>
      </c>
      <c r="U5" s="459">
        <f t="shared" ref="U5:U17" si="13">SUM(C5,L5)</f>
        <v>76369.814227471288</v>
      </c>
      <c r="V5" s="459">
        <f t="shared" ref="V5:V17" si="14">SUM(D5,M5)</f>
        <v>2215.1471789908956</v>
      </c>
      <c r="W5" s="459">
        <f t="shared" ref="W5:W17" si="15">SUM(E5,N5)</f>
        <v>725.03859353781286</v>
      </c>
      <c r="X5" s="390" t="s">
        <v>14</v>
      </c>
      <c r="Y5" s="371">
        <f t="shared" ref="Y5:Y17" si="16">U5/SUM(U$4:U$17)</f>
        <v>3.0976273829928767E-2</v>
      </c>
      <c r="Z5" s="371">
        <f t="shared" ref="Z5:Z17" si="17">V5/SUM(V$4:V$17)</f>
        <v>2.2192354881984948E-2</v>
      </c>
      <c r="AA5" s="371">
        <f t="shared" ref="AA5:AA17" si="18">W5/SUM(W$4:W$17)</f>
        <v>9.7836873157640305E-3</v>
      </c>
    </row>
    <row r="6" spans="1:27" x14ac:dyDescent="0.55000000000000004">
      <c r="A6" s="167" t="s">
        <v>177</v>
      </c>
      <c r="B6" s="383">
        <f>SUM(Afgrødefordeling!G4:I4)</f>
        <v>119660</v>
      </c>
      <c r="C6" s="146">
        <f t="shared" si="8"/>
        <v>116652.69730542703</v>
      </c>
      <c r="D6" s="146">
        <f t="shared" si="9"/>
        <v>2154.4865125770075</v>
      </c>
      <c r="E6" s="146">
        <f t="shared" si="0"/>
        <v>852.8161819959488</v>
      </c>
      <c r="F6" s="390" t="s">
        <v>177</v>
      </c>
      <c r="G6" s="371">
        <f t="shared" si="10"/>
        <v>6.0508874709232517E-2</v>
      </c>
      <c r="H6" s="371">
        <f t="shared" si="1"/>
        <v>2.68590267661553E-2</v>
      </c>
      <c r="I6" s="385">
        <f t="shared" si="1"/>
        <v>1.4168164812818053E-2</v>
      </c>
      <c r="J6" s="226"/>
      <c r="K6" s="383">
        <f>SUM(Afgrødefordeling!E4:F4)</f>
        <v>45558</v>
      </c>
      <c r="L6" s="146">
        <f t="shared" si="2"/>
        <v>44413.03346014244</v>
      </c>
      <c r="M6" s="146">
        <f t="shared" si="3"/>
        <v>820.27491676402565</v>
      </c>
      <c r="N6" s="146">
        <f t="shared" si="4"/>
        <v>324.69162309352697</v>
      </c>
      <c r="O6" s="390" t="s">
        <v>177</v>
      </c>
      <c r="P6" s="371">
        <f t="shared" si="11"/>
        <v>8.2618389494347674E-2</v>
      </c>
      <c r="Q6" s="371">
        <f t="shared" si="5"/>
        <v>4.184827857039744E-2</v>
      </c>
      <c r="R6" s="385">
        <f t="shared" si="5"/>
        <v>2.3334832279686194E-2</v>
      </c>
      <c r="S6" s="226"/>
      <c r="T6" s="459">
        <f t="shared" si="12"/>
        <v>165218</v>
      </c>
      <c r="U6" s="459">
        <f t="shared" si="13"/>
        <v>161065.73076556949</v>
      </c>
      <c r="V6" s="459">
        <f t="shared" si="14"/>
        <v>2974.7614293410334</v>
      </c>
      <c r="W6" s="459">
        <f t="shared" si="15"/>
        <v>1177.5078050894758</v>
      </c>
      <c r="X6" s="390" t="s">
        <v>177</v>
      </c>
      <c r="Y6" s="371">
        <f t="shared" si="16"/>
        <v>6.5329688585482673E-2</v>
      </c>
      <c r="Z6" s="371">
        <f t="shared" si="17"/>
        <v>2.9802516941222323E-2</v>
      </c>
      <c r="AA6" s="371">
        <f t="shared" si="18"/>
        <v>1.5889317175039771E-2</v>
      </c>
    </row>
    <row r="7" spans="1:27" x14ac:dyDescent="0.55000000000000004">
      <c r="A7" s="167" t="s">
        <v>13</v>
      </c>
      <c r="B7" s="383">
        <f>SUM(Afgrødefordeling!G5:I5)</f>
        <v>261971</v>
      </c>
      <c r="C7" s="146">
        <f t="shared" si="8"/>
        <v>222420.00470920876</v>
      </c>
      <c r="D7" s="146">
        <f t="shared" si="9"/>
        <v>19882.362025663842</v>
      </c>
      <c r="E7" s="146">
        <f t="shared" si="0"/>
        <v>19668.633265127406</v>
      </c>
      <c r="F7" s="390" t="s">
        <v>13</v>
      </c>
      <c r="G7" s="371">
        <f t="shared" si="10"/>
        <v>0.1153713931066581</v>
      </c>
      <c r="H7" s="371">
        <f t="shared" si="1"/>
        <v>0.247864579659376</v>
      </c>
      <c r="I7" s="385">
        <f t="shared" si="1"/>
        <v>0.32676260561918435</v>
      </c>
      <c r="J7" s="226"/>
      <c r="K7" s="383">
        <f>SUM(Afgrødefordeling!E5:F5)</f>
        <v>31780</v>
      </c>
      <c r="L7" s="146">
        <f t="shared" si="2"/>
        <v>26982.023772320808</v>
      </c>
      <c r="M7" s="146">
        <f t="shared" si="3"/>
        <v>2411.9519533673456</v>
      </c>
      <c r="N7" s="146">
        <f t="shared" si="4"/>
        <v>2386.024274311847</v>
      </c>
      <c r="O7" s="390" t="s">
        <v>13</v>
      </c>
      <c r="P7" s="371">
        <f t="shared" si="11"/>
        <v>5.0192728928725582E-2</v>
      </c>
      <c r="Q7" s="371">
        <f t="shared" si="5"/>
        <v>0.12305147357318001</v>
      </c>
      <c r="R7" s="385">
        <f t="shared" si="5"/>
        <v>0.17147801882246</v>
      </c>
      <c r="S7" s="226"/>
      <c r="T7" s="459">
        <f t="shared" si="12"/>
        <v>293751</v>
      </c>
      <c r="U7" s="459">
        <f t="shared" si="13"/>
        <v>249402.02848152956</v>
      </c>
      <c r="V7" s="459">
        <f t="shared" si="14"/>
        <v>22294.313979031187</v>
      </c>
      <c r="W7" s="459">
        <f t="shared" si="15"/>
        <v>22054.657539439253</v>
      </c>
      <c r="X7" s="390" t="s">
        <v>13</v>
      </c>
      <c r="Y7" s="371">
        <f t="shared" si="16"/>
        <v>0.10115967422642448</v>
      </c>
      <c r="Z7" s="371">
        <f t="shared" si="17"/>
        <v>0.22335460702816423</v>
      </c>
      <c r="AA7" s="371">
        <f t="shared" si="18"/>
        <v>0.29760605179547317</v>
      </c>
    </row>
    <row r="8" spans="1:27" x14ac:dyDescent="0.55000000000000004">
      <c r="A8" s="167" t="s">
        <v>12</v>
      </c>
      <c r="B8" s="383">
        <f>SUM(Afgrødefordeling!G6:I6)</f>
        <v>8723</v>
      </c>
      <c r="C8" s="146">
        <f t="shared" si="8"/>
        <v>8607.1483465005567</v>
      </c>
      <c r="D8" s="146">
        <f t="shared" si="9"/>
        <v>92.990555049124993</v>
      </c>
      <c r="E8" s="146">
        <f t="shared" si="0"/>
        <v>22.861098450319325</v>
      </c>
      <c r="F8" s="390" t="s">
        <v>12</v>
      </c>
      <c r="G8" s="371">
        <f t="shared" si="10"/>
        <v>4.464610531367031E-3</v>
      </c>
      <c r="H8" s="371">
        <f t="shared" si="1"/>
        <v>1.1592719622443278E-3</v>
      </c>
      <c r="I8" s="385">
        <f t="shared" si="1"/>
        <v>3.7980026350827641E-4</v>
      </c>
      <c r="J8" s="226"/>
      <c r="K8" s="383">
        <f>SUM(Afgrødefordeling!E6:F6)</f>
        <v>4285</v>
      </c>
      <c r="L8" s="146">
        <f t="shared" si="2"/>
        <v>4228.0901828218366</v>
      </c>
      <c r="M8" s="146">
        <f t="shared" si="3"/>
        <v>45.679757925656375</v>
      </c>
      <c r="N8" s="146">
        <f t="shared" si="4"/>
        <v>11.230059252506971</v>
      </c>
      <c r="O8" s="390" t="s">
        <v>12</v>
      </c>
      <c r="P8" s="371">
        <f t="shared" si="11"/>
        <v>7.865213752064254E-3</v>
      </c>
      <c r="Q8" s="371">
        <f t="shared" si="5"/>
        <v>2.3304616484464778E-3</v>
      </c>
      <c r="R8" s="385">
        <f t="shared" si="5"/>
        <v>8.0707825675165219E-4</v>
      </c>
      <c r="S8" s="226"/>
      <c r="T8" s="459">
        <f t="shared" si="12"/>
        <v>13008</v>
      </c>
      <c r="U8" s="459">
        <f t="shared" si="13"/>
        <v>12835.238529322392</v>
      </c>
      <c r="V8" s="459">
        <f t="shared" si="14"/>
        <v>138.67031297478138</v>
      </c>
      <c r="W8" s="459">
        <f t="shared" si="15"/>
        <v>34.091157702826294</v>
      </c>
      <c r="X8" s="390" t="s">
        <v>12</v>
      </c>
      <c r="Y8" s="371">
        <f t="shared" si="16"/>
        <v>5.2060865589185204E-3</v>
      </c>
      <c r="Z8" s="371">
        <f t="shared" si="17"/>
        <v>1.3892624500617522E-3</v>
      </c>
      <c r="AA8" s="371">
        <f t="shared" si="18"/>
        <v>4.600268594935945E-4</v>
      </c>
    </row>
    <row r="9" spans="1:27" x14ac:dyDescent="0.55000000000000004">
      <c r="A9" s="167" t="s">
        <v>188</v>
      </c>
      <c r="B9" s="383">
        <f>SUM(Afgrødefordeling!G7:I7)</f>
        <v>53952</v>
      </c>
      <c r="C9" s="146">
        <f t="shared" si="8"/>
        <v>51273.875513650157</v>
      </c>
      <c r="D9" s="146">
        <f t="shared" si="9"/>
        <v>1468.0798414882997</v>
      </c>
      <c r="E9" s="146">
        <f t="shared" si="0"/>
        <v>1210.0446448615455</v>
      </c>
      <c r="F9" s="390" t="s">
        <v>188</v>
      </c>
      <c r="G9" s="371">
        <f t="shared" si="10"/>
        <v>2.6596251788237935E-2</v>
      </c>
      <c r="H9" s="371">
        <f t="shared" si="1"/>
        <v>1.8301899560384409E-2</v>
      </c>
      <c r="I9" s="385">
        <f t="shared" si="1"/>
        <v>2.0102939321744374E-2</v>
      </c>
      <c r="J9" s="226"/>
      <c r="K9" s="383">
        <f>SUM(Afgrødefordeling!E7:F7)</f>
        <v>2854</v>
      </c>
      <c r="L9" s="146">
        <f t="shared" si="2"/>
        <v>2712.3302327245983</v>
      </c>
      <c r="M9" s="146">
        <f t="shared" si="3"/>
        <v>77.659769194980868</v>
      </c>
      <c r="N9" s="146">
        <f t="shared" si="4"/>
        <v>64.009998080420573</v>
      </c>
      <c r="O9" s="390" t="s">
        <v>188</v>
      </c>
      <c r="P9" s="371">
        <f t="shared" si="11"/>
        <v>5.0455539319474536E-3</v>
      </c>
      <c r="Q9" s="371">
        <f t="shared" si="5"/>
        <v>3.9619980918168913E-3</v>
      </c>
      <c r="R9" s="385">
        <f t="shared" si="5"/>
        <v>4.6002497853152241E-3</v>
      </c>
      <c r="S9" s="226"/>
      <c r="T9" s="459">
        <f t="shared" si="12"/>
        <v>56806</v>
      </c>
      <c r="U9" s="459">
        <f t="shared" si="13"/>
        <v>53986.205746374755</v>
      </c>
      <c r="V9" s="459">
        <f t="shared" si="14"/>
        <v>1545.7396106832807</v>
      </c>
      <c r="W9" s="459">
        <f t="shared" si="15"/>
        <v>1274.054642941966</v>
      </c>
      <c r="X9" s="390" t="s">
        <v>188</v>
      </c>
      <c r="Y9" s="371">
        <f t="shared" si="16"/>
        <v>2.189728375215861E-2</v>
      </c>
      <c r="Z9" s="371">
        <f t="shared" si="17"/>
        <v>1.5485924511368826E-2</v>
      </c>
      <c r="AA9" s="371">
        <f t="shared" si="18"/>
        <v>1.7192122406779854E-2</v>
      </c>
    </row>
    <row r="10" spans="1:27" x14ac:dyDescent="0.55000000000000004">
      <c r="A10" s="167" t="s">
        <v>42</v>
      </c>
      <c r="B10" s="383">
        <f>SUM(Afgrødefordeling!G8:I8)</f>
        <v>5057</v>
      </c>
      <c r="C10" s="146">
        <f t="shared" si="8"/>
        <v>5005.3989577717884</v>
      </c>
      <c r="D10" s="146">
        <f t="shared" si="9"/>
        <v>38.515543575920923</v>
      </c>
      <c r="E10" s="146">
        <f t="shared" si="0"/>
        <v>13.085498652291111</v>
      </c>
      <c r="F10" s="390" t="s">
        <v>42</v>
      </c>
      <c r="G10" s="371">
        <f t="shared" si="10"/>
        <v>2.5963485234511219E-3</v>
      </c>
      <c r="H10" s="371">
        <f t="shared" si="1"/>
        <v>4.801561809645839E-4</v>
      </c>
      <c r="I10" s="385">
        <f t="shared" si="1"/>
        <v>2.1739444616266637E-4</v>
      </c>
      <c r="J10" s="226"/>
      <c r="K10" s="383">
        <f>SUM(Afgrødefordeling!E8:F8)</f>
        <v>28487</v>
      </c>
      <c r="L10" s="146">
        <f t="shared" si="2"/>
        <v>28196.321951758935</v>
      </c>
      <c r="M10" s="146">
        <f t="shared" si="3"/>
        <v>216.96505632732041</v>
      </c>
      <c r="N10" s="146">
        <f t="shared" si="4"/>
        <v>73.712991913746663</v>
      </c>
      <c r="O10" s="390" t="s">
        <v>42</v>
      </c>
      <c r="P10" s="371">
        <f t="shared" si="11"/>
        <v>5.2451600979001756E-2</v>
      </c>
      <c r="Q10" s="371">
        <f t="shared" si="5"/>
        <v>1.1068989105563098E-2</v>
      </c>
      <c r="R10" s="385">
        <f t="shared" si="5"/>
        <v>5.2975813997076116E-3</v>
      </c>
      <c r="S10" s="226"/>
      <c r="T10" s="459">
        <f t="shared" si="12"/>
        <v>33544</v>
      </c>
      <c r="U10" s="459">
        <f t="shared" si="13"/>
        <v>33201.720909530726</v>
      </c>
      <c r="V10" s="459">
        <f t="shared" si="14"/>
        <v>255.48059990324134</v>
      </c>
      <c r="W10" s="459">
        <f t="shared" si="15"/>
        <v>86.798490566037771</v>
      </c>
      <c r="X10" s="390" t="s">
        <v>42</v>
      </c>
      <c r="Y10" s="371">
        <f t="shared" si="16"/>
        <v>1.3466912404096722E-2</v>
      </c>
      <c r="Z10" s="371">
        <f t="shared" si="17"/>
        <v>2.5595211877063469E-3</v>
      </c>
      <c r="AA10" s="371">
        <f t="shared" si="18"/>
        <v>1.1712608111448329E-3</v>
      </c>
    </row>
    <row r="11" spans="1:27" x14ac:dyDescent="0.55000000000000004">
      <c r="A11" s="167" t="s">
        <v>15</v>
      </c>
      <c r="B11" s="383">
        <f>SUM(Afgrødefordeling!G9:I9)</f>
        <v>178007</v>
      </c>
      <c r="C11" s="146">
        <f t="shared" si="8"/>
        <v>171407.91225809458</v>
      </c>
      <c r="D11" s="146">
        <f t="shared" si="9"/>
        <v>4971.7778828726805</v>
      </c>
      <c r="E11" s="146">
        <f t="shared" si="0"/>
        <v>1627.3098590327256</v>
      </c>
      <c r="F11" s="390" t="s">
        <v>15</v>
      </c>
      <c r="G11" s="371">
        <f t="shared" si="10"/>
        <v>8.8910930707760349E-2</v>
      </c>
      <c r="H11" s="371">
        <f t="shared" si="1"/>
        <v>6.1980947409938016E-2</v>
      </c>
      <c r="I11" s="385">
        <f t="shared" si="1"/>
        <v>2.7035127582052489E-2</v>
      </c>
      <c r="J11" s="226"/>
      <c r="K11" s="383">
        <f>SUM(Afgrødefordeling!E9:F9)</f>
        <v>8282</v>
      </c>
      <c r="L11" s="146">
        <f t="shared" si="2"/>
        <v>7974.969126616028</v>
      </c>
      <c r="M11" s="146">
        <f t="shared" si="3"/>
        <v>231.31823145129991</v>
      </c>
      <c r="N11" s="146">
        <f t="shared" si="4"/>
        <v>75.712641932671374</v>
      </c>
      <c r="O11" s="390" t="s">
        <v>15</v>
      </c>
      <c r="P11" s="371">
        <f t="shared" si="11"/>
        <v>1.4835264654900416E-2</v>
      </c>
      <c r="Q11" s="371">
        <f t="shared" si="5"/>
        <v>1.180125052022097E-2</v>
      </c>
      <c r="R11" s="385">
        <f t="shared" si="5"/>
        <v>5.4412915988347344E-3</v>
      </c>
      <c r="S11" s="226"/>
      <c r="T11" s="459">
        <f t="shared" si="12"/>
        <v>186289</v>
      </c>
      <c r="U11" s="459">
        <f t="shared" si="13"/>
        <v>179382.88138471061</v>
      </c>
      <c r="V11" s="459">
        <f t="shared" si="14"/>
        <v>5203.0961143239801</v>
      </c>
      <c r="W11" s="459">
        <f t="shared" si="15"/>
        <v>1703.0225009653971</v>
      </c>
      <c r="X11" s="390" t="s">
        <v>15</v>
      </c>
      <c r="Y11" s="371">
        <f t="shared" si="16"/>
        <v>7.2759287296729286E-2</v>
      </c>
      <c r="Z11" s="371">
        <f t="shared" si="17"/>
        <v>5.2126990273737149E-2</v>
      </c>
      <c r="AA11" s="371">
        <f t="shared" si="18"/>
        <v>2.2980624465595331E-2</v>
      </c>
    </row>
    <row r="12" spans="1:27" x14ac:dyDescent="0.55000000000000004">
      <c r="A12" s="167" t="s">
        <v>153</v>
      </c>
      <c r="B12" s="383">
        <f>SUM(Afgrødefordeling!G10:I10)</f>
        <v>3281</v>
      </c>
      <c r="C12" s="146">
        <f t="shared" si="8"/>
        <v>3149.6677342606863</v>
      </c>
      <c r="D12" s="146">
        <f t="shared" si="9"/>
        <v>84.698510248354609</v>
      </c>
      <c r="E12" s="146">
        <f t="shared" si="0"/>
        <v>46.633755490958848</v>
      </c>
      <c r="F12" s="390" t="s">
        <v>153</v>
      </c>
      <c r="G12" s="371">
        <f t="shared" si="10"/>
        <v>1.6337629108489173E-3</v>
      </c>
      <c r="H12" s="371">
        <f t="shared" si="1"/>
        <v>1.0558987213584255E-3</v>
      </c>
      <c r="I12" s="385">
        <f t="shared" si="1"/>
        <v>7.7474460216058903E-4</v>
      </c>
      <c r="J12" s="226"/>
      <c r="K12" s="383">
        <f>SUM(Afgrødefordeling!E10:F10)</f>
        <v>1933</v>
      </c>
      <c r="L12" s="146">
        <f t="shared" si="2"/>
        <v>1855.6256416720228</v>
      </c>
      <c r="M12" s="146">
        <f t="shared" si="3"/>
        <v>49.900097625745033</v>
      </c>
      <c r="N12" s="146">
        <f t="shared" si="4"/>
        <v>27.47426070223208</v>
      </c>
      <c r="O12" s="390" t="s">
        <v>153</v>
      </c>
      <c r="P12" s="371">
        <f t="shared" si="11"/>
        <v>3.4518876571883301E-3</v>
      </c>
      <c r="Q12" s="371">
        <f t="shared" si="5"/>
        <v>2.5457723300503447E-3</v>
      </c>
      <c r="R12" s="385">
        <f t="shared" si="5"/>
        <v>1.9745112589809222E-3</v>
      </c>
      <c r="S12" s="226"/>
      <c r="T12" s="459">
        <f t="shared" si="12"/>
        <v>5214</v>
      </c>
      <c r="U12" s="459">
        <f t="shared" si="13"/>
        <v>5005.2933759327088</v>
      </c>
      <c r="V12" s="459">
        <f t="shared" si="14"/>
        <v>134.59860787409963</v>
      </c>
      <c r="W12" s="459">
        <f t="shared" si="15"/>
        <v>74.108016193190934</v>
      </c>
      <c r="X12" s="390" t="s">
        <v>153</v>
      </c>
      <c r="Y12" s="371">
        <f t="shared" si="16"/>
        <v>2.0301913757470973E-3</v>
      </c>
      <c r="Z12" s="371">
        <f t="shared" si="17"/>
        <v>1.3484702510484653E-3</v>
      </c>
      <c r="AA12" s="371">
        <f t="shared" si="18"/>
        <v>1.0000152605503254E-3</v>
      </c>
    </row>
    <row r="13" spans="1:27" x14ac:dyDescent="0.55000000000000004">
      <c r="A13" s="167" t="s">
        <v>146</v>
      </c>
      <c r="B13" s="383">
        <f>SUM(Afgrødefordeling!G11:I11)</f>
        <v>58027.442472384268</v>
      </c>
      <c r="C13" s="146">
        <f t="shared" si="8"/>
        <v>55704.71297072139</v>
      </c>
      <c r="D13" s="146">
        <f t="shared" si="9"/>
        <v>1497.9695004367711</v>
      </c>
      <c r="E13" s="146">
        <f t="shared" si="0"/>
        <v>824.76000122610435</v>
      </c>
      <c r="F13" s="390" t="s">
        <v>146</v>
      </c>
      <c r="G13" s="371">
        <f t="shared" si="10"/>
        <v>2.8894569741786228E-2</v>
      </c>
      <c r="H13" s="371">
        <f t="shared" si="1"/>
        <v>1.8674520667567855E-2</v>
      </c>
      <c r="I13" s="385">
        <f t="shared" si="1"/>
        <v>1.3702056639031946E-2</v>
      </c>
      <c r="J13" s="226"/>
      <c r="K13" s="383">
        <f>SUM(Afgrødefordeling!E11:F11)</f>
        <v>13802.557527615738</v>
      </c>
      <c r="L13" s="146">
        <f t="shared" si="2"/>
        <v>13250.067081684927</v>
      </c>
      <c r="M13" s="146">
        <f t="shared" si="3"/>
        <v>356.31089917898981</v>
      </c>
      <c r="N13" s="146">
        <f t="shared" si="4"/>
        <v>196.17954675182133</v>
      </c>
      <c r="O13" s="390" t="s">
        <v>146</v>
      </c>
      <c r="P13" s="371">
        <f t="shared" si="11"/>
        <v>2.4648152078224853E-2</v>
      </c>
      <c r="Q13" s="371">
        <f t="shared" si="5"/>
        <v>1.8178049165924595E-2</v>
      </c>
      <c r="R13" s="385">
        <f t="shared" si="5"/>
        <v>1.4098968050185802E-2</v>
      </c>
      <c r="S13" s="226"/>
      <c r="T13" s="459">
        <f t="shared" si="12"/>
        <v>71830</v>
      </c>
      <c r="U13" s="459">
        <f t="shared" si="13"/>
        <v>68954.78005240632</v>
      </c>
      <c r="V13" s="459">
        <f t="shared" si="14"/>
        <v>1854.2803996157609</v>
      </c>
      <c r="W13" s="459">
        <f t="shared" si="15"/>
        <v>1020.9395479779257</v>
      </c>
      <c r="X13" s="390" t="s">
        <v>146</v>
      </c>
      <c r="Y13" s="371">
        <f t="shared" si="16"/>
        <v>2.7968670218625629E-2</v>
      </c>
      <c r="Z13" s="371">
        <f t="shared" si="17"/>
        <v>1.8577026876258396E-2</v>
      </c>
      <c r="AA13" s="371">
        <f t="shared" si="18"/>
        <v>1.3776581543024526E-2</v>
      </c>
    </row>
    <row r="14" spans="1:27" x14ac:dyDescent="0.55000000000000004">
      <c r="A14" s="167" t="s">
        <v>307</v>
      </c>
      <c r="B14" s="383">
        <f>SUM(Afgrødefordeling!G12:I12)</f>
        <v>64918</v>
      </c>
      <c r="C14" s="146">
        <f t="shared" si="8"/>
        <v>58596.458946278646</v>
      </c>
      <c r="D14" s="146">
        <f t="shared" si="9"/>
        <v>3697.4304770356175</v>
      </c>
      <c r="E14" s="146">
        <f t="shared" si="0"/>
        <v>2624.1105766857345</v>
      </c>
      <c r="F14" s="390" t="s">
        <v>307</v>
      </c>
      <c r="G14" s="371">
        <f t="shared" si="10"/>
        <v>3.0394546158686284E-2</v>
      </c>
      <c r="H14" s="371">
        <f t="shared" si="1"/>
        <v>4.6094224108143921E-2</v>
      </c>
      <c r="I14" s="385">
        <f t="shared" si="1"/>
        <v>4.3595363130338828E-2</v>
      </c>
      <c r="J14" s="226"/>
      <c r="K14" s="383">
        <f>SUM(Afgrødefordeling!E12:F12)</f>
        <v>45418</v>
      </c>
      <c r="L14" s="146">
        <f t="shared" si="2"/>
        <v>40995.316744540556</v>
      </c>
      <c r="M14" s="146">
        <f t="shared" si="3"/>
        <v>2586.8002311532036</v>
      </c>
      <c r="N14" s="146">
        <f t="shared" si="4"/>
        <v>1835.8830243062432</v>
      </c>
      <c r="O14" s="390" t="s">
        <v>307</v>
      </c>
      <c r="P14" s="371">
        <f t="shared" si="11"/>
        <v>7.6260655541220079E-2</v>
      </c>
      <c r="Q14" s="371">
        <f t="shared" si="5"/>
        <v>0.13197177490971568</v>
      </c>
      <c r="R14" s="385">
        <f t="shared" si="5"/>
        <v>0.13194064586313403</v>
      </c>
      <c r="S14" s="226"/>
      <c r="T14" s="459">
        <f t="shared" si="12"/>
        <v>110336</v>
      </c>
      <c r="U14" s="459">
        <f t="shared" si="13"/>
        <v>99591.775690819195</v>
      </c>
      <c r="V14" s="459">
        <f t="shared" si="14"/>
        <v>6284.2307081888212</v>
      </c>
      <c r="W14" s="459">
        <f t="shared" si="15"/>
        <v>4459.9936009919775</v>
      </c>
      <c r="X14" s="390" t="s">
        <v>307</v>
      </c>
      <c r="Y14" s="371">
        <f t="shared" si="16"/>
        <v>4.0395307311065158E-2</v>
      </c>
      <c r="Z14" s="371">
        <f t="shared" si="17"/>
        <v>6.2958289796312947E-2</v>
      </c>
      <c r="AA14" s="371">
        <f t="shared" si="18"/>
        <v>6.0183255362306794E-2</v>
      </c>
    </row>
    <row r="15" spans="1:27" x14ac:dyDescent="0.55000000000000004">
      <c r="A15" s="167" t="s">
        <v>148</v>
      </c>
      <c r="B15" s="383">
        <f>SUM(Afgrødefordeling!G13:I13)</f>
        <v>16456</v>
      </c>
      <c r="C15" s="146">
        <f t="shared" si="8"/>
        <v>15797.297237120956</v>
      </c>
      <c r="D15" s="146">
        <f t="shared" si="9"/>
        <v>424.80910839589251</v>
      </c>
      <c r="E15" s="146">
        <f t="shared" si="0"/>
        <v>233.8936544831511</v>
      </c>
      <c r="F15" s="390" t="s">
        <v>148</v>
      </c>
      <c r="G15" s="371">
        <f t="shared" si="10"/>
        <v>8.1942098326515649E-3</v>
      </c>
      <c r="H15" s="371">
        <f t="shared" si="1"/>
        <v>5.2959065402847453E-3</v>
      </c>
      <c r="I15" s="385">
        <f t="shared" si="1"/>
        <v>3.8857656730126948E-3</v>
      </c>
      <c r="J15" s="226"/>
      <c r="K15" s="383">
        <f>SUM(Afgrødefordeling!E13:F13)</f>
        <v>3029</v>
      </c>
      <c r="L15" s="146">
        <f t="shared" si="2"/>
        <v>2907.7548208093931</v>
      </c>
      <c r="M15" s="146">
        <f t="shared" si="3"/>
        <v>78.193169016234719</v>
      </c>
      <c r="N15" s="146">
        <f t="shared" si="4"/>
        <v>43.052010174371944</v>
      </c>
      <c r="O15" s="390" t="s">
        <v>148</v>
      </c>
      <c r="P15" s="371">
        <f t="shared" si="11"/>
        <v>5.4090883153768499E-3</v>
      </c>
      <c r="Q15" s="371">
        <f t="shared" si="5"/>
        <v>3.9892107541244148E-3</v>
      </c>
      <c r="R15" s="385">
        <f t="shared" si="5"/>
        <v>3.0940479065976268E-3</v>
      </c>
      <c r="S15" s="226"/>
      <c r="T15" s="459">
        <f t="shared" si="12"/>
        <v>19485</v>
      </c>
      <c r="U15" s="459">
        <f t="shared" si="13"/>
        <v>18705.052057930348</v>
      </c>
      <c r="V15" s="459">
        <f t="shared" si="14"/>
        <v>503.00227741212723</v>
      </c>
      <c r="W15" s="459">
        <f t="shared" si="15"/>
        <v>276.94566465752303</v>
      </c>
      <c r="X15" s="390" t="s">
        <v>148</v>
      </c>
      <c r="Y15" s="371">
        <f t="shared" si="16"/>
        <v>7.5869349743828522E-3</v>
      </c>
      <c r="Z15" s="371">
        <f t="shared" si="17"/>
        <v>5.0393062603911291E-3</v>
      </c>
      <c r="AA15" s="371">
        <f t="shared" si="18"/>
        <v>3.7371111146572858E-3</v>
      </c>
    </row>
    <row r="16" spans="1:27" x14ac:dyDescent="0.55000000000000004">
      <c r="A16" s="167" t="s">
        <v>339</v>
      </c>
      <c r="B16" s="383">
        <f>SUM(Afgrødefordeling!G14:I14)</f>
        <v>7060.5575276157379</v>
      </c>
      <c r="C16" s="146">
        <f t="shared" si="8"/>
        <v>5810.7527780874962</v>
      </c>
      <c r="D16" s="146">
        <f t="shared" si="9"/>
        <v>697.69320083554544</v>
      </c>
      <c r="E16" s="146">
        <f t="shared" si="0"/>
        <v>552.11154869269581</v>
      </c>
      <c r="F16" s="390" t="s">
        <v>339</v>
      </c>
      <c r="G16" s="371">
        <f t="shared" si="10"/>
        <v>3.0140932866304453E-3</v>
      </c>
      <c r="H16" s="371">
        <f t="shared" si="1"/>
        <v>8.6978313609362562E-3</v>
      </c>
      <c r="I16" s="385">
        <f t="shared" si="1"/>
        <v>9.1724425287411978E-3</v>
      </c>
      <c r="J16" s="226"/>
      <c r="K16" s="383">
        <f>SUM(Afgrødefordeling!E14:F14)</f>
        <v>1679.4424723842621</v>
      </c>
      <c r="L16" s="146">
        <f t="shared" si="2"/>
        <v>1382.1606826196935</v>
      </c>
      <c r="M16" s="146">
        <f t="shared" si="3"/>
        <v>165.95510901142939</v>
      </c>
      <c r="N16" s="146">
        <f t="shared" si="4"/>
        <v>131.32668075313907</v>
      </c>
      <c r="O16" s="390" t="s">
        <v>339</v>
      </c>
      <c r="P16" s="371">
        <f t="shared" si="11"/>
        <v>2.5711346585440159E-3</v>
      </c>
      <c r="Q16" s="371">
        <f t="shared" si="5"/>
        <v>8.4665951501828891E-3</v>
      </c>
      <c r="R16" s="385">
        <f t="shared" si="5"/>
        <v>9.4381433066404435E-3</v>
      </c>
      <c r="S16" s="226"/>
      <c r="T16" s="459">
        <f t="shared" si="12"/>
        <v>8740</v>
      </c>
      <c r="U16" s="459">
        <f t="shared" si="13"/>
        <v>7192.9134607071901</v>
      </c>
      <c r="V16" s="459">
        <f t="shared" si="14"/>
        <v>863.64830984697483</v>
      </c>
      <c r="W16" s="459">
        <f t="shared" si="15"/>
        <v>683.43822944583485</v>
      </c>
      <c r="X16" s="390" t="s">
        <v>339</v>
      </c>
      <c r="Y16" s="371">
        <f t="shared" si="16"/>
        <v>2.9175094799916215E-3</v>
      </c>
      <c r="Z16" s="371">
        <f t="shared" si="17"/>
        <v>8.6524227225758237E-3</v>
      </c>
      <c r="AA16" s="371">
        <f t="shared" si="18"/>
        <v>9.2223310540071532E-3</v>
      </c>
    </row>
    <row r="17" spans="1:27" ht="14.7" thickBot="1" x14ac:dyDescent="0.6">
      <c r="A17" s="167" t="s">
        <v>61</v>
      </c>
      <c r="B17" s="386">
        <f>SUM(Afgrødefordeling!G15:I15)</f>
        <v>180200</v>
      </c>
      <c r="C17" s="387">
        <f t="shared" si="8"/>
        <v>140059.66485275724</v>
      </c>
      <c r="D17" s="387">
        <f t="shared" si="9"/>
        <v>19720.343681186703</v>
      </c>
      <c r="E17" s="387">
        <f t="shared" si="0"/>
        <v>20419.991466056061</v>
      </c>
      <c r="F17" s="392" t="s">
        <v>61</v>
      </c>
      <c r="G17" s="388">
        <f t="shared" si="10"/>
        <v>7.2650293633615873E-2</v>
      </c>
      <c r="H17" s="388">
        <f t="shared" si="1"/>
        <v>0.24584476889448309</v>
      </c>
      <c r="I17" s="389">
        <f t="shared" si="1"/>
        <v>0.33924520978284484</v>
      </c>
      <c r="J17" s="226"/>
      <c r="K17" s="386">
        <f>SUM(Afgrødefordeling!E15:F15)</f>
        <v>44292</v>
      </c>
      <c r="L17" s="387">
        <f t="shared" si="2"/>
        <v>34425.764015861954</v>
      </c>
      <c r="M17" s="387">
        <f t="shared" si="3"/>
        <v>4847.1335312270894</v>
      </c>
      <c r="N17" s="387">
        <f t="shared" si="4"/>
        <v>5019.10245291096</v>
      </c>
      <c r="O17" s="392" t="s">
        <v>61</v>
      </c>
      <c r="P17" s="388">
        <f t="shared" si="11"/>
        <v>6.4039786488699332E-2</v>
      </c>
      <c r="Q17" s="388">
        <f t="shared" si="5"/>
        <v>0.24728806176705159</v>
      </c>
      <c r="R17" s="389">
        <f t="shared" si="5"/>
        <v>0.36071122752527124</v>
      </c>
      <c r="S17" s="226"/>
      <c r="T17" s="459">
        <f t="shared" si="12"/>
        <v>224492</v>
      </c>
      <c r="U17" s="459">
        <f t="shared" si="13"/>
        <v>174485.4288686192</v>
      </c>
      <c r="V17" s="459">
        <f t="shared" si="14"/>
        <v>24567.477212413793</v>
      </c>
      <c r="W17" s="459">
        <f t="shared" si="15"/>
        <v>25439.093918967021</v>
      </c>
      <c r="X17" s="392" t="s">
        <v>61</v>
      </c>
      <c r="Y17" s="371">
        <f t="shared" si="16"/>
        <v>7.0772837129970206E-2</v>
      </c>
      <c r="Z17" s="371">
        <f t="shared" si="17"/>
        <v>0.24612819320715937</v>
      </c>
      <c r="AA17" s="371">
        <f t="shared" si="18"/>
        <v>0.34327571348317099</v>
      </c>
    </row>
    <row r="19" spans="1:27" x14ac:dyDescent="0.55000000000000004">
      <c r="B19" t="s">
        <v>732</v>
      </c>
      <c r="F19" t="s">
        <v>733</v>
      </c>
    </row>
    <row r="20" spans="1:27" x14ac:dyDescent="0.55000000000000004">
      <c r="B20" t="str">
        <f>Jordbund1</f>
        <v>JB1-10</v>
      </c>
      <c r="C20" t="str">
        <f>Organ6</f>
        <v>OC6</v>
      </c>
      <c r="D20" t="str">
        <f>Organ12</f>
        <v>OC12</v>
      </c>
      <c r="E20" t="s">
        <v>64</v>
      </c>
      <c r="F20" t="str">
        <f>Jordbund1</f>
        <v>JB1-10</v>
      </c>
      <c r="G20" t="str">
        <f>Organ6</f>
        <v>OC6</v>
      </c>
      <c r="H20" t="str">
        <f>Organ12</f>
        <v>OC12</v>
      </c>
    </row>
    <row r="21" spans="1:27" x14ac:dyDescent="0.55000000000000004">
      <c r="A21" t="s">
        <v>11</v>
      </c>
      <c r="B21" s="351">
        <f>C47+C48+D47+D48</f>
        <v>1319772.3796480037</v>
      </c>
      <c r="C21" s="351">
        <f>E47+E48</f>
        <v>30853.266431994874</v>
      </c>
      <c r="D21" s="351">
        <f>F47+F48</f>
        <v>15034.789375999229</v>
      </c>
      <c r="E21" s="351">
        <f>SUM(B21:D21)</f>
        <v>1365660.4354559979</v>
      </c>
      <c r="F21" s="10">
        <f t="shared" ref="F21:F34" si="19">B21/$E21</f>
        <v>0.96639863423101069</v>
      </c>
      <c r="G21" s="10">
        <f t="shared" ref="G21:G34" si="20">C21/$E21</f>
        <v>2.259219468541818E-2</v>
      </c>
      <c r="H21" s="10">
        <f t="shared" ref="H21:H34" si="21">D21/$E21</f>
        <v>1.1009171083571056E-2</v>
      </c>
    </row>
    <row r="22" spans="1:27" x14ac:dyDescent="0.55000000000000004">
      <c r="A22" t="s">
        <v>14</v>
      </c>
      <c r="B22" s="351">
        <f>C50+D50</f>
        <v>184592.82739200146</v>
      </c>
      <c r="C22" s="351">
        <f>E50</f>
        <v>5354.2133759997832</v>
      </c>
      <c r="D22" s="351">
        <f>F50</f>
        <v>1752.4846080000284</v>
      </c>
      <c r="E22" s="351">
        <f t="shared" ref="E22:E34" si="22">SUM(B22:D22)</f>
        <v>191699.52537600129</v>
      </c>
      <c r="F22" s="10">
        <f t="shared" si="19"/>
        <v>0.96292793125042597</v>
      </c>
      <c r="G22" s="10">
        <f t="shared" si="20"/>
        <v>2.7930238040485379E-2</v>
      </c>
      <c r="H22" s="10">
        <f t="shared" si="21"/>
        <v>9.1418307090885501E-3</v>
      </c>
    </row>
    <row r="23" spans="1:27" x14ac:dyDescent="0.55000000000000004">
      <c r="A23" t="s">
        <v>177</v>
      </c>
      <c r="B23" s="351">
        <f>C57+D57</f>
        <v>160896.53324799926</v>
      </c>
      <c r="C23" s="351">
        <f>E57</f>
        <v>2971.636480000067</v>
      </c>
      <c r="D23" s="351">
        <f>F57</f>
        <v>1176.2708480000085</v>
      </c>
      <c r="E23" s="351">
        <f t="shared" si="22"/>
        <v>165044.44057599935</v>
      </c>
      <c r="F23" s="10">
        <f t="shared" si="19"/>
        <v>0.97486793669920635</v>
      </c>
      <c r="G23" s="10">
        <f t="shared" si="20"/>
        <v>1.8005068632600766E-2</v>
      </c>
      <c r="H23" s="10">
        <f t="shared" si="21"/>
        <v>7.126994668192786E-3</v>
      </c>
    </row>
    <row r="24" spans="1:27" x14ac:dyDescent="0.55000000000000004">
      <c r="A24" t="s">
        <v>13</v>
      </c>
      <c r="B24" s="351">
        <f>SUM(C42,C44,C40,C58,D42,D44,D40,D58)</f>
        <v>349496.61081599921</v>
      </c>
      <c r="C24" s="351">
        <f>SUM(E42,E44,E40,E58)</f>
        <v>31241.875711994078</v>
      </c>
      <c r="D24" s="351">
        <f>SUM(F42,F44,F40,F58)</f>
        <v>30906.035967996911</v>
      </c>
      <c r="E24" s="351">
        <f t="shared" si="22"/>
        <v>411644.52249599021</v>
      </c>
      <c r="F24" s="10">
        <f t="shared" si="19"/>
        <v>0.8490252917659159</v>
      </c>
      <c r="G24" s="10">
        <f t="shared" si="20"/>
        <v>7.5895278582987585E-2</v>
      </c>
      <c r="H24" s="10">
        <f t="shared" si="21"/>
        <v>7.5079429651096513E-2</v>
      </c>
    </row>
    <row r="25" spans="1:27" x14ac:dyDescent="0.55000000000000004">
      <c r="A25" t="s">
        <v>12</v>
      </c>
      <c r="B25" s="351">
        <f>C45+D45</f>
        <v>14404.881919999816</v>
      </c>
      <c r="C25" s="351">
        <f>E45</f>
        <v>155.62854399999989</v>
      </c>
      <c r="D25" s="351">
        <f>F45</f>
        <v>38.260223999999972</v>
      </c>
      <c r="E25" s="351">
        <f t="shared" si="22"/>
        <v>14598.770687999815</v>
      </c>
      <c r="F25" s="10">
        <f t="shared" si="19"/>
        <v>0.98671882912995024</v>
      </c>
      <c r="G25" s="10">
        <f t="shared" si="20"/>
        <v>1.0660386913805456E-2</v>
      </c>
      <c r="H25" s="10">
        <f t="shared" si="21"/>
        <v>2.6207839562443339E-3</v>
      </c>
    </row>
    <row r="26" spans="1:27" x14ac:dyDescent="0.55000000000000004">
      <c r="A26" t="s">
        <v>188</v>
      </c>
      <c r="B26" s="351">
        <f>C46+D46</f>
        <v>53989.796864000178</v>
      </c>
      <c r="C26" s="351">
        <f>E46</f>
        <v>1545.8424320000133</v>
      </c>
      <c r="D26" s="351">
        <f>F46</f>
        <v>1274.1393920000037</v>
      </c>
      <c r="E26" s="351">
        <f t="shared" si="22"/>
        <v>56809.778688000195</v>
      </c>
      <c r="F26" s="10">
        <f t="shared" si="19"/>
        <v>0.95036097852999246</v>
      </c>
      <c r="G26" s="10">
        <f t="shared" si="20"/>
        <v>2.7210851154513268E-2</v>
      </c>
      <c r="H26" s="10">
        <f t="shared" si="21"/>
        <v>2.2428170315494246E-2</v>
      </c>
    </row>
    <row r="27" spans="1:27" x14ac:dyDescent="0.55000000000000004">
      <c r="A27" t="s">
        <v>42</v>
      </c>
      <c r="B27" s="351">
        <f>C41+D41+C59+D59</f>
        <v>33088.070143999983</v>
      </c>
      <c r="C27" s="351">
        <f>E41+E59</f>
        <v>254.60607999999976</v>
      </c>
      <c r="D27" s="351">
        <f>F41+F59</f>
        <v>86.501375999999993</v>
      </c>
      <c r="E27" s="351">
        <f t="shared" si="22"/>
        <v>33429.177599999981</v>
      </c>
      <c r="F27" s="10">
        <f t="shared" si="19"/>
        <v>0.98979611583385174</v>
      </c>
      <c r="G27" s="10">
        <f t="shared" si="20"/>
        <v>7.6162830879811984E-3</v>
      </c>
      <c r="H27" s="10">
        <f t="shared" si="21"/>
        <v>2.587601078167117E-3</v>
      </c>
    </row>
    <row r="28" spans="1:27" x14ac:dyDescent="0.55000000000000004">
      <c r="A28" t="s">
        <v>15</v>
      </c>
      <c r="B28" s="351">
        <f>C50+D50</f>
        <v>184592.82739200146</v>
      </c>
      <c r="C28" s="351">
        <f>E50</f>
        <v>5354.2133759997832</v>
      </c>
      <c r="D28" s="351">
        <f>F50</f>
        <v>1752.4846080000284</v>
      </c>
      <c r="E28" s="351">
        <f t="shared" si="22"/>
        <v>191699.52537600129</v>
      </c>
      <c r="F28" s="10">
        <f t="shared" si="19"/>
        <v>0.96292793125042597</v>
      </c>
      <c r="G28" s="10">
        <f t="shared" si="20"/>
        <v>2.7930238040485379E-2</v>
      </c>
      <c r="H28" s="10">
        <f t="shared" si="21"/>
        <v>9.1418307090885501E-3</v>
      </c>
    </row>
    <row r="29" spans="1:27" x14ac:dyDescent="0.55000000000000004">
      <c r="A29" t="s">
        <v>153</v>
      </c>
      <c r="B29" s="351">
        <f>C38+D38</f>
        <v>226640.62873599993</v>
      </c>
      <c r="C29" s="351">
        <f>E38</f>
        <v>6094.6503680000005</v>
      </c>
      <c r="D29" s="351">
        <f>F38</f>
        <v>3355.6249599999983</v>
      </c>
      <c r="E29" s="351">
        <f t="shared" si="22"/>
        <v>236090.90406399991</v>
      </c>
      <c r="F29" s="10">
        <f t="shared" si="19"/>
        <v>0.95997187877497303</v>
      </c>
      <c r="G29" s="10">
        <f t="shared" si="20"/>
        <v>2.5814846159205915E-2</v>
      </c>
      <c r="H29" s="10">
        <f t="shared" si="21"/>
        <v>1.4213275065821044E-2</v>
      </c>
    </row>
    <row r="30" spans="1:27" x14ac:dyDescent="0.55000000000000004">
      <c r="A30" t="s">
        <v>146</v>
      </c>
      <c r="B30" s="351">
        <f>C38+D38</f>
        <v>226640.62873599993</v>
      </c>
      <c r="C30" s="351">
        <f>E38</f>
        <v>6094.6503680000005</v>
      </c>
      <c r="D30" s="351">
        <f>F38</f>
        <v>3355.6249599999983</v>
      </c>
      <c r="E30" s="351">
        <f t="shared" si="22"/>
        <v>236090.90406399991</v>
      </c>
      <c r="F30" s="10">
        <f t="shared" si="19"/>
        <v>0.95997187877497303</v>
      </c>
      <c r="G30" s="10">
        <f t="shared" si="20"/>
        <v>2.5814846159205915E-2</v>
      </c>
      <c r="H30" s="10">
        <f t="shared" si="21"/>
        <v>1.4213275065821044E-2</v>
      </c>
    </row>
    <row r="31" spans="1:27" x14ac:dyDescent="0.55000000000000004">
      <c r="A31" t="s">
        <v>307</v>
      </c>
      <c r="B31" s="351">
        <f>C42+D42</f>
        <v>236731.80902400045</v>
      </c>
      <c r="C31" s="351">
        <f>E42</f>
        <v>14937.752575997654</v>
      </c>
      <c r="D31" s="351">
        <f>F42</f>
        <v>10601.501439999198</v>
      </c>
      <c r="E31" s="351">
        <f t="shared" si="22"/>
        <v>262271.0630399973</v>
      </c>
      <c r="F31" s="10">
        <f t="shared" si="19"/>
        <v>0.90262267701221</v>
      </c>
      <c r="G31" s="10">
        <f t="shared" si="20"/>
        <v>5.695539722473917E-2</v>
      </c>
      <c r="H31" s="10">
        <f t="shared" si="21"/>
        <v>4.0421925763050842E-2</v>
      </c>
    </row>
    <row r="32" spans="1:27" x14ac:dyDescent="0.55000000000000004">
      <c r="A32" t="s">
        <v>148</v>
      </c>
      <c r="B32" s="351">
        <f>C38+D38</f>
        <v>226640.62873599993</v>
      </c>
      <c r="C32" s="351">
        <f>E38</f>
        <v>6094.6503680000005</v>
      </c>
      <c r="D32" s="351">
        <f>F38</f>
        <v>3355.6249599999983</v>
      </c>
      <c r="E32" s="351">
        <f t="shared" si="22"/>
        <v>236090.90406399991</v>
      </c>
      <c r="F32" s="10">
        <f t="shared" si="19"/>
        <v>0.95997187877497303</v>
      </c>
      <c r="G32" s="10">
        <f t="shared" si="20"/>
        <v>2.5814846159205915E-2</v>
      </c>
      <c r="H32" s="10">
        <f t="shared" si="21"/>
        <v>1.4213275065821044E-2</v>
      </c>
    </row>
    <row r="33" spans="1:10" x14ac:dyDescent="0.55000000000000004">
      <c r="A33" t="s">
        <v>339</v>
      </c>
      <c r="B33" s="351">
        <f>SUM(C51:D56)+C39+D39</f>
        <v>7038.0328960000279</v>
      </c>
      <c r="C33" s="351">
        <f>SUM(E51:E56)+E39</f>
        <v>845.05190399999913</v>
      </c>
      <c r="D33" s="351">
        <f>SUM(F51:F56)+F39</f>
        <v>668.72217599999976</v>
      </c>
      <c r="E33" s="351">
        <f t="shared" si="22"/>
        <v>8551.8069760000271</v>
      </c>
      <c r="F33" s="10">
        <f t="shared" si="19"/>
        <v>0.82298781014956401</v>
      </c>
      <c r="G33" s="10">
        <f t="shared" si="20"/>
        <v>9.8815596092331218E-2</v>
      </c>
      <c r="H33" s="10">
        <f t="shared" si="21"/>
        <v>7.8196593758104671E-2</v>
      </c>
    </row>
    <row r="34" spans="1:10" x14ac:dyDescent="0.55000000000000004">
      <c r="A34" t="s">
        <v>61</v>
      </c>
      <c r="B34" s="351">
        <f>C43+D43</f>
        <v>132314.75967999725</v>
      </c>
      <c r="C34" s="351">
        <f>E43</f>
        <v>18629.864191994773</v>
      </c>
      <c r="D34" s="351">
        <f>F43</f>
        <v>19290.823423997452</v>
      </c>
      <c r="E34" s="351">
        <f t="shared" si="22"/>
        <v>170235.44729598946</v>
      </c>
      <c r="F34" s="10">
        <f t="shared" si="19"/>
        <v>0.77724564291208242</v>
      </c>
      <c r="G34" s="10">
        <f t="shared" si="20"/>
        <v>0.10943586948494287</v>
      </c>
      <c r="H34" s="10">
        <f t="shared" si="21"/>
        <v>0.1133184876029748</v>
      </c>
    </row>
    <row r="36" spans="1:10" x14ac:dyDescent="0.55000000000000004">
      <c r="A36" t="s">
        <v>777</v>
      </c>
    </row>
    <row r="37" spans="1:10" x14ac:dyDescent="0.55000000000000004">
      <c r="A37" s="352" t="s">
        <v>757</v>
      </c>
      <c r="B37" s="485"/>
      <c r="C37" s="352" t="str">
        <f>Jordbund1</f>
        <v>JB1-10</v>
      </c>
      <c r="D37" s="352" t="str">
        <f>Jordbund1</f>
        <v>JB1-10</v>
      </c>
      <c r="E37" s="352" t="str">
        <f>Organ6</f>
        <v>OC6</v>
      </c>
      <c r="F37" s="352" t="str">
        <f>Organ12</f>
        <v>OC12</v>
      </c>
      <c r="G37" s="352" t="s">
        <v>760</v>
      </c>
      <c r="H37" s="352" t="s">
        <v>735</v>
      </c>
    </row>
    <row r="38" spans="1:10" x14ac:dyDescent="0.55000000000000004">
      <c r="A38" s="367" t="s">
        <v>758</v>
      </c>
      <c r="B38" s="486"/>
      <c r="C38" s="368">
        <v>211475.16313599993</v>
      </c>
      <c r="D38" s="368">
        <v>15165.465599999985</v>
      </c>
      <c r="E38" s="368">
        <v>6094.6503680000005</v>
      </c>
      <c r="F38" s="368">
        <v>3355.6249599999983</v>
      </c>
      <c r="G38" s="369">
        <f>SUM(C38:F38)</f>
        <v>236090.90406399991</v>
      </c>
      <c r="H38" s="370">
        <f t="shared" ref="H38:H61" si="23">E38+F38</f>
        <v>9450.2753279999997</v>
      </c>
      <c r="I38" s="10"/>
      <c r="J38" t="s">
        <v>759</v>
      </c>
    </row>
    <row r="39" spans="1:10" x14ac:dyDescent="0.55000000000000004">
      <c r="A39" s="353" t="s">
        <v>736</v>
      </c>
      <c r="B39" s="459" t="s">
        <v>339</v>
      </c>
      <c r="C39" s="354">
        <v>15.248640000000002</v>
      </c>
      <c r="D39" s="354">
        <v>1.940736</v>
      </c>
      <c r="E39" s="354">
        <v>1.84832</v>
      </c>
      <c r="F39" s="354">
        <v>1.7559040000000001</v>
      </c>
      <c r="G39" s="355">
        <f t="shared" ref="G39:G61" si="24">SUM(C39:F39)</f>
        <v>20.793600000000005</v>
      </c>
      <c r="H39" s="356">
        <f t="shared" si="23"/>
        <v>3.6042240000000003</v>
      </c>
      <c r="I39" s="10"/>
    </row>
    <row r="40" spans="1:10" x14ac:dyDescent="0.55000000000000004">
      <c r="A40" s="353" t="s">
        <v>737</v>
      </c>
      <c r="B40" s="459" t="s">
        <v>13</v>
      </c>
      <c r="C40" s="354">
        <v>73.285888000000028</v>
      </c>
      <c r="D40" s="354">
        <v>3.049728</v>
      </c>
      <c r="E40" s="354">
        <v>3.142144</v>
      </c>
      <c r="F40" s="354">
        <v>0.64691200000000004</v>
      </c>
      <c r="G40" s="355">
        <f t="shared" si="24"/>
        <v>80.124672000000032</v>
      </c>
      <c r="H40" s="356">
        <f t="shared" si="23"/>
        <v>3.789056</v>
      </c>
      <c r="I40" s="10"/>
    </row>
    <row r="41" spans="1:10" x14ac:dyDescent="0.55000000000000004">
      <c r="A41" s="353" t="s">
        <v>738</v>
      </c>
      <c r="B41" s="459" t="s">
        <v>42</v>
      </c>
      <c r="C41" s="354">
        <v>3930.2676479999996</v>
      </c>
      <c r="D41" s="354">
        <v>379.82975999999979</v>
      </c>
      <c r="E41" s="354">
        <v>79.108095999999961</v>
      </c>
      <c r="F41" s="354">
        <v>23.196415999999999</v>
      </c>
      <c r="G41" s="355">
        <f t="shared" si="24"/>
        <v>4412.4019199999993</v>
      </c>
      <c r="H41" s="356">
        <f t="shared" si="23"/>
        <v>102.30451199999996</v>
      </c>
      <c r="I41" s="10"/>
    </row>
    <row r="42" spans="1:10" ht="28.8" x14ac:dyDescent="0.55000000000000004">
      <c r="A42" s="353" t="s">
        <v>739</v>
      </c>
      <c r="B42" s="459" t="s">
        <v>13</v>
      </c>
      <c r="C42" s="354">
        <v>208091.7209600049</v>
      </c>
      <c r="D42" s="354">
        <v>28640.08806399555</v>
      </c>
      <c r="E42" s="354">
        <v>14937.752575997654</v>
      </c>
      <c r="F42" s="357">
        <v>10601.501439999198</v>
      </c>
      <c r="G42" s="355">
        <f t="shared" si="24"/>
        <v>262271.0630399973</v>
      </c>
      <c r="H42" s="357">
        <f t="shared" si="23"/>
        <v>25539.254015996852</v>
      </c>
      <c r="I42" s="10"/>
    </row>
    <row r="43" spans="1:10" x14ac:dyDescent="0.55000000000000004">
      <c r="A43" s="353" t="s">
        <v>740</v>
      </c>
      <c r="B43" s="487" t="s">
        <v>13</v>
      </c>
      <c r="C43" s="354">
        <v>110825.72928000614</v>
      </c>
      <c r="D43" s="354">
        <v>21489.030399991108</v>
      </c>
      <c r="E43" s="354">
        <v>18629.864191994773</v>
      </c>
      <c r="F43" s="358">
        <v>19290.823423997452</v>
      </c>
      <c r="G43" s="355">
        <f t="shared" si="24"/>
        <v>170235.44729598946</v>
      </c>
      <c r="H43" s="359">
        <f t="shared" si="23"/>
        <v>37920.687615992225</v>
      </c>
      <c r="I43" s="10"/>
    </row>
    <row r="44" spans="1:10" x14ac:dyDescent="0.55000000000000004">
      <c r="A44" s="353" t="s">
        <v>741</v>
      </c>
      <c r="B44" s="459" t="s">
        <v>13</v>
      </c>
      <c r="C44" s="354">
        <v>90259.749888005244</v>
      </c>
      <c r="D44" s="354">
        <v>22425.20447999347</v>
      </c>
      <c r="E44" s="354">
        <v>16300.334079996423</v>
      </c>
      <c r="F44" s="354">
        <v>20303.055871997716</v>
      </c>
      <c r="G44" s="355">
        <f t="shared" si="24"/>
        <v>149288.34431999284</v>
      </c>
      <c r="H44" s="356">
        <f t="shared" si="23"/>
        <v>36603.389951994141</v>
      </c>
      <c r="I44" s="10"/>
    </row>
    <row r="45" spans="1:10" x14ac:dyDescent="0.55000000000000004">
      <c r="A45" s="353" t="s">
        <v>742</v>
      </c>
      <c r="B45" s="459" t="s">
        <v>12</v>
      </c>
      <c r="C45" s="354">
        <v>13805.286911999812</v>
      </c>
      <c r="D45" s="354">
        <v>599.5950080000033</v>
      </c>
      <c r="E45" s="354">
        <v>155.62854399999989</v>
      </c>
      <c r="F45" s="354">
        <v>38.260223999999972</v>
      </c>
      <c r="G45" s="355">
        <f t="shared" si="24"/>
        <v>14598.770687999815</v>
      </c>
      <c r="H45" s="356">
        <f t="shared" si="23"/>
        <v>193.88876799999986</v>
      </c>
      <c r="I45" s="10"/>
    </row>
    <row r="46" spans="1:10" x14ac:dyDescent="0.55000000000000004">
      <c r="A46" s="353" t="s">
        <v>188</v>
      </c>
      <c r="B46" s="459" t="s">
        <v>188</v>
      </c>
      <c r="C46" s="354">
        <v>48738.904576000285</v>
      </c>
      <c r="D46" s="354">
        <v>5250.8922879998936</v>
      </c>
      <c r="E46" s="354">
        <v>1545.8424320000133</v>
      </c>
      <c r="F46" s="354">
        <v>1274.1393920000037</v>
      </c>
      <c r="G46" s="355">
        <f t="shared" si="24"/>
        <v>56809.778688000195</v>
      </c>
      <c r="H46" s="356">
        <f t="shared" si="23"/>
        <v>2819.9818240000168</v>
      </c>
      <c r="I46" s="10"/>
    </row>
    <row r="47" spans="1:10" x14ac:dyDescent="0.55000000000000004">
      <c r="A47" s="353" t="s">
        <v>743</v>
      </c>
      <c r="B47" s="459" t="s">
        <v>11</v>
      </c>
      <c r="C47" s="354">
        <v>743359.37075199408</v>
      </c>
      <c r="D47" s="354">
        <v>43981.32889600304</v>
      </c>
      <c r="E47" s="354">
        <v>16210.41331199711</v>
      </c>
      <c r="F47" s="360">
        <v>7501.03705599962</v>
      </c>
      <c r="G47" s="355">
        <f t="shared" si="24"/>
        <v>811052.15001599386</v>
      </c>
      <c r="H47" s="361">
        <f t="shared" si="23"/>
        <v>23711.450367996731</v>
      </c>
      <c r="I47" s="10"/>
    </row>
    <row r="48" spans="1:10" x14ac:dyDescent="0.55000000000000004">
      <c r="A48" s="353" t="s">
        <v>744</v>
      </c>
      <c r="B48" s="459" t="s">
        <v>11</v>
      </c>
      <c r="C48" s="354">
        <v>494124.60108800628</v>
      </c>
      <c r="D48" s="354">
        <v>38307.078912000463</v>
      </c>
      <c r="E48" s="354">
        <v>14642.853119997766</v>
      </c>
      <c r="F48" s="360">
        <v>7533.7523199996103</v>
      </c>
      <c r="G48" s="355">
        <f t="shared" si="24"/>
        <v>554608.28544000408</v>
      </c>
      <c r="H48" s="361">
        <f t="shared" si="23"/>
        <v>22176.605439997376</v>
      </c>
      <c r="I48" s="10"/>
    </row>
    <row r="49" spans="1:9" x14ac:dyDescent="0.55000000000000004">
      <c r="A49" s="353" t="s">
        <v>745</v>
      </c>
      <c r="B49" s="487"/>
      <c r="C49" s="354">
        <v>86.131711999999993</v>
      </c>
      <c r="D49" s="354">
        <v>10.350592000000001</v>
      </c>
      <c r="E49" s="354">
        <v>9.2416000000000036</v>
      </c>
      <c r="F49" s="354">
        <v>2.5876480000000002</v>
      </c>
      <c r="G49" s="355">
        <f t="shared" si="24"/>
        <v>108.31155200000001</v>
      </c>
      <c r="H49" s="356">
        <f t="shared" si="23"/>
        <v>11.829248000000003</v>
      </c>
      <c r="I49" s="10"/>
    </row>
    <row r="50" spans="1:9" x14ac:dyDescent="0.55000000000000004">
      <c r="A50" s="353" t="s">
        <v>746</v>
      </c>
      <c r="B50" s="459" t="s">
        <v>15</v>
      </c>
      <c r="C50" s="354">
        <v>168888.20684800297</v>
      </c>
      <c r="D50" s="354">
        <v>15704.620543998477</v>
      </c>
      <c r="E50" s="354">
        <v>5354.2133759997832</v>
      </c>
      <c r="F50" s="360">
        <v>1752.4846080000284</v>
      </c>
      <c r="G50" s="355">
        <f t="shared" si="24"/>
        <v>191699.52537600129</v>
      </c>
      <c r="H50" s="361">
        <f t="shared" si="23"/>
        <v>7106.6979839998112</v>
      </c>
      <c r="I50" s="10"/>
    </row>
    <row r="51" spans="1:9" x14ac:dyDescent="0.55000000000000004">
      <c r="A51" s="353" t="s">
        <v>747</v>
      </c>
      <c r="B51" s="459" t="s">
        <v>339</v>
      </c>
      <c r="C51" s="354">
        <v>61.918719999999993</v>
      </c>
      <c r="D51" s="354">
        <v>15.987968000000006</v>
      </c>
      <c r="E51" s="354">
        <v>33.824256000000005</v>
      </c>
      <c r="F51" s="354">
        <v>7.3008640000000016</v>
      </c>
      <c r="G51" s="355">
        <f t="shared" si="24"/>
        <v>119.03180800000001</v>
      </c>
      <c r="H51" s="356">
        <f t="shared" si="23"/>
        <v>41.12512000000001</v>
      </c>
      <c r="I51" s="10"/>
    </row>
    <row r="52" spans="1:9" x14ac:dyDescent="0.55000000000000004">
      <c r="A52" s="353" t="s">
        <v>748</v>
      </c>
      <c r="B52" s="459" t="s">
        <v>339</v>
      </c>
      <c r="C52" s="354">
        <v>1267.3006080000034</v>
      </c>
      <c r="D52" s="354">
        <v>296.28569599999986</v>
      </c>
      <c r="E52" s="354">
        <v>298.22643199999976</v>
      </c>
      <c r="F52" s="354">
        <v>244.07065599999987</v>
      </c>
      <c r="G52" s="355">
        <f t="shared" si="24"/>
        <v>2105.8833920000029</v>
      </c>
      <c r="H52" s="356">
        <f t="shared" si="23"/>
        <v>542.29708799999958</v>
      </c>
      <c r="I52" s="10"/>
    </row>
    <row r="53" spans="1:9" x14ac:dyDescent="0.55000000000000004">
      <c r="A53" s="353" t="s">
        <v>749</v>
      </c>
      <c r="B53" s="459" t="s">
        <v>339</v>
      </c>
      <c r="C53" s="354">
        <v>787.6615680000001</v>
      </c>
      <c r="D53" s="354">
        <v>136.77567999999974</v>
      </c>
      <c r="E53" s="354">
        <v>87.887615999999952</v>
      </c>
      <c r="F53" s="354">
        <v>49.350143999999986</v>
      </c>
      <c r="G53" s="355">
        <f t="shared" si="24"/>
        <v>1061.6750079999997</v>
      </c>
      <c r="H53" s="356">
        <f t="shared" si="23"/>
        <v>137.23775999999992</v>
      </c>
      <c r="I53" s="10"/>
    </row>
    <row r="54" spans="1:9" x14ac:dyDescent="0.55000000000000004">
      <c r="A54" s="353" t="s">
        <v>750</v>
      </c>
      <c r="B54" s="459" t="s">
        <v>339</v>
      </c>
      <c r="C54" s="354">
        <v>0.36966399999999999</v>
      </c>
      <c r="D54" s="354">
        <v>9.2415999999999998E-2</v>
      </c>
      <c r="E54" s="354">
        <v>9.2415999999999998E-2</v>
      </c>
      <c r="F54" s="354">
        <v>0</v>
      </c>
      <c r="G54" s="355">
        <f t="shared" si="24"/>
        <v>0.55449599999999999</v>
      </c>
      <c r="H54" s="356">
        <f t="shared" si="23"/>
        <v>9.2415999999999998E-2</v>
      </c>
      <c r="I54" s="10"/>
    </row>
    <row r="55" spans="1:9" x14ac:dyDescent="0.55000000000000004">
      <c r="A55" s="353" t="s">
        <v>751</v>
      </c>
      <c r="B55" s="459" t="s">
        <v>339</v>
      </c>
      <c r="C55" s="354">
        <v>1993.5055360000119</v>
      </c>
      <c r="D55" s="354">
        <v>314.67647999999991</v>
      </c>
      <c r="E55" s="354">
        <v>289.44691199999971</v>
      </c>
      <c r="F55" s="354">
        <v>302.93964799999998</v>
      </c>
      <c r="G55" s="355">
        <f t="shared" si="24"/>
        <v>2900.5685760000119</v>
      </c>
      <c r="H55" s="356">
        <f t="shared" si="23"/>
        <v>592.38655999999969</v>
      </c>
      <c r="I55" s="10"/>
    </row>
    <row r="56" spans="1:9" x14ac:dyDescent="0.55000000000000004">
      <c r="A56" s="353" t="s">
        <v>752</v>
      </c>
      <c r="B56" s="459" t="s">
        <v>339</v>
      </c>
      <c r="C56" s="354">
        <v>1918.4637440000135</v>
      </c>
      <c r="D56" s="354">
        <v>227.80543999999972</v>
      </c>
      <c r="E56" s="354">
        <v>133.72595199999981</v>
      </c>
      <c r="F56" s="354">
        <v>63.304959999999973</v>
      </c>
      <c r="G56" s="355">
        <f t="shared" si="24"/>
        <v>2343.3000960000131</v>
      </c>
      <c r="H56" s="356">
        <f t="shared" si="23"/>
        <v>197.03091199999977</v>
      </c>
      <c r="I56" s="10"/>
    </row>
    <row r="57" spans="1:9" x14ac:dyDescent="0.55000000000000004">
      <c r="A57" s="353" t="s">
        <v>753</v>
      </c>
      <c r="B57" s="459" t="s">
        <v>177</v>
      </c>
      <c r="C57" s="354">
        <v>152559.31622399975</v>
      </c>
      <c r="D57" s="354">
        <v>8337.2170239995157</v>
      </c>
      <c r="E57" s="354">
        <v>2971.636480000067</v>
      </c>
      <c r="F57" s="360">
        <v>1176.2708480000085</v>
      </c>
      <c r="G57" s="355">
        <f t="shared" si="24"/>
        <v>165044.44057599935</v>
      </c>
      <c r="H57" s="361">
        <f t="shared" si="23"/>
        <v>4147.9073280000757</v>
      </c>
      <c r="I57" s="10"/>
    </row>
    <row r="58" spans="1:9" x14ac:dyDescent="0.55000000000000004">
      <c r="A58" s="353" t="s">
        <v>754</v>
      </c>
      <c r="B58" s="459" t="s">
        <v>13</v>
      </c>
      <c r="C58" s="354">
        <v>3.2345599999999997</v>
      </c>
      <c r="D58" s="354">
        <v>0.27724799999999999</v>
      </c>
      <c r="E58" s="354">
        <v>0.64691200000000004</v>
      </c>
      <c r="F58" s="354">
        <v>0.83174400000000004</v>
      </c>
      <c r="G58" s="355">
        <f t="shared" si="24"/>
        <v>4.9904639999999993</v>
      </c>
      <c r="H58" s="356">
        <f t="shared" si="23"/>
        <v>1.478656</v>
      </c>
      <c r="I58" s="10"/>
    </row>
    <row r="59" spans="1:9" x14ac:dyDescent="0.55000000000000004">
      <c r="A59" s="353" t="s">
        <v>187</v>
      </c>
      <c r="B59" s="459" t="s">
        <v>42</v>
      </c>
      <c r="C59" s="354">
        <v>28433.261055999981</v>
      </c>
      <c r="D59" s="354">
        <v>344.71167999999966</v>
      </c>
      <c r="E59" s="354">
        <v>175.4979839999998</v>
      </c>
      <c r="F59" s="354">
        <v>63.304959999999987</v>
      </c>
      <c r="G59" s="355">
        <f t="shared" si="24"/>
        <v>29016.775679999984</v>
      </c>
      <c r="H59" s="356">
        <f t="shared" si="23"/>
        <v>238.8029439999998</v>
      </c>
      <c r="I59" s="10"/>
    </row>
    <row r="60" spans="1:9" x14ac:dyDescent="0.55000000000000004">
      <c r="A60" s="353" t="s">
        <v>755</v>
      </c>
      <c r="B60" s="487"/>
      <c r="C60" s="354">
        <v>40.663039999999995</v>
      </c>
      <c r="D60" s="354">
        <v>8.0401920000000029</v>
      </c>
      <c r="E60" s="354">
        <v>9.3340160000000036</v>
      </c>
      <c r="F60" s="354">
        <v>6.5615360000000003</v>
      </c>
      <c r="G60" s="355">
        <f t="shared" si="24"/>
        <v>64.598784000000009</v>
      </c>
      <c r="H60" s="356">
        <f t="shared" si="23"/>
        <v>15.895552000000004</v>
      </c>
      <c r="I60" s="10"/>
    </row>
    <row r="61" spans="1:9" x14ac:dyDescent="0.55000000000000004">
      <c r="A61" s="362" t="s">
        <v>57</v>
      </c>
      <c r="B61" s="488"/>
      <c r="C61" s="363">
        <f>SUM(C38:C60)</f>
        <v>2280739.3620480192</v>
      </c>
      <c r="D61" s="363">
        <f>SUM(D38:D60)</f>
        <v>201640.34483198149</v>
      </c>
      <c r="E61" s="363">
        <f>SUM(E38:E60)</f>
        <v>97965.211135983569</v>
      </c>
      <c r="F61" s="363">
        <f>SUM(F38:F60)</f>
        <v>73592.801535993625</v>
      </c>
      <c r="G61" s="363">
        <f t="shared" si="24"/>
        <v>2653937.7195519782</v>
      </c>
      <c r="H61" s="364">
        <f t="shared" si="23"/>
        <v>171558.01267197719</v>
      </c>
      <c r="I61" s="365"/>
    </row>
    <row r="62" spans="1:9" x14ac:dyDescent="0.55000000000000004">
      <c r="E62" s="366"/>
    </row>
    <row r="63" spans="1:9" x14ac:dyDescent="0.55000000000000004">
      <c r="B63" s="336"/>
      <c r="C63" s="336"/>
      <c r="D63" s="336"/>
      <c r="E63" s="336"/>
    </row>
    <row r="64" spans="1:9" x14ac:dyDescent="0.55000000000000004">
      <c r="B64" s="336"/>
      <c r="C64" s="336"/>
      <c r="D64" s="336"/>
      <c r="E64" s="336"/>
    </row>
    <row r="65" spans="2:5" x14ac:dyDescent="0.55000000000000004">
      <c r="B65" s="336"/>
      <c r="C65" s="336"/>
      <c r="D65" s="336"/>
      <c r="E65" s="336"/>
    </row>
    <row r="66" spans="2:5" x14ac:dyDescent="0.55000000000000004">
      <c r="B66" s="336"/>
      <c r="C66" s="336"/>
      <c r="D66" s="336"/>
      <c r="E66" s="336"/>
    </row>
    <row r="67" spans="2:5" x14ac:dyDescent="0.55000000000000004">
      <c r="B67" s="336"/>
      <c r="C67" s="336"/>
      <c r="D67" s="336"/>
      <c r="E67" s="336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7D316-0502-409B-9359-5587A2D4E53F}">
  <sheetPr codeName="Sheet9">
    <tabColor theme="7"/>
  </sheetPr>
  <dimension ref="A1:O68"/>
  <sheetViews>
    <sheetView zoomScaleNormal="100" workbookViewId="0">
      <selection activeCell="I32" sqref="I32"/>
    </sheetView>
  </sheetViews>
  <sheetFormatPr defaultColWidth="9.15625" defaultRowHeight="14.4" x14ac:dyDescent="0.55000000000000004"/>
  <cols>
    <col min="1" max="1" width="34.41796875" style="1" customWidth="1"/>
    <col min="2" max="2" width="16" style="1" customWidth="1"/>
    <col min="3" max="3" width="20.41796875" style="1" customWidth="1"/>
    <col min="4" max="8" width="14" style="1" customWidth="1"/>
    <col min="9" max="9" width="12.15625" style="1" customWidth="1"/>
    <col min="10" max="10" width="12.68359375" style="1" customWidth="1"/>
    <col min="11" max="11" width="12.26171875" style="1" customWidth="1"/>
    <col min="12" max="16384" width="9.15625" style="1"/>
  </cols>
  <sheetData>
    <row r="1" spans="1:15" ht="14.7" thickBot="1" x14ac:dyDescent="0.6">
      <c r="C1" s="1">
        <v>2019</v>
      </c>
    </row>
    <row r="2" spans="1:15" ht="42.75" customHeight="1" x14ac:dyDescent="0.55000000000000004">
      <c r="A2" s="8"/>
      <c r="B2" s="8" t="s">
        <v>66</v>
      </c>
      <c r="C2" s="8" t="s">
        <v>69</v>
      </c>
      <c r="D2" s="8" t="s">
        <v>278</v>
      </c>
      <c r="E2" s="8" t="s">
        <v>276</v>
      </c>
      <c r="F2" s="8" t="s">
        <v>277</v>
      </c>
      <c r="G2" s="250" t="s">
        <v>520</v>
      </c>
      <c r="H2" s="250" t="s">
        <v>520</v>
      </c>
      <c r="I2" s="250" t="s">
        <v>520</v>
      </c>
      <c r="J2" s="236" t="s">
        <v>503</v>
      </c>
      <c r="K2" s="237" t="s">
        <v>504</v>
      </c>
      <c r="L2" s="238" t="s">
        <v>505</v>
      </c>
    </row>
    <row r="3" spans="1:15" ht="42.75" customHeight="1" x14ac:dyDescent="0.55000000000000004">
      <c r="A3" s="8"/>
      <c r="B3" s="8"/>
      <c r="C3" s="8"/>
      <c r="D3" s="8"/>
      <c r="E3" s="8"/>
      <c r="F3" s="8"/>
      <c r="G3" s="6" t="str">
        <f>Jordbund1</f>
        <v>JB1-10</v>
      </c>
      <c r="H3" s="6" t="str">
        <f>Organ6</f>
        <v>OC6</v>
      </c>
      <c r="I3" s="6" t="str">
        <f>Organ12</f>
        <v>OC12</v>
      </c>
      <c r="J3" s="6" t="str">
        <f>Jordbund1</f>
        <v>JB1-10</v>
      </c>
      <c r="K3" s="6" t="str">
        <f>Organ6</f>
        <v>OC6</v>
      </c>
      <c r="L3" s="6" t="str">
        <f>Organ12</f>
        <v>OC12</v>
      </c>
    </row>
    <row r="4" spans="1:15" ht="42.75" customHeight="1" x14ac:dyDescent="0.55000000000000004">
      <c r="A4" s="8"/>
      <c r="B4" s="8" t="s">
        <v>525</v>
      </c>
      <c r="C4" s="8" t="s">
        <v>37</v>
      </c>
      <c r="D4" s="8" t="s">
        <v>524</v>
      </c>
      <c r="E4" s="8" t="s">
        <v>276</v>
      </c>
      <c r="F4" s="8" t="s">
        <v>277</v>
      </c>
      <c r="G4" s="6" t="str">
        <f>CONCATENATE("Kvælstofnorm-",G3)</f>
        <v>Kvælstofnorm-JB1-10</v>
      </c>
      <c r="H4" s="6" t="str">
        <f t="shared" ref="H4:I4" si="0">CONCATENATE("Kvælstofnorm-",H3)</f>
        <v>Kvælstofnorm-OC6</v>
      </c>
      <c r="I4" s="6" t="str">
        <f t="shared" si="0"/>
        <v>Kvælstofnorm-OC12</v>
      </c>
      <c r="J4" s="6" t="str">
        <f>CONCATENATE("CO2-",J3)</f>
        <v>CO2-JB1-10</v>
      </c>
      <c r="K4" s="6" t="str">
        <f t="shared" ref="K4:L4" si="1">CONCATENATE("CO2-",K3)</f>
        <v>CO2-OC6</v>
      </c>
      <c r="L4" s="6" t="str">
        <f t="shared" si="1"/>
        <v>CO2-OC12</v>
      </c>
    </row>
    <row r="5" spans="1:15" x14ac:dyDescent="0.55000000000000004">
      <c r="A5" s="8" t="str" cm="1">
        <f t="array" ref="A5:A18">Afgrødefordeling!$C$2:$C$15</f>
        <v>Korn</v>
      </c>
      <c r="B5" s="231">
        <v>70.099999999999994</v>
      </c>
      <c r="C5" s="46">
        <f>B5*0.55</f>
        <v>38.555</v>
      </c>
      <c r="D5" s="46">
        <v>0.67</v>
      </c>
      <c r="E5" s="229">
        <v>1.2</v>
      </c>
      <c r="F5" s="229">
        <v>1.4</v>
      </c>
      <c r="G5" s="251">
        <v>160</v>
      </c>
      <c r="H5" s="253">
        <f>AVERAGE(G5,I5)</f>
        <v>130</v>
      </c>
      <c r="I5" s="251">
        <v>100</v>
      </c>
      <c r="J5" s="297">
        <f t="shared" ref="J5:L18" si="2">IF(AND($A5&lt;&gt;"Frugt",$A5&lt;&gt;"Juletræer", $A5&lt;&gt;"Pil &amp; poppel", $A5&lt;&gt;"Permanent græs"),IF(MID(J$4,5,LEN(J$4))=Jordbund1,SUM($G$31:$G$36),IF(MID(J$4,5,LEN(J$4))=Organ6,SUM($E$31:$E$36),SUM($C$31:$C$36))),IF(MID(J$4,5,LEN(J$4))=Jordbund1,SUM($H$31:$H$36),IF(MID(J$4,5,LEN(J$4))=Organ6,SUM($F$31:$F$36),SUM($D$31:$D$36))))+$D$43</f>
        <v>2.2736943674854606</v>
      </c>
      <c r="K5" s="297">
        <f t="shared" si="2"/>
        <v>15.99169436748546</v>
      </c>
      <c r="L5" s="297">
        <f t="shared" si="2"/>
        <v>40.951694367485452</v>
      </c>
      <c r="M5" s="265"/>
    </row>
    <row r="6" spans="1:15" x14ac:dyDescent="0.55000000000000004">
      <c r="A6" s="8" t="str">
        <v>Bælgsæd</v>
      </c>
      <c r="B6" s="231">
        <v>38.6</v>
      </c>
      <c r="C6" s="46">
        <v>19.309999999999999</v>
      </c>
      <c r="D6" s="46">
        <v>0.56999999999999995</v>
      </c>
      <c r="E6" s="229">
        <v>1.2</v>
      </c>
      <c r="F6" s="229">
        <v>1.4</v>
      </c>
      <c r="G6" s="251">
        <v>0</v>
      </c>
      <c r="H6" s="253">
        <f t="shared" ref="H6:H18" si="3">AVERAGE(G6,I6)</f>
        <v>0</v>
      </c>
      <c r="I6" s="251">
        <v>0</v>
      </c>
      <c r="J6" s="297">
        <f t="shared" si="2"/>
        <v>2.2736943674854606</v>
      </c>
      <c r="K6" s="297">
        <f t="shared" si="2"/>
        <v>15.99169436748546</v>
      </c>
      <c r="L6" s="297">
        <f t="shared" si="2"/>
        <v>40.951694367485452</v>
      </c>
    </row>
    <row r="7" spans="1:15" x14ac:dyDescent="0.55000000000000004">
      <c r="A7" s="8" t="str">
        <v>Raps</v>
      </c>
      <c r="B7" s="231">
        <v>44</v>
      </c>
      <c r="C7" s="46">
        <f>B7*0.9</f>
        <v>39.6</v>
      </c>
      <c r="D7" s="46">
        <v>0.55000000000000004</v>
      </c>
      <c r="E7" s="229">
        <v>1.2</v>
      </c>
      <c r="F7" s="229">
        <v>1.4</v>
      </c>
      <c r="G7" s="251">
        <v>175</v>
      </c>
      <c r="H7" s="253">
        <f t="shared" si="3"/>
        <v>145</v>
      </c>
      <c r="I7" s="251">
        <v>115</v>
      </c>
      <c r="J7" s="297">
        <f t="shared" si="2"/>
        <v>2.2736943674854606</v>
      </c>
      <c r="K7" s="297">
        <f t="shared" si="2"/>
        <v>15.99169436748546</v>
      </c>
      <c r="L7" s="297">
        <f t="shared" si="2"/>
        <v>40.951694367485452</v>
      </c>
      <c r="M7" s="8" t="s">
        <v>509</v>
      </c>
      <c r="N7" s="8"/>
      <c r="O7" s="8"/>
    </row>
    <row r="8" spans="1:15" x14ac:dyDescent="0.55000000000000004">
      <c r="A8" s="8" t="str">
        <v>Græs</v>
      </c>
      <c r="B8" s="231">
        <v>496.2</v>
      </c>
      <c r="C8" s="8"/>
      <c r="D8" s="46">
        <v>0.78</v>
      </c>
      <c r="E8" s="229">
        <v>1.2</v>
      </c>
      <c r="F8" s="229">
        <v>1.4</v>
      </c>
      <c r="G8" s="251">
        <v>155</v>
      </c>
      <c r="H8" s="253">
        <f t="shared" si="3"/>
        <v>130</v>
      </c>
      <c r="I8" s="251">
        <v>105</v>
      </c>
      <c r="J8" s="297">
        <f t="shared" si="2"/>
        <v>2.2736943674854606</v>
      </c>
      <c r="K8" s="297">
        <f t="shared" si="2"/>
        <v>15.99169436748546</v>
      </c>
      <c r="L8" s="297">
        <f t="shared" si="2"/>
        <v>40.951694367485452</v>
      </c>
      <c r="M8" s="8" t="s">
        <v>525</v>
      </c>
      <c r="N8" s="8" t="s">
        <v>303</v>
      </c>
      <c r="O8" s="8" t="s">
        <v>526</v>
      </c>
    </row>
    <row r="9" spans="1:15" x14ac:dyDescent="0.55000000000000004">
      <c r="A9" s="8" t="str">
        <v>Grøntsager</v>
      </c>
      <c r="B9" s="231">
        <v>207.5</v>
      </c>
      <c r="C9" s="8"/>
      <c r="D9" s="46">
        <v>0.56999999999999995</v>
      </c>
      <c r="E9" s="229">
        <v>1.2</v>
      </c>
      <c r="F9" s="229">
        <v>1.4</v>
      </c>
      <c r="G9" s="251">
        <v>200</v>
      </c>
      <c r="H9" s="253">
        <f t="shared" si="3"/>
        <v>195</v>
      </c>
      <c r="I9" s="251">
        <v>190</v>
      </c>
      <c r="J9" s="297">
        <f t="shared" si="2"/>
        <v>2.2736943674854606</v>
      </c>
      <c r="K9" s="297">
        <f t="shared" si="2"/>
        <v>15.99169436748546</v>
      </c>
      <c r="L9" s="297">
        <f t="shared" si="2"/>
        <v>40.951694367485452</v>
      </c>
      <c r="M9" s="231">
        <f>3790.19083969466</f>
        <v>3790.1908396946601</v>
      </c>
      <c r="N9" s="251">
        <v>2100</v>
      </c>
      <c r="O9" s="257">
        <f>J9*0.2</f>
        <v>0.45473887349709213</v>
      </c>
    </row>
    <row r="10" spans="1:15" x14ac:dyDescent="0.55000000000000004">
      <c r="A10" s="8" t="str">
        <v>Kartofler</v>
      </c>
      <c r="B10" s="232">
        <f>(243.8+1677+487.3)/(8.1+35.8+12.8)*10</f>
        <v>424.70899470899468</v>
      </c>
      <c r="C10" s="8"/>
      <c r="D10" s="46">
        <v>0.56999999999999995</v>
      </c>
      <c r="E10" s="229">
        <v>1.2</v>
      </c>
      <c r="F10" s="229">
        <v>1.4</v>
      </c>
      <c r="G10" s="251">
        <v>150</v>
      </c>
      <c r="H10" s="253">
        <f t="shared" si="3"/>
        <v>120</v>
      </c>
      <c r="I10" s="251">
        <v>90</v>
      </c>
      <c r="J10" s="297">
        <f t="shared" si="2"/>
        <v>2.2736943674854606</v>
      </c>
      <c r="K10" s="297">
        <f t="shared" si="2"/>
        <v>15.99169436748546</v>
      </c>
      <c r="L10" s="297">
        <f t="shared" si="2"/>
        <v>40.951694367485452</v>
      </c>
    </row>
    <row r="11" spans="1:15" x14ac:dyDescent="0.55000000000000004">
      <c r="A11" s="8" t="str">
        <v>Roer</v>
      </c>
      <c r="B11" s="232">
        <f>(2339.9+382.1)/(29+4.5)*10</f>
        <v>812.53731343283573</v>
      </c>
      <c r="C11" s="8"/>
      <c r="D11" s="46">
        <v>0.56999999999999995</v>
      </c>
      <c r="E11" s="229">
        <v>1.2</v>
      </c>
      <c r="F11" s="229">
        <v>1.4</v>
      </c>
      <c r="G11" s="251">
        <v>135</v>
      </c>
      <c r="H11" s="253">
        <f t="shared" si="3"/>
        <v>105</v>
      </c>
      <c r="I11" s="251">
        <v>75</v>
      </c>
      <c r="J11" s="297">
        <f t="shared" si="2"/>
        <v>2.2736943674854606</v>
      </c>
      <c r="K11" s="297">
        <f t="shared" si="2"/>
        <v>15.99169436748546</v>
      </c>
      <c r="L11" s="297">
        <f t="shared" si="2"/>
        <v>40.951694367485452</v>
      </c>
    </row>
    <row r="12" spans="1:15" x14ac:dyDescent="0.55000000000000004">
      <c r="A12" s="8" t="str">
        <v>Majs</v>
      </c>
      <c r="B12" s="231">
        <v>445.1</v>
      </c>
      <c r="C12" s="8"/>
      <c r="D12" s="46">
        <v>0.83</v>
      </c>
      <c r="E12" s="229">
        <v>1.2</v>
      </c>
      <c r="F12" s="229">
        <v>1.4</v>
      </c>
      <c r="G12" s="251">
        <v>160</v>
      </c>
      <c r="H12" s="253">
        <f t="shared" si="3"/>
        <v>130</v>
      </c>
      <c r="I12" s="251">
        <v>100</v>
      </c>
      <c r="J12" s="297">
        <f t="shared" si="2"/>
        <v>2.2736943674854606</v>
      </c>
      <c r="K12" s="297">
        <f t="shared" si="2"/>
        <v>15.99169436748546</v>
      </c>
      <c r="L12" s="297">
        <f t="shared" si="2"/>
        <v>40.951694367485452</v>
      </c>
    </row>
    <row r="13" spans="1:15" x14ac:dyDescent="0.55000000000000004">
      <c r="A13" s="8" t="str">
        <v>Frugt</v>
      </c>
      <c r="B13" s="231">
        <v>84.9</v>
      </c>
      <c r="C13" s="8"/>
      <c r="D13" s="46">
        <v>0.56999999999999995</v>
      </c>
      <c r="E13" s="229">
        <v>1.2</v>
      </c>
      <c r="F13" s="229">
        <v>1.4</v>
      </c>
      <c r="G13" s="251">
        <v>140</v>
      </c>
      <c r="H13" s="253">
        <f t="shared" si="3"/>
        <v>140</v>
      </c>
      <c r="I13" s="251">
        <v>140</v>
      </c>
      <c r="J13" s="297">
        <f t="shared" si="2"/>
        <v>1.9656943674854606</v>
      </c>
      <c r="K13" s="297">
        <f t="shared" si="2"/>
        <v>10.661694367485461</v>
      </c>
      <c r="L13" s="297">
        <f t="shared" si="2"/>
        <v>28.501694367485467</v>
      </c>
    </row>
    <row r="14" spans="1:15" x14ac:dyDescent="0.55000000000000004">
      <c r="A14" s="8" t="str">
        <v>Øvrige</v>
      </c>
      <c r="B14" s="244">
        <f>AVERAGE(B5:B12,B15)</f>
        <v>297.95943508186303</v>
      </c>
      <c r="C14" s="8"/>
      <c r="D14" s="46">
        <v>0.56999999999999995</v>
      </c>
      <c r="E14" s="229">
        <v>1.2</v>
      </c>
      <c r="F14" s="229">
        <v>1.4</v>
      </c>
      <c r="G14" s="252">
        <f>AVERAGE(G5,G7:G13,G15:G18)</f>
        <v>142.08333333333334</v>
      </c>
      <c r="H14" s="252">
        <f t="shared" si="3"/>
        <v>125</v>
      </c>
      <c r="I14" s="252">
        <f>AVERAGE(I5,I7:I13,I15:I18)</f>
        <v>107.91666666666667</v>
      </c>
      <c r="J14" s="297">
        <f t="shared" si="2"/>
        <v>2.2736943674854606</v>
      </c>
      <c r="K14" s="297">
        <f t="shared" si="2"/>
        <v>15.99169436748546</v>
      </c>
      <c r="L14" s="297">
        <f t="shared" si="2"/>
        <v>40.951694367485452</v>
      </c>
    </row>
    <row r="15" spans="1:15" x14ac:dyDescent="0.55000000000000004">
      <c r="A15" s="8" t="str">
        <v>Frø</v>
      </c>
      <c r="B15" s="244">
        <f>(1575.5+133882.9)/10/(3.5+91.3)</f>
        <v>142.8886075949367</v>
      </c>
      <c r="C15" s="235">
        <v>40</v>
      </c>
      <c r="D15" s="46">
        <v>0.56999999999999995</v>
      </c>
      <c r="E15" s="229">
        <v>1.2</v>
      </c>
      <c r="F15" s="229">
        <v>1.4</v>
      </c>
      <c r="G15" s="251">
        <v>150</v>
      </c>
      <c r="H15" s="253">
        <f t="shared" si="3"/>
        <v>135</v>
      </c>
      <c r="I15" s="251">
        <v>120</v>
      </c>
      <c r="J15" s="297">
        <f t="shared" si="2"/>
        <v>2.2736943674854606</v>
      </c>
      <c r="K15" s="297">
        <f t="shared" si="2"/>
        <v>15.99169436748546</v>
      </c>
      <c r="L15" s="297">
        <f t="shared" si="2"/>
        <v>40.951694367485452</v>
      </c>
    </row>
    <row r="16" spans="1:15" x14ac:dyDescent="0.55000000000000004">
      <c r="A16" s="8" t="str">
        <v>Juletræer</v>
      </c>
      <c r="B16" s="231">
        <v>500</v>
      </c>
      <c r="C16" s="8"/>
      <c r="D16" s="46">
        <v>0.56999999999999995</v>
      </c>
      <c r="E16" s="229">
        <v>1.2</v>
      </c>
      <c r="F16" s="229">
        <v>1.4</v>
      </c>
      <c r="G16" s="251">
        <v>110</v>
      </c>
      <c r="H16" s="253">
        <f t="shared" si="3"/>
        <v>100</v>
      </c>
      <c r="I16" s="251">
        <v>90</v>
      </c>
      <c r="J16" s="297">
        <f t="shared" si="2"/>
        <v>1.9656943674854606</v>
      </c>
      <c r="K16" s="297">
        <f t="shared" si="2"/>
        <v>10.661694367485461</v>
      </c>
      <c r="L16" s="297">
        <f t="shared" si="2"/>
        <v>28.501694367485467</v>
      </c>
    </row>
    <row r="17" spans="1:13" x14ac:dyDescent="0.55000000000000004">
      <c r="A17" s="8" t="str">
        <v>Pil &amp; poppel</v>
      </c>
      <c r="B17" s="240">
        <f>100/0.41</f>
        <v>243.90243902439025</v>
      </c>
      <c r="C17" s="8"/>
      <c r="D17" s="46">
        <v>0.56999999999999995</v>
      </c>
      <c r="E17" s="229">
        <v>1.2</v>
      </c>
      <c r="F17" s="229">
        <v>1.4</v>
      </c>
      <c r="G17" s="251">
        <v>120</v>
      </c>
      <c r="H17" s="253">
        <f t="shared" si="3"/>
        <v>120</v>
      </c>
      <c r="I17" s="251">
        <v>120</v>
      </c>
      <c r="J17" s="297">
        <f t="shared" si="2"/>
        <v>1.9656943674854606</v>
      </c>
      <c r="K17" s="297">
        <f t="shared" si="2"/>
        <v>10.661694367485461</v>
      </c>
      <c r="L17" s="297">
        <f t="shared" si="2"/>
        <v>28.501694367485467</v>
      </c>
    </row>
    <row r="18" spans="1:13" x14ac:dyDescent="0.55000000000000004">
      <c r="A18" s="1" t="str">
        <v>Permanent græs</v>
      </c>
      <c r="B18" s="231">
        <v>137.9</v>
      </c>
      <c r="C18" s="8"/>
      <c r="D18" s="229">
        <v>1</v>
      </c>
      <c r="E18" s="229">
        <v>1.2</v>
      </c>
      <c r="F18" s="229">
        <v>1.4</v>
      </c>
      <c r="G18" s="251">
        <v>50</v>
      </c>
      <c r="H18" s="253">
        <f t="shared" si="3"/>
        <v>50</v>
      </c>
      <c r="I18" s="251">
        <v>50</v>
      </c>
      <c r="J18" s="297">
        <f t="shared" si="2"/>
        <v>1.9656943674854606</v>
      </c>
      <c r="K18" s="297">
        <f t="shared" si="2"/>
        <v>10.661694367485461</v>
      </c>
      <c r="L18" s="297">
        <f t="shared" si="2"/>
        <v>28.501694367485467</v>
      </c>
      <c r="M18" s="265"/>
    </row>
    <row r="19" spans="1:13" x14ac:dyDescent="0.55000000000000004">
      <c r="B19" s="7"/>
      <c r="C19" s="7"/>
      <c r="D19" s="7"/>
      <c r="E19" s="7"/>
      <c r="F19" s="7"/>
      <c r="G19" s="7"/>
      <c r="H19" s="7"/>
      <c r="I19" s="7"/>
    </row>
    <row r="20" spans="1:13" x14ac:dyDescent="0.55000000000000004">
      <c r="A20" s="233" t="s">
        <v>551</v>
      </c>
    </row>
    <row r="21" spans="1:13" x14ac:dyDescent="0.55000000000000004">
      <c r="A21" s="234" t="s">
        <v>68</v>
      </c>
    </row>
    <row r="22" spans="1:13" x14ac:dyDescent="0.55000000000000004">
      <c r="A22" s="228" t="s">
        <v>506</v>
      </c>
    </row>
    <row r="23" spans="1:13" x14ac:dyDescent="0.55000000000000004">
      <c r="A23" s="239" t="s">
        <v>342</v>
      </c>
      <c r="B23" s="239" t="s">
        <v>507</v>
      </c>
    </row>
    <row r="24" spans="1:13" x14ac:dyDescent="0.55000000000000004">
      <c r="A24" s="230" t="s">
        <v>422</v>
      </c>
    </row>
    <row r="25" spans="1:13" x14ac:dyDescent="0.55000000000000004">
      <c r="A25" s="3" t="s">
        <v>521</v>
      </c>
    </row>
    <row r="26" spans="1:13" x14ac:dyDescent="0.55000000000000004">
      <c r="A26" s="254" t="s">
        <v>522</v>
      </c>
    </row>
    <row r="27" spans="1:13" x14ac:dyDescent="0.55000000000000004">
      <c r="A27" s="214"/>
    </row>
    <row r="28" spans="1:13" ht="14.7" thickBot="1" x14ac:dyDescent="0.6">
      <c r="A28" s="2" t="s">
        <v>432</v>
      </c>
      <c r="I28"/>
    </row>
    <row r="29" spans="1:13" x14ac:dyDescent="0.55000000000000004">
      <c r="A29" s="283"/>
      <c r="B29" s="268"/>
      <c r="C29" s="287" t="str">
        <f>Organ12</f>
        <v>OC12</v>
      </c>
      <c r="D29" s="287" t="str">
        <f>Organ12</f>
        <v>OC12</v>
      </c>
      <c r="E29" s="287" t="str">
        <f>Organ6</f>
        <v>OC6</v>
      </c>
      <c r="F29" s="287" t="str">
        <f>Organ6</f>
        <v>OC6</v>
      </c>
      <c r="G29" s="160" t="str">
        <f>Jordbund1</f>
        <v>JB1-10</v>
      </c>
      <c r="H29" s="269" t="str">
        <f>Jordbund1</f>
        <v>JB1-10</v>
      </c>
      <c r="I29" s="290" t="s">
        <v>530</v>
      </c>
    </row>
    <row r="30" spans="1:13" x14ac:dyDescent="0.55000000000000004">
      <c r="A30" s="284" t="s">
        <v>433</v>
      </c>
      <c r="B30" s="285"/>
      <c r="C30" s="285" t="s">
        <v>434</v>
      </c>
      <c r="D30" s="285" t="s">
        <v>529</v>
      </c>
      <c r="E30" s="285" t="s">
        <v>434</v>
      </c>
      <c r="F30" s="285" t="s">
        <v>435</v>
      </c>
      <c r="G30" s="267" t="s">
        <v>434</v>
      </c>
      <c r="H30" s="270" t="s">
        <v>435</v>
      </c>
      <c r="I30" s="169" t="s">
        <v>438</v>
      </c>
      <c r="J30" s="288"/>
    </row>
    <row r="31" spans="1:13" x14ac:dyDescent="0.55000000000000004">
      <c r="A31" s="284" t="s">
        <v>531</v>
      </c>
      <c r="B31" s="285" t="s">
        <v>436</v>
      </c>
      <c r="C31" s="8">
        <v>42.17</v>
      </c>
      <c r="D31" s="8">
        <v>30.8</v>
      </c>
      <c r="E31" s="8">
        <v>21.08</v>
      </c>
      <c r="F31" s="8">
        <v>15.4</v>
      </c>
      <c r="G31" s="245">
        <v>0.5</v>
      </c>
      <c r="H31" s="271"/>
      <c r="I31" s="169" t="s">
        <v>439</v>
      </c>
      <c r="J31" s="169"/>
    </row>
    <row r="32" spans="1:13" x14ac:dyDescent="0.55000000000000004">
      <c r="A32" s="284" t="s">
        <v>532</v>
      </c>
      <c r="B32" s="285" t="s">
        <v>436</v>
      </c>
      <c r="C32" s="8">
        <v>-7.2</v>
      </c>
      <c r="D32" s="8">
        <v>-6.8</v>
      </c>
      <c r="E32" s="8">
        <v>-7.2</v>
      </c>
      <c r="F32" s="8">
        <v>-6.8</v>
      </c>
      <c r="G32" s="245"/>
      <c r="H32" s="271"/>
      <c r="I32" s="246" t="s">
        <v>544</v>
      </c>
    </row>
    <row r="33" spans="1:10" x14ac:dyDescent="0.55000000000000004">
      <c r="A33" s="286" t="s">
        <v>533</v>
      </c>
      <c r="B33" s="285" t="s">
        <v>436</v>
      </c>
      <c r="C33" s="8">
        <v>3.87</v>
      </c>
      <c r="D33" s="8">
        <v>2.44</v>
      </c>
      <c r="E33" s="8">
        <v>0</v>
      </c>
      <c r="F33" s="8">
        <v>0</v>
      </c>
      <c r="G33" s="245">
        <f>0.602-G34</f>
        <v>-0.19200000000000006</v>
      </c>
      <c r="H33" s="271">
        <f>IF(F33&lt;&gt;0,F33*F33/D33,0)</f>
        <v>0</v>
      </c>
      <c r="I33" s="246" t="s">
        <v>543</v>
      </c>
      <c r="J33" s="227"/>
    </row>
    <row r="34" spans="1:10" x14ac:dyDescent="0.55000000000000004">
      <c r="A34" s="298" t="s">
        <v>534</v>
      </c>
      <c r="B34" s="299" t="s">
        <v>436</v>
      </c>
      <c r="C34" s="267">
        <v>0.78</v>
      </c>
      <c r="D34" s="267">
        <v>0.78</v>
      </c>
      <c r="E34" s="267">
        <v>0.78</v>
      </c>
      <c r="F34" s="267">
        <v>0.78</v>
      </c>
      <c r="G34" s="245">
        <v>0.79400000000000004</v>
      </c>
      <c r="H34" s="271">
        <v>0.79400000000000004</v>
      </c>
    </row>
    <row r="35" spans="1:10" x14ac:dyDescent="0.55000000000000004">
      <c r="A35" s="298" t="s">
        <v>535</v>
      </c>
      <c r="B35" s="299" t="s">
        <v>436</v>
      </c>
      <c r="C35" s="267">
        <v>0.01</v>
      </c>
      <c r="D35" s="267">
        <v>0.01</v>
      </c>
      <c r="E35" s="267">
        <v>0.01</v>
      </c>
      <c r="F35" s="267">
        <v>0.01</v>
      </c>
      <c r="G35" s="245"/>
      <c r="H35" s="271"/>
      <c r="J35" s="289"/>
    </row>
    <row r="36" spans="1:10" x14ac:dyDescent="0.55000000000000004">
      <c r="A36" s="298" t="s">
        <v>536</v>
      </c>
      <c r="B36" s="299" t="s">
        <v>436</v>
      </c>
      <c r="C36" s="267">
        <v>0.15</v>
      </c>
      <c r="D36" s="267">
        <v>0.1</v>
      </c>
      <c r="E36" s="267">
        <v>0.15</v>
      </c>
      <c r="F36" s="267">
        <v>0.1</v>
      </c>
      <c r="G36" s="245"/>
      <c r="H36" s="271"/>
      <c r="J36" s="206"/>
    </row>
    <row r="37" spans="1:10" ht="14.7" thickBot="1" x14ac:dyDescent="0.6">
      <c r="A37" s="292" t="s">
        <v>537</v>
      </c>
      <c r="B37" s="293" t="s">
        <v>436</v>
      </c>
      <c r="C37" s="294">
        <v>0.4</v>
      </c>
      <c r="D37" s="294">
        <v>0.4</v>
      </c>
      <c r="E37" s="294">
        <v>0.4</v>
      </c>
      <c r="F37" s="294">
        <v>0.4</v>
      </c>
      <c r="G37" s="294">
        <f t="shared" ref="G37:H37" si="4">IF(E37&lt;&gt;0,E37*E37/C37,0)</f>
        <v>0.40000000000000008</v>
      </c>
      <c r="H37" s="295">
        <f t="shared" si="4"/>
        <v>0.40000000000000008</v>
      </c>
      <c r="I37" s="1" t="s">
        <v>541</v>
      </c>
    </row>
    <row r="38" spans="1:10" x14ac:dyDescent="0.55000000000000004">
      <c r="A38" s="279" t="s">
        <v>437</v>
      </c>
      <c r="B38" s="280" t="s">
        <v>436</v>
      </c>
      <c r="C38" s="281">
        <f>SUM(C31:C32)</f>
        <v>34.97</v>
      </c>
      <c r="D38" s="281">
        <f t="shared" ref="D38:H38" si="5">SUM(D31:D32)</f>
        <v>24</v>
      </c>
      <c r="E38" s="281">
        <f t="shared" si="5"/>
        <v>13.879999999999999</v>
      </c>
      <c r="F38" s="281">
        <f t="shared" si="5"/>
        <v>8.6000000000000014</v>
      </c>
      <c r="G38" s="281">
        <f t="shared" si="5"/>
        <v>0.5</v>
      </c>
      <c r="H38" s="282">
        <f t="shared" si="5"/>
        <v>0</v>
      </c>
    </row>
    <row r="39" spans="1:10" x14ac:dyDescent="0.55000000000000004">
      <c r="A39" s="272" t="s">
        <v>538</v>
      </c>
      <c r="B39" s="273" t="s">
        <v>436</v>
      </c>
      <c r="C39" s="229">
        <f>SUM(C33:C36)</f>
        <v>4.8100000000000005</v>
      </c>
      <c r="D39" s="229">
        <f t="shared" ref="D39:H39" si="6">SUM(D33:D36)</f>
        <v>3.3299999999999996</v>
      </c>
      <c r="E39" s="229">
        <f t="shared" si="6"/>
        <v>0.94000000000000006</v>
      </c>
      <c r="F39" s="229">
        <f t="shared" si="6"/>
        <v>0.89</v>
      </c>
      <c r="G39" s="229">
        <f t="shared" si="6"/>
        <v>0.60199999999999998</v>
      </c>
      <c r="H39" s="274">
        <f t="shared" si="6"/>
        <v>0.79400000000000004</v>
      </c>
    </row>
    <row r="40" spans="1:10" ht="14.7" thickBot="1" x14ac:dyDescent="0.6">
      <c r="A40" s="275" t="s">
        <v>539</v>
      </c>
      <c r="B40" s="276" t="s">
        <v>436</v>
      </c>
      <c r="C40" s="277">
        <f>C37</f>
        <v>0.4</v>
      </c>
      <c r="D40" s="277">
        <f t="shared" ref="D40:H40" si="7">D37</f>
        <v>0.4</v>
      </c>
      <c r="E40" s="277">
        <f t="shared" si="7"/>
        <v>0.4</v>
      </c>
      <c r="F40" s="277">
        <f t="shared" si="7"/>
        <v>0.4</v>
      </c>
      <c r="G40" s="277">
        <f t="shared" si="7"/>
        <v>0.40000000000000008</v>
      </c>
      <c r="H40" s="278">
        <f t="shared" si="7"/>
        <v>0.40000000000000008</v>
      </c>
    </row>
    <row r="41" spans="1:10" x14ac:dyDescent="0.55000000000000004">
      <c r="J41"/>
    </row>
    <row r="42" spans="1:10" ht="14.7" thickBot="1" x14ac:dyDescent="0.6">
      <c r="A42" s="1" t="s">
        <v>873</v>
      </c>
      <c r="B42" s="1" t="s">
        <v>872</v>
      </c>
      <c r="J42" s="447" t="s">
        <v>861</v>
      </c>
    </row>
    <row r="43" spans="1:10" ht="14.7" thickBot="1" x14ac:dyDescent="0.6">
      <c r="A43" s="441" t="s">
        <v>832</v>
      </c>
      <c r="B43" s="443">
        <v>11041.260135196238</v>
      </c>
      <c r="D43" s="1">
        <f>SUM(D44:D53)</f>
        <v>1.1716943674854605</v>
      </c>
      <c r="E43" s="1" t="s">
        <v>831</v>
      </c>
      <c r="F43" s="1" t="s">
        <v>848</v>
      </c>
      <c r="I43" s="447" t="s">
        <v>874</v>
      </c>
      <c r="J43" s="448">
        <v>2019</v>
      </c>
    </row>
    <row r="44" spans="1:10" x14ac:dyDescent="0.55000000000000004">
      <c r="A44" s="440" t="s">
        <v>833</v>
      </c>
      <c r="B44" s="442">
        <v>3767.3551588371374</v>
      </c>
      <c r="C44" s="1" t="s">
        <v>847</v>
      </c>
      <c r="F44" s="1">
        <v>2578370</v>
      </c>
      <c r="I44" s="451" t="s">
        <v>849</v>
      </c>
      <c r="J44" s="449">
        <v>27.011008109722574</v>
      </c>
    </row>
    <row r="45" spans="1:10" x14ac:dyDescent="0.55000000000000004">
      <c r="A45" s="440" t="s">
        <v>834</v>
      </c>
      <c r="B45" s="442">
        <v>2952.39814048791</v>
      </c>
      <c r="C45" s="1" t="s">
        <v>830</v>
      </c>
      <c r="D45" s="461">
        <f>((B45-J57)*1000-E45)/F47</f>
        <v>-0.47002885616663242</v>
      </c>
      <c r="E45" s="1">
        <v>2046749</v>
      </c>
      <c r="F45" s="1">
        <v>2578370</v>
      </c>
      <c r="G45" s="1">
        <f>D45*F45</f>
        <v>-1211908.3018743601</v>
      </c>
      <c r="I45" s="451" t="s">
        <v>850</v>
      </c>
      <c r="J45" s="449">
        <v>13.494661638352639</v>
      </c>
    </row>
    <row r="46" spans="1:10" x14ac:dyDescent="0.55000000000000004">
      <c r="A46" s="440" t="s">
        <v>835</v>
      </c>
      <c r="B46" s="442" t="s">
        <v>836</v>
      </c>
      <c r="F46" s="1">
        <v>2578370</v>
      </c>
      <c r="I46" s="451" t="s">
        <v>851</v>
      </c>
      <c r="J46" s="449">
        <v>4.2965611392438922E-2</v>
      </c>
    </row>
    <row r="47" spans="1:10" x14ac:dyDescent="0.55000000000000004">
      <c r="A47" s="440" t="s">
        <v>837</v>
      </c>
      <c r="B47" s="442">
        <v>4072.8452465785531</v>
      </c>
      <c r="C47" s="1" t="s">
        <v>829</v>
      </c>
      <c r="D47" s="461">
        <f>(B47*1000-E47)/F46</f>
        <v>1.6416267822611006</v>
      </c>
      <c r="E47" s="1">
        <v>-159876</v>
      </c>
      <c r="F47" s="1">
        <v>2578370</v>
      </c>
      <c r="I47" s="451" t="s">
        <v>852</v>
      </c>
      <c r="J47" s="457"/>
    </row>
    <row r="48" spans="1:10" x14ac:dyDescent="0.55000000000000004">
      <c r="A48" s="440" t="s">
        <v>838</v>
      </c>
      <c r="B48" s="442" t="s">
        <v>836</v>
      </c>
      <c r="F48" s="1">
        <v>2578370</v>
      </c>
      <c r="I48" s="451" t="s">
        <v>853</v>
      </c>
      <c r="J48" s="449">
        <v>5.411826658030066E-3</v>
      </c>
    </row>
    <row r="49" spans="1:10" x14ac:dyDescent="0.55000000000000004">
      <c r="A49" s="440" t="s">
        <v>839</v>
      </c>
      <c r="B49" s="442">
        <v>4.4812370430000001</v>
      </c>
      <c r="D49" s="1">
        <f>B49/F49</f>
        <v>1.7380116286646214E-6</v>
      </c>
      <c r="F49" s="1">
        <v>2578370</v>
      </c>
      <c r="I49" s="451" t="s">
        <v>854</v>
      </c>
      <c r="J49" s="449">
        <v>0.47525986757812505</v>
      </c>
    </row>
    <row r="50" spans="1:10" x14ac:dyDescent="0.55000000000000004">
      <c r="A50" s="440" t="s">
        <v>840</v>
      </c>
      <c r="B50" s="442">
        <v>239.91601891630901</v>
      </c>
      <c r="D50" s="1">
        <f t="shared" ref="D50:D52" si="8">B50/F50</f>
        <v>9.3049492088532299E-5</v>
      </c>
      <c r="F50" s="1">
        <v>2578370</v>
      </c>
      <c r="I50" s="451" t="s">
        <v>855</v>
      </c>
      <c r="J50" s="449">
        <v>41.882892458812613</v>
      </c>
    </row>
    <row r="51" spans="1:10" x14ac:dyDescent="0.55000000000000004">
      <c r="A51" s="440" t="s">
        <v>841</v>
      </c>
      <c r="B51" s="442">
        <v>1.39333333333333</v>
      </c>
      <c r="D51" s="1">
        <f t="shared" si="8"/>
        <v>5.4039309072527606E-7</v>
      </c>
      <c r="F51" s="1">
        <v>2578370</v>
      </c>
      <c r="I51" s="451" t="s">
        <v>856</v>
      </c>
      <c r="J51" s="449">
        <v>0.58710980836771465</v>
      </c>
    </row>
    <row r="52" spans="1:10" x14ac:dyDescent="0.55000000000000004">
      <c r="A52" s="440" t="s">
        <v>842</v>
      </c>
      <c r="B52" s="442">
        <v>2.871</v>
      </c>
      <c r="D52" s="1">
        <f t="shared" si="8"/>
        <v>1.1134941843102424E-6</v>
      </c>
      <c r="F52" s="1">
        <v>2578370</v>
      </c>
      <c r="I52" s="451" t="s">
        <v>857</v>
      </c>
      <c r="J52" s="449">
        <v>1.1986960661131167</v>
      </c>
    </row>
    <row r="53" spans="1:10" x14ac:dyDescent="0.55000000000000004">
      <c r="A53" s="440" t="s">
        <v>843</v>
      </c>
      <c r="B53" s="442" t="s">
        <v>844</v>
      </c>
      <c r="F53" s="1">
        <v>2578370</v>
      </c>
      <c r="I53" s="451" t="s">
        <v>858</v>
      </c>
      <c r="J53" s="460">
        <v>2.5311427660799999E-3</v>
      </c>
    </row>
    <row r="54" spans="1:10" x14ac:dyDescent="0.55000000000000004">
      <c r="A54" s="463" t="s">
        <v>845</v>
      </c>
      <c r="I54" s="451" t="s">
        <v>859</v>
      </c>
      <c r="J54" s="454">
        <v>3.2264792749629999E-4</v>
      </c>
    </row>
    <row r="55" spans="1:10" ht="14.7" thickBot="1" x14ac:dyDescent="0.6">
      <c r="A55" s="462" t="s">
        <v>846</v>
      </c>
      <c r="B55" s="464">
        <v>4586.0116630635248</v>
      </c>
      <c r="I55" s="445" t="s">
        <v>860</v>
      </c>
      <c r="J55" s="460">
        <v>1.4385168E-3</v>
      </c>
    </row>
    <row r="56" spans="1:10" ht="14.7" thickBot="1" x14ac:dyDescent="0.6">
      <c r="B56" s="265">
        <f>SUM(B44,B45,B47,B55)</f>
        <v>15378.610208967126</v>
      </c>
      <c r="I56" s="455" t="s">
        <v>111</v>
      </c>
      <c r="J56" s="446">
        <v>84.702297694490809</v>
      </c>
    </row>
    <row r="57" spans="1:10" x14ac:dyDescent="0.55000000000000004">
      <c r="J57" s="1">
        <f>J56*25</f>
        <v>2117.5574423622702</v>
      </c>
    </row>
    <row r="62" spans="1:10" ht="14.7" thickBot="1" x14ac:dyDescent="0.6">
      <c r="A62" s="1" t="s">
        <v>871</v>
      </c>
      <c r="B62" s="1" t="s">
        <v>870</v>
      </c>
    </row>
    <row r="63" spans="1:10" ht="14.7" thickBot="1" x14ac:dyDescent="0.6">
      <c r="A63" s="467"/>
      <c r="B63" s="452">
        <v>2019</v>
      </c>
      <c r="C63" s="1" t="s">
        <v>869</v>
      </c>
    </row>
    <row r="64" spans="1:10" x14ac:dyDescent="0.55000000000000004">
      <c r="A64" s="468" t="s">
        <v>864</v>
      </c>
      <c r="B64" s="465">
        <v>12.32</v>
      </c>
      <c r="C64" s="470">
        <f>1-B65/B64</f>
        <v>0.40827922077922074</v>
      </c>
    </row>
    <row r="65" spans="1:3" x14ac:dyDescent="0.55000000000000004">
      <c r="A65" s="468" t="s">
        <v>865</v>
      </c>
      <c r="B65" s="465">
        <v>7.29</v>
      </c>
      <c r="C65" s="470"/>
    </row>
    <row r="66" spans="1:3" x14ac:dyDescent="0.55000000000000004">
      <c r="A66" s="468" t="s">
        <v>866</v>
      </c>
      <c r="B66" s="465">
        <v>13.33</v>
      </c>
      <c r="C66" s="470">
        <f>1-B67/B66</f>
        <v>0.2235558889722431</v>
      </c>
    </row>
    <row r="67" spans="1:3" x14ac:dyDescent="0.55000000000000004">
      <c r="A67" s="468" t="s">
        <v>867</v>
      </c>
      <c r="B67" s="465">
        <v>10.35</v>
      </c>
      <c r="C67" s="470"/>
    </row>
    <row r="68" spans="1:3" ht="14.7" thickBot="1" x14ac:dyDescent="0.6">
      <c r="A68" s="469" t="s">
        <v>868</v>
      </c>
      <c r="B68" s="466">
        <v>10.14</v>
      </c>
      <c r="C68" s="470"/>
    </row>
  </sheetData>
  <hyperlinks>
    <hyperlink ref="I30" r:id="rId1" xr:uid="{8177BC4F-48CF-4681-A97D-C332897FAB76}"/>
    <hyperlink ref="I31" r:id="rId2" xr:uid="{D5B60F15-7DEE-493F-A10A-0327A94FCE08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703AB-9439-4573-9DB9-601E230DD03E}">
  <sheetPr codeName="Sheet13">
    <tabColor theme="7"/>
  </sheetPr>
  <dimension ref="A1:R65"/>
  <sheetViews>
    <sheetView workbookViewId="0">
      <selection activeCell="R3" sqref="R3:R9"/>
    </sheetView>
  </sheetViews>
  <sheetFormatPr defaultRowHeight="14.4" x14ac:dyDescent="0.55000000000000004"/>
  <cols>
    <col min="13" max="13" width="11.578125" bestFit="1" customWidth="1"/>
  </cols>
  <sheetData>
    <row r="1" spans="1:18" x14ac:dyDescent="0.55000000000000004">
      <c r="A1" s="267"/>
      <c r="B1" s="267" t="s">
        <v>406</v>
      </c>
      <c r="C1" s="267" t="s">
        <v>407</v>
      </c>
      <c r="D1" s="267" t="s">
        <v>489</v>
      </c>
      <c r="E1" s="267" t="s">
        <v>491</v>
      </c>
      <c r="F1" s="267" t="s">
        <v>490</v>
      </c>
    </row>
    <row r="2" spans="1:18" x14ac:dyDescent="0.55000000000000004">
      <c r="A2" s="267" t="s">
        <v>11</v>
      </c>
      <c r="B2" s="267">
        <f>SUMIF($D$23:$D$63,A2,$E$23:$E$63)/SUMIF($D$23:$D$63,A2,$F$23:$F$63)</f>
        <v>0.89989334145969835</v>
      </c>
      <c r="C2" s="267">
        <f>B2*1000</f>
        <v>899.89334145969838</v>
      </c>
      <c r="D2" s="267">
        <f>SUMIF($D$23:$D$63,$A2,E$23:E$63)</f>
        <v>5906</v>
      </c>
      <c r="E2" s="418">
        <f>D2/SUM($D$2:$D$16)</f>
        <v>0.39994582515067378</v>
      </c>
      <c r="F2" s="267" t="s">
        <v>484</v>
      </c>
      <c r="I2" s="267" t="s">
        <v>496</v>
      </c>
      <c r="J2" s="267"/>
      <c r="P2" s="267" t="s">
        <v>492</v>
      </c>
      <c r="Q2" s="267" t="s">
        <v>494</v>
      </c>
      <c r="R2" s="267" t="s">
        <v>495</v>
      </c>
    </row>
    <row r="3" spans="1:18" x14ac:dyDescent="0.55000000000000004">
      <c r="A3" s="267" t="s">
        <v>37</v>
      </c>
      <c r="B3" s="267">
        <f>SUMIF($D$23:$D$63,A3,$E$23:$E$63)/SUMIF($D$23:$D$63,A3,$F$23:$F$63)</f>
        <v>0.19003476245654694</v>
      </c>
      <c r="C3" s="267">
        <f t="shared" ref="C3:C16" si="0">B3*1000</f>
        <v>190.03476245654693</v>
      </c>
      <c r="D3" s="267">
        <f>SUMIF($D$23:$D$63,$A3,E$23:E$63)</f>
        <v>164</v>
      </c>
      <c r="E3" s="418">
        <f t="shared" ref="E3:E15" si="1">D3/SUM($D$2:$D$16)</f>
        <v>1.1105844111871065E-2</v>
      </c>
      <c r="F3" s="267" t="s">
        <v>484</v>
      </c>
      <c r="I3" s="267" t="s">
        <v>11</v>
      </c>
      <c r="J3" s="267">
        <f>Q3/SUM($Q$3,$Q$5,$Q$9)</f>
        <v>0.30717549045955389</v>
      </c>
      <c r="P3" s="267" t="s">
        <v>11</v>
      </c>
      <c r="Q3" s="267">
        <f>I23+I31</f>
        <v>1143</v>
      </c>
      <c r="R3" s="267">
        <f>J23+J31</f>
        <v>1125</v>
      </c>
    </row>
    <row r="4" spans="1:18" x14ac:dyDescent="0.55000000000000004">
      <c r="A4" s="267" t="s">
        <v>188</v>
      </c>
      <c r="B4" s="267">
        <v>0.25</v>
      </c>
      <c r="C4" s="267">
        <f t="shared" si="0"/>
        <v>250</v>
      </c>
      <c r="D4" s="267">
        <f t="shared" ref="D4:D13" si="2">SUMIF($D$23:$D$63,$A4,E$23:E$63)</f>
        <v>0</v>
      </c>
      <c r="E4" s="418">
        <f t="shared" si="1"/>
        <v>0</v>
      </c>
      <c r="F4" s="267" t="s">
        <v>348</v>
      </c>
      <c r="I4" s="267" t="s">
        <v>177</v>
      </c>
      <c r="J4" s="267">
        <f>Q5/SUM($Q$3,$Q$5,$Q$9)</f>
        <v>0.62644450416554687</v>
      </c>
      <c r="P4" s="267" t="s">
        <v>14</v>
      </c>
      <c r="Q4" s="267">
        <f>I30</f>
        <v>8</v>
      </c>
      <c r="R4" s="267">
        <f>J30</f>
        <v>8</v>
      </c>
    </row>
    <row r="5" spans="1:18" x14ac:dyDescent="0.55000000000000004">
      <c r="A5" s="267" t="s">
        <v>14</v>
      </c>
      <c r="B5" s="267">
        <f>SUMIF($D$23:$D$63,A5,$E$23:$E$63)/SUMIF($D$23:$D$63,A5,$F$23:$F$63)</f>
        <v>1.0833333333333333</v>
      </c>
      <c r="C5" s="267">
        <f t="shared" si="0"/>
        <v>1083.3333333333333</v>
      </c>
      <c r="D5" s="267">
        <f t="shared" si="2"/>
        <v>78</v>
      </c>
      <c r="E5" s="418">
        <f t="shared" si="1"/>
        <v>5.2820478093045303E-3</v>
      </c>
      <c r="F5" s="267" t="s">
        <v>484</v>
      </c>
      <c r="I5" s="267" t="s">
        <v>42</v>
      </c>
      <c r="J5" s="267">
        <f>Q9/SUM($Q$3,$Q$5,$Q$9)</f>
        <v>6.6380005374899215E-2</v>
      </c>
      <c r="P5" s="267" t="s">
        <v>493</v>
      </c>
      <c r="Q5" s="267">
        <f>I34</f>
        <v>2331</v>
      </c>
      <c r="R5" s="267">
        <f>J34</f>
        <v>2034</v>
      </c>
    </row>
    <row r="6" spans="1:18" x14ac:dyDescent="0.55000000000000004">
      <c r="A6" s="267" t="s">
        <v>42</v>
      </c>
      <c r="B6" s="267">
        <f>SUMIF($D$23:$D$63,A6,$E$23:$E$63)/SUMIF($D$23:$D$63,A6,$F$23:$F$63)</f>
        <v>0.15228966986155484</v>
      </c>
      <c r="C6" s="267">
        <f t="shared" si="0"/>
        <v>152.28966986155484</v>
      </c>
      <c r="D6" s="267">
        <f t="shared" si="2"/>
        <v>143</v>
      </c>
      <c r="E6" s="418">
        <f t="shared" si="1"/>
        <v>9.683754317058306E-3</v>
      </c>
      <c r="F6" s="267" t="s">
        <v>484</v>
      </c>
      <c r="P6" s="267" t="s">
        <v>463</v>
      </c>
      <c r="Q6" s="267">
        <f>I41</f>
        <v>5</v>
      </c>
      <c r="R6" s="267">
        <f>J41</f>
        <v>148</v>
      </c>
    </row>
    <row r="7" spans="1:18" x14ac:dyDescent="0.55000000000000004">
      <c r="A7" s="267" t="s">
        <v>15</v>
      </c>
      <c r="B7" s="267">
        <f>SUMIF($D$23:$D$63,A7,$E$23:$E$63)/SUMIF($D$23:$D$63,A7,$F$23:$F$63)</f>
        <v>0.26492478226444971</v>
      </c>
      <c r="C7" s="267">
        <f t="shared" si="0"/>
        <v>264.92478226444973</v>
      </c>
      <c r="D7" s="267">
        <f t="shared" si="2"/>
        <v>1673</v>
      </c>
      <c r="E7" s="418">
        <f t="shared" si="1"/>
        <v>0.1132931536534164</v>
      </c>
      <c r="F7" s="267" t="s">
        <v>484</v>
      </c>
      <c r="P7" s="267" t="s">
        <v>465</v>
      </c>
      <c r="Q7" s="267">
        <f>I43</f>
        <v>159</v>
      </c>
      <c r="R7" s="267">
        <f>J43</f>
        <v>248</v>
      </c>
    </row>
    <row r="8" spans="1:18" x14ac:dyDescent="0.55000000000000004">
      <c r="A8" s="267" t="s">
        <v>720</v>
      </c>
      <c r="B8" s="267">
        <f>SUMIF($D$23:$D$63,A8,$E$23:$E$63)/SUMIF($D$23:$D$63,A8,$F$23:$F$63)</f>
        <v>1.00836820083682</v>
      </c>
      <c r="C8" s="267">
        <f t="shared" ref="C8" si="3">B8*1000</f>
        <v>1008.3682008368201</v>
      </c>
      <c r="D8" s="267">
        <f t="shared" ref="D8" si="4">SUMIF($D$23:$D$63,$A8,E$23:E$63)</f>
        <v>241</v>
      </c>
      <c r="E8" s="418">
        <f t="shared" si="1"/>
        <v>1.6320173359517843E-2</v>
      </c>
      <c r="F8" s="267" t="s">
        <v>484</v>
      </c>
      <c r="P8" s="267" t="s">
        <v>472</v>
      </c>
      <c r="Q8" s="267">
        <f>I50</f>
        <v>79</v>
      </c>
      <c r="R8" s="267">
        <f>J50</f>
        <v>28</v>
      </c>
    </row>
    <row r="9" spans="1:18" x14ac:dyDescent="0.55000000000000004">
      <c r="A9" s="267" t="s">
        <v>310</v>
      </c>
      <c r="B9" s="267">
        <v>1.36</v>
      </c>
      <c r="C9" s="267">
        <f t="shared" si="0"/>
        <v>1360</v>
      </c>
      <c r="D9" s="267">
        <f t="shared" si="2"/>
        <v>0</v>
      </c>
      <c r="E9" s="418">
        <f t="shared" si="1"/>
        <v>0</v>
      </c>
      <c r="F9" s="267" t="s">
        <v>347</v>
      </c>
      <c r="P9" s="267" t="s">
        <v>474</v>
      </c>
      <c r="Q9" s="267">
        <f>I54</f>
        <v>247</v>
      </c>
      <c r="R9" s="267">
        <f>J54</f>
        <v>1764</v>
      </c>
    </row>
    <row r="10" spans="1:18" x14ac:dyDescent="0.55000000000000004">
      <c r="A10" s="267" t="s">
        <v>311</v>
      </c>
      <c r="B10" s="267">
        <v>1.41</v>
      </c>
      <c r="C10" s="267">
        <f t="shared" si="0"/>
        <v>1410</v>
      </c>
      <c r="D10" s="267">
        <f t="shared" si="2"/>
        <v>0</v>
      </c>
      <c r="E10" s="418">
        <f t="shared" si="1"/>
        <v>0</v>
      </c>
      <c r="F10" s="267" t="s">
        <v>347</v>
      </c>
    </row>
    <row r="11" spans="1:18" x14ac:dyDescent="0.55000000000000004">
      <c r="A11" s="267" t="s">
        <v>13</v>
      </c>
      <c r="B11" s="267">
        <f>SUMIF($D$23:$D$63,A11,$E$23:$E$63)/SUMIF($D$23:$D$63,A11,$F$23:$F$63)</f>
        <v>0.16631286143034918</v>
      </c>
      <c r="C11" s="267">
        <f t="shared" si="0"/>
        <v>166.31286143034919</v>
      </c>
      <c r="D11" s="267">
        <f t="shared" si="2"/>
        <v>2272</v>
      </c>
      <c r="E11" s="418">
        <f t="shared" si="1"/>
        <v>0.15385657208640888</v>
      </c>
      <c r="F11" s="267" t="s">
        <v>484</v>
      </c>
    </row>
    <row r="12" spans="1:18" x14ac:dyDescent="0.55000000000000004">
      <c r="A12" s="300" t="s">
        <v>430</v>
      </c>
      <c r="B12" s="267">
        <f>SUMIF($D$23:$D$63,A12,$E$23:$E$63)/SUMIF($D$23:$D$63,A12,$F$23:$F$63)</f>
        <v>9.6335697399527187E-2</v>
      </c>
      <c r="C12" s="267">
        <f t="shared" si="0"/>
        <v>96.335697399527191</v>
      </c>
      <c r="D12" s="267">
        <f t="shared" si="2"/>
        <v>163</v>
      </c>
      <c r="E12" s="418">
        <f t="shared" si="1"/>
        <v>1.1038125550213313E-2</v>
      </c>
      <c r="F12" s="267" t="s">
        <v>484</v>
      </c>
    </row>
    <row r="13" spans="1:18" x14ac:dyDescent="0.55000000000000004">
      <c r="A13" s="300" t="s">
        <v>657</v>
      </c>
      <c r="B13" s="267">
        <f>'Procesdata (baggrund)'!G4</f>
        <v>0.30940000000000001</v>
      </c>
      <c r="C13" s="267">
        <f t="shared" si="0"/>
        <v>309.40000000000003</v>
      </c>
      <c r="D13" s="267">
        <f t="shared" si="2"/>
        <v>0</v>
      </c>
      <c r="E13" s="418">
        <f t="shared" si="1"/>
        <v>0</v>
      </c>
      <c r="F13" s="267" t="s">
        <v>658</v>
      </c>
    </row>
    <row r="14" spans="1:18" x14ac:dyDescent="0.55000000000000004">
      <c r="A14" s="300" t="s">
        <v>655</v>
      </c>
      <c r="B14" s="300">
        <f>'Procesdata (baggrund)'!G3</f>
        <v>0.19800000000000001</v>
      </c>
      <c r="C14" s="267">
        <f>C15</f>
        <v>2750</v>
      </c>
      <c r="D14" s="267">
        <v>0</v>
      </c>
      <c r="E14" s="418">
        <v>0</v>
      </c>
      <c r="F14" s="267" t="s">
        <v>659</v>
      </c>
    </row>
    <row r="15" spans="1:18" x14ac:dyDescent="0.55000000000000004">
      <c r="A15" s="300" t="s">
        <v>424</v>
      </c>
      <c r="B15" s="267">
        <f>SUMIF($D$23:$D$63,A15,$E$23:$E$63)/SUMIF($D$23:$D$63,A15,$F$23:$F$63)</f>
        <v>2.75</v>
      </c>
      <c r="C15" s="267">
        <f t="shared" si="0"/>
        <v>2750</v>
      </c>
      <c r="D15" s="267">
        <f>SUMIF($D$23:$D$63,$A15,E$23:E$63)</f>
        <v>121</v>
      </c>
      <c r="E15" s="418">
        <f t="shared" si="1"/>
        <v>8.1939459605877979E-3</v>
      </c>
      <c r="F15" s="267" t="s">
        <v>484</v>
      </c>
    </row>
    <row r="16" spans="1:18" x14ac:dyDescent="0.55000000000000004">
      <c r="A16" s="300" t="s">
        <v>497</v>
      </c>
      <c r="B16" s="267">
        <f>SUMIF($H$23:$H$63,A16,$I$23:$I$63)/SUMIF($H$23:$H$63,A16,$J$23:$J$63)</f>
        <v>0.74322820037105752</v>
      </c>
      <c r="C16" s="267">
        <f t="shared" si="0"/>
        <v>743.22820037105748</v>
      </c>
      <c r="D16" s="267">
        <f>SUMIF($H$23:$H$63,$A16,I$23:I$63)</f>
        <v>4006</v>
      </c>
      <c r="E16" s="418">
        <f>D16/SUM($D$2:$D$16)</f>
        <v>0.27128055800094808</v>
      </c>
      <c r="F16" s="267"/>
    </row>
    <row r="18" spans="1:11" ht="16.8" x14ac:dyDescent="0.65">
      <c r="A18" s="216" t="s">
        <v>441</v>
      </c>
    </row>
    <row r="19" spans="1:11" x14ac:dyDescent="0.55000000000000004">
      <c r="A19" s="217" t="s">
        <v>107</v>
      </c>
      <c r="E19" t="s">
        <v>485</v>
      </c>
      <c r="H19" t="s">
        <v>486</v>
      </c>
    </row>
    <row r="20" spans="1:11" x14ac:dyDescent="0.55000000000000004">
      <c r="D20" t="s">
        <v>487</v>
      </c>
      <c r="E20" s="225" t="s">
        <v>443</v>
      </c>
      <c r="F20" s="218" t="s">
        <v>442</v>
      </c>
      <c r="G20" s="218" t="s">
        <v>406</v>
      </c>
      <c r="H20" s="218" t="s">
        <v>488</v>
      </c>
      <c r="I20" s="218" t="s">
        <v>443</v>
      </c>
      <c r="J20" s="224" t="s">
        <v>442</v>
      </c>
      <c r="K20" s="225" t="s">
        <v>406</v>
      </c>
    </row>
    <row r="21" spans="1:11" x14ac:dyDescent="0.55000000000000004">
      <c r="A21" s="218" t="s">
        <v>443</v>
      </c>
      <c r="B21" s="218" t="s">
        <v>444</v>
      </c>
      <c r="C21" s="218" t="s">
        <v>445</v>
      </c>
      <c r="D21" s="218"/>
      <c r="E21" s="302">
        <v>10908</v>
      </c>
      <c r="F21" s="302" t="s">
        <v>140</v>
      </c>
      <c r="G21" s="302" t="str">
        <f t="shared" ref="G21:G63" si="5">IFERROR(E21/F21,"")</f>
        <v/>
      </c>
      <c r="H21" s="302"/>
      <c r="I21" s="302">
        <v>4007</v>
      </c>
      <c r="J21" s="303" t="s">
        <v>140</v>
      </c>
      <c r="K21" s="219" t="str">
        <f t="shared" ref="K21:K63" si="6">IFERROR(I21/J21,"")</f>
        <v/>
      </c>
    </row>
    <row r="22" spans="1:11" x14ac:dyDescent="0.55000000000000004">
      <c r="C22" s="218" t="s">
        <v>446</v>
      </c>
      <c r="D22" s="218"/>
      <c r="E22" s="302">
        <v>6444</v>
      </c>
      <c r="F22" s="302" t="s">
        <v>140</v>
      </c>
      <c r="G22" s="302" t="str">
        <f t="shared" si="5"/>
        <v/>
      </c>
      <c r="H22" s="302"/>
      <c r="I22" s="302">
        <v>3759</v>
      </c>
      <c r="J22" s="303" t="s">
        <v>140</v>
      </c>
      <c r="K22" s="219" t="str">
        <f t="shared" si="6"/>
        <v/>
      </c>
    </row>
    <row r="23" spans="1:11" x14ac:dyDescent="0.55000000000000004">
      <c r="C23" s="218" t="s">
        <v>447</v>
      </c>
      <c r="D23" s="218" t="s">
        <v>11</v>
      </c>
      <c r="E23" s="304">
        <v>5666</v>
      </c>
      <c r="F23" s="302">
        <v>5770</v>
      </c>
      <c r="G23" s="302">
        <f t="shared" si="5"/>
        <v>0.98197573656845749</v>
      </c>
      <c r="H23" s="73" t="s">
        <v>497</v>
      </c>
      <c r="I23" s="302">
        <v>1036</v>
      </c>
      <c r="J23" s="305">
        <v>1011</v>
      </c>
      <c r="K23" s="219">
        <f t="shared" si="6"/>
        <v>1.0247279920870425</v>
      </c>
    </row>
    <row r="24" spans="1:11" x14ac:dyDescent="0.55000000000000004">
      <c r="C24" s="220" t="s">
        <v>448</v>
      </c>
      <c r="D24" s="220"/>
      <c r="E24" s="306">
        <v>2591</v>
      </c>
      <c r="F24" s="306">
        <v>2530</v>
      </c>
      <c r="G24" s="306">
        <f t="shared" si="5"/>
        <v>1.024110671936759</v>
      </c>
      <c r="H24" s="306"/>
      <c r="I24" s="306">
        <v>247</v>
      </c>
      <c r="J24" s="305">
        <v>241</v>
      </c>
      <c r="K24" s="219">
        <f t="shared" si="6"/>
        <v>1.0248962655601659</v>
      </c>
    </row>
    <row r="25" spans="1:11" x14ac:dyDescent="0.55000000000000004">
      <c r="C25" s="220" t="s">
        <v>199</v>
      </c>
      <c r="D25" s="220"/>
      <c r="E25" s="306">
        <v>379</v>
      </c>
      <c r="F25" s="306">
        <v>379</v>
      </c>
      <c r="G25" s="306">
        <f t="shared" si="5"/>
        <v>1</v>
      </c>
      <c r="H25" s="306"/>
      <c r="I25" s="306">
        <v>61</v>
      </c>
      <c r="J25" s="305">
        <v>61</v>
      </c>
      <c r="K25" s="219">
        <f t="shared" si="6"/>
        <v>1</v>
      </c>
    </row>
    <row r="26" spans="1:11" x14ac:dyDescent="0.55000000000000004">
      <c r="C26" s="220" t="s">
        <v>449</v>
      </c>
      <c r="D26" s="220"/>
      <c r="E26" s="306">
        <v>2475</v>
      </c>
      <c r="F26" s="306">
        <v>2591</v>
      </c>
      <c r="G26" s="306">
        <f t="shared" si="5"/>
        <v>0.95522964106522579</v>
      </c>
      <c r="H26" s="306"/>
      <c r="I26" s="306">
        <v>85</v>
      </c>
      <c r="J26" s="305">
        <v>89</v>
      </c>
      <c r="K26" s="219">
        <f t="shared" si="6"/>
        <v>0.9550561797752809</v>
      </c>
    </row>
    <row r="27" spans="1:11" x14ac:dyDescent="0.55000000000000004">
      <c r="C27" s="220" t="s">
        <v>450</v>
      </c>
      <c r="D27" s="220"/>
      <c r="E27" s="306">
        <v>187</v>
      </c>
      <c r="F27" s="306">
        <v>236</v>
      </c>
      <c r="G27" s="306">
        <f t="shared" si="5"/>
        <v>0.7923728813559322</v>
      </c>
      <c r="H27" s="306"/>
      <c r="I27" s="306">
        <v>7</v>
      </c>
      <c r="J27" s="305">
        <v>9</v>
      </c>
      <c r="K27" s="219">
        <f t="shared" si="6"/>
        <v>0.77777777777777779</v>
      </c>
    </row>
    <row r="28" spans="1:11" x14ac:dyDescent="0.55000000000000004">
      <c r="C28" s="220" t="s">
        <v>451</v>
      </c>
      <c r="D28" s="220"/>
      <c r="E28" s="306">
        <v>33</v>
      </c>
      <c r="F28" s="306">
        <v>33</v>
      </c>
      <c r="G28" s="306">
        <f t="shared" si="5"/>
        <v>1</v>
      </c>
      <c r="H28" s="306"/>
      <c r="I28" s="306">
        <v>14</v>
      </c>
      <c r="J28" s="305">
        <v>14</v>
      </c>
      <c r="K28" s="219">
        <f t="shared" si="6"/>
        <v>1</v>
      </c>
    </row>
    <row r="29" spans="1:11" x14ac:dyDescent="0.55000000000000004">
      <c r="C29" s="220" t="s">
        <v>452</v>
      </c>
      <c r="D29" s="220"/>
      <c r="E29" s="306">
        <v>2</v>
      </c>
      <c r="F29" s="306">
        <v>1</v>
      </c>
      <c r="G29" s="306">
        <f t="shared" si="5"/>
        <v>2</v>
      </c>
      <c r="H29" s="306"/>
      <c r="I29" s="306">
        <v>621</v>
      </c>
      <c r="J29" s="305">
        <v>596</v>
      </c>
      <c r="K29" s="219">
        <f t="shared" si="6"/>
        <v>1.0419463087248322</v>
      </c>
    </row>
    <row r="30" spans="1:11" x14ac:dyDescent="0.55000000000000004">
      <c r="C30" s="218" t="s">
        <v>14</v>
      </c>
      <c r="D30" s="218" t="s">
        <v>14</v>
      </c>
      <c r="E30" s="304">
        <v>78</v>
      </c>
      <c r="F30" s="302">
        <v>72</v>
      </c>
      <c r="G30" s="302">
        <f t="shared" si="5"/>
        <v>1.0833333333333333</v>
      </c>
      <c r="H30" s="73" t="s">
        <v>497</v>
      </c>
      <c r="I30" s="302">
        <v>8</v>
      </c>
      <c r="J30" s="305">
        <v>8</v>
      </c>
      <c r="K30" s="219">
        <f t="shared" si="6"/>
        <v>1</v>
      </c>
    </row>
    <row r="31" spans="1:11" x14ac:dyDescent="0.55000000000000004">
      <c r="C31" s="218" t="s">
        <v>453</v>
      </c>
      <c r="D31" s="218" t="s">
        <v>11</v>
      </c>
      <c r="E31" s="304">
        <v>27</v>
      </c>
      <c r="F31" s="302">
        <v>31</v>
      </c>
      <c r="G31" s="302">
        <f t="shared" si="5"/>
        <v>0.87096774193548387</v>
      </c>
      <c r="H31" s="73" t="s">
        <v>497</v>
      </c>
      <c r="I31" s="302">
        <v>107</v>
      </c>
      <c r="J31" s="305">
        <v>114</v>
      </c>
      <c r="K31" s="219">
        <f t="shared" si="6"/>
        <v>0.93859649122807021</v>
      </c>
    </row>
    <row r="32" spans="1:11" x14ac:dyDescent="0.55000000000000004">
      <c r="C32" s="220" t="s">
        <v>454</v>
      </c>
      <c r="D32" s="220"/>
      <c r="E32" s="306">
        <v>23</v>
      </c>
      <c r="F32" s="306">
        <v>27</v>
      </c>
      <c r="G32" s="306">
        <f t="shared" si="5"/>
        <v>0.85185185185185186</v>
      </c>
      <c r="H32" s="306"/>
      <c r="I32" s="306">
        <v>56</v>
      </c>
      <c r="J32" s="305">
        <v>64</v>
      </c>
      <c r="K32" s="219">
        <f t="shared" si="6"/>
        <v>0.875</v>
      </c>
    </row>
    <row r="33" spans="3:11" x14ac:dyDescent="0.55000000000000004">
      <c r="C33" s="220" t="s">
        <v>455</v>
      </c>
      <c r="D33" s="220"/>
      <c r="E33" s="306">
        <v>4</v>
      </c>
      <c r="F33" s="306">
        <v>4</v>
      </c>
      <c r="G33" s="306">
        <f t="shared" si="5"/>
        <v>1</v>
      </c>
      <c r="H33" s="306"/>
      <c r="I33" s="306">
        <v>51</v>
      </c>
      <c r="J33" s="305">
        <v>50</v>
      </c>
      <c r="K33" s="219">
        <f t="shared" si="6"/>
        <v>1.02</v>
      </c>
    </row>
    <row r="34" spans="3:11" x14ac:dyDescent="0.55000000000000004">
      <c r="C34" s="218" t="s">
        <v>456</v>
      </c>
      <c r="D34" s="218"/>
      <c r="E34" s="304">
        <v>275</v>
      </c>
      <c r="F34" s="302">
        <v>274</v>
      </c>
      <c r="G34" s="302">
        <f t="shared" si="5"/>
        <v>1.0036496350364963</v>
      </c>
      <c r="H34" s="73" t="s">
        <v>497</v>
      </c>
      <c r="I34" s="302">
        <v>2331</v>
      </c>
      <c r="J34" s="305">
        <v>2034</v>
      </c>
      <c r="K34" s="219">
        <f t="shared" si="6"/>
        <v>1.1460176991150441</v>
      </c>
    </row>
    <row r="35" spans="3:11" x14ac:dyDescent="0.55000000000000004">
      <c r="C35" s="220" t="s">
        <v>457</v>
      </c>
      <c r="D35" s="220"/>
      <c r="E35" s="306">
        <v>0</v>
      </c>
      <c r="F35" s="306">
        <v>0</v>
      </c>
      <c r="G35" s="306" t="str">
        <f t="shared" si="5"/>
        <v/>
      </c>
      <c r="H35" s="306"/>
      <c r="I35" s="306">
        <v>284</v>
      </c>
      <c r="J35" s="305">
        <v>289</v>
      </c>
      <c r="K35" s="219">
        <f t="shared" si="6"/>
        <v>0.98269896193771622</v>
      </c>
    </row>
    <row r="36" spans="3:11" x14ac:dyDescent="0.55000000000000004">
      <c r="C36" s="220" t="s">
        <v>458</v>
      </c>
      <c r="D36" s="220"/>
      <c r="E36" s="306">
        <v>0</v>
      </c>
      <c r="F36" s="306">
        <v>0</v>
      </c>
      <c r="G36" s="306" t="str">
        <f t="shared" si="5"/>
        <v/>
      </c>
      <c r="H36" s="306"/>
      <c r="I36" s="306">
        <v>1758</v>
      </c>
      <c r="J36" s="305">
        <v>1457</v>
      </c>
      <c r="K36" s="219">
        <f t="shared" si="6"/>
        <v>1.2065888812628689</v>
      </c>
    </row>
    <row r="37" spans="3:11" x14ac:dyDescent="0.55000000000000004">
      <c r="C37" s="220" t="s">
        <v>459</v>
      </c>
      <c r="D37" s="220" t="s">
        <v>720</v>
      </c>
      <c r="E37" s="306">
        <v>241</v>
      </c>
      <c r="F37" s="306">
        <v>239</v>
      </c>
      <c r="G37" s="306">
        <f t="shared" si="5"/>
        <v>1.00836820083682</v>
      </c>
      <c r="H37" s="306"/>
      <c r="I37" s="306">
        <v>256</v>
      </c>
      <c r="J37" s="305">
        <v>254</v>
      </c>
      <c r="K37" s="219">
        <f t="shared" si="6"/>
        <v>1.0078740157480315</v>
      </c>
    </row>
    <row r="38" spans="3:11" x14ac:dyDescent="0.55000000000000004">
      <c r="C38" s="220" t="s">
        <v>460</v>
      </c>
      <c r="D38" s="220"/>
      <c r="E38" s="306">
        <v>34</v>
      </c>
      <c r="F38" s="306">
        <v>35</v>
      </c>
      <c r="G38" s="306">
        <f t="shared" si="5"/>
        <v>0.97142857142857142</v>
      </c>
      <c r="H38" s="306"/>
      <c r="I38" s="306">
        <v>32</v>
      </c>
      <c r="J38" s="305">
        <v>34</v>
      </c>
      <c r="K38" s="219">
        <f t="shared" si="6"/>
        <v>0.94117647058823528</v>
      </c>
    </row>
    <row r="39" spans="3:11" x14ac:dyDescent="0.55000000000000004">
      <c r="C39" s="218" t="s">
        <v>461</v>
      </c>
      <c r="D39" s="218"/>
      <c r="E39" s="302">
        <v>0</v>
      </c>
      <c r="F39" s="302">
        <v>0</v>
      </c>
      <c r="G39" s="302" t="str">
        <f t="shared" si="5"/>
        <v/>
      </c>
      <c r="H39" s="73" t="s">
        <v>497</v>
      </c>
      <c r="I39" s="302">
        <v>1</v>
      </c>
      <c r="J39" s="305">
        <v>1</v>
      </c>
      <c r="K39" s="219">
        <f t="shared" si="6"/>
        <v>1</v>
      </c>
    </row>
    <row r="40" spans="3:11" x14ac:dyDescent="0.55000000000000004">
      <c r="C40" s="218" t="s">
        <v>462</v>
      </c>
      <c r="D40" s="218"/>
      <c r="E40" s="307">
        <v>55</v>
      </c>
      <c r="F40" s="302">
        <v>113</v>
      </c>
      <c r="G40" s="302">
        <f t="shared" si="5"/>
        <v>0.48672566371681414</v>
      </c>
      <c r="H40" s="73" t="s">
        <v>497</v>
      </c>
      <c r="I40" s="302">
        <v>33</v>
      </c>
      <c r="J40" s="305">
        <v>178</v>
      </c>
      <c r="K40" s="219">
        <f t="shared" si="6"/>
        <v>0.1853932584269663</v>
      </c>
    </row>
    <row r="41" spans="3:11" x14ac:dyDescent="0.55000000000000004">
      <c r="C41" s="220" t="s">
        <v>463</v>
      </c>
      <c r="D41" s="220"/>
      <c r="E41" s="306">
        <v>55</v>
      </c>
      <c r="F41" s="306">
        <v>113</v>
      </c>
      <c r="G41" s="306">
        <f t="shared" si="5"/>
        <v>0.48672566371681414</v>
      </c>
      <c r="H41" s="306"/>
      <c r="I41" s="306">
        <v>5</v>
      </c>
      <c r="J41" s="305">
        <v>148</v>
      </c>
      <c r="K41" s="219">
        <f t="shared" si="6"/>
        <v>3.3783783783783786E-2</v>
      </c>
    </row>
    <row r="42" spans="3:11" x14ac:dyDescent="0.55000000000000004">
      <c r="C42" s="220" t="s">
        <v>464</v>
      </c>
      <c r="D42" s="220"/>
      <c r="E42" s="306">
        <v>0</v>
      </c>
      <c r="F42" s="306">
        <v>0</v>
      </c>
      <c r="G42" s="306" t="str">
        <f t="shared" si="5"/>
        <v/>
      </c>
      <c r="H42" s="306"/>
      <c r="I42" s="306">
        <v>28</v>
      </c>
      <c r="J42" s="305">
        <v>30</v>
      </c>
      <c r="K42" s="219">
        <f t="shared" si="6"/>
        <v>0.93333333333333335</v>
      </c>
    </row>
    <row r="43" spans="3:11" x14ac:dyDescent="0.55000000000000004">
      <c r="C43" s="221" t="s">
        <v>465</v>
      </c>
      <c r="D43" s="221"/>
      <c r="E43" s="308">
        <v>58</v>
      </c>
      <c r="F43" s="308">
        <v>120</v>
      </c>
      <c r="G43" s="308">
        <f t="shared" si="5"/>
        <v>0.48333333333333334</v>
      </c>
      <c r="H43" s="73" t="s">
        <v>497</v>
      </c>
      <c r="I43" s="308">
        <v>159</v>
      </c>
      <c r="J43" s="305">
        <v>248</v>
      </c>
      <c r="K43" s="219">
        <f t="shared" si="6"/>
        <v>0.6411290322580645</v>
      </c>
    </row>
    <row r="44" spans="3:11" x14ac:dyDescent="0.55000000000000004">
      <c r="C44" s="218" t="s">
        <v>466</v>
      </c>
      <c r="D44" s="218" t="s">
        <v>424</v>
      </c>
      <c r="E44" s="309" t="s">
        <v>140</v>
      </c>
      <c r="F44" s="310" t="s">
        <v>140</v>
      </c>
      <c r="G44" s="310" t="str">
        <f t="shared" si="5"/>
        <v/>
      </c>
      <c r="H44" s="310"/>
      <c r="I44" s="310" t="s">
        <v>140</v>
      </c>
      <c r="J44" s="303" t="s">
        <v>140</v>
      </c>
      <c r="K44" s="219" t="str">
        <f t="shared" si="6"/>
        <v/>
      </c>
    </row>
    <row r="45" spans="3:11" x14ac:dyDescent="0.55000000000000004">
      <c r="C45" s="218" t="s">
        <v>467</v>
      </c>
      <c r="D45" s="218"/>
      <c r="E45" s="304">
        <v>58</v>
      </c>
      <c r="F45" s="302">
        <v>120</v>
      </c>
      <c r="G45" s="302">
        <f t="shared" si="5"/>
        <v>0.48333333333333334</v>
      </c>
      <c r="H45" s="302"/>
      <c r="I45" s="302">
        <v>159</v>
      </c>
      <c r="J45" s="305">
        <v>248</v>
      </c>
      <c r="K45" s="219">
        <f t="shared" si="6"/>
        <v>0.6411290322580645</v>
      </c>
    </row>
    <row r="46" spans="3:11" x14ac:dyDescent="0.55000000000000004">
      <c r="C46" s="218" t="s">
        <v>468</v>
      </c>
      <c r="D46" s="218" t="s">
        <v>430</v>
      </c>
      <c r="E46" s="304">
        <v>163</v>
      </c>
      <c r="F46" s="302">
        <v>1692</v>
      </c>
      <c r="G46" s="302">
        <f t="shared" si="5"/>
        <v>9.6335697399527187E-2</v>
      </c>
      <c r="H46" s="73" t="s">
        <v>497</v>
      </c>
      <c r="I46" s="302">
        <v>5</v>
      </c>
      <c r="J46" s="305">
        <v>4</v>
      </c>
      <c r="K46" s="219">
        <f t="shared" si="6"/>
        <v>1.25</v>
      </c>
    </row>
    <row r="47" spans="3:11" x14ac:dyDescent="0.55000000000000004">
      <c r="C47" s="220" t="s">
        <v>469</v>
      </c>
      <c r="D47" s="220"/>
      <c r="E47" s="306">
        <v>18</v>
      </c>
      <c r="F47" s="306">
        <v>75</v>
      </c>
      <c r="G47" s="306">
        <f t="shared" si="5"/>
        <v>0.24</v>
      </c>
      <c r="H47" s="306"/>
      <c r="I47" s="306">
        <v>0</v>
      </c>
      <c r="J47" s="305">
        <v>0</v>
      </c>
      <c r="K47" s="219" t="str">
        <f t="shared" si="6"/>
        <v/>
      </c>
    </row>
    <row r="48" spans="3:11" x14ac:dyDescent="0.55000000000000004">
      <c r="C48" s="220" t="s">
        <v>470</v>
      </c>
      <c r="D48" s="220"/>
      <c r="E48" s="306">
        <v>42</v>
      </c>
      <c r="F48" s="306">
        <v>34</v>
      </c>
      <c r="G48" s="306">
        <f t="shared" si="5"/>
        <v>1.2352941176470589</v>
      </c>
      <c r="H48" s="306"/>
      <c r="I48" s="306">
        <v>5</v>
      </c>
      <c r="J48" s="305">
        <v>4</v>
      </c>
      <c r="K48" s="219">
        <f t="shared" si="6"/>
        <v>1.25</v>
      </c>
    </row>
    <row r="49" spans="3:11" x14ac:dyDescent="0.55000000000000004">
      <c r="C49" s="220" t="s">
        <v>471</v>
      </c>
      <c r="D49" s="220"/>
      <c r="E49" s="306">
        <v>103</v>
      </c>
      <c r="F49" s="306">
        <v>1583</v>
      </c>
      <c r="G49" s="306">
        <f t="shared" si="5"/>
        <v>6.5066329753632343E-2</v>
      </c>
      <c r="H49" s="306"/>
      <c r="I49" s="306">
        <v>0</v>
      </c>
      <c r="J49" s="305">
        <v>0</v>
      </c>
      <c r="K49" s="219" t="str">
        <f t="shared" si="6"/>
        <v/>
      </c>
    </row>
    <row r="50" spans="3:11" x14ac:dyDescent="0.55000000000000004">
      <c r="C50" s="218" t="s">
        <v>472</v>
      </c>
      <c r="D50" s="218" t="s">
        <v>424</v>
      </c>
      <c r="E50" s="307">
        <v>121</v>
      </c>
      <c r="F50" s="302">
        <v>44</v>
      </c>
      <c r="G50" s="302">
        <f t="shared" si="5"/>
        <v>2.75</v>
      </c>
      <c r="H50" s="73" t="s">
        <v>497</v>
      </c>
      <c r="I50" s="302">
        <v>79</v>
      </c>
      <c r="J50" s="305">
        <v>28</v>
      </c>
      <c r="K50" s="219">
        <f t="shared" si="6"/>
        <v>2.8214285714285716</v>
      </c>
    </row>
    <row r="51" spans="3:11" x14ac:dyDescent="0.55000000000000004">
      <c r="C51" s="218" t="s">
        <v>473</v>
      </c>
      <c r="D51" s="218"/>
      <c r="E51" s="302">
        <v>4464</v>
      </c>
      <c r="F51" s="302" t="s">
        <v>140</v>
      </c>
      <c r="G51" s="302" t="str">
        <f t="shared" si="5"/>
        <v/>
      </c>
      <c r="H51" s="302"/>
      <c r="I51" s="302">
        <v>247</v>
      </c>
      <c r="J51" s="303" t="s">
        <v>140</v>
      </c>
      <c r="K51" s="219" t="str">
        <f t="shared" si="6"/>
        <v/>
      </c>
    </row>
    <row r="52" spans="3:11" x14ac:dyDescent="0.55000000000000004">
      <c r="C52" s="222" t="s">
        <v>185</v>
      </c>
      <c r="D52" s="222"/>
      <c r="E52" s="311">
        <v>143</v>
      </c>
      <c r="F52" s="311">
        <v>939</v>
      </c>
      <c r="G52" s="311">
        <f t="shared" si="5"/>
        <v>0.15228966986155484</v>
      </c>
      <c r="H52" s="311"/>
      <c r="I52" s="311">
        <v>247</v>
      </c>
      <c r="J52" s="305">
        <v>1764</v>
      </c>
      <c r="K52" s="219">
        <f t="shared" si="6"/>
        <v>0.14002267573696145</v>
      </c>
    </row>
    <row r="53" spans="3:11" x14ac:dyDescent="0.55000000000000004">
      <c r="C53" s="218" t="s">
        <v>188</v>
      </c>
      <c r="D53" s="218" t="s">
        <v>188</v>
      </c>
      <c r="E53" s="304">
        <v>0</v>
      </c>
      <c r="F53" s="302">
        <v>0</v>
      </c>
      <c r="G53" s="302" t="str">
        <f t="shared" si="5"/>
        <v/>
      </c>
      <c r="H53" s="302"/>
      <c r="I53" s="302">
        <v>0</v>
      </c>
      <c r="J53" s="305">
        <v>0</v>
      </c>
      <c r="K53" s="219" t="str">
        <f t="shared" si="6"/>
        <v/>
      </c>
    </row>
    <row r="54" spans="3:11" x14ac:dyDescent="0.55000000000000004">
      <c r="C54" s="218" t="s">
        <v>474</v>
      </c>
      <c r="D54" s="218" t="s">
        <v>42</v>
      </c>
      <c r="E54" s="304">
        <v>100</v>
      </c>
      <c r="F54" s="302">
        <v>701</v>
      </c>
      <c r="G54" s="302">
        <f t="shared" si="5"/>
        <v>0.14265335235378032</v>
      </c>
      <c r="H54" s="73" t="s">
        <v>497</v>
      </c>
      <c r="I54" s="302">
        <v>247</v>
      </c>
      <c r="J54" s="305">
        <v>1764</v>
      </c>
      <c r="K54" s="219">
        <f t="shared" si="6"/>
        <v>0.14002267573696145</v>
      </c>
    </row>
    <row r="55" spans="3:11" x14ac:dyDescent="0.55000000000000004">
      <c r="C55" s="218" t="s">
        <v>475</v>
      </c>
      <c r="D55" s="218" t="s">
        <v>42</v>
      </c>
      <c r="E55" s="304">
        <v>43</v>
      </c>
      <c r="F55" s="302">
        <v>238</v>
      </c>
      <c r="G55" s="302">
        <f t="shared" si="5"/>
        <v>0.18067226890756302</v>
      </c>
      <c r="H55" s="302"/>
      <c r="I55" s="302">
        <v>0</v>
      </c>
      <c r="J55" s="305">
        <v>0</v>
      </c>
      <c r="K55" s="219" t="str">
        <f t="shared" si="6"/>
        <v/>
      </c>
    </row>
    <row r="56" spans="3:11" x14ac:dyDescent="0.55000000000000004">
      <c r="C56" s="218" t="s">
        <v>476</v>
      </c>
      <c r="D56" s="218" t="s">
        <v>42</v>
      </c>
      <c r="E56" s="310" t="s">
        <v>140</v>
      </c>
      <c r="F56" s="310" t="s">
        <v>140</v>
      </c>
      <c r="G56" s="310" t="str">
        <f t="shared" si="5"/>
        <v/>
      </c>
      <c r="H56" s="310"/>
      <c r="I56" s="310" t="s">
        <v>140</v>
      </c>
      <c r="J56" s="303" t="s">
        <v>140</v>
      </c>
      <c r="K56" s="219" t="str">
        <f t="shared" si="6"/>
        <v/>
      </c>
    </row>
    <row r="57" spans="3:11" x14ac:dyDescent="0.55000000000000004">
      <c r="C57" s="222" t="s">
        <v>477</v>
      </c>
      <c r="D57" s="222"/>
      <c r="E57" s="311">
        <v>4157</v>
      </c>
      <c r="F57" s="311">
        <v>20738</v>
      </c>
      <c r="G57" s="311">
        <f t="shared" si="5"/>
        <v>0.20045327418265985</v>
      </c>
      <c r="H57" s="311"/>
      <c r="I57" s="311">
        <v>0</v>
      </c>
      <c r="J57" s="305">
        <v>0</v>
      </c>
      <c r="K57" s="219" t="str">
        <f t="shared" si="6"/>
        <v/>
      </c>
    </row>
    <row r="58" spans="3:11" x14ac:dyDescent="0.55000000000000004">
      <c r="C58" s="218" t="s">
        <v>478</v>
      </c>
      <c r="D58" s="218" t="s">
        <v>15</v>
      </c>
      <c r="E58" s="304">
        <v>1673</v>
      </c>
      <c r="F58" s="302">
        <v>6315</v>
      </c>
      <c r="G58" s="302">
        <f t="shared" si="5"/>
        <v>0.26492478226444971</v>
      </c>
      <c r="H58" s="302"/>
      <c r="I58" s="302">
        <v>0</v>
      </c>
      <c r="J58" s="305">
        <v>0</v>
      </c>
      <c r="K58" s="219" t="str">
        <f t="shared" si="6"/>
        <v/>
      </c>
    </row>
    <row r="59" spans="3:11" x14ac:dyDescent="0.55000000000000004">
      <c r="C59" s="218" t="s">
        <v>479</v>
      </c>
      <c r="D59" s="218" t="s">
        <v>11</v>
      </c>
      <c r="E59" s="304">
        <v>213</v>
      </c>
      <c r="F59" s="302">
        <v>762</v>
      </c>
      <c r="G59" s="302">
        <f t="shared" si="5"/>
        <v>0.27952755905511811</v>
      </c>
      <c r="H59" s="302"/>
      <c r="I59" s="302">
        <v>0</v>
      </c>
      <c r="J59" s="305">
        <v>0</v>
      </c>
      <c r="K59" s="219" t="str">
        <f t="shared" si="6"/>
        <v/>
      </c>
    </row>
    <row r="60" spans="3:11" x14ac:dyDescent="0.55000000000000004">
      <c r="C60" s="218" t="s">
        <v>480</v>
      </c>
      <c r="D60" s="218" t="s">
        <v>13</v>
      </c>
      <c r="E60" s="304">
        <v>1690</v>
      </c>
      <c r="F60" s="302">
        <v>9946</v>
      </c>
      <c r="G60" s="302">
        <f t="shared" si="5"/>
        <v>0.16991755479589785</v>
      </c>
      <c r="H60" s="302"/>
      <c r="I60" s="302">
        <v>0</v>
      </c>
      <c r="J60" s="305">
        <v>0</v>
      </c>
      <c r="K60" s="219" t="str">
        <f t="shared" si="6"/>
        <v/>
      </c>
    </row>
    <row r="61" spans="3:11" x14ac:dyDescent="0.55000000000000004">
      <c r="C61" s="218" t="s">
        <v>481</v>
      </c>
      <c r="D61" s="218" t="s">
        <v>13</v>
      </c>
      <c r="E61" s="304">
        <v>529</v>
      </c>
      <c r="F61" s="302">
        <v>3318</v>
      </c>
      <c r="G61" s="302">
        <f t="shared" si="5"/>
        <v>0.15943339361060879</v>
      </c>
      <c r="H61" s="302"/>
      <c r="I61" s="302">
        <v>0</v>
      </c>
      <c r="J61" s="305">
        <v>0</v>
      </c>
      <c r="K61" s="219" t="str">
        <f t="shared" si="6"/>
        <v/>
      </c>
    </row>
    <row r="62" spans="3:11" x14ac:dyDescent="0.55000000000000004">
      <c r="C62" s="218" t="s">
        <v>482</v>
      </c>
      <c r="D62" s="218" t="s">
        <v>13</v>
      </c>
      <c r="E62" s="304">
        <v>53</v>
      </c>
      <c r="F62" s="302">
        <v>397</v>
      </c>
      <c r="G62" s="302">
        <f t="shared" si="5"/>
        <v>0.13350125944584382</v>
      </c>
      <c r="H62" s="302"/>
      <c r="I62" s="302">
        <v>0</v>
      </c>
      <c r="J62" s="305">
        <v>0</v>
      </c>
      <c r="K62" s="219" t="str">
        <f t="shared" si="6"/>
        <v/>
      </c>
    </row>
    <row r="63" spans="3:11" x14ac:dyDescent="0.55000000000000004">
      <c r="C63" s="218" t="s">
        <v>37</v>
      </c>
      <c r="D63" s="218" t="s">
        <v>37</v>
      </c>
      <c r="E63" s="304">
        <v>164</v>
      </c>
      <c r="F63" s="302">
        <v>863</v>
      </c>
      <c r="G63" s="302">
        <f t="shared" si="5"/>
        <v>0.19003476245654694</v>
      </c>
      <c r="H63" s="302"/>
      <c r="I63" s="302">
        <v>0</v>
      </c>
      <c r="J63" s="305">
        <v>0</v>
      </c>
      <c r="K63" s="219" t="str">
        <f t="shared" si="6"/>
        <v/>
      </c>
    </row>
    <row r="65" spans="1:1" ht="288" x14ac:dyDescent="0.55000000000000004">
      <c r="A65" s="223" t="s">
        <v>483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F80BC0-48D3-4751-B9E5-757A7DDFFD50}">
          <x14:formula1>
            <xm:f>'Processer &amp; råvarer'!$E$2:$E$94</xm:f>
          </x14:formula1>
          <xm:sqref>A2:A15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0619-624F-4887-97BF-9B3A903CD340}">
  <sheetPr codeName="Sheet14">
    <tabColor theme="7"/>
  </sheetPr>
  <dimension ref="A1:U83"/>
  <sheetViews>
    <sheetView workbookViewId="0">
      <selection activeCell="M7" sqref="M7"/>
    </sheetView>
  </sheetViews>
  <sheetFormatPr defaultColWidth="9.15625" defaultRowHeight="14.4" x14ac:dyDescent="0.55000000000000004"/>
  <cols>
    <col min="1" max="1" width="26.26171875" style="1" customWidth="1"/>
    <col min="2" max="2" width="13.15625" style="1" bestFit="1" customWidth="1"/>
    <col min="3" max="3" width="22.68359375" style="1" customWidth="1"/>
    <col min="4" max="4" width="23" style="1" bestFit="1" customWidth="1"/>
    <col min="5" max="5" width="21.83984375" style="1" bestFit="1" customWidth="1"/>
    <col min="6" max="6" width="11.68359375" style="1" bestFit="1" customWidth="1"/>
    <col min="7" max="7" width="10.83984375" style="1" bestFit="1" customWidth="1"/>
    <col min="8" max="8" width="12.15625" style="1" bestFit="1" customWidth="1"/>
    <col min="9" max="9" width="13.26171875" style="1" customWidth="1"/>
    <col min="10" max="10" width="17.26171875" style="1" bestFit="1" customWidth="1"/>
    <col min="11" max="11" width="10.15625" style="1" bestFit="1" customWidth="1"/>
    <col min="12" max="12" width="12.578125" style="1" customWidth="1"/>
    <col min="13" max="13" width="10.15625" style="1" bestFit="1" customWidth="1"/>
    <col min="14" max="14" width="12.15625" style="1" bestFit="1" customWidth="1"/>
    <col min="15" max="15" width="12" style="1" bestFit="1" customWidth="1"/>
    <col min="16" max="16" width="11" style="1" bestFit="1" customWidth="1"/>
    <col min="17" max="18" width="9.15625" style="1"/>
    <col min="19" max="19" width="12" style="1" bestFit="1" customWidth="1"/>
    <col min="20" max="16384" width="9.15625" style="1"/>
  </cols>
  <sheetData>
    <row r="1" spans="1:21" ht="18.3" x14ac:dyDescent="0.7">
      <c r="A1" s="143" t="s">
        <v>275</v>
      </c>
    </row>
    <row r="2" spans="1:21" x14ac:dyDescent="0.55000000000000004">
      <c r="A2" s="420" t="s">
        <v>791</v>
      </c>
    </row>
    <row r="3" spans="1:21" x14ac:dyDescent="0.55000000000000004">
      <c r="A3" s="8"/>
      <c r="B3" s="8"/>
      <c r="C3" s="8" t="s">
        <v>511</v>
      </c>
      <c r="D3" s="8" t="s">
        <v>512</v>
      </c>
      <c r="E3" s="8" t="s">
        <v>313</v>
      </c>
      <c r="F3" s="8" t="s">
        <v>38</v>
      </c>
      <c r="G3" s="8" t="s">
        <v>39</v>
      </c>
      <c r="H3" s="8" t="s">
        <v>514</v>
      </c>
      <c r="I3" s="8" t="s">
        <v>515</v>
      </c>
      <c r="J3" s="8" t="s">
        <v>336</v>
      </c>
      <c r="K3" s="8" t="s">
        <v>41</v>
      </c>
      <c r="L3" s="8" t="s">
        <v>517</v>
      </c>
      <c r="M3" s="8" t="s">
        <v>528</v>
      </c>
      <c r="N3" s="1" t="s">
        <v>648</v>
      </c>
      <c r="O3" s="1" t="s">
        <v>649</v>
      </c>
      <c r="P3" s="1" t="s">
        <v>819</v>
      </c>
    </row>
    <row r="4" spans="1:21" x14ac:dyDescent="0.55000000000000004">
      <c r="A4" s="8" t="s">
        <v>315</v>
      </c>
      <c r="B4" s="8"/>
      <c r="C4" s="8" t="s">
        <v>792</v>
      </c>
      <c r="D4" s="8" t="s">
        <v>513</v>
      </c>
      <c r="E4" s="8" t="s">
        <v>513</v>
      </c>
      <c r="F4" s="8" t="s">
        <v>513</v>
      </c>
      <c r="G4" s="8" t="s">
        <v>513</v>
      </c>
      <c r="H4" s="8" t="s">
        <v>793</v>
      </c>
      <c r="I4" s="8" t="s">
        <v>516</v>
      </c>
      <c r="J4" s="8" t="s">
        <v>516</v>
      </c>
      <c r="K4" s="8" t="s">
        <v>513</v>
      </c>
      <c r="L4" s="8" t="s">
        <v>513</v>
      </c>
      <c r="M4" s="8"/>
      <c r="O4" s="291">
        <v>1.1000000000000001</v>
      </c>
      <c r="P4" s="1" t="s">
        <v>820</v>
      </c>
    </row>
    <row r="5" spans="1:21" x14ac:dyDescent="0.55000000000000004">
      <c r="A5" s="8" t="s">
        <v>16</v>
      </c>
      <c r="B5" s="8" t="s">
        <v>45</v>
      </c>
      <c r="C5" s="419">
        <f>1111*0.77</f>
        <v>855.47</v>
      </c>
      <c r="D5" s="419"/>
      <c r="E5" s="419"/>
      <c r="F5" s="421">
        <f>17657*(1-0)*1000/I5</f>
        <v>1.4953335295833323</v>
      </c>
      <c r="G5" s="421">
        <f>2515*(1-0.1)*1000/I5</f>
        <v>0.19169096925932338</v>
      </c>
      <c r="H5" s="421">
        <f>(H13-H60)/(H15-SUM(H58:H61))</f>
        <v>1.3861685078371839</v>
      </c>
      <c r="I5" s="297">
        <f>J5-I6</f>
        <v>11808068</v>
      </c>
      <c r="J5" s="297">
        <f>SUM(E22:E26)</f>
        <v>12298992</v>
      </c>
      <c r="K5" s="421">
        <f>87.68*1000/SUM(I5:I6)*K12</f>
        <v>1.5668203052737979E-2</v>
      </c>
      <c r="L5" s="421">
        <f>18/1000*365/100</f>
        <v>6.5699999999999995E-2</v>
      </c>
      <c r="M5" s="421">
        <f>N5*25/1000</f>
        <v>0.11202449132751124</v>
      </c>
      <c r="N5" s="265">
        <f>1.07565542995116+S13</f>
        <v>4.4809796531004498</v>
      </c>
      <c r="O5" s="1" t="s">
        <v>638</v>
      </c>
    </row>
    <row r="6" spans="1:21" x14ac:dyDescent="0.55000000000000004">
      <c r="A6" s="8"/>
      <c r="B6" s="8" t="s">
        <v>46</v>
      </c>
      <c r="C6" s="419">
        <f>1111*0.77</f>
        <v>855.47</v>
      </c>
      <c r="D6" s="419"/>
      <c r="E6" s="419"/>
      <c r="F6" s="421">
        <f>17657*(0)*1000/I6</f>
        <v>0</v>
      </c>
      <c r="G6" s="421">
        <f>2515*(0.1)*1000/I6</f>
        <v>0.51229925609666671</v>
      </c>
      <c r="H6" s="421">
        <f>H60/SUM(H58:H61)</f>
        <v>0.47263527552126194</v>
      </c>
      <c r="I6" s="297">
        <f>SUM(H58:H61)</f>
        <v>490924</v>
      </c>
      <c r="J6" s="297"/>
      <c r="K6" s="421">
        <f>K5</f>
        <v>1.5668203052737979E-2</v>
      </c>
      <c r="L6" s="421">
        <f>35/1000*(365-200)/100</f>
        <v>5.7750000000000003E-2</v>
      </c>
      <c r="M6" s="421">
        <f t="shared" ref="M6:M10" si="0">N6*25/1000</f>
        <v>0.12322694046026236</v>
      </c>
      <c r="N6" s="265">
        <f>N5*O4</f>
        <v>4.9290776184104947</v>
      </c>
      <c r="O6" s="1" t="s">
        <v>638</v>
      </c>
    </row>
    <row r="7" spans="1:21" ht="14.7" thickBot="1" x14ac:dyDescent="0.6">
      <c r="A7" s="8" t="s">
        <v>17</v>
      </c>
      <c r="B7" s="8" t="s">
        <v>45</v>
      </c>
      <c r="C7" s="419">
        <f>3400*0.77</f>
        <v>2618</v>
      </c>
      <c r="D7" s="419">
        <f>4786000000/1000/I7</f>
        <v>3.7771765723503732</v>
      </c>
      <c r="E7" s="419"/>
      <c r="F7" s="421">
        <f>14050*(1-0.09)*1000/I7</f>
        <v>10.090491238149957</v>
      </c>
      <c r="G7" s="421">
        <f>261*(1-0.04)*1000/I7</f>
        <v>0.19774537441874415</v>
      </c>
      <c r="H7" s="421">
        <f>(464000-23400)/I7</f>
        <v>0.34772753819004898</v>
      </c>
      <c r="I7" s="297">
        <f>J7-I8</f>
        <v>1267084</v>
      </c>
      <c r="J7" s="297">
        <f>SUM(D22:D26)</f>
        <v>1491432</v>
      </c>
      <c r="K7" s="421">
        <f>(21+8.2)*1000/SUM(I7:I8)*K12</f>
        <v>4.3029625219252375E-2</v>
      </c>
      <c r="L7" s="421">
        <f>3/1000*365/100</f>
        <v>1.095E-2</v>
      </c>
      <c r="M7" s="421">
        <f t="shared" si="0"/>
        <v>2.831717934524296</v>
      </c>
      <c r="N7" s="265">
        <f>((N14+S8)*M14+(N15+S9)*M15)/J7</f>
        <v>113.26871738097185</v>
      </c>
      <c r="R7" s="447" t="s">
        <v>874</v>
      </c>
      <c r="S7" s="1" t="s">
        <v>862</v>
      </c>
      <c r="U7" s="1" t="s">
        <v>875</v>
      </c>
    </row>
    <row r="8" spans="1:21" x14ac:dyDescent="0.55000000000000004">
      <c r="A8" s="8"/>
      <c r="B8" s="8" t="s">
        <v>46</v>
      </c>
      <c r="C8" s="419">
        <f>3400*0.77</f>
        <v>2618</v>
      </c>
      <c r="D8" s="419">
        <f>483000000/1000/I8</f>
        <v>2.1529053078253426</v>
      </c>
      <c r="E8" s="419"/>
      <c r="F8" s="421">
        <f>14050*(0.09)*1000/I8</f>
        <v>5.636332840052062</v>
      </c>
      <c r="G8" s="421">
        <f>261*(0.04)*1000/I8</f>
        <v>4.6534847647404926E-2</v>
      </c>
      <c r="H8" s="421">
        <f>23400/I8</f>
        <v>0.10430224472694208</v>
      </c>
      <c r="I8" s="297">
        <f>SUM(H36:H51)</f>
        <v>224348</v>
      </c>
      <c r="J8" s="297"/>
      <c r="K8" s="421">
        <f>K7</f>
        <v>4.3029625219252375E-2</v>
      </c>
      <c r="L8" s="421">
        <f>8/1000*(365-200)/100</f>
        <v>1.32E-2</v>
      </c>
      <c r="M8" s="421">
        <f t="shared" si="0"/>
        <v>2.3680201988872902</v>
      </c>
      <c r="N8" s="265">
        <f>(N14*M14+N15*M15)/J7*O4</f>
        <v>94.720807955491594</v>
      </c>
      <c r="R8" s="450" t="s">
        <v>849</v>
      </c>
      <c r="S8" s="458">
        <v>47.66881225916778</v>
      </c>
      <c r="U8" s="1">
        <f>((S8)*M14+(S9)*M15)*25/1000/(F7*I7+F8*I8)</f>
        <v>7.2074093530179004E-2</v>
      </c>
    </row>
    <row r="9" spans="1:21" ht="21" x14ac:dyDescent="0.55000000000000004">
      <c r="A9" s="8" t="s">
        <v>18</v>
      </c>
      <c r="B9" s="8" t="s">
        <v>45</v>
      </c>
      <c r="C9" s="419">
        <f>24*0.77</f>
        <v>18.48</v>
      </c>
      <c r="D9" s="419"/>
      <c r="E9" s="419">
        <f>220000000/1000/I9</f>
        <v>1.1120887382109748E-2</v>
      </c>
      <c r="F9" s="421">
        <f>8883/I9*46496/(46496+14973)</f>
        <v>3.3965332371824528E-4</v>
      </c>
      <c r="G9" s="421">
        <f>157070/I9*5445008/(5445008+297894)</f>
        <v>7.5279568763122248E-3</v>
      </c>
      <c r="H9" s="421">
        <f>105567000/I9</f>
        <v>5.3363578103053619</v>
      </c>
      <c r="I9" s="297">
        <f>J9-I10</f>
        <v>19782594</v>
      </c>
      <c r="J9" s="297">
        <f>SUM(F22:F26)</f>
        <v>23059881</v>
      </c>
      <c r="K9" s="421">
        <f>154000*3.2%/J9*K12</f>
        <v>4.6967971777477953E-4</v>
      </c>
      <c r="L9" s="421">
        <f>0.12/1000*365/100</f>
        <v>4.3799999999999997E-4</v>
      </c>
      <c r="M9" s="421">
        <f t="shared" si="0"/>
        <v>7.1358057718871957E-4</v>
      </c>
      <c r="N9" s="265">
        <f>0.00308299593513136+S14</f>
        <v>2.8543223087548784E-2</v>
      </c>
      <c r="R9" s="450" t="s">
        <v>850</v>
      </c>
      <c r="S9" s="458">
        <v>14.592057308217106</v>
      </c>
    </row>
    <row r="10" spans="1:21" x14ac:dyDescent="0.55000000000000004">
      <c r="A10" s="8"/>
      <c r="B10" s="8" t="s">
        <v>46</v>
      </c>
      <c r="C10" s="419">
        <f>24*0.77</f>
        <v>18.48</v>
      </c>
      <c r="D10" s="419"/>
      <c r="E10" s="419">
        <f>15000000/1000/I10</f>
        <v>4.5769564887054442E-3</v>
      </c>
      <c r="F10" s="421">
        <f>8883/I10*14973/(46496+14973)</f>
        <v>6.6023396673266124E-4</v>
      </c>
      <c r="G10" s="421">
        <f>157070/I10*297894/(5445008+297894)</f>
        <v>2.4860457648070043E-3</v>
      </c>
      <c r="H10" s="421">
        <f>SUM(H70:H71)/I10</f>
        <v>0.37369537669419861</v>
      </c>
      <c r="I10" s="297">
        <f>SUM(H65:H78)</f>
        <v>3277287</v>
      </c>
      <c r="J10" s="297"/>
      <c r="K10" s="421">
        <f>K9</f>
        <v>4.6967971777477953E-4</v>
      </c>
      <c r="L10" s="421">
        <f>0.5/1000*(365-200)/100</f>
        <v>8.25E-4</v>
      </c>
      <c r="M10" s="421">
        <f t="shared" si="0"/>
        <v>7.8493863490759156E-4</v>
      </c>
      <c r="N10" s="265">
        <f>N9*O4</f>
        <v>3.1397545396303662E-2</v>
      </c>
      <c r="R10" s="450" t="s">
        <v>851</v>
      </c>
      <c r="S10" s="458">
        <v>0.19571412612000011</v>
      </c>
    </row>
    <row r="11" spans="1:21" ht="15" x14ac:dyDescent="0.65">
      <c r="A11" s="1" t="s">
        <v>335</v>
      </c>
      <c r="C11" s="1" t="s">
        <v>794</v>
      </c>
      <c r="D11" s="1" t="s">
        <v>635</v>
      </c>
      <c r="E11" s="1" t="s">
        <v>634</v>
      </c>
      <c r="F11" s="1" t="s">
        <v>542</v>
      </c>
      <c r="G11" s="1" t="s">
        <v>542</v>
      </c>
      <c r="H11" s="1" t="s">
        <v>337</v>
      </c>
      <c r="K11" s="1" t="s">
        <v>827</v>
      </c>
      <c r="L11" s="1" t="s">
        <v>719</v>
      </c>
      <c r="M11" s="323" t="s">
        <v>653</v>
      </c>
      <c r="N11" s="266"/>
      <c r="R11" s="450" t="s">
        <v>853</v>
      </c>
      <c r="S11" s="458">
        <v>0.46338099649199982</v>
      </c>
    </row>
    <row r="12" spans="1:21" x14ac:dyDescent="0.55000000000000004">
      <c r="K12" s="1">
        <v>2.1978</v>
      </c>
      <c r="R12" s="450" t="s">
        <v>854</v>
      </c>
      <c r="S12" s="458">
        <v>2.7157706718750001</v>
      </c>
    </row>
    <row r="13" spans="1:21" ht="15" x14ac:dyDescent="0.65">
      <c r="A13" s="70" t="s">
        <v>316</v>
      </c>
      <c r="B13" s="70"/>
      <c r="C13" s="70" t="s">
        <v>17</v>
      </c>
      <c r="D13" s="70" t="s">
        <v>16</v>
      </c>
      <c r="E13" s="70" t="s">
        <v>18</v>
      </c>
      <c r="G13" s="8" t="s">
        <v>300</v>
      </c>
      <c r="H13" s="253">
        <f>16.6*1000000</f>
        <v>16600000.000000002</v>
      </c>
      <c r="L13" s="8"/>
      <c r="M13" s="8" t="s">
        <v>650</v>
      </c>
      <c r="N13" s="393" t="s">
        <v>653</v>
      </c>
      <c r="O13" s="8"/>
      <c r="R13" s="450" t="s">
        <v>855</v>
      </c>
      <c r="S13" s="458">
        <v>3.4053242231492895</v>
      </c>
      <c r="U13" s="1">
        <f>S13*J5*25/1000/(F5*J5)</f>
        <v>5.6932519664996864E-2</v>
      </c>
    </row>
    <row r="14" spans="1:21" x14ac:dyDescent="0.55000000000000004">
      <c r="A14" s="8" t="s">
        <v>366</v>
      </c>
      <c r="B14" s="8" t="s">
        <v>45</v>
      </c>
      <c r="C14" s="245">
        <f>SUM(D24:D26)-C15</f>
        <v>1184629</v>
      </c>
      <c r="D14" s="245">
        <f t="shared" ref="D14:E14" si="1">SUM(E24:E26)-D15</f>
        <v>10266966</v>
      </c>
      <c r="E14" s="245">
        <f t="shared" si="1"/>
        <v>18212034</v>
      </c>
      <c r="G14" s="8" t="s">
        <v>333</v>
      </c>
      <c r="H14" s="253">
        <f>15.2*1000000</f>
        <v>15200000</v>
      </c>
      <c r="I14" s="1">
        <f>H14/SUM(H13:H14)</f>
        <v>0.4779874213836478</v>
      </c>
      <c r="L14" s="8" t="s">
        <v>652</v>
      </c>
      <c r="M14" s="8">
        <v>566639</v>
      </c>
      <c r="N14" s="8">
        <v>160.59029405341599</v>
      </c>
      <c r="O14" s="8" t="s">
        <v>636</v>
      </c>
      <c r="R14" s="450" t="s">
        <v>856</v>
      </c>
      <c r="S14" s="458">
        <v>2.5460227152417424E-2</v>
      </c>
    </row>
    <row r="15" spans="1:21" x14ac:dyDescent="0.55000000000000004">
      <c r="A15" s="8" t="s">
        <v>366</v>
      </c>
      <c r="B15" s="8" t="s">
        <v>46</v>
      </c>
      <c r="C15" s="245">
        <f>SUM(E36:G51)</f>
        <v>207835</v>
      </c>
      <c r="D15" s="245">
        <f>SUM(E58:G61)</f>
        <v>475477</v>
      </c>
      <c r="E15" s="245">
        <f>SUM(E65:G78)</f>
        <v>3062300</v>
      </c>
      <c r="G15" s="8" t="s">
        <v>332</v>
      </c>
      <c r="H15" s="253">
        <f>SUM(E22:E26)</f>
        <v>12298992</v>
      </c>
      <c r="L15" s="8" t="s">
        <v>651</v>
      </c>
      <c r="M15" s="8">
        <f>J7-M14</f>
        <v>924793</v>
      </c>
      <c r="N15" s="8">
        <v>40.474166115923701</v>
      </c>
      <c r="O15" s="8" t="s">
        <v>637</v>
      </c>
      <c r="R15" s="450" t="s">
        <v>857</v>
      </c>
      <c r="S15" s="458">
        <v>0.48616573334049179</v>
      </c>
    </row>
    <row r="16" spans="1:21" x14ac:dyDescent="0.55000000000000004">
      <c r="A16" s="8" t="s">
        <v>367</v>
      </c>
      <c r="B16" s="8" t="s">
        <v>45</v>
      </c>
      <c r="C16" s="245">
        <f>SUM(D22:D23)-C17</f>
        <v>82455</v>
      </c>
      <c r="D16" s="245">
        <f t="shared" ref="D16:E16" si="2">SUM(E22:E23)-D17</f>
        <v>1541102</v>
      </c>
      <c r="E16" s="245">
        <f t="shared" si="2"/>
        <v>1570560</v>
      </c>
      <c r="G16" s="8" t="s">
        <v>67</v>
      </c>
      <c r="H16" s="8" t="s">
        <v>334</v>
      </c>
      <c r="R16" s="450" t="s">
        <v>858</v>
      </c>
      <c r="S16" s="458">
        <v>0.32571647999999997</v>
      </c>
    </row>
    <row r="17" spans="1:19" x14ac:dyDescent="0.55000000000000004">
      <c r="A17" s="8" t="s">
        <v>367</v>
      </c>
      <c r="B17" s="8" t="s">
        <v>46</v>
      </c>
      <c r="C17" s="245">
        <f>SUM(C36:D51)</f>
        <v>16513</v>
      </c>
      <c r="D17" s="245">
        <f>SUM(C58:D61)</f>
        <v>15447</v>
      </c>
      <c r="E17" s="245">
        <f>SUM(C65:D78)</f>
        <v>214987</v>
      </c>
      <c r="R17" s="450" t="s">
        <v>859</v>
      </c>
      <c r="S17" s="458">
        <v>3.432424760598936</v>
      </c>
    </row>
    <row r="18" spans="1:19" ht="14.7" thickBot="1" x14ac:dyDescent="0.6">
      <c r="A18" s="7"/>
      <c r="B18" s="7"/>
      <c r="C18" s="7"/>
      <c r="D18" s="7"/>
      <c r="E18" s="7"/>
      <c r="R18" s="453" t="s">
        <v>860</v>
      </c>
      <c r="S18" s="456">
        <v>1.3538981647058823E-3</v>
      </c>
    </row>
    <row r="19" spans="1:19" ht="16.8" x14ac:dyDescent="0.65">
      <c r="A19" s="514" t="s">
        <v>274</v>
      </c>
      <c r="B19" s="514"/>
      <c r="C19" s="514"/>
      <c r="D19" s="34"/>
      <c r="E19" s="34"/>
      <c r="F19" s="34"/>
      <c r="L19"/>
      <c r="M19"/>
      <c r="N19" t="s">
        <v>646</v>
      </c>
      <c r="O19" t="s">
        <v>64</v>
      </c>
      <c r="P19" t="s">
        <v>647</v>
      </c>
      <c r="Q19"/>
    </row>
    <row r="20" spans="1:19" x14ac:dyDescent="0.55000000000000004">
      <c r="A20" s="141" t="s">
        <v>107</v>
      </c>
      <c r="B20" s="142"/>
      <c r="C20" s="142"/>
      <c r="D20" s="142"/>
      <c r="E20" s="142"/>
      <c r="F20" s="142"/>
      <c r="L20" s="218" t="s">
        <v>639</v>
      </c>
      <c r="M20">
        <f>SUM(O31:S31)</f>
        <v>88812</v>
      </c>
      <c r="N20" s="219">
        <f>0.021/100</f>
        <v>2.1000000000000001E-4</v>
      </c>
      <c r="O20">
        <f>(M20)*N20</f>
        <v>18.65052</v>
      </c>
      <c r="P20">
        <f>N20*25</f>
        <v>5.2500000000000003E-3</v>
      </c>
      <c r="Q20">
        <f>O20*25</f>
        <v>466.26300000000003</v>
      </c>
    </row>
    <row r="21" spans="1:19" x14ac:dyDescent="0.55000000000000004">
      <c r="A21" s="41"/>
      <c r="B21" s="41"/>
      <c r="C21" s="41"/>
      <c r="D21" s="68" t="s">
        <v>273</v>
      </c>
      <c r="E21" s="68" t="s">
        <v>272</v>
      </c>
      <c r="F21" s="68" t="s">
        <v>271</v>
      </c>
      <c r="L21" s="218" t="s">
        <v>640</v>
      </c>
      <c r="M21">
        <f t="shared" ref="M21:M24" si="3">SUM(O32:S32)</f>
        <v>1650625</v>
      </c>
      <c r="N21">
        <f>AVERAGE(0.285,0.303)/100</f>
        <v>2.9399999999999999E-3</v>
      </c>
      <c r="O21">
        <f t="shared" ref="O21:O23" si="4">(M21)*N21</f>
        <v>4852.8374999999996</v>
      </c>
      <c r="P21">
        <f t="shared" ref="P21:Q24" si="5">N21*25</f>
        <v>7.3499999999999996E-2</v>
      </c>
      <c r="Q21">
        <f t="shared" si="5"/>
        <v>121320.93749999999</v>
      </c>
      <c r="R21"/>
      <c r="S21"/>
    </row>
    <row r="22" spans="1:19" x14ac:dyDescent="0.55000000000000004">
      <c r="A22" s="68" t="s">
        <v>270</v>
      </c>
      <c r="B22" s="68" t="s">
        <v>269</v>
      </c>
      <c r="C22" s="68" t="s">
        <v>56</v>
      </c>
      <c r="D22" s="422">
        <v>29506</v>
      </c>
      <c r="E22" s="422">
        <v>287584</v>
      </c>
      <c r="F22" s="422">
        <v>864637</v>
      </c>
      <c r="L22" s="218" t="s">
        <v>641</v>
      </c>
      <c r="M22">
        <f t="shared" si="3"/>
        <v>13845238</v>
      </c>
      <c r="N22">
        <f>AVERAGE(0.011,0.012,0.013,0.015,0.017,0.021,0.075)/1000</f>
        <v>2.3428571428571429E-5</v>
      </c>
      <c r="O22">
        <f t="shared" si="4"/>
        <v>324.37414742857146</v>
      </c>
      <c r="P22">
        <f t="shared" si="5"/>
        <v>5.8571428571428576E-4</v>
      </c>
      <c r="Q22">
        <f t="shared" si="5"/>
        <v>8109.3536857142863</v>
      </c>
      <c r="R22"/>
      <c r="S22"/>
    </row>
    <row r="23" spans="1:19" x14ac:dyDescent="0.55000000000000004">
      <c r="A23" s="41"/>
      <c r="B23" s="41"/>
      <c r="C23" s="68" t="s">
        <v>55</v>
      </c>
      <c r="D23" s="422">
        <v>69462</v>
      </c>
      <c r="E23" s="422">
        <v>1268965</v>
      </c>
      <c r="F23" s="422">
        <v>920910</v>
      </c>
      <c r="L23" s="218" t="s">
        <v>642</v>
      </c>
      <c r="M23">
        <f t="shared" si="3"/>
        <v>6032794</v>
      </c>
      <c r="N23" s="219">
        <f>0.021/100</f>
        <v>2.1000000000000001E-4</v>
      </c>
      <c r="O23">
        <f t="shared" si="4"/>
        <v>1266.8867400000001</v>
      </c>
      <c r="P23">
        <f t="shared" si="5"/>
        <v>5.2500000000000003E-3</v>
      </c>
      <c r="Q23">
        <f t="shared" si="5"/>
        <v>31672.168500000003</v>
      </c>
      <c r="R23"/>
      <c r="S23"/>
    </row>
    <row r="24" spans="1:19" x14ac:dyDescent="0.55000000000000004">
      <c r="A24" s="41"/>
      <c r="B24" s="41"/>
      <c r="C24" s="68" t="s">
        <v>54</v>
      </c>
      <c r="D24" s="422">
        <v>571543</v>
      </c>
      <c r="E24" s="422">
        <v>3681778</v>
      </c>
      <c r="F24" s="422">
        <v>9783918</v>
      </c>
      <c r="L24" s="218" t="s">
        <v>643</v>
      </c>
      <c r="M24">
        <f t="shared" si="3"/>
        <v>22462628</v>
      </c>
      <c r="N24"/>
      <c r="O24">
        <f>SUM(O20:O23)/SUM(M24:M24)</f>
        <v>2.877111666287921E-4</v>
      </c>
      <c r="P24"/>
      <c r="Q24">
        <f t="shared" si="5"/>
        <v>7.1927791657198023E-3</v>
      </c>
      <c r="R24"/>
      <c r="S24"/>
    </row>
    <row r="25" spans="1:19" x14ac:dyDescent="0.55000000000000004">
      <c r="A25" s="41"/>
      <c r="B25" s="41"/>
      <c r="C25" s="68" t="s">
        <v>53</v>
      </c>
      <c r="D25" s="422">
        <v>475308</v>
      </c>
      <c r="E25" s="422">
        <v>4307984</v>
      </c>
      <c r="F25" s="422">
        <v>4748413</v>
      </c>
      <c r="L25"/>
      <c r="M25"/>
      <c r="N25"/>
      <c r="O25"/>
      <c r="P25"/>
      <c r="Q25"/>
      <c r="R25"/>
      <c r="S25"/>
    </row>
    <row r="26" spans="1:19" x14ac:dyDescent="0.55000000000000004">
      <c r="A26" s="41"/>
      <c r="B26" s="41"/>
      <c r="C26" s="68" t="s">
        <v>50</v>
      </c>
      <c r="D26" s="422">
        <v>345613</v>
      </c>
      <c r="E26" s="422">
        <v>2752681</v>
      </c>
      <c r="F26" s="422">
        <v>6742003</v>
      </c>
      <c r="L26"/>
      <c r="M26"/>
      <c r="N26"/>
      <c r="O26"/>
      <c r="P26"/>
      <c r="Q26"/>
      <c r="R26"/>
      <c r="S26"/>
    </row>
    <row r="27" spans="1:19" x14ac:dyDescent="0.55000000000000004">
      <c r="L27"/>
      <c r="M27"/>
      <c r="N27"/>
      <c r="O27"/>
      <c r="P27"/>
      <c r="Q27"/>
      <c r="R27"/>
      <c r="S27"/>
    </row>
    <row r="28" spans="1:19" ht="17.100000000000001" thickBot="1" x14ac:dyDescent="0.7">
      <c r="A28" t="s">
        <v>268</v>
      </c>
      <c r="B28"/>
      <c r="C28"/>
      <c r="D28"/>
      <c r="E28"/>
      <c r="F28"/>
      <c r="G28"/>
      <c r="H28"/>
      <c r="I28"/>
      <c r="L28" s="216" t="s">
        <v>644</v>
      </c>
      <c r="M28"/>
      <c r="N28"/>
      <c r="O28"/>
      <c r="P28"/>
      <c r="Q28"/>
      <c r="R28"/>
      <c r="S28"/>
    </row>
    <row r="29" spans="1:19" ht="14.7" thickBot="1" x14ac:dyDescent="0.6">
      <c r="A29" s="508" t="s">
        <v>267</v>
      </c>
      <c r="B29" s="508" t="s">
        <v>266</v>
      </c>
      <c r="C29" s="140"/>
      <c r="D29" s="140"/>
      <c r="E29" s="128" t="s">
        <v>265</v>
      </c>
      <c r="F29" s="140"/>
      <c r="G29" s="140"/>
      <c r="H29" s="510" t="s">
        <v>264</v>
      </c>
      <c r="I29" s="512" t="s">
        <v>263</v>
      </c>
      <c r="L29" s="217" t="s">
        <v>107</v>
      </c>
      <c r="M29"/>
      <c r="N29"/>
      <c r="O29"/>
      <c r="P29"/>
      <c r="Q29"/>
      <c r="R29"/>
      <c r="S29"/>
    </row>
    <row r="30" spans="1:19" ht="14.7" thickBot="1" x14ac:dyDescent="0.6">
      <c r="A30" s="509"/>
      <c r="B30" s="509"/>
      <c r="C30" s="139" t="s">
        <v>262</v>
      </c>
      <c r="D30" s="124" t="s">
        <v>261</v>
      </c>
      <c r="E30" s="124" t="s">
        <v>260</v>
      </c>
      <c r="F30" s="124" t="s">
        <v>259</v>
      </c>
      <c r="G30" s="124" t="s">
        <v>258</v>
      </c>
      <c r="H30" s="511"/>
      <c r="I30" s="513"/>
      <c r="L30"/>
      <c r="M30"/>
      <c r="N30"/>
      <c r="O30" s="218" t="s">
        <v>56</v>
      </c>
      <c r="P30" s="218" t="s">
        <v>55</v>
      </c>
      <c r="Q30" s="218" t="s">
        <v>54</v>
      </c>
      <c r="R30" s="218" t="s">
        <v>53</v>
      </c>
      <c r="S30" s="218" t="s">
        <v>50</v>
      </c>
    </row>
    <row r="31" spans="1:19" ht="21.9" thickBot="1" x14ac:dyDescent="0.6">
      <c r="A31" s="124">
        <v>1101</v>
      </c>
      <c r="B31" s="124" t="s">
        <v>257</v>
      </c>
      <c r="C31" s="121">
        <v>5</v>
      </c>
      <c r="D31" s="122">
        <v>2</v>
      </c>
      <c r="E31" s="122">
        <v>2</v>
      </c>
      <c r="F31" s="123">
        <v>1</v>
      </c>
      <c r="G31" s="122">
        <v>12</v>
      </c>
      <c r="H31" s="136">
        <v>22</v>
      </c>
      <c r="I31" s="121">
        <v>-8</v>
      </c>
      <c r="L31" s="218" t="s">
        <v>270</v>
      </c>
      <c r="M31" s="218" t="s">
        <v>269</v>
      </c>
      <c r="N31" s="218" t="s">
        <v>639</v>
      </c>
      <c r="O31" s="219">
        <v>193</v>
      </c>
      <c r="P31" s="219">
        <v>9306</v>
      </c>
      <c r="Q31" s="219">
        <v>52101</v>
      </c>
      <c r="R31" s="219">
        <v>17005</v>
      </c>
      <c r="S31" s="219">
        <v>10207</v>
      </c>
    </row>
    <row r="32" spans="1:19" ht="21.9" thickBot="1" x14ac:dyDescent="0.6">
      <c r="A32" s="124">
        <v>1102</v>
      </c>
      <c r="B32" s="124" t="s">
        <v>256</v>
      </c>
      <c r="C32" s="121">
        <v>3</v>
      </c>
      <c r="D32" s="122">
        <v>18</v>
      </c>
      <c r="E32" s="122">
        <v>23</v>
      </c>
      <c r="F32" s="123">
        <v>10</v>
      </c>
      <c r="G32" s="122">
        <v>46</v>
      </c>
      <c r="H32" s="135">
        <v>100</v>
      </c>
      <c r="I32" s="121">
        <v>-6</v>
      </c>
      <c r="L32"/>
      <c r="M32"/>
      <c r="N32" s="218" t="s">
        <v>640</v>
      </c>
      <c r="O32" s="219">
        <v>70</v>
      </c>
      <c r="P32" s="219">
        <v>85115</v>
      </c>
      <c r="Q32" s="219">
        <v>660688</v>
      </c>
      <c r="R32" s="219">
        <v>515966</v>
      </c>
      <c r="S32" s="219">
        <v>388786</v>
      </c>
    </row>
    <row r="33" spans="1:19" ht="21.9" thickBot="1" x14ac:dyDescent="0.6">
      <c r="A33" s="124">
        <v>1103</v>
      </c>
      <c r="B33" s="124" t="s">
        <v>255</v>
      </c>
      <c r="C33" s="121">
        <v>2</v>
      </c>
      <c r="D33" s="122">
        <v>11</v>
      </c>
      <c r="E33" s="122">
        <v>11</v>
      </c>
      <c r="F33" s="123">
        <v>9</v>
      </c>
      <c r="G33" s="122">
        <v>3</v>
      </c>
      <c r="H33" s="136">
        <v>36</v>
      </c>
      <c r="I33" s="121">
        <v>20</v>
      </c>
      <c r="L33"/>
      <c r="M33"/>
      <c r="N33" s="218" t="s">
        <v>641</v>
      </c>
      <c r="O33" s="322" t="s">
        <v>140</v>
      </c>
      <c r="P33" s="219">
        <v>3690</v>
      </c>
      <c r="Q33" s="219">
        <v>5540224</v>
      </c>
      <c r="R33" s="219">
        <v>2453606</v>
      </c>
      <c r="S33" s="219">
        <v>5847718</v>
      </c>
    </row>
    <row r="34" spans="1:19" ht="21.9" thickBot="1" x14ac:dyDescent="0.6">
      <c r="A34" s="124">
        <v>1104</v>
      </c>
      <c r="B34" s="124" t="s">
        <v>254</v>
      </c>
      <c r="C34" s="121" t="s">
        <v>19</v>
      </c>
      <c r="D34" s="123" t="s">
        <v>19</v>
      </c>
      <c r="E34" s="122" t="s">
        <v>19</v>
      </c>
      <c r="F34" s="123" t="s">
        <v>19</v>
      </c>
      <c r="G34" s="122" t="s">
        <v>19</v>
      </c>
      <c r="H34" s="138" t="s">
        <v>19</v>
      </c>
      <c r="I34" s="121">
        <v>-4</v>
      </c>
      <c r="L34"/>
      <c r="M34"/>
      <c r="N34" s="218" t="s">
        <v>642</v>
      </c>
      <c r="O34" s="219">
        <v>18906</v>
      </c>
      <c r="P34" s="219">
        <v>572397</v>
      </c>
      <c r="Q34" s="219">
        <v>3351237</v>
      </c>
      <c r="R34" s="219">
        <v>1609934</v>
      </c>
      <c r="S34" s="219">
        <v>480320</v>
      </c>
    </row>
    <row r="35" spans="1:19" ht="14.7" thickBot="1" x14ac:dyDescent="0.6">
      <c r="A35" s="124">
        <v>9911</v>
      </c>
      <c r="B35" s="124" t="s">
        <v>253</v>
      </c>
      <c r="C35" s="121" t="s">
        <v>19</v>
      </c>
      <c r="D35" s="123" t="s">
        <v>19</v>
      </c>
      <c r="E35" s="122" t="s">
        <v>19</v>
      </c>
      <c r="F35" s="123">
        <v>4</v>
      </c>
      <c r="G35" s="122" t="s">
        <v>19</v>
      </c>
      <c r="H35" s="136">
        <v>4</v>
      </c>
      <c r="I35" s="121">
        <v>2</v>
      </c>
      <c r="L35"/>
      <c r="M35"/>
      <c r="N35" s="218" t="s">
        <v>643</v>
      </c>
      <c r="O35" s="219">
        <v>864325</v>
      </c>
      <c r="P35" s="219">
        <v>670509</v>
      </c>
      <c r="Q35" s="219">
        <v>9604250</v>
      </c>
      <c r="R35" s="219">
        <v>4596512</v>
      </c>
      <c r="S35" s="219">
        <v>6727032</v>
      </c>
    </row>
    <row r="36" spans="1:19" ht="21.9" thickBot="1" x14ac:dyDescent="0.6">
      <c r="A36" s="124">
        <v>1201</v>
      </c>
      <c r="B36" s="124" t="s">
        <v>252</v>
      </c>
      <c r="C36" s="123">
        <v>848</v>
      </c>
      <c r="D36" s="121">
        <v>2359</v>
      </c>
      <c r="E36" s="121">
        <v>24420</v>
      </c>
      <c r="F36" s="122">
        <v>22801</v>
      </c>
      <c r="G36" s="121">
        <v>18657</v>
      </c>
      <c r="H36" s="137">
        <v>69085</v>
      </c>
      <c r="I36" s="121">
        <v>444</v>
      </c>
      <c r="L36"/>
      <c r="M36"/>
      <c r="N36"/>
      <c r="O36"/>
      <c r="P36"/>
      <c r="Q36"/>
      <c r="R36"/>
      <c r="S36"/>
    </row>
    <row r="37" spans="1:19" ht="57.9" thickBot="1" x14ac:dyDescent="0.6">
      <c r="A37" s="124">
        <v>1202</v>
      </c>
      <c r="B37" s="124" t="s">
        <v>251</v>
      </c>
      <c r="C37" s="123">
        <v>505</v>
      </c>
      <c r="D37" s="121">
        <v>1349</v>
      </c>
      <c r="E37" s="121">
        <v>8183</v>
      </c>
      <c r="F37" s="122">
        <v>6354</v>
      </c>
      <c r="G37" s="121">
        <v>6057</v>
      </c>
      <c r="H37" s="137">
        <v>22448</v>
      </c>
      <c r="I37" s="121">
        <v>72</v>
      </c>
      <c r="L37" s="223" t="s">
        <v>645</v>
      </c>
      <c r="M37"/>
      <c r="N37"/>
      <c r="O37"/>
      <c r="P37"/>
      <c r="Q37"/>
      <c r="R37"/>
      <c r="S37"/>
    </row>
    <row r="38" spans="1:19" ht="21.9" thickBot="1" x14ac:dyDescent="0.6">
      <c r="A38" s="124">
        <v>1203</v>
      </c>
      <c r="B38" s="124" t="s">
        <v>250</v>
      </c>
      <c r="C38" s="123">
        <v>1082</v>
      </c>
      <c r="D38" s="121">
        <v>3051</v>
      </c>
      <c r="E38" s="121">
        <v>22312</v>
      </c>
      <c r="F38" s="122">
        <v>17972</v>
      </c>
      <c r="G38" s="121">
        <v>14772</v>
      </c>
      <c r="H38" s="137">
        <v>59189</v>
      </c>
      <c r="I38" s="121">
        <v>276</v>
      </c>
    </row>
    <row r="39" spans="1:19" ht="14.7" thickBot="1" x14ac:dyDescent="0.6">
      <c r="A39" s="124">
        <v>1204</v>
      </c>
      <c r="B39" s="124" t="s">
        <v>249</v>
      </c>
      <c r="C39" s="123">
        <v>659</v>
      </c>
      <c r="D39" s="122">
        <v>495</v>
      </c>
      <c r="E39" s="121">
        <v>10929</v>
      </c>
      <c r="F39" s="122">
        <v>12310</v>
      </c>
      <c r="G39" s="121">
        <v>8777</v>
      </c>
      <c r="H39" s="137">
        <v>33170</v>
      </c>
      <c r="I39" s="121">
        <v>2916</v>
      </c>
    </row>
    <row r="40" spans="1:19" ht="14.7" thickBot="1" x14ac:dyDescent="0.6">
      <c r="A40" s="124">
        <v>1205</v>
      </c>
      <c r="B40" s="124" t="s">
        <v>248</v>
      </c>
      <c r="C40" s="123">
        <v>247</v>
      </c>
      <c r="D40" s="122">
        <v>554</v>
      </c>
      <c r="E40" s="121">
        <v>1582</v>
      </c>
      <c r="F40" s="122">
        <v>1770</v>
      </c>
      <c r="G40" s="121">
        <v>1399</v>
      </c>
      <c r="H40" s="137">
        <v>5552</v>
      </c>
      <c r="I40" s="121">
        <v>803</v>
      </c>
    </row>
    <row r="41" spans="1:19" ht="14.7" thickBot="1" x14ac:dyDescent="0.6">
      <c r="A41" s="124">
        <v>1206</v>
      </c>
      <c r="B41" s="124" t="s">
        <v>247</v>
      </c>
      <c r="C41" s="123">
        <v>16</v>
      </c>
      <c r="D41" s="122">
        <v>20</v>
      </c>
      <c r="E41" s="122">
        <v>74</v>
      </c>
      <c r="F41" s="123">
        <v>75</v>
      </c>
      <c r="G41" s="122">
        <v>75</v>
      </c>
      <c r="H41" s="135">
        <v>260</v>
      </c>
      <c r="I41" s="121">
        <v>52</v>
      </c>
    </row>
    <row r="42" spans="1:19" ht="21.9" thickBot="1" x14ac:dyDescent="0.6">
      <c r="A42" s="124">
        <v>1231</v>
      </c>
      <c r="B42" s="124" t="s">
        <v>246</v>
      </c>
      <c r="C42" s="123">
        <v>251</v>
      </c>
      <c r="D42" s="121">
        <v>1073</v>
      </c>
      <c r="E42" s="121">
        <v>2693</v>
      </c>
      <c r="F42" s="122">
        <v>3331</v>
      </c>
      <c r="G42" s="121">
        <v>1718</v>
      </c>
      <c r="H42" s="137">
        <v>9066</v>
      </c>
      <c r="I42" s="121">
        <v>-1262</v>
      </c>
    </row>
    <row r="43" spans="1:19" ht="14.7" thickBot="1" x14ac:dyDescent="0.6">
      <c r="A43" s="124">
        <v>1232</v>
      </c>
      <c r="B43" s="124" t="s">
        <v>245</v>
      </c>
      <c r="C43" s="123">
        <v>141</v>
      </c>
      <c r="D43" s="122">
        <v>378</v>
      </c>
      <c r="E43" s="121">
        <v>1131</v>
      </c>
      <c r="F43" s="122">
        <v>688</v>
      </c>
      <c r="G43" s="121">
        <v>533</v>
      </c>
      <c r="H43" s="137">
        <v>2871</v>
      </c>
      <c r="I43" s="121">
        <v>-47</v>
      </c>
    </row>
    <row r="44" spans="1:19" ht="14.7" thickBot="1" x14ac:dyDescent="0.6">
      <c r="A44" s="124">
        <v>1233</v>
      </c>
      <c r="B44" s="124" t="s">
        <v>244</v>
      </c>
      <c r="C44" s="123">
        <v>495</v>
      </c>
      <c r="D44" s="122">
        <v>970</v>
      </c>
      <c r="E44" s="121">
        <v>2301</v>
      </c>
      <c r="F44" s="122">
        <v>2635</v>
      </c>
      <c r="G44" s="121">
        <v>1321</v>
      </c>
      <c r="H44" s="137">
        <v>7722</v>
      </c>
      <c r="I44" s="121">
        <v>-335</v>
      </c>
    </row>
    <row r="45" spans="1:19" ht="14.7" thickBot="1" x14ac:dyDescent="0.6">
      <c r="A45" s="124">
        <v>1234</v>
      </c>
      <c r="B45" s="124" t="s">
        <v>243</v>
      </c>
      <c r="C45" s="123">
        <v>75</v>
      </c>
      <c r="D45" s="122">
        <v>163</v>
      </c>
      <c r="E45" s="122">
        <v>950</v>
      </c>
      <c r="F45" s="122">
        <v>2513</v>
      </c>
      <c r="G45" s="121">
        <v>573</v>
      </c>
      <c r="H45" s="137">
        <v>4274</v>
      </c>
      <c r="I45" s="121">
        <v>684</v>
      </c>
    </row>
    <row r="46" spans="1:19" ht="14.7" thickBot="1" x14ac:dyDescent="0.6">
      <c r="A46" s="124">
        <v>1235</v>
      </c>
      <c r="B46" s="124" t="s">
        <v>242</v>
      </c>
      <c r="C46" s="123">
        <v>26</v>
      </c>
      <c r="D46" s="122">
        <v>42</v>
      </c>
      <c r="E46" s="122">
        <v>296</v>
      </c>
      <c r="F46" s="122">
        <v>693</v>
      </c>
      <c r="G46" s="121">
        <v>112</v>
      </c>
      <c r="H46" s="137">
        <v>1169</v>
      </c>
      <c r="I46" s="121">
        <v>-144</v>
      </c>
    </row>
    <row r="47" spans="1:19" ht="14.7" thickBot="1" x14ac:dyDescent="0.6">
      <c r="A47" s="124">
        <v>1236</v>
      </c>
      <c r="B47" s="124" t="s">
        <v>241</v>
      </c>
      <c r="C47" s="121" t="s">
        <v>19</v>
      </c>
      <c r="D47" s="122">
        <v>15</v>
      </c>
      <c r="E47" s="122">
        <v>14</v>
      </c>
      <c r="F47" s="123">
        <v>17</v>
      </c>
      <c r="G47" s="122">
        <v>11</v>
      </c>
      <c r="H47" s="136">
        <v>57</v>
      </c>
      <c r="I47" s="121">
        <v>-5</v>
      </c>
    </row>
    <row r="48" spans="1:19" ht="21.9" thickBot="1" x14ac:dyDescent="0.6">
      <c r="A48" s="124">
        <v>1241</v>
      </c>
      <c r="B48" s="124" t="s">
        <v>240</v>
      </c>
      <c r="C48" s="123">
        <v>23</v>
      </c>
      <c r="D48" s="122">
        <v>91</v>
      </c>
      <c r="E48" s="122">
        <v>262</v>
      </c>
      <c r="F48" s="122">
        <v>190</v>
      </c>
      <c r="G48" s="121">
        <v>127</v>
      </c>
      <c r="H48" s="135">
        <v>693</v>
      </c>
      <c r="I48" s="121">
        <v>22</v>
      </c>
    </row>
    <row r="49" spans="1:9" ht="21.9" thickBot="1" x14ac:dyDescent="0.6">
      <c r="A49" s="133">
        <v>1242</v>
      </c>
      <c r="B49" s="133" t="s">
        <v>239</v>
      </c>
      <c r="C49" s="131">
        <v>369</v>
      </c>
      <c r="D49" s="130">
        <v>271</v>
      </c>
      <c r="E49" s="129">
        <v>1733</v>
      </c>
      <c r="F49" s="130">
        <v>1437</v>
      </c>
      <c r="G49" s="129">
        <v>993</v>
      </c>
      <c r="H49" s="134">
        <v>4803</v>
      </c>
      <c r="I49" s="121">
        <v>143</v>
      </c>
    </row>
    <row r="50" spans="1:9" x14ac:dyDescent="0.55000000000000004">
      <c r="A50" s="133">
        <v>1243</v>
      </c>
      <c r="B50" s="132"/>
      <c r="C50" s="131">
        <v>294</v>
      </c>
      <c r="D50" s="129">
        <v>643</v>
      </c>
      <c r="E50" s="130">
        <v>736</v>
      </c>
      <c r="F50" s="130">
        <v>1319</v>
      </c>
      <c r="G50" s="129">
        <v>985</v>
      </c>
      <c r="H50" s="129">
        <v>3977</v>
      </c>
      <c r="I50" s="129">
        <v>-34</v>
      </c>
    </row>
    <row r="51" spans="1:9" ht="14.7" thickBot="1" x14ac:dyDescent="0.6">
      <c r="A51" s="124">
        <v>9912</v>
      </c>
      <c r="B51" s="124" t="s">
        <v>238</v>
      </c>
      <c r="C51" s="121" t="s">
        <v>19</v>
      </c>
      <c r="D51" s="122">
        <v>8</v>
      </c>
      <c r="E51" s="122">
        <v>2</v>
      </c>
      <c r="F51" s="123">
        <v>2</v>
      </c>
      <c r="G51" s="122" t="s">
        <v>19</v>
      </c>
      <c r="H51" s="121">
        <v>12</v>
      </c>
      <c r="I51" s="121">
        <v>9</v>
      </c>
    </row>
    <row r="52" spans="1:9" ht="14.7" thickBot="1" x14ac:dyDescent="0.6">
      <c r="A52" s="124">
        <v>1300</v>
      </c>
      <c r="B52" s="124" t="s">
        <v>237</v>
      </c>
      <c r="C52" s="122">
        <v>1587</v>
      </c>
      <c r="D52" s="121">
        <v>2265</v>
      </c>
      <c r="E52" s="121">
        <v>4166</v>
      </c>
      <c r="F52" s="122">
        <v>1559</v>
      </c>
      <c r="G52" s="121">
        <v>1718</v>
      </c>
      <c r="H52" s="121">
        <v>11295</v>
      </c>
      <c r="I52" s="121">
        <v>106</v>
      </c>
    </row>
    <row r="53" spans="1:9" ht="14.7" thickBot="1" x14ac:dyDescent="0.6">
      <c r="A53" s="124">
        <v>9913</v>
      </c>
      <c r="B53" s="124" t="s">
        <v>236</v>
      </c>
      <c r="C53" s="123">
        <v>20</v>
      </c>
      <c r="D53" s="122">
        <v>59</v>
      </c>
      <c r="E53" s="122">
        <v>59</v>
      </c>
      <c r="F53" s="123">
        <v>2</v>
      </c>
      <c r="G53" s="122" t="s">
        <v>19</v>
      </c>
      <c r="H53" s="121">
        <v>140</v>
      </c>
      <c r="I53" s="121">
        <v>37</v>
      </c>
    </row>
    <row r="54" spans="1:9" ht="21.9" thickBot="1" x14ac:dyDescent="0.6">
      <c r="A54" s="124">
        <v>1401</v>
      </c>
      <c r="B54" s="124" t="s">
        <v>235</v>
      </c>
      <c r="C54" s="121" t="s">
        <v>19</v>
      </c>
      <c r="D54" s="122">
        <v>5</v>
      </c>
      <c r="E54" s="122">
        <v>23</v>
      </c>
      <c r="F54" s="123">
        <v>1</v>
      </c>
      <c r="G54" s="122" t="s">
        <v>19</v>
      </c>
      <c r="H54" s="121">
        <v>29</v>
      </c>
      <c r="I54" s="121">
        <v>16</v>
      </c>
    </row>
    <row r="55" spans="1:9" ht="14.7" thickBot="1" x14ac:dyDescent="0.6">
      <c r="A55" s="124">
        <v>1402</v>
      </c>
      <c r="B55" s="124" t="s">
        <v>234</v>
      </c>
      <c r="C55" s="123">
        <v>66</v>
      </c>
      <c r="D55" s="122">
        <v>76</v>
      </c>
      <c r="E55" s="122">
        <v>94</v>
      </c>
      <c r="F55" s="123">
        <v>52</v>
      </c>
      <c r="G55" s="121">
        <v>102</v>
      </c>
      <c r="H55" s="121">
        <v>390</v>
      </c>
      <c r="I55" s="121">
        <v>31</v>
      </c>
    </row>
    <row r="56" spans="1:9" ht="14.7" thickBot="1" x14ac:dyDescent="0.6">
      <c r="A56" s="124">
        <v>1403</v>
      </c>
      <c r="B56" s="124" t="s">
        <v>233</v>
      </c>
      <c r="C56" s="123">
        <v>75</v>
      </c>
      <c r="D56" s="122">
        <v>52</v>
      </c>
      <c r="E56" s="122">
        <v>1</v>
      </c>
      <c r="F56" s="122">
        <v>1476</v>
      </c>
      <c r="G56" s="122" t="s">
        <v>19</v>
      </c>
      <c r="H56" s="121">
        <v>1604</v>
      </c>
      <c r="I56" s="121">
        <v>-148</v>
      </c>
    </row>
    <row r="57" spans="1:9" ht="14.7" thickBot="1" x14ac:dyDescent="0.6">
      <c r="A57" s="124">
        <v>9914</v>
      </c>
      <c r="B57" s="124" t="s">
        <v>232</v>
      </c>
      <c r="C57" s="121" t="s">
        <v>19</v>
      </c>
      <c r="D57" s="122">
        <v>3</v>
      </c>
      <c r="E57" s="122">
        <v>9</v>
      </c>
      <c r="F57" s="123">
        <v>40</v>
      </c>
      <c r="G57" s="122" t="s">
        <v>19</v>
      </c>
      <c r="H57" s="121">
        <v>52</v>
      </c>
      <c r="I57" s="121">
        <v>18</v>
      </c>
    </row>
    <row r="58" spans="1:9" ht="21.9" thickBot="1" x14ac:dyDescent="0.6">
      <c r="A58" s="124">
        <v>1501</v>
      </c>
      <c r="B58" s="124" t="s">
        <v>231</v>
      </c>
      <c r="C58" s="123">
        <v>57</v>
      </c>
      <c r="D58" s="122">
        <v>450</v>
      </c>
      <c r="E58" s="121">
        <v>4506</v>
      </c>
      <c r="F58" s="122">
        <v>5750</v>
      </c>
      <c r="G58" s="121">
        <v>1898</v>
      </c>
      <c r="H58" s="121">
        <v>12661</v>
      </c>
      <c r="I58" s="121">
        <v>-1498</v>
      </c>
    </row>
    <row r="59" spans="1:9" ht="21.9" thickBot="1" x14ac:dyDescent="0.6">
      <c r="A59" s="124">
        <v>1511</v>
      </c>
      <c r="B59" s="124" t="s">
        <v>230</v>
      </c>
      <c r="C59" s="123">
        <v>655</v>
      </c>
      <c r="D59" s="121">
        <v>4922</v>
      </c>
      <c r="E59" s="121">
        <v>104993</v>
      </c>
      <c r="F59" s="121">
        <v>108801</v>
      </c>
      <c r="G59" s="121">
        <v>26855</v>
      </c>
      <c r="H59" s="121">
        <v>246226</v>
      </c>
      <c r="I59" s="121">
        <v>-2138</v>
      </c>
    </row>
    <row r="60" spans="1:9" ht="21.9" thickBot="1" x14ac:dyDescent="0.6">
      <c r="A60" s="124">
        <v>1512</v>
      </c>
      <c r="B60" s="124" t="s">
        <v>229</v>
      </c>
      <c r="C60" s="122">
        <v>1641</v>
      </c>
      <c r="D60" s="121">
        <v>7721</v>
      </c>
      <c r="E60" s="121">
        <v>85643</v>
      </c>
      <c r="F60" s="121">
        <v>100177</v>
      </c>
      <c r="G60" s="121">
        <v>36846</v>
      </c>
      <c r="H60" s="121">
        <v>232028</v>
      </c>
      <c r="I60" s="121">
        <v>5677</v>
      </c>
    </row>
    <row r="61" spans="1:9" ht="14.7" thickBot="1" x14ac:dyDescent="0.6">
      <c r="A61" s="124">
        <v>9915</v>
      </c>
      <c r="B61" s="124" t="s">
        <v>228</v>
      </c>
      <c r="C61" s="121" t="s">
        <v>19</v>
      </c>
      <c r="D61" s="122">
        <v>1</v>
      </c>
      <c r="E61" s="122">
        <v>4</v>
      </c>
      <c r="F61" s="123">
        <v>4</v>
      </c>
      <c r="G61" s="122" t="s">
        <v>19</v>
      </c>
      <c r="H61" s="121">
        <v>9</v>
      </c>
      <c r="I61" s="121">
        <v>-3</v>
      </c>
    </row>
    <row r="62" spans="1:9" ht="21.9" thickBot="1" x14ac:dyDescent="0.6">
      <c r="A62" s="124">
        <v>2101</v>
      </c>
      <c r="B62" s="124" t="s">
        <v>227</v>
      </c>
      <c r="C62" s="121" t="s">
        <v>19</v>
      </c>
      <c r="D62" s="122">
        <v>17</v>
      </c>
      <c r="E62" s="122">
        <v>30</v>
      </c>
      <c r="F62" s="123" t="s">
        <v>19</v>
      </c>
      <c r="G62" s="122">
        <v>13</v>
      </c>
      <c r="H62" s="121">
        <v>60</v>
      </c>
      <c r="I62" s="121">
        <v>-28</v>
      </c>
    </row>
    <row r="63" spans="1:9" ht="21.9" thickBot="1" x14ac:dyDescent="0.6">
      <c r="A63" s="124">
        <v>2102</v>
      </c>
      <c r="B63" s="124" t="s">
        <v>226</v>
      </c>
      <c r="C63" s="121" t="s">
        <v>19</v>
      </c>
      <c r="D63" s="122">
        <v>33</v>
      </c>
      <c r="E63" s="122">
        <v>140</v>
      </c>
      <c r="F63" s="123">
        <v>75</v>
      </c>
      <c r="G63" s="122" t="s">
        <v>19</v>
      </c>
      <c r="H63" s="121">
        <v>248</v>
      </c>
      <c r="I63" s="121">
        <v>-71</v>
      </c>
    </row>
    <row r="64" spans="1:9" ht="14.7" thickBot="1" x14ac:dyDescent="0.6">
      <c r="A64" s="128">
        <v>9921</v>
      </c>
      <c r="B64" s="128" t="s">
        <v>225</v>
      </c>
      <c r="C64" s="125" t="s">
        <v>19</v>
      </c>
      <c r="D64" s="127" t="s">
        <v>19</v>
      </c>
      <c r="E64" s="126" t="s">
        <v>19</v>
      </c>
      <c r="F64" s="127" t="s">
        <v>19</v>
      </c>
      <c r="G64" s="126">
        <v>50</v>
      </c>
      <c r="H64" s="125">
        <v>50</v>
      </c>
      <c r="I64" s="125">
        <v>50</v>
      </c>
    </row>
    <row r="65" spans="1:9" ht="21.9" thickBot="1" x14ac:dyDescent="0.6">
      <c r="A65" s="124">
        <v>3102</v>
      </c>
      <c r="B65" s="124" t="s">
        <v>224</v>
      </c>
      <c r="C65" s="123">
        <v>6712</v>
      </c>
      <c r="D65" s="121">
        <v>166472</v>
      </c>
      <c r="E65" s="121">
        <v>293520</v>
      </c>
      <c r="F65" s="121">
        <v>541007</v>
      </c>
      <c r="G65" s="121">
        <v>271753</v>
      </c>
      <c r="H65" s="121">
        <v>1279464</v>
      </c>
      <c r="I65" s="121">
        <v>132051</v>
      </c>
    </row>
    <row r="66" spans="1:9" ht="21.9" thickBot="1" x14ac:dyDescent="0.6">
      <c r="A66" s="124">
        <v>3105</v>
      </c>
      <c r="B66" s="124" t="s">
        <v>223</v>
      </c>
      <c r="C66" s="121" t="s">
        <v>19</v>
      </c>
      <c r="D66" s="122">
        <v>24</v>
      </c>
      <c r="E66" s="122" t="s">
        <v>19</v>
      </c>
      <c r="F66" s="123" t="s">
        <v>19</v>
      </c>
      <c r="G66" s="122" t="s">
        <v>19</v>
      </c>
      <c r="H66" s="121">
        <v>24</v>
      </c>
      <c r="I66" s="121">
        <v>-836</v>
      </c>
    </row>
    <row r="67" spans="1:9" ht="21.9" thickBot="1" x14ac:dyDescent="0.6">
      <c r="A67" s="124">
        <v>3111</v>
      </c>
      <c r="B67" s="124" t="s">
        <v>222</v>
      </c>
      <c r="C67" s="121" t="s">
        <v>19</v>
      </c>
      <c r="D67" s="121">
        <v>25005</v>
      </c>
      <c r="E67" s="121">
        <v>101840</v>
      </c>
      <c r="F67" s="121">
        <v>166634</v>
      </c>
      <c r="G67" s="121">
        <v>251586</v>
      </c>
      <c r="H67" s="121">
        <v>545065</v>
      </c>
      <c r="I67" s="121">
        <v>-1729</v>
      </c>
    </row>
    <row r="68" spans="1:9" ht="21.9" thickBot="1" x14ac:dyDescent="0.6">
      <c r="A68" s="124">
        <v>3112</v>
      </c>
      <c r="B68" s="124" t="s">
        <v>221</v>
      </c>
      <c r="C68" s="121" t="s">
        <v>19</v>
      </c>
      <c r="D68" s="122">
        <v>50</v>
      </c>
      <c r="E68" s="122" t="s">
        <v>19</v>
      </c>
      <c r="F68" s="123" t="s">
        <v>19</v>
      </c>
      <c r="G68" s="122" t="s">
        <v>19</v>
      </c>
      <c r="H68" s="121">
        <v>50</v>
      </c>
      <c r="I68" s="121">
        <v>-1</v>
      </c>
    </row>
    <row r="69" spans="1:9" ht="21.9" thickBot="1" x14ac:dyDescent="0.6">
      <c r="A69" s="124">
        <v>9931</v>
      </c>
      <c r="B69" s="124" t="s">
        <v>220</v>
      </c>
      <c r="C69" s="123">
        <v>200</v>
      </c>
      <c r="D69" s="122">
        <v>50</v>
      </c>
      <c r="E69" s="122" t="s">
        <v>19</v>
      </c>
      <c r="F69" s="123">
        <v>72</v>
      </c>
      <c r="G69" s="122" t="s">
        <v>19</v>
      </c>
      <c r="H69" s="121">
        <v>322</v>
      </c>
      <c r="I69" s="121">
        <v>57</v>
      </c>
    </row>
    <row r="70" spans="1:9" ht="21.9" thickBot="1" x14ac:dyDescent="0.6">
      <c r="A70" s="124">
        <v>3281</v>
      </c>
      <c r="B70" s="124" t="s">
        <v>219</v>
      </c>
      <c r="C70" s="121" t="s">
        <v>19</v>
      </c>
      <c r="D70" s="121">
        <v>7443</v>
      </c>
      <c r="E70" s="121">
        <v>292682</v>
      </c>
      <c r="F70" s="122">
        <v>24810</v>
      </c>
      <c r="G70" s="121">
        <v>899700</v>
      </c>
      <c r="H70" s="121">
        <v>1224635</v>
      </c>
      <c r="I70" s="121">
        <v>-9013</v>
      </c>
    </row>
    <row r="71" spans="1:9" ht="21.9" thickBot="1" x14ac:dyDescent="0.6">
      <c r="A71" s="124">
        <v>9932</v>
      </c>
      <c r="B71" s="124" t="s">
        <v>218</v>
      </c>
      <c r="C71" s="121" t="s">
        <v>19</v>
      </c>
      <c r="D71" s="123" t="s">
        <v>19</v>
      </c>
      <c r="E71" s="121">
        <v>72</v>
      </c>
      <c r="F71" s="123" t="s">
        <v>19</v>
      </c>
      <c r="G71" s="122" t="s">
        <v>19</v>
      </c>
      <c r="H71" s="121">
        <v>72</v>
      </c>
      <c r="I71" s="121">
        <v>1</v>
      </c>
    </row>
    <row r="72" spans="1:9" ht="21.9" thickBot="1" x14ac:dyDescent="0.6">
      <c r="A72" s="124">
        <v>3301</v>
      </c>
      <c r="B72" s="124" t="s">
        <v>217</v>
      </c>
      <c r="C72" s="121" t="s">
        <v>19</v>
      </c>
      <c r="D72" s="122">
        <v>50</v>
      </c>
      <c r="E72" s="122">
        <v>50</v>
      </c>
      <c r="F72" s="122">
        <v>1005</v>
      </c>
      <c r="G72" s="122" t="s">
        <v>19</v>
      </c>
      <c r="H72" s="121">
        <v>1105</v>
      </c>
      <c r="I72" s="121">
        <v>-303</v>
      </c>
    </row>
    <row r="73" spans="1:9" ht="21.9" thickBot="1" x14ac:dyDescent="0.6">
      <c r="A73" s="124">
        <v>3302</v>
      </c>
      <c r="B73" s="124" t="s">
        <v>216</v>
      </c>
      <c r="C73" s="121" t="s">
        <v>19</v>
      </c>
      <c r="D73" s="123" t="s">
        <v>19</v>
      </c>
      <c r="E73" s="122">
        <v>50</v>
      </c>
      <c r="F73" s="122">
        <v>160</v>
      </c>
      <c r="G73" s="122" t="s">
        <v>19</v>
      </c>
      <c r="H73" s="121">
        <v>210</v>
      </c>
      <c r="I73" s="121">
        <v>60</v>
      </c>
    </row>
    <row r="74" spans="1:9" ht="14.7" thickBot="1" x14ac:dyDescent="0.6">
      <c r="A74" s="124">
        <v>9933</v>
      </c>
      <c r="B74" s="124" t="s">
        <v>215</v>
      </c>
      <c r="C74" s="121" t="s">
        <v>19</v>
      </c>
      <c r="D74" s="122">
        <v>2</v>
      </c>
      <c r="E74" s="122" t="s">
        <v>19</v>
      </c>
      <c r="F74" s="123" t="s">
        <v>19</v>
      </c>
      <c r="G74" s="122">
        <v>102</v>
      </c>
      <c r="H74" s="121">
        <v>104</v>
      </c>
      <c r="I74" s="121">
        <v>-9</v>
      </c>
    </row>
    <row r="75" spans="1:9" ht="14.7" thickBot="1" x14ac:dyDescent="0.6">
      <c r="A75" s="124">
        <v>3400</v>
      </c>
      <c r="B75" s="124" t="s">
        <v>214</v>
      </c>
      <c r="C75" s="123">
        <v>363</v>
      </c>
      <c r="D75" s="121">
        <v>2327</v>
      </c>
      <c r="E75" s="122">
        <v>450</v>
      </c>
      <c r="F75" s="122">
        <v>2901</v>
      </c>
      <c r="G75" s="122">
        <v>80</v>
      </c>
      <c r="H75" s="121">
        <v>6121</v>
      </c>
      <c r="I75" s="121">
        <v>-2162</v>
      </c>
    </row>
    <row r="76" spans="1:9" ht="14.7" thickBot="1" x14ac:dyDescent="0.6">
      <c r="A76" s="124">
        <v>9934</v>
      </c>
      <c r="B76" s="124" t="s">
        <v>213</v>
      </c>
      <c r="C76" s="121" t="s">
        <v>19</v>
      </c>
      <c r="D76" s="123" t="s">
        <v>19</v>
      </c>
      <c r="E76" s="122">
        <v>12</v>
      </c>
      <c r="F76" s="123" t="s">
        <v>19</v>
      </c>
      <c r="G76" s="122" t="s">
        <v>19</v>
      </c>
      <c r="H76" s="121">
        <v>12</v>
      </c>
      <c r="I76" s="121">
        <v>0</v>
      </c>
    </row>
    <row r="77" spans="1:9" ht="21.9" thickBot="1" x14ac:dyDescent="0.6">
      <c r="A77" s="124">
        <v>3500</v>
      </c>
      <c r="B77" s="124" t="s">
        <v>212</v>
      </c>
      <c r="C77" s="123">
        <v>423</v>
      </c>
      <c r="D77" s="121">
        <v>5846</v>
      </c>
      <c r="E77" s="121">
        <v>3283</v>
      </c>
      <c r="F77" s="121">
        <v>152100</v>
      </c>
      <c r="G77" s="121">
        <v>58205</v>
      </c>
      <c r="H77" s="121">
        <v>219857</v>
      </c>
      <c r="I77" s="121">
        <v>-17037</v>
      </c>
    </row>
    <row r="78" spans="1:9" ht="21.9" thickBot="1" x14ac:dyDescent="0.6">
      <c r="A78" s="124">
        <v>9935</v>
      </c>
      <c r="B78" s="124" t="s">
        <v>211</v>
      </c>
      <c r="C78" s="121" t="s">
        <v>19</v>
      </c>
      <c r="D78" s="122">
        <v>20</v>
      </c>
      <c r="E78" s="122">
        <v>24</v>
      </c>
      <c r="F78" s="123" t="s">
        <v>19</v>
      </c>
      <c r="G78" s="122">
        <v>202</v>
      </c>
      <c r="H78" s="121">
        <v>246</v>
      </c>
      <c r="I78" s="121">
        <v>149</v>
      </c>
    </row>
    <row r="79" spans="1:9" ht="14.7" thickBot="1" x14ac:dyDescent="0.6">
      <c r="A79" s="124">
        <v>4701</v>
      </c>
      <c r="B79" s="124" t="s">
        <v>210</v>
      </c>
      <c r="C79" s="121" t="s">
        <v>19</v>
      </c>
      <c r="D79" s="123" t="s">
        <v>19</v>
      </c>
      <c r="E79" s="122" t="s">
        <v>19</v>
      </c>
      <c r="F79" s="123" t="s">
        <v>19</v>
      </c>
      <c r="G79" s="122" t="s">
        <v>19</v>
      </c>
      <c r="H79" s="121" t="s">
        <v>19</v>
      </c>
      <c r="I79" s="121">
        <v>-2</v>
      </c>
    </row>
    <row r="80" spans="1:9" ht="43.5" thickBot="1" x14ac:dyDescent="0.6">
      <c r="A80" s="124">
        <v>5001</v>
      </c>
      <c r="B80" s="124" t="s">
        <v>209</v>
      </c>
      <c r="C80" s="123">
        <v>38</v>
      </c>
      <c r="D80" s="122">
        <v>52</v>
      </c>
      <c r="E80" s="122">
        <v>41</v>
      </c>
      <c r="F80" s="123">
        <v>20</v>
      </c>
      <c r="G80" s="122">
        <v>25</v>
      </c>
      <c r="H80" s="121">
        <v>176</v>
      </c>
      <c r="I80" s="121">
        <v>-111</v>
      </c>
    </row>
    <row r="81" spans="1:9" ht="21.9" thickBot="1" x14ac:dyDescent="0.6">
      <c r="A81" s="124">
        <v>5002</v>
      </c>
      <c r="B81" s="124" t="s">
        <v>208</v>
      </c>
      <c r="C81" s="123">
        <v>40</v>
      </c>
      <c r="D81" s="122">
        <v>350</v>
      </c>
      <c r="E81" s="122" t="s">
        <v>19</v>
      </c>
      <c r="F81" s="123" t="s">
        <v>19</v>
      </c>
      <c r="G81" s="122">
        <v>53</v>
      </c>
      <c r="H81" s="121">
        <v>443</v>
      </c>
      <c r="I81" s="121">
        <v>-222</v>
      </c>
    </row>
    <row r="82" spans="1:9" ht="14.7" thickBot="1" x14ac:dyDescent="0.6">
      <c r="A82" s="124">
        <v>6000</v>
      </c>
      <c r="B82" s="124" t="s">
        <v>207</v>
      </c>
      <c r="C82" s="123">
        <v>134</v>
      </c>
      <c r="D82" s="122">
        <v>36</v>
      </c>
      <c r="E82" s="122">
        <v>8</v>
      </c>
      <c r="F82" s="122">
        <v>375</v>
      </c>
      <c r="G82" s="122">
        <v>78</v>
      </c>
      <c r="H82" s="121">
        <v>631</v>
      </c>
      <c r="I82" s="121">
        <v>358</v>
      </c>
    </row>
    <row r="83" spans="1:9" ht="14.7" thickBot="1" x14ac:dyDescent="0.6">
      <c r="A83" s="124">
        <v>9999</v>
      </c>
      <c r="B83" s="124" t="s">
        <v>206</v>
      </c>
      <c r="C83" s="121" t="s">
        <v>19</v>
      </c>
      <c r="D83" s="122">
        <v>23</v>
      </c>
      <c r="E83" s="122">
        <v>200</v>
      </c>
      <c r="F83" s="123" t="s">
        <v>19</v>
      </c>
      <c r="G83" s="122">
        <v>5</v>
      </c>
      <c r="H83" s="121">
        <v>228</v>
      </c>
      <c r="I83" s="121">
        <v>208</v>
      </c>
    </row>
  </sheetData>
  <mergeCells count="5">
    <mergeCell ref="A29:A30"/>
    <mergeCell ref="B29:B30"/>
    <mergeCell ref="H29:H30"/>
    <mergeCell ref="I29:I30"/>
    <mergeCell ref="A19:C19"/>
  </mergeCells>
  <phoneticPr fontId="18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34973-86B1-4D20-BA39-78F5AAC61459}">
  <sheetPr codeName="Sheet3">
    <tabColor theme="5" tint="-0.249977111117893"/>
  </sheetPr>
  <dimension ref="A1:O48"/>
  <sheetViews>
    <sheetView workbookViewId="0">
      <selection activeCell="I11" sqref="I11"/>
    </sheetView>
  </sheetViews>
  <sheetFormatPr defaultRowHeight="14.4" x14ac:dyDescent="0.55000000000000004"/>
  <cols>
    <col min="1" max="1" width="13.68359375" customWidth="1"/>
  </cols>
  <sheetData>
    <row r="1" spans="1:13" ht="18.3" x14ac:dyDescent="0.7">
      <c r="A1" s="394" t="s">
        <v>781</v>
      </c>
      <c r="B1" s="9"/>
    </row>
    <row r="2" spans="1:13" ht="18.3" x14ac:dyDescent="0.7">
      <c r="A2" s="397"/>
      <c r="B2" s="398"/>
      <c r="C2" s="518" t="s">
        <v>782</v>
      </c>
      <c r="D2" s="519"/>
      <c r="E2" s="519"/>
      <c r="F2" s="520"/>
      <c r="G2" s="267"/>
      <c r="H2" s="267"/>
      <c r="I2" s="267"/>
    </row>
    <row r="3" spans="1:13" x14ac:dyDescent="0.55000000000000004">
      <c r="A3" s="267" t="s">
        <v>632</v>
      </c>
      <c r="B3" s="267"/>
      <c r="C3" s="249">
        <v>10</v>
      </c>
      <c r="D3" s="249">
        <v>20</v>
      </c>
      <c r="E3" s="249">
        <v>30</v>
      </c>
      <c r="F3" s="249">
        <v>40</v>
      </c>
      <c r="G3" s="267" t="s">
        <v>617</v>
      </c>
      <c r="H3" s="267" t="s">
        <v>64</v>
      </c>
      <c r="I3" s="267" t="s">
        <v>795</v>
      </c>
      <c r="L3" t="s">
        <v>702</v>
      </c>
      <c r="M3" t="s">
        <v>703</v>
      </c>
    </row>
    <row r="4" spans="1:13" ht="14.25" customHeight="1" x14ac:dyDescent="0.55000000000000004">
      <c r="A4" s="267" t="s">
        <v>555</v>
      </c>
      <c r="B4" s="267" t="s">
        <v>553</v>
      </c>
      <c r="C4" s="267"/>
      <c r="D4" s="267"/>
      <c r="E4" s="267"/>
      <c r="F4" s="267"/>
      <c r="G4" s="425">
        <f>H4</f>
        <v>6.8302753109928638</v>
      </c>
      <c r="H4" s="425">
        <f>(4.7+0.3+1.2)*M4</f>
        <v>6.8302753109928638</v>
      </c>
      <c r="I4" s="267" t="s">
        <v>630</v>
      </c>
      <c r="L4">
        <f>(2907+204+727)*1000/Arealanvendelse!C19</f>
        <v>6.8302753109928638</v>
      </c>
      <c r="M4">
        <f>L4/(4.7+0.3+1.2)</f>
        <v>1.1016573082246555</v>
      </c>
    </row>
    <row r="5" spans="1:13" x14ac:dyDescent="0.55000000000000004">
      <c r="A5" s="267" t="s">
        <v>555</v>
      </c>
      <c r="B5" s="267" t="s">
        <v>405</v>
      </c>
      <c r="C5" s="395"/>
      <c r="D5" s="395"/>
      <c r="E5" s="395"/>
      <c r="F5" s="395"/>
      <c r="G5" s="423">
        <f>(139+1763+205)/3826</f>
        <v>0.55070569785676948</v>
      </c>
      <c r="H5" s="425"/>
      <c r="I5" s="267"/>
      <c r="L5" t="s">
        <v>704</v>
      </c>
      <c r="M5" s="1" t="s">
        <v>614</v>
      </c>
    </row>
    <row r="6" spans="1:13" x14ac:dyDescent="0.55000000000000004">
      <c r="A6" s="8" t="s">
        <v>556</v>
      </c>
      <c r="B6" s="267" t="s">
        <v>553</v>
      </c>
      <c r="C6" s="297">
        <f>C19*(1-C20)</f>
        <v>0</v>
      </c>
      <c r="D6" s="297">
        <f t="shared" ref="D6:F6" si="0">D19*(1-D20)</f>
        <v>0</v>
      </c>
      <c r="E6" s="297">
        <f t="shared" si="0"/>
        <v>0</v>
      </c>
      <c r="F6" s="297">
        <f t="shared" si="0"/>
        <v>1.9091716555549518</v>
      </c>
      <c r="G6" s="253"/>
      <c r="H6" s="425">
        <f>(3.1+0+0.9)*M4</f>
        <v>4.4066292328986219</v>
      </c>
      <c r="I6" s="267" t="s">
        <v>629</v>
      </c>
      <c r="L6" t="s">
        <v>556</v>
      </c>
      <c r="M6" s="1" t="s">
        <v>615</v>
      </c>
    </row>
    <row r="7" spans="1:13" x14ac:dyDescent="0.55000000000000004">
      <c r="A7" s="8" t="s">
        <v>556</v>
      </c>
      <c r="B7" s="267" t="s">
        <v>405</v>
      </c>
      <c r="C7" s="297">
        <f>C19*C20</f>
        <v>0</v>
      </c>
      <c r="D7" s="297">
        <f t="shared" ref="D7:F7" si="1">D19*D20</f>
        <v>0</v>
      </c>
      <c r="E7" s="297">
        <f t="shared" si="1"/>
        <v>0</v>
      </c>
      <c r="F7" s="297">
        <f t="shared" si="1"/>
        <v>0.99732847678243752</v>
      </c>
      <c r="G7" s="253"/>
      <c r="H7" s="425"/>
      <c r="I7" s="267"/>
      <c r="L7" t="s">
        <v>557</v>
      </c>
      <c r="M7" s="1" t="s">
        <v>616</v>
      </c>
    </row>
    <row r="8" spans="1:13" x14ac:dyDescent="0.55000000000000004">
      <c r="A8" s="8" t="s">
        <v>557</v>
      </c>
      <c r="B8" s="267" t="s">
        <v>553</v>
      </c>
      <c r="C8" s="297">
        <f>C21*(1-C22)</f>
        <v>0</v>
      </c>
      <c r="D8" s="297">
        <f t="shared" ref="D8:F14" si="2">D21*(1-D22)</f>
        <v>2.2854721106219968</v>
      </c>
      <c r="E8" s="297">
        <f t="shared" si="2"/>
        <v>2.4169774503204851</v>
      </c>
      <c r="F8" s="297">
        <f t="shared" si="2"/>
        <v>1.1109933871079152</v>
      </c>
      <c r="G8" s="253"/>
      <c r="H8" s="425">
        <f>(6.2+0.7+1.6)*M4</f>
        <v>9.3640871199095717</v>
      </c>
      <c r="I8" s="267" t="s">
        <v>627</v>
      </c>
      <c r="L8" t="s">
        <v>558</v>
      </c>
      <c r="M8" s="1" t="s">
        <v>620</v>
      </c>
    </row>
    <row r="9" spans="1:13" x14ac:dyDescent="0.55000000000000004">
      <c r="A9" s="8" t="s">
        <v>557</v>
      </c>
      <c r="B9" s="267" t="s">
        <v>405</v>
      </c>
      <c r="C9" s="297">
        <f>C21*C22</f>
        <v>0</v>
      </c>
      <c r="D9" s="297">
        <f>D21*D22</f>
        <v>0.57136802765549921</v>
      </c>
      <c r="E9" s="297">
        <f>E21*E22</f>
        <v>0.83664604049555269</v>
      </c>
      <c r="F9" s="297">
        <f>F21*F22</f>
        <v>0.5554966935539577</v>
      </c>
      <c r="G9" s="253"/>
      <c r="H9" s="425"/>
      <c r="I9" s="267"/>
      <c r="L9" t="s">
        <v>559</v>
      </c>
      <c r="M9" s="1" t="s">
        <v>621</v>
      </c>
    </row>
    <row r="10" spans="1:13" x14ac:dyDescent="0.55000000000000004">
      <c r="A10" s="8" t="s">
        <v>558</v>
      </c>
      <c r="B10" s="267" t="s">
        <v>553</v>
      </c>
      <c r="C10" s="297">
        <f>C23*(1-C24)</f>
        <v>0</v>
      </c>
      <c r="D10" s="297">
        <f t="shared" si="2"/>
        <v>0</v>
      </c>
      <c r="E10" s="297">
        <f t="shared" si="2"/>
        <v>0</v>
      </c>
      <c r="F10" s="297">
        <f t="shared" si="2"/>
        <v>1.3997528151560328</v>
      </c>
      <c r="G10" s="253"/>
      <c r="H10" s="425">
        <f>(4.4+0.1+0.9)*$M$4</f>
        <v>5.9489494644131398</v>
      </c>
      <c r="I10" s="267" t="s">
        <v>628</v>
      </c>
      <c r="L10" t="s">
        <v>560</v>
      </c>
      <c r="M10" s="1" t="s">
        <v>622</v>
      </c>
    </row>
    <row r="11" spans="1:13" x14ac:dyDescent="0.55000000000000004">
      <c r="A11" s="8" t="s">
        <v>558</v>
      </c>
      <c r="B11" s="267" t="s">
        <v>405</v>
      </c>
      <c r="C11" s="297">
        <f>C23*C24</f>
        <v>0</v>
      </c>
      <c r="D11" s="297">
        <f>D23*D24</f>
        <v>0</v>
      </c>
      <c r="E11" s="297">
        <f>E23*E24</f>
        <v>0</v>
      </c>
      <c r="F11" s="297">
        <f>F23*F24</f>
        <v>0.76350153553965439</v>
      </c>
      <c r="G11" s="253"/>
      <c r="H11" s="425"/>
      <c r="I11" s="267"/>
    </row>
    <row r="12" spans="1:13" x14ac:dyDescent="0.55000000000000004">
      <c r="A12" s="8" t="s">
        <v>559</v>
      </c>
      <c r="B12" s="267" t="s">
        <v>553</v>
      </c>
      <c r="C12" s="297">
        <f>C25*(1-C26)</f>
        <v>0</v>
      </c>
      <c r="D12" s="297">
        <f t="shared" si="2"/>
        <v>0.5803853136012822</v>
      </c>
      <c r="E12" s="297">
        <f t="shared" si="2"/>
        <v>0.62472030283471314</v>
      </c>
      <c r="F12" s="297">
        <f t="shared" si="2"/>
        <v>0.51637222754231693</v>
      </c>
      <c r="G12" s="253"/>
      <c r="H12" s="425">
        <f>(4.4+0.1+0.9)*$M$4</f>
        <v>5.9489494644131398</v>
      </c>
      <c r="I12" s="267" t="s">
        <v>628</v>
      </c>
    </row>
    <row r="13" spans="1:13" x14ac:dyDescent="0.55000000000000004">
      <c r="A13" s="8" t="s">
        <v>559</v>
      </c>
      <c r="B13" s="267" t="s">
        <v>405</v>
      </c>
      <c r="C13" s="297">
        <f>C25*C26</f>
        <v>0</v>
      </c>
      <c r="D13" s="297">
        <f>D25*D26</f>
        <v>2.0313485976044867</v>
      </c>
      <c r="E13" s="297">
        <f>E25*E26</f>
        <v>0.8262429811684916</v>
      </c>
      <c r="F13" s="297">
        <f>F25*F26</f>
        <v>0.28165757865944563</v>
      </c>
      <c r="G13" s="253"/>
      <c r="H13" s="425"/>
      <c r="I13" s="267"/>
    </row>
    <row r="14" spans="1:13" x14ac:dyDescent="0.55000000000000004">
      <c r="A14" s="8" t="s">
        <v>560</v>
      </c>
      <c r="B14" s="267" t="s">
        <v>553</v>
      </c>
      <c r="C14" s="297">
        <f>C27*(1-C28)</f>
        <v>0</v>
      </c>
      <c r="D14" s="297">
        <f t="shared" si="2"/>
        <v>0</v>
      </c>
      <c r="E14" s="297">
        <f t="shared" si="2"/>
        <v>0.17075688277482162</v>
      </c>
      <c r="F14" s="297">
        <f t="shared" si="2"/>
        <v>2.0529707955621812</v>
      </c>
      <c r="G14" s="426"/>
      <c r="H14" s="425">
        <f>(4.4+0.1+0.9)*$M$4</f>
        <v>5.9489494644131398</v>
      </c>
      <c r="I14" s="267" t="s">
        <v>628</v>
      </c>
    </row>
    <row r="15" spans="1:13" x14ac:dyDescent="0.55000000000000004">
      <c r="A15" s="8" t="s">
        <v>560</v>
      </c>
      <c r="B15" s="267" t="s">
        <v>405</v>
      </c>
      <c r="C15" s="297">
        <f>C27*C28</f>
        <v>0</v>
      </c>
      <c r="D15" s="297">
        <f t="shared" ref="D15:F15" si="3">D27*D28</f>
        <v>0</v>
      </c>
      <c r="E15" s="297">
        <f t="shared" si="3"/>
        <v>0.22583974818605437</v>
      </c>
      <c r="F15" s="297">
        <f t="shared" si="3"/>
        <v>1.1198022521248263</v>
      </c>
      <c r="G15" s="396"/>
      <c r="H15" s="267"/>
      <c r="I15" s="267"/>
    </row>
    <row r="16" spans="1:13" x14ac:dyDescent="0.55000000000000004">
      <c r="H16" s="206"/>
    </row>
    <row r="18" spans="1:15" x14ac:dyDescent="0.55000000000000004">
      <c r="A18" s="300"/>
      <c r="B18" s="300"/>
      <c r="C18" s="399">
        <v>10</v>
      </c>
      <c r="D18" s="399">
        <v>20</v>
      </c>
      <c r="E18" s="399">
        <v>30</v>
      </c>
      <c r="F18" s="399">
        <v>40</v>
      </c>
      <c r="G18" s="399">
        <v>100</v>
      </c>
    </row>
    <row r="19" spans="1:15" x14ac:dyDescent="0.55000000000000004">
      <c r="A19" s="300" t="s">
        <v>556</v>
      </c>
      <c r="B19" s="300" t="s">
        <v>626</v>
      </c>
      <c r="C19" s="427">
        <f>$H6*SUMIFS('Kulstofoptag, skov'!D$2:D$13,'Kulstofoptag,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D19" s="427">
        <f>$H6*SUMIFS('Kulstofoptag, skov'!E$2:E$13,'Kulstofoptag,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E19" s="427">
        <f>$H6*SUMIFS('Kulstofoptag, skov'!F$2:F$13,'Kulstofoptag,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F19" s="297">
        <f>$H6*SUMIFS('Kulstofoptag, skov'!G$2:G$13,'Kulstofoptag,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2.9065001323373894</v>
      </c>
      <c r="G19" s="297">
        <f>$H6*SUMIFS('Kulstofoptag, skov'!H$2:H$13,'Kulstofoptag,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1.5001291005612329</v>
      </c>
    </row>
    <row r="20" spans="1:15" x14ac:dyDescent="0.55000000000000004">
      <c r="A20" s="300" t="s">
        <v>556</v>
      </c>
      <c r="B20" s="300" t="s">
        <v>408</v>
      </c>
      <c r="C20" s="428">
        <f>AVERAGE(C22,C24)</f>
        <v>0.9285714285714286</v>
      </c>
      <c r="D20" s="428">
        <f>AVERAGE(D22,D24)</f>
        <v>0.48888888888888882</v>
      </c>
      <c r="E20" s="428">
        <f>AVERAGE(E22,E24)</f>
        <v>0.41329365079365077</v>
      </c>
      <c r="F20" s="428">
        <f>AVERAGE(F22,F24)</f>
        <v>0.34313725490196079</v>
      </c>
      <c r="G20" s="428">
        <f>AVERAGE(G22,G24)</f>
        <v>0.43545751633986929</v>
      </c>
      <c r="K20" s="253">
        <v>10</v>
      </c>
      <c r="L20" s="253">
        <v>20</v>
      </c>
      <c r="M20" s="253">
        <v>30</v>
      </c>
      <c r="N20" s="253">
        <v>40</v>
      </c>
      <c r="O20" s="253">
        <v>100</v>
      </c>
    </row>
    <row r="21" spans="1:15" x14ac:dyDescent="0.55000000000000004">
      <c r="A21" s="300" t="s">
        <v>557</v>
      </c>
      <c r="B21" s="300" t="s">
        <v>626</v>
      </c>
      <c r="C21" s="427">
        <f>$H8*SUMIFS('Kulstofoptag, skov'!D$2:D$13,'Kulstofoptag,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0</v>
      </c>
      <c r="D21" s="297">
        <f>$H8*SUMIFS('Kulstofoptag, skov'!E$2:E$13,'Kulstofoptag,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2.8568401382774962</v>
      </c>
      <c r="E21" s="297">
        <f>$H8*SUMIFS('Kulstofoptag, skov'!F$2:F$13,'Kulstofoptag,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3.2536234908160377</v>
      </c>
      <c r="F21" s="297">
        <f>$H8*SUMIFS('Kulstofoptag, skov'!G$2:G$13,'Kulstofoptag,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1.666490080661873</v>
      </c>
      <c r="G21" s="297">
        <f>$H8*SUMIFS('Kulstofoptag, skov'!H$2:H$13,'Kulstofoptag,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1.5871334101541645</v>
      </c>
      <c r="H21" t="s">
        <v>627</v>
      </c>
      <c r="I21" s="300" t="s">
        <v>557</v>
      </c>
      <c r="J21" s="300" t="s">
        <v>626</v>
      </c>
      <c r="K21" s="424">
        <f>1-K22-K23</f>
        <v>0.125</v>
      </c>
      <c r="L21" s="424">
        <f>1-L22-L23</f>
        <v>0.6</v>
      </c>
      <c r="M21" s="424">
        <f>1-M22-M23</f>
        <v>0.65</v>
      </c>
      <c r="N21" s="424">
        <f>1-N22-N23</f>
        <v>0.6</v>
      </c>
      <c r="O21" s="424">
        <f>1-O22-O23</f>
        <v>0.5</v>
      </c>
    </row>
    <row r="22" spans="1:15" x14ac:dyDescent="0.55000000000000004">
      <c r="A22" s="300" t="s">
        <v>557</v>
      </c>
      <c r="B22" s="300" t="s">
        <v>408</v>
      </c>
      <c r="C22" s="428">
        <f>K22/SUM(K21:K22)</f>
        <v>0.8571428571428571</v>
      </c>
      <c r="D22" s="428">
        <f>L22/SUM(L21:L22)</f>
        <v>0.19999999999999998</v>
      </c>
      <c r="E22" s="428">
        <f>M22/SUM(M21:M22)</f>
        <v>0.25714285714285717</v>
      </c>
      <c r="F22" s="428">
        <f>N22/SUM(N21:N22)</f>
        <v>0.33333333333333337</v>
      </c>
      <c r="G22" s="428">
        <f>O22/SUM(O21:O22)</f>
        <v>0.44444444444444448</v>
      </c>
      <c r="I22" s="300" t="s">
        <v>557</v>
      </c>
      <c r="J22" s="300" t="s">
        <v>408</v>
      </c>
      <c r="K22" s="428">
        <f>AVERAGE(AVERAGEIF($B$31:$J$31,K$20,$B39:$J39),AVERAGEIF($B$31:$J$31,K$20,$B47:$J47))/100</f>
        <v>0.75</v>
      </c>
      <c r="L22" s="428">
        <f t="shared" ref="L22:O22" si="4">AVERAGE(AVERAGEIF($B$31:$J$31,L$20,$B39:$J39),AVERAGEIF($B$31:$J$31,L$20,$B47:$J47))/100</f>
        <v>0.15</v>
      </c>
      <c r="M22" s="428">
        <f t="shared" si="4"/>
        <v>0.22500000000000001</v>
      </c>
      <c r="N22" s="428">
        <f t="shared" si="4"/>
        <v>0.3</v>
      </c>
      <c r="O22" s="428">
        <f t="shared" si="4"/>
        <v>0.4</v>
      </c>
    </row>
    <row r="23" spans="1:15" x14ac:dyDescent="0.55000000000000004">
      <c r="A23" s="300" t="s">
        <v>558</v>
      </c>
      <c r="B23" s="300" t="s">
        <v>626</v>
      </c>
      <c r="C23" s="427">
        <f>$H10*SUMIFS('Kulstofoptag, skov'!D$2:D$13,'Kulstofoptag,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D23" s="427">
        <f>$H10*SUMIFS('Kulstofoptag, skov'!E$2:E$13,'Kulstofoptag,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E23" s="427">
        <f>$H10*SUMIFS('Kulstofoptag, skov'!F$2:F$13,'Kulstofoptag,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F23" s="297">
        <f>$H10*SUMIFS('Kulstofoptag, skov'!G$2:G$13,'Kulstofoptag,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2.1632543506956874</v>
      </c>
      <c r="G23" s="297">
        <f>$H10*SUMIFS('Kulstofoptag, skov'!H$2:H$13,'Kulstofoptag,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3.7856951137174524</v>
      </c>
      <c r="I23" s="300" t="s">
        <v>557</v>
      </c>
      <c r="J23" s="300" t="s">
        <v>631</v>
      </c>
      <c r="K23" s="428">
        <f>AVERAGE(AVERAGEIF($B$31:$J$31,K$20,$B40:$J40),AVERAGEIF($B$31:$J$31,K$20,$B48:$J48))/100</f>
        <v>0.125</v>
      </c>
      <c r="L23" s="428">
        <f t="shared" ref="L23:O23" si="5">AVERAGE(AVERAGEIF($B$31:$J$31,L$20,$B40:$J40),AVERAGEIF($B$31:$J$31,L$20,$B48:$J48))/100</f>
        <v>0.25</v>
      </c>
      <c r="M23" s="428">
        <f t="shared" si="5"/>
        <v>0.125</v>
      </c>
      <c r="N23" s="428">
        <f t="shared" si="5"/>
        <v>0.1</v>
      </c>
      <c r="O23" s="428">
        <f t="shared" si="5"/>
        <v>0.1</v>
      </c>
    </row>
    <row r="24" spans="1:15" x14ac:dyDescent="0.55000000000000004">
      <c r="A24" s="300" t="s">
        <v>558</v>
      </c>
      <c r="B24" s="300" t="s">
        <v>408</v>
      </c>
      <c r="C24" s="428">
        <f>K25/SUM(K24:K25)</f>
        <v>1</v>
      </c>
      <c r="D24" s="428">
        <f>L25/SUM(L24:L25)</f>
        <v>0.77777777777777768</v>
      </c>
      <c r="E24" s="428">
        <f>M25/SUM(M24:M25)</f>
        <v>0.56944444444444442</v>
      </c>
      <c r="F24" s="428">
        <f>N25/SUM(N24:N25)</f>
        <v>0.35294117647058826</v>
      </c>
      <c r="G24" s="428">
        <f>O25/SUM(O24:O25)</f>
        <v>0.42647058823529416</v>
      </c>
      <c r="H24" t="s">
        <v>628</v>
      </c>
      <c r="I24" s="300" t="s">
        <v>558</v>
      </c>
      <c r="J24" s="300" t="s">
        <v>626</v>
      </c>
      <c r="K24" s="424">
        <f>1-K25-K26</f>
        <v>0</v>
      </c>
      <c r="L24" s="424">
        <f>1-L25-L26</f>
        <v>0.20000000000000004</v>
      </c>
      <c r="M24" s="424">
        <f>1-M25-M26</f>
        <v>0.38750000000000007</v>
      </c>
      <c r="N24" s="424">
        <f>1-N25-N26</f>
        <v>0.54999999999999993</v>
      </c>
      <c r="O24" s="424">
        <f>1-O25-O26</f>
        <v>0.48749999999999993</v>
      </c>
    </row>
    <row r="25" spans="1:15" x14ac:dyDescent="0.55000000000000004">
      <c r="A25" s="300" t="s">
        <v>559</v>
      </c>
      <c r="B25" s="300" t="s">
        <v>626</v>
      </c>
      <c r="C25" s="427">
        <f>$H12*SUMIFS('Kulstofoptag, skov'!D$2:D$13,'Kulstofoptag,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</v>
      </c>
      <c r="D25" s="297">
        <f>$H12*SUMIFS('Kulstofoptag, skov'!E$2:E$13,'Kulstofoptag,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2.6117339112057687</v>
      </c>
      <c r="E25" s="297">
        <f>$H12*SUMIFS('Kulstofoptag, skov'!F$2:F$13,'Kulstofoptag,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1.4509632840032047</v>
      </c>
      <c r="F25" s="297">
        <f>$H12*SUMIFS('Kulstofoptag, skov'!G$2:G$13,'Kulstofoptag,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0.79802980620176256</v>
      </c>
      <c r="G25" s="297">
        <f>$H12*SUMIFS('Kulstofoptag, skov'!H$2:H$13,'Kulstofoptag,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1.0882224630024036</v>
      </c>
      <c r="I25" s="300" t="s">
        <v>558</v>
      </c>
      <c r="J25" s="300" t="s">
        <v>408</v>
      </c>
      <c r="K25" s="428">
        <f>AVERAGE(AVERAGEIF($B$31:$J$31,K$20,$B35:$J35),AVERAGEIF($B$31:$J$31,K$20,$B43:$J43))/100</f>
        <v>0.85</v>
      </c>
      <c r="L25" s="428">
        <f t="shared" ref="L25:O26" si="6">AVERAGE(AVERAGEIF($B$31:$J$31,L$20,$B35:$J35),AVERAGEIF($B$31:$J$31,L$20,$B43:$J43))/100</f>
        <v>0.7</v>
      </c>
      <c r="M25" s="428">
        <f t="shared" si="6"/>
        <v>0.51249999999999996</v>
      </c>
      <c r="N25" s="428">
        <f t="shared" si="6"/>
        <v>0.3</v>
      </c>
      <c r="O25" s="428">
        <f t="shared" si="6"/>
        <v>0.36249999999999999</v>
      </c>
    </row>
    <row r="26" spans="1:15" x14ac:dyDescent="0.55000000000000004">
      <c r="A26" s="300" t="s">
        <v>559</v>
      </c>
      <c r="B26" s="300" t="s">
        <v>408</v>
      </c>
      <c r="C26" s="428">
        <f>C24</f>
        <v>1</v>
      </c>
      <c r="D26" s="428">
        <f t="shared" ref="D26:G26" si="7">D24</f>
        <v>0.77777777777777768</v>
      </c>
      <c r="E26" s="428">
        <f t="shared" si="7"/>
        <v>0.56944444444444442</v>
      </c>
      <c r="F26" s="428">
        <f t="shared" si="7"/>
        <v>0.35294117647058826</v>
      </c>
      <c r="G26" s="428">
        <f t="shared" si="7"/>
        <v>0.42647058823529416</v>
      </c>
      <c r="I26" s="300" t="s">
        <v>558</v>
      </c>
      <c r="J26" s="300" t="s">
        <v>631</v>
      </c>
      <c r="K26" s="428">
        <f>AVERAGE(AVERAGEIF($B$31:$J$31,K$20,$B36:$J36),AVERAGEIF($B$31:$J$31,K$20,$B44:$J44))/100</f>
        <v>0.15</v>
      </c>
      <c r="L26" s="428">
        <f t="shared" si="6"/>
        <v>0.1</v>
      </c>
      <c r="M26" s="428">
        <f t="shared" si="6"/>
        <v>0.1</v>
      </c>
      <c r="N26" s="428">
        <f t="shared" si="6"/>
        <v>0.15</v>
      </c>
      <c r="O26" s="428">
        <f t="shared" si="6"/>
        <v>0.15</v>
      </c>
    </row>
    <row r="27" spans="1:15" x14ac:dyDescent="0.55000000000000004">
      <c r="A27" s="300" t="s">
        <v>560</v>
      </c>
      <c r="B27" s="300" t="s">
        <v>626</v>
      </c>
      <c r="C27" s="427">
        <f>$H14*SUMIFS('Kulstofoptag, skov'!D$2:D$13,'Kulstofoptag,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D27" s="427">
        <f>$H14*SUMIFS('Kulstofoptag, skov'!E$2:E$13,'Kulstofoptag,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E27" s="427">
        <f>$H14*SUMIFS('Kulstofoptag, skov'!F$2:F$13,'Kulstofoptag,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0.396596630960876</v>
      </c>
      <c r="F27" s="297">
        <f>$H14*SUMIFS('Kulstofoptag, skov'!G$2:G$13,'Kulstofoptag,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3.172773047687008</v>
      </c>
      <c r="G27" s="297">
        <f>$H14*SUMIFS('Kulstofoptag, skov'!H$2:H$13,'Kulstofoptag,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2.3795797857652561</v>
      </c>
    </row>
    <row r="28" spans="1:15" x14ac:dyDescent="0.55000000000000004">
      <c r="A28" s="300" t="s">
        <v>560</v>
      </c>
      <c r="B28" s="300" t="s">
        <v>408</v>
      </c>
      <c r="C28" s="428">
        <f>C24</f>
        <v>1</v>
      </c>
      <c r="D28" s="428">
        <f t="shared" ref="D28:G28" si="8">D24</f>
        <v>0.77777777777777768</v>
      </c>
      <c r="E28" s="428">
        <f t="shared" si="8"/>
        <v>0.56944444444444442</v>
      </c>
      <c r="F28" s="428">
        <f t="shared" si="8"/>
        <v>0.35294117647058826</v>
      </c>
      <c r="G28" s="428">
        <f t="shared" si="8"/>
        <v>0.42647058823529416</v>
      </c>
    </row>
    <row r="30" spans="1:15" x14ac:dyDescent="0.55000000000000004">
      <c r="A30" t="s">
        <v>812</v>
      </c>
    </row>
    <row r="31" spans="1:15" ht="14.7" thickBot="1" x14ac:dyDescent="0.6">
      <c r="B31">
        <v>10</v>
      </c>
      <c r="C31">
        <v>10</v>
      </c>
      <c r="D31">
        <v>20</v>
      </c>
      <c r="E31">
        <v>30</v>
      </c>
      <c r="F31">
        <v>30</v>
      </c>
      <c r="G31">
        <v>40</v>
      </c>
      <c r="H31">
        <v>40</v>
      </c>
      <c r="I31">
        <v>100</v>
      </c>
      <c r="J31">
        <v>100</v>
      </c>
    </row>
    <row r="32" spans="1:15" ht="14.7" thickBot="1" x14ac:dyDescent="0.6">
      <c r="A32" s="429" t="s">
        <v>796</v>
      </c>
      <c r="B32" s="430" t="s">
        <v>809</v>
      </c>
      <c r="C32" s="430" t="s">
        <v>804</v>
      </c>
      <c r="D32" s="430" t="s">
        <v>805</v>
      </c>
      <c r="E32" s="430" t="s">
        <v>810</v>
      </c>
      <c r="F32" s="430" t="s">
        <v>806</v>
      </c>
      <c r="G32" s="430" t="s">
        <v>807</v>
      </c>
      <c r="H32" s="430" t="s">
        <v>808</v>
      </c>
      <c r="I32" s="430" t="s">
        <v>797</v>
      </c>
      <c r="J32" s="430" t="s">
        <v>811</v>
      </c>
    </row>
    <row r="33" spans="1:10" ht="14.7" thickBot="1" x14ac:dyDescent="0.6">
      <c r="A33" s="515" t="s">
        <v>798</v>
      </c>
      <c r="B33" s="516"/>
      <c r="C33" s="431"/>
      <c r="D33" s="431"/>
      <c r="E33" s="517"/>
      <c r="F33" s="517"/>
      <c r="G33" s="431"/>
      <c r="H33" s="431"/>
      <c r="I33" s="431"/>
      <c r="J33" s="432"/>
    </row>
    <row r="34" spans="1:10" ht="14.7" thickBot="1" x14ac:dyDescent="0.6">
      <c r="A34" s="433" t="s">
        <v>799</v>
      </c>
      <c r="B34" s="434">
        <v>0</v>
      </c>
      <c r="C34" s="434">
        <v>0</v>
      </c>
      <c r="D34" s="434">
        <v>20</v>
      </c>
      <c r="E34" s="434">
        <v>30</v>
      </c>
      <c r="F34" s="434">
        <v>40</v>
      </c>
      <c r="G34" s="434">
        <v>50</v>
      </c>
      <c r="H34" s="434">
        <v>55</v>
      </c>
      <c r="I34" s="434">
        <v>50</v>
      </c>
      <c r="J34" s="434">
        <v>45</v>
      </c>
    </row>
    <row r="35" spans="1:10" ht="14.7" thickBot="1" x14ac:dyDescent="0.6">
      <c r="A35" s="433" t="s">
        <v>800</v>
      </c>
      <c r="B35" s="434">
        <v>80</v>
      </c>
      <c r="C35" s="434">
        <v>90</v>
      </c>
      <c r="D35" s="434">
        <v>70</v>
      </c>
      <c r="E35" s="434">
        <v>60</v>
      </c>
      <c r="F35" s="434">
        <v>50</v>
      </c>
      <c r="G35" s="434">
        <v>35</v>
      </c>
      <c r="H35" s="434">
        <v>30</v>
      </c>
      <c r="I35" s="434">
        <v>35</v>
      </c>
      <c r="J35" s="434">
        <v>40</v>
      </c>
    </row>
    <row r="36" spans="1:10" ht="14.7" thickBot="1" x14ac:dyDescent="0.6">
      <c r="A36" s="433" t="s">
        <v>801</v>
      </c>
      <c r="B36" s="434">
        <v>20</v>
      </c>
      <c r="C36" s="434">
        <v>10</v>
      </c>
      <c r="D36" s="434">
        <v>10</v>
      </c>
      <c r="E36" s="434">
        <v>10</v>
      </c>
      <c r="F36" s="434">
        <v>10</v>
      </c>
      <c r="G36" s="434">
        <v>15</v>
      </c>
      <c r="H36" s="434">
        <v>15</v>
      </c>
      <c r="I36" s="434">
        <v>15</v>
      </c>
      <c r="J36" s="434">
        <v>15</v>
      </c>
    </row>
    <row r="37" spans="1:10" ht="14.7" thickBot="1" x14ac:dyDescent="0.6">
      <c r="A37" s="515" t="s">
        <v>802</v>
      </c>
      <c r="B37" s="516"/>
      <c r="C37" s="431"/>
      <c r="D37" s="431"/>
      <c r="E37" s="517"/>
      <c r="F37" s="517"/>
      <c r="G37" s="431"/>
      <c r="H37" s="431"/>
      <c r="I37" s="431"/>
      <c r="J37" s="432"/>
    </row>
    <row r="38" spans="1:10" ht="14.7" thickBot="1" x14ac:dyDescent="0.6">
      <c r="A38" s="433" t="s">
        <v>799</v>
      </c>
      <c r="B38" s="434">
        <v>0</v>
      </c>
      <c r="C38" s="434">
        <v>25</v>
      </c>
      <c r="D38" s="434">
        <v>60</v>
      </c>
      <c r="E38" s="434">
        <v>65</v>
      </c>
      <c r="F38" s="434">
        <v>65</v>
      </c>
      <c r="G38" s="434">
        <v>60</v>
      </c>
      <c r="H38" s="434">
        <v>60</v>
      </c>
      <c r="I38" s="434">
        <v>50</v>
      </c>
      <c r="J38" s="434">
        <v>50</v>
      </c>
    </row>
    <row r="39" spans="1:10" ht="14.7" thickBot="1" x14ac:dyDescent="0.6">
      <c r="A39" s="433" t="s">
        <v>800</v>
      </c>
      <c r="B39" s="434">
        <v>90</v>
      </c>
      <c r="C39" s="434">
        <v>60</v>
      </c>
      <c r="D39" s="434">
        <v>15</v>
      </c>
      <c r="E39" s="434">
        <v>20</v>
      </c>
      <c r="F39" s="434">
        <v>25</v>
      </c>
      <c r="G39" s="434">
        <v>30</v>
      </c>
      <c r="H39" s="434">
        <v>30</v>
      </c>
      <c r="I39" s="434">
        <v>40</v>
      </c>
      <c r="J39" s="434">
        <v>40</v>
      </c>
    </row>
    <row r="40" spans="1:10" ht="14.7" thickBot="1" x14ac:dyDescent="0.6">
      <c r="A40" s="433" t="s">
        <v>801</v>
      </c>
      <c r="B40" s="434">
        <v>10</v>
      </c>
      <c r="C40" s="434">
        <v>15</v>
      </c>
      <c r="D40" s="434">
        <v>25</v>
      </c>
      <c r="E40" s="434">
        <v>15</v>
      </c>
      <c r="F40" s="434">
        <v>10</v>
      </c>
      <c r="G40" s="434">
        <v>10</v>
      </c>
      <c r="H40" s="434">
        <v>10</v>
      </c>
      <c r="I40" s="434">
        <v>10</v>
      </c>
      <c r="J40" s="434">
        <v>10</v>
      </c>
    </row>
    <row r="41" spans="1:10" ht="14.7" thickBot="1" x14ac:dyDescent="0.6">
      <c r="A41" s="515" t="s">
        <v>803</v>
      </c>
      <c r="B41" s="516"/>
      <c r="C41" s="431"/>
      <c r="D41" s="431"/>
      <c r="E41" s="517"/>
      <c r="F41" s="517"/>
      <c r="G41" s="431"/>
      <c r="H41" s="431"/>
      <c r="I41" s="431"/>
      <c r="J41" s="432"/>
    </row>
    <row r="42" spans="1:10" ht="14.7" thickBot="1" x14ac:dyDescent="0.6">
      <c r="A42" s="433" t="s">
        <v>799</v>
      </c>
      <c r="B42" s="434">
        <v>0</v>
      </c>
      <c r="C42" s="434">
        <v>0</v>
      </c>
      <c r="D42" s="434">
        <v>20</v>
      </c>
      <c r="E42" s="434">
        <v>35</v>
      </c>
      <c r="F42" s="434">
        <v>50</v>
      </c>
      <c r="G42" s="434">
        <v>55</v>
      </c>
      <c r="H42" s="434">
        <v>60</v>
      </c>
      <c r="I42" s="434">
        <v>55</v>
      </c>
      <c r="J42" s="434">
        <v>45</v>
      </c>
    </row>
    <row r="43" spans="1:10" ht="14.7" thickBot="1" x14ac:dyDescent="0.6">
      <c r="A43" s="433" t="s">
        <v>800</v>
      </c>
      <c r="B43" s="434">
        <v>80</v>
      </c>
      <c r="C43" s="434">
        <v>90</v>
      </c>
      <c r="D43" s="434">
        <v>70</v>
      </c>
      <c r="E43" s="434">
        <v>55</v>
      </c>
      <c r="F43" s="434">
        <v>40</v>
      </c>
      <c r="G43" s="434">
        <v>30</v>
      </c>
      <c r="H43" s="434">
        <v>25</v>
      </c>
      <c r="I43" s="434">
        <v>30</v>
      </c>
      <c r="J43" s="434">
        <v>40</v>
      </c>
    </row>
    <row r="44" spans="1:10" ht="14.7" thickBot="1" x14ac:dyDescent="0.6">
      <c r="A44" s="433" t="s">
        <v>801</v>
      </c>
      <c r="B44" s="434">
        <v>20</v>
      </c>
      <c r="C44" s="434">
        <v>10</v>
      </c>
      <c r="D44" s="434">
        <v>10</v>
      </c>
      <c r="E44" s="434">
        <v>10</v>
      </c>
      <c r="F44" s="434">
        <v>10</v>
      </c>
      <c r="G44" s="434">
        <v>15</v>
      </c>
      <c r="H44" s="434">
        <v>15</v>
      </c>
      <c r="I44" s="434">
        <v>15</v>
      </c>
      <c r="J44" s="434">
        <v>15</v>
      </c>
    </row>
    <row r="45" spans="1:10" ht="14.7" thickBot="1" x14ac:dyDescent="0.6">
      <c r="A45" s="515" t="s">
        <v>802</v>
      </c>
      <c r="B45" s="516"/>
      <c r="C45" s="431"/>
      <c r="D45" s="431"/>
      <c r="E45" s="517"/>
      <c r="F45" s="517"/>
      <c r="G45" s="431"/>
      <c r="H45" s="431"/>
      <c r="I45" s="431"/>
      <c r="J45" s="432"/>
    </row>
    <row r="46" spans="1:10" ht="14.7" thickBot="1" x14ac:dyDescent="0.6">
      <c r="A46" s="433" t="s">
        <v>799</v>
      </c>
      <c r="B46" s="434">
        <v>0</v>
      </c>
      <c r="C46" s="434">
        <v>25</v>
      </c>
      <c r="D46" s="434">
        <v>60</v>
      </c>
      <c r="E46" s="434">
        <v>65</v>
      </c>
      <c r="F46" s="434">
        <v>65</v>
      </c>
      <c r="G46" s="434">
        <v>60</v>
      </c>
      <c r="H46" s="434">
        <v>60</v>
      </c>
      <c r="I46" s="434">
        <v>50</v>
      </c>
      <c r="J46" s="434">
        <v>50</v>
      </c>
    </row>
    <row r="47" spans="1:10" ht="14.7" thickBot="1" x14ac:dyDescent="0.6">
      <c r="A47" s="433" t="s">
        <v>800</v>
      </c>
      <c r="B47" s="434">
        <v>90</v>
      </c>
      <c r="C47" s="434">
        <v>60</v>
      </c>
      <c r="D47" s="434">
        <v>15</v>
      </c>
      <c r="E47" s="434">
        <v>20</v>
      </c>
      <c r="F47" s="434">
        <v>25</v>
      </c>
      <c r="G47" s="434">
        <v>30</v>
      </c>
      <c r="H47" s="434">
        <v>30</v>
      </c>
      <c r="I47" s="434">
        <v>40</v>
      </c>
      <c r="J47" s="434">
        <v>40</v>
      </c>
    </row>
    <row r="48" spans="1:10" ht="14.7" thickBot="1" x14ac:dyDescent="0.6">
      <c r="A48" s="433" t="s">
        <v>801</v>
      </c>
      <c r="B48" s="434">
        <v>10</v>
      </c>
      <c r="C48" s="434">
        <v>15</v>
      </c>
      <c r="D48" s="434">
        <v>25</v>
      </c>
      <c r="E48" s="434">
        <v>15</v>
      </c>
      <c r="F48" s="434">
        <v>10</v>
      </c>
      <c r="G48" s="434">
        <v>10</v>
      </c>
      <c r="H48" s="434">
        <v>10</v>
      </c>
      <c r="I48" s="434">
        <v>10</v>
      </c>
      <c r="J48" s="434">
        <v>10</v>
      </c>
    </row>
  </sheetData>
  <mergeCells count="9">
    <mergeCell ref="A41:B41"/>
    <mergeCell ref="E41:F41"/>
    <mergeCell ref="A45:B45"/>
    <mergeCell ref="E45:F45"/>
    <mergeCell ref="C2:F2"/>
    <mergeCell ref="A33:B33"/>
    <mergeCell ref="E33:F33"/>
    <mergeCell ref="A37:B37"/>
    <mergeCell ref="E37:F37"/>
  </mergeCells>
  <phoneticPr fontId="18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C6B5-E45D-4E21-9C79-A1DB66F54827}">
  <sheetPr codeName="Sheet18">
    <tabColor theme="5" tint="-0.249977111117893"/>
  </sheetPr>
  <dimension ref="A1:N81"/>
  <sheetViews>
    <sheetView workbookViewId="0">
      <selection activeCell="H4" sqref="H4"/>
    </sheetView>
  </sheetViews>
  <sheetFormatPr defaultRowHeight="14.4" x14ac:dyDescent="0.55000000000000004"/>
  <cols>
    <col min="1" max="1" width="62" customWidth="1"/>
    <col min="2" max="2" width="10.68359375" customWidth="1"/>
    <col min="3" max="3" width="16.68359375" customWidth="1"/>
  </cols>
  <sheetData>
    <row r="1" spans="1:14" x14ac:dyDescent="0.55000000000000004">
      <c r="A1" s="267" t="s">
        <v>623</v>
      </c>
      <c r="B1" s="267"/>
      <c r="C1" s="267"/>
      <c r="D1" s="249">
        <v>10</v>
      </c>
      <c r="E1" s="249">
        <v>20</v>
      </c>
      <c r="F1" s="249">
        <v>30</v>
      </c>
      <c r="G1" s="249">
        <v>40</v>
      </c>
      <c r="H1" s="249">
        <v>100</v>
      </c>
      <c r="I1" s="267" t="s">
        <v>617</v>
      </c>
    </row>
    <row r="2" spans="1:14" x14ac:dyDescent="0.55000000000000004">
      <c r="A2" s="8" t="s">
        <v>614</v>
      </c>
      <c r="B2" s="267" t="s">
        <v>555</v>
      </c>
      <c r="C2" s="267" t="s">
        <v>618</v>
      </c>
      <c r="D2" s="267">
        <f>B74</f>
        <v>1</v>
      </c>
      <c r="E2" s="267">
        <f t="shared" ref="E2:G3" si="0">C74</f>
        <v>1</v>
      </c>
      <c r="F2" s="267">
        <f t="shared" si="0"/>
        <v>1</v>
      </c>
      <c r="G2" s="267">
        <f t="shared" si="0"/>
        <v>1</v>
      </c>
      <c r="H2" s="267">
        <f t="shared" ref="H2" si="1">F74</f>
        <v>1</v>
      </c>
      <c r="I2" s="267">
        <f>F74</f>
        <v>1</v>
      </c>
    </row>
    <row r="3" spans="1:14" x14ac:dyDescent="0.55000000000000004">
      <c r="A3" s="8"/>
      <c r="B3" s="267" t="s">
        <v>555</v>
      </c>
      <c r="C3" s="267" t="s">
        <v>619</v>
      </c>
      <c r="D3" s="267">
        <f>B75</f>
        <v>8</v>
      </c>
      <c r="E3" s="267">
        <f t="shared" si="0"/>
        <v>8</v>
      </c>
      <c r="F3" s="267">
        <f t="shared" si="0"/>
        <v>8</v>
      </c>
      <c r="G3" s="267">
        <f t="shared" si="0"/>
        <v>8</v>
      </c>
      <c r="H3" s="267">
        <f t="shared" ref="H3" si="2">F75</f>
        <v>8</v>
      </c>
      <c r="I3" s="267">
        <f>F75</f>
        <v>8</v>
      </c>
      <c r="N3" s="1"/>
    </row>
    <row r="4" spans="1:14" x14ac:dyDescent="0.55000000000000004">
      <c r="A4" s="8" t="s">
        <v>615</v>
      </c>
      <c r="B4" s="8" t="s">
        <v>556</v>
      </c>
      <c r="C4" s="267" t="s">
        <v>618</v>
      </c>
      <c r="D4" s="267">
        <f>AVERAGE(B32,B29)</f>
        <v>2.5</v>
      </c>
      <c r="E4" s="267">
        <f t="shared" ref="E4:G5" si="3">AVERAGE(C32,C29)</f>
        <v>5.5</v>
      </c>
      <c r="F4" s="267">
        <f t="shared" si="3"/>
        <v>14</v>
      </c>
      <c r="G4" s="267">
        <f t="shared" si="3"/>
        <v>14.5</v>
      </c>
      <c r="H4" s="267">
        <f t="shared" ref="H4" si="4">AVERAGE(F32,F29)</f>
        <v>5.5</v>
      </c>
      <c r="I4" s="267">
        <f>AVERAGE(F32,F29)</f>
        <v>5.5</v>
      </c>
      <c r="N4" s="1"/>
    </row>
    <row r="5" spans="1:14" x14ac:dyDescent="0.55000000000000004">
      <c r="A5" s="8"/>
      <c r="B5" s="8" t="s">
        <v>556</v>
      </c>
      <c r="C5" s="267" t="s">
        <v>619</v>
      </c>
      <c r="D5" s="267">
        <f>AVERAGE(B33,B30)</f>
        <v>0</v>
      </c>
      <c r="E5" s="267">
        <f t="shared" si="3"/>
        <v>0</v>
      </c>
      <c r="F5" s="267">
        <f t="shared" si="3"/>
        <v>0</v>
      </c>
      <c r="G5" s="267">
        <f t="shared" si="3"/>
        <v>15.5</v>
      </c>
      <c r="H5" s="267">
        <f t="shared" ref="H5" si="5">AVERAGE(F33,F30)</f>
        <v>8</v>
      </c>
      <c r="I5" s="267">
        <f>AVERAGE(F33,F30)</f>
        <v>8</v>
      </c>
      <c r="N5" s="1"/>
    </row>
    <row r="6" spans="1:14" x14ac:dyDescent="0.55000000000000004">
      <c r="A6" s="8" t="s">
        <v>616</v>
      </c>
      <c r="B6" s="8" t="s">
        <v>557</v>
      </c>
      <c r="C6" s="267" t="s">
        <v>618</v>
      </c>
      <c r="D6" s="267">
        <f>AVERAGE(B47,B50)</f>
        <v>12.5</v>
      </c>
      <c r="E6" s="267">
        <f t="shared" ref="E6:H6" si="6">AVERAGE(C47,C50)</f>
        <v>16</v>
      </c>
      <c r="F6" s="267">
        <f t="shared" si="6"/>
        <v>0.5</v>
      </c>
      <c r="G6" s="267">
        <f t="shared" si="6"/>
        <v>12.5</v>
      </c>
      <c r="H6" s="267">
        <f t="shared" si="6"/>
        <v>6</v>
      </c>
      <c r="I6" s="267">
        <f>AVERAGE(F47,F50)</f>
        <v>6</v>
      </c>
      <c r="N6" s="1"/>
    </row>
    <row r="7" spans="1:14" x14ac:dyDescent="0.55000000000000004">
      <c r="A7" s="8"/>
      <c r="B7" s="8" t="s">
        <v>557</v>
      </c>
      <c r="C7" s="267" t="s">
        <v>619</v>
      </c>
      <c r="D7" s="267">
        <f>AVERAGE(B48,B51)</f>
        <v>0</v>
      </c>
      <c r="E7" s="267">
        <f t="shared" ref="E7:H7" si="7">AVERAGE(C48,C51)</f>
        <v>18</v>
      </c>
      <c r="F7" s="267">
        <f t="shared" si="7"/>
        <v>20.5</v>
      </c>
      <c r="G7" s="267">
        <f t="shared" si="7"/>
        <v>10.5</v>
      </c>
      <c r="H7" s="267">
        <f t="shared" si="7"/>
        <v>10</v>
      </c>
      <c r="I7" s="267">
        <f>AVERAGE(F48,F51)</f>
        <v>10</v>
      </c>
      <c r="N7" s="1"/>
    </row>
    <row r="8" spans="1:14" x14ac:dyDescent="0.55000000000000004">
      <c r="A8" s="8" t="s">
        <v>620</v>
      </c>
      <c r="B8" s="8" t="s">
        <v>558</v>
      </c>
      <c r="C8" s="267" t="s">
        <v>618</v>
      </c>
      <c r="D8" s="267">
        <f>AVERAGE(B23,B26,B20,B17)</f>
        <v>2.5</v>
      </c>
      <c r="E8" s="267">
        <f t="shared" ref="E8:H8" si="8">AVERAGE(C23,C26,C20,C17)</f>
        <v>4.25</v>
      </c>
      <c r="F8" s="267">
        <f t="shared" si="8"/>
        <v>13.75</v>
      </c>
      <c r="G8" s="267">
        <f t="shared" si="8"/>
        <v>13.25</v>
      </c>
      <c r="H8" s="267">
        <f t="shared" si="8"/>
        <v>5.25</v>
      </c>
      <c r="I8" s="267">
        <f>AVERAGE(F23,F26,F20,F17)</f>
        <v>5.25</v>
      </c>
      <c r="N8" s="1"/>
    </row>
    <row r="9" spans="1:14" x14ac:dyDescent="0.55000000000000004">
      <c r="A9" s="8"/>
      <c r="B9" s="8" t="s">
        <v>558</v>
      </c>
      <c r="C9" s="267" t="s">
        <v>619</v>
      </c>
      <c r="D9" s="267">
        <f>AVERAGE(B24,B27,B21,B18)</f>
        <v>0</v>
      </c>
      <c r="E9" s="267">
        <f t="shared" ref="E9" si="9">AVERAGE(C24,C27,C21,C18)</f>
        <v>0</v>
      </c>
      <c r="F9" s="267">
        <f t="shared" ref="F9" si="10">AVERAGE(D24,D27,D21,D18)</f>
        <v>0</v>
      </c>
      <c r="G9" s="267">
        <f t="shared" ref="G9:H9" si="11">AVERAGE(E24,E27,E21,E18)</f>
        <v>4</v>
      </c>
      <c r="H9" s="267">
        <f t="shared" si="11"/>
        <v>7</v>
      </c>
      <c r="I9" s="267">
        <f t="shared" ref="I9" si="12">AVERAGE(F24,F27,F21,F18)</f>
        <v>7</v>
      </c>
    </row>
    <row r="10" spans="1:14" x14ac:dyDescent="0.55000000000000004">
      <c r="A10" s="8" t="s">
        <v>621</v>
      </c>
      <c r="B10" s="8" t="s">
        <v>559</v>
      </c>
      <c r="C10" s="267" t="s">
        <v>618</v>
      </c>
      <c r="D10" s="267">
        <f>AVERAGE(B41,B44)</f>
        <v>9.5</v>
      </c>
      <c r="E10" s="267">
        <f t="shared" ref="E10:H10" si="13">AVERAGE(C41,C44)</f>
        <v>8</v>
      </c>
      <c r="F10" s="267">
        <f t="shared" si="13"/>
        <v>4.5</v>
      </c>
      <c r="G10" s="267">
        <f t="shared" si="13"/>
        <v>13</v>
      </c>
      <c r="H10" s="267">
        <f t="shared" si="13"/>
        <v>5.5</v>
      </c>
      <c r="I10" s="267">
        <f>AVERAGE(F41,F44)</f>
        <v>5.5</v>
      </c>
    </row>
    <row r="11" spans="1:14" x14ac:dyDescent="0.55000000000000004">
      <c r="A11" s="8"/>
      <c r="B11" s="8" t="s">
        <v>559</v>
      </c>
      <c r="C11" s="267" t="s">
        <v>619</v>
      </c>
      <c r="D11" s="267">
        <f>AVERAGE(B42,B45)</f>
        <v>0</v>
      </c>
      <c r="E11" s="267">
        <f t="shared" ref="E11" si="14">AVERAGE(C42,C45)</f>
        <v>18</v>
      </c>
      <c r="F11" s="267">
        <f t="shared" ref="F11" si="15">AVERAGE(D42,D45)</f>
        <v>10</v>
      </c>
      <c r="G11" s="267">
        <f t="shared" ref="G11:H11" si="16">AVERAGE(E42,E45)</f>
        <v>5.5</v>
      </c>
      <c r="H11" s="267">
        <f t="shared" si="16"/>
        <v>7.5</v>
      </c>
      <c r="I11" s="267">
        <f t="shared" ref="I11" si="17">AVERAGE(F42,F45)</f>
        <v>7.5</v>
      </c>
    </row>
    <row r="12" spans="1:14" x14ac:dyDescent="0.55000000000000004">
      <c r="A12" s="8" t="s">
        <v>622</v>
      </c>
      <c r="B12" s="8" t="s">
        <v>560</v>
      </c>
      <c r="C12" s="267" t="s">
        <v>618</v>
      </c>
      <c r="D12" s="396">
        <f>AVERAGE(B59,B62,B65)</f>
        <v>2.6666666666666665</v>
      </c>
      <c r="E12" s="396">
        <f t="shared" ref="E12:H12" si="18">AVERAGE(C59,C62,C65)</f>
        <v>2.6666666666666665</v>
      </c>
      <c r="F12" s="396">
        <f t="shared" si="18"/>
        <v>3.3333333333333335</v>
      </c>
      <c r="G12" s="396">
        <f t="shared" si="18"/>
        <v>4.333333333333333</v>
      </c>
      <c r="H12" s="396">
        <f t="shared" si="18"/>
        <v>5.333333333333333</v>
      </c>
      <c r="I12" s="396">
        <f>AVERAGE(F59,F62,F65)</f>
        <v>5.333333333333333</v>
      </c>
    </row>
    <row r="13" spans="1:14" x14ac:dyDescent="0.55000000000000004">
      <c r="A13" s="267"/>
      <c r="B13" s="8" t="s">
        <v>560</v>
      </c>
      <c r="C13" s="267" t="s">
        <v>619</v>
      </c>
      <c r="D13" s="396">
        <f>AVERAGE(B60,B63,B66)</f>
        <v>0</v>
      </c>
      <c r="E13" s="396">
        <f t="shared" ref="E13" si="19">AVERAGE(C60,C63,C66)</f>
        <v>0</v>
      </c>
      <c r="F13" s="396">
        <f t="shared" ref="F13" si="20">AVERAGE(D60,D63,D66)</f>
        <v>0.33333333333333331</v>
      </c>
      <c r="G13" s="396">
        <f t="shared" ref="G13:H13" si="21">AVERAGE(E60,E63,E66)</f>
        <v>2.6666666666666665</v>
      </c>
      <c r="H13" s="396">
        <f t="shared" si="21"/>
        <v>2</v>
      </c>
      <c r="I13" s="396">
        <f t="shared" ref="I13" si="22">AVERAGE(F60,F63,F66)</f>
        <v>2</v>
      </c>
    </row>
    <row r="14" spans="1:14" ht="14.7" thickBot="1" x14ac:dyDescent="0.6"/>
    <row r="15" spans="1:14" ht="14.7" thickBot="1" x14ac:dyDescent="0.6">
      <c r="A15" s="312" t="s">
        <v>1</v>
      </c>
      <c r="B15" s="313" t="s">
        <v>582</v>
      </c>
      <c r="C15" s="314" t="s">
        <v>583</v>
      </c>
      <c r="D15" s="314" t="s">
        <v>584</v>
      </c>
      <c r="E15" s="314" t="s">
        <v>585</v>
      </c>
      <c r="F15" s="314" t="s">
        <v>586</v>
      </c>
      <c r="G15" s="314" t="s">
        <v>587</v>
      </c>
      <c r="H15" s="320"/>
    </row>
    <row r="16" spans="1:14" ht="14.7" thickBot="1" x14ac:dyDescent="0.6">
      <c r="A16" s="315" t="s">
        <v>588</v>
      </c>
      <c r="B16" s="316">
        <v>28</v>
      </c>
      <c r="C16" s="316">
        <v>90</v>
      </c>
      <c r="D16" s="316">
        <v>306</v>
      </c>
      <c r="E16" s="316">
        <v>425</v>
      </c>
      <c r="F16" s="316">
        <v>792</v>
      </c>
      <c r="G16" s="316"/>
      <c r="H16" s="321"/>
    </row>
    <row r="17" spans="1:8" ht="14.7" thickBot="1" x14ac:dyDescent="0.6">
      <c r="A17" s="315" t="s">
        <v>589</v>
      </c>
      <c r="B17" s="316">
        <v>3</v>
      </c>
      <c r="C17" s="316">
        <v>6</v>
      </c>
      <c r="D17" s="316">
        <v>22</v>
      </c>
      <c r="E17" s="316">
        <v>12</v>
      </c>
      <c r="F17" s="316">
        <v>6</v>
      </c>
      <c r="G17" s="316">
        <v>8</v>
      </c>
      <c r="H17" s="321"/>
    </row>
    <row r="18" spans="1:8" ht="14.7" thickBot="1" x14ac:dyDescent="0.6">
      <c r="A18" s="315" t="s">
        <v>590</v>
      </c>
      <c r="B18" s="316">
        <v>0</v>
      </c>
      <c r="C18" s="316">
        <v>0</v>
      </c>
      <c r="D18" s="316">
        <v>0</v>
      </c>
      <c r="E18" s="316">
        <v>11</v>
      </c>
      <c r="F18" s="316">
        <v>11</v>
      </c>
      <c r="G18" s="316">
        <v>8</v>
      </c>
      <c r="H18" s="321"/>
    </row>
    <row r="19" spans="1:8" ht="14.7" thickBot="1" x14ac:dyDescent="0.6">
      <c r="A19" s="315" t="s">
        <v>591</v>
      </c>
      <c r="B19" s="316">
        <v>17</v>
      </c>
      <c r="C19" s="316">
        <v>37</v>
      </c>
      <c r="D19" s="316">
        <v>104</v>
      </c>
      <c r="E19" s="316">
        <v>270</v>
      </c>
      <c r="F19" s="316">
        <v>657</v>
      </c>
      <c r="G19" s="316"/>
      <c r="H19" s="321"/>
    </row>
    <row r="20" spans="1:8" ht="14.7" thickBot="1" x14ac:dyDescent="0.6">
      <c r="A20" s="315" t="s">
        <v>589</v>
      </c>
      <c r="B20" s="316">
        <v>2</v>
      </c>
      <c r="C20" s="316">
        <v>2</v>
      </c>
      <c r="D20" s="316">
        <v>7</v>
      </c>
      <c r="E20" s="316">
        <v>17</v>
      </c>
      <c r="F20" s="316">
        <v>6</v>
      </c>
      <c r="G20" s="316">
        <v>7</v>
      </c>
      <c r="H20" s="321"/>
    </row>
    <row r="21" spans="1:8" ht="14.7" thickBot="1" x14ac:dyDescent="0.6">
      <c r="A21" s="315" t="s">
        <v>590</v>
      </c>
      <c r="B21" s="316">
        <v>0</v>
      </c>
      <c r="C21" s="316">
        <v>0</v>
      </c>
      <c r="D21" s="316">
        <v>0</v>
      </c>
      <c r="E21" s="316">
        <v>0</v>
      </c>
      <c r="F21" s="316">
        <v>8</v>
      </c>
      <c r="G21" s="316">
        <v>5</v>
      </c>
      <c r="H21" s="321"/>
    </row>
    <row r="22" spans="1:8" ht="14.7" thickBot="1" x14ac:dyDescent="0.6">
      <c r="A22" s="315" t="s">
        <v>592</v>
      </c>
      <c r="B22" s="316">
        <v>30</v>
      </c>
      <c r="C22" s="316">
        <v>101</v>
      </c>
      <c r="D22" s="316">
        <v>285</v>
      </c>
      <c r="E22" s="316">
        <v>384</v>
      </c>
      <c r="F22" s="316">
        <v>634</v>
      </c>
      <c r="G22" s="316"/>
      <c r="H22" s="321"/>
    </row>
    <row r="23" spans="1:8" ht="14.7" thickBot="1" x14ac:dyDescent="0.6">
      <c r="A23" s="315" t="s">
        <v>589</v>
      </c>
      <c r="B23" s="316">
        <v>3</v>
      </c>
      <c r="C23" s="316">
        <v>7</v>
      </c>
      <c r="D23" s="316">
        <v>18</v>
      </c>
      <c r="E23" s="316">
        <v>10</v>
      </c>
      <c r="F23" s="316">
        <v>4</v>
      </c>
      <c r="G23" s="316">
        <v>6</v>
      </c>
      <c r="H23" s="321"/>
    </row>
    <row r="24" spans="1:8" ht="14.7" thickBot="1" x14ac:dyDescent="0.6">
      <c r="A24" s="315" t="s">
        <v>590</v>
      </c>
      <c r="B24" s="316">
        <v>0</v>
      </c>
      <c r="C24" s="316">
        <v>0</v>
      </c>
      <c r="D24" s="316">
        <v>0</v>
      </c>
      <c r="E24" s="316">
        <v>5</v>
      </c>
      <c r="F24" s="316">
        <v>5</v>
      </c>
      <c r="G24" s="316">
        <v>4</v>
      </c>
      <c r="H24" s="321"/>
    </row>
    <row r="25" spans="1:8" ht="14.7" thickBot="1" x14ac:dyDescent="0.6">
      <c r="A25" s="315" t="s">
        <v>593</v>
      </c>
      <c r="B25" s="316">
        <v>18</v>
      </c>
      <c r="C25" s="316">
        <v>41</v>
      </c>
      <c r="D25" s="316">
        <v>118</v>
      </c>
      <c r="E25" s="316">
        <v>260</v>
      </c>
      <c r="F25" s="316">
        <v>567</v>
      </c>
      <c r="G25" s="316"/>
      <c r="H25" s="321"/>
    </row>
    <row r="26" spans="1:8" ht="14.7" thickBot="1" x14ac:dyDescent="0.6">
      <c r="A26" s="315" t="s">
        <v>589</v>
      </c>
      <c r="B26" s="316">
        <v>2</v>
      </c>
      <c r="C26" s="316">
        <v>2</v>
      </c>
      <c r="D26" s="316">
        <v>8</v>
      </c>
      <c r="E26" s="316">
        <v>14</v>
      </c>
      <c r="F26" s="316">
        <v>5</v>
      </c>
      <c r="G26" s="316">
        <v>6</v>
      </c>
      <c r="H26" s="321"/>
    </row>
    <row r="27" spans="1:8" ht="14.7" thickBot="1" x14ac:dyDescent="0.6">
      <c r="A27" s="315" t="s">
        <v>590</v>
      </c>
      <c r="B27" s="316">
        <v>0</v>
      </c>
      <c r="C27" s="316">
        <v>0</v>
      </c>
      <c r="D27" s="316">
        <v>0</v>
      </c>
      <c r="E27" s="316">
        <v>0</v>
      </c>
      <c r="F27" s="316">
        <v>4</v>
      </c>
      <c r="G27" s="316">
        <v>2</v>
      </c>
      <c r="H27" s="321"/>
    </row>
    <row r="28" spans="1:8" ht="14.7" thickBot="1" x14ac:dyDescent="0.6">
      <c r="A28" s="315" t="s">
        <v>594</v>
      </c>
      <c r="B28" s="316">
        <v>33</v>
      </c>
      <c r="C28" s="316">
        <v>116</v>
      </c>
      <c r="D28" s="316">
        <v>322</v>
      </c>
      <c r="E28" s="316">
        <v>452</v>
      </c>
      <c r="F28" s="316">
        <v>753</v>
      </c>
      <c r="G28" s="316"/>
      <c r="H28" s="321"/>
    </row>
    <row r="29" spans="1:8" ht="14.7" thickBot="1" x14ac:dyDescent="0.6">
      <c r="A29" s="315" t="s">
        <v>589</v>
      </c>
      <c r="B29" s="316">
        <v>3</v>
      </c>
      <c r="C29" s="316">
        <v>8</v>
      </c>
      <c r="D29" s="316">
        <v>21</v>
      </c>
      <c r="E29" s="316">
        <v>13</v>
      </c>
      <c r="F29" s="316">
        <v>5</v>
      </c>
      <c r="G29" s="316">
        <v>8</v>
      </c>
      <c r="H29" s="321"/>
    </row>
    <row r="30" spans="1:8" ht="14.7" thickBot="1" x14ac:dyDescent="0.6">
      <c r="A30" s="315" t="s">
        <v>590</v>
      </c>
      <c r="B30" s="316">
        <v>0</v>
      </c>
      <c r="C30" s="316">
        <v>0</v>
      </c>
      <c r="D30" s="316">
        <v>0</v>
      </c>
      <c r="E30" s="316">
        <v>23</v>
      </c>
      <c r="F30" s="316">
        <v>9</v>
      </c>
      <c r="G30" s="316">
        <v>8</v>
      </c>
      <c r="H30" s="321"/>
    </row>
    <row r="31" spans="1:8" ht="14.7" thickBot="1" x14ac:dyDescent="0.6">
      <c r="A31" s="315" t="s">
        <v>595</v>
      </c>
      <c r="B31" s="316">
        <v>19</v>
      </c>
      <c r="C31" s="316">
        <v>47</v>
      </c>
      <c r="D31" s="316">
        <v>118</v>
      </c>
      <c r="E31" s="316">
        <v>278</v>
      </c>
      <c r="F31" s="316">
        <v>648</v>
      </c>
      <c r="G31" s="316"/>
      <c r="H31" s="321"/>
    </row>
    <row r="32" spans="1:8" ht="14.7" thickBot="1" x14ac:dyDescent="0.6">
      <c r="A32" s="315" t="s">
        <v>589</v>
      </c>
      <c r="B32" s="316">
        <v>2</v>
      </c>
      <c r="C32" s="316">
        <v>3</v>
      </c>
      <c r="D32" s="316">
        <v>7</v>
      </c>
      <c r="E32" s="316">
        <v>16</v>
      </c>
      <c r="F32" s="316">
        <v>6</v>
      </c>
      <c r="G32" s="316">
        <v>6</v>
      </c>
      <c r="H32" s="321"/>
    </row>
    <row r="33" spans="1:8" ht="14.7" thickBot="1" x14ac:dyDescent="0.6">
      <c r="A33" s="315" t="s">
        <v>590</v>
      </c>
      <c r="B33" s="316">
        <v>0</v>
      </c>
      <c r="C33" s="316">
        <v>0</v>
      </c>
      <c r="D33" s="316">
        <v>0</v>
      </c>
      <c r="E33" s="316">
        <v>8</v>
      </c>
      <c r="F33" s="316">
        <v>7</v>
      </c>
      <c r="G33" s="316">
        <v>5</v>
      </c>
      <c r="H33" s="321"/>
    </row>
    <row r="34" spans="1:8" ht="14.7" thickBot="1" x14ac:dyDescent="0.6">
      <c r="A34" s="315" t="s">
        <v>596</v>
      </c>
      <c r="B34" s="316">
        <v>29</v>
      </c>
      <c r="C34" s="316">
        <v>85</v>
      </c>
      <c r="D34" s="316">
        <v>267</v>
      </c>
      <c r="E34" s="316">
        <v>370</v>
      </c>
      <c r="F34" s="316">
        <v>676</v>
      </c>
      <c r="G34" s="316"/>
      <c r="H34" s="321"/>
    </row>
    <row r="35" spans="1:8" ht="14.7" thickBot="1" x14ac:dyDescent="0.6">
      <c r="A35" s="315" t="s">
        <v>589</v>
      </c>
      <c r="B35" s="316">
        <v>3</v>
      </c>
      <c r="C35" s="316">
        <v>6</v>
      </c>
      <c r="D35" s="316">
        <v>18</v>
      </c>
      <c r="E35" s="316">
        <v>10</v>
      </c>
      <c r="F35" s="316">
        <v>5</v>
      </c>
      <c r="G35" s="316">
        <v>7</v>
      </c>
      <c r="H35" s="321"/>
    </row>
    <row r="36" spans="1:8" ht="14.7" thickBot="1" x14ac:dyDescent="0.6">
      <c r="A36" s="315" t="s">
        <v>590</v>
      </c>
      <c r="B36" s="316">
        <v>0</v>
      </c>
      <c r="C36" s="316">
        <v>0</v>
      </c>
      <c r="D36" s="316">
        <v>0</v>
      </c>
      <c r="E36" s="316">
        <v>9</v>
      </c>
      <c r="F36" s="316">
        <v>9</v>
      </c>
      <c r="G36" s="316">
        <v>6</v>
      </c>
      <c r="H36" s="321"/>
    </row>
    <row r="37" spans="1:8" ht="14.7" thickBot="1" x14ac:dyDescent="0.6">
      <c r="A37" s="315" t="s">
        <v>597</v>
      </c>
      <c r="B37" s="316">
        <v>19</v>
      </c>
      <c r="C37" s="316">
        <v>41</v>
      </c>
      <c r="D37" s="316">
        <v>102</v>
      </c>
      <c r="E37" s="316">
        <v>242</v>
      </c>
      <c r="F37" s="316">
        <v>566</v>
      </c>
      <c r="G37" s="316"/>
      <c r="H37" s="321"/>
    </row>
    <row r="38" spans="1:8" ht="14.7" thickBot="1" x14ac:dyDescent="0.6">
      <c r="A38" s="315" t="s">
        <v>589</v>
      </c>
      <c r="B38" s="316">
        <v>2</v>
      </c>
      <c r="C38" s="316">
        <v>2</v>
      </c>
      <c r="D38" s="316">
        <v>6</v>
      </c>
      <c r="E38" s="316">
        <v>14</v>
      </c>
      <c r="F38" s="316">
        <v>5</v>
      </c>
      <c r="G38" s="316">
        <v>6</v>
      </c>
      <c r="H38" s="321"/>
    </row>
    <row r="39" spans="1:8" ht="14.7" thickBot="1" x14ac:dyDescent="0.6">
      <c r="A39" s="315" t="s">
        <v>590</v>
      </c>
      <c r="B39" s="316">
        <v>0</v>
      </c>
      <c r="C39" s="316">
        <v>0</v>
      </c>
      <c r="D39" s="316">
        <v>0</v>
      </c>
      <c r="E39" s="316">
        <v>0</v>
      </c>
      <c r="F39" s="316">
        <v>6</v>
      </c>
      <c r="G39" s="316">
        <v>4</v>
      </c>
      <c r="H39" s="321"/>
    </row>
    <row r="40" spans="1:8" ht="14.7" thickBot="1" x14ac:dyDescent="0.6">
      <c r="A40" s="315" t="s">
        <v>598</v>
      </c>
      <c r="B40" s="316">
        <v>109</v>
      </c>
      <c r="C40" s="316">
        <v>90</v>
      </c>
      <c r="D40" s="316">
        <v>306</v>
      </c>
      <c r="E40" s="316">
        <v>425</v>
      </c>
      <c r="F40" s="316">
        <v>792</v>
      </c>
      <c r="G40" s="316"/>
      <c r="H40" s="321"/>
    </row>
    <row r="41" spans="1:8" ht="14.7" thickBot="1" x14ac:dyDescent="0.6">
      <c r="A41" s="315" t="s">
        <v>589</v>
      </c>
      <c r="B41" s="316">
        <v>11</v>
      </c>
      <c r="C41" s="316">
        <v>-2</v>
      </c>
      <c r="D41" s="316">
        <v>22</v>
      </c>
      <c r="E41" s="316">
        <v>12</v>
      </c>
      <c r="F41" s="316">
        <v>6</v>
      </c>
      <c r="G41" s="316">
        <v>8</v>
      </c>
      <c r="H41" s="321"/>
    </row>
    <row r="42" spans="1:8" ht="14.7" thickBot="1" x14ac:dyDescent="0.6">
      <c r="A42" s="315" t="s">
        <v>590</v>
      </c>
      <c r="B42" s="316">
        <v>0</v>
      </c>
      <c r="C42" s="316">
        <v>29</v>
      </c>
      <c r="D42" s="316">
        <v>0</v>
      </c>
      <c r="E42" s="316">
        <v>11</v>
      </c>
      <c r="F42" s="316">
        <v>11</v>
      </c>
      <c r="G42" s="316">
        <v>11</v>
      </c>
      <c r="H42" s="321"/>
    </row>
    <row r="43" spans="1:8" ht="14.7" thickBot="1" x14ac:dyDescent="0.6">
      <c r="A43" s="315" t="s">
        <v>599</v>
      </c>
      <c r="B43" s="316">
        <v>77</v>
      </c>
      <c r="C43" s="316">
        <v>252</v>
      </c>
      <c r="D43" s="316">
        <v>118</v>
      </c>
      <c r="E43" s="316">
        <v>260</v>
      </c>
      <c r="F43" s="316">
        <v>567</v>
      </c>
      <c r="G43" s="316"/>
      <c r="H43" s="321"/>
    </row>
    <row r="44" spans="1:8" ht="14.7" thickBot="1" x14ac:dyDescent="0.6">
      <c r="A44" s="315" t="s">
        <v>589</v>
      </c>
      <c r="B44" s="316">
        <v>8</v>
      </c>
      <c r="C44" s="316">
        <v>18</v>
      </c>
      <c r="D44" s="316">
        <v>-13</v>
      </c>
      <c r="E44" s="316">
        <v>14</v>
      </c>
      <c r="F44" s="316">
        <v>5</v>
      </c>
      <c r="G44" s="316">
        <v>6</v>
      </c>
      <c r="H44" s="321"/>
    </row>
    <row r="45" spans="1:8" ht="14.7" thickBot="1" x14ac:dyDescent="0.6">
      <c r="A45" s="315" t="s">
        <v>590</v>
      </c>
      <c r="B45" s="316">
        <v>0</v>
      </c>
      <c r="C45" s="316">
        <v>7</v>
      </c>
      <c r="D45" s="316">
        <v>20</v>
      </c>
      <c r="E45" s="316">
        <v>0</v>
      </c>
      <c r="F45" s="316">
        <v>4</v>
      </c>
      <c r="G45" s="316">
        <v>5</v>
      </c>
      <c r="H45" s="321"/>
    </row>
    <row r="46" spans="1:8" ht="25.5" thickBot="1" x14ac:dyDescent="0.6">
      <c r="A46" s="315" t="s">
        <v>600</v>
      </c>
      <c r="B46" s="316">
        <v>171</v>
      </c>
      <c r="C46" s="316">
        <v>296</v>
      </c>
      <c r="D46" s="316">
        <v>435</v>
      </c>
      <c r="E46" s="316">
        <v>535</v>
      </c>
      <c r="F46" s="316">
        <v>818</v>
      </c>
      <c r="G46" s="316"/>
      <c r="H46" s="321"/>
    </row>
    <row r="47" spans="1:8" ht="14.7" thickBot="1" x14ac:dyDescent="0.6">
      <c r="A47" s="315" t="s">
        <v>589</v>
      </c>
      <c r="B47" s="316">
        <v>17</v>
      </c>
      <c r="C47" s="316">
        <v>12</v>
      </c>
      <c r="D47" s="316">
        <v>14</v>
      </c>
      <c r="E47" s="316">
        <v>10</v>
      </c>
      <c r="F47" s="316" t="s">
        <v>601</v>
      </c>
      <c r="G47" s="316"/>
      <c r="H47" s="321"/>
    </row>
    <row r="48" spans="1:8" ht="14.7" thickBot="1" x14ac:dyDescent="0.6">
      <c r="A48" s="315" t="s">
        <v>590</v>
      </c>
      <c r="B48" s="316">
        <v>0</v>
      </c>
      <c r="C48" s="316">
        <v>29</v>
      </c>
      <c r="D48" s="316">
        <v>21</v>
      </c>
      <c r="E48" s="316">
        <v>16</v>
      </c>
      <c r="F48" s="316">
        <v>10</v>
      </c>
      <c r="G48" s="316">
        <v>13</v>
      </c>
      <c r="H48" s="321"/>
    </row>
    <row r="49" spans="1:8" ht="14.7" thickBot="1" x14ac:dyDescent="0.6">
      <c r="A49" s="315" t="s">
        <v>602</v>
      </c>
      <c r="B49" s="316">
        <v>82</v>
      </c>
      <c r="C49" s="316">
        <v>280</v>
      </c>
      <c r="D49" s="316">
        <v>148</v>
      </c>
      <c r="E49" s="316">
        <v>294</v>
      </c>
      <c r="F49" s="316">
        <v>626</v>
      </c>
      <c r="G49" s="316"/>
      <c r="H49" s="321"/>
    </row>
    <row r="50" spans="1:8" ht="14.7" thickBot="1" x14ac:dyDescent="0.6">
      <c r="A50" s="315" t="s">
        <v>589</v>
      </c>
      <c r="B50" s="316">
        <v>8</v>
      </c>
      <c r="C50" s="316">
        <v>20</v>
      </c>
      <c r="D50" s="316">
        <v>-13</v>
      </c>
      <c r="E50" s="316">
        <v>15</v>
      </c>
      <c r="F50" s="316">
        <v>6</v>
      </c>
      <c r="G50" s="316">
        <v>6</v>
      </c>
      <c r="H50" s="321"/>
    </row>
    <row r="51" spans="1:8" ht="14.7" thickBot="1" x14ac:dyDescent="0.6">
      <c r="A51" s="315" t="s">
        <v>590</v>
      </c>
      <c r="B51" s="316">
        <v>0</v>
      </c>
      <c r="C51" s="316">
        <v>7</v>
      </c>
      <c r="D51" s="316">
        <v>20</v>
      </c>
      <c r="E51" s="316">
        <v>5</v>
      </c>
      <c r="F51" s="316" t="s">
        <v>603</v>
      </c>
      <c r="G51" s="316"/>
      <c r="H51" s="321"/>
    </row>
    <row r="52" spans="1:8" ht="25.5" thickBot="1" x14ac:dyDescent="0.6">
      <c r="A52" s="315" t="s">
        <v>604</v>
      </c>
      <c r="B52" s="316">
        <v>134</v>
      </c>
      <c r="C52" s="316">
        <v>372</v>
      </c>
      <c r="D52" s="316">
        <v>397</v>
      </c>
      <c r="E52" s="316">
        <v>524</v>
      </c>
      <c r="F52" s="316">
        <v>741</v>
      </c>
      <c r="G52" s="316"/>
      <c r="H52" s="321"/>
    </row>
    <row r="53" spans="1:8" ht="14.7" thickBot="1" x14ac:dyDescent="0.6">
      <c r="A53" s="315" t="s">
        <v>589</v>
      </c>
      <c r="B53" s="316">
        <v>13</v>
      </c>
      <c r="C53" s="316">
        <v>24</v>
      </c>
      <c r="D53" s="316">
        <v>2</v>
      </c>
      <c r="E53" s="316">
        <v>13</v>
      </c>
      <c r="F53" s="316">
        <v>4</v>
      </c>
      <c r="G53" s="316">
        <v>7</v>
      </c>
      <c r="H53" s="321"/>
    </row>
    <row r="54" spans="1:8" ht="14.7" thickBot="1" x14ac:dyDescent="0.6">
      <c r="A54" s="315" t="s">
        <v>590</v>
      </c>
      <c r="B54" s="316">
        <v>0</v>
      </c>
      <c r="C54" s="316">
        <v>8</v>
      </c>
      <c r="D54" s="316">
        <v>22</v>
      </c>
      <c r="E54" s="316">
        <v>17</v>
      </c>
      <c r="F54" s="316">
        <v>11</v>
      </c>
      <c r="G54" s="316">
        <v>11</v>
      </c>
      <c r="H54" s="321"/>
    </row>
    <row r="55" spans="1:8" ht="25.5" thickBot="1" x14ac:dyDescent="0.6">
      <c r="A55" s="315" t="s">
        <v>605</v>
      </c>
      <c r="B55" s="316">
        <v>96</v>
      </c>
      <c r="C55" s="316">
        <v>234</v>
      </c>
      <c r="D55" s="316">
        <v>256</v>
      </c>
      <c r="E55" s="316">
        <v>394</v>
      </c>
      <c r="F55" s="316">
        <v>708</v>
      </c>
      <c r="G55" s="316"/>
      <c r="H55" s="321"/>
    </row>
    <row r="56" spans="1:8" ht="14.7" thickBot="1" x14ac:dyDescent="0.6">
      <c r="A56" s="315" t="s">
        <v>589</v>
      </c>
      <c r="B56" s="316">
        <v>10</v>
      </c>
      <c r="C56" s="316">
        <v>14</v>
      </c>
      <c r="D56" s="316">
        <v>2</v>
      </c>
      <c r="E56" s="316">
        <v>14</v>
      </c>
      <c r="F56" s="316">
        <v>5</v>
      </c>
      <c r="G56" s="316">
        <v>7</v>
      </c>
      <c r="H56" s="321"/>
    </row>
    <row r="57" spans="1:8" ht="14.7" thickBot="1" x14ac:dyDescent="0.6">
      <c r="A57" s="315" t="s">
        <v>590</v>
      </c>
      <c r="B57" s="316">
        <v>0</v>
      </c>
      <c r="C57" s="316">
        <v>8</v>
      </c>
      <c r="D57" s="316">
        <v>12</v>
      </c>
      <c r="E57" s="316">
        <v>10</v>
      </c>
      <c r="F57" s="316">
        <v>9</v>
      </c>
      <c r="G57" s="316">
        <v>9</v>
      </c>
      <c r="H57" s="321"/>
    </row>
    <row r="58" spans="1:8" ht="14.7" thickBot="1" x14ac:dyDescent="0.6">
      <c r="A58" s="315" t="s">
        <v>606</v>
      </c>
      <c r="B58" s="316">
        <v>25</v>
      </c>
      <c r="C58" s="316">
        <v>55</v>
      </c>
      <c r="D58" s="316">
        <v>89</v>
      </c>
      <c r="E58" s="316">
        <v>148</v>
      </c>
      <c r="F58" s="316">
        <v>609</v>
      </c>
      <c r="G58" s="316"/>
      <c r="H58" s="321"/>
    </row>
    <row r="59" spans="1:8" ht="14.7" thickBot="1" x14ac:dyDescent="0.6">
      <c r="A59" s="315" t="s">
        <v>589</v>
      </c>
      <c r="B59" s="316">
        <v>3</v>
      </c>
      <c r="C59" s="316">
        <v>3</v>
      </c>
      <c r="D59" s="316">
        <v>3</v>
      </c>
      <c r="E59" s="316">
        <v>6</v>
      </c>
      <c r="F59" s="316">
        <v>8</v>
      </c>
      <c r="G59" s="316">
        <v>6</v>
      </c>
      <c r="H59" s="321"/>
    </row>
    <row r="60" spans="1:8" ht="14.7" thickBot="1" x14ac:dyDescent="0.6">
      <c r="A60" s="315" t="s">
        <v>590</v>
      </c>
      <c r="B60" s="316">
        <v>0</v>
      </c>
      <c r="C60" s="316">
        <v>0</v>
      </c>
      <c r="D60" s="316">
        <v>1</v>
      </c>
      <c r="E60" s="316">
        <v>5</v>
      </c>
      <c r="F60" s="316">
        <v>4</v>
      </c>
      <c r="G60" s="316">
        <v>3</v>
      </c>
      <c r="H60" s="321"/>
    </row>
    <row r="61" spans="1:8" ht="14.7" thickBot="1" x14ac:dyDescent="0.6">
      <c r="A61" s="315" t="s">
        <v>607</v>
      </c>
      <c r="B61" s="316">
        <v>24</v>
      </c>
      <c r="C61" s="316">
        <v>48</v>
      </c>
      <c r="D61" s="316">
        <v>81</v>
      </c>
      <c r="E61" s="316">
        <v>114</v>
      </c>
      <c r="F61" s="316">
        <v>562</v>
      </c>
      <c r="G61" s="316"/>
      <c r="H61" s="321"/>
    </row>
    <row r="62" spans="1:8" ht="14.7" thickBot="1" x14ac:dyDescent="0.6">
      <c r="A62" s="315" t="s">
        <v>589</v>
      </c>
      <c r="B62" s="316">
        <v>2</v>
      </c>
      <c r="C62" s="316">
        <v>2</v>
      </c>
      <c r="D62" s="316">
        <v>3</v>
      </c>
      <c r="E62" s="316">
        <v>3</v>
      </c>
      <c r="F62" s="316">
        <v>7</v>
      </c>
      <c r="G62" s="316">
        <v>6</v>
      </c>
      <c r="H62" s="321"/>
    </row>
    <row r="63" spans="1:8" ht="14.7" thickBot="1" x14ac:dyDescent="0.6">
      <c r="A63" s="315" t="s">
        <v>590</v>
      </c>
      <c r="B63" s="316">
        <v>0</v>
      </c>
      <c r="C63" s="316">
        <v>0</v>
      </c>
      <c r="D63" s="316">
        <v>0</v>
      </c>
      <c r="E63" s="316">
        <v>3</v>
      </c>
      <c r="F63" s="316">
        <v>2</v>
      </c>
      <c r="G63" s="316">
        <v>2</v>
      </c>
      <c r="H63" s="321"/>
    </row>
    <row r="64" spans="1:8" ht="25.5" thickBot="1" x14ac:dyDescent="0.6">
      <c r="A64" s="315" t="s">
        <v>608</v>
      </c>
      <c r="B64" s="316">
        <v>27</v>
      </c>
      <c r="C64" s="316">
        <v>55</v>
      </c>
      <c r="D64" s="316">
        <v>92</v>
      </c>
      <c r="E64" s="316">
        <v>129</v>
      </c>
      <c r="F64" s="316">
        <v>213</v>
      </c>
      <c r="G64" s="316"/>
      <c r="H64" s="321"/>
    </row>
    <row r="65" spans="1:8" ht="14.7" thickBot="1" x14ac:dyDescent="0.6">
      <c r="A65" s="315" t="s">
        <v>589</v>
      </c>
      <c r="B65" s="316">
        <v>3</v>
      </c>
      <c r="C65" s="316">
        <v>3</v>
      </c>
      <c r="D65" s="316">
        <v>4</v>
      </c>
      <c r="E65" s="316">
        <v>4</v>
      </c>
      <c r="F65" s="316">
        <v>1</v>
      </c>
      <c r="G65" s="316">
        <v>2</v>
      </c>
      <c r="H65" s="321"/>
    </row>
    <row r="66" spans="1:8" ht="14.7" thickBot="1" x14ac:dyDescent="0.6">
      <c r="A66" s="315" t="s">
        <v>590</v>
      </c>
      <c r="B66" s="316">
        <v>0</v>
      </c>
      <c r="C66" s="316">
        <v>0</v>
      </c>
      <c r="D66" s="316">
        <v>0</v>
      </c>
      <c r="E66" s="316">
        <v>0</v>
      </c>
      <c r="F66" s="316">
        <v>0</v>
      </c>
      <c r="G66" s="316">
        <v>0</v>
      </c>
      <c r="H66" s="321"/>
    </row>
    <row r="67" spans="1:8" ht="14.7" thickBot="1" x14ac:dyDescent="0.6">
      <c r="A67" s="315" t="s">
        <v>609</v>
      </c>
      <c r="B67" s="316">
        <v>46</v>
      </c>
      <c r="C67" s="316">
        <v>118</v>
      </c>
      <c r="D67" s="316">
        <v>272</v>
      </c>
      <c r="E67" s="316">
        <v>366</v>
      </c>
      <c r="F67" s="316">
        <v>609</v>
      </c>
      <c r="G67" s="316"/>
      <c r="H67" s="321"/>
    </row>
    <row r="68" spans="1:8" ht="14.7" thickBot="1" x14ac:dyDescent="0.6">
      <c r="A68" s="315" t="s">
        <v>589</v>
      </c>
      <c r="B68" s="316">
        <v>5</v>
      </c>
      <c r="C68" s="316">
        <v>7</v>
      </c>
      <c r="D68" s="316">
        <v>15</v>
      </c>
      <c r="E68" s="316">
        <v>9</v>
      </c>
      <c r="F68" s="316">
        <v>4</v>
      </c>
      <c r="G68" s="316">
        <v>6</v>
      </c>
      <c r="H68" s="321"/>
    </row>
    <row r="69" spans="1:8" ht="14.7" thickBot="1" x14ac:dyDescent="0.6">
      <c r="A69" s="315" t="s">
        <v>590</v>
      </c>
      <c r="B69" s="316">
        <v>0</v>
      </c>
      <c r="C69" s="316">
        <v>0</v>
      </c>
      <c r="D69" s="316">
        <v>2</v>
      </c>
      <c r="E69" s="316">
        <v>10</v>
      </c>
      <c r="F69" s="316">
        <v>8</v>
      </c>
      <c r="G69" s="316">
        <v>6</v>
      </c>
      <c r="H69" s="321"/>
    </row>
    <row r="70" spans="1:8" ht="25.5" thickBot="1" x14ac:dyDescent="0.6">
      <c r="A70" s="315" t="s">
        <v>610</v>
      </c>
      <c r="B70" s="316">
        <v>33</v>
      </c>
      <c r="C70" s="316">
        <v>80</v>
      </c>
      <c r="D70" s="316">
        <v>177</v>
      </c>
      <c r="E70" s="316">
        <v>303</v>
      </c>
      <c r="F70" s="316">
        <v>609</v>
      </c>
      <c r="G70" s="316"/>
      <c r="H70" s="321"/>
    </row>
    <row r="71" spans="1:8" ht="14.7" thickBot="1" x14ac:dyDescent="0.6">
      <c r="A71" s="315" t="s">
        <v>589</v>
      </c>
      <c r="B71" s="316">
        <v>3</v>
      </c>
      <c r="C71" s="316">
        <v>5</v>
      </c>
      <c r="D71" s="316">
        <v>10</v>
      </c>
      <c r="E71" s="316">
        <v>13</v>
      </c>
      <c r="F71" s="316">
        <v>5</v>
      </c>
      <c r="G71" s="316">
        <v>6</v>
      </c>
      <c r="H71" s="321"/>
    </row>
    <row r="72" spans="1:8" ht="14.7" thickBot="1" x14ac:dyDescent="0.6">
      <c r="A72" s="315" t="s">
        <v>590</v>
      </c>
      <c r="B72" s="316">
        <v>0</v>
      </c>
      <c r="C72" s="316">
        <v>0</v>
      </c>
      <c r="D72" s="316">
        <v>0</v>
      </c>
      <c r="E72" s="316">
        <v>0</v>
      </c>
      <c r="F72" s="316">
        <v>0</v>
      </c>
      <c r="G72" s="316">
        <v>0</v>
      </c>
      <c r="H72" s="321"/>
    </row>
    <row r="73" spans="1:8" ht="25.5" thickBot="1" x14ac:dyDescent="0.6">
      <c r="A73" s="315" t="s">
        <v>611</v>
      </c>
      <c r="B73" s="316">
        <v>300</v>
      </c>
      <c r="C73" s="316">
        <v>308</v>
      </c>
      <c r="D73" s="316">
        <v>315</v>
      </c>
      <c r="E73" s="316">
        <v>323</v>
      </c>
      <c r="F73" s="316">
        <v>369</v>
      </c>
      <c r="G73" s="316"/>
      <c r="H73" s="321"/>
    </row>
    <row r="74" spans="1:8" ht="14.7" thickBot="1" x14ac:dyDescent="0.6">
      <c r="A74" s="315" t="s">
        <v>589</v>
      </c>
      <c r="B74" s="316">
        <v>1</v>
      </c>
      <c r="C74" s="316">
        <v>1</v>
      </c>
      <c r="D74" s="316">
        <v>1</v>
      </c>
      <c r="E74" s="316">
        <v>1</v>
      </c>
      <c r="F74" s="316">
        <v>1</v>
      </c>
      <c r="G74" s="316">
        <v>1</v>
      </c>
      <c r="H74" s="321"/>
    </row>
    <row r="75" spans="1:8" ht="14.7" thickBot="1" x14ac:dyDescent="0.6">
      <c r="A75" s="315" t="s">
        <v>590</v>
      </c>
      <c r="B75" s="316">
        <v>8</v>
      </c>
      <c r="C75" s="316">
        <v>8</v>
      </c>
      <c r="D75" s="316">
        <v>8</v>
      </c>
      <c r="E75" s="316">
        <v>8</v>
      </c>
      <c r="F75" s="316">
        <v>8</v>
      </c>
      <c r="G75" s="316">
        <v>8</v>
      </c>
      <c r="H75" s="321"/>
    </row>
    <row r="76" spans="1:8" ht="14.7" thickBot="1" x14ac:dyDescent="0.6">
      <c r="A76" s="315" t="s">
        <v>612</v>
      </c>
      <c r="B76" s="316">
        <v>841</v>
      </c>
      <c r="C76" s="316">
        <v>995</v>
      </c>
      <c r="D76" s="316">
        <v>995</v>
      </c>
      <c r="E76" s="316">
        <v>995</v>
      </c>
      <c r="F76" s="316">
        <v>995</v>
      </c>
      <c r="G76" s="316"/>
      <c r="H76" s="321"/>
    </row>
    <row r="77" spans="1:8" ht="14.7" thickBot="1" x14ac:dyDescent="0.6">
      <c r="A77" s="315" t="s">
        <v>589</v>
      </c>
      <c r="B77" s="316">
        <v>-9</v>
      </c>
      <c r="C77" s="316">
        <v>15</v>
      </c>
      <c r="D77" s="316">
        <v>0</v>
      </c>
      <c r="E77" s="316">
        <v>0</v>
      </c>
      <c r="F77" s="316">
        <v>0</v>
      </c>
      <c r="G77" s="316">
        <v>1</v>
      </c>
      <c r="H77" s="321"/>
    </row>
    <row r="78" spans="1:8" ht="14.7" thickBot="1" x14ac:dyDescent="0.6">
      <c r="A78" s="315" t="s">
        <v>590</v>
      </c>
      <c r="B78" s="316">
        <v>0</v>
      </c>
      <c r="C78" s="316">
        <v>0</v>
      </c>
      <c r="D78" s="316">
        <v>0</v>
      </c>
      <c r="E78" s="316">
        <v>0</v>
      </c>
      <c r="F78" s="316">
        <v>0</v>
      </c>
      <c r="G78" s="316">
        <v>0</v>
      </c>
      <c r="H78" s="321"/>
    </row>
    <row r="79" spans="1:8" ht="14.7" thickBot="1" x14ac:dyDescent="0.6">
      <c r="A79" s="315" t="s">
        <v>613</v>
      </c>
      <c r="B79" s="316">
        <v>425</v>
      </c>
      <c r="C79" s="316">
        <v>467</v>
      </c>
      <c r="D79" s="316">
        <v>509</v>
      </c>
      <c r="E79" s="316">
        <v>551</v>
      </c>
      <c r="F79" s="316">
        <v>626</v>
      </c>
      <c r="G79" s="316"/>
      <c r="H79" s="321"/>
    </row>
    <row r="80" spans="1:8" ht="14.7" thickBot="1" x14ac:dyDescent="0.6">
      <c r="A80" s="315" t="s">
        <v>589</v>
      </c>
      <c r="B80" s="316">
        <v>4</v>
      </c>
      <c r="C80" s="316">
        <v>4</v>
      </c>
      <c r="D80" s="316">
        <v>4</v>
      </c>
      <c r="E80" s="316">
        <v>4</v>
      </c>
      <c r="F80" s="316">
        <v>2</v>
      </c>
      <c r="G80" s="316">
        <v>2</v>
      </c>
      <c r="H80" s="321"/>
    </row>
    <row r="81" spans="1:8" ht="14.7" thickBot="1" x14ac:dyDescent="0.6">
      <c r="A81" s="315" t="s">
        <v>590</v>
      </c>
      <c r="B81" s="316">
        <v>0</v>
      </c>
      <c r="C81" s="316">
        <v>0</v>
      </c>
      <c r="D81" s="316">
        <v>0</v>
      </c>
      <c r="E81" s="316">
        <v>0</v>
      </c>
      <c r="F81" s="316">
        <v>0</v>
      </c>
      <c r="G81" s="316">
        <v>0</v>
      </c>
      <c r="H81" s="321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5294B-12B6-4815-A346-E9F9A7946505}">
  <sheetPr codeName="Sheet19">
    <tabColor theme="7" tint="0.59999389629810485"/>
  </sheetPr>
  <dimension ref="A1:AB38"/>
  <sheetViews>
    <sheetView workbookViewId="0">
      <selection activeCell="B20" sqref="B20"/>
    </sheetView>
  </sheetViews>
  <sheetFormatPr defaultRowHeight="14.4" x14ac:dyDescent="0.55000000000000004"/>
  <sheetData>
    <row r="1" spans="1:4" ht="20.399999999999999" x14ac:dyDescent="0.75">
      <c r="A1" s="4" t="s">
        <v>7</v>
      </c>
    </row>
    <row r="3" spans="1:4" x14ac:dyDescent="0.55000000000000004">
      <c r="A3" t="s">
        <v>9</v>
      </c>
      <c r="B3" s="1">
        <f>År1</f>
        <v>2019</v>
      </c>
      <c r="C3" s="1">
        <f>År2</f>
        <v>2030</v>
      </c>
      <c r="D3" s="1">
        <f>År3</f>
        <v>2050</v>
      </c>
    </row>
    <row r="4" spans="1:4" x14ac:dyDescent="0.55000000000000004">
      <c r="A4" t="s">
        <v>10</v>
      </c>
      <c r="B4">
        <f>SUM(B5:B6)</f>
        <v>5806081</v>
      </c>
      <c r="C4">
        <f>SUM(C5:C6)</f>
        <v>6043285</v>
      </c>
      <c r="D4">
        <f>SUM(D5:D6)</f>
        <v>6301050</v>
      </c>
    </row>
    <row r="5" spans="1:4" x14ac:dyDescent="0.55000000000000004">
      <c r="A5" t="s">
        <v>366</v>
      </c>
      <c r="B5">
        <f>SUM(D13:D15)</f>
        <v>3133781</v>
      </c>
      <c r="C5">
        <f>SUM(M34:M36)</f>
        <v>3238884</v>
      </c>
      <c r="D5">
        <f>SUM(F22:F24)</f>
        <v>3365158</v>
      </c>
    </row>
    <row r="6" spans="1:4" x14ac:dyDescent="0.55000000000000004">
      <c r="A6" t="s">
        <v>367</v>
      </c>
      <c r="B6">
        <f>SUM(D11:D12)</f>
        <v>2672300</v>
      </c>
      <c r="C6">
        <f>SUM(M32:M33)</f>
        <v>2804401</v>
      </c>
      <c r="D6">
        <f>SUM(F20:F21)</f>
        <v>2935892</v>
      </c>
    </row>
    <row r="8" spans="1:4" ht="16.8" x14ac:dyDescent="0.65">
      <c r="A8" s="197" t="s">
        <v>399</v>
      </c>
      <c r="B8" s="196"/>
      <c r="C8" s="196"/>
      <c r="D8" s="196"/>
    </row>
    <row r="9" spans="1:4" x14ac:dyDescent="0.55000000000000004">
      <c r="A9" s="198" t="s">
        <v>369</v>
      </c>
      <c r="B9" s="196"/>
      <c r="C9" s="196"/>
      <c r="D9" s="196"/>
    </row>
    <row r="10" spans="1:4" x14ac:dyDescent="0.55000000000000004">
      <c r="A10" s="196"/>
      <c r="B10" s="196"/>
      <c r="C10" s="196"/>
      <c r="D10" s="199" t="s">
        <v>57</v>
      </c>
    </row>
    <row r="11" spans="1:4" x14ac:dyDescent="0.55000000000000004">
      <c r="A11" s="199" t="s">
        <v>57</v>
      </c>
      <c r="B11" s="199" t="s">
        <v>400</v>
      </c>
      <c r="C11" s="199" t="s">
        <v>56</v>
      </c>
      <c r="D11" s="200">
        <v>1835562</v>
      </c>
    </row>
    <row r="12" spans="1:4" x14ac:dyDescent="0.55000000000000004">
      <c r="A12" s="196"/>
      <c r="B12" s="196"/>
      <c r="C12" s="199" t="s">
        <v>55</v>
      </c>
      <c r="D12" s="200">
        <v>836738</v>
      </c>
    </row>
    <row r="13" spans="1:4" x14ac:dyDescent="0.55000000000000004">
      <c r="A13" s="196"/>
      <c r="B13" s="196"/>
      <c r="C13" s="199" t="s">
        <v>54</v>
      </c>
      <c r="D13" s="200">
        <v>1223348</v>
      </c>
    </row>
    <row r="14" spans="1:4" x14ac:dyDescent="0.55000000000000004">
      <c r="A14" s="196"/>
      <c r="B14" s="196"/>
      <c r="C14" s="199" t="s">
        <v>53</v>
      </c>
      <c r="D14" s="200">
        <v>1320678</v>
      </c>
    </row>
    <row r="15" spans="1:4" x14ac:dyDescent="0.55000000000000004">
      <c r="A15" s="196"/>
      <c r="B15" s="196"/>
      <c r="C15" s="199" t="s">
        <v>50</v>
      </c>
      <c r="D15" s="200">
        <v>589755</v>
      </c>
    </row>
    <row r="19" spans="1:28" x14ac:dyDescent="0.55000000000000004">
      <c r="B19" s="192">
        <v>2046</v>
      </c>
      <c r="C19" s="192">
        <v>2047</v>
      </c>
      <c r="D19" s="192">
        <v>2048</v>
      </c>
      <c r="E19" s="192">
        <v>2049</v>
      </c>
      <c r="F19" s="192">
        <v>2050</v>
      </c>
    </row>
    <row r="20" spans="1:28" x14ac:dyDescent="0.55000000000000004">
      <c r="A20" s="192" t="s">
        <v>56</v>
      </c>
      <c r="B20" s="193">
        <f>AB32+AB32-AA32</f>
        <v>2042332</v>
      </c>
      <c r="C20" s="193">
        <f>B20+B20-AB32</f>
        <v>2046472</v>
      </c>
      <c r="D20" s="193">
        <f>C20+C20-B20</f>
        <v>2050612</v>
      </c>
      <c r="E20" s="193">
        <f t="shared" ref="E20:F24" si="0">D20+D20-C20</f>
        <v>2054752</v>
      </c>
      <c r="F20" s="193">
        <f t="shared" si="0"/>
        <v>2058892</v>
      </c>
    </row>
    <row r="21" spans="1:28" x14ac:dyDescent="0.55000000000000004">
      <c r="A21" s="192" t="s">
        <v>55</v>
      </c>
      <c r="B21" s="193">
        <f t="shared" ref="B21:B24" si="1">AB33+AB33-AA33</f>
        <v>875096</v>
      </c>
      <c r="C21" s="193">
        <f t="shared" ref="C21:C24" si="2">B21+B21-AB33</f>
        <v>875572</v>
      </c>
      <c r="D21" s="193">
        <f t="shared" ref="D21:D24" si="3">C21+C21-B21</f>
        <v>876048</v>
      </c>
      <c r="E21" s="193">
        <f t="shared" si="0"/>
        <v>876524</v>
      </c>
      <c r="F21" s="193">
        <f t="shared" si="0"/>
        <v>877000</v>
      </c>
    </row>
    <row r="22" spans="1:28" x14ac:dyDescent="0.55000000000000004">
      <c r="A22" s="192" t="s">
        <v>54</v>
      </c>
      <c r="B22" s="193">
        <f t="shared" si="1"/>
        <v>1269966</v>
      </c>
      <c r="C22" s="193">
        <f t="shared" si="2"/>
        <v>1270625</v>
      </c>
      <c r="D22" s="193">
        <f t="shared" si="3"/>
        <v>1271284</v>
      </c>
      <c r="E22" s="193">
        <f t="shared" si="0"/>
        <v>1271943</v>
      </c>
      <c r="F22" s="193">
        <f t="shared" si="0"/>
        <v>1272602</v>
      </c>
    </row>
    <row r="23" spans="1:28" x14ac:dyDescent="0.55000000000000004">
      <c r="A23" s="192" t="s">
        <v>53</v>
      </c>
      <c r="B23" s="193">
        <f t="shared" si="1"/>
        <v>1474294</v>
      </c>
      <c r="C23" s="193">
        <f t="shared" si="2"/>
        <v>1477863</v>
      </c>
      <c r="D23" s="193">
        <f t="shared" si="3"/>
        <v>1481432</v>
      </c>
      <c r="E23" s="193">
        <f t="shared" si="0"/>
        <v>1485001</v>
      </c>
      <c r="F23" s="193">
        <f t="shared" si="0"/>
        <v>1488570</v>
      </c>
    </row>
    <row r="24" spans="1:28" x14ac:dyDescent="0.55000000000000004">
      <c r="A24" s="192" t="s">
        <v>50</v>
      </c>
      <c r="B24" s="193">
        <f t="shared" si="1"/>
        <v>603918</v>
      </c>
      <c r="C24" s="193">
        <f t="shared" si="2"/>
        <v>603935</v>
      </c>
      <c r="D24" s="193">
        <f t="shared" si="3"/>
        <v>603952</v>
      </c>
      <c r="E24" s="193">
        <f t="shared" si="0"/>
        <v>603969</v>
      </c>
      <c r="F24" s="193">
        <f t="shared" si="0"/>
        <v>603986</v>
      </c>
    </row>
    <row r="25" spans="1:28" x14ac:dyDescent="0.55000000000000004">
      <c r="A25" t="s">
        <v>401</v>
      </c>
    </row>
    <row r="28" spans="1:28" x14ac:dyDescent="0.55000000000000004">
      <c r="A28" s="195" t="s">
        <v>398</v>
      </c>
    </row>
    <row r="29" spans="1:28" ht="16.8" x14ac:dyDescent="0.65">
      <c r="A29" s="190" t="s">
        <v>368</v>
      </c>
      <c r="B29" s="189"/>
      <c r="C29" s="189"/>
      <c r="D29" s="189"/>
      <c r="E29" s="189"/>
      <c r="F29" s="189"/>
      <c r="G29" s="189"/>
      <c r="H29" s="189"/>
      <c r="I29" s="189"/>
      <c r="J29" s="189"/>
      <c r="K29" s="189"/>
      <c r="L29" s="189"/>
      <c r="M29" s="189"/>
      <c r="N29" s="189"/>
      <c r="O29" s="189"/>
      <c r="P29" s="189"/>
      <c r="Q29" s="189"/>
      <c r="R29" s="189"/>
      <c r="S29" s="189"/>
      <c r="T29" s="189"/>
      <c r="U29" s="189"/>
      <c r="V29" s="189"/>
      <c r="W29" s="189"/>
      <c r="X29" s="189"/>
      <c r="Y29" s="189"/>
      <c r="Z29" s="189"/>
      <c r="AA29" s="189"/>
      <c r="AB29" s="189"/>
    </row>
    <row r="30" spans="1:28" x14ac:dyDescent="0.55000000000000004">
      <c r="A30" s="191" t="s">
        <v>369</v>
      </c>
      <c r="B30" s="189"/>
      <c r="C30" s="189"/>
      <c r="D30" s="189"/>
      <c r="E30" s="189"/>
      <c r="F30" s="189"/>
      <c r="G30" s="189"/>
      <c r="H30" s="189"/>
      <c r="I30" s="189"/>
      <c r="J30" s="189"/>
      <c r="K30" s="189"/>
      <c r="L30" s="189"/>
      <c r="M30" s="189"/>
      <c r="N30" s="189"/>
      <c r="O30" s="189"/>
      <c r="P30" s="189"/>
      <c r="Q30" s="189"/>
      <c r="R30" s="189"/>
      <c r="S30" s="189"/>
      <c r="T30" s="189"/>
      <c r="U30" s="189"/>
      <c r="V30" s="189"/>
      <c r="W30" s="189"/>
      <c r="X30" s="189"/>
      <c r="Y30" s="189"/>
      <c r="Z30" s="189"/>
      <c r="AA30" s="189"/>
      <c r="AB30" s="189"/>
    </row>
    <row r="31" spans="1:28" x14ac:dyDescent="0.55000000000000004">
      <c r="A31" s="189"/>
      <c r="B31" s="189"/>
      <c r="C31" s="192" t="s">
        <v>370</v>
      </c>
      <c r="D31" s="192" t="s">
        <v>371</v>
      </c>
      <c r="E31" s="192" t="s">
        <v>372</v>
      </c>
      <c r="F31" s="192" t="s">
        <v>373</v>
      </c>
      <c r="G31" s="192" t="s">
        <v>374</v>
      </c>
      <c r="H31" s="192" t="s">
        <v>375</v>
      </c>
      <c r="I31" s="192" t="s">
        <v>376</v>
      </c>
      <c r="J31" s="192" t="s">
        <v>377</v>
      </c>
      <c r="K31" s="192" t="s">
        <v>378</v>
      </c>
      <c r="L31" s="192" t="s">
        <v>379</v>
      </c>
      <c r="M31" s="192" t="s">
        <v>380</v>
      </c>
      <c r="N31" s="192" t="s">
        <v>381</v>
      </c>
      <c r="O31" s="192" t="s">
        <v>382</v>
      </c>
      <c r="P31" s="192" t="s">
        <v>383</v>
      </c>
      <c r="Q31" s="192" t="s">
        <v>384</v>
      </c>
      <c r="R31" s="192" t="s">
        <v>385</v>
      </c>
      <c r="S31" s="192" t="s">
        <v>386</v>
      </c>
      <c r="T31" s="192" t="s">
        <v>387</v>
      </c>
      <c r="U31" s="192" t="s">
        <v>388</v>
      </c>
      <c r="V31" s="192" t="s">
        <v>389</v>
      </c>
      <c r="W31" s="192" t="s">
        <v>390</v>
      </c>
      <c r="X31" s="192" t="s">
        <v>391</v>
      </c>
      <c r="Y31" s="192" t="s">
        <v>392</v>
      </c>
      <c r="Z31" s="192" t="s">
        <v>393</v>
      </c>
      <c r="AA31" s="192" t="s">
        <v>394</v>
      </c>
      <c r="AB31" s="192" t="s">
        <v>395</v>
      </c>
    </row>
    <row r="32" spans="1:28" x14ac:dyDescent="0.55000000000000004">
      <c r="A32" s="192" t="s">
        <v>396</v>
      </c>
      <c r="B32" s="192" t="s">
        <v>56</v>
      </c>
      <c r="C32" s="193">
        <v>1845939</v>
      </c>
      <c r="D32" s="193">
        <v>1857234</v>
      </c>
      <c r="E32" s="193">
        <v>1867895</v>
      </c>
      <c r="F32" s="193">
        <v>1878409</v>
      </c>
      <c r="G32" s="193">
        <v>1888669</v>
      </c>
      <c r="H32" s="193">
        <v>1898884</v>
      </c>
      <c r="I32" s="193">
        <v>1909204</v>
      </c>
      <c r="J32" s="193">
        <v>1919555</v>
      </c>
      <c r="K32" s="193">
        <v>1929748</v>
      </c>
      <c r="L32" s="193">
        <v>1939576</v>
      </c>
      <c r="M32" s="193">
        <v>1948934</v>
      </c>
      <c r="N32" s="193">
        <v>1957789</v>
      </c>
      <c r="O32" s="193">
        <v>1966080</v>
      </c>
      <c r="P32" s="193">
        <v>1973810</v>
      </c>
      <c r="Q32" s="193">
        <v>1980994</v>
      </c>
      <c r="R32" s="193">
        <v>1987707</v>
      </c>
      <c r="S32" s="193">
        <v>1993983</v>
      </c>
      <c r="T32" s="193">
        <v>1999944</v>
      </c>
      <c r="U32" s="193">
        <v>2005628</v>
      </c>
      <c r="V32" s="193">
        <v>2010997</v>
      </c>
      <c r="W32" s="193">
        <v>2016064</v>
      </c>
      <c r="X32" s="193">
        <v>2020862</v>
      </c>
      <c r="Y32" s="193">
        <v>2025426</v>
      </c>
      <c r="Z32" s="193">
        <v>2029805</v>
      </c>
      <c r="AA32" s="193">
        <v>2034052</v>
      </c>
      <c r="AB32" s="193">
        <v>2038192</v>
      </c>
    </row>
    <row r="33" spans="1:28" x14ac:dyDescent="0.55000000000000004">
      <c r="A33" s="189"/>
      <c r="B33" s="192" t="s">
        <v>55</v>
      </c>
      <c r="C33" s="193">
        <v>837359</v>
      </c>
      <c r="D33" s="193">
        <v>839107</v>
      </c>
      <c r="E33" s="193">
        <v>840758</v>
      </c>
      <c r="F33" s="193">
        <v>842419</v>
      </c>
      <c r="G33" s="193">
        <v>844122</v>
      </c>
      <c r="H33" s="193">
        <v>845869</v>
      </c>
      <c r="I33" s="193">
        <v>847704</v>
      </c>
      <c r="J33" s="193">
        <v>849622</v>
      </c>
      <c r="K33" s="193">
        <v>851577</v>
      </c>
      <c r="L33" s="193">
        <v>853535</v>
      </c>
      <c r="M33" s="193">
        <v>855467</v>
      </c>
      <c r="N33" s="193">
        <v>857368</v>
      </c>
      <c r="O33" s="193">
        <v>859244</v>
      </c>
      <c r="P33" s="193">
        <v>861118</v>
      </c>
      <c r="Q33" s="193">
        <v>862957</v>
      </c>
      <c r="R33" s="193">
        <v>864714</v>
      </c>
      <c r="S33" s="193">
        <v>866319</v>
      </c>
      <c r="T33" s="193">
        <v>867756</v>
      </c>
      <c r="U33" s="193">
        <v>869030</v>
      </c>
      <c r="V33" s="193">
        <v>870151</v>
      </c>
      <c r="W33" s="193">
        <v>871151</v>
      </c>
      <c r="X33" s="193">
        <v>872053</v>
      </c>
      <c r="Y33" s="193">
        <v>872857</v>
      </c>
      <c r="Z33" s="193">
        <v>873553</v>
      </c>
      <c r="AA33" s="193">
        <v>874144</v>
      </c>
      <c r="AB33" s="193">
        <v>874620</v>
      </c>
    </row>
    <row r="34" spans="1:28" x14ac:dyDescent="0.55000000000000004">
      <c r="A34" s="189"/>
      <c r="B34" s="192" t="s">
        <v>54</v>
      </c>
      <c r="C34" s="193">
        <v>1223105</v>
      </c>
      <c r="D34" s="193">
        <v>1225070</v>
      </c>
      <c r="E34" s="193">
        <v>1226987</v>
      </c>
      <c r="F34" s="193">
        <v>1228920</v>
      </c>
      <c r="G34" s="193">
        <v>1230960</v>
      </c>
      <c r="H34" s="193">
        <v>1233151</v>
      </c>
      <c r="I34" s="193">
        <v>1235577</v>
      </c>
      <c r="J34" s="193">
        <v>1238222</v>
      </c>
      <c r="K34" s="193">
        <v>1240924</v>
      </c>
      <c r="L34" s="193">
        <v>1243567</v>
      </c>
      <c r="M34" s="193">
        <v>1246089</v>
      </c>
      <c r="N34" s="193">
        <v>1248469</v>
      </c>
      <c r="O34" s="193">
        <v>1250748</v>
      </c>
      <c r="P34" s="193">
        <v>1252953</v>
      </c>
      <c r="Q34" s="193">
        <v>1255059</v>
      </c>
      <c r="R34" s="193">
        <v>1257081</v>
      </c>
      <c r="S34" s="193">
        <v>1258976</v>
      </c>
      <c r="T34" s="193">
        <v>1260716</v>
      </c>
      <c r="U34" s="193">
        <v>1262287</v>
      </c>
      <c r="V34" s="193">
        <v>1263677</v>
      </c>
      <c r="W34" s="193">
        <v>1264918</v>
      </c>
      <c r="X34" s="193">
        <v>1266028</v>
      </c>
      <c r="Y34" s="193">
        <v>1267016</v>
      </c>
      <c r="Z34" s="193">
        <v>1267881</v>
      </c>
      <c r="AA34" s="193">
        <v>1268648</v>
      </c>
      <c r="AB34" s="193">
        <v>1269307</v>
      </c>
    </row>
    <row r="35" spans="1:28" x14ac:dyDescent="0.55000000000000004">
      <c r="A35" s="189"/>
      <c r="B35" s="192" t="s">
        <v>53</v>
      </c>
      <c r="C35" s="193">
        <v>1326339</v>
      </c>
      <c r="D35" s="193">
        <v>1333013</v>
      </c>
      <c r="E35" s="193">
        <v>1339553</v>
      </c>
      <c r="F35" s="193">
        <v>1346003</v>
      </c>
      <c r="G35" s="193">
        <v>1352509</v>
      </c>
      <c r="H35" s="193">
        <v>1359192</v>
      </c>
      <c r="I35" s="193">
        <v>1366154</v>
      </c>
      <c r="J35" s="193">
        <v>1373348</v>
      </c>
      <c r="K35" s="193">
        <v>1380617</v>
      </c>
      <c r="L35" s="193">
        <v>1387810</v>
      </c>
      <c r="M35" s="193">
        <v>1394826</v>
      </c>
      <c r="N35" s="193">
        <v>1401603</v>
      </c>
      <c r="O35" s="193">
        <v>1408105</v>
      </c>
      <c r="P35" s="193">
        <v>1414301</v>
      </c>
      <c r="Q35" s="193">
        <v>1420221</v>
      </c>
      <c r="R35" s="193">
        <v>1425914</v>
      </c>
      <c r="S35" s="193">
        <v>1431388</v>
      </c>
      <c r="T35" s="193">
        <v>1436658</v>
      </c>
      <c r="U35" s="193">
        <v>1441733</v>
      </c>
      <c r="V35" s="193">
        <v>1446568</v>
      </c>
      <c r="W35" s="193">
        <v>1451154</v>
      </c>
      <c r="X35" s="193">
        <v>1455487</v>
      </c>
      <c r="Y35" s="193">
        <v>1459576</v>
      </c>
      <c r="Z35" s="193">
        <v>1463449</v>
      </c>
      <c r="AA35" s="193">
        <v>1467156</v>
      </c>
      <c r="AB35" s="193">
        <v>1470725</v>
      </c>
    </row>
    <row r="36" spans="1:28" x14ac:dyDescent="0.55000000000000004">
      <c r="A36" s="189"/>
      <c r="B36" s="192" t="s">
        <v>50</v>
      </c>
      <c r="C36" s="193">
        <v>589936</v>
      </c>
      <c r="D36" s="193">
        <v>590482</v>
      </c>
      <c r="E36" s="193">
        <v>591053</v>
      </c>
      <c r="F36" s="193">
        <v>591637</v>
      </c>
      <c r="G36" s="193">
        <v>592294</v>
      </c>
      <c r="H36" s="193">
        <v>593054</v>
      </c>
      <c r="I36" s="193">
        <v>593932</v>
      </c>
      <c r="J36" s="193">
        <v>594914</v>
      </c>
      <c r="K36" s="193">
        <v>595955</v>
      </c>
      <c r="L36" s="193">
        <v>596991</v>
      </c>
      <c r="M36" s="193">
        <v>597969</v>
      </c>
      <c r="N36" s="193">
        <v>598874</v>
      </c>
      <c r="O36" s="193">
        <v>599694</v>
      </c>
      <c r="P36" s="193">
        <v>600418</v>
      </c>
      <c r="Q36" s="193">
        <v>601054</v>
      </c>
      <c r="R36" s="193">
        <v>601615</v>
      </c>
      <c r="S36" s="193">
        <v>602110</v>
      </c>
      <c r="T36" s="193">
        <v>602552</v>
      </c>
      <c r="U36" s="193">
        <v>602935</v>
      </c>
      <c r="V36" s="193">
        <v>603256</v>
      </c>
      <c r="W36" s="193">
        <v>603507</v>
      </c>
      <c r="X36" s="193">
        <v>603683</v>
      </c>
      <c r="Y36" s="193">
        <v>603792</v>
      </c>
      <c r="Z36" s="193">
        <v>603853</v>
      </c>
      <c r="AA36" s="193">
        <v>603884</v>
      </c>
      <c r="AB36" s="193">
        <v>603901</v>
      </c>
    </row>
    <row r="38" spans="1:28" ht="216" x14ac:dyDescent="0.55000000000000004">
      <c r="A38" s="194" t="s">
        <v>397</v>
      </c>
      <c r="B38" s="189"/>
      <c r="C38" s="189"/>
      <c r="D38" s="189"/>
      <c r="E38" s="189"/>
      <c r="F38" s="189"/>
      <c r="G38" s="189"/>
      <c r="H38" s="189"/>
      <c r="I38" s="189"/>
      <c r="J38" s="189"/>
      <c r="K38" s="189"/>
      <c r="L38" s="189"/>
      <c r="M38" s="189"/>
      <c r="N38" s="189"/>
      <c r="O38" s="189"/>
      <c r="P38" s="189"/>
      <c r="Q38" s="189"/>
      <c r="R38" s="189"/>
      <c r="S38" s="189"/>
      <c r="T38" s="189"/>
      <c r="U38" s="189"/>
      <c r="V38" s="189"/>
      <c r="W38" s="189"/>
      <c r="X38" s="189"/>
      <c r="Y38" s="189"/>
      <c r="Z38" s="189"/>
      <c r="AA38" s="189"/>
      <c r="AB38" s="189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9769C-EB5F-4817-A7AD-123BA23B73F9}">
  <sheetPr codeName="Sheet20">
    <tabColor theme="7" tint="0.59999389629810485"/>
  </sheetPr>
  <dimension ref="A1:N30"/>
  <sheetViews>
    <sheetView workbookViewId="0">
      <selection activeCell="B4" sqref="B4"/>
    </sheetView>
  </sheetViews>
  <sheetFormatPr defaultRowHeight="14.4" x14ac:dyDescent="0.55000000000000004"/>
  <cols>
    <col min="2" max="2" width="13.26171875" bestFit="1" customWidth="1"/>
    <col min="7" max="7" width="11.26171875" customWidth="1"/>
    <col min="12" max="12" width="12.26171875" customWidth="1"/>
    <col min="14" max="14" width="16.83984375" bestFit="1" customWidth="1"/>
  </cols>
  <sheetData>
    <row r="1" spans="1:14" ht="20.399999999999999" x14ac:dyDescent="0.75">
      <c r="A1" s="4" t="s">
        <v>784</v>
      </c>
    </row>
    <row r="3" spans="1:14" x14ac:dyDescent="0.55000000000000004">
      <c r="B3" s="1">
        <f>År1</f>
        <v>2019</v>
      </c>
      <c r="C3" s="1">
        <f>År2</f>
        <v>2030</v>
      </c>
      <c r="D3" s="1">
        <f>År3</f>
        <v>2050</v>
      </c>
    </row>
    <row r="4" spans="1:14" x14ac:dyDescent="0.55000000000000004">
      <c r="A4" s="1" t="s">
        <v>714</v>
      </c>
      <c r="B4" s="328">
        <f>$B$9/Befolkningstal!$B$4</f>
        <v>1.1893449129763534</v>
      </c>
      <c r="C4" s="328">
        <f>$B$9/Befolkningstal!$B$4</f>
        <v>1.1893449129763534</v>
      </c>
      <c r="D4" s="328">
        <f>$B$9/Befolkningstal!$B$4</f>
        <v>1.1893449129763534</v>
      </c>
    </row>
    <row r="5" spans="1:14" x14ac:dyDescent="0.55000000000000004">
      <c r="A5" s="1"/>
      <c r="B5" s="328"/>
    </row>
    <row r="6" spans="1:14" x14ac:dyDescent="0.55000000000000004">
      <c r="A6" s="1"/>
      <c r="B6" s="328"/>
    </row>
    <row r="8" spans="1:14" x14ac:dyDescent="0.55000000000000004">
      <c r="A8" t="s">
        <v>696</v>
      </c>
      <c r="B8">
        <f>SUM(M15:M19)</f>
        <v>1030256</v>
      </c>
      <c r="C8" t="s">
        <v>698</v>
      </c>
      <c r="F8" s="218" t="s">
        <v>686</v>
      </c>
    </row>
    <row r="9" spans="1:14" x14ac:dyDescent="0.55000000000000004">
      <c r="A9" t="s">
        <v>697</v>
      </c>
      <c r="B9" s="338">
        <f>B8*B30*1000</f>
        <v>6905432.9016786581</v>
      </c>
      <c r="C9" t="s">
        <v>715</v>
      </c>
      <c r="F9" s="219">
        <v>140000</v>
      </c>
      <c r="G9" s="337">
        <f>140000/Biogasudbytte!C18</f>
        <v>2333333.3333333335</v>
      </c>
    </row>
    <row r="10" spans="1:14" x14ac:dyDescent="0.55000000000000004">
      <c r="A10" t="s">
        <v>699</v>
      </c>
    </row>
    <row r="12" spans="1:14" ht="16.8" x14ac:dyDescent="0.65">
      <c r="A12" s="331" t="s">
        <v>678</v>
      </c>
      <c r="B12" s="330"/>
      <c r="C12" s="330"/>
      <c r="D12" s="330"/>
      <c r="E12" s="330"/>
      <c r="F12" s="330"/>
      <c r="G12" s="330"/>
      <c r="H12" s="330"/>
      <c r="I12" s="330"/>
      <c r="J12" s="330"/>
      <c r="K12" s="330"/>
      <c r="L12" s="330"/>
      <c r="M12" s="330"/>
    </row>
    <row r="13" spans="1:14" x14ac:dyDescent="0.55000000000000004">
      <c r="A13" s="332" t="s">
        <v>107</v>
      </c>
      <c r="B13" s="330"/>
      <c r="C13" s="330"/>
      <c r="D13" s="330"/>
      <c r="E13" s="330"/>
      <c r="F13" s="330"/>
      <c r="G13" s="330"/>
      <c r="H13" s="330"/>
      <c r="I13" s="330"/>
      <c r="J13" s="330"/>
      <c r="K13" s="330"/>
      <c r="L13" s="330"/>
      <c r="M13" s="330"/>
    </row>
    <row r="14" spans="1:14" x14ac:dyDescent="0.55000000000000004">
      <c r="A14" s="330"/>
      <c r="B14" s="330"/>
      <c r="C14" s="330"/>
      <c r="D14" s="333" t="s">
        <v>670</v>
      </c>
      <c r="E14" s="333" t="s">
        <v>671</v>
      </c>
      <c r="F14" s="333" t="s">
        <v>672</v>
      </c>
      <c r="G14" s="333" t="s">
        <v>673</v>
      </c>
      <c r="H14" s="333" t="s">
        <v>674</v>
      </c>
      <c r="I14" s="333" t="s">
        <v>675</v>
      </c>
      <c r="J14" s="333" t="s">
        <v>676</v>
      </c>
      <c r="K14" s="333" t="s">
        <v>677</v>
      </c>
      <c r="L14" s="333" t="s">
        <v>94</v>
      </c>
      <c r="M14" s="333" t="s">
        <v>269</v>
      </c>
      <c r="N14" s="333" t="s">
        <v>630</v>
      </c>
    </row>
    <row r="15" spans="1:14" x14ac:dyDescent="0.55000000000000004">
      <c r="A15" s="333" t="s">
        <v>679</v>
      </c>
      <c r="B15" s="333" t="s">
        <v>109</v>
      </c>
      <c r="C15" s="333" t="s">
        <v>680</v>
      </c>
      <c r="D15" s="334" t="s">
        <v>140</v>
      </c>
      <c r="E15" s="334" t="s">
        <v>140</v>
      </c>
      <c r="F15" s="334" t="s">
        <v>140</v>
      </c>
      <c r="G15" s="334" t="s">
        <v>140</v>
      </c>
      <c r="H15" s="334" t="s">
        <v>140</v>
      </c>
      <c r="I15" s="334" t="s">
        <v>140</v>
      </c>
      <c r="J15" s="334" t="s">
        <v>140</v>
      </c>
      <c r="K15" s="334" t="s">
        <v>140</v>
      </c>
      <c r="L15" s="334" t="s">
        <v>140</v>
      </c>
      <c r="M15" s="335">
        <v>260427</v>
      </c>
      <c r="N15" s="336">
        <f>AVERAGEIF(D15:M15,"&gt;0")*1000</f>
        <v>260427000</v>
      </c>
    </row>
    <row r="16" spans="1:14" x14ac:dyDescent="0.55000000000000004">
      <c r="A16" s="330"/>
      <c r="B16" s="330"/>
      <c r="C16" s="333" t="s">
        <v>681</v>
      </c>
      <c r="D16" s="334" t="s">
        <v>140</v>
      </c>
      <c r="E16" s="334" t="s">
        <v>140</v>
      </c>
      <c r="F16" s="334" t="s">
        <v>140</v>
      </c>
      <c r="G16" s="334" t="s">
        <v>140</v>
      </c>
      <c r="H16" s="334" t="s">
        <v>140</v>
      </c>
      <c r="I16" s="334" t="s">
        <v>140</v>
      </c>
      <c r="J16" s="334" t="s">
        <v>140</v>
      </c>
      <c r="K16" s="334" t="s">
        <v>140</v>
      </c>
      <c r="L16" s="334" t="s">
        <v>140</v>
      </c>
      <c r="M16" s="335">
        <v>871</v>
      </c>
      <c r="N16" s="336">
        <f t="shared" ref="N16:N20" si="0">AVERAGEIF(D16:M16,"&gt;0")*1000</f>
        <v>871000</v>
      </c>
    </row>
    <row r="17" spans="1:14" x14ac:dyDescent="0.55000000000000004">
      <c r="A17" s="330"/>
      <c r="B17" s="330"/>
      <c r="C17" s="333" t="s">
        <v>682</v>
      </c>
      <c r="D17" s="334" t="s">
        <v>140</v>
      </c>
      <c r="E17" s="335">
        <v>52749</v>
      </c>
      <c r="F17" s="335">
        <v>44752</v>
      </c>
      <c r="G17" s="335">
        <v>45513</v>
      </c>
      <c r="H17" s="335">
        <v>46463</v>
      </c>
      <c r="I17" s="335">
        <v>49231</v>
      </c>
      <c r="J17" s="335">
        <v>46930</v>
      </c>
      <c r="K17" s="335">
        <v>48463</v>
      </c>
      <c r="L17" s="335">
        <v>49844</v>
      </c>
      <c r="M17" s="335">
        <v>41550</v>
      </c>
      <c r="N17" s="336">
        <f t="shared" si="0"/>
        <v>47277222.222222216</v>
      </c>
    </row>
    <row r="18" spans="1:14" x14ac:dyDescent="0.55000000000000004">
      <c r="A18" s="330"/>
      <c r="B18" s="330"/>
      <c r="C18" s="333" t="s">
        <v>683</v>
      </c>
      <c r="D18" s="335">
        <v>706269</v>
      </c>
      <c r="E18" s="335">
        <v>769131</v>
      </c>
      <c r="F18" s="335">
        <v>718074</v>
      </c>
      <c r="G18" s="335">
        <v>643849</v>
      </c>
      <c r="H18" s="335">
        <v>696742</v>
      </c>
      <c r="I18" s="335">
        <v>765740</v>
      </c>
      <c r="J18" s="335">
        <v>696745</v>
      </c>
      <c r="K18" s="335">
        <v>714169</v>
      </c>
      <c r="L18" s="335">
        <v>614460</v>
      </c>
      <c r="M18" s="335">
        <v>721022</v>
      </c>
      <c r="N18" s="336">
        <f t="shared" si="0"/>
        <v>704620100</v>
      </c>
    </row>
    <row r="19" spans="1:14" x14ac:dyDescent="0.55000000000000004">
      <c r="A19" s="330"/>
      <c r="B19" s="330"/>
      <c r="C19" s="333" t="s">
        <v>684</v>
      </c>
      <c r="D19" s="334" t="s">
        <v>140</v>
      </c>
      <c r="E19" s="335">
        <v>10931</v>
      </c>
      <c r="F19" s="334" t="s">
        <v>140</v>
      </c>
      <c r="G19" s="335">
        <v>10175</v>
      </c>
      <c r="H19" s="335">
        <v>10014</v>
      </c>
      <c r="I19" s="335">
        <v>9600</v>
      </c>
      <c r="J19" s="335">
        <v>8438</v>
      </c>
      <c r="K19" s="335">
        <v>8435</v>
      </c>
      <c r="L19" s="335">
        <v>6438</v>
      </c>
      <c r="M19" s="335">
        <v>6386</v>
      </c>
      <c r="N19" s="336">
        <f t="shared" si="0"/>
        <v>8802125</v>
      </c>
    </row>
    <row r="20" spans="1:14" x14ac:dyDescent="0.55000000000000004">
      <c r="A20" s="330"/>
      <c r="B20" s="330"/>
      <c r="C20" s="333" t="s">
        <v>685</v>
      </c>
      <c r="D20" s="334" t="s">
        <v>140</v>
      </c>
      <c r="E20" s="334" t="s">
        <v>140</v>
      </c>
      <c r="F20" s="334" t="s">
        <v>140</v>
      </c>
      <c r="G20" s="334" t="s">
        <v>140</v>
      </c>
      <c r="H20" s="335">
        <v>334595</v>
      </c>
      <c r="I20" s="335">
        <v>392260</v>
      </c>
      <c r="J20" s="335">
        <v>312980</v>
      </c>
      <c r="K20" s="335">
        <v>386102</v>
      </c>
      <c r="L20" s="335">
        <v>228159</v>
      </c>
      <c r="M20" s="335">
        <v>353152</v>
      </c>
      <c r="N20" s="336">
        <f t="shared" si="0"/>
        <v>334541333.33333331</v>
      </c>
    </row>
    <row r="21" spans="1:14" x14ac:dyDescent="0.55000000000000004">
      <c r="N21" s="336">
        <f>SUM(N15:N20)</f>
        <v>1356538780.5555556</v>
      </c>
    </row>
    <row r="24" spans="1:14" x14ac:dyDescent="0.55000000000000004">
      <c r="A24" s="167" t="s">
        <v>687</v>
      </c>
      <c r="B24" t="s">
        <v>783</v>
      </c>
    </row>
    <row r="25" spans="1:14" x14ac:dyDescent="0.55000000000000004">
      <c r="A25" t="s">
        <v>688</v>
      </c>
      <c r="B25">
        <v>30</v>
      </c>
      <c r="C25" t="s">
        <v>689</v>
      </c>
    </row>
    <row r="26" spans="1:14" x14ac:dyDescent="0.55000000000000004">
      <c r="A26" t="s">
        <v>690</v>
      </c>
      <c r="B26">
        <v>4.3</v>
      </c>
      <c r="C26" t="s">
        <v>691</v>
      </c>
    </row>
    <row r="27" spans="1:14" x14ac:dyDescent="0.55000000000000004">
      <c r="A27" t="s">
        <v>690</v>
      </c>
      <c r="B27">
        <f>B26/B25</f>
        <v>0.14333333333333334</v>
      </c>
      <c r="C27" t="s">
        <v>692</v>
      </c>
    </row>
    <row r="28" spans="1:14" x14ac:dyDescent="0.55000000000000004">
      <c r="A28" t="s">
        <v>693</v>
      </c>
      <c r="B28">
        <f>B27*0.65</f>
        <v>9.3166666666666675E-2</v>
      </c>
      <c r="C28" t="s">
        <v>694</v>
      </c>
    </row>
    <row r="29" spans="1:14" x14ac:dyDescent="0.55000000000000004">
      <c r="A29" s="167" t="s">
        <v>701</v>
      </c>
    </row>
    <row r="30" spans="1:14" x14ac:dyDescent="0.55000000000000004">
      <c r="A30" t="s">
        <v>695</v>
      </c>
      <c r="B30">
        <f>B28/Biogasudbytte!B18</f>
        <v>6.7026378896882502E-3</v>
      </c>
      <c r="C30" t="s">
        <v>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79BC3-6BF7-4F22-989D-D4F07317F48A}">
  <sheetPr codeName="Sheet21">
    <tabColor theme="7" tint="0.59999389629810485"/>
  </sheetPr>
  <dimension ref="A1:N27"/>
  <sheetViews>
    <sheetView workbookViewId="0">
      <selection activeCell="A7" sqref="A7"/>
    </sheetView>
  </sheetViews>
  <sheetFormatPr defaultRowHeight="14.4" x14ac:dyDescent="0.55000000000000004"/>
  <cols>
    <col min="1" max="1" width="57" bestFit="1" customWidth="1"/>
    <col min="2" max="2" width="44.83984375" bestFit="1" customWidth="1"/>
    <col min="3" max="3" width="16.15625" bestFit="1" customWidth="1"/>
    <col min="4" max="4" width="15.41796875" bestFit="1" customWidth="1"/>
    <col min="5" max="5" width="11.578125" customWidth="1"/>
    <col min="14" max="14" width="9.68359375" customWidth="1"/>
    <col min="18" max="18" width="12" bestFit="1" customWidth="1"/>
  </cols>
  <sheetData>
    <row r="1" spans="1:14" ht="20.399999999999999" x14ac:dyDescent="0.75">
      <c r="A1" s="4" t="s">
        <v>8</v>
      </c>
      <c r="B1" s="167">
        <f>År1</f>
        <v>2019</v>
      </c>
      <c r="C1" s="167">
        <f>År2</f>
        <v>2030</v>
      </c>
      <c r="D1" s="167">
        <f>År3</f>
        <v>2050</v>
      </c>
    </row>
    <row r="2" spans="1:14" x14ac:dyDescent="0.55000000000000004">
      <c r="A2" s="161" t="s">
        <v>713</v>
      </c>
      <c r="B2" s="249" cm="1">
        <f t="array" aca="1" ref="B2" ca="1">INDIRECT("["&amp;Overblik!$B$7&amp;".xlsx]Adfærd!B31")/(1-INDIRECT("["&amp;Overblik!$B$7&amp;".xlsx]Adfærd!B12"))*INDIRECT("["&amp;Overblik!$B$7&amp;".xlsx]Adfærd!B12")/1000000*365.25*INDIRECT("["&amp;Overblik!$B$7&amp;".xlsx]Adfærd!B13")*Befolkningstal!B4</f>
        <v>130234.32551850226</v>
      </c>
      <c r="C2" s="249" cm="1">
        <f t="array" aca="1" ref="C2" ca="1">INDIRECT("["&amp;Overblik!$B$7&amp;".xlsx]Adfærd!C31")/(1-INDIRECT("["&amp;Overblik!$B$7&amp;".xlsx]Adfærd!C12"))*INDIRECT("["&amp;Overblik!$B$7&amp;".xlsx]Adfærd!C12")/1000000*365.25*INDIRECT("["&amp;Overblik!$B$7&amp;".xlsx]Adfærd!C13")*Befolkningstal!C4</f>
        <v>135554.97174274383</v>
      </c>
      <c r="D2" s="249" cm="1">
        <f t="array" aca="1" ref="D2" ca="1">INDIRECT("["&amp;Overblik!$B$7&amp;".xlsx]Adfærd!D31")/(1-INDIRECT("["&amp;Overblik!$B$7&amp;".xlsx]Adfærd!D12"))*INDIRECT("["&amp;Overblik!$B$7&amp;".xlsx]Adfærd!D12")/1000000*365.25*INDIRECT("["&amp;Overblik!$B$7&amp;".xlsx]Adfærd!D13")*Befolkningstal!D4</f>
        <v>141336.81510959953</v>
      </c>
      <c r="G2" s="10"/>
      <c r="H2" s="9"/>
    </row>
    <row r="3" spans="1:14" ht="14.7" thickBot="1" x14ac:dyDescent="0.6">
      <c r="A3" s="247" t="s">
        <v>824</v>
      </c>
      <c r="B3" s="248">
        <f>SUM($C$17:$C$18,$D$18)</f>
        <v>358674</v>
      </c>
      <c r="C3" s="248">
        <f>SUM($C$17:$C$18,$D$18)</f>
        <v>358674</v>
      </c>
      <c r="D3" s="248">
        <f>SUM($C$17:$C$18,$D$18)</f>
        <v>358674</v>
      </c>
    </row>
    <row r="4" spans="1:14" ht="14.65" customHeight="1" thickBot="1" x14ac:dyDescent="0.6">
      <c r="A4" s="164" t="s">
        <v>828</v>
      </c>
      <c r="B4" s="165">
        <f ca="1">B3-$C$18+B2</f>
        <v>358674.32551850227</v>
      </c>
      <c r="C4" s="165">
        <f ca="1">C3-$C$18+C2</f>
        <v>363994.97174274386</v>
      </c>
      <c r="D4" s="165">
        <f ca="1">D3-$C$18+D2</f>
        <v>369776.8151095995</v>
      </c>
      <c r="E4" s="521" t="s">
        <v>896</v>
      </c>
      <c r="F4" s="521"/>
      <c r="G4" s="521"/>
      <c r="H4" s="521"/>
      <c r="I4" s="521"/>
      <c r="J4" s="521"/>
      <c r="K4" s="521"/>
      <c r="L4" s="521"/>
      <c r="M4" s="521"/>
      <c r="N4" s="521"/>
    </row>
    <row r="5" spans="1:14" ht="14.65" customHeight="1" x14ac:dyDescent="0.55000000000000004">
      <c r="A5" s="162" t="s">
        <v>527</v>
      </c>
      <c r="B5" s="163">
        <f>SUM($C$16:$D$16)</f>
        <v>982809</v>
      </c>
      <c r="C5" s="163">
        <f>SUM($C$16:$D$16)</f>
        <v>982809</v>
      </c>
      <c r="D5" s="163">
        <f>SUM($C$16:$D$16)</f>
        <v>982809</v>
      </c>
      <c r="E5" s="521"/>
      <c r="F5" s="521"/>
      <c r="G5" s="521"/>
      <c r="H5" s="521"/>
      <c r="I5" s="521"/>
      <c r="J5" s="521"/>
      <c r="K5" s="521"/>
      <c r="L5" s="521"/>
      <c r="M5" s="521"/>
      <c r="N5" s="521"/>
    </row>
    <row r="6" spans="1:14" x14ac:dyDescent="0.55000000000000004">
      <c r="A6" s="162" t="s">
        <v>822</v>
      </c>
      <c r="B6" s="163">
        <f>$D$17+$D$19-SUM($C$26:$E$26)</f>
        <v>355018</v>
      </c>
      <c r="C6" s="163">
        <f t="shared" ref="C6:D6" si="0">$D$17+$D$19-SUM($C$26:$E$26)</f>
        <v>355018</v>
      </c>
      <c r="D6" s="163">
        <f t="shared" si="0"/>
        <v>355018</v>
      </c>
      <c r="E6" s="521"/>
      <c r="F6" s="521"/>
      <c r="G6" s="521"/>
      <c r="H6" s="521"/>
      <c r="I6" s="521"/>
      <c r="J6" s="521"/>
      <c r="K6" s="521"/>
      <c r="L6" s="521"/>
      <c r="M6" s="521"/>
      <c r="N6" s="521"/>
    </row>
    <row r="7" spans="1:14" x14ac:dyDescent="0.55000000000000004">
      <c r="A7" s="162" t="s">
        <v>825</v>
      </c>
      <c r="B7" s="163">
        <f ca="1">SUM(B4:B6)+E26+D26+C26</f>
        <v>2054836.3255185024</v>
      </c>
      <c r="C7" s="163"/>
      <c r="D7" s="163"/>
      <c r="E7" s="438"/>
      <c r="F7" s="438"/>
      <c r="G7" s="438"/>
      <c r="H7" s="438"/>
      <c r="I7" s="438"/>
      <c r="J7" s="438"/>
      <c r="K7" s="438"/>
      <c r="L7" s="438"/>
      <c r="M7" s="438"/>
      <c r="N7" s="438"/>
    </row>
    <row r="8" spans="1:14" x14ac:dyDescent="0.55000000000000004">
      <c r="A8" s="162"/>
      <c r="B8" s="163"/>
      <c r="C8" s="163"/>
      <c r="D8" s="163"/>
      <c r="E8" s="438"/>
      <c r="F8" s="438"/>
      <c r="G8" s="438"/>
      <c r="H8" s="438"/>
      <c r="I8" s="438"/>
      <c r="J8" s="438"/>
      <c r="K8" s="438"/>
      <c r="L8" s="438"/>
      <c r="M8" s="438"/>
      <c r="N8" s="438"/>
    </row>
    <row r="9" spans="1:14" x14ac:dyDescent="0.55000000000000004">
      <c r="A9" s="162"/>
      <c r="B9" s="163"/>
      <c r="C9" s="163"/>
      <c r="D9" s="163"/>
      <c r="E9" s="438"/>
      <c r="F9" s="438"/>
      <c r="G9" s="438"/>
      <c r="H9" s="438"/>
      <c r="I9" s="438"/>
      <c r="J9" s="438"/>
      <c r="K9" s="438"/>
      <c r="L9" s="438"/>
      <c r="M9" s="438"/>
      <c r="N9" s="438"/>
    </row>
    <row r="10" spans="1:14" x14ac:dyDescent="0.55000000000000004">
      <c r="A10" t="s">
        <v>329</v>
      </c>
    </row>
    <row r="11" spans="1:14" x14ac:dyDescent="0.55000000000000004">
      <c r="A11" s="166"/>
      <c r="K11" s="2"/>
      <c r="L11" s="2"/>
    </row>
    <row r="12" spans="1:14" ht="16.8" x14ac:dyDescent="0.65">
      <c r="A12" s="341" t="s">
        <v>323</v>
      </c>
      <c r="B12" s="340"/>
      <c r="C12" s="340"/>
      <c r="D12" s="340"/>
    </row>
    <row r="13" spans="1:14" x14ac:dyDescent="0.55000000000000004">
      <c r="A13" s="342" t="s">
        <v>324</v>
      </c>
      <c r="B13" s="340"/>
      <c r="C13" s="340"/>
      <c r="D13" s="340"/>
    </row>
    <row r="14" spans="1:14" x14ac:dyDescent="0.55000000000000004">
      <c r="A14" s="340"/>
      <c r="B14" s="340"/>
      <c r="C14" s="343" t="s">
        <v>325</v>
      </c>
      <c r="D14" s="343" t="s">
        <v>326</v>
      </c>
    </row>
    <row r="15" spans="1:14" x14ac:dyDescent="0.55000000000000004">
      <c r="A15" s="343" t="s">
        <v>269</v>
      </c>
      <c r="B15" s="343" t="s">
        <v>710</v>
      </c>
      <c r="C15" s="344">
        <v>0</v>
      </c>
      <c r="D15" s="344">
        <v>0</v>
      </c>
    </row>
    <row r="16" spans="1:14" x14ac:dyDescent="0.55000000000000004">
      <c r="A16" s="340"/>
      <c r="B16" s="343" t="s">
        <v>328</v>
      </c>
      <c r="C16" s="344">
        <v>793037</v>
      </c>
      <c r="D16" s="344">
        <v>189772</v>
      </c>
    </row>
    <row r="17" spans="1:5" x14ac:dyDescent="0.55000000000000004">
      <c r="A17" s="340"/>
      <c r="B17" s="343" t="s">
        <v>711</v>
      </c>
      <c r="C17" s="344">
        <v>5534</v>
      </c>
      <c r="D17" s="344">
        <v>488981</v>
      </c>
    </row>
    <row r="18" spans="1:5" x14ac:dyDescent="0.55000000000000004">
      <c r="A18" s="340"/>
      <c r="B18" s="343" t="s">
        <v>712</v>
      </c>
      <c r="C18" s="344">
        <v>130234</v>
      </c>
      <c r="D18" s="344">
        <v>222906</v>
      </c>
    </row>
    <row r="19" spans="1:5" s="459" customFormat="1" x14ac:dyDescent="0.55000000000000004">
      <c r="A19" s="345"/>
      <c r="B19" s="348" t="s">
        <v>863</v>
      </c>
      <c r="C19" s="349">
        <v>0</v>
      </c>
      <c r="D19" s="349">
        <v>224372</v>
      </c>
    </row>
    <row r="20" spans="1:5" x14ac:dyDescent="0.55000000000000004">
      <c r="E20">
        <f>SUM(C16:D18)</f>
        <v>1830464</v>
      </c>
    </row>
    <row r="21" spans="1:5" ht="16.8" x14ac:dyDescent="0.65">
      <c r="A21" s="346" t="s">
        <v>323</v>
      </c>
      <c r="B21" s="345"/>
      <c r="C21" s="345"/>
      <c r="D21" s="345"/>
    </row>
    <row r="22" spans="1:5" x14ac:dyDescent="0.55000000000000004">
      <c r="A22" s="347" t="s">
        <v>324</v>
      </c>
      <c r="B22" s="345"/>
      <c r="C22" s="345"/>
      <c r="D22" s="345"/>
    </row>
    <row r="23" spans="1:5" x14ac:dyDescent="0.55000000000000004">
      <c r="A23" s="345"/>
      <c r="B23" s="345"/>
      <c r="C23" s="348" t="s">
        <v>330</v>
      </c>
      <c r="D23" s="348" t="s">
        <v>331</v>
      </c>
      <c r="E23" t="s">
        <v>821</v>
      </c>
    </row>
    <row r="24" spans="1:5" x14ac:dyDescent="0.55000000000000004">
      <c r="A24" s="348" t="s">
        <v>269</v>
      </c>
      <c r="B24" s="348" t="s">
        <v>710</v>
      </c>
      <c r="C24" s="349">
        <v>0</v>
      </c>
      <c r="D24" s="349">
        <v>0</v>
      </c>
    </row>
    <row r="25" spans="1:5" x14ac:dyDescent="0.55000000000000004">
      <c r="A25" s="345"/>
      <c r="B25" s="348" t="s">
        <v>328</v>
      </c>
      <c r="C25" s="349">
        <v>1204</v>
      </c>
      <c r="D25" s="349">
        <v>9</v>
      </c>
      <c r="E25">
        <v>6392</v>
      </c>
    </row>
    <row r="26" spans="1:5" x14ac:dyDescent="0.55000000000000004">
      <c r="A26" s="345"/>
      <c r="B26" s="348" t="s">
        <v>711</v>
      </c>
      <c r="C26" s="349">
        <v>73281</v>
      </c>
      <c r="D26" s="349">
        <v>17318</v>
      </c>
      <c r="E26">
        <v>267736</v>
      </c>
    </row>
    <row r="27" spans="1:5" x14ac:dyDescent="0.55000000000000004">
      <c r="A27" s="345"/>
      <c r="B27" s="348" t="s">
        <v>712</v>
      </c>
      <c r="C27" s="349">
        <v>48589</v>
      </c>
      <c r="D27" s="349">
        <v>12738</v>
      </c>
      <c r="E27">
        <v>975</v>
      </c>
    </row>
  </sheetData>
  <mergeCells count="1">
    <mergeCell ref="E4:N6"/>
  </mergeCell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C067F-4033-454B-A7A2-AAFDD07EC8AA}">
  <sheetPr codeName="Sheet15">
    <tabColor theme="5" tint="0.59999389629810485"/>
  </sheetPr>
  <dimension ref="A1:L30"/>
  <sheetViews>
    <sheetView workbookViewId="0">
      <selection activeCell="B16" sqref="B16"/>
    </sheetView>
  </sheetViews>
  <sheetFormatPr defaultColWidth="8.83984375" defaultRowHeight="14.4" x14ac:dyDescent="0.55000000000000004"/>
  <cols>
    <col min="1" max="1" width="18.41796875" bestFit="1" customWidth="1"/>
    <col min="2" max="2" width="35.41796875" bestFit="1" customWidth="1"/>
    <col min="3" max="3" width="14.26171875" bestFit="1" customWidth="1"/>
    <col min="4" max="4" width="9.15625" customWidth="1"/>
    <col min="5" max="16384" width="8.83984375" style="146"/>
  </cols>
  <sheetData>
    <row r="1" spans="1:10" customFormat="1" x14ac:dyDescent="0.55000000000000004">
      <c r="A1" s="402" t="s">
        <v>40</v>
      </c>
      <c r="B1" s="402" t="s">
        <v>654</v>
      </c>
      <c r="C1" s="402" t="s">
        <v>43</v>
      </c>
      <c r="E1" s="254" t="s">
        <v>523</v>
      </c>
    </row>
    <row r="2" spans="1:10" customFormat="1" x14ac:dyDescent="0.55000000000000004">
      <c r="A2" s="402" t="s">
        <v>37</v>
      </c>
      <c r="B2" s="425">
        <v>160.6</v>
      </c>
      <c r="C2" s="436">
        <v>0.85</v>
      </c>
      <c r="E2" s="255" t="s">
        <v>44</v>
      </c>
    </row>
    <row r="3" spans="1:10" x14ac:dyDescent="0.55000000000000004">
      <c r="A3" s="402" t="s">
        <v>13</v>
      </c>
      <c r="B3" s="400">
        <v>51.25</v>
      </c>
      <c r="C3" s="401">
        <v>0.28000000000000003</v>
      </c>
    </row>
    <row r="4" spans="1:10" x14ac:dyDescent="0.55000000000000004">
      <c r="A4" s="402" t="s">
        <v>498</v>
      </c>
      <c r="B4" s="425">
        <v>12</v>
      </c>
      <c r="C4" s="436">
        <v>0.05</v>
      </c>
    </row>
    <row r="5" spans="1:10" x14ac:dyDescent="0.55000000000000004">
      <c r="A5" s="402" t="s">
        <v>499</v>
      </c>
      <c r="B5" s="425">
        <v>14.1</v>
      </c>
      <c r="C5" s="436">
        <v>7.5999999999999998E-2</v>
      </c>
    </row>
    <row r="6" spans="1:10" x14ac:dyDescent="0.55000000000000004">
      <c r="A6" s="402" t="s">
        <v>500</v>
      </c>
      <c r="B6" s="425">
        <v>13.1</v>
      </c>
      <c r="C6" s="436">
        <v>6.3E-2</v>
      </c>
    </row>
    <row r="7" spans="1:10" x14ac:dyDescent="0.55000000000000004">
      <c r="A7" s="402" t="s">
        <v>39</v>
      </c>
      <c r="B7" s="425">
        <v>60</v>
      </c>
      <c r="C7" s="436">
        <v>0.3</v>
      </c>
    </row>
    <row r="8" spans="1:10" x14ac:dyDescent="0.55000000000000004">
      <c r="A8" s="402" t="s">
        <v>15</v>
      </c>
      <c r="B8" s="400">
        <v>100</v>
      </c>
      <c r="C8" s="401">
        <v>0.3</v>
      </c>
      <c r="I8" s="162"/>
      <c r="J8" s="162"/>
    </row>
    <row r="9" spans="1:10" x14ac:dyDescent="0.55000000000000004">
      <c r="A9" s="402" t="s">
        <v>42</v>
      </c>
      <c r="B9" s="400">
        <v>75.599999999999994</v>
      </c>
      <c r="C9" s="401">
        <v>0.2</v>
      </c>
    </row>
    <row r="10" spans="1:10" x14ac:dyDescent="0.55000000000000004">
      <c r="A10" s="402" t="s">
        <v>322</v>
      </c>
      <c r="B10" s="400">
        <v>94.9</v>
      </c>
      <c r="C10" s="401">
        <v>0.28000000000000003</v>
      </c>
    </row>
    <row r="11" spans="1:10" x14ac:dyDescent="0.55000000000000004">
      <c r="A11" s="402" t="s">
        <v>41</v>
      </c>
      <c r="B11" s="400">
        <v>120.7</v>
      </c>
      <c r="C11" s="401">
        <v>0.42</v>
      </c>
      <c r="F11" s="162"/>
    </row>
    <row r="12" spans="1:10" x14ac:dyDescent="0.55000000000000004">
      <c r="A12" s="402" t="s">
        <v>311</v>
      </c>
      <c r="B12" s="425">
        <v>25</v>
      </c>
      <c r="C12" s="436">
        <v>0.15</v>
      </c>
    </row>
    <row r="13" spans="1:10" x14ac:dyDescent="0.55000000000000004">
      <c r="A13" s="402" t="s">
        <v>310</v>
      </c>
      <c r="B13" s="425">
        <v>25</v>
      </c>
      <c r="C13" s="436">
        <v>0.15</v>
      </c>
      <c r="I13" s="435"/>
      <c r="J13" s="162"/>
    </row>
    <row r="14" spans="1:10" x14ac:dyDescent="0.55000000000000004">
      <c r="A14" s="402" t="s">
        <v>11</v>
      </c>
      <c r="B14" s="425">
        <v>95.4</v>
      </c>
      <c r="C14" s="436">
        <v>0.31</v>
      </c>
      <c r="I14" s="435"/>
      <c r="J14" s="162"/>
    </row>
    <row r="15" spans="1:10" x14ac:dyDescent="0.55000000000000004">
      <c r="A15" s="402" t="s">
        <v>527</v>
      </c>
      <c r="B15" s="400">
        <v>47.3</v>
      </c>
      <c r="C15" s="401">
        <v>0.3</v>
      </c>
      <c r="I15" s="435"/>
      <c r="J15" s="162"/>
    </row>
    <row r="16" spans="1:10" x14ac:dyDescent="0.55000000000000004">
      <c r="A16" s="402" t="s">
        <v>661</v>
      </c>
      <c r="B16" s="297">
        <f>'Procesdata (baggrund)'!I5</f>
        <v>15.822453396634783</v>
      </c>
      <c r="C16" s="424">
        <f>'Procesdata (baggrund)'!B5</f>
        <v>4.2763387558472386E-2</v>
      </c>
      <c r="I16" s="435"/>
      <c r="J16" s="162"/>
    </row>
    <row r="17" spans="1:12" x14ac:dyDescent="0.55000000000000004">
      <c r="A17" s="402" t="s">
        <v>519</v>
      </c>
      <c r="B17" s="425">
        <v>423.36</v>
      </c>
      <c r="C17" s="436">
        <v>0.9</v>
      </c>
    </row>
    <row r="18" spans="1:12" x14ac:dyDescent="0.55000000000000004">
      <c r="A18" s="402" t="s">
        <v>502</v>
      </c>
      <c r="B18" s="425">
        <v>13.9</v>
      </c>
      <c r="C18" s="436">
        <v>0.06</v>
      </c>
    </row>
    <row r="19" spans="1:12" x14ac:dyDescent="0.55000000000000004">
      <c r="D19" s="173"/>
    </row>
    <row r="20" spans="1:12" x14ac:dyDescent="0.55000000000000004">
      <c r="A20" s="146"/>
      <c r="B20" s="173"/>
      <c r="C20" s="173"/>
      <c r="D20" s="173"/>
    </row>
    <row r="21" spans="1:12" x14ac:dyDescent="0.55000000000000004">
      <c r="A21" s="146"/>
      <c r="B21" s="173"/>
      <c r="C21" s="173"/>
      <c r="D21" s="173"/>
      <c r="H21" s="150"/>
      <c r="I21" s="162"/>
      <c r="J21" s="162"/>
    </row>
    <row r="22" spans="1:12" x14ac:dyDescent="0.55000000000000004">
      <c r="A22" s="146"/>
      <c r="B22" s="173"/>
      <c r="C22" s="173"/>
      <c r="D22" s="173"/>
    </row>
    <row r="23" spans="1:12" x14ac:dyDescent="0.55000000000000004">
      <c r="A23" s="146"/>
      <c r="B23" s="173"/>
      <c r="C23" s="173"/>
      <c r="D23" s="173"/>
    </row>
    <row r="24" spans="1:12" x14ac:dyDescent="0.55000000000000004">
      <c r="A24" s="146"/>
      <c r="B24" s="173"/>
      <c r="C24" s="173"/>
      <c r="D24" s="173"/>
    </row>
    <row r="25" spans="1:12" x14ac:dyDescent="0.55000000000000004">
      <c r="A25" s="146"/>
      <c r="B25" s="173"/>
      <c r="C25" s="173"/>
      <c r="D25" s="173"/>
      <c r="K25" s="444"/>
      <c r="L25" s="444"/>
    </row>
    <row r="26" spans="1:12" x14ac:dyDescent="0.55000000000000004">
      <c r="A26" s="146"/>
      <c r="B26" s="173"/>
      <c r="C26" s="173"/>
      <c r="D26" s="173"/>
      <c r="I26" s="162"/>
      <c r="J26" s="162"/>
      <c r="K26" s="444"/>
      <c r="L26" s="444"/>
    </row>
    <row r="27" spans="1:12" x14ac:dyDescent="0.55000000000000004">
      <c r="A27" s="146"/>
      <c r="B27" s="173"/>
      <c r="C27" s="173"/>
      <c r="D27" s="173"/>
    </row>
    <row r="28" spans="1:12" x14ac:dyDescent="0.55000000000000004">
      <c r="A28" s="146"/>
      <c r="B28" s="173"/>
      <c r="C28" s="173"/>
      <c r="D28" s="173"/>
    </row>
    <row r="29" spans="1:12" x14ac:dyDescent="0.55000000000000004">
      <c r="A29" s="146"/>
      <c r="B29" s="173"/>
      <c r="C29" s="173"/>
      <c r="D29" s="173"/>
    </row>
    <row r="30" spans="1:12" x14ac:dyDescent="0.55000000000000004">
      <c r="A30" s="146"/>
      <c r="B30" s="173"/>
      <c r="C30" s="173"/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645618-7835-467F-B2D3-5373651C2262}">
          <x14:formula1>
            <xm:f>'Processer &amp; råvarer'!$E$2:$E$94</xm:f>
          </x14:formula1>
          <xm:sqref>A20:A30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38AA7-EB52-4ED7-8169-E540D297EF37}">
  <sheetPr codeName="Sheet16">
    <tabColor theme="5" tint="0.59999389629810485"/>
  </sheetPr>
  <dimension ref="A1:J28"/>
  <sheetViews>
    <sheetView workbookViewId="0">
      <selection activeCell="C8" sqref="C8"/>
    </sheetView>
  </sheetViews>
  <sheetFormatPr defaultRowHeight="14.4" x14ac:dyDescent="0.55000000000000004"/>
  <cols>
    <col min="1" max="1" width="22.41796875" customWidth="1"/>
    <col min="2" max="2" width="23.26171875" customWidth="1"/>
    <col min="3" max="4" width="12" bestFit="1" customWidth="1"/>
    <col min="8" max="8" width="13.26171875" bestFit="1" customWidth="1"/>
    <col min="10" max="10" width="12" bestFit="1" customWidth="1"/>
  </cols>
  <sheetData>
    <row r="1" spans="1:10" x14ac:dyDescent="0.55000000000000004">
      <c r="A1" s="267"/>
      <c r="B1" s="267" t="s">
        <v>315</v>
      </c>
      <c r="C1" s="267" t="s">
        <v>814</v>
      </c>
      <c r="D1" s="267"/>
    </row>
    <row r="2" spans="1:10" x14ac:dyDescent="0.55000000000000004">
      <c r="A2" s="267" t="s">
        <v>37</v>
      </c>
      <c r="B2" s="267" t="s">
        <v>411</v>
      </c>
      <c r="C2" s="267">
        <f>D27</f>
        <v>1.0335806339134365E-5</v>
      </c>
      <c r="D2" s="227" t="s">
        <v>725</v>
      </c>
    </row>
    <row r="3" spans="1:10" x14ac:dyDescent="0.55000000000000004">
      <c r="A3" s="267" t="s">
        <v>721</v>
      </c>
      <c r="B3" s="267" t="s">
        <v>411</v>
      </c>
      <c r="C3" s="267">
        <f>35*10^-6</f>
        <v>3.4999999999999997E-5</v>
      </c>
      <c r="D3" s="404" t="s">
        <v>413</v>
      </c>
    </row>
    <row r="4" spans="1:10" x14ac:dyDescent="0.55000000000000004">
      <c r="A4" s="267" t="s">
        <v>339</v>
      </c>
      <c r="B4" s="267" t="s">
        <v>411</v>
      </c>
      <c r="C4" s="267">
        <f>18.4*10^-6</f>
        <v>1.8399999999999997E-5</v>
      </c>
      <c r="D4" s="267" t="s">
        <v>518</v>
      </c>
    </row>
    <row r="5" spans="1:10" x14ac:dyDescent="0.55000000000000004">
      <c r="A5" s="267" t="s">
        <v>405</v>
      </c>
      <c r="B5" s="267" t="s">
        <v>412</v>
      </c>
      <c r="C5" s="405">
        <f>D19</f>
        <v>1.449356890077532E-5</v>
      </c>
      <c r="D5" s="300" t="s">
        <v>726</v>
      </c>
    </row>
    <row r="6" spans="1:10" x14ac:dyDescent="0.55000000000000004">
      <c r="A6" s="267" t="s">
        <v>527</v>
      </c>
      <c r="B6" s="267" t="s">
        <v>411</v>
      </c>
      <c r="C6" s="405">
        <f>D24</f>
        <v>1.7852220520673815E-5</v>
      </c>
      <c r="D6" s="300" t="s">
        <v>725</v>
      </c>
    </row>
    <row r="7" spans="1:10" x14ac:dyDescent="0.55000000000000004">
      <c r="A7" s="267" t="s">
        <v>322</v>
      </c>
      <c r="B7" s="267" t="s">
        <v>411</v>
      </c>
      <c r="C7" s="405">
        <f>D24</f>
        <v>1.7852220520673815E-5</v>
      </c>
      <c r="D7" s="300" t="s">
        <v>725</v>
      </c>
    </row>
    <row r="8" spans="1:10" s="459" customFormat="1" x14ac:dyDescent="0.55000000000000004">
      <c r="A8" s="474" t="s">
        <v>890</v>
      </c>
      <c r="B8" s="474" t="s">
        <v>411</v>
      </c>
      <c r="C8" s="483">
        <f>'Procesdata (baggrund)'!I23</f>
        <v>3.326857142857142E-5</v>
      </c>
      <c r="D8" s="482" t="s">
        <v>891</v>
      </c>
    </row>
    <row r="9" spans="1:10" s="459" customFormat="1" x14ac:dyDescent="0.55000000000000004">
      <c r="A9" s="474" t="s">
        <v>878</v>
      </c>
      <c r="B9" s="474" t="s">
        <v>411</v>
      </c>
      <c r="C9" s="483">
        <f>'Procesdata (baggrund)'!I24</f>
        <v>8.9614285714285689E-6</v>
      </c>
      <c r="D9" s="482" t="s">
        <v>891</v>
      </c>
    </row>
    <row r="10" spans="1:10" x14ac:dyDescent="0.55000000000000004">
      <c r="A10" s="267" t="s">
        <v>312</v>
      </c>
      <c r="B10" s="267" t="s">
        <v>412</v>
      </c>
      <c r="C10" s="267">
        <f>35.9*10^-9</f>
        <v>3.5900000000000004E-8</v>
      </c>
      <c r="D10" s="267" t="s">
        <v>414</v>
      </c>
    </row>
    <row r="13" spans="1:10" x14ac:dyDescent="0.55000000000000004">
      <c r="A13" s="267"/>
      <c r="B13" s="267" t="s">
        <v>705</v>
      </c>
      <c r="C13" s="267" t="s">
        <v>706</v>
      </c>
      <c r="D13" s="267" t="s">
        <v>815</v>
      </c>
    </row>
    <row r="14" spans="1:10" x14ac:dyDescent="0.55000000000000004">
      <c r="A14" s="267" t="s">
        <v>633</v>
      </c>
      <c r="B14" s="267">
        <v>139000</v>
      </c>
      <c r="C14" s="267">
        <v>14.757999999999999</v>
      </c>
      <c r="D14" s="267"/>
    </row>
    <row r="15" spans="1:10" x14ac:dyDescent="0.55000000000000004">
      <c r="A15" s="267" t="s">
        <v>707</v>
      </c>
      <c r="B15" s="267">
        <v>1763000</v>
      </c>
      <c r="C15" s="267">
        <v>21.187000000000001</v>
      </c>
      <c r="D15" s="267"/>
      <c r="J15" s="339"/>
    </row>
    <row r="16" spans="1:10" x14ac:dyDescent="0.55000000000000004">
      <c r="A16" s="267" t="s">
        <v>708</v>
      </c>
      <c r="B16" s="267">
        <v>205000</v>
      </c>
      <c r="C16" s="267">
        <v>1.988</v>
      </c>
      <c r="D16" s="267"/>
    </row>
    <row r="17" spans="1:8" x14ac:dyDescent="0.55000000000000004">
      <c r="A17" s="267" t="s">
        <v>709</v>
      </c>
      <c r="B17" s="267">
        <f>1643000*'Processer - data'!H403</f>
        <v>854360</v>
      </c>
      <c r="C17" s="267">
        <v>8.9450000000000003</v>
      </c>
      <c r="D17" s="267"/>
    </row>
    <row r="18" spans="1:8" x14ac:dyDescent="0.55000000000000004">
      <c r="A18" s="267" t="s">
        <v>339</v>
      </c>
      <c r="B18" s="267"/>
      <c r="C18" s="267">
        <f>-D18*C4</f>
        <v>-3.9573247999999994</v>
      </c>
      <c r="D18" s="267">
        <v>215072</v>
      </c>
    </row>
    <row r="19" spans="1:8" x14ac:dyDescent="0.55000000000000004">
      <c r="A19" s="267"/>
      <c r="B19" s="267">
        <f>SUM(B14:B17)</f>
        <v>2961360</v>
      </c>
      <c r="C19" s="267">
        <f>SUM(C14:C18)</f>
        <v>42.920675199999998</v>
      </c>
      <c r="D19" s="267">
        <f>C19/B19</f>
        <v>1.449356890077532E-5</v>
      </c>
    </row>
    <row r="20" spans="1:8" x14ac:dyDescent="0.55000000000000004">
      <c r="H20" s="336"/>
    </row>
    <row r="21" spans="1:8" x14ac:dyDescent="0.55000000000000004">
      <c r="A21" s="267" t="s">
        <v>817</v>
      </c>
      <c r="B21" s="267" t="s">
        <v>723</v>
      </c>
      <c r="C21" s="267" t="s">
        <v>724</v>
      </c>
      <c r="D21" s="267"/>
    </row>
    <row r="22" spans="1:8" x14ac:dyDescent="0.55000000000000004">
      <c r="A22" s="267" t="s">
        <v>816</v>
      </c>
      <c r="B22" s="267">
        <v>633738</v>
      </c>
      <c r="C22" s="267"/>
      <c r="D22" s="267"/>
    </row>
    <row r="23" spans="1:8" x14ac:dyDescent="0.55000000000000004">
      <c r="A23" s="267" t="s">
        <v>716</v>
      </c>
      <c r="B23" s="267">
        <f>SUM(Affald!C15:D18)-SUM(Affald!C26:D27)</f>
        <v>1678538</v>
      </c>
      <c r="C23" s="267"/>
      <c r="D23" s="267"/>
    </row>
    <row r="24" spans="1:8" x14ac:dyDescent="0.55000000000000004">
      <c r="A24" s="267" t="s">
        <v>327</v>
      </c>
      <c r="B24" s="267">
        <f>B23-B22</f>
        <v>1044800</v>
      </c>
      <c r="C24" s="267">
        <v>18652</v>
      </c>
      <c r="D24" s="267">
        <f>C24/1000/B24</f>
        <v>1.7852220520673815E-5</v>
      </c>
    </row>
    <row r="26" spans="1:8" x14ac:dyDescent="0.55000000000000004">
      <c r="A26" s="267"/>
      <c r="B26" s="267" t="s">
        <v>728</v>
      </c>
      <c r="C26" s="267" t="s">
        <v>724</v>
      </c>
      <c r="D26" s="267"/>
      <c r="E26" s="267"/>
    </row>
    <row r="27" spans="1:8" x14ac:dyDescent="0.55000000000000004">
      <c r="A27" s="267" t="s">
        <v>727</v>
      </c>
      <c r="B27" s="267">
        <f>1813.9*1000</f>
        <v>1813900</v>
      </c>
      <c r="C27" s="403">
        <v>17963.28</v>
      </c>
      <c r="D27" s="267">
        <f>C27/1000/(B27-B28)</f>
        <v>1.0335806339134365E-5</v>
      </c>
      <c r="E27" s="267">
        <f>(B27-B28)</f>
        <v>1737966</v>
      </c>
    </row>
    <row r="28" spans="1:8" x14ac:dyDescent="0.55000000000000004">
      <c r="A28" s="267" t="s">
        <v>729</v>
      </c>
      <c r="B28" s="267">
        <v>75934</v>
      </c>
      <c r="C28" s="267"/>
      <c r="D28" s="267"/>
      <c r="E28" s="267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5808E-CF1B-48AB-A103-D682F295167C}">
  <sheetPr codeName="Sheet4">
    <tabColor theme="5" tint="0.59999389629810485"/>
  </sheetPr>
  <dimension ref="A1:K25"/>
  <sheetViews>
    <sheetView workbookViewId="0">
      <selection activeCell="J10" sqref="J10"/>
    </sheetView>
  </sheetViews>
  <sheetFormatPr defaultRowHeight="14.4" x14ac:dyDescent="0.55000000000000004"/>
  <sheetData>
    <row r="1" spans="1:11" x14ac:dyDescent="0.55000000000000004">
      <c r="B1" t="s">
        <v>43</v>
      </c>
      <c r="J1" t="s">
        <v>43</v>
      </c>
    </row>
    <row r="2" spans="1:11" x14ac:dyDescent="0.55000000000000004">
      <c r="A2" s="325" t="s">
        <v>14</v>
      </c>
      <c r="B2">
        <f>IFERROR(VLOOKUP(A2,Biogasudbytte!$A$2:$C$18,3,FALSE),VLOOKUP(A2,$I$2:$J$8,2,FALSE))</f>
        <v>0.85</v>
      </c>
      <c r="I2" s="325" t="s">
        <v>14</v>
      </c>
      <c r="J2">
        <v>0.85</v>
      </c>
    </row>
    <row r="3" spans="1:11" x14ac:dyDescent="0.55000000000000004">
      <c r="A3" s="324" t="s">
        <v>322</v>
      </c>
      <c r="B3">
        <f>IFERROR(VLOOKUP(A3,Biogasudbytte!$A$2:$C$18,3,FALSE),VLOOKUP(A3,$I$2:$J$8,2,FALSE))</f>
        <v>0.28000000000000003</v>
      </c>
      <c r="I3" s="325" t="s">
        <v>188</v>
      </c>
      <c r="J3" s="173">
        <v>0.25</v>
      </c>
    </row>
    <row r="4" spans="1:11" x14ac:dyDescent="0.55000000000000004">
      <c r="A4" s="325" t="s">
        <v>661</v>
      </c>
      <c r="B4">
        <f>IFERROR(VLOOKUP(A4,Biogasudbytte!$A$2:$C$18,3,FALSE),VLOOKUP(A4,$I$2:$J$8,2,FALSE))</f>
        <v>4.2763387558472386E-2</v>
      </c>
      <c r="I4" s="324" t="s">
        <v>339</v>
      </c>
      <c r="J4">
        <f>AVERAGE(0.46,0.37)</f>
        <v>0.41500000000000004</v>
      </c>
      <c r="K4" t="s">
        <v>718</v>
      </c>
    </row>
    <row r="5" spans="1:11" x14ac:dyDescent="0.55000000000000004">
      <c r="A5" s="324" t="s">
        <v>39</v>
      </c>
      <c r="B5">
        <f>IFERROR(VLOOKUP(A5,Biogasudbytte!$A$2:$C$18,3,FALSE),VLOOKUP(A5,$I$2:$J$8,2,FALSE))</f>
        <v>0.3</v>
      </c>
      <c r="I5" s="325" t="s">
        <v>177</v>
      </c>
      <c r="J5">
        <v>0.91</v>
      </c>
      <c r="K5" t="s">
        <v>717</v>
      </c>
    </row>
    <row r="6" spans="1:11" x14ac:dyDescent="0.55000000000000004">
      <c r="A6" s="325" t="s">
        <v>500</v>
      </c>
      <c r="B6">
        <f>IFERROR(VLOOKUP(A6,Biogasudbytte!$A$2:$C$18,3,FALSE),VLOOKUP(A6,$I$2:$J$8,2,FALSE))</f>
        <v>6.3E-2</v>
      </c>
      <c r="I6" s="325" t="s">
        <v>720</v>
      </c>
      <c r="J6">
        <v>0.91</v>
      </c>
      <c r="K6" t="s">
        <v>717</v>
      </c>
    </row>
    <row r="7" spans="1:11" x14ac:dyDescent="0.55000000000000004">
      <c r="A7" s="324" t="s">
        <v>519</v>
      </c>
      <c r="B7">
        <f>IFERROR(VLOOKUP(A7,Biogasudbytte!$A$2:$C$18,3,FALSE),VLOOKUP(A7,$I$2:$J$8,2,FALSE))</f>
        <v>0.9</v>
      </c>
      <c r="I7" s="325" t="s">
        <v>721</v>
      </c>
      <c r="J7">
        <v>0.91</v>
      </c>
      <c r="K7" t="s">
        <v>717</v>
      </c>
    </row>
    <row r="8" spans="1:11" x14ac:dyDescent="0.55000000000000004">
      <c r="A8" s="325" t="s">
        <v>13</v>
      </c>
      <c r="B8">
        <f>IFERROR(VLOOKUP(A8,Biogasudbytte!$A$2:$C$18,3,FALSE),VLOOKUP(A8,$I$2:$J$8,2,FALSE))</f>
        <v>0.28000000000000003</v>
      </c>
      <c r="I8" s="325" t="s">
        <v>405</v>
      </c>
      <c r="J8" s="173">
        <f>AVERAGE(0.58,0.57,0.57,0.565,0.54,0.5,0.49,0.46,0.44,0.43,0.42,0.37)</f>
        <v>0.49458333333333332</v>
      </c>
      <c r="K8" t="s">
        <v>718</v>
      </c>
    </row>
    <row r="9" spans="1:11" x14ac:dyDescent="0.55000000000000004">
      <c r="A9" s="324" t="s">
        <v>37</v>
      </c>
      <c r="B9">
        <f>IFERROR(VLOOKUP(A9,Biogasudbytte!$A$2:$C$18,3,FALSE),VLOOKUP(A9,$I$2:$J$8,2,FALSE))</f>
        <v>0.85</v>
      </c>
    </row>
    <row r="10" spans="1:11" x14ac:dyDescent="0.55000000000000004">
      <c r="A10" s="325" t="s">
        <v>527</v>
      </c>
      <c r="B10">
        <f>IFERROR(VLOOKUP(A10,Biogasudbytte!$A$2:$C$18,3,FALSE),VLOOKUP(A10,$I$2:$J$8,2,FALSE))</f>
        <v>0.3</v>
      </c>
    </row>
    <row r="11" spans="1:11" x14ac:dyDescent="0.55000000000000004">
      <c r="A11" s="324" t="s">
        <v>41</v>
      </c>
      <c r="B11">
        <f>IFERROR(VLOOKUP(A11,Biogasudbytte!$A$2:$C$18,3,FALSE),VLOOKUP(A11,$I$2:$J$8,2,FALSE))</f>
        <v>0.42</v>
      </c>
    </row>
    <row r="12" spans="1:11" x14ac:dyDescent="0.55000000000000004">
      <c r="A12" s="325" t="s">
        <v>188</v>
      </c>
      <c r="B12">
        <f>IFERROR(VLOOKUP(A12,Biogasudbytte!$A$2:$C$18,3,FALSE),VLOOKUP(A12,$I$2:$J$8,2,FALSE))</f>
        <v>0.25</v>
      </c>
    </row>
    <row r="13" spans="1:11" x14ac:dyDescent="0.55000000000000004">
      <c r="A13" s="324" t="s">
        <v>11</v>
      </c>
      <c r="B13">
        <f>IFERROR(VLOOKUP(A13,Biogasudbytte!$A$2:$C$18,3,FALSE),VLOOKUP(A13,$I$2:$J$8,2,FALSE))</f>
        <v>0.31</v>
      </c>
    </row>
    <row r="14" spans="1:11" x14ac:dyDescent="0.55000000000000004">
      <c r="A14" s="325" t="s">
        <v>499</v>
      </c>
      <c r="B14">
        <f>IFERROR(VLOOKUP(A14,Biogasudbytte!$A$2:$C$18,3,FALSE),VLOOKUP(A14,$I$2:$J$8,2,FALSE))</f>
        <v>7.5999999999999998E-2</v>
      </c>
    </row>
    <row r="15" spans="1:11" x14ac:dyDescent="0.55000000000000004">
      <c r="A15" s="324" t="s">
        <v>15</v>
      </c>
      <c r="B15">
        <f>IFERROR(VLOOKUP(A15,Biogasudbytte!$A$2:$C$18,3,FALSE),VLOOKUP(A15,$I$2:$J$8,2,FALSE))</f>
        <v>0.3</v>
      </c>
    </row>
    <row r="16" spans="1:11" x14ac:dyDescent="0.55000000000000004">
      <c r="A16" s="325" t="s">
        <v>311</v>
      </c>
      <c r="B16">
        <f>IFERROR(VLOOKUP(A16,Biogasudbytte!$A$2:$C$18,3,FALSE),VLOOKUP(A16,$I$2:$J$8,2,FALSE))</f>
        <v>0.15</v>
      </c>
    </row>
    <row r="17" spans="1:2" x14ac:dyDescent="0.55000000000000004">
      <c r="A17" s="324" t="s">
        <v>339</v>
      </c>
      <c r="B17">
        <f>IFERROR(VLOOKUP(A17,Biogasudbytte!$A$2:$C$18,3,FALSE),VLOOKUP(A17,$I$2:$J$8,2,FALSE))</f>
        <v>0.41500000000000004</v>
      </c>
    </row>
    <row r="18" spans="1:2" x14ac:dyDescent="0.55000000000000004">
      <c r="A18" s="325" t="s">
        <v>177</v>
      </c>
      <c r="B18">
        <f>IFERROR(VLOOKUP(A18,Biogasudbytte!$A$2:$C$18,3,FALSE),VLOOKUP(A18,$I$2:$J$8,2,FALSE))</f>
        <v>0.91</v>
      </c>
    </row>
    <row r="19" spans="1:2" x14ac:dyDescent="0.55000000000000004">
      <c r="A19" s="325" t="s">
        <v>720</v>
      </c>
      <c r="B19">
        <f>IFERROR(VLOOKUP(A19,Biogasudbytte!$A$2:$C$18,3,FALSE),VLOOKUP(A19,$I$2:$J$8,2,FALSE))</f>
        <v>0.91</v>
      </c>
    </row>
    <row r="20" spans="1:2" x14ac:dyDescent="0.55000000000000004">
      <c r="A20" s="325" t="s">
        <v>721</v>
      </c>
      <c r="B20">
        <f>IFERROR(VLOOKUP(A20,Biogasudbytte!$A$2:$C$18,3,FALSE),VLOOKUP(A20,$I$2:$J$8,2,FALSE))</f>
        <v>0.91</v>
      </c>
    </row>
    <row r="21" spans="1:2" x14ac:dyDescent="0.55000000000000004">
      <c r="A21" s="324" t="s">
        <v>42</v>
      </c>
      <c r="B21">
        <f>IFERROR(VLOOKUP(A21,Biogasudbytte!$A$2:$C$18,3,FALSE),VLOOKUP(A21,$I$2:$J$8,2,FALSE))</f>
        <v>0.2</v>
      </c>
    </row>
    <row r="22" spans="1:2" x14ac:dyDescent="0.55000000000000004">
      <c r="A22" s="324" t="s">
        <v>502</v>
      </c>
      <c r="B22">
        <f>IFERROR(VLOOKUP(A22,Biogasudbytte!$A$2:$C$18,3,FALSE),VLOOKUP(A22,$I$2:$J$8,2,FALSE))</f>
        <v>0.06</v>
      </c>
    </row>
    <row r="23" spans="1:2" x14ac:dyDescent="0.55000000000000004">
      <c r="A23" s="325" t="s">
        <v>498</v>
      </c>
      <c r="B23">
        <f>IFERROR(VLOOKUP(A23,Biogasudbytte!$A$2:$C$18,3,FALSE),VLOOKUP(A23,$I$2:$J$8,2,FALSE))</f>
        <v>0.05</v>
      </c>
    </row>
    <row r="24" spans="1:2" x14ac:dyDescent="0.55000000000000004">
      <c r="A24" s="324" t="s">
        <v>310</v>
      </c>
      <c r="B24">
        <f>IFERROR(VLOOKUP(A24,Biogasudbytte!$A$2:$C$18,3,FALSE),VLOOKUP(A24,$I$2:$J$8,2,FALSE))</f>
        <v>0.15</v>
      </c>
    </row>
    <row r="25" spans="1:2" x14ac:dyDescent="0.55000000000000004">
      <c r="A25" s="325" t="s">
        <v>405</v>
      </c>
      <c r="B25">
        <f>IFERROR(VLOOKUP(A25,Biogasudbytte!$A$2:$C$18,3,FALSE),VLOOKUP(A25,$I$2:$J$8,2,FALSE))</f>
        <v>0.49458333333333332</v>
      </c>
    </row>
  </sheetData>
  <autoFilter ref="A1:B42" xr:uid="{66CF6209-C7F7-44DA-B6A6-C964FF9F3937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91DA863-73E0-4766-8A7C-4024BCAB8381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DFAB761D-9CCA-4BEA-8A76-EABA3EFF9C33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schemas.microsoft.com/office/infopath/2007/PartnerControls"/>
    <ds:schemaRef ds:uri="6218e30f-ac19-4e1a-9d42-0577826d9887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E5B7FB91-CFFF-4C9D-BD4A-9B806DC6440F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9B152C80-D164-4056-BEAF-96B44732D90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12</vt:i4>
      </vt:variant>
    </vt:vector>
  </HeadingPairs>
  <TitlesOfParts>
    <vt:vector size="31" baseType="lpstr">
      <vt:lpstr>Overblik</vt:lpstr>
      <vt:lpstr>Processer - data</vt:lpstr>
      <vt:lpstr>Processer &amp; råvarer</vt:lpstr>
      <vt:lpstr>Procesdata (baggrund)</vt:lpstr>
      <vt:lpstr>Arealanvendelse</vt:lpstr>
      <vt:lpstr>Jordbundstypefordeling</vt:lpstr>
      <vt:lpstr>Afgrødefordeling</vt:lpstr>
      <vt:lpstr>Afgrødefordeling - jordtype</vt:lpstr>
      <vt:lpstr>Afgrødedata</vt:lpstr>
      <vt:lpstr>Foder</vt:lpstr>
      <vt:lpstr>Dyrehold</vt:lpstr>
      <vt:lpstr>Hugst</vt:lpstr>
      <vt:lpstr>Kulstofoptag, skov</vt:lpstr>
      <vt:lpstr>Befolkningstal</vt:lpstr>
      <vt:lpstr>Produktion af spildevand</vt:lpstr>
      <vt:lpstr>Affald</vt:lpstr>
      <vt:lpstr>Biogasudbytte</vt:lpstr>
      <vt:lpstr>Energiindhold</vt:lpstr>
      <vt:lpstr>Tørstofindhold</vt:lpstr>
      <vt:lpstr>Afgrøder</vt:lpstr>
      <vt:lpstr>År1</vt:lpstr>
      <vt:lpstr>År2</vt:lpstr>
      <vt:lpstr>År3</vt:lpstr>
      <vt:lpstr>Basisår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2020-09-21T06:50:03Z</dcterms:created>
  <dcterms:modified xsi:type="dcterms:W3CDTF">2021-09-09T08:50:59Z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776344418525695</vt:r8>
  </property>
</Properties>
</file>