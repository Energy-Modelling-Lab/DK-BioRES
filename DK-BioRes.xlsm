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0CC99F99-434E-4877-BF10-7B33C0B2272D}" xr6:coauthVersionLast="47" xr6:coauthVersionMax="47" xr10:uidLastSave="{00000000-0000-0000-0000-000000000000}"/>
  <bookViews>
    <workbookView xWindow="-120" yWindow="-120" windowWidth="29040" windowHeight="1572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1" l="1"/>
  <c r="C8" i="21"/>
  <c r="C3" i="21"/>
  <c r="M10" i="24"/>
  <c r="J140" i="20" s="1"/>
  <c r="M9" i="24"/>
  <c r="I132" i="20" s="1"/>
  <c r="M8" i="24"/>
  <c r="J124" i="20" s="1"/>
  <c r="M7" i="24"/>
  <c r="I116" i="20" s="1"/>
  <c r="M6" i="24"/>
  <c r="M5" i="24"/>
  <c r="I101" i="20" s="1"/>
  <c r="B5" i="32"/>
  <c r="C5" i="32" s="1"/>
  <c r="C49" i="39"/>
  <c r="C48" i="39"/>
  <c r="C47" i="39"/>
  <c r="C46" i="39"/>
  <c r="C45" i="39"/>
  <c r="C44" i="39"/>
  <c r="C43" i="39"/>
  <c r="C42" i="39"/>
  <c r="C41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L24" i="39"/>
  <c r="C24" i="39"/>
  <c r="L23" i="39"/>
  <c r="C23" i="39"/>
  <c r="L22" i="39"/>
  <c r="C22" i="39"/>
  <c r="L21" i="39"/>
  <c r="K21" i="39"/>
  <c r="J21" i="39"/>
  <c r="C21" i="39"/>
  <c r="L20" i="39"/>
  <c r="K20" i="39"/>
  <c r="J20" i="39"/>
  <c r="C20" i="39"/>
  <c r="L19" i="39"/>
  <c r="C19" i="39"/>
  <c r="L18" i="39"/>
  <c r="C18" i="39"/>
  <c r="L17" i="39"/>
  <c r="K17" i="39"/>
  <c r="J17" i="39"/>
  <c r="C17" i="39"/>
  <c r="L16" i="39"/>
  <c r="C16" i="39"/>
  <c r="L15" i="39"/>
  <c r="C15" i="39"/>
  <c r="L14" i="39"/>
  <c r="C14" i="39"/>
  <c r="L13" i="39"/>
  <c r="K13" i="39"/>
  <c r="J13" i="39"/>
  <c r="C13" i="39"/>
  <c r="L12" i="39"/>
  <c r="K12" i="39"/>
  <c r="J12" i="39"/>
  <c r="C12" i="39"/>
  <c r="L11" i="39"/>
  <c r="K11" i="39"/>
  <c r="J11" i="39"/>
  <c r="C11" i="39"/>
  <c r="L10" i="39"/>
  <c r="C10" i="39"/>
  <c r="L9" i="39"/>
  <c r="C9" i="39"/>
  <c r="L8" i="39"/>
  <c r="C8" i="39"/>
  <c r="L7" i="39"/>
  <c r="C7" i="39"/>
  <c r="L6" i="39"/>
  <c r="C6" i="39"/>
  <c r="L5" i="39"/>
  <c r="C5" i="39"/>
  <c r="L4" i="39"/>
  <c r="K4" i="39"/>
  <c r="J4" i="39"/>
  <c r="C4" i="39"/>
  <c r="C3" i="39"/>
  <c r="C2" i="39"/>
  <c r="B24" i="36"/>
  <c r="B23" i="36"/>
  <c r="B22" i="36"/>
  <c r="B21" i="36"/>
  <c r="B20" i="36"/>
  <c r="B19" i="36"/>
  <c r="B18" i="36"/>
  <c r="B17" i="36"/>
  <c r="B16" i="36"/>
  <c r="B15" i="36"/>
  <c r="B14" i="36"/>
  <c r="B13" i="36"/>
  <c r="B12" i="36"/>
  <c r="B11" i="36"/>
  <c r="B10" i="36"/>
  <c r="B9" i="36"/>
  <c r="J8" i="36"/>
  <c r="B8" i="36"/>
  <c r="B7" i="36"/>
  <c r="B6" i="36"/>
  <c r="B5" i="36"/>
  <c r="J4" i="36"/>
  <c r="B3" i="36"/>
  <c r="B2" i="36"/>
  <c r="E27" i="33"/>
  <c r="D27" i="33"/>
  <c r="B27" i="33"/>
  <c r="B23" i="33"/>
  <c r="B24" i="33" s="1"/>
  <c r="D24" i="33" s="1"/>
  <c r="C7" i="33" s="1"/>
  <c r="C19" i="33"/>
  <c r="C18" i="33"/>
  <c r="B17" i="33"/>
  <c r="B19" i="33" s="1"/>
  <c r="D19" i="33" s="1"/>
  <c r="C5" i="33" s="1"/>
  <c r="C10" i="33"/>
  <c r="C9" i="33"/>
  <c r="C8" i="33"/>
  <c r="C6" i="33"/>
  <c r="C4" i="33"/>
  <c r="C3" i="33"/>
  <c r="C2" i="33"/>
  <c r="C16" i="22"/>
  <c r="B4" i="36" s="1"/>
  <c r="B16" i="22"/>
  <c r="E20" i="18"/>
  <c r="D6" i="18"/>
  <c r="C6" i="18"/>
  <c r="B6" i="18"/>
  <c r="D5" i="18"/>
  <c r="C5" i="18"/>
  <c r="B5" i="18"/>
  <c r="D3" i="18"/>
  <c r="C3" i="18"/>
  <c r="B3" i="18"/>
  <c r="D1" i="18"/>
  <c r="C1" i="18"/>
  <c r="B1" i="18"/>
  <c r="B30" i="8"/>
  <c r="B28" i="8"/>
  <c r="B27" i="8"/>
  <c r="N21" i="8"/>
  <c r="N20" i="8"/>
  <c r="N19" i="8"/>
  <c r="N18" i="8"/>
  <c r="N17" i="8"/>
  <c r="N16" i="8"/>
  <c r="N15" i="8"/>
  <c r="G9" i="8"/>
  <c r="B9" i="8"/>
  <c r="D4" i="8" s="1"/>
  <c r="B8" i="8"/>
  <c r="D3" i="8"/>
  <c r="C3" i="8"/>
  <c r="B3" i="8"/>
  <c r="F24" i="7"/>
  <c r="E24" i="7"/>
  <c r="D24" i="7"/>
  <c r="C24" i="7"/>
  <c r="B24" i="7"/>
  <c r="F23" i="7"/>
  <c r="E23" i="7"/>
  <c r="D23" i="7"/>
  <c r="C23" i="7"/>
  <c r="B23" i="7"/>
  <c r="F22" i="7"/>
  <c r="E22" i="7"/>
  <c r="D22" i="7"/>
  <c r="C22" i="7"/>
  <c r="B22" i="7"/>
  <c r="F21" i="7"/>
  <c r="E21" i="7"/>
  <c r="D21" i="7"/>
  <c r="C21" i="7"/>
  <c r="B21" i="7"/>
  <c r="F20" i="7"/>
  <c r="E20" i="7"/>
  <c r="D20" i="7"/>
  <c r="C20" i="7"/>
  <c r="B20" i="7"/>
  <c r="D6" i="7"/>
  <c r="C6" i="7"/>
  <c r="B6" i="7"/>
  <c r="D5" i="7"/>
  <c r="C5" i="7"/>
  <c r="B5" i="7"/>
  <c r="D4" i="7"/>
  <c r="C4" i="7"/>
  <c r="B4" i="7"/>
  <c r="D3" i="7"/>
  <c r="C3" i="7"/>
  <c r="B3" i="7"/>
  <c r="I13" i="19"/>
  <c r="H13" i="19"/>
  <c r="G13" i="19"/>
  <c r="F13" i="19"/>
  <c r="E13" i="19"/>
  <c r="D13" i="19"/>
  <c r="I12" i="19"/>
  <c r="H12" i="19"/>
  <c r="G12" i="19"/>
  <c r="F12" i="19"/>
  <c r="E12" i="19"/>
  <c r="D12" i="19"/>
  <c r="I11" i="19"/>
  <c r="H11" i="19"/>
  <c r="G11" i="19"/>
  <c r="F11" i="19"/>
  <c r="E11" i="19"/>
  <c r="D11" i="19"/>
  <c r="I10" i="19"/>
  <c r="H10" i="19"/>
  <c r="G10" i="19"/>
  <c r="F10" i="19"/>
  <c r="E10" i="19"/>
  <c r="D10" i="19"/>
  <c r="I9" i="19"/>
  <c r="H9" i="19"/>
  <c r="G9" i="19"/>
  <c r="F9" i="19"/>
  <c r="E9" i="19"/>
  <c r="D9" i="19"/>
  <c r="I8" i="19"/>
  <c r="H8" i="19"/>
  <c r="G8" i="19"/>
  <c r="F8" i="19"/>
  <c r="E8" i="19"/>
  <c r="D8" i="19"/>
  <c r="I7" i="19"/>
  <c r="H7" i="19"/>
  <c r="G7" i="19"/>
  <c r="F7" i="19"/>
  <c r="E7" i="19"/>
  <c r="D7" i="19"/>
  <c r="I6" i="19"/>
  <c r="H6" i="19"/>
  <c r="G6" i="19"/>
  <c r="F6" i="19"/>
  <c r="E6" i="19"/>
  <c r="D6" i="19"/>
  <c r="I5" i="19"/>
  <c r="H5" i="19"/>
  <c r="G5" i="19"/>
  <c r="F5" i="19"/>
  <c r="E5" i="19"/>
  <c r="D5" i="19"/>
  <c r="I4" i="19"/>
  <c r="H4" i="19"/>
  <c r="G4" i="19"/>
  <c r="F4" i="19"/>
  <c r="E4" i="19"/>
  <c r="D4" i="19"/>
  <c r="I2" i="19"/>
  <c r="H2" i="19"/>
  <c r="G2" i="19"/>
  <c r="F2" i="19"/>
  <c r="E2" i="19"/>
  <c r="D2" i="19"/>
  <c r="G28" i="34"/>
  <c r="F28" i="34"/>
  <c r="E28" i="34"/>
  <c r="C28" i="34"/>
  <c r="O26" i="34"/>
  <c r="N26" i="34"/>
  <c r="M26" i="34"/>
  <c r="L26" i="34"/>
  <c r="K26" i="34"/>
  <c r="G26" i="34"/>
  <c r="F26" i="34"/>
  <c r="O25" i="34"/>
  <c r="N25" i="34"/>
  <c r="M25" i="34"/>
  <c r="L25" i="34"/>
  <c r="K25" i="34"/>
  <c r="O24" i="34"/>
  <c r="N24" i="34"/>
  <c r="M24" i="34"/>
  <c r="L24" i="34"/>
  <c r="K24" i="34"/>
  <c r="G24" i="34"/>
  <c r="F24" i="34"/>
  <c r="E24" i="34"/>
  <c r="E26" i="34" s="1"/>
  <c r="D24" i="34"/>
  <c r="C24" i="34"/>
  <c r="C26" i="34" s="1"/>
  <c r="O23" i="34"/>
  <c r="N23" i="34"/>
  <c r="M23" i="34"/>
  <c r="L23" i="34"/>
  <c r="K23" i="34"/>
  <c r="O22" i="34"/>
  <c r="N22" i="34"/>
  <c r="M22" i="34"/>
  <c r="L22" i="34"/>
  <c r="K22" i="34"/>
  <c r="G22" i="34"/>
  <c r="F22" i="34"/>
  <c r="E22" i="34"/>
  <c r="E20" i="34" s="1"/>
  <c r="D22" i="34"/>
  <c r="C22" i="34"/>
  <c r="O21" i="34"/>
  <c r="N21" i="34"/>
  <c r="M21" i="34"/>
  <c r="L21" i="34"/>
  <c r="K21" i="34"/>
  <c r="G20" i="34"/>
  <c r="F20" i="34"/>
  <c r="C20" i="34"/>
  <c r="G5" i="34"/>
  <c r="Q24" i="24"/>
  <c r="O24" i="24"/>
  <c r="M24" i="24"/>
  <c r="Q23" i="24"/>
  <c r="P23" i="24"/>
  <c r="O23" i="24"/>
  <c r="N23" i="24"/>
  <c r="M23" i="24"/>
  <c r="Q22" i="24"/>
  <c r="P22" i="24"/>
  <c r="O22" i="24"/>
  <c r="N22" i="24"/>
  <c r="M22" i="24"/>
  <c r="Q21" i="24"/>
  <c r="P21" i="24"/>
  <c r="O21" i="24"/>
  <c r="N21" i="24"/>
  <c r="M21" i="24"/>
  <c r="Q20" i="24"/>
  <c r="P20" i="24"/>
  <c r="O20" i="24"/>
  <c r="N20" i="24"/>
  <c r="M20" i="24"/>
  <c r="E17" i="24"/>
  <c r="D17" i="24"/>
  <c r="C17" i="24"/>
  <c r="E16" i="24"/>
  <c r="D16" i="24"/>
  <c r="C16" i="24"/>
  <c r="M15" i="24"/>
  <c r="H15" i="24"/>
  <c r="E15" i="24"/>
  <c r="D15" i="24"/>
  <c r="C15" i="24"/>
  <c r="I14" i="24"/>
  <c r="H14" i="24"/>
  <c r="E14" i="24"/>
  <c r="D14" i="24"/>
  <c r="C14" i="24"/>
  <c r="U13" i="24"/>
  <c r="H13" i="24"/>
  <c r="N10" i="24"/>
  <c r="L10" i="24"/>
  <c r="K10" i="24"/>
  <c r="I10" i="24"/>
  <c r="H10" i="24"/>
  <c r="G10" i="24"/>
  <c r="F10" i="24"/>
  <c r="E10" i="24"/>
  <c r="C10" i="24"/>
  <c r="N9" i="24"/>
  <c r="L9" i="24"/>
  <c r="K9" i="24"/>
  <c r="J9" i="24"/>
  <c r="I9" i="24"/>
  <c r="H9" i="24"/>
  <c r="G9" i="24"/>
  <c r="F9" i="24"/>
  <c r="E9" i="24"/>
  <c r="C9" i="24"/>
  <c r="U8" i="24"/>
  <c r="N8" i="24"/>
  <c r="L8" i="24"/>
  <c r="K8" i="24"/>
  <c r="I8" i="24"/>
  <c r="H8" i="24"/>
  <c r="G8" i="24"/>
  <c r="F8" i="24"/>
  <c r="D8" i="24"/>
  <c r="C8" i="24"/>
  <c r="N7" i="24"/>
  <c r="L7" i="24"/>
  <c r="K7" i="24"/>
  <c r="J7" i="24"/>
  <c r="I7" i="24"/>
  <c r="H7" i="24"/>
  <c r="G7" i="24"/>
  <c r="F7" i="24"/>
  <c r="D7" i="24"/>
  <c r="C7" i="24"/>
  <c r="N6" i="24"/>
  <c r="L6" i="24"/>
  <c r="K6" i="24"/>
  <c r="I6" i="24"/>
  <c r="H6" i="24"/>
  <c r="G6" i="24"/>
  <c r="F6" i="24"/>
  <c r="C6" i="24"/>
  <c r="N5" i="24"/>
  <c r="L5" i="24"/>
  <c r="K5" i="24"/>
  <c r="J5" i="24"/>
  <c r="I5" i="24"/>
  <c r="H5" i="24"/>
  <c r="G5" i="24"/>
  <c r="F5" i="24"/>
  <c r="C5" i="24"/>
  <c r="K63" i="32"/>
  <c r="G63" i="32"/>
  <c r="K62" i="32"/>
  <c r="G62" i="32"/>
  <c r="K61" i="32"/>
  <c r="G61" i="32"/>
  <c r="K60" i="32"/>
  <c r="G60" i="32"/>
  <c r="K59" i="32"/>
  <c r="G59" i="32"/>
  <c r="K58" i="32"/>
  <c r="G58" i="32"/>
  <c r="K57" i="32"/>
  <c r="G57" i="32"/>
  <c r="K56" i="32"/>
  <c r="G56" i="32"/>
  <c r="K55" i="32"/>
  <c r="G55" i="32"/>
  <c r="K54" i="32"/>
  <c r="G54" i="32"/>
  <c r="K53" i="32"/>
  <c r="G53" i="32"/>
  <c r="K52" i="32"/>
  <c r="G52" i="32"/>
  <c r="K51" i="32"/>
  <c r="G51" i="32"/>
  <c r="K50" i="32"/>
  <c r="G50" i="32"/>
  <c r="K49" i="32"/>
  <c r="G49" i="32"/>
  <c r="K48" i="32"/>
  <c r="G48" i="32"/>
  <c r="K47" i="32"/>
  <c r="G47" i="32"/>
  <c r="K46" i="32"/>
  <c r="G46" i="32"/>
  <c r="K45" i="32"/>
  <c r="G45" i="32"/>
  <c r="K44" i="32"/>
  <c r="G44" i="32"/>
  <c r="K43" i="32"/>
  <c r="G43" i="32"/>
  <c r="K42" i="32"/>
  <c r="G42" i="32"/>
  <c r="K41" i="32"/>
  <c r="G41" i="32"/>
  <c r="K40" i="32"/>
  <c r="G40" i="32"/>
  <c r="K39" i="32"/>
  <c r="G39" i="32"/>
  <c r="K38" i="32"/>
  <c r="G38" i="32"/>
  <c r="K37" i="32"/>
  <c r="G37" i="32"/>
  <c r="K36" i="32"/>
  <c r="G36" i="32"/>
  <c r="K35" i="32"/>
  <c r="G35" i="32"/>
  <c r="K34" i="32"/>
  <c r="G34" i="32"/>
  <c r="K33" i="32"/>
  <c r="G33" i="32"/>
  <c r="K32" i="32"/>
  <c r="G32" i="32"/>
  <c r="K31" i="32"/>
  <c r="G31" i="32"/>
  <c r="K30" i="32"/>
  <c r="G30" i="32"/>
  <c r="K29" i="32"/>
  <c r="G29" i="32"/>
  <c r="K28" i="32"/>
  <c r="G28" i="32"/>
  <c r="K27" i="32"/>
  <c r="G27" i="32"/>
  <c r="K26" i="32"/>
  <c r="G26" i="32"/>
  <c r="K25" i="32"/>
  <c r="G25" i="32"/>
  <c r="K24" i="32"/>
  <c r="G24" i="32"/>
  <c r="K23" i="32"/>
  <c r="G23" i="32"/>
  <c r="K22" i="32"/>
  <c r="G22" i="32"/>
  <c r="K21" i="32"/>
  <c r="G21" i="32"/>
  <c r="E16" i="32"/>
  <c r="D16" i="32"/>
  <c r="C16" i="32"/>
  <c r="B16" i="32"/>
  <c r="E15" i="32"/>
  <c r="D15" i="32"/>
  <c r="C15" i="32"/>
  <c r="B15" i="32"/>
  <c r="B14" i="32"/>
  <c r="C14" i="32" s="1"/>
  <c r="E13" i="32"/>
  <c r="D13" i="32"/>
  <c r="C13" i="32"/>
  <c r="B13" i="32"/>
  <c r="E12" i="32"/>
  <c r="D12" i="32"/>
  <c r="C12" i="32"/>
  <c r="B12" i="32"/>
  <c r="E11" i="32"/>
  <c r="D11" i="32"/>
  <c r="C11" i="32"/>
  <c r="B11" i="32"/>
  <c r="E10" i="32"/>
  <c r="D10" i="32"/>
  <c r="C10" i="32"/>
  <c r="R9" i="32"/>
  <c r="Q9" i="32"/>
  <c r="E9" i="32"/>
  <c r="D9" i="32"/>
  <c r="C9" i="32"/>
  <c r="R8" i="32"/>
  <c r="Q8" i="32"/>
  <c r="E8" i="32"/>
  <c r="D8" i="32"/>
  <c r="C8" i="32"/>
  <c r="B8" i="32"/>
  <c r="R7" i="32"/>
  <c r="Q7" i="32"/>
  <c r="E7" i="32"/>
  <c r="D7" i="32"/>
  <c r="C7" i="32"/>
  <c r="B7" i="32"/>
  <c r="R6" i="32"/>
  <c r="Q6" i="32"/>
  <c r="E6" i="32"/>
  <c r="D6" i="32"/>
  <c r="C6" i="32"/>
  <c r="B6" i="32"/>
  <c r="R5" i="32"/>
  <c r="Q5" i="32"/>
  <c r="J5" i="32"/>
  <c r="E5" i="32"/>
  <c r="D5" i="32"/>
  <c r="R4" i="32"/>
  <c r="Q4" i="32"/>
  <c r="J4" i="32"/>
  <c r="E4" i="32"/>
  <c r="D4" i="32"/>
  <c r="C4" i="32"/>
  <c r="R3" i="32"/>
  <c r="Q3" i="32"/>
  <c r="J3" i="32"/>
  <c r="E3" i="32"/>
  <c r="D3" i="32"/>
  <c r="C3" i="32"/>
  <c r="B3" i="32"/>
  <c r="E2" i="32"/>
  <c r="D2" i="32"/>
  <c r="C2" i="32"/>
  <c r="B2" i="32"/>
  <c r="C66" i="9"/>
  <c r="C64" i="9"/>
  <c r="J57" i="9"/>
  <c r="B56" i="9"/>
  <c r="D52" i="9"/>
  <c r="D51" i="9"/>
  <c r="D50" i="9"/>
  <c r="D49" i="9"/>
  <c r="D47" i="9"/>
  <c r="G45" i="9"/>
  <c r="D45" i="9"/>
  <c r="D43" i="9"/>
  <c r="H40" i="9"/>
  <c r="G40" i="9"/>
  <c r="F40" i="9"/>
  <c r="E40" i="9"/>
  <c r="D40" i="9"/>
  <c r="C40" i="9"/>
  <c r="H39" i="9"/>
  <c r="G39" i="9"/>
  <c r="F39" i="9"/>
  <c r="E39" i="9"/>
  <c r="D39" i="9"/>
  <c r="C39" i="9"/>
  <c r="H38" i="9"/>
  <c r="G38" i="9"/>
  <c r="F38" i="9"/>
  <c r="E38" i="9"/>
  <c r="D38" i="9"/>
  <c r="C38" i="9"/>
  <c r="H37" i="9"/>
  <c r="G37" i="9"/>
  <c r="H33" i="9"/>
  <c r="G33" i="9"/>
  <c r="H29" i="9"/>
  <c r="G29" i="9"/>
  <c r="F29" i="9"/>
  <c r="E29" i="9"/>
  <c r="D29" i="9"/>
  <c r="C29" i="9"/>
  <c r="H18" i="9"/>
  <c r="K17" i="9"/>
  <c r="H17" i="9"/>
  <c r="B17" i="9"/>
  <c r="H16" i="9"/>
  <c r="H15" i="9"/>
  <c r="B15" i="9"/>
  <c r="I14" i="9"/>
  <c r="H14" i="9"/>
  <c r="G14" i="9"/>
  <c r="B14" i="9"/>
  <c r="J13" i="9"/>
  <c r="H13" i="9"/>
  <c r="H12" i="9"/>
  <c r="H11" i="9"/>
  <c r="B11" i="9"/>
  <c r="K10" i="9"/>
  <c r="H10" i="9"/>
  <c r="B10" i="9"/>
  <c r="M9" i="9"/>
  <c r="H9" i="9"/>
  <c r="H8" i="9"/>
  <c r="H7" i="9"/>
  <c r="C7" i="9"/>
  <c r="K6" i="9"/>
  <c r="H6" i="9"/>
  <c r="H5" i="9"/>
  <c r="C5" i="9"/>
  <c r="A5" i="9" a="1"/>
  <c r="K4" i="9"/>
  <c r="K16" i="9" s="1"/>
  <c r="L3" i="9"/>
  <c r="L4" i="9" s="1"/>
  <c r="L6" i="9" s="1"/>
  <c r="K3" i="9"/>
  <c r="J3" i="9"/>
  <c r="J4" i="9" s="1"/>
  <c r="I3" i="9"/>
  <c r="I4" i="9" s="1"/>
  <c r="H3" i="9"/>
  <c r="H4" i="9" s="1"/>
  <c r="G3" i="9"/>
  <c r="G4" i="9" s="1"/>
  <c r="H61" i="38"/>
  <c r="G61" i="38"/>
  <c r="F61" i="38"/>
  <c r="E61" i="38"/>
  <c r="D61" i="38"/>
  <c r="C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G38" i="38"/>
  <c r="F37" i="38"/>
  <c r="E37" i="38"/>
  <c r="D37" i="38"/>
  <c r="C37" i="38"/>
  <c r="H34" i="38"/>
  <c r="G34" i="38"/>
  <c r="F34" i="38"/>
  <c r="E34" i="38"/>
  <c r="D34" i="38"/>
  <c r="C34" i="38"/>
  <c r="B34" i="38"/>
  <c r="H33" i="38"/>
  <c r="G33" i="38"/>
  <c r="F33" i="38"/>
  <c r="E33" i="38"/>
  <c r="D33" i="38"/>
  <c r="C33" i="38"/>
  <c r="B33" i="38"/>
  <c r="H32" i="38"/>
  <c r="G32" i="38"/>
  <c r="F32" i="38"/>
  <c r="E32" i="38"/>
  <c r="D32" i="38"/>
  <c r="C32" i="38"/>
  <c r="B32" i="38"/>
  <c r="H31" i="38"/>
  <c r="G31" i="38"/>
  <c r="F31" i="38"/>
  <c r="E31" i="38"/>
  <c r="D31" i="38"/>
  <c r="C31" i="38"/>
  <c r="B31" i="38"/>
  <c r="H30" i="38"/>
  <c r="G30" i="38"/>
  <c r="F30" i="38"/>
  <c r="E30" i="38"/>
  <c r="D30" i="38"/>
  <c r="C30" i="38"/>
  <c r="B30" i="38"/>
  <c r="H29" i="38"/>
  <c r="G29" i="38"/>
  <c r="F29" i="38"/>
  <c r="E29" i="38"/>
  <c r="D29" i="38"/>
  <c r="C29" i="38"/>
  <c r="B29" i="38"/>
  <c r="H28" i="38"/>
  <c r="G28" i="38"/>
  <c r="F28" i="38"/>
  <c r="E28" i="38"/>
  <c r="D28" i="38"/>
  <c r="C28" i="38"/>
  <c r="B28" i="38"/>
  <c r="H27" i="38"/>
  <c r="G27" i="38"/>
  <c r="F27" i="38"/>
  <c r="E27" i="38"/>
  <c r="D27" i="38"/>
  <c r="C27" i="38"/>
  <c r="B27" i="38"/>
  <c r="H26" i="38"/>
  <c r="G26" i="38"/>
  <c r="F26" i="38"/>
  <c r="E26" i="38"/>
  <c r="D26" i="38"/>
  <c r="C26" i="38"/>
  <c r="B26" i="38"/>
  <c r="H25" i="38"/>
  <c r="G25" i="38"/>
  <c r="F25" i="38"/>
  <c r="E25" i="38"/>
  <c r="D25" i="38"/>
  <c r="C25" i="38"/>
  <c r="B25" i="38"/>
  <c r="H24" i="38"/>
  <c r="G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H22" i="38"/>
  <c r="G22" i="38"/>
  <c r="F22" i="38"/>
  <c r="E22" i="38"/>
  <c r="D22" i="38"/>
  <c r="C22" i="38"/>
  <c r="B22" i="38"/>
  <c r="H21" i="38"/>
  <c r="G21" i="38"/>
  <c r="F21" i="38"/>
  <c r="E21" i="38"/>
  <c r="D21" i="38"/>
  <c r="C21" i="38"/>
  <c r="B21" i="38"/>
  <c r="H20" i="38"/>
  <c r="G20" i="38"/>
  <c r="F20" i="38"/>
  <c r="D20" i="38"/>
  <c r="C20" i="38"/>
  <c r="B20" i="38"/>
  <c r="N17" i="38"/>
  <c r="K17" i="38"/>
  <c r="M17" i="38" s="1"/>
  <c r="V17" i="38" s="1"/>
  <c r="D17" i="38"/>
  <c r="C17" i="38"/>
  <c r="B17" i="38"/>
  <c r="E17" i="38" s="1"/>
  <c r="U16" i="38"/>
  <c r="L16" i="38"/>
  <c r="K16" i="38"/>
  <c r="E16" i="38"/>
  <c r="D16" i="38"/>
  <c r="C16" i="38"/>
  <c r="B16" i="38"/>
  <c r="N15" i="38"/>
  <c r="K15" i="38"/>
  <c r="M15" i="38" s="1"/>
  <c r="B15" i="38"/>
  <c r="T14" i="38"/>
  <c r="M14" i="38"/>
  <c r="K14" i="38"/>
  <c r="E14" i="38"/>
  <c r="D14" i="38"/>
  <c r="C14" i="38"/>
  <c r="B14" i="38"/>
  <c r="V13" i="38"/>
  <c r="N13" i="38"/>
  <c r="K13" i="38"/>
  <c r="M13" i="38" s="1"/>
  <c r="D13" i="38"/>
  <c r="C13" i="38"/>
  <c r="B13" i="38"/>
  <c r="E13" i="38" s="1"/>
  <c r="K12" i="38"/>
  <c r="E12" i="38"/>
  <c r="D12" i="38"/>
  <c r="C12" i="38"/>
  <c r="B12" i="38"/>
  <c r="N11" i="38"/>
  <c r="K11" i="38"/>
  <c r="M11" i="38" s="1"/>
  <c r="B11" i="38"/>
  <c r="T10" i="38"/>
  <c r="K10" i="38"/>
  <c r="E10" i="38"/>
  <c r="D10" i="38"/>
  <c r="C10" i="38"/>
  <c r="B10" i="38"/>
  <c r="N9" i="38"/>
  <c r="M9" i="38"/>
  <c r="K9" i="38"/>
  <c r="L9" i="38" s="1"/>
  <c r="C9" i="38"/>
  <c r="B9" i="38"/>
  <c r="E9" i="38" s="1"/>
  <c r="K8" i="38"/>
  <c r="E8" i="38"/>
  <c r="D8" i="38"/>
  <c r="C8" i="38"/>
  <c r="B8" i="38"/>
  <c r="N7" i="38"/>
  <c r="K7" i="38"/>
  <c r="M7" i="38" s="1"/>
  <c r="B7" i="38"/>
  <c r="T6" i="38"/>
  <c r="K6" i="38"/>
  <c r="E6" i="38"/>
  <c r="D6" i="38"/>
  <c r="C6" i="38"/>
  <c r="B6" i="38"/>
  <c r="N5" i="38"/>
  <c r="M5" i="38"/>
  <c r="K5" i="38"/>
  <c r="L5" i="38" s="1"/>
  <c r="C5" i="38"/>
  <c r="U5" i="38" s="1"/>
  <c r="B5" i="38"/>
  <c r="E5" i="38" s="1"/>
  <c r="K4" i="38"/>
  <c r="E4" i="38"/>
  <c r="D4" i="38"/>
  <c r="C4" i="38"/>
  <c r="B4" i="38"/>
  <c r="AA3" i="38"/>
  <c r="Z3" i="38"/>
  <c r="Y3" i="38"/>
  <c r="W3" i="38"/>
  <c r="V3" i="38"/>
  <c r="U3" i="38"/>
  <c r="R3" i="38"/>
  <c r="Q3" i="38"/>
  <c r="P3" i="38"/>
  <c r="N3" i="38"/>
  <c r="M3" i="38"/>
  <c r="L3" i="38"/>
  <c r="I3" i="38"/>
  <c r="H3" i="38"/>
  <c r="G3" i="38"/>
  <c r="E3" i="38"/>
  <c r="D3" i="38"/>
  <c r="C3" i="38"/>
  <c r="P19" i="28"/>
  <c r="O19" i="28"/>
  <c r="N19" i="28"/>
  <c r="M19" i="28"/>
  <c r="L19" i="28"/>
  <c r="D16" i="28"/>
  <c r="I15" i="28"/>
  <c r="H15" i="28"/>
  <c r="G15" i="28"/>
  <c r="F15" i="28"/>
  <c r="E15" i="28"/>
  <c r="D15" i="28"/>
  <c r="I14" i="28"/>
  <c r="H14" i="28"/>
  <c r="G14" i="28"/>
  <c r="F14" i="28"/>
  <c r="E14" i="28"/>
  <c r="I13" i="28"/>
  <c r="H13" i="28"/>
  <c r="G13" i="28"/>
  <c r="F13" i="28"/>
  <c r="E13" i="28"/>
  <c r="D13" i="28"/>
  <c r="I12" i="28"/>
  <c r="H12" i="28"/>
  <c r="G12" i="28"/>
  <c r="F12" i="28"/>
  <c r="E12" i="28"/>
  <c r="D12" i="28"/>
  <c r="I11" i="28"/>
  <c r="H11" i="28"/>
  <c r="G11" i="28"/>
  <c r="F11" i="28"/>
  <c r="E11" i="28"/>
  <c r="D11" i="28"/>
  <c r="I10" i="28"/>
  <c r="H10" i="28"/>
  <c r="G10" i="28"/>
  <c r="F10" i="28"/>
  <c r="E10" i="28"/>
  <c r="D10" i="28"/>
  <c r="I9" i="28"/>
  <c r="H9" i="28"/>
  <c r="G9" i="28"/>
  <c r="F9" i="28"/>
  <c r="E9" i="28"/>
  <c r="D9" i="28"/>
  <c r="I8" i="28"/>
  <c r="H8" i="28"/>
  <c r="G8" i="28"/>
  <c r="F8" i="28"/>
  <c r="E8" i="28"/>
  <c r="D8" i="28"/>
  <c r="I7" i="28"/>
  <c r="H7" i="28"/>
  <c r="G7" i="28"/>
  <c r="F7" i="28"/>
  <c r="E7" i="28"/>
  <c r="D7" i="28"/>
  <c r="I6" i="28"/>
  <c r="H6" i="28"/>
  <c r="G6" i="28"/>
  <c r="F6" i="28"/>
  <c r="E6" i="28"/>
  <c r="D6" i="28"/>
  <c r="I5" i="28"/>
  <c r="H5" i="28"/>
  <c r="G5" i="28"/>
  <c r="F5" i="28"/>
  <c r="E5" i="28"/>
  <c r="D5" i="28"/>
  <c r="I4" i="28"/>
  <c r="H4" i="28"/>
  <c r="G4" i="28"/>
  <c r="F4" i="28"/>
  <c r="E4" i="28"/>
  <c r="D4" i="28"/>
  <c r="I3" i="28"/>
  <c r="H3" i="28"/>
  <c r="G3" i="28"/>
  <c r="F3" i="28"/>
  <c r="E3" i="28"/>
  <c r="D3" i="28"/>
  <c r="I2" i="28"/>
  <c r="H2" i="28"/>
  <c r="G2" i="28"/>
  <c r="F2" i="28"/>
  <c r="E2" i="28"/>
  <c r="D2" i="28"/>
  <c r="A16" i="21"/>
  <c r="A15" i="21"/>
  <c r="B8" i="21"/>
  <c r="B7" i="21"/>
  <c r="C7" i="21" s="1"/>
  <c r="C6" i="21"/>
  <c r="B6" i="21"/>
  <c r="C5" i="21" s="1"/>
  <c r="B5" i="21"/>
  <c r="B4" i="21"/>
  <c r="B3" i="21"/>
  <c r="L52" i="26"/>
  <c r="K52" i="26"/>
  <c r="L51" i="26"/>
  <c r="K51" i="26"/>
  <c r="L50" i="26"/>
  <c r="K50" i="26"/>
  <c r="L49" i="26"/>
  <c r="K49" i="26"/>
  <c r="L48" i="26"/>
  <c r="K48" i="26"/>
  <c r="L47" i="26"/>
  <c r="K47" i="26"/>
  <c r="L46" i="26"/>
  <c r="K46" i="26"/>
  <c r="L45" i="26"/>
  <c r="K45" i="26"/>
  <c r="L44" i="26"/>
  <c r="K44" i="26"/>
  <c r="L43" i="26"/>
  <c r="K43" i="26"/>
  <c r="L42" i="26"/>
  <c r="K42" i="26"/>
  <c r="L41" i="26"/>
  <c r="K41" i="26"/>
  <c r="L40" i="26"/>
  <c r="K40" i="26"/>
  <c r="L39" i="26"/>
  <c r="K39" i="26"/>
  <c r="L38" i="26"/>
  <c r="K38" i="26"/>
  <c r="L37" i="26"/>
  <c r="K37" i="26"/>
  <c r="L36" i="26"/>
  <c r="K36" i="26"/>
  <c r="L35" i="26"/>
  <c r="K35" i="26"/>
  <c r="L34" i="26"/>
  <c r="K34" i="26"/>
  <c r="L33" i="26"/>
  <c r="K33" i="26"/>
  <c r="L32" i="26"/>
  <c r="K32" i="26"/>
  <c r="L31" i="26"/>
  <c r="K31" i="26"/>
  <c r="L30" i="26"/>
  <c r="K30" i="26"/>
  <c r="L29" i="26"/>
  <c r="K29" i="26"/>
  <c r="L28" i="26"/>
  <c r="K28" i="26"/>
  <c r="C22" i="26"/>
  <c r="E22" i="26" s="1"/>
  <c r="B22" i="26"/>
  <c r="C21" i="26"/>
  <c r="B21" i="26"/>
  <c r="E20" i="26"/>
  <c r="C20" i="26"/>
  <c r="D20" i="26" s="1"/>
  <c r="B20" i="26"/>
  <c r="C19" i="26"/>
  <c r="B19" i="26"/>
  <c r="C18" i="26"/>
  <c r="B18" i="26"/>
  <c r="E17" i="26"/>
  <c r="C17" i="26"/>
  <c r="D17" i="26" s="1"/>
  <c r="B17" i="26"/>
  <c r="C16" i="26"/>
  <c r="E16" i="26" s="1"/>
  <c r="B16" i="26"/>
  <c r="C15" i="26"/>
  <c r="B15" i="26"/>
  <c r="C11" i="26"/>
  <c r="A11" i="26"/>
  <c r="A10" i="26"/>
  <c r="A9" i="26"/>
  <c r="A8" i="26"/>
  <c r="A7" i="26"/>
  <c r="I24" i="37"/>
  <c r="D24" i="37"/>
  <c r="I23" i="37"/>
  <c r="D23" i="37"/>
  <c r="I22" i="37"/>
  <c r="H22" i="37"/>
  <c r="D22" i="37"/>
  <c r="D21" i="37"/>
  <c r="B17" i="37"/>
  <c r="B16" i="37"/>
  <c r="B15" i="37"/>
  <c r="B12" i="37"/>
  <c r="B11" i="37"/>
  <c r="B10" i="37"/>
  <c r="E6" i="37"/>
  <c r="D6" i="37"/>
  <c r="C6" i="37"/>
  <c r="I5" i="37"/>
  <c r="E5" i="37"/>
  <c r="D5" i="37"/>
  <c r="B5" i="37"/>
  <c r="G4" i="37"/>
  <c r="E4" i="37"/>
  <c r="D4" i="37"/>
  <c r="G3" i="37"/>
  <c r="E3" i="37"/>
  <c r="D3" i="37"/>
  <c r="J497" i="20"/>
  <c r="H497" i="20"/>
  <c r="I497" i="20" s="1"/>
  <c r="G497" i="20"/>
  <c r="E497" i="20"/>
  <c r="H496" i="20"/>
  <c r="I496" i="20" s="1"/>
  <c r="J496" i="20" s="1"/>
  <c r="G496" i="20"/>
  <c r="E496" i="20"/>
  <c r="H495" i="20"/>
  <c r="I495" i="20" s="1"/>
  <c r="J495" i="20" s="1"/>
  <c r="G495" i="20"/>
  <c r="E495" i="20"/>
  <c r="I494" i="20"/>
  <c r="J494" i="20" s="1"/>
  <c r="G494" i="20"/>
  <c r="E494" i="20"/>
  <c r="I493" i="20"/>
  <c r="J493" i="20" s="1"/>
  <c r="G493" i="20"/>
  <c r="E493" i="20"/>
  <c r="I492" i="20"/>
  <c r="J492" i="20" s="1"/>
  <c r="H492" i="20"/>
  <c r="G492" i="20"/>
  <c r="E492" i="20"/>
  <c r="H491" i="20"/>
  <c r="I491" i="20" s="1"/>
  <c r="J491" i="20" s="1"/>
  <c r="G491" i="20"/>
  <c r="E491" i="20"/>
  <c r="H490" i="20"/>
  <c r="I490" i="20" s="1"/>
  <c r="J490" i="20" s="1"/>
  <c r="G490" i="20"/>
  <c r="E490" i="20"/>
  <c r="J489" i="20"/>
  <c r="I489" i="20"/>
  <c r="H489" i="20"/>
  <c r="G489" i="20"/>
  <c r="E489" i="20"/>
  <c r="J488" i="20"/>
  <c r="I488" i="20"/>
  <c r="H488" i="20"/>
  <c r="G488" i="20"/>
  <c r="E488" i="20"/>
  <c r="J487" i="20"/>
  <c r="I487" i="20"/>
  <c r="H487" i="20"/>
  <c r="G487" i="20"/>
  <c r="E487" i="20"/>
  <c r="G486" i="20"/>
  <c r="E486" i="20"/>
  <c r="G485" i="20"/>
  <c r="E485" i="20"/>
  <c r="G484" i="20"/>
  <c r="E484" i="20"/>
  <c r="J483" i="20"/>
  <c r="I483" i="20"/>
  <c r="H483" i="20"/>
  <c r="G483" i="20"/>
  <c r="E483" i="20"/>
  <c r="J482" i="20"/>
  <c r="I482" i="20"/>
  <c r="H482" i="20"/>
  <c r="G482" i="20"/>
  <c r="E482" i="20"/>
  <c r="J481" i="20"/>
  <c r="I481" i="20"/>
  <c r="H481" i="20"/>
  <c r="G481" i="20"/>
  <c r="E481" i="20"/>
  <c r="I480" i="20"/>
  <c r="J480" i="20" s="1"/>
  <c r="G480" i="20"/>
  <c r="E480" i="20"/>
  <c r="I479" i="20"/>
  <c r="J479" i="20" s="1"/>
  <c r="H479" i="20"/>
  <c r="G479" i="20"/>
  <c r="E479" i="20"/>
  <c r="I478" i="20"/>
  <c r="J478" i="20" s="1"/>
  <c r="G478" i="20"/>
  <c r="E478" i="20"/>
  <c r="J477" i="20"/>
  <c r="I477" i="20"/>
  <c r="H477" i="20"/>
  <c r="G477" i="20"/>
  <c r="E477" i="20"/>
  <c r="I476" i="20"/>
  <c r="J476" i="20" s="1"/>
  <c r="H476" i="20"/>
  <c r="G476" i="20"/>
  <c r="E476" i="20"/>
  <c r="J475" i="20"/>
  <c r="I475" i="20"/>
  <c r="H475" i="20"/>
  <c r="G475" i="20"/>
  <c r="E475" i="20"/>
  <c r="J474" i="20"/>
  <c r="I474" i="20"/>
  <c r="H474" i="20"/>
  <c r="G474" i="20"/>
  <c r="E474" i="20"/>
  <c r="J473" i="20"/>
  <c r="I473" i="20"/>
  <c r="H473" i="20"/>
  <c r="G473" i="20"/>
  <c r="E473" i="20"/>
  <c r="J472" i="20"/>
  <c r="I472" i="20"/>
  <c r="H472" i="20"/>
  <c r="G472" i="20"/>
  <c r="E472" i="20"/>
  <c r="J471" i="20"/>
  <c r="I471" i="20"/>
  <c r="H471" i="20"/>
  <c r="G471" i="20"/>
  <c r="E471" i="20"/>
  <c r="J470" i="20"/>
  <c r="I470" i="20"/>
  <c r="H470" i="20"/>
  <c r="G470" i="20"/>
  <c r="E470" i="20"/>
  <c r="J469" i="20"/>
  <c r="I469" i="20"/>
  <c r="H469" i="20"/>
  <c r="G469" i="20"/>
  <c r="E469" i="20"/>
  <c r="J468" i="20"/>
  <c r="I468" i="20"/>
  <c r="H468" i="20"/>
  <c r="G468" i="20"/>
  <c r="E468" i="20"/>
  <c r="J467" i="20"/>
  <c r="I467" i="20"/>
  <c r="H467" i="20"/>
  <c r="G467" i="20"/>
  <c r="E467" i="20"/>
  <c r="J466" i="20"/>
  <c r="I466" i="20"/>
  <c r="H466" i="20"/>
  <c r="G466" i="20"/>
  <c r="E466" i="20"/>
  <c r="J465" i="20"/>
  <c r="I465" i="20"/>
  <c r="H465" i="20"/>
  <c r="G465" i="20"/>
  <c r="E465" i="20"/>
  <c r="J464" i="20"/>
  <c r="I464" i="20"/>
  <c r="H464" i="20"/>
  <c r="G464" i="20"/>
  <c r="E464" i="20"/>
  <c r="J463" i="20"/>
  <c r="I463" i="20"/>
  <c r="H463" i="20"/>
  <c r="G463" i="20"/>
  <c r="E463" i="20"/>
  <c r="J462" i="20"/>
  <c r="I462" i="20"/>
  <c r="H462" i="20"/>
  <c r="G462" i="20"/>
  <c r="E462" i="20"/>
  <c r="J461" i="20"/>
  <c r="I461" i="20"/>
  <c r="H461" i="20"/>
  <c r="G461" i="20"/>
  <c r="E461" i="20"/>
  <c r="J460" i="20"/>
  <c r="I460" i="20"/>
  <c r="H460" i="20"/>
  <c r="G460" i="20"/>
  <c r="E460" i="20"/>
  <c r="J459" i="20"/>
  <c r="I459" i="20"/>
  <c r="H459" i="20"/>
  <c r="G459" i="20"/>
  <c r="E459" i="20"/>
  <c r="J458" i="20"/>
  <c r="I458" i="20"/>
  <c r="H458" i="20"/>
  <c r="G458" i="20"/>
  <c r="E458" i="20"/>
  <c r="J457" i="20"/>
  <c r="I457" i="20"/>
  <c r="H457" i="20"/>
  <c r="G457" i="20"/>
  <c r="E457" i="20"/>
  <c r="J456" i="20"/>
  <c r="I456" i="20"/>
  <c r="H456" i="20"/>
  <c r="G456" i="20"/>
  <c r="E456" i="20"/>
  <c r="J455" i="20"/>
  <c r="I455" i="20"/>
  <c r="H455" i="20"/>
  <c r="G455" i="20"/>
  <c r="E455" i="20"/>
  <c r="J454" i="20"/>
  <c r="I454" i="20"/>
  <c r="H454" i="20"/>
  <c r="G454" i="20"/>
  <c r="E454" i="20"/>
  <c r="J453" i="20"/>
  <c r="I453" i="20"/>
  <c r="H453" i="20"/>
  <c r="G453" i="20"/>
  <c r="E453" i="20"/>
  <c r="H452" i="20"/>
  <c r="G452" i="20"/>
  <c r="E452" i="20"/>
  <c r="J451" i="20"/>
  <c r="I451" i="20"/>
  <c r="H451" i="20"/>
  <c r="G451" i="20"/>
  <c r="E451" i="20"/>
  <c r="J450" i="20"/>
  <c r="I450" i="20"/>
  <c r="H450" i="20"/>
  <c r="G450" i="20"/>
  <c r="E450" i="20"/>
  <c r="J449" i="20"/>
  <c r="I449" i="20"/>
  <c r="H449" i="20"/>
  <c r="G449" i="20"/>
  <c r="E449" i="20"/>
  <c r="J448" i="20"/>
  <c r="I448" i="20"/>
  <c r="H448" i="20"/>
  <c r="G448" i="20"/>
  <c r="E448" i="20"/>
  <c r="J447" i="20"/>
  <c r="I447" i="20"/>
  <c r="H447" i="20"/>
  <c r="G447" i="20"/>
  <c r="E447" i="20"/>
  <c r="J446" i="20"/>
  <c r="I446" i="20"/>
  <c r="H446" i="20"/>
  <c r="G446" i="20"/>
  <c r="E446" i="20"/>
  <c r="J445" i="20"/>
  <c r="I445" i="20"/>
  <c r="H445" i="20"/>
  <c r="G445" i="20"/>
  <c r="E445" i="20"/>
  <c r="J444" i="20"/>
  <c r="I444" i="20"/>
  <c r="H444" i="20"/>
  <c r="G444" i="20"/>
  <c r="E444" i="20"/>
  <c r="G443" i="20"/>
  <c r="E443" i="20"/>
  <c r="J442" i="20"/>
  <c r="I442" i="20"/>
  <c r="H442" i="20"/>
  <c r="G442" i="20"/>
  <c r="E442" i="20"/>
  <c r="J441" i="20"/>
  <c r="I441" i="20"/>
  <c r="H441" i="20"/>
  <c r="G441" i="20"/>
  <c r="E441" i="20"/>
  <c r="J440" i="20"/>
  <c r="I440" i="20"/>
  <c r="H440" i="20"/>
  <c r="G440" i="20"/>
  <c r="E440" i="20"/>
  <c r="J439" i="20"/>
  <c r="I439" i="20"/>
  <c r="H439" i="20"/>
  <c r="G439" i="20"/>
  <c r="E439" i="20"/>
  <c r="J438" i="20"/>
  <c r="I438" i="20"/>
  <c r="H438" i="20"/>
  <c r="G438" i="20"/>
  <c r="E438" i="20"/>
  <c r="J437" i="20"/>
  <c r="I437" i="20"/>
  <c r="H437" i="20"/>
  <c r="G437" i="20"/>
  <c r="E437" i="20"/>
  <c r="J436" i="20"/>
  <c r="I436" i="20"/>
  <c r="H436" i="20"/>
  <c r="G436" i="20"/>
  <c r="E436" i="20"/>
  <c r="J435" i="20"/>
  <c r="I435" i="20"/>
  <c r="H435" i="20"/>
  <c r="G435" i="20"/>
  <c r="E435" i="20"/>
  <c r="J434" i="20"/>
  <c r="I434" i="20"/>
  <c r="H434" i="20"/>
  <c r="G434" i="20"/>
  <c r="E434" i="20"/>
  <c r="J433" i="20"/>
  <c r="I433" i="20"/>
  <c r="H433" i="20"/>
  <c r="G433" i="20"/>
  <c r="E433" i="20"/>
  <c r="J432" i="20"/>
  <c r="I432" i="20"/>
  <c r="H432" i="20"/>
  <c r="G432" i="20"/>
  <c r="E432" i="20"/>
  <c r="J431" i="20"/>
  <c r="I431" i="20"/>
  <c r="H431" i="20"/>
  <c r="G431" i="20"/>
  <c r="E431" i="20"/>
  <c r="J430" i="20"/>
  <c r="I430" i="20"/>
  <c r="H430" i="20"/>
  <c r="G430" i="20"/>
  <c r="E430" i="20"/>
  <c r="J429" i="20"/>
  <c r="I429" i="20"/>
  <c r="H429" i="20"/>
  <c r="H426" i="20" s="1"/>
  <c r="I426" i="20" s="1"/>
  <c r="J426" i="20" s="1"/>
  <c r="G429" i="20"/>
  <c r="E429" i="20"/>
  <c r="J428" i="20"/>
  <c r="I428" i="20"/>
  <c r="H428" i="20"/>
  <c r="G428" i="20"/>
  <c r="E428" i="20"/>
  <c r="J427" i="20"/>
  <c r="I427" i="20"/>
  <c r="H427" i="20"/>
  <c r="G427" i="20"/>
  <c r="E427" i="20"/>
  <c r="G426" i="20"/>
  <c r="E426" i="20"/>
  <c r="I425" i="20"/>
  <c r="G425" i="20"/>
  <c r="E425" i="20"/>
  <c r="G424" i="20"/>
  <c r="E424" i="20"/>
  <c r="G423" i="20"/>
  <c r="E423" i="20"/>
  <c r="G422" i="20"/>
  <c r="E422" i="20"/>
  <c r="C422" i="20"/>
  <c r="G421" i="20"/>
  <c r="E421" i="20"/>
  <c r="C421" i="20"/>
  <c r="G420" i="20"/>
  <c r="E420" i="20"/>
  <c r="C420" i="20"/>
  <c r="G419" i="20"/>
  <c r="E419" i="20"/>
  <c r="C419" i="20"/>
  <c r="G418" i="20"/>
  <c r="E418" i="20"/>
  <c r="C418" i="20"/>
  <c r="G417" i="20"/>
  <c r="E417" i="20"/>
  <c r="C417" i="20"/>
  <c r="G416" i="20"/>
  <c r="E416" i="20"/>
  <c r="C416" i="20"/>
  <c r="G415" i="20"/>
  <c r="E415" i="20"/>
  <c r="C415" i="20"/>
  <c r="G414" i="20"/>
  <c r="E414" i="20"/>
  <c r="C414" i="20"/>
  <c r="G413" i="20"/>
  <c r="E413" i="20"/>
  <c r="C413" i="20"/>
  <c r="G412" i="20"/>
  <c r="E412" i="20"/>
  <c r="C412" i="20"/>
  <c r="G411" i="20"/>
  <c r="E411" i="20"/>
  <c r="C411" i="20"/>
  <c r="G410" i="20"/>
  <c r="E410" i="20"/>
  <c r="C410" i="20"/>
  <c r="G409" i="20"/>
  <c r="E409" i="20"/>
  <c r="C409" i="20"/>
  <c r="G408" i="20"/>
  <c r="E408" i="20"/>
  <c r="C408" i="20"/>
  <c r="G407" i="20"/>
  <c r="E407" i="20"/>
  <c r="C407" i="20"/>
  <c r="G406" i="20"/>
  <c r="E406" i="20"/>
  <c r="C406" i="20"/>
  <c r="G405" i="20"/>
  <c r="E405" i="20"/>
  <c r="C405" i="20"/>
  <c r="G404" i="20"/>
  <c r="E404" i="20"/>
  <c r="C404" i="20"/>
  <c r="G403" i="20"/>
  <c r="E403" i="20"/>
  <c r="C403" i="20"/>
  <c r="G402" i="20"/>
  <c r="E402" i="20"/>
  <c r="C402" i="20"/>
  <c r="G401" i="20"/>
  <c r="E401" i="20"/>
  <c r="C401" i="20"/>
  <c r="G400" i="20"/>
  <c r="E400" i="20"/>
  <c r="C400" i="20"/>
  <c r="G399" i="20"/>
  <c r="E399" i="20"/>
  <c r="C399" i="20"/>
  <c r="G398" i="20"/>
  <c r="E398" i="20"/>
  <c r="C398" i="20"/>
  <c r="G397" i="20"/>
  <c r="E397" i="20"/>
  <c r="C397" i="20"/>
  <c r="G396" i="20"/>
  <c r="E396" i="20"/>
  <c r="C396" i="20"/>
  <c r="G395" i="20"/>
  <c r="E395" i="20"/>
  <c r="C395" i="20"/>
  <c r="G394" i="20"/>
  <c r="E394" i="20"/>
  <c r="C394" i="20"/>
  <c r="G393" i="20"/>
  <c r="E393" i="20"/>
  <c r="C393" i="20"/>
  <c r="G392" i="20"/>
  <c r="E392" i="20"/>
  <c r="C392" i="20"/>
  <c r="G391" i="20"/>
  <c r="E391" i="20"/>
  <c r="C391" i="20"/>
  <c r="G390" i="20"/>
  <c r="E390" i="20"/>
  <c r="C390" i="20"/>
  <c r="G389" i="20"/>
  <c r="E389" i="20"/>
  <c r="C389" i="20"/>
  <c r="G388" i="20"/>
  <c r="E388" i="20"/>
  <c r="C388" i="20"/>
  <c r="G387" i="20"/>
  <c r="E387" i="20"/>
  <c r="C387" i="20"/>
  <c r="G386" i="20"/>
  <c r="E386" i="20"/>
  <c r="C386" i="20"/>
  <c r="G385" i="20"/>
  <c r="E385" i="20"/>
  <c r="C385" i="20"/>
  <c r="G384" i="20"/>
  <c r="E384" i="20"/>
  <c r="C384" i="20"/>
  <c r="G383" i="20"/>
  <c r="E383" i="20"/>
  <c r="C383" i="20"/>
  <c r="G382" i="20"/>
  <c r="E382" i="20"/>
  <c r="C382" i="20"/>
  <c r="G381" i="20"/>
  <c r="E381" i="20"/>
  <c r="C381" i="20"/>
  <c r="G380" i="20"/>
  <c r="E380" i="20"/>
  <c r="C380" i="20"/>
  <c r="G379" i="20"/>
  <c r="E379" i="20"/>
  <c r="C379" i="20"/>
  <c r="G378" i="20"/>
  <c r="E378" i="20"/>
  <c r="C378" i="20"/>
  <c r="G377" i="20"/>
  <c r="E377" i="20"/>
  <c r="C377" i="20"/>
  <c r="G376" i="20"/>
  <c r="E376" i="20"/>
  <c r="C376" i="20"/>
  <c r="G375" i="20"/>
  <c r="E375" i="20"/>
  <c r="C375" i="20"/>
  <c r="G374" i="20"/>
  <c r="E374" i="20"/>
  <c r="C374" i="20"/>
  <c r="G373" i="20"/>
  <c r="E373" i="20"/>
  <c r="C373" i="20"/>
  <c r="G372" i="20"/>
  <c r="E372" i="20"/>
  <c r="C372" i="20"/>
  <c r="G371" i="20"/>
  <c r="E371" i="20"/>
  <c r="C371" i="20"/>
  <c r="G370" i="20"/>
  <c r="E370" i="20"/>
  <c r="C370" i="20"/>
  <c r="G369" i="20"/>
  <c r="E369" i="20"/>
  <c r="C369" i="20"/>
  <c r="G368" i="20"/>
  <c r="E368" i="20"/>
  <c r="C368" i="20"/>
  <c r="G367" i="20"/>
  <c r="E367" i="20"/>
  <c r="C367" i="20"/>
  <c r="G366" i="20"/>
  <c r="E366" i="20"/>
  <c r="C366" i="20"/>
  <c r="G365" i="20"/>
  <c r="E365" i="20"/>
  <c r="C365" i="20"/>
  <c r="G364" i="20"/>
  <c r="E364" i="20"/>
  <c r="C364" i="20"/>
  <c r="G363" i="20"/>
  <c r="E363" i="20"/>
  <c r="C363" i="20"/>
  <c r="G362" i="20"/>
  <c r="E362" i="20"/>
  <c r="C362" i="20"/>
  <c r="G361" i="20"/>
  <c r="E361" i="20"/>
  <c r="C361" i="20"/>
  <c r="G360" i="20"/>
  <c r="E360" i="20"/>
  <c r="C360" i="20"/>
  <c r="G359" i="20"/>
  <c r="E359" i="20"/>
  <c r="C359" i="20"/>
  <c r="G358" i="20"/>
  <c r="E358" i="20"/>
  <c r="C358" i="20"/>
  <c r="G357" i="20"/>
  <c r="E357" i="20"/>
  <c r="C357" i="20"/>
  <c r="G356" i="20"/>
  <c r="E356" i="20"/>
  <c r="C356" i="20"/>
  <c r="G355" i="20"/>
  <c r="E355" i="20"/>
  <c r="C355" i="20"/>
  <c r="G354" i="20"/>
  <c r="E354" i="20"/>
  <c r="C354" i="20"/>
  <c r="G353" i="20"/>
  <c r="E353" i="20"/>
  <c r="C353" i="20"/>
  <c r="G352" i="20"/>
  <c r="E352" i="20"/>
  <c r="C352" i="20"/>
  <c r="G351" i="20"/>
  <c r="E351" i="20"/>
  <c r="C351" i="20"/>
  <c r="G350" i="20"/>
  <c r="E350" i="20"/>
  <c r="C350" i="20"/>
  <c r="G349" i="20"/>
  <c r="E349" i="20"/>
  <c r="C349" i="20"/>
  <c r="G348" i="20"/>
  <c r="E348" i="20"/>
  <c r="C348" i="20"/>
  <c r="G347" i="20"/>
  <c r="E347" i="20"/>
  <c r="C347" i="20"/>
  <c r="G346" i="20"/>
  <c r="E346" i="20"/>
  <c r="C346" i="20"/>
  <c r="G345" i="20"/>
  <c r="E345" i="20"/>
  <c r="C345" i="20"/>
  <c r="G344" i="20"/>
  <c r="E344" i="20"/>
  <c r="C344" i="20"/>
  <c r="G343" i="20"/>
  <c r="E343" i="20"/>
  <c r="C343" i="20"/>
  <c r="G342" i="20"/>
  <c r="E342" i="20"/>
  <c r="C342" i="20"/>
  <c r="G341" i="20"/>
  <c r="E341" i="20"/>
  <c r="C341" i="20"/>
  <c r="G340" i="20"/>
  <c r="E340" i="20"/>
  <c r="C340" i="20"/>
  <c r="G339" i="20"/>
  <c r="E339" i="20"/>
  <c r="C339" i="20"/>
  <c r="G338" i="20"/>
  <c r="E338" i="20"/>
  <c r="C338" i="20"/>
  <c r="G337" i="20"/>
  <c r="E337" i="20"/>
  <c r="C337" i="20"/>
  <c r="G336" i="20"/>
  <c r="E336" i="20"/>
  <c r="C336" i="20"/>
  <c r="G335" i="20"/>
  <c r="E335" i="20"/>
  <c r="C335" i="20"/>
  <c r="G334" i="20"/>
  <c r="E334" i="20"/>
  <c r="C334" i="20"/>
  <c r="G333" i="20"/>
  <c r="E333" i="20"/>
  <c r="C333" i="20"/>
  <c r="G332" i="20"/>
  <c r="E332" i="20"/>
  <c r="C332" i="20"/>
  <c r="G331" i="20"/>
  <c r="E331" i="20"/>
  <c r="C331" i="20"/>
  <c r="G330" i="20"/>
  <c r="E330" i="20"/>
  <c r="C330" i="20"/>
  <c r="G329" i="20"/>
  <c r="E329" i="20"/>
  <c r="C329" i="20"/>
  <c r="G328" i="20"/>
  <c r="E328" i="20"/>
  <c r="C328" i="20"/>
  <c r="G327" i="20"/>
  <c r="E327" i="20"/>
  <c r="C327" i="20"/>
  <c r="G326" i="20"/>
  <c r="E326" i="20"/>
  <c r="C326" i="20"/>
  <c r="G325" i="20"/>
  <c r="E325" i="20"/>
  <c r="C325" i="20"/>
  <c r="G324" i="20"/>
  <c r="E324" i="20"/>
  <c r="C324" i="20"/>
  <c r="G323" i="20"/>
  <c r="E323" i="20"/>
  <c r="C323" i="20"/>
  <c r="G322" i="20"/>
  <c r="E322" i="20"/>
  <c r="C322" i="20"/>
  <c r="G321" i="20"/>
  <c r="E321" i="20"/>
  <c r="C321" i="20"/>
  <c r="G320" i="20"/>
  <c r="E320" i="20"/>
  <c r="C320" i="20"/>
  <c r="G319" i="20"/>
  <c r="E319" i="20"/>
  <c r="C319" i="20"/>
  <c r="G318" i="20"/>
  <c r="E318" i="20"/>
  <c r="C318" i="20"/>
  <c r="G317" i="20"/>
  <c r="E317" i="20"/>
  <c r="C317" i="20"/>
  <c r="G316" i="20"/>
  <c r="E316" i="20"/>
  <c r="C316" i="20"/>
  <c r="G315" i="20"/>
  <c r="E315" i="20"/>
  <c r="C315" i="20"/>
  <c r="G314" i="20"/>
  <c r="E314" i="20"/>
  <c r="C314" i="20"/>
  <c r="G313" i="20"/>
  <c r="E313" i="20"/>
  <c r="C313" i="20"/>
  <c r="G312" i="20"/>
  <c r="E312" i="20"/>
  <c r="C312" i="20"/>
  <c r="G311" i="20"/>
  <c r="E311" i="20"/>
  <c r="C311" i="20"/>
  <c r="G310" i="20"/>
  <c r="E310" i="20"/>
  <c r="C310" i="20"/>
  <c r="G309" i="20"/>
  <c r="E309" i="20"/>
  <c r="C309" i="20"/>
  <c r="G308" i="20"/>
  <c r="E308" i="20"/>
  <c r="C308" i="20"/>
  <c r="G307" i="20"/>
  <c r="E307" i="20"/>
  <c r="C307" i="20"/>
  <c r="G306" i="20"/>
  <c r="E306" i="20"/>
  <c r="C306" i="20"/>
  <c r="G305" i="20"/>
  <c r="E305" i="20"/>
  <c r="C305" i="20"/>
  <c r="G304" i="20"/>
  <c r="E304" i="20"/>
  <c r="C304" i="20"/>
  <c r="G303" i="20"/>
  <c r="E303" i="20"/>
  <c r="C303" i="20"/>
  <c r="G302" i="20"/>
  <c r="E302" i="20"/>
  <c r="C302" i="20"/>
  <c r="G301" i="20"/>
  <c r="E301" i="20"/>
  <c r="C301" i="20"/>
  <c r="G300" i="20"/>
  <c r="E300" i="20"/>
  <c r="C300" i="20"/>
  <c r="G299" i="20"/>
  <c r="E299" i="20"/>
  <c r="C299" i="20"/>
  <c r="G298" i="20"/>
  <c r="E298" i="20"/>
  <c r="C298" i="20"/>
  <c r="G297" i="20"/>
  <c r="E297" i="20"/>
  <c r="C297" i="20"/>
  <c r="G296" i="20"/>
  <c r="E296" i="20"/>
  <c r="C296" i="20"/>
  <c r="G295" i="20"/>
  <c r="E295" i="20"/>
  <c r="C295" i="20"/>
  <c r="G294" i="20"/>
  <c r="E294" i="20"/>
  <c r="C294" i="20"/>
  <c r="G293" i="20"/>
  <c r="E293" i="20"/>
  <c r="C293" i="20"/>
  <c r="G292" i="20"/>
  <c r="E292" i="20"/>
  <c r="C292" i="20"/>
  <c r="G291" i="20"/>
  <c r="E291" i="20"/>
  <c r="C291" i="20"/>
  <c r="G290" i="20"/>
  <c r="E290" i="20"/>
  <c r="C290" i="20"/>
  <c r="G289" i="20"/>
  <c r="E289" i="20"/>
  <c r="C289" i="20"/>
  <c r="G288" i="20"/>
  <c r="E288" i="20"/>
  <c r="C288" i="20"/>
  <c r="G287" i="20"/>
  <c r="E287" i="20"/>
  <c r="C287" i="20"/>
  <c r="G286" i="20"/>
  <c r="E286" i="20"/>
  <c r="C286" i="20"/>
  <c r="G285" i="20"/>
  <c r="E285" i="20"/>
  <c r="C285" i="20"/>
  <c r="G284" i="20"/>
  <c r="E284" i="20"/>
  <c r="C284" i="20"/>
  <c r="G283" i="20"/>
  <c r="E283" i="20"/>
  <c r="C283" i="20"/>
  <c r="G282" i="20"/>
  <c r="E282" i="20"/>
  <c r="C282" i="20"/>
  <c r="G281" i="20"/>
  <c r="E281" i="20"/>
  <c r="C281" i="20"/>
  <c r="G280" i="20"/>
  <c r="E280" i="20"/>
  <c r="C280" i="20"/>
  <c r="G279" i="20"/>
  <c r="E279" i="20"/>
  <c r="C279" i="20"/>
  <c r="G278" i="20"/>
  <c r="E278" i="20"/>
  <c r="C278" i="20"/>
  <c r="G277" i="20"/>
  <c r="E277" i="20"/>
  <c r="C277" i="20"/>
  <c r="G276" i="20"/>
  <c r="E276" i="20"/>
  <c r="C276" i="20"/>
  <c r="G275" i="20"/>
  <c r="E275" i="20"/>
  <c r="C275" i="20"/>
  <c r="G274" i="20"/>
  <c r="E274" i="20"/>
  <c r="C274" i="20"/>
  <c r="G273" i="20"/>
  <c r="E273" i="20"/>
  <c r="C273" i="20"/>
  <c r="G272" i="20"/>
  <c r="E272" i="20"/>
  <c r="C272" i="20"/>
  <c r="G271" i="20"/>
  <c r="E271" i="20"/>
  <c r="C271" i="20"/>
  <c r="G270" i="20"/>
  <c r="E270" i="20"/>
  <c r="C270" i="20"/>
  <c r="G269" i="20"/>
  <c r="E269" i="20"/>
  <c r="C269" i="20"/>
  <c r="G268" i="20"/>
  <c r="E268" i="20"/>
  <c r="C268" i="20"/>
  <c r="G267" i="20"/>
  <c r="E267" i="20"/>
  <c r="C267" i="20"/>
  <c r="G266" i="20"/>
  <c r="E266" i="20"/>
  <c r="C266" i="20"/>
  <c r="G265" i="20"/>
  <c r="E265" i="20"/>
  <c r="C265" i="20"/>
  <c r="G264" i="20"/>
  <c r="E264" i="20"/>
  <c r="C264" i="20"/>
  <c r="G263" i="20"/>
  <c r="E263" i="20"/>
  <c r="C263" i="20"/>
  <c r="G262" i="20"/>
  <c r="E262" i="20"/>
  <c r="C262" i="20"/>
  <c r="G261" i="20"/>
  <c r="E261" i="20"/>
  <c r="C261" i="20"/>
  <c r="G260" i="20"/>
  <c r="E260" i="20"/>
  <c r="C260" i="20"/>
  <c r="G259" i="20"/>
  <c r="E259" i="20"/>
  <c r="C259" i="20"/>
  <c r="G258" i="20"/>
  <c r="E258" i="20"/>
  <c r="C258" i="20"/>
  <c r="G257" i="20"/>
  <c r="E257" i="20"/>
  <c r="C257" i="20"/>
  <c r="G256" i="20"/>
  <c r="E256" i="20"/>
  <c r="C256" i="20"/>
  <c r="G255" i="20"/>
  <c r="E255" i="20"/>
  <c r="C255" i="20"/>
  <c r="G254" i="20"/>
  <c r="E254" i="20"/>
  <c r="C254" i="20"/>
  <c r="G253" i="20"/>
  <c r="E253" i="20"/>
  <c r="C253" i="20"/>
  <c r="G252" i="20"/>
  <c r="E252" i="20"/>
  <c r="C252" i="20"/>
  <c r="G251" i="20"/>
  <c r="E251" i="20"/>
  <c r="C251" i="20"/>
  <c r="G250" i="20"/>
  <c r="E250" i="20"/>
  <c r="C250" i="20"/>
  <c r="G249" i="20"/>
  <c r="E249" i="20"/>
  <c r="C249" i="20"/>
  <c r="G248" i="20"/>
  <c r="E248" i="20"/>
  <c r="C248" i="20"/>
  <c r="G247" i="20"/>
  <c r="E247" i="20"/>
  <c r="C247" i="20"/>
  <c r="G246" i="20"/>
  <c r="E246" i="20"/>
  <c r="C246" i="20"/>
  <c r="G245" i="20"/>
  <c r="E245" i="20"/>
  <c r="C245" i="20"/>
  <c r="G244" i="20"/>
  <c r="E244" i="20"/>
  <c r="C244" i="20"/>
  <c r="G243" i="20"/>
  <c r="E243" i="20"/>
  <c r="C243" i="20"/>
  <c r="G242" i="20"/>
  <c r="E242" i="20"/>
  <c r="C242" i="20"/>
  <c r="G241" i="20"/>
  <c r="E241" i="20"/>
  <c r="C241" i="20"/>
  <c r="G240" i="20"/>
  <c r="E240" i="20"/>
  <c r="C240" i="20"/>
  <c r="G239" i="20"/>
  <c r="E239" i="20"/>
  <c r="C239" i="20"/>
  <c r="G238" i="20"/>
  <c r="E238" i="20"/>
  <c r="C238" i="20"/>
  <c r="G237" i="20"/>
  <c r="E237" i="20"/>
  <c r="C237" i="20"/>
  <c r="G236" i="20"/>
  <c r="E236" i="20"/>
  <c r="C236" i="20"/>
  <c r="G235" i="20"/>
  <c r="E235" i="20"/>
  <c r="C235" i="20"/>
  <c r="G234" i="20"/>
  <c r="E234" i="20"/>
  <c r="C234" i="20"/>
  <c r="G233" i="20"/>
  <c r="E233" i="20"/>
  <c r="C233" i="20"/>
  <c r="G232" i="20"/>
  <c r="E232" i="20"/>
  <c r="C232" i="20"/>
  <c r="G231" i="20"/>
  <c r="E231" i="20"/>
  <c r="C231" i="20"/>
  <c r="G230" i="20"/>
  <c r="E230" i="20"/>
  <c r="C230" i="20"/>
  <c r="G229" i="20"/>
  <c r="E229" i="20"/>
  <c r="C229" i="20"/>
  <c r="G228" i="20"/>
  <c r="E228" i="20"/>
  <c r="C228" i="20"/>
  <c r="G227" i="20"/>
  <c r="E227" i="20"/>
  <c r="C227" i="20"/>
  <c r="G226" i="20"/>
  <c r="E226" i="20"/>
  <c r="C226" i="20"/>
  <c r="G225" i="20"/>
  <c r="E225" i="20"/>
  <c r="C225" i="20"/>
  <c r="G224" i="20"/>
  <c r="E224" i="20"/>
  <c r="C224" i="20"/>
  <c r="G223" i="20"/>
  <c r="E223" i="20"/>
  <c r="C223" i="20"/>
  <c r="G222" i="20"/>
  <c r="E222" i="20"/>
  <c r="C222" i="20"/>
  <c r="G221" i="20"/>
  <c r="E221" i="20"/>
  <c r="C221" i="20"/>
  <c r="G220" i="20"/>
  <c r="E220" i="20"/>
  <c r="C220" i="20"/>
  <c r="G219" i="20"/>
  <c r="E219" i="20"/>
  <c r="C219" i="20"/>
  <c r="G218" i="20"/>
  <c r="E218" i="20"/>
  <c r="C218" i="20"/>
  <c r="G217" i="20"/>
  <c r="E217" i="20"/>
  <c r="C217" i="20"/>
  <c r="G216" i="20"/>
  <c r="E216" i="20"/>
  <c r="C216" i="20"/>
  <c r="G215" i="20"/>
  <c r="E215" i="20"/>
  <c r="C215" i="20"/>
  <c r="G214" i="20"/>
  <c r="E214" i="20"/>
  <c r="C214" i="20"/>
  <c r="G213" i="20"/>
  <c r="E213" i="20"/>
  <c r="C213" i="20"/>
  <c r="G212" i="20"/>
  <c r="E212" i="20"/>
  <c r="C212" i="20"/>
  <c r="G211" i="20"/>
  <c r="E211" i="20"/>
  <c r="C211" i="20"/>
  <c r="G210" i="20"/>
  <c r="E210" i="20"/>
  <c r="C210" i="20"/>
  <c r="G209" i="20"/>
  <c r="E209" i="20"/>
  <c r="C209" i="20"/>
  <c r="G208" i="20"/>
  <c r="E208" i="20"/>
  <c r="C208" i="20"/>
  <c r="G207" i="20"/>
  <c r="E207" i="20"/>
  <c r="C207" i="20"/>
  <c r="G206" i="20"/>
  <c r="E206" i="20"/>
  <c r="C206" i="20"/>
  <c r="G205" i="20"/>
  <c r="E205" i="20"/>
  <c r="C205" i="20"/>
  <c r="G204" i="20"/>
  <c r="E204" i="20"/>
  <c r="C204" i="20"/>
  <c r="G203" i="20"/>
  <c r="E203" i="20"/>
  <c r="C203" i="20"/>
  <c r="G202" i="20"/>
  <c r="E202" i="20"/>
  <c r="C202" i="20"/>
  <c r="G201" i="20"/>
  <c r="E201" i="20"/>
  <c r="C201" i="20"/>
  <c r="G200" i="20"/>
  <c r="E200" i="20"/>
  <c r="C200" i="20"/>
  <c r="G199" i="20"/>
  <c r="E199" i="20"/>
  <c r="C199" i="20"/>
  <c r="G198" i="20"/>
  <c r="E198" i="20"/>
  <c r="C198" i="20"/>
  <c r="G197" i="20"/>
  <c r="E197" i="20"/>
  <c r="C197" i="20"/>
  <c r="G196" i="20"/>
  <c r="E196" i="20"/>
  <c r="C196" i="20"/>
  <c r="G195" i="20"/>
  <c r="E195" i="20"/>
  <c r="C195" i="20"/>
  <c r="G194" i="20"/>
  <c r="E194" i="20"/>
  <c r="C194" i="20"/>
  <c r="G193" i="20"/>
  <c r="E193" i="20"/>
  <c r="C193" i="20"/>
  <c r="G192" i="20"/>
  <c r="E192" i="20"/>
  <c r="C192" i="20"/>
  <c r="G191" i="20"/>
  <c r="E191" i="20"/>
  <c r="C191" i="20"/>
  <c r="G190" i="20"/>
  <c r="E190" i="20"/>
  <c r="C190" i="20"/>
  <c r="G189" i="20"/>
  <c r="E189" i="20"/>
  <c r="C189" i="20"/>
  <c r="G188" i="20"/>
  <c r="E188" i="20"/>
  <c r="G187" i="20"/>
  <c r="E187" i="20"/>
  <c r="G186" i="20"/>
  <c r="E186" i="20"/>
  <c r="G185" i="20"/>
  <c r="E185" i="20"/>
  <c r="J184" i="20"/>
  <c r="I184" i="20"/>
  <c r="H184" i="20"/>
  <c r="G184" i="20"/>
  <c r="E184" i="20"/>
  <c r="J183" i="20"/>
  <c r="I183" i="20"/>
  <c r="H183" i="20"/>
  <c r="G183" i="20"/>
  <c r="E183" i="20"/>
  <c r="G182" i="20"/>
  <c r="E182" i="20"/>
  <c r="C182" i="20"/>
  <c r="G181" i="20"/>
  <c r="E181" i="20"/>
  <c r="C181" i="20"/>
  <c r="G180" i="20"/>
  <c r="E180" i="20"/>
  <c r="C180" i="20"/>
  <c r="G179" i="20"/>
  <c r="E179" i="20"/>
  <c r="C179" i="20"/>
  <c r="G178" i="20"/>
  <c r="E178" i="20"/>
  <c r="C178" i="20"/>
  <c r="G177" i="20"/>
  <c r="E177" i="20"/>
  <c r="C177" i="20"/>
  <c r="G176" i="20"/>
  <c r="E176" i="20"/>
  <c r="C176" i="20"/>
  <c r="G175" i="20"/>
  <c r="E175" i="20"/>
  <c r="C175" i="20"/>
  <c r="G174" i="20"/>
  <c r="E174" i="20"/>
  <c r="C174" i="20"/>
  <c r="G173" i="20"/>
  <c r="E173" i="20"/>
  <c r="C173" i="20"/>
  <c r="G172" i="20"/>
  <c r="E172" i="20"/>
  <c r="C172" i="20"/>
  <c r="G171" i="20"/>
  <c r="E171" i="20"/>
  <c r="C171" i="20"/>
  <c r="G170" i="20"/>
  <c r="E170" i="20"/>
  <c r="C170" i="20"/>
  <c r="G169" i="20"/>
  <c r="E169" i="20"/>
  <c r="C169" i="20"/>
  <c r="G168" i="20"/>
  <c r="E168" i="20"/>
  <c r="C168" i="20"/>
  <c r="G167" i="20"/>
  <c r="E167" i="20"/>
  <c r="C167" i="20"/>
  <c r="G166" i="20"/>
  <c r="E166" i="20"/>
  <c r="C166" i="20"/>
  <c r="G165" i="20"/>
  <c r="E165" i="20"/>
  <c r="C165" i="20"/>
  <c r="G164" i="20"/>
  <c r="E164" i="20"/>
  <c r="C164" i="20"/>
  <c r="G163" i="20"/>
  <c r="E163" i="20"/>
  <c r="C163" i="20"/>
  <c r="G162" i="20"/>
  <c r="E162" i="20"/>
  <c r="C162" i="20"/>
  <c r="G161" i="20"/>
  <c r="E161" i="20"/>
  <c r="C161" i="20"/>
  <c r="G160" i="20"/>
  <c r="E160" i="20"/>
  <c r="C160" i="20"/>
  <c r="G159" i="20"/>
  <c r="E159" i="20"/>
  <c r="C159" i="20"/>
  <c r="G158" i="20"/>
  <c r="E158" i="20"/>
  <c r="C158" i="20"/>
  <c r="G157" i="20"/>
  <c r="E157" i="20"/>
  <c r="C157" i="20"/>
  <c r="G156" i="20"/>
  <c r="E156" i="20"/>
  <c r="C156" i="20"/>
  <c r="G155" i="20"/>
  <c r="E155" i="20"/>
  <c r="C155" i="20"/>
  <c r="G154" i="20"/>
  <c r="E154" i="20"/>
  <c r="C154" i="20"/>
  <c r="G153" i="20"/>
  <c r="E153" i="20"/>
  <c r="C153" i="20"/>
  <c r="G152" i="20"/>
  <c r="E152" i="20"/>
  <c r="C152" i="20"/>
  <c r="G151" i="20"/>
  <c r="E151" i="20"/>
  <c r="C151" i="20"/>
  <c r="G150" i="20"/>
  <c r="E150" i="20"/>
  <c r="C150" i="20"/>
  <c r="G149" i="20"/>
  <c r="E149" i="20"/>
  <c r="C149" i="20"/>
  <c r="G148" i="20"/>
  <c r="E148" i="20"/>
  <c r="C148" i="20"/>
  <c r="G147" i="20"/>
  <c r="E147" i="20"/>
  <c r="C147" i="20"/>
  <c r="G146" i="20"/>
  <c r="E146" i="20"/>
  <c r="C146" i="20"/>
  <c r="G145" i="20"/>
  <c r="E145" i="20"/>
  <c r="C145" i="20"/>
  <c r="G144" i="20"/>
  <c r="E144" i="20"/>
  <c r="C144" i="20"/>
  <c r="G143" i="20"/>
  <c r="E143" i="20"/>
  <c r="C143" i="20"/>
  <c r="G142" i="20"/>
  <c r="E142" i="20"/>
  <c r="C142" i="20"/>
  <c r="G141" i="20"/>
  <c r="E141" i="20"/>
  <c r="C141" i="20"/>
  <c r="H140" i="20"/>
  <c r="G140" i="20"/>
  <c r="E140" i="20"/>
  <c r="J139" i="20"/>
  <c r="I139" i="20"/>
  <c r="H139" i="20"/>
  <c r="G139" i="20"/>
  <c r="E139" i="20"/>
  <c r="J138" i="20"/>
  <c r="I138" i="20"/>
  <c r="H138" i="20"/>
  <c r="G138" i="20"/>
  <c r="E138" i="20"/>
  <c r="J137" i="20"/>
  <c r="I137" i="20"/>
  <c r="H137" i="20"/>
  <c r="G137" i="20"/>
  <c r="E137" i="20"/>
  <c r="J136" i="20"/>
  <c r="I136" i="20"/>
  <c r="H136" i="20"/>
  <c r="G136" i="20"/>
  <c r="E136" i="20"/>
  <c r="J135" i="20"/>
  <c r="I135" i="20"/>
  <c r="H135" i="20"/>
  <c r="G135" i="20"/>
  <c r="E135" i="20"/>
  <c r="J134" i="20"/>
  <c r="I134" i="20"/>
  <c r="H134" i="20"/>
  <c r="G134" i="20"/>
  <c r="E134" i="20"/>
  <c r="J133" i="20"/>
  <c r="I133" i="20"/>
  <c r="H133" i="20"/>
  <c r="G133" i="20"/>
  <c r="E133" i="20"/>
  <c r="J132" i="20"/>
  <c r="H132" i="20"/>
  <c r="G132" i="20"/>
  <c r="E132" i="20"/>
  <c r="J131" i="20"/>
  <c r="I131" i="20"/>
  <c r="H131" i="20"/>
  <c r="G131" i="20"/>
  <c r="E131" i="20"/>
  <c r="J130" i="20"/>
  <c r="I130" i="20"/>
  <c r="H130" i="20"/>
  <c r="G130" i="20"/>
  <c r="E130" i="20"/>
  <c r="J129" i="20"/>
  <c r="I129" i="20"/>
  <c r="H129" i="20"/>
  <c r="G129" i="20"/>
  <c r="E129" i="20"/>
  <c r="J128" i="20"/>
  <c r="I128" i="20"/>
  <c r="H128" i="20"/>
  <c r="G128" i="20"/>
  <c r="E128" i="20"/>
  <c r="J127" i="20"/>
  <c r="I127" i="20"/>
  <c r="H127" i="20"/>
  <c r="G127" i="20"/>
  <c r="E127" i="20"/>
  <c r="J126" i="20"/>
  <c r="I126" i="20"/>
  <c r="H126" i="20"/>
  <c r="G126" i="20"/>
  <c r="E126" i="20"/>
  <c r="J125" i="20"/>
  <c r="I125" i="20"/>
  <c r="H125" i="20"/>
  <c r="G125" i="20"/>
  <c r="E125" i="20"/>
  <c r="I124" i="20"/>
  <c r="H124" i="20"/>
  <c r="G124" i="20"/>
  <c r="E124" i="20"/>
  <c r="J123" i="20"/>
  <c r="I123" i="20"/>
  <c r="H123" i="20"/>
  <c r="G123" i="20"/>
  <c r="E123" i="20"/>
  <c r="J122" i="20"/>
  <c r="I122" i="20"/>
  <c r="H122" i="20"/>
  <c r="G122" i="20"/>
  <c r="E122" i="20"/>
  <c r="J121" i="20"/>
  <c r="I121" i="20"/>
  <c r="H121" i="20"/>
  <c r="G121" i="20"/>
  <c r="E121" i="20"/>
  <c r="J120" i="20"/>
  <c r="I120" i="20"/>
  <c r="H120" i="20"/>
  <c r="G120" i="20"/>
  <c r="E120" i="20"/>
  <c r="J119" i="20"/>
  <c r="I119" i="20"/>
  <c r="H119" i="20"/>
  <c r="G119" i="20"/>
  <c r="E119" i="20"/>
  <c r="J118" i="20"/>
  <c r="I118" i="20"/>
  <c r="H118" i="20"/>
  <c r="G118" i="20"/>
  <c r="E118" i="20"/>
  <c r="J117" i="20"/>
  <c r="I117" i="20"/>
  <c r="H117" i="20"/>
  <c r="G117" i="20"/>
  <c r="E117" i="20"/>
  <c r="J116" i="20"/>
  <c r="H116" i="20"/>
  <c r="G116" i="20"/>
  <c r="E116" i="20"/>
  <c r="J115" i="20"/>
  <c r="I115" i="20"/>
  <c r="H115" i="20"/>
  <c r="G115" i="20"/>
  <c r="E115" i="20"/>
  <c r="J114" i="20"/>
  <c r="I114" i="20"/>
  <c r="H114" i="20"/>
  <c r="G114" i="20"/>
  <c r="E114" i="20"/>
  <c r="J113" i="20"/>
  <c r="I113" i="20"/>
  <c r="H113" i="20"/>
  <c r="G113" i="20"/>
  <c r="E113" i="20"/>
  <c r="J112" i="20"/>
  <c r="I112" i="20"/>
  <c r="H112" i="20"/>
  <c r="G112" i="20"/>
  <c r="E112" i="20"/>
  <c r="J111" i="20"/>
  <c r="I111" i="20"/>
  <c r="H111" i="20"/>
  <c r="G111" i="20"/>
  <c r="E111" i="20"/>
  <c r="J110" i="20"/>
  <c r="I110" i="20"/>
  <c r="H110" i="20"/>
  <c r="G110" i="20"/>
  <c r="E110" i="20"/>
  <c r="J109" i="20"/>
  <c r="I109" i="20"/>
  <c r="H109" i="20"/>
  <c r="G109" i="20"/>
  <c r="E109" i="20"/>
  <c r="J108" i="20"/>
  <c r="I108" i="20"/>
  <c r="H108" i="20"/>
  <c r="G108" i="20"/>
  <c r="E108" i="20"/>
  <c r="J107" i="20"/>
  <c r="I107" i="20"/>
  <c r="H107" i="20"/>
  <c r="G107" i="20"/>
  <c r="E107" i="20"/>
  <c r="J106" i="20"/>
  <c r="I106" i="20"/>
  <c r="H106" i="20"/>
  <c r="G106" i="20"/>
  <c r="E106" i="20"/>
  <c r="J105" i="20"/>
  <c r="I105" i="20"/>
  <c r="H105" i="20"/>
  <c r="G105" i="20"/>
  <c r="E105" i="20"/>
  <c r="J104" i="20"/>
  <c r="I104" i="20"/>
  <c r="H104" i="20"/>
  <c r="G104" i="20"/>
  <c r="E104" i="20"/>
  <c r="J103" i="20"/>
  <c r="I103" i="20"/>
  <c r="H103" i="20"/>
  <c r="G103" i="20"/>
  <c r="E103" i="20"/>
  <c r="J102" i="20"/>
  <c r="I102" i="20"/>
  <c r="H102" i="20"/>
  <c r="G102" i="20"/>
  <c r="E102" i="20"/>
  <c r="J101" i="20"/>
  <c r="G101" i="20"/>
  <c r="E101" i="20"/>
  <c r="J100" i="20"/>
  <c r="I100" i="20"/>
  <c r="H100" i="20"/>
  <c r="G100" i="20"/>
  <c r="E100" i="20"/>
  <c r="J99" i="20"/>
  <c r="I99" i="20"/>
  <c r="H99" i="20"/>
  <c r="G99" i="20"/>
  <c r="E99" i="20"/>
  <c r="J98" i="20"/>
  <c r="I98" i="20"/>
  <c r="H98" i="20"/>
  <c r="G98" i="20"/>
  <c r="E98" i="20"/>
  <c r="J97" i="20"/>
  <c r="I97" i="20"/>
  <c r="H97" i="20"/>
  <c r="G97" i="20"/>
  <c r="E97" i="20"/>
  <c r="J96" i="20"/>
  <c r="I96" i="20"/>
  <c r="H96" i="20"/>
  <c r="G96" i="20"/>
  <c r="E96" i="20"/>
  <c r="J95" i="20"/>
  <c r="I95" i="20"/>
  <c r="H95" i="20"/>
  <c r="G95" i="20"/>
  <c r="E95" i="20"/>
  <c r="G94" i="20"/>
  <c r="E94" i="20"/>
  <c r="J93" i="20"/>
  <c r="I93" i="20"/>
  <c r="H93" i="20"/>
  <c r="G93" i="20"/>
  <c r="E93" i="20"/>
  <c r="G92" i="20"/>
  <c r="E92" i="20"/>
  <c r="G91" i="20"/>
  <c r="E91" i="20"/>
  <c r="G90" i="20"/>
  <c r="E90" i="20"/>
  <c r="J89" i="20"/>
  <c r="I89" i="20"/>
  <c r="H89" i="20"/>
  <c r="G89" i="20"/>
  <c r="E89" i="20"/>
  <c r="G88" i="20"/>
  <c r="E88" i="20"/>
  <c r="G87" i="20"/>
  <c r="E87" i="20"/>
  <c r="G86" i="20"/>
  <c r="E86" i="20"/>
  <c r="J85" i="20"/>
  <c r="I85" i="20"/>
  <c r="H85" i="20"/>
  <c r="G85" i="20"/>
  <c r="E85" i="20"/>
  <c r="G84" i="20"/>
  <c r="E84" i="20"/>
  <c r="G83" i="20"/>
  <c r="E83" i="20"/>
  <c r="G82" i="20"/>
  <c r="E82" i="20"/>
  <c r="J81" i="20"/>
  <c r="I81" i="20"/>
  <c r="H81" i="20"/>
  <c r="G81" i="20"/>
  <c r="E81" i="20"/>
  <c r="G80" i="20"/>
  <c r="E80" i="20"/>
  <c r="G79" i="20"/>
  <c r="E79" i="20"/>
  <c r="G78" i="20"/>
  <c r="E78" i="20"/>
  <c r="J77" i="20"/>
  <c r="I77" i="20"/>
  <c r="H77" i="20"/>
  <c r="G77" i="20"/>
  <c r="E77" i="20"/>
  <c r="G76" i="20"/>
  <c r="E76" i="20"/>
  <c r="G75" i="20"/>
  <c r="E75" i="20"/>
  <c r="G74" i="20"/>
  <c r="E74" i="20"/>
  <c r="J73" i="20"/>
  <c r="I73" i="20"/>
  <c r="H73" i="20"/>
  <c r="G73" i="20"/>
  <c r="E73" i="20"/>
  <c r="G72" i="20"/>
  <c r="E72" i="20"/>
  <c r="G71" i="20"/>
  <c r="E71" i="20"/>
  <c r="G70" i="20"/>
  <c r="E70" i="20"/>
  <c r="J69" i="20"/>
  <c r="I69" i="20"/>
  <c r="H69" i="20"/>
  <c r="G69" i="20"/>
  <c r="E69" i="20"/>
  <c r="G68" i="20"/>
  <c r="E68" i="20"/>
  <c r="G67" i="20"/>
  <c r="E67" i="20"/>
  <c r="G66" i="20"/>
  <c r="E66" i="20"/>
  <c r="J65" i="20"/>
  <c r="I65" i="20"/>
  <c r="H65" i="20"/>
  <c r="G65" i="20"/>
  <c r="E65" i="20"/>
  <c r="G64" i="20"/>
  <c r="E64" i="20"/>
  <c r="G63" i="20"/>
  <c r="E63" i="20"/>
  <c r="G62" i="20"/>
  <c r="E62" i="20"/>
  <c r="J61" i="20"/>
  <c r="I61" i="20"/>
  <c r="H61" i="20"/>
  <c r="G61" i="20"/>
  <c r="E61" i="20"/>
  <c r="G60" i="20"/>
  <c r="E60" i="20"/>
  <c r="G59" i="20"/>
  <c r="E59" i="20"/>
  <c r="G58" i="20"/>
  <c r="E58" i="20"/>
  <c r="J57" i="20"/>
  <c r="I57" i="20"/>
  <c r="H57" i="20"/>
  <c r="G57" i="20"/>
  <c r="E57" i="20"/>
  <c r="G56" i="20"/>
  <c r="E56" i="20"/>
  <c r="G55" i="20"/>
  <c r="E55" i="20"/>
  <c r="G54" i="20"/>
  <c r="E54" i="20"/>
  <c r="J53" i="20"/>
  <c r="I53" i="20"/>
  <c r="H53" i="20"/>
  <c r="G53" i="20"/>
  <c r="E53" i="20"/>
  <c r="G52" i="20"/>
  <c r="E52" i="20"/>
  <c r="G51" i="20"/>
  <c r="E51" i="20"/>
  <c r="G50" i="20"/>
  <c r="E50" i="20"/>
  <c r="J49" i="20"/>
  <c r="I49" i="20"/>
  <c r="H49" i="20"/>
  <c r="G49" i="20"/>
  <c r="E49" i="20"/>
  <c r="G48" i="20"/>
  <c r="E48" i="20"/>
  <c r="G47" i="20"/>
  <c r="E47" i="20"/>
  <c r="G46" i="20"/>
  <c r="E46" i="20"/>
  <c r="J45" i="20"/>
  <c r="I45" i="20"/>
  <c r="H45" i="20"/>
  <c r="G45" i="20"/>
  <c r="E45" i="20"/>
  <c r="G44" i="20"/>
  <c r="E44" i="20"/>
  <c r="G43" i="20"/>
  <c r="E43" i="20"/>
  <c r="G42" i="20"/>
  <c r="E42" i="20"/>
  <c r="J41" i="20"/>
  <c r="I41" i="20"/>
  <c r="H41" i="20"/>
  <c r="G41" i="20"/>
  <c r="E41" i="20"/>
  <c r="G40" i="20"/>
  <c r="E40" i="20"/>
  <c r="G39" i="20"/>
  <c r="E39" i="20"/>
  <c r="G38" i="20"/>
  <c r="E38" i="20"/>
  <c r="J37" i="20"/>
  <c r="I37" i="20"/>
  <c r="H37" i="20"/>
  <c r="G37" i="20"/>
  <c r="E37" i="20"/>
  <c r="G36" i="20"/>
  <c r="E36" i="20"/>
  <c r="G35" i="20"/>
  <c r="E35" i="20"/>
  <c r="G34" i="20"/>
  <c r="E34" i="20"/>
  <c r="J33" i="20"/>
  <c r="I33" i="20"/>
  <c r="H33" i="20"/>
  <c r="G33" i="20"/>
  <c r="E33" i="20"/>
  <c r="G32" i="20"/>
  <c r="E32" i="20"/>
  <c r="G31" i="20"/>
  <c r="E31" i="20"/>
  <c r="G30" i="20"/>
  <c r="E30" i="20"/>
  <c r="J29" i="20"/>
  <c r="I29" i="20"/>
  <c r="H29" i="20"/>
  <c r="G29" i="20"/>
  <c r="E29" i="20"/>
  <c r="G28" i="20"/>
  <c r="E28" i="20"/>
  <c r="G27" i="20"/>
  <c r="E27" i="20"/>
  <c r="G26" i="20"/>
  <c r="E26" i="20"/>
  <c r="J25" i="20"/>
  <c r="I25" i="20"/>
  <c r="H25" i="20"/>
  <c r="G25" i="20"/>
  <c r="E25" i="20"/>
  <c r="G24" i="20"/>
  <c r="E24" i="20"/>
  <c r="G23" i="20"/>
  <c r="E23" i="20"/>
  <c r="G22" i="20"/>
  <c r="E22" i="20"/>
  <c r="J21" i="20"/>
  <c r="I21" i="20"/>
  <c r="H21" i="20"/>
  <c r="G21" i="20"/>
  <c r="E21" i="20"/>
  <c r="G20" i="20"/>
  <c r="E20" i="20"/>
  <c r="G19" i="20"/>
  <c r="E19" i="20"/>
  <c r="G18" i="20"/>
  <c r="E18" i="20"/>
  <c r="J17" i="20"/>
  <c r="I17" i="20"/>
  <c r="H17" i="20"/>
  <c r="G17" i="20"/>
  <c r="E17" i="20"/>
  <c r="G16" i="20"/>
  <c r="E16" i="20"/>
  <c r="G15" i="20"/>
  <c r="E15" i="20"/>
  <c r="G14" i="20"/>
  <c r="E14" i="20"/>
  <c r="J13" i="20"/>
  <c r="I13" i="20"/>
  <c r="H13" i="20"/>
  <c r="G13" i="20"/>
  <c r="E13" i="20"/>
  <c r="G12" i="20"/>
  <c r="E12" i="20"/>
  <c r="G11" i="20"/>
  <c r="E11" i="20"/>
  <c r="G10" i="20"/>
  <c r="E10" i="20"/>
  <c r="J9" i="20"/>
  <c r="I9" i="20"/>
  <c r="H9" i="20"/>
  <c r="G9" i="20"/>
  <c r="E9" i="20"/>
  <c r="J8" i="20"/>
  <c r="I8" i="20"/>
  <c r="H8" i="20"/>
  <c r="G8" i="20"/>
  <c r="E8" i="20"/>
  <c r="J7" i="20"/>
  <c r="I7" i="20"/>
  <c r="H7" i="20"/>
  <c r="G7" i="20"/>
  <c r="E7" i="20"/>
  <c r="J6" i="20"/>
  <c r="I6" i="20"/>
  <c r="H6" i="20"/>
  <c r="G6" i="20"/>
  <c r="E6" i="20"/>
  <c r="J5" i="20"/>
  <c r="I5" i="20"/>
  <c r="H5" i="20"/>
  <c r="G5" i="20"/>
  <c r="E5" i="20"/>
  <c r="G4" i="20"/>
  <c r="E4" i="20"/>
  <c r="J3" i="20"/>
  <c r="G3" i="20"/>
  <c r="E3" i="20"/>
  <c r="J2" i="20"/>
  <c r="I2" i="20"/>
  <c r="H2" i="20"/>
  <c r="W3" i="34" a="1"/>
  <c r="B2" i="18" a="1"/>
  <c r="B8" i="1" a="1"/>
  <c r="D2" i="18" a="1"/>
  <c r="C2" i="18" a="1"/>
  <c r="I140" i="20" l="1"/>
  <c r="H101" i="20"/>
  <c r="J443" i="20"/>
  <c r="I443" i="20"/>
  <c r="H443" i="20"/>
  <c r="H95" i="29"/>
  <c r="J485" i="20"/>
  <c r="I485" i="20"/>
  <c r="H485" i="20"/>
  <c r="W5" i="38"/>
  <c r="H23" i="29"/>
  <c r="H59" i="29"/>
  <c r="H88" i="29"/>
  <c r="H76" i="29"/>
  <c r="H64" i="29"/>
  <c r="H52" i="29"/>
  <c r="H40" i="29"/>
  <c r="H28" i="29"/>
  <c r="H16" i="29"/>
  <c r="H4" i="29"/>
  <c r="H99" i="29"/>
  <c r="H87" i="29"/>
  <c r="H75" i="29"/>
  <c r="H63" i="29"/>
  <c r="H51" i="29"/>
  <c r="H39" i="29"/>
  <c r="H27" i="29"/>
  <c r="H15" i="29"/>
  <c r="H3" i="29"/>
  <c r="H98" i="29"/>
  <c r="H86" i="29"/>
  <c r="H74" i="29"/>
  <c r="H62" i="29"/>
  <c r="H50" i="29"/>
  <c r="H38" i="29"/>
  <c r="H26" i="29"/>
  <c r="H14" i="29"/>
  <c r="H2" i="29"/>
  <c r="H96" i="29"/>
  <c r="H84" i="29"/>
  <c r="H72" i="29"/>
  <c r="H60" i="29"/>
  <c r="H48" i="29"/>
  <c r="H36" i="29"/>
  <c r="H24" i="29"/>
  <c r="H12" i="29"/>
  <c r="H94" i="29"/>
  <c r="H82" i="29"/>
  <c r="H70" i="29"/>
  <c r="H58" i="29"/>
  <c r="H46" i="29"/>
  <c r="H34" i="29"/>
  <c r="H22" i="29"/>
  <c r="H10" i="29"/>
  <c r="H93" i="29"/>
  <c r="H81" i="29"/>
  <c r="H69" i="29"/>
  <c r="H57" i="29"/>
  <c r="H45" i="29"/>
  <c r="H33" i="29"/>
  <c r="H21" i="29"/>
  <c r="H9" i="29"/>
  <c r="H92" i="29"/>
  <c r="H80" i="29"/>
  <c r="H68" i="29"/>
  <c r="H56" i="29"/>
  <c r="H44" i="29"/>
  <c r="H32" i="29"/>
  <c r="H20" i="29"/>
  <c r="H8" i="29"/>
  <c r="H91" i="29"/>
  <c r="H79" i="29"/>
  <c r="H67" i="29"/>
  <c r="H55" i="29"/>
  <c r="H43" i="29"/>
  <c r="H31" i="29"/>
  <c r="H19" i="29"/>
  <c r="H7" i="29"/>
  <c r="H89" i="29"/>
  <c r="H53" i="29"/>
  <c r="H17" i="29"/>
  <c r="H85" i="29"/>
  <c r="H49" i="29"/>
  <c r="H13" i="29"/>
  <c r="H83" i="29"/>
  <c r="H47" i="29"/>
  <c r="H11" i="29"/>
  <c r="H78" i="29"/>
  <c r="H42" i="29"/>
  <c r="H6" i="29"/>
  <c r="H77" i="29"/>
  <c r="H41" i="29"/>
  <c r="H5" i="29"/>
  <c r="H73" i="29"/>
  <c r="H37" i="29"/>
  <c r="H71" i="29"/>
  <c r="H35" i="29"/>
  <c r="H66" i="29"/>
  <c r="H30" i="29"/>
  <c r="H65" i="29"/>
  <c r="H29" i="29"/>
  <c r="H97" i="29"/>
  <c r="H61" i="29"/>
  <c r="H25" i="29"/>
  <c r="H90" i="29"/>
  <c r="H54" i="29"/>
  <c r="H18" i="29"/>
  <c r="J16" i="9"/>
  <c r="J11" i="9"/>
  <c r="J15" i="9"/>
  <c r="I348" i="20" s="1"/>
  <c r="J344" i="20"/>
  <c r="J244" i="20"/>
  <c r="J236" i="20"/>
  <c r="I308" i="20"/>
  <c r="I278" i="20"/>
  <c r="I260" i="20"/>
  <c r="H344" i="20"/>
  <c r="H328" i="20"/>
  <c r="H320" i="20"/>
  <c r="H236" i="20"/>
  <c r="J9" i="9"/>
  <c r="O9" i="9" s="1"/>
  <c r="J8" i="9"/>
  <c r="H317" i="20"/>
  <c r="H305" i="20"/>
  <c r="H269" i="20"/>
  <c r="J486" i="20"/>
  <c r="I486" i="20"/>
  <c r="H486" i="20"/>
  <c r="V6" i="38"/>
  <c r="H351" i="20"/>
  <c r="E18" i="26"/>
  <c r="C8" i="26" s="1"/>
  <c r="D18" i="26"/>
  <c r="I371" i="20"/>
  <c r="J379" i="20"/>
  <c r="H379" i="20"/>
  <c r="I383" i="20"/>
  <c r="I395" i="20"/>
  <c r="I415" i="20"/>
  <c r="L4" i="34"/>
  <c r="M4" i="34" s="1"/>
  <c r="E19" i="26"/>
  <c r="W9" i="38"/>
  <c r="L18" i="9"/>
  <c r="D19" i="26"/>
  <c r="B9" i="26" s="1"/>
  <c r="N6" i="38"/>
  <c r="L6" i="38"/>
  <c r="U9" i="38"/>
  <c r="I10" i="38"/>
  <c r="W13" i="38"/>
  <c r="V14" i="38"/>
  <c r="E15" i="26"/>
  <c r="D15" i="26"/>
  <c r="C23" i="26"/>
  <c r="M6" i="38"/>
  <c r="N10" i="38"/>
  <c r="L10" i="38"/>
  <c r="W17" i="38"/>
  <c r="J376" i="20"/>
  <c r="I388" i="20"/>
  <c r="H388" i="20"/>
  <c r="H392" i="20"/>
  <c r="J404" i="20"/>
  <c r="I412" i="20"/>
  <c r="B10" i="26"/>
  <c r="M10" i="38"/>
  <c r="N14" i="38"/>
  <c r="R13" i="38" s="1"/>
  <c r="L14" i="38"/>
  <c r="U14" i="38" s="1"/>
  <c r="D20" i="34"/>
  <c r="D28" i="34"/>
  <c r="D26" i="34"/>
  <c r="J484" i="20"/>
  <c r="I484" i="20"/>
  <c r="H484" i="20"/>
  <c r="C10" i="26"/>
  <c r="W4" i="38"/>
  <c r="D16" i="26"/>
  <c r="T4" i="38"/>
  <c r="N4" i="38"/>
  <c r="M4" i="38"/>
  <c r="W8" i="38"/>
  <c r="J373" i="20"/>
  <c r="H377" i="20"/>
  <c r="J401" i="20"/>
  <c r="J409" i="20"/>
  <c r="I409" i="20"/>
  <c r="J413" i="20"/>
  <c r="E21" i="26"/>
  <c r="D21" i="26"/>
  <c r="L4" i="38"/>
  <c r="E7" i="38"/>
  <c r="T7" i="38"/>
  <c r="D7" i="38"/>
  <c r="C7" i="38"/>
  <c r="G6" i="38" s="1"/>
  <c r="T8" i="38"/>
  <c r="N8" i="38"/>
  <c r="R7" i="38" s="1"/>
  <c r="M8" i="38"/>
  <c r="W12" i="38"/>
  <c r="L8" i="38"/>
  <c r="E11" i="38"/>
  <c r="T11" i="38"/>
  <c r="D11" i="38"/>
  <c r="C11" i="38"/>
  <c r="T12" i="38"/>
  <c r="N12" i="38"/>
  <c r="M12" i="38"/>
  <c r="J452" i="20"/>
  <c r="I452" i="20"/>
  <c r="I360" i="20"/>
  <c r="I363" i="20"/>
  <c r="D6" i="21"/>
  <c r="L12" i="38"/>
  <c r="E15" i="38"/>
  <c r="T15" i="38"/>
  <c r="D15" i="38"/>
  <c r="C15" i="38"/>
  <c r="T16" i="38"/>
  <c r="N16" i="38"/>
  <c r="M16" i="38"/>
  <c r="L7" i="9"/>
  <c r="J370" i="20"/>
  <c r="H370" i="20"/>
  <c r="I374" i="20"/>
  <c r="H374" i="20"/>
  <c r="J382" i="20"/>
  <c r="I382" i="20"/>
  <c r="H386" i="20"/>
  <c r="J394" i="20"/>
  <c r="H394" i="20"/>
  <c r="J406" i="20"/>
  <c r="I406" i="20"/>
  <c r="H406" i="20"/>
  <c r="I410" i="20"/>
  <c r="H410" i="20"/>
  <c r="I422" i="20"/>
  <c r="H422" i="20"/>
  <c r="D22" i="26"/>
  <c r="B11" i="26" s="1"/>
  <c r="L12" i="9"/>
  <c r="K9" i="9"/>
  <c r="K11" i="9"/>
  <c r="H254" i="20" s="1"/>
  <c r="L9" i="9"/>
  <c r="L11" i="9"/>
  <c r="L16" i="9"/>
  <c r="J14" i="9"/>
  <c r="D5" i="38"/>
  <c r="H6" i="38" s="1"/>
  <c r="T5" i="38"/>
  <c r="W6" i="38"/>
  <c r="L7" i="38"/>
  <c r="D9" i="38"/>
  <c r="H17" i="38" s="1"/>
  <c r="T9" i="38"/>
  <c r="W10" i="38"/>
  <c r="L11" i="38"/>
  <c r="T13" i="38"/>
  <c r="L15" i="38"/>
  <c r="T17" i="38"/>
  <c r="A5" i="9"/>
  <c r="J290" i="20" s="1"/>
  <c r="J7" i="9"/>
  <c r="J12" i="9"/>
  <c r="J314" i="20" s="1"/>
  <c r="K14" i="9"/>
  <c r="K7" i="9"/>
  <c r="K12" i="9"/>
  <c r="L14" i="9"/>
  <c r="J17" i="9"/>
  <c r="H398" i="20" s="1"/>
  <c r="J10" i="9"/>
  <c r="L17" i="9"/>
  <c r="V4" i="38"/>
  <c r="V12" i="38"/>
  <c r="V16" i="38"/>
  <c r="K8" i="9"/>
  <c r="L10" i="9"/>
  <c r="K13" i="9"/>
  <c r="K15" i="9"/>
  <c r="J18" i="9"/>
  <c r="J407" i="20" s="1"/>
  <c r="B4" i="8"/>
  <c r="H3" i="20" s="1"/>
  <c r="L13" i="38"/>
  <c r="P13" i="38" s="1"/>
  <c r="L17" i="38"/>
  <c r="U17" i="38" s="1"/>
  <c r="L8" i="9"/>
  <c r="L13" i="9"/>
  <c r="H284" i="20" s="1"/>
  <c r="L15" i="9"/>
  <c r="K18" i="9"/>
  <c r="C4" i="8"/>
  <c r="I3" i="20" s="1"/>
  <c r="J6" i="9"/>
  <c r="W3" i="34"/>
  <c r="B2" i="18"/>
  <c r="B4" i="18" s="1"/>
  <c r="B8" i="1"/>
  <c r="C2" i="18"/>
  <c r="C4" i="18" s="1"/>
  <c r="I4" i="20" s="1"/>
  <c r="D2" i="18"/>
  <c r="D4" i="18" s="1"/>
  <c r="J4" i="20" s="1"/>
  <c r="P7" i="38" l="1"/>
  <c r="I398" i="20"/>
  <c r="J363" i="20"/>
  <c r="I7" i="38"/>
  <c r="W7" i="38"/>
  <c r="AA6" i="38" s="1"/>
  <c r="I5" i="38"/>
  <c r="I9" i="38"/>
  <c r="I16" i="38"/>
  <c r="I14" i="38"/>
  <c r="I13" i="38"/>
  <c r="I12" i="38"/>
  <c r="J397" i="20"/>
  <c r="I8" i="38"/>
  <c r="I359" i="20"/>
  <c r="G8" i="38"/>
  <c r="J392" i="20"/>
  <c r="Q6" i="38"/>
  <c r="J415" i="20"/>
  <c r="I379" i="20"/>
  <c r="H240" i="20"/>
  <c r="H332" i="20"/>
  <c r="I314" i="20"/>
  <c r="J248" i="20"/>
  <c r="R17" i="38"/>
  <c r="I11" i="38"/>
  <c r="W11" i="38"/>
  <c r="P4" i="38"/>
  <c r="P5" i="38"/>
  <c r="P9" i="38"/>
  <c r="U4" i="38"/>
  <c r="Y17" i="38" s="1"/>
  <c r="H389" i="20"/>
  <c r="R5" i="38"/>
  <c r="E23" i="26"/>
  <c r="C3" i="26" s="1"/>
  <c r="D23" i="26"/>
  <c r="B3" i="26" s="1"/>
  <c r="I407" i="20"/>
  <c r="J251" i="20"/>
  <c r="H248" i="20"/>
  <c r="H336" i="20"/>
  <c r="I324" i="20"/>
  <c r="J254" i="20"/>
  <c r="P8" i="38"/>
  <c r="U8" i="38"/>
  <c r="J389" i="20"/>
  <c r="Q4" i="38"/>
  <c r="Q9" i="38"/>
  <c r="Q5" i="38"/>
  <c r="Q11" i="38"/>
  <c r="Q7" i="38"/>
  <c r="Q13" i="38"/>
  <c r="Q15" i="38"/>
  <c r="J263" i="20"/>
  <c r="I328" i="20"/>
  <c r="J284" i="20"/>
  <c r="H5" i="38"/>
  <c r="V5" i="38"/>
  <c r="H4" i="38"/>
  <c r="R16" i="38"/>
  <c r="I17" i="38"/>
  <c r="H385" i="20"/>
  <c r="R11" i="38"/>
  <c r="H416" i="20"/>
  <c r="J388" i="20"/>
  <c r="H403" i="20"/>
  <c r="I364" i="20"/>
  <c r="J281" i="20"/>
  <c r="H260" i="20"/>
  <c r="H356" i="20"/>
  <c r="I332" i="20"/>
  <c r="J417" i="20"/>
  <c r="J411" i="20"/>
  <c r="J405" i="20"/>
  <c r="J399" i="20"/>
  <c r="J393" i="20"/>
  <c r="J387" i="20"/>
  <c r="J381" i="20"/>
  <c r="J375" i="20"/>
  <c r="J369" i="20"/>
  <c r="J365" i="20"/>
  <c r="J361" i="20"/>
  <c r="J357" i="20"/>
  <c r="I417" i="20"/>
  <c r="I411" i="20"/>
  <c r="I405" i="20"/>
  <c r="I399" i="20"/>
  <c r="I393" i="20"/>
  <c r="I387" i="20"/>
  <c r="I381" i="20"/>
  <c r="I375" i="20"/>
  <c r="I369" i="20"/>
  <c r="I365" i="20"/>
  <c r="I361" i="20"/>
  <c r="L5" i="9"/>
  <c r="H417" i="20"/>
  <c r="H411" i="20"/>
  <c r="H405" i="20"/>
  <c r="H399" i="20"/>
  <c r="H393" i="20"/>
  <c r="H387" i="20"/>
  <c r="H381" i="20"/>
  <c r="H375" i="20"/>
  <c r="H369" i="20"/>
  <c r="H365" i="20"/>
  <c r="J5" i="9"/>
  <c r="J420" i="20"/>
  <c r="J414" i="20"/>
  <c r="J408" i="20"/>
  <c r="J402" i="20"/>
  <c r="J396" i="20"/>
  <c r="J390" i="20"/>
  <c r="J384" i="20"/>
  <c r="J378" i="20"/>
  <c r="J372" i="20"/>
  <c r="I420" i="20"/>
  <c r="I414" i="20"/>
  <c r="I408" i="20"/>
  <c r="I402" i="20"/>
  <c r="I396" i="20"/>
  <c r="I390" i="20"/>
  <c r="I384" i="20"/>
  <c r="I378" i="20"/>
  <c r="I372" i="20"/>
  <c r="I366" i="20"/>
  <c r="I362" i="20"/>
  <c r="I358" i="20"/>
  <c r="H420" i="20"/>
  <c r="H414" i="20"/>
  <c r="H408" i="20"/>
  <c r="H402" i="20"/>
  <c r="H396" i="20"/>
  <c r="H390" i="20"/>
  <c r="H384" i="20"/>
  <c r="H378" i="20"/>
  <c r="H372" i="20"/>
  <c r="H366" i="20"/>
  <c r="H362" i="20"/>
  <c r="H358" i="20"/>
  <c r="J186" i="20"/>
  <c r="J362" i="20"/>
  <c r="H359" i="20"/>
  <c r="I186" i="20"/>
  <c r="J354" i="20"/>
  <c r="J350" i="20"/>
  <c r="J346" i="20"/>
  <c r="J342" i="20"/>
  <c r="J338" i="20"/>
  <c r="J334" i="20"/>
  <c r="J330" i="20"/>
  <c r="J326" i="20"/>
  <c r="J322" i="20"/>
  <c r="J318" i="20"/>
  <c r="J316" i="20"/>
  <c r="J312" i="20"/>
  <c r="J310" i="20"/>
  <c r="J306" i="20"/>
  <c r="J304" i="20"/>
  <c r="J300" i="20"/>
  <c r="J298" i="20"/>
  <c r="J294" i="20"/>
  <c r="J292" i="20"/>
  <c r="J288" i="20"/>
  <c r="J286" i="20"/>
  <c r="J282" i="20"/>
  <c r="J280" i="20"/>
  <c r="J276" i="20"/>
  <c r="J274" i="20"/>
  <c r="J270" i="20"/>
  <c r="J268" i="20"/>
  <c r="J264" i="20"/>
  <c r="J262" i="20"/>
  <c r="J258" i="20"/>
  <c r="J256" i="20"/>
  <c r="J252" i="20"/>
  <c r="J250" i="20"/>
  <c r="J246" i="20"/>
  <c r="J242" i="20"/>
  <c r="J238" i="20"/>
  <c r="J234" i="20"/>
  <c r="J230" i="20"/>
  <c r="J226" i="20"/>
  <c r="I354" i="20"/>
  <c r="I350" i="20"/>
  <c r="I346" i="20"/>
  <c r="I342" i="20"/>
  <c r="I338" i="20"/>
  <c r="I334" i="20"/>
  <c r="I330" i="20"/>
  <c r="I326" i="20"/>
  <c r="I322" i="20"/>
  <c r="I318" i="20"/>
  <c r="I316" i="20"/>
  <c r="I312" i="20"/>
  <c r="I310" i="20"/>
  <c r="I306" i="20"/>
  <c r="I304" i="20"/>
  <c r="I300" i="20"/>
  <c r="I298" i="20"/>
  <c r="I294" i="20"/>
  <c r="I292" i="20"/>
  <c r="I288" i="20"/>
  <c r="I286" i="20"/>
  <c r="I282" i="20"/>
  <c r="I280" i="20"/>
  <c r="I276" i="20"/>
  <c r="I274" i="20"/>
  <c r="I270" i="20"/>
  <c r="I268" i="20"/>
  <c r="I264" i="20"/>
  <c r="I262" i="20"/>
  <c r="I258" i="20"/>
  <c r="I256" i="20"/>
  <c r="I252" i="20"/>
  <c r="I250" i="20"/>
  <c r="I246" i="20"/>
  <c r="H354" i="20"/>
  <c r="H350" i="20"/>
  <c r="H346" i="20"/>
  <c r="H342" i="20"/>
  <c r="H338" i="20"/>
  <c r="H334" i="20"/>
  <c r="H330" i="20"/>
  <c r="H326" i="20"/>
  <c r="H322" i="20"/>
  <c r="H318" i="20"/>
  <c r="H316" i="20"/>
  <c r="H312" i="20"/>
  <c r="H310" i="20"/>
  <c r="H306" i="20"/>
  <c r="H304" i="20"/>
  <c r="H300" i="20"/>
  <c r="H298" i="20"/>
  <c r="H294" i="20"/>
  <c r="H292" i="20"/>
  <c r="H288" i="20"/>
  <c r="H286" i="20"/>
  <c r="H282" i="20"/>
  <c r="H280" i="20"/>
  <c r="H276" i="20"/>
  <c r="H274" i="20"/>
  <c r="H270" i="20"/>
  <c r="H268" i="20"/>
  <c r="H264" i="20"/>
  <c r="H262" i="20"/>
  <c r="H258" i="20"/>
  <c r="H256" i="20"/>
  <c r="H252" i="20"/>
  <c r="H250" i="20"/>
  <c r="H246" i="20"/>
  <c r="H242" i="20"/>
  <c r="H238" i="20"/>
  <c r="H234" i="20"/>
  <c r="H230" i="20"/>
  <c r="H226" i="20"/>
  <c r="H222" i="20"/>
  <c r="K5" i="9"/>
  <c r="H160" i="20" s="1"/>
  <c r="H361" i="20"/>
  <c r="J358" i="20"/>
  <c r="J187" i="20"/>
  <c r="J353" i="20"/>
  <c r="J349" i="20"/>
  <c r="J345" i="20"/>
  <c r="J341" i="20"/>
  <c r="J339" i="20"/>
  <c r="J337" i="20"/>
  <c r="J335" i="20"/>
  <c r="J333" i="20"/>
  <c r="J331" i="20"/>
  <c r="J329" i="20"/>
  <c r="J327" i="20"/>
  <c r="J325" i="20"/>
  <c r="J323" i="20"/>
  <c r="J321" i="20"/>
  <c r="J319" i="20"/>
  <c r="J315" i="20"/>
  <c r="J313" i="20"/>
  <c r="J309" i="20"/>
  <c r="J307" i="20"/>
  <c r="J303" i="20"/>
  <c r="J301" i="20"/>
  <c r="J297" i="20"/>
  <c r="J295" i="20"/>
  <c r="J291" i="20"/>
  <c r="J289" i="20"/>
  <c r="J285" i="20"/>
  <c r="J283" i="20"/>
  <c r="J279" i="20"/>
  <c r="J277" i="20"/>
  <c r="J273" i="20"/>
  <c r="J271" i="20"/>
  <c r="J267" i="20"/>
  <c r="J265" i="20"/>
  <c r="J261" i="20"/>
  <c r="J259" i="20"/>
  <c r="J255" i="20"/>
  <c r="J253" i="20"/>
  <c r="J249" i="20"/>
  <c r="J247" i="20"/>
  <c r="J366" i="20"/>
  <c r="H357" i="20"/>
  <c r="H353" i="20"/>
  <c r="H349" i="20"/>
  <c r="H345" i="20"/>
  <c r="H341" i="20"/>
  <c r="H339" i="20"/>
  <c r="H337" i="20"/>
  <c r="H335" i="20"/>
  <c r="H333" i="20"/>
  <c r="H331" i="20"/>
  <c r="H329" i="20"/>
  <c r="H327" i="20"/>
  <c r="H325" i="20"/>
  <c r="H323" i="20"/>
  <c r="H321" i="20"/>
  <c r="H319" i="20"/>
  <c r="H315" i="20"/>
  <c r="H313" i="20"/>
  <c r="H309" i="20"/>
  <c r="H307" i="20"/>
  <c r="H303" i="20"/>
  <c r="H301" i="20"/>
  <c r="H297" i="20"/>
  <c r="H295" i="20"/>
  <c r="H291" i="20"/>
  <c r="H289" i="20"/>
  <c r="H285" i="20"/>
  <c r="H283" i="20"/>
  <c r="H279" i="20"/>
  <c r="H277" i="20"/>
  <c r="H273" i="20"/>
  <c r="H271" i="20"/>
  <c r="H267" i="20"/>
  <c r="H265" i="20"/>
  <c r="H261" i="20"/>
  <c r="H259" i="20"/>
  <c r="H255" i="20"/>
  <c r="H253" i="20"/>
  <c r="H249" i="20"/>
  <c r="H247" i="20"/>
  <c r="H245" i="20"/>
  <c r="H243" i="20"/>
  <c r="H241" i="20"/>
  <c r="H239" i="20"/>
  <c r="H237" i="20"/>
  <c r="H235" i="20"/>
  <c r="H233" i="20"/>
  <c r="H231" i="20"/>
  <c r="H229" i="20"/>
  <c r="H227" i="20"/>
  <c r="H225" i="20"/>
  <c r="H223" i="20"/>
  <c r="I351" i="20"/>
  <c r="I327" i="20"/>
  <c r="I303" i="20"/>
  <c r="I279" i="20"/>
  <c r="I255" i="20"/>
  <c r="I245" i="20"/>
  <c r="I242" i="20"/>
  <c r="I234" i="20"/>
  <c r="I226" i="20"/>
  <c r="I221" i="20"/>
  <c r="I219" i="20"/>
  <c r="I217" i="20"/>
  <c r="I215" i="20"/>
  <c r="I213" i="20"/>
  <c r="I211" i="20"/>
  <c r="I209" i="20"/>
  <c r="I207" i="20"/>
  <c r="I205" i="20"/>
  <c r="I203" i="20"/>
  <c r="I201" i="20"/>
  <c r="I199" i="20"/>
  <c r="I197" i="20"/>
  <c r="I195" i="20"/>
  <c r="I193" i="20"/>
  <c r="I191" i="20"/>
  <c r="I189" i="20"/>
  <c r="I337" i="20"/>
  <c r="I313" i="20"/>
  <c r="I289" i="20"/>
  <c r="I265" i="20"/>
  <c r="J239" i="20"/>
  <c r="J231" i="20"/>
  <c r="J223" i="20"/>
  <c r="H221" i="20"/>
  <c r="H219" i="20"/>
  <c r="H217" i="20"/>
  <c r="H215" i="20"/>
  <c r="H213" i="20"/>
  <c r="H211" i="20"/>
  <c r="H209" i="20"/>
  <c r="H207" i="20"/>
  <c r="H205" i="20"/>
  <c r="H203" i="20"/>
  <c r="H201" i="20"/>
  <c r="H199" i="20"/>
  <c r="H197" i="20"/>
  <c r="H195" i="20"/>
  <c r="H193" i="20"/>
  <c r="H191" i="20"/>
  <c r="H189" i="20"/>
  <c r="J181" i="20"/>
  <c r="J179" i="20"/>
  <c r="J177" i="20"/>
  <c r="J175" i="20"/>
  <c r="J173" i="20"/>
  <c r="J171" i="20"/>
  <c r="J169" i="20"/>
  <c r="J167" i="20"/>
  <c r="J165" i="20"/>
  <c r="J163" i="20"/>
  <c r="J161" i="20"/>
  <c r="J159" i="20"/>
  <c r="J157" i="20"/>
  <c r="J155" i="20"/>
  <c r="J153" i="20"/>
  <c r="J151" i="20"/>
  <c r="J149" i="20"/>
  <c r="J147" i="20"/>
  <c r="J145" i="20"/>
  <c r="J143" i="20"/>
  <c r="J141" i="20"/>
  <c r="I347" i="20"/>
  <c r="I323" i="20"/>
  <c r="I299" i="20"/>
  <c r="I275" i="20"/>
  <c r="I251" i="20"/>
  <c r="I239" i="20"/>
  <c r="I231" i="20"/>
  <c r="I223" i="20"/>
  <c r="H186" i="20"/>
  <c r="I181" i="20"/>
  <c r="I179" i="20"/>
  <c r="I177" i="20"/>
  <c r="I175" i="20"/>
  <c r="I173" i="20"/>
  <c r="I171" i="20"/>
  <c r="I169" i="20"/>
  <c r="I167" i="20"/>
  <c r="I165" i="20"/>
  <c r="I163" i="20"/>
  <c r="I161" i="20"/>
  <c r="I159" i="20"/>
  <c r="I157" i="20"/>
  <c r="I155" i="20"/>
  <c r="I153" i="20"/>
  <c r="I151" i="20"/>
  <c r="I149" i="20"/>
  <c r="I147" i="20"/>
  <c r="I145" i="20"/>
  <c r="I143" i="20"/>
  <c r="I141" i="20"/>
  <c r="I357" i="20"/>
  <c r="I333" i="20"/>
  <c r="I309" i="20"/>
  <c r="I285" i="20"/>
  <c r="I261" i="20"/>
  <c r="I236" i="20"/>
  <c r="I228" i="20"/>
  <c r="H181" i="20"/>
  <c r="H179" i="20"/>
  <c r="H177" i="20"/>
  <c r="H175" i="20"/>
  <c r="H173" i="20"/>
  <c r="H171" i="20"/>
  <c r="H169" i="20"/>
  <c r="H167" i="20"/>
  <c r="H165" i="20"/>
  <c r="H163" i="20"/>
  <c r="H161" i="20"/>
  <c r="H159" i="20"/>
  <c r="H157" i="20"/>
  <c r="H155" i="20"/>
  <c r="H153" i="20"/>
  <c r="H151" i="20"/>
  <c r="H149" i="20"/>
  <c r="H147" i="20"/>
  <c r="H145" i="20"/>
  <c r="H143" i="20"/>
  <c r="H141" i="20"/>
  <c r="I343" i="20"/>
  <c r="I319" i="20"/>
  <c r="I295" i="20"/>
  <c r="I271" i="20"/>
  <c r="I247" i="20"/>
  <c r="J241" i="20"/>
  <c r="J233" i="20"/>
  <c r="J225" i="20"/>
  <c r="J360" i="20"/>
  <c r="I353" i="20"/>
  <c r="I329" i="20"/>
  <c r="I305" i="20"/>
  <c r="I281" i="20"/>
  <c r="I257" i="20"/>
  <c r="I241" i="20"/>
  <c r="I233" i="20"/>
  <c r="I225" i="20"/>
  <c r="J220" i="20"/>
  <c r="J218" i="20"/>
  <c r="J216" i="20"/>
  <c r="J214" i="20"/>
  <c r="J212" i="20"/>
  <c r="J210" i="20"/>
  <c r="J208" i="20"/>
  <c r="J206" i="20"/>
  <c r="J204" i="20"/>
  <c r="J202" i="20"/>
  <c r="J200" i="20"/>
  <c r="J198" i="20"/>
  <c r="J196" i="20"/>
  <c r="J194" i="20"/>
  <c r="J192" i="20"/>
  <c r="J190" i="20"/>
  <c r="I339" i="20"/>
  <c r="I315" i="20"/>
  <c r="I291" i="20"/>
  <c r="I267" i="20"/>
  <c r="I238" i="20"/>
  <c r="I230" i="20"/>
  <c r="J222" i="20"/>
  <c r="I220" i="20"/>
  <c r="I218" i="20"/>
  <c r="I216" i="20"/>
  <c r="I214" i="20"/>
  <c r="I212" i="20"/>
  <c r="I210" i="20"/>
  <c r="I208" i="20"/>
  <c r="I206" i="20"/>
  <c r="I204" i="20"/>
  <c r="I202" i="20"/>
  <c r="I200" i="20"/>
  <c r="I198" i="20"/>
  <c r="I196" i="20"/>
  <c r="I194" i="20"/>
  <c r="I192" i="20"/>
  <c r="I190" i="20"/>
  <c r="H363" i="20"/>
  <c r="I349" i="20"/>
  <c r="I325" i="20"/>
  <c r="I301" i="20"/>
  <c r="I277" i="20"/>
  <c r="I253" i="20"/>
  <c r="J243" i="20"/>
  <c r="J235" i="20"/>
  <c r="J227" i="20"/>
  <c r="I222" i="20"/>
  <c r="H220" i="20"/>
  <c r="H218" i="20"/>
  <c r="H216" i="20"/>
  <c r="H214" i="20"/>
  <c r="H212" i="20"/>
  <c r="H210" i="20"/>
  <c r="H208" i="20"/>
  <c r="H206" i="20"/>
  <c r="H204" i="20"/>
  <c r="H202" i="20"/>
  <c r="H200" i="20"/>
  <c r="H198" i="20"/>
  <c r="H196" i="20"/>
  <c r="H194" i="20"/>
  <c r="H192" i="20"/>
  <c r="H190" i="20"/>
  <c r="J182" i="20"/>
  <c r="J180" i="20"/>
  <c r="J178" i="20"/>
  <c r="J176" i="20"/>
  <c r="J174" i="20"/>
  <c r="J172" i="20"/>
  <c r="J170" i="20"/>
  <c r="J168" i="20"/>
  <c r="J166" i="20"/>
  <c r="J164" i="20"/>
  <c r="J162" i="20"/>
  <c r="J160" i="20"/>
  <c r="J158" i="20"/>
  <c r="J156" i="20"/>
  <c r="J154" i="20"/>
  <c r="J152" i="20"/>
  <c r="J150" i="20"/>
  <c r="J148" i="20"/>
  <c r="J146" i="20"/>
  <c r="J144" i="20"/>
  <c r="J142" i="20"/>
  <c r="I335" i="20"/>
  <c r="I311" i="20"/>
  <c r="I287" i="20"/>
  <c r="I263" i="20"/>
  <c r="I243" i="20"/>
  <c r="I235" i="20"/>
  <c r="I227" i="20"/>
  <c r="I182" i="20"/>
  <c r="I180" i="20"/>
  <c r="I178" i="20"/>
  <c r="I176" i="20"/>
  <c r="I174" i="20"/>
  <c r="I172" i="20"/>
  <c r="I170" i="20"/>
  <c r="I168" i="20"/>
  <c r="I166" i="20"/>
  <c r="I164" i="20"/>
  <c r="I162" i="20"/>
  <c r="I160" i="20"/>
  <c r="I158" i="20"/>
  <c r="I156" i="20"/>
  <c r="I154" i="20"/>
  <c r="I152" i="20"/>
  <c r="I150" i="20"/>
  <c r="I148" i="20"/>
  <c r="I146" i="20"/>
  <c r="I144" i="20"/>
  <c r="I142" i="20"/>
  <c r="I345" i="20"/>
  <c r="I321" i="20"/>
  <c r="I297" i="20"/>
  <c r="I273" i="20"/>
  <c r="I249" i="20"/>
  <c r="I240" i="20"/>
  <c r="I232" i="20"/>
  <c r="I224" i="20"/>
  <c r="H182" i="20"/>
  <c r="H180" i="20"/>
  <c r="H178" i="20"/>
  <c r="H176" i="20"/>
  <c r="H174" i="20"/>
  <c r="H172" i="20"/>
  <c r="H170" i="20"/>
  <c r="H168" i="20"/>
  <c r="H166" i="20"/>
  <c r="H164" i="20"/>
  <c r="H162" i="20"/>
  <c r="H158" i="20"/>
  <c r="H156" i="20"/>
  <c r="H154" i="20"/>
  <c r="H152" i="20"/>
  <c r="H150" i="20"/>
  <c r="H148" i="20"/>
  <c r="H146" i="20"/>
  <c r="H144" i="20"/>
  <c r="H142" i="20"/>
  <c r="I341" i="20"/>
  <c r="I317" i="20"/>
  <c r="I293" i="20"/>
  <c r="I269" i="20"/>
  <c r="J245" i="20"/>
  <c r="I237" i="20"/>
  <c r="I229" i="20"/>
  <c r="J221" i="20"/>
  <c r="J219" i="20"/>
  <c r="J217" i="20"/>
  <c r="J215" i="20"/>
  <c r="J213" i="20"/>
  <c r="J211" i="20"/>
  <c r="J209" i="20"/>
  <c r="J207" i="20"/>
  <c r="J205" i="20"/>
  <c r="J203" i="20"/>
  <c r="J201" i="20"/>
  <c r="J199" i="20"/>
  <c r="J197" i="20"/>
  <c r="J195" i="20"/>
  <c r="J193" i="20"/>
  <c r="J191" i="20"/>
  <c r="J189" i="20"/>
  <c r="H187" i="20"/>
  <c r="I355" i="20"/>
  <c r="J229" i="20"/>
  <c r="I331" i="20"/>
  <c r="I307" i="20"/>
  <c r="I259" i="20"/>
  <c r="I187" i="20"/>
  <c r="J237" i="20"/>
  <c r="I283" i="20"/>
  <c r="J332" i="20"/>
  <c r="J266" i="20"/>
  <c r="J351" i="20"/>
  <c r="J328" i="20"/>
  <c r="J260" i="20"/>
  <c r="I344" i="20"/>
  <c r="I284" i="20"/>
  <c r="H340" i="20"/>
  <c r="H278" i="20"/>
  <c r="J364" i="20"/>
  <c r="J257" i="20"/>
  <c r="H263" i="20"/>
  <c r="H347" i="20"/>
  <c r="H371" i="20"/>
  <c r="H395" i="20"/>
  <c r="H419" i="20"/>
  <c r="I380" i="20"/>
  <c r="I404" i="20"/>
  <c r="J359" i="20"/>
  <c r="I377" i="20"/>
  <c r="I401" i="20"/>
  <c r="J374" i="20"/>
  <c r="J398" i="20"/>
  <c r="J422" i="20"/>
  <c r="J356" i="20"/>
  <c r="J367" i="20"/>
  <c r="I367" i="20"/>
  <c r="H367" i="20"/>
  <c r="J347" i="20"/>
  <c r="J352" i="20"/>
  <c r="J296" i="20"/>
  <c r="J232" i="20"/>
  <c r="I320" i="20"/>
  <c r="I248" i="20"/>
  <c r="H314" i="20"/>
  <c r="H244" i="20"/>
  <c r="J293" i="20"/>
  <c r="H299" i="20"/>
  <c r="J355" i="20"/>
  <c r="H383" i="20"/>
  <c r="H407" i="20"/>
  <c r="I392" i="20"/>
  <c r="I416" i="20"/>
  <c r="I389" i="20"/>
  <c r="I413" i="20"/>
  <c r="H360" i="20"/>
  <c r="J386" i="20"/>
  <c r="J410" i="20"/>
  <c r="J340" i="20"/>
  <c r="J278" i="20"/>
  <c r="I356" i="20"/>
  <c r="I302" i="20"/>
  <c r="H352" i="20"/>
  <c r="H296" i="20"/>
  <c r="H232" i="20"/>
  <c r="J275" i="20"/>
  <c r="H281" i="20"/>
  <c r="H364" i="20"/>
  <c r="H391" i="20"/>
  <c r="H415" i="20"/>
  <c r="I376" i="20"/>
  <c r="I400" i="20"/>
  <c r="J368" i="20"/>
  <c r="I373" i="20"/>
  <c r="I397" i="20"/>
  <c r="I421" i="20"/>
  <c r="J343" i="20"/>
  <c r="J336" i="20"/>
  <c r="J272" i="20"/>
  <c r="I352" i="20"/>
  <c r="I296" i="20"/>
  <c r="H348" i="20"/>
  <c r="H290" i="20"/>
  <c r="H228" i="20"/>
  <c r="J269" i="20"/>
  <c r="H275" i="20"/>
  <c r="J371" i="20"/>
  <c r="J395" i="20"/>
  <c r="J419" i="20"/>
  <c r="H376" i="20"/>
  <c r="H400" i="20"/>
  <c r="H373" i="20"/>
  <c r="H397" i="20"/>
  <c r="H421" i="20"/>
  <c r="I370" i="20"/>
  <c r="I394" i="20"/>
  <c r="I418" i="20"/>
  <c r="H418" i="20"/>
  <c r="I386" i="20"/>
  <c r="Q17" i="38"/>
  <c r="H16" i="38"/>
  <c r="J421" i="20"/>
  <c r="I385" i="20"/>
  <c r="J416" i="20"/>
  <c r="H380" i="20"/>
  <c r="H368" i="20"/>
  <c r="G14" i="38"/>
  <c r="I403" i="20"/>
  <c r="H251" i="20"/>
  <c r="J287" i="20"/>
  <c r="H266" i="20"/>
  <c r="I244" i="20"/>
  <c r="I336" i="20"/>
  <c r="J302" i="20"/>
  <c r="J418" i="20"/>
  <c r="H382" i="20"/>
  <c r="U15" i="38"/>
  <c r="G15" i="38"/>
  <c r="W16" i="38"/>
  <c r="H413" i="20"/>
  <c r="J385" i="20"/>
  <c r="H412" i="20"/>
  <c r="J380" i="20"/>
  <c r="I368" i="20"/>
  <c r="H10" i="38"/>
  <c r="J403" i="20"/>
  <c r="H257" i="20"/>
  <c r="J299" i="20"/>
  <c r="H272" i="20"/>
  <c r="I254" i="20"/>
  <c r="I340" i="20"/>
  <c r="J308" i="20"/>
  <c r="P15" i="38"/>
  <c r="V15" i="38"/>
  <c r="H15" i="38"/>
  <c r="Q8" i="38"/>
  <c r="V8" i="38"/>
  <c r="B8" i="26"/>
  <c r="J305" i="20"/>
  <c r="R8" i="38"/>
  <c r="R15" i="38"/>
  <c r="R9" i="38"/>
  <c r="H409" i="20"/>
  <c r="J377" i="20"/>
  <c r="Q14" i="38"/>
  <c r="J412" i="20"/>
  <c r="H14" i="38"/>
  <c r="I6" i="38"/>
  <c r="I391" i="20"/>
  <c r="H287" i="20"/>
  <c r="J311" i="20"/>
  <c r="H302" i="20"/>
  <c r="I266" i="20"/>
  <c r="J224" i="20"/>
  <c r="J320" i="20"/>
  <c r="P17" i="38"/>
  <c r="P11" i="38"/>
  <c r="H8" i="38"/>
  <c r="P14" i="38"/>
  <c r="H404" i="20"/>
  <c r="U13" i="38"/>
  <c r="C9" i="26"/>
  <c r="J391" i="20"/>
  <c r="H355" i="20"/>
  <c r="H293" i="20"/>
  <c r="J317" i="20"/>
  <c r="H308" i="20"/>
  <c r="I272" i="20"/>
  <c r="J228" i="20"/>
  <c r="J324" i="20"/>
  <c r="P12" i="38"/>
  <c r="U12" i="38"/>
  <c r="U7" i="38"/>
  <c r="G7" i="38"/>
  <c r="G17" i="38"/>
  <c r="G13" i="38"/>
  <c r="G5" i="38"/>
  <c r="G4" i="38"/>
  <c r="G12" i="38"/>
  <c r="G10" i="38"/>
  <c r="G16" i="38"/>
  <c r="R14" i="38"/>
  <c r="W14" i="38"/>
  <c r="AA12" i="38" s="1"/>
  <c r="P10" i="38"/>
  <c r="U10" i="38"/>
  <c r="Y10" i="38" s="1"/>
  <c r="H14" i="34"/>
  <c r="H6" i="34"/>
  <c r="H8" i="34"/>
  <c r="H10" i="34"/>
  <c r="H4" i="34"/>
  <c r="G4" i="34" s="1"/>
  <c r="H12" i="34"/>
  <c r="H185" i="20"/>
  <c r="J188" i="20"/>
  <c r="J185" i="20"/>
  <c r="I188" i="20"/>
  <c r="I185" i="20"/>
  <c r="H188" i="20"/>
  <c r="U11" i="38"/>
  <c r="G11" i="38"/>
  <c r="H7" i="38"/>
  <c r="V7" i="38"/>
  <c r="Z7" i="38" s="1"/>
  <c r="H401" i="20"/>
  <c r="H12" i="38"/>
  <c r="I4" i="38"/>
  <c r="H13" i="38"/>
  <c r="J400" i="20"/>
  <c r="R10" i="38"/>
  <c r="I419" i="20"/>
  <c r="J383" i="20"/>
  <c r="H343" i="20"/>
  <c r="H311" i="20"/>
  <c r="H224" i="20"/>
  <c r="H324" i="20"/>
  <c r="I290" i="20"/>
  <c r="J240" i="20"/>
  <c r="J348" i="20"/>
  <c r="H9" i="38"/>
  <c r="V9" i="38"/>
  <c r="P16" i="38"/>
  <c r="AA8" i="38"/>
  <c r="Q10" i="38"/>
  <c r="V10" i="38"/>
  <c r="G9" i="38"/>
  <c r="P6" i="38"/>
  <c r="U6" i="38"/>
  <c r="Y9" i="38" s="1"/>
  <c r="Q12" i="38"/>
  <c r="B7" i="26"/>
  <c r="R12" i="38"/>
  <c r="D3" i="21"/>
  <c r="D4" i="21"/>
  <c r="C7" i="26"/>
  <c r="D5" i="21"/>
  <c r="Q16" i="38"/>
  <c r="H11" i="38"/>
  <c r="V11" i="38"/>
  <c r="D7" i="21"/>
  <c r="G4" i="21" s="1"/>
  <c r="I15" i="38"/>
  <c r="W15" i="38"/>
  <c r="AA15" i="38" s="1"/>
  <c r="R4" i="38"/>
  <c r="R6" i="38"/>
  <c r="H4" i="20"/>
  <c r="B7" i="18"/>
  <c r="Z14" i="38" l="1"/>
  <c r="AA11" i="38"/>
  <c r="Z11" i="38"/>
  <c r="AA4" i="38"/>
  <c r="AA10" i="38"/>
  <c r="Z15" i="38"/>
  <c r="Y15" i="38"/>
  <c r="Z5" i="38"/>
  <c r="D8" i="21"/>
  <c r="F4" i="21"/>
  <c r="Z10" i="38"/>
  <c r="G25" i="34"/>
  <c r="W8" i="34" s="1"/>
  <c r="E25" i="34"/>
  <c r="C25" i="34"/>
  <c r="F25" i="34"/>
  <c r="D25" i="34"/>
  <c r="Z17" i="38"/>
  <c r="J11" i="20"/>
  <c r="I11" i="20"/>
  <c r="H11" i="20"/>
  <c r="J12" i="20"/>
  <c r="I12" i="20"/>
  <c r="H12" i="20"/>
  <c r="Z4" i="38"/>
  <c r="Z12" i="38"/>
  <c r="Y14" i="38"/>
  <c r="E23" i="34"/>
  <c r="D23" i="34"/>
  <c r="C23" i="34"/>
  <c r="G23" i="34"/>
  <c r="W7" i="34" s="1"/>
  <c r="F23" i="34"/>
  <c r="Z9" i="38"/>
  <c r="G21" i="34"/>
  <c r="W6" i="34" s="1"/>
  <c r="F21" i="34"/>
  <c r="E21" i="34"/>
  <c r="D21" i="34"/>
  <c r="C21" i="34"/>
  <c r="Y8" i="38"/>
  <c r="Z13" i="38"/>
  <c r="G19" i="34"/>
  <c r="W5" i="34" s="1"/>
  <c r="E19" i="34"/>
  <c r="D19" i="34"/>
  <c r="C19" i="34"/>
  <c r="F19" i="34"/>
  <c r="G27" i="34"/>
  <c r="W9" i="34" s="1"/>
  <c r="F27" i="34"/>
  <c r="E27" i="34"/>
  <c r="D27" i="34"/>
  <c r="C27" i="34"/>
  <c r="AA13" i="38"/>
  <c r="Y4" i="38"/>
  <c r="Y16" i="38"/>
  <c r="Y5" i="38"/>
  <c r="Y13" i="38"/>
  <c r="AA9" i="38"/>
  <c r="Z6" i="38"/>
  <c r="Y11" i="38"/>
  <c r="Y7" i="38"/>
  <c r="AA17" i="38"/>
  <c r="Z8" i="38"/>
  <c r="Z16" i="38"/>
  <c r="AA5" i="38"/>
  <c r="Y6" i="38"/>
  <c r="AA14" i="38"/>
  <c r="Y12" i="38"/>
  <c r="AA16" i="38"/>
  <c r="AA7" i="38"/>
  <c r="E12" i="34" l="1"/>
  <c r="E13" i="34"/>
  <c r="U8" i="34"/>
  <c r="C8" i="34"/>
  <c r="C9" i="34"/>
  <c r="S6" i="34"/>
  <c r="D9" i="34"/>
  <c r="D8" i="34"/>
  <c r="T6" i="34"/>
  <c r="H14" i="20"/>
  <c r="E9" i="34"/>
  <c r="E8" i="34"/>
  <c r="U6" i="34"/>
  <c r="I14" i="20"/>
  <c r="F9" i="34"/>
  <c r="F8" i="34"/>
  <c r="V6" i="34"/>
  <c r="J14" i="20"/>
  <c r="C15" i="34"/>
  <c r="C14" i="34"/>
  <c r="S9" i="34"/>
  <c r="F10" i="34"/>
  <c r="F11" i="34"/>
  <c r="V7" i="34"/>
  <c r="D14" i="34"/>
  <c r="D15" i="34"/>
  <c r="T9" i="34"/>
  <c r="F6" i="34"/>
  <c r="F7" i="34"/>
  <c r="V5" i="34"/>
  <c r="E15" i="34"/>
  <c r="E14" i="34"/>
  <c r="U9" i="34"/>
  <c r="C7" i="34"/>
  <c r="C6" i="34"/>
  <c r="S5" i="34"/>
  <c r="C11" i="34"/>
  <c r="C10" i="34"/>
  <c r="S7" i="34"/>
  <c r="F14" i="34"/>
  <c r="F15" i="34"/>
  <c r="V9" i="34"/>
  <c r="D6" i="34"/>
  <c r="D7" i="34"/>
  <c r="T5" i="34"/>
  <c r="D10" i="34"/>
  <c r="D11" i="34"/>
  <c r="T7" i="34"/>
  <c r="D12" i="34"/>
  <c r="D13" i="34"/>
  <c r="T8" i="34"/>
  <c r="E7" i="34"/>
  <c r="E6" i="34"/>
  <c r="U5" i="34"/>
  <c r="E11" i="34"/>
  <c r="E10" i="34"/>
  <c r="U7" i="34"/>
  <c r="F13" i="34"/>
  <c r="F12" i="34"/>
  <c r="V8" i="34"/>
  <c r="C12" i="34"/>
  <c r="C13" i="34"/>
  <c r="S8" i="34"/>
  <c r="J75" i="20" l="1"/>
  <c r="I75" i="20"/>
  <c r="H75" i="20"/>
  <c r="J52" i="20"/>
  <c r="I52" i="20"/>
  <c r="H52" i="20"/>
  <c r="H87" i="20"/>
  <c r="J87" i="20"/>
  <c r="I87" i="20"/>
  <c r="J44" i="20"/>
  <c r="I44" i="20"/>
  <c r="H44" i="20"/>
  <c r="J31" i="20"/>
  <c r="I31" i="20"/>
  <c r="H31" i="20"/>
  <c r="I64" i="20"/>
  <c r="H64" i="20"/>
  <c r="J64" i="20"/>
  <c r="I76" i="20"/>
  <c r="H76" i="20"/>
  <c r="J76" i="20"/>
  <c r="J51" i="20"/>
  <c r="I51" i="20"/>
  <c r="H51" i="20"/>
  <c r="J47" i="20"/>
  <c r="I47" i="20"/>
  <c r="H47" i="20"/>
  <c r="I88" i="20"/>
  <c r="J88" i="20"/>
  <c r="H88" i="20"/>
  <c r="I72" i="20"/>
  <c r="J72" i="20"/>
  <c r="H72" i="20"/>
  <c r="J63" i="20"/>
  <c r="I63" i="20"/>
  <c r="H63" i="20"/>
  <c r="I48" i="20"/>
  <c r="H48" i="20"/>
  <c r="J48" i="20"/>
  <c r="H71" i="20"/>
  <c r="I71" i="20"/>
  <c r="J71" i="20"/>
  <c r="J20" i="20"/>
  <c r="I20" i="20"/>
  <c r="H20" i="20"/>
  <c r="J35" i="20"/>
  <c r="I35" i="20"/>
  <c r="H35" i="20"/>
  <c r="J19" i="20"/>
  <c r="I19" i="20"/>
  <c r="H19" i="20"/>
  <c r="J28" i="20"/>
  <c r="I28" i="20"/>
  <c r="H28" i="20"/>
  <c r="J36" i="20"/>
  <c r="I36" i="20"/>
  <c r="H36" i="20"/>
  <c r="H55" i="20"/>
  <c r="I55" i="20"/>
  <c r="J55" i="20"/>
  <c r="J27" i="20"/>
  <c r="I27" i="20"/>
  <c r="H27" i="20"/>
  <c r="J56" i="20"/>
  <c r="I56" i="20"/>
  <c r="H56" i="20"/>
  <c r="J92" i="20"/>
  <c r="I92" i="20"/>
  <c r="H92" i="20"/>
  <c r="J91" i="20"/>
  <c r="I91" i="20"/>
  <c r="H91" i="20"/>
  <c r="J84" i="20"/>
  <c r="H84" i="20"/>
  <c r="I84" i="20"/>
  <c r="H23" i="20"/>
  <c r="I23" i="20"/>
  <c r="J23" i="20"/>
  <c r="J68" i="20"/>
  <c r="I68" i="20"/>
  <c r="H68" i="20"/>
  <c r="J83" i="20"/>
  <c r="I83" i="20"/>
  <c r="H83" i="20"/>
  <c r="J24" i="20"/>
  <c r="I24" i="20"/>
  <c r="H24" i="20"/>
  <c r="J67" i="20"/>
  <c r="I67" i="20"/>
  <c r="H67" i="20"/>
  <c r="J15" i="20"/>
  <c r="I15" i="20"/>
  <c r="H15" i="20"/>
  <c r="H39" i="20"/>
  <c r="I39" i="20"/>
  <c r="J39" i="20"/>
  <c r="I16" i="20"/>
  <c r="H16" i="20"/>
  <c r="J16" i="20"/>
  <c r="J60" i="20"/>
  <c r="I60" i="20"/>
  <c r="H60" i="20"/>
  <c r="H79" i="20"/>
  <c r="J79" i="20"/>
  <c r="I79" i="20"/>
  <c r="J40" i="20"/>
  <c r="I40" i="20"/>
  <c r="H40" i="20"/>
  <c r="J59" i="20"/>
  <c r="I59" i="20"/>
  <c r="H59" i="20"/>
  <c r="I80" i="20"/>
  <c r="J80" i="20"/>
  <c r="H80" i="20"/>
  <c r="J43" i="20"/>
  <c r="I43" i="20"/>
  <c r="H43" i="20"/>
  <c r="I32" i="20"/>
  <c r="H32" i="20"/>
  <c r="J32" i="20"/>
  <c r="H62" i="20" l="1" a="1"/>
  <c r="H62" i="20" s="1"/>
  <c r="H66" i="20" a="1"/>
  <c r="H66" i="20" s="1"/>
  <c r="H54" i="20" a="1"/>
  <c r="H54" i="20" s="1"/>
  <c r="H78" i="20" a="1"/>
  <c r="H78" i="20" s="1"/>
  <c r="H46" i="20" a="1"/>
  <c r="H46" i="20" s="1"/>
  <c r="H42" i="20" a="1"/>
  <c r="H42" i="20" s="1"/>
  <c r="H74" i="20" a="1"/>
  <c r="H74" i="20" s="1"/>
  <c r="H22" i="20" a="1"/>
  <c r="H22" i="20" s="1"/>
  <c r="H94" i="20" a="1"/>
  <c r="H94" i="20" s="1"/>
  <c r="H70" i="20" a="1"/>
  <c r="H70" i="20" s="1"/>
  <c r="H86" i="20" a="1"/>
  <c r="H86" i="20" s="1"/>
  <c r="H26" i="20" a="1"/>
  <c r="H26" i="20" s="1"/>
  <c r="H30" i="20" a="1"/>
  <c r="H30" i="20" s="1"/>
  <c r="H90" i="20" a="1"/>
  <c r="H90" i="20" s="1"/>
  <c r="H38" i="20" a="1"/>
  <c r="H38" i="20" s="1"/>
  <c r="H82" i="20" a="1"/>
  <c r="H82" i="20" s="1"/>
  <c r="H58" i="20" a="1"/>
  <c r="H58" i="20" s="1"/>
  <c r="H50" i="20" a="1"/>
  <c r="H50" i="20" s="1"/>
  <c r="H34" i="20" a="1"/>
  <c r="H34" i="20" s="1"/>
  <c r="H18" i="20" a="1"/>
  <c r="H18" i="20" s="1"/>
  <c r="I18" i="20" l="1"/>
  <c r="J18" i="20" s="1"/>
  <c r="I34" i="20"/>
  <c r="J34" i="20" s="1"/>
  <c r="I26" i="20"/>
  <c r="J26" i="20" s="1"/>
  <c r="I62" i="20"/>
  <c r="J62" i="20" s="1"/>
  <c r="I30" i="20"/>
  <c r="J30" i="20" s="1"/>
  <c r="I70" i="20"/>
  <c r="J70" i="20" s="1"/>
  <c r="I86" i="20"/>
  <c r="J86" i="20" s="1"/>
  <c r="I42" i="20"/>
  <c r="J42" i="20" s="1"/>
  <c r="I38" i="20"/>
  <c r="J38" i="20" s="1"/>
  <c r="I50" i="20"/>
  <c r="J50" i="20" s="1"/>
  <c r="I94" i="20"/>
  <c r="J94" i="20" s="1"/>
  <c r="I22" i="20"/>
  <c r="J22" i="20" s="1"/>
  <c r="I66" i="20"/>
  <c r="J66" i="20" s="1"/>
  <c r="I74" i="20"/>
  <c r="J74" i="20" s="1"/>
  <c r="I78" i="20"/>
  <c r="J78" i="20" s="1"/>
  <c r="I58" i="20"/>
  <c r="J58" i="20" s="1"/>
  <c r="I82" i="20"/>
  <c r="J82" i="20" s="1"/>
  <c r="I90" i="20"/>
  <c r="J90" i="20" s="1"/>
  <c r="I46" i="20"/>
  <c r="J46" i="20" s="1"/>
  <c r="I54" i="20"/>
  <c r="J5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<sst xmlns="http://schemas.openxmlformats.org/spreadsheetml/2006/main" count="3875" uniqueCount="949">
  <si>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</si>
  <si>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</si>
  <si>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</si>
  <si>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</si>
  <si>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</si>
  <si>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</si>
  <si>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</si>
  <si>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</si>
  <si>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</si>
  <si>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</si>
  <si>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</si>
  <si>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</si>
  <si>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</si>
  <si>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</si>
  <si>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</si>
  <si>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</si>
  <si>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</si>
  <si>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</si>
  <si>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</si>
  <si>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</si>
  <si>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</si>
  <si>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</si>
  <si>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</si>
  <si>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</si>
  <si>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</si>
  <si>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</si>
  <si>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</si>
  <si>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</si>
  <si>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</si>
  <si>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</si>
  <si>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</si>
  <si>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</si>
  <si>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</si>
  <si>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</si>
  <si>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</si>
  <si>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</si>
  <si>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</si>
  <si>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</si>
  <si>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</si>
  <si>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</si>
  <si>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</si>
  <si>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</si>
  <si>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</si>
  <si>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</si>
  <si>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</si>
  <si>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</si>
  <si>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</si>
  <si>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</si>
  <si>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</si>
  <si>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</si>
  <si>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</si>
  <si>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</si>
  <si>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</si>
  <si>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</si>
  <si>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</si>
  <si>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</si>
  <si>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</si>
  <si>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</si>
  <si>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</si>
  <si>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</si>
  <si>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</si>
  <si>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</si>
  <si>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</si>
  <si>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</si>
  <si>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</si>
  <si>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</si>
  <si>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</si>
  <si>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</si>
  <si>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</si>
  <si>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</si>
  <si>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</si>
  <si>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</si>
  <si>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</si>
  <si>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</si>
  <si>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</si>
  <si>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</si>
  <si>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</si>
  <si>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</si>
  <si>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</si>
  <si>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</si>
  <si>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</si>
  <si>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</si>
  <si>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</si>
  <si>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</si>
  <si>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</si>
  <si>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</si>
  <si>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</si>
  <si>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</si>
  <si>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</si>
  <si>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</si>
  <si>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</si>
  <si>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</si>
  <si>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</si>
  <si>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</si>
  <si>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</si>
  <si>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</si>
  <si>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</si>
  <si>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</si>
  <si>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</si>
  <si>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</si>
  <si>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</si>
  <si>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</si>
  <si>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</si>
  <si>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</si>
  <si>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</si>
  <si>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</si>
  <si>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</si>
  <si>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</si>
  <si>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</si>
  <si>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</si>
  <si>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</si>
  <si>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</si>
  <si>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</si>
  <si>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</si>
  <si>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</si>
  <si>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</si>
  <si>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</si>
  <si>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</si>
  <si>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</si>
  <si>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</si>
  <si>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</si>
  <si>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</si>
  <si>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</si>
  <si>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</si>
  <si>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</si>
  <si>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</si>
  <si>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</si>
  <si>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</si>
  <si>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</si>
  <si>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</si>
  <si>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</si>
  <si>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</si>
  <si>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</si>
  <si>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</si>
  <si>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</si>
  <si>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</si>
  <si>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</si>
  <si>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</si>
  <si>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</si>
  <si>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</si>
  <si>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</si>
  <si>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</si>
  <si>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</si>
  <si>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</si>
  <si>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</si>
  <si>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</si>
  <si>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</si>
  <si>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</si>
  <si>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</si>
  <si>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</si>
  <si>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</si>
  <si>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</si>
  <si>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</si>
  <si>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</si>
  <si>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</si>
  <si>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</si>
  <si>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</si>
  <si>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</si>
  <si>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</si>
  <si>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</si>
  <si>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</si>
  <si>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</si>
  <si>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</si>
  <si>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</si>
  <si>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</si>
  <si>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</si>
  <si>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</si>
  <si>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</si>
  <si>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</si>
  <si>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</si>
  <si>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</si>
  <si>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</si>
  <si>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</si>
  <si>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</si>
  <si>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</si>
  <si>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</si>
  <si>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</si>
  <si>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</si>
  <si>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</si>
  <si>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</si>
  <si>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</si>
  <si>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</si>
  <si>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</si>
  <si>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</si>
  <si>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</si>
  <si>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</si>
  <si>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</si>
  <si>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</si>
  <si>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</si>
  <si>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</si>
  <si>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</si>
  <si>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</si>
  <si>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</si>
  <si>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</si>
  <si>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</si>
  <si>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</si>
  <si>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</si>
  <si>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</si>
  <si>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</si>
  <si>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</si>
  <si>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</si>
  <si>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</si>
  <si>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</si>
  <si>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</si>
  <si>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</si>
  <si>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</si>
  <si>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</si>
  <si>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</si>
  <si>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</si>
  <si>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</si>
  <si>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</si>
  <si>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</si>
  <si>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</si>
  <si>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</si>
  <si>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</si>
  <si>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</si>
  <si>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</si>
  <si>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</si>
  <si>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</si>
  <si>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</si>
  <si>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</si>
  <si>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</si>
  <si>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</si>
  <si>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</si>
  <si>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</si>
  <si>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</si>
  <si>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</si>
  <si>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</si>
  <si>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</si>
  <si>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</si>
  <si>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</si>
  <si>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</si>
  <si>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</si>
  <si>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</si>
  <si>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</si>
  <si>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</si>
  <si>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</si>
  <si>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</si>
  <si>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</si>
  <si>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</si>
  <si>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</si>
  <si>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</si>
  <si>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</si>
  <si>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</si>
  <si>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</si>
  <si>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</si>
  <si>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</si>
  <si>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</si>
  <si>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</si>
  <si>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</si>
  <si>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</si>
  <si>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</si>
  <si>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</si>
  <si>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</si>
  <si>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</si>
  <si>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</si>
  <si>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</si>
  <si>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</si>
  <si>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</si>
  <si>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</si>
  <si>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</si>
  <si>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</si>
  <si>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</si>
  <si>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</si>
  <si>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</si>
  <si>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</si>
  <si>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</si>
  <si>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</si>
  <si>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</si>
  <si>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</si>
  <si>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</si>
  <si>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</si>
  <si>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</si>
  <si>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</si>
  <si>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</si>
  <si>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</si>
  <si>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</si>
  <si>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</si>
  <si>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</si>
  <si>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</si>
  <si>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</si>
  <si>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</si>
  <si>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</si>
  <si>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</si>
  <si>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</si>
  <si>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</si>
  <si>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</si>
  <si>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</si>
  <si>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</si>
  <si>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</si>
  <si>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</si>
  <si>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</si>
  <si>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</si>
  <si>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</si>
  <si>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</si>
  <si>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</si>
  <si>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</si>
  <si>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</si>
  <si>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</si>
  <si>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</si>
  <si>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</si>
  <si>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</si>
  <si>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</si>
  <si>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</si>
  <si>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</si>
  <si>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</si>
  <si>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</si>
  <si>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</si>
  <si>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</si>
  <si>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</si>
  <si>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</si>
  <si>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</si>
  <si>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</si>
  <si>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</si>
  <si>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</si>
  <si>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</si>
  <si>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</si>
  <si>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</si>
  <si>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</si>
  <si>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</si>
  <si>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</si>
  <si>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</si>
  <si>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</si>
  <si>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</si>
  <si>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</si>
  <si>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</si>
  <si>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</si>
  <si>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</si>
  <si>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</si>
  <si>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</si>
  <si>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</si>
  <si>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</si>
  <si>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</si>
  <si>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</si>
  <si>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</si>
  <si>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</si>
  <si>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</si>
  <si>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</si>
  <si>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</si>
  <si>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</si>
  <si>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</si>
  <si>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</si>
  <si>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</si>
  <si>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</si>
  <si>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</si>
  <si>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</si>
  <si>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</si>
  <si>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</si>
  <si>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</si>
  <si>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</si>
  <si>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</si>
  <si>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</si>
  <si>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</si>
  <si>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</si>
  <si>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</si>
  <si>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</si>
  <si>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</si>
  <si>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</si>
  <si>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</si>
  <si>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</si>
  <si>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</si>
  <si>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</si>
  <si>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</si>
  <si>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</si>
  <si>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</si>
  <si>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</si>
  <si>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</si>
  <si>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</si>
  <si>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</si>
  <si>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</si>
  <si>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</si>
  <si>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</si>
  <si>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</si>
  <si>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</si>
  <si>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</si>
  <si>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</si>
  <si>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</si>
  <si>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</si>
  <si>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</si>
  <si>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</si>
  <si>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</si>
  <si>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</si>
  <si>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</si>
  <si>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</si>
  <si>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</si>
  <si>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</si>
  <si>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</si>
  <si>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</si>
  <si>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</si>
  <si>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</si>
  <si>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</si>
  <si>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</si>
  <si>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</si>
  <si>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</si>
  <si>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</si>
  <si>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</si>
  <si>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</si>
  <si>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</si>
  <si>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</si>
  <si>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</si>
  <si>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</si>
  <si>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</si>
  <si>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</si>
  <si>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</si>
  <si>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</si>
  <si>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</si>
  <si>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</si>
  <si>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</si>
  <si>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</si>
  <si>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</si>
  <si>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</si>
  <si>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</si>
  <si>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</si>
  <si>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</si>
  <si>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</si>
  <si>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</si>
  <si>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</si>
  <si>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</si>
  <si>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</si>
  <si>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</si>
  <si>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</si>
  <si>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</si>
  <si>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</si>
  <si>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</si>
  <si>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</si>
  <si>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</si>
  <si>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</si>
  <si>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</si>
  <si>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</si>
  <si>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</si>
  <si>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</si>
  <si>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</si>
  <si>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</si>
  <si>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</si>
  <si>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</si>
  <si>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</si>
  <si>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</si>
  <si>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</si>
  <si>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</si>
  <si>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</si>
  <si>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</si>
  <si>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</si>
  <si>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</si>
  <si>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</si>
  <si>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</si>
  <si>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</si>
  <si>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</si>
  <si>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</si>
  <si>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</si>
  <si>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</si>
  <si>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</si>
  <si>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</si>
  <si>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</si>
  <si>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</si>
  <si>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</si>
  <si>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</si>
  <si>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</si>
  <si>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</si>
  <si>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</si>
  <si>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</si>
  <si>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</si>
  <si>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</si>
  <si>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</si>
  <si>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</si>
  <si>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</si>
  <si>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</si>
  <si>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</si>
  <si>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</si>
  <si>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</si>
  <si>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</si>
  <si>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</si>
  <si>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</si>
  <si>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</si>
  <si>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</si>
  <si>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</si>
  <si>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</si>
  <si>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</si>
  <si>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</si>
  <si>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</si>
  <si>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</si>
  <si>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</si>
  <si>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</si>
  <si>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</si>
  <si>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</si>
  <si>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</si>
  <si>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</si>
  <si>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</si>
  <si>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</si>
  <si>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</si>
  <si>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</si>
  <si>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</si>
  <si>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</si>
  <si>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</si>
  <si>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</si>
  <si>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</si>
  <si>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</si>
  <si>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</si>
  <si>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</si>
  <si>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</si>
  <si>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</si>
  <si>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</si>
  <si>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</si>
  <si>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</si>
  <si>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</si>
  <si>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</si>
  <si>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</si>
  <si>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</si>
  <si>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</si>
  <si>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</si>
  <si>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</si>
  <si>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</si>
  <si>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</si>
  <si>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</si>
  <si>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</si>
  <si>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</si>
  <si>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</si>
  <si>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</si>
  <si>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</si>
  <si>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</si>
  <si>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</si>
  <si>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</si>
  <si>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</si>
  <si>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</si>
  <si>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</si>
  <si>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</si>
  <si>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</si>
  <si>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</si>
  <si>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</si>
  <si>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</si>
  <si>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</si>
  <si>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</si>
  <si>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</si>
  <si>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</si>
  <si>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</si>
  <si>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</si>
  <si>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</si>
  <si>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</si>
  <si>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</si>
  <si>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</si>
  <si>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</si>
  <si>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</si>
  <si>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</si>
  <si>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</si>
  <si>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</si>
  <si>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</si>
  <si>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</si>
  <si>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</si>
  <si>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</si>
  <si>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</si>
  <si>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</si>
  <si>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</si>
  <si>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</si>
  <si>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</si>
  <si>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</si>
  <si>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</si>
  <si>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</si>
  <si>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</si>
  <si>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</si>
  <si>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</si>
  <si>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</si>
  <si>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</si>
  <si>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</si>
  <si>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</si>
  <si>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</si>
  <si>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</si>
  <si>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</si>
  <si>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</si>
  <si>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</si>
  <si>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</si>
  <si>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</si>
  <si>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</si>
  <si>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</si>
  <si>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</si>
  <si>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</si>
  <si>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</si>
  <si>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</si>
  <si>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</si>
  <si>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</si>
  <si>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</si>
  <si>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</si>
  <si>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</si>
  <si>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</si>
  <si>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</si>
  <si>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</si>
  <si>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</si>
  <si>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</si>
  <si>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</si>
  <si>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</si>
  <si>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</si>
  <si>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</si>
  <si>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</si>
  <si>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</si>
  <si>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</si>
  <si>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</si>
  <si>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</si>
  <si>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</si>
  <si>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</si>
  <si>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</si>
  <si>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</si>
  <si>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</si>
  <si>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</si>
  <si>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</si>
  <si>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</si>
  <si>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</si>
  <si>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</si>
  <si>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</si>
  <si>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</si>
  <si>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</si>
  <si>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</si>
  <si>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</si>
  <si>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</si>
  <si>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</si>
  <si>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</si>
  <si>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</si>
  <si>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</si>
  <si>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</si>
  <si>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</si>
  <si>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</si>
  <si>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</si>
  <si>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</si>
  <si>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</si>
  <si>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</si>
  <si>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</si>
  <si>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</si>
  <si>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</si>
  <si>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</si>
  <si>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</si>
  <si>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</si>
  <si>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</si>
  <si>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</si>
  <si>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</si>
  <si>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</si>
  <si>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</si>
  <si>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</si>
  <si>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</si>
  <si>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</si>
  <si>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</si>
  <si>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</si>
  <si>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</si>
  <si>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</si>
  <si>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</si>
  <si>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</si>
  <si>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</si>
  <si>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</si>
  <si>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</si>
  <si>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</si>
  <si>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</si>
  <si>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</si>
  <si>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</si>
  <si>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</si>
  <si>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</si>
  <si>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</si>
  <si>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</si>
  <si>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</si>
  <si>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</si>
  <si>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</si>
  <si>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</si>
  <si>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</si>
  <si>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</si>
  <si>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</si>
  <si>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</si>
  <si>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</si>
  <si>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</si>
  <si>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</si>
  <si>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</si>
  <si>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</si>
  <si>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</si>
  <si>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</si>
  <si>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</si>
  <si>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</si>
  <si>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</si>
  <si>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</si>
  <si>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</si>
  <si>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</si>
  <si>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</si>
  <si>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</si>
  <si>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</si>
  <si>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</si>
  <si>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</si>
  <si>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</si>
  <si>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</si>
  <si>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</si>
  <si>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</si>
  <si>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</si>
  <si>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</si>
  <si>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</si>
  <si>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</si>
  <si>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</si>
  <si>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</si>
  <si>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</si>
  <si>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</si>
  <si>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</si>
  <si>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</si>
  <si>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</si>
  <si>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</si>
  <si>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</si>
  <si>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</si>
  <si>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</si>
  <si>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</si>
  <si>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</si>
  <si>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</si>
  <si>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</si>
  <si>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</si>
  <si>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</si>
  <si>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</si>
  <si>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</si>
  <si>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</si>
  <si>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</si>
  <si>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</si>
  <si>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</si>
  <si>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</si>
  <si>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</si>
  <si>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</si>
  <si>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</si>
  <si>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</si>
  <si>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</si>
  <si>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</si>
  <si>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</si>
  <si>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</si>
  <si>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</si>
  <si>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</si>
  <si>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</si>
  <si>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</si>
  <si>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</si>
  <si>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</si>
  <si>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</si>
  <si>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</si>
  <si>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</si>
  <si>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</si>
  <si>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</si>
  <si>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</si>
  <si>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</si>
  <si>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</si>
  <si>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</si>
  <si>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</si>
  <si>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</si>
  <si>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</si>
  <si>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</si>
  <si>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</si>
  <si>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</si>
  <si>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</si>
  <si>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</si>
  <si>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</si>
  <si>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</si>
  <si>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</si>
  <si>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</si>
  <si>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</si>
  <si>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</si>
  <si>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</si>
  <si>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</si>
  <si>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</si>
  <si>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</si>
  <si>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</si>
  <si>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</si>
  <si>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</si>
  <si>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</si>
  <si>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</si>
  <si>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</si>
  <si>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</si>
  <si>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</si>
  <si>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</si>
  <si>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</si>
  <si>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</si>
  <si>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</si>
  <si>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</si>
  <si>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</si>
  <si>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</si>
  <si>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</si>
  <si>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</si>
  <si>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</si>
  <si>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</si>
  <si>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</si>
  <si>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</si>
  <si>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</si>
  <si>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</si>
  <si>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</si>
  <si>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</si>
  <si>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</si>
  <si>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</si>
  <si>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</si>
  <si>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</si>
  <si>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</si>
  <si>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</si>
  <si>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</si>
  <si>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</si>
  <si>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</si>
  <si>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</si>
  <si>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</si>
  <si>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</si>
  <si>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</si>
  <si>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</si>
  <si>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</si>
  <si>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</si>
  <si>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</si>
  <si>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</si>
  <si>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</si>
  <si>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</si>
  <si>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</si>
  <si>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</si>
  <si>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</si>
  <si>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</si>
  <si>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</si>
  <si>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</si>
  <si>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</si>
  <si>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</si>
  <si>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</si>
  <si>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</si>
  <si>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</si>
  <si>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</si>
  <si>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</si>
  <si>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</si>
  <si>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</si>
  <si>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</si>
  <si>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</si>
  <si>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</si>
  <si>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</si>
  <si>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</si>
  <si>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</si>
  <si>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</si>
  <si>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</si>
  <si>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</si>
  <si>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</si>
  <si>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</si>
  <si>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</si>
  <si>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</si>
  <si>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</si>
  <si>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</si>
  <si>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</si>
  <si>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</si>
  <si>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</si>
  <si>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</si>
  <si>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</si>
  <si>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</si>
  <si>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</si>
  <si>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</si>
  <si>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</si>
  <si>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</si>
  <si>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</si>
  <si>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</si>
  <si>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</si>
  <si>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</si>
  <si>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</si>
  <si>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</si>
  <si>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</si>
  <si>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</si>
  <si>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</si>
  <si>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</si>
  <si>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</si>
  <si>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</si>
  <si>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</si>
  <si>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</si>
  <si>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</si>
  <si>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</si>
  <si>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</si>
  <si>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</si>
  <si>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</si>
  <si>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</si>
  <si>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</si>
  <si>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</si>
  <si>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</si>
  <si>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</si>
  <si>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</si>
  <si>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</si>
  <si>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</si>
  <si>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</si>
  <si>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</si>
  <si>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</si>
  <si>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</si>
  <si>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</si>
  <si>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</si>
  <si>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</si>
  <si>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</si>
  <si>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</si>
  <si>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</si>
  <si>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</si>
  <si>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</si>
  <si>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</si>
  <si>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</si>
  <si>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</si>
  <si>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</si>
  <si>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</si>
  <si>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</si>
  <si>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</si>
  <si>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</si>
  <si>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</si>
  <si>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</si>
  <si>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</si>
  <si>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</si>
  <si>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</si>
  <si>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</si>
  <si>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</si>
  <si>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</si>
  <si>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</si>
  <si>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</si>
  <si>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</si>
  <si>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</si>
  <si>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</si>
  <si>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</si>
  <si>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</si>
  <si>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</si>
  <si>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</si>
  <si>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</si>
  <si>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</si>
  <si>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</si>
  <si>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</si>
  <si>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</si>
  <si>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</si>
  <si>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</si>
  <si>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</si>
  <si>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</si>
  <si>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</si>
  <si>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</si>
  <si>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</si>
  <si>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</si>
  <si>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</si>
  <si>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r>
      <rPr>
        <sz val="8"/>
        <rFont val="Calibri"/>
        <family val="2"/>
      </rPr>
      <t xml:space="preserve">Cereals –
</t>
    </r>
    <r>
      <rPr>
        <sz val="8"/>
        <rFont val="Calibri"/>
        <family val="2"/>
      </rPr>
      <t>excl. beer</t>
    </r>
  </si>
  <si>
    <r>
      <rPr>
        <sz val="8"/>
        <rFont val="Calibri"/>
        <family val="2"/>
      </rPr>
      <t xml:space="preserve">Starchy
</t>
    </r>
    <r>
      <rPr>
        <sz val="8"/>
        <rFont val="Calibri"/>
        <family val="2"/>
      </rPr>
      <t>roots</t>
    </r>
  </si>
  <si>
    <r>
      <rPr>
        <sz val="8"/>
        <rFont val="Calibri"/>
        <family val="2"/>
      </rPr>
      <t>Sugar crops</t>
    </r>
  </si>
  <si>
    <r>
      <rPr>
        <sz val="8"/>
        <rFont val="Calibri"/>
        <family val="2"/>
      </rPr>
      <t xml:space="preserve">Sugar &amp;
</t>
    </r>
    <r>
      <rPr>
        <sz val="8"/>
        <rFont val="Calibri"/>
        <family val="2"/>
      </rPr>
      <t>sweeteners</t>
    </r>
  </si>
  <si>
    <r>
      <rPr>
        <sz val="8"/>
        <rFont val="Calibri"/>
        <family val="2"/>
      </rPr>
      <t>Pulses</t>
    </r>
  </si>
  <si>
    <r>
      <rPr>
        <sz val="8"/>
        <rFont val="Calibri"/>
        <family val="2"/>
      </rPr>
      <t>Treenuts</t>
    </r>
  </si>
  <si>
    <r>
      <rPr>
        <sz val="8"/>
        <rFont val="Calibri"/>
        <family val="2"/>
      </rPr>
      <t>Oilcrops</t>
    </r>
  </si>
  <si>
    <r>
      <rPr>
        <sz val="8"/>
        <rFont val="Calibri"/>
        <family val="2"/>
      </rPr>
      <t xml:space="preserve">Vegetable
</t>
    </r>
    <r>
      <rPr>
        <sz val="8"/>
        <rFont val="Calibri"/>
        <family val="2"/>
      </rPr>
      <t>oils</t>
    </r>
  </si>
  <si>
    <r>
      <rPr>
        <sz val="8"/>
        <rFont val="Calibri"/>
        <family val="2"/>
      </rPr>
      <t>Vegetables</t>
    </r>
  </si>
  <si>
    <r>
      <rPr>
        <sz val="8"/>
        <rFont val="Calibri"/>
        <family val="2"/>
      </rPr>
      <t xml:space="preserve">Fruits – excl.
</t>
    </r>
    <r>
      <rPr>
        <sz val="8"/>
        <rFont val="Calibri"/>
        <family val="2"/>
      </rPr>
      <t>wine</t>
    </r>
  </si>
  <si>
    <r>
      <rPr>
        <sz val="8"/>
        <rFont val="Calibri"/>
        <family val="2"/>
      </rPr>
      <t>Stimulants</t>
    </r>
  </si>
  <si>
    <r>
      <rPr>
        <sz val="8"/>
        <rFont val="Calibri"/>
        <family val="2"/>
      </rPr>
      <t>Spices</t>
    </r>
  </si>
  <si>
    <r>
      <rPr>
        <sz val="8"/>
        <rFont val="Calibri"/>
        <family val="2"/>
      </rPr>
      <t xml:space="preserve">Alcoholic
</t>
    </r>
    <r>
      <rPr>
        <sz val="8"/>
        <rFont val="Calibri"/>
        <family val="2"/>
      </rPr>
      <t>beverages</t>
    </r>
  </si>
  <si>
    <r>
      <rPr>
        <sz val="8"/>
        <rFont val="Calibri"/>
        <family val="2"/>
      </rPr>
      <t>Meat</t>
    </r>
  </si>
  <si>
    <r>
      <rPr>
        <sz val="8"/>
        <rFont val="Calibri"/>
        <family val="2"/>
      </rPr>
      <t>Offals</t>
    </r>
  </si>
  <si>
    <r>
      <rPr>
        <sz val="8"/>
        <rFont val="Calibri"/>
        <family val="2"/>
      </rPr>
      <t>Animal fats</t>
    </r>
  </si>
  <si>
    <r>
      <rPr>
        <sz val="8"/>
        <rFont val="Calibri"/>
        <family val="2"/>
      </rPr>
      <t>Eggs</t>
    </r>
  </si>
  <si>
    <r>
      <rPr>
        <sz val="8"/>
        <rFont val="Calibri"/>
        <family val="2"/>
      </rPr>
      <t xml:space="preserve">Milk – excl.
</t>
    </r>
    <r>
      <rPr>
        <sz val="8"/>
        <rFont val="Calibri"/>
        <family val="2"/>
      </rPr>
      <t>butter</t>
    </r>
  </si>
  <si>
    <r>
      <rPr>
        <sz val="8"/>
        <rFont val="Calibri"/>
        <family val="2"/>
      </rPr>
      <t xml:space="preserve">Fish,
</t>
    </r>
    <r>
      <rPr>
        <sz val="8"/>
        <rFont val="Calibri"/>
        <family val="2"/>
      </rPr>
      <t>seafood</t>
    </r>
  </si>
  <si>
    <r>
      <rPr>
        <sz val="8"/>
        <rFont val="Calibri"/>
        <family val="2"/>
      </rPr>
      <t xml:space="preserve">Aquatic
</t>
    </r>
    <r>
      <rPr>
        <sz val="8"/>
        <rFont val="Calibri"/>
        <family val="2"/>
      </rPr>
      <t>prod, other</t>
    </r>
  </si>
  <si>
    <r>
      <rPr>
        <sz val="8"/>
        <rFont val="Calibri"/>
        <family val="2"/>
      </rPr>
      <t>Miscellan.</t>
    </r>
  </si>
  <si>
    <t>FAO crop</t>
  </si>
  <si>
    <t>BioRes crop</t>
  </si>
  <si>
    <t>BioRes/FAO</t>
  </si>
  <si>
    <t>kcal/100 g (Nuværende værdi)</t>
  </si>
  <si>
    <t>kcal/100 g (Oprindelig værdi)</t>
  </si>
  <si>
    <t>Sammenligning af Kcal/100g værdier med FAO-tal</t>
  </si>
  <si>
    <t xml:space="preserve">Kcal/100g from FAO - udregninger fra </t>
  </si>
  <si>
    <t>Sammenlignet med udregninger på baggrund af tabel 1 i:</t>
  </si>
  <si>
    <t>Schou, J. S., Elleby, C., &amp; Lind, K. M. H., (2016). Hvor mange mennesker kan dansk landbrugs fødevareproduktion brødføde?, 7 s., IFRO Udredning Nr. 2016/30</t>
  </si>
  <si>
    <t>BioRes number</t>
  </si>
  <si>
    <t>Adjust</t>
  </si>
  <si>
    <t>https://static-curis.ku.dk/portal/files/209323723/IFRO_Udredning_2016_30.pdf</t>
  </si>
  <si>
    <t>Scenarie_Fremtidsbillede2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</si>
</sst>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9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8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0" borderId="91" xfId="0" applyBorder="1" applyAlignment="1">
      <alignment horizontal="left" vertical="top" wrapText="1" indent="1"/>
    </xf>
    <xf numFmtId="0" fontId="89" fillId="0" borderId="91" xfId="0" applyFont="1" applyBorder="1" applyAlignment="1">
      <alignment horizontal="left" vertical="center" wrapText="1" indent="1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5" t="s">
        <v>0</v>
      </c>
      <c r="B1" s="455"/>
    </row>
    <row r="2" spans="1:5" ht="30" customHeight="1" x14ac:dyDescent="0.25">
      <c r="A2" s="454" t="s">
        <v>766</v>
      </c>
      <c r="B2" s="454"/>
    </row>
    <row r="3" spans="1:5" x14ac:dyDescent="0.25">
      <c r="A3" s="457" t="s">
        <v>6</v>
      </c>
      <c r="B3" s="457"/>
    </row>
    <row r="4" spans="1:5" ht="28.9" customHeight="1" x14ac:dyDescent="0.25">
      <c r="A4" s="454" t="s">
        <v>884</v>
      </c>
      <c r="B4" s="454"/>
    </row>
    <row r="5" spans="1:5" x14ac:dyDescent="0.25">
      <c r="A5" s="456" t="s">
        <v>765</v>
      </c>
      <c r="B5" s="456"/>
    </row>
    <row r="6" spans="1:5" x14ac:dyDescent="0.25">
      <c r="B6" s="434" t="s">
        <v>892</v>
      </c>
    </row>
    <row r="7" spans="1:5" x14ac:dyDescent="0.25">
      <c r="A7" s="2" t="s">
        <v>1</v>
      </c>
      <c r="B7" s="3" t="s">
        <v>948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4" t="s">
        <v>5</v>
      </c>
      <c r="B9" s="454"/>
    </row>
    <row r="10" spans="1:5" ht="15.75" thickTop="1" x14ac:dyDescent="0.25">
      <c r="A10" s="327" t="s">
        <v>754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755</v>
      </c>
      <c r="D11" s="359" t="s">
        <v>776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756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757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758</v>
      </c>
      <c r="B16" s="332" t="s">
        <v>759</v>
      </c>
      <c r="D16" s="359" t="s">
        <v>276</v>
      </c>
      <c r="E16" s="360"/>
    </row>
    <row r="17" spans="1:5" x14ac:dyDescent="0.25">
      <c r="A17" s="329" t="s">
        <v>760</v>
      </c>
      <c r="B17" s="330" t="s">
        <v>761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762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775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763</v>
      </c>
      <c r="B24" s="330"/>
      <c r="D24" s="359">
        <v>2030</v>
      </c>
      <c r="E24" s="360"/>
    </row>
    <row r="25" spans="1:5" ht="15.75" thickBot="1" x14ac:dyDescent="0.3">
      <c r="A25" s="329" t="s">
        <v>764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808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 filterMode="1">
    <tabColor theme="4" tint="-0.249977111117893"/>
  </sheetPr>
  <dimension ref="A1:O498"/>
  <sheetViews>
    <sheetView zoomScale="80" zoomScaleNormal="80" workbookViewId="0">
      <pane xSplit="3" ySplit="2" topLeftCell="D95" activePane="bottomRight" state="frozen"/>
      <selection activeCell="E2" sqref="E2:E66"/>
      <selection pane="topRight" activeCell="E2" sqref="E2:E66"/>
      <selection pane="bottomLeft" activeCell="E2" sqref="E2:E66"/>
      <selection pane="bottomRight" activeCell="H124" sqref="H12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8" t="s">
        <v>311</v>
      </c>
      <c r="I1" s="458"/>
      <c r="J1" s="458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hidden="1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ht="15.75" hidden="1" thickBot="1" x14ac:dyDescent="0.3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>
        <f ca="1">Affald!B4/Befolkningstal!B$4</f>
        <v>6.1775632396189835E-2</v>
      </c>
      <c r="I4" s="241">
        <f ca="1">Affald!C4/Befolkningstal!C$4</f>
        <v>6.0231309915508513E-2</v>
      </c>
      <c r="J4" s="241">
        <f ca="1">Affald!D4/Befolkningstal!D$4</f>
        <v>5.8684951731790655E-2</v>
      </c>
      <c r="K4" s="242"/>
    </row>
    <row r="5" spans="1:11" ht="15.75" hidden="1" thickBot="1" x14ac:dyDescent="0.3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hidden="1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6.5" hidden="1" thickTop="1" thickBot="1" x14ac:dyDescent="0.3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721</v>
      </c>
    </row>
    <row r="8" spans="1:11" ht="15.75" hidden="1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>-162*I7/1000</f>
        <v>-0.32337536856430027</v>
      </c>
      <c r="J8" s="163">
        <f>-162*J7/1000</f>
        <v>-0.32337536856430027</v>
      </c>
      <c r="K8" t="s">
        <v>393</v>
      </c>
    </row>
    <row r="9" spans="1:11" ht="16.5" hidden="1" thickTop="1" thickBot="1" x14ac:dyDescent="0.3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4.5*5</f>
        <v>22.5</v>
      </c>
      <c r="J9" s="143">
        <f>4.5*5</f>
        <v>22.5</v>
      </c>
      <c r="K9" s="144" t="s">
        <v>720</v>
      </c>
    </row>
    <row r="10" spans="1:11" ht="15.75" hidden="1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6.5" hidden="1" thickTop="1" thickBot="1" x14ac:dyDescent="0.3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ht="15.75" hidden="1" thickBot="1" x14ac:dyDescent="0.3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ht="15.75" hidden="1" thickBot="1" x14ac:dyDescent="0.3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hidden="1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894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ht="15.75" hidden="1" thickBot="1" x14ac:dyDescent="0.3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ht="15.75" hidden="1" thickBot="1" x14ac:dyDescent="0.3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ht="15.75" hidden="1" thickBot="1" x14ac:dyDescent="0.3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ht="15.75" hidden="1" thickBot="1" x14ac:dyDescent="0.3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894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ht="15.75" hidden="1" thickBot="1" x14ac:dyDescent="0.3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ht="15.75" hidden="1" thickBot="1" x14ac:dyDescent="0.3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ht="15.75" hidden="1" thickBot="1" x14ac:dyDescent="0.3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ht="15.75" hidden="1" thickBot="1" x14ac:dyDescent="0.3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894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ht="15.75" hidden="1" thickBot="1" x14ac:dyDescent="0.3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ht="15.75" hidden="1" thickBot="1" x14ac:dyDescent="0.3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ht="15.75" hidden="1" thickBot="1" x14ac:dyDescent="0.3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ht="15.75" hidden="1" thickBot="1" x14ac:dyDescent="0.3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894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ht="15.75" hidden="1" thickBot="1" x14ac:dyDescent="0.3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ht="15.75" hidden="1" thickBot="1" x14ac:dyDescent="0.3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ht="15.75" hidden="1" thickBot="1" x14ac:dyDescent="0.3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hidden="1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894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ht="15.75" hidden="1" thickBot="1" x14ac:dyDescent="0.3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ht="15.75" hidden="1" thickBot="1" x14ac:dyDescent="0.3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ht="15.75" hidden="1" thickBot="1" x14ac:dyDescent="0.3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ht="15.75" hidden="1" thickBot="1" x14ac:dyDescent="0.3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894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ht="15.75" hidden="1" thickBot="1" x14ac:dyDescent="0.3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ht="15.75" hidden="1" thickBot="1" x14ac:dyDescent="0.3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ht="15.75" hidden="1" thickBot="1" x14ac:dyDescent="0.3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ht="15.75" hidden="1" thickBot="1" x14ac:dyDescent="0.3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894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ht="15.75" hidden="1" thickBot="1" x14ac:dyDescent="0.3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ht="15.75" hidden="1" thickBot="1" x14ac:dyDescent="0.3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ht="15.75" hidden="1" thickBot="1" x14ac:dyDescent="0.3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ht="15.75" hidden="1" thickBot="1" x14ac:dyDescent="0.3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894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ht="15.75" hidden="1" thickBot="1" x14ac:dyDescent="0.3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ht="15.75" hidden="1" thickBot="1" x14ac:dyDescent="0.3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ht="15.75" hidden="1" thickBot="1" x14ac:dyDescent="0.3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hidden="1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894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ht="15.75" hidden="1" thickBot="1" x14ac:dyDescent="0.3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ht="15.75" hidden="1" thickBot="1" x14ac:dyDescent="0.3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ht="15.75" hidden="1" thickBot="1" x14ac:dyDescent="0.3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ht="15.75" hidden="1" thickBot="1" x14ac:dyDescent="0.3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894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ht="15.75" hidden="1" thickBot="1" x14ac:dyDescent="0.3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ht="15.75" hidden="1" thickBot="1" x14ac:dyDescent="0.3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ht="15.75" hidden="1" thickBot="1" x14ac:dyDescent="0.3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ht="15.75" hidden="1" thickBot="1" x14ac:dyDescent="0.3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894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ht="15.75" hidden="1" thickBot="1" x14ac:dyDescent="0.3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ht="15.75" hidden="1" thickBot="1" x14ac:dyDescent="0.3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ht="15.75" hidden="1" thickBot="1" x14ac:dyDescent="0.3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ht="15.75" hidden="1" thickBot="1" x14ac:dyDescent="0.3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894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ht="15.75" hidden="1" thickBot="1" x14ac:dyDescent="0.3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ht="15.75" hidden="1" thickBot="1" x14ac:dyDescent="0.3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ht="15.75" hidden="1" thickBot="1" x14ac:dyDescent="0.3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hidden="1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894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ht="15.75" hidden="1" thickBot="1" x14ac:dyDescent="0.3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ht="15.75" hidden="1" thickBot="1" x14ac:dyDescent="0.3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ht="15.75" hidden="1" thickBot="1" x14ac:dyDescent="0.3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ht="15.75" hidden="1" thickBot="1" x14ac:dyDescent="0.3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894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ht="15.75" hidden="1" thickBot="1" x14ac:dyDescent="0.3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ht="15.75" hidden="1" thickBot="1" x14ac:dyDescent="0.3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ht="15.75" hidden="1" thickBot="1" x14ac:dyDescent="0.3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ht="15.75" hidden="1" thickBot="1" x14ac:dyDescent="0.3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894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ht="15.75" hidden="1" thickBot="1" x14ac:dyDescent="0.3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ht="15.75" hidden="1" thickBot="1" x14ac:dyDescent="0.3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ht="15.75" hidden="1" thickBot="1" x14ac:dyDescent="0.3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ht="15.75" hidden="1" thickBot="1" x14ac:dyDescent="0.3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894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ht="15.75" hidden="1" thickBot="1" x14ac:dyDescent="0.3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ht="15.75" hidden="1" thickBot="1" x14ac:dyDescent="0.3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ht="15.75" hidden="1" thickBot="1" x14ac:dyDescent="0.3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hidden="1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894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ht="15.75" hidden="1" thickBot="1" x14ac:dyDescent="0.3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ht="15.75" hidden="1" thickBot="1" x14ac:dyDescent="0.3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ht="15.75" hidden="1" thickBot="1" x14ac:dyDescent="0.3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-2.6666666666666665</v>
      </c>
      <c r="I81" s="290">
        <f>-VLOOKUP($C81,'Kulstofoptag, skov'!$B$2:$I$13,MATCH(VALUE(RIGHT('Processer - data'!$D81,2)),'Kulstofoptag, skov'!$B$1:$I$1,0),FALSE)</f>
        <v>-2.6666666666666665</v>
      </c>
      <c r="J81" s="290">
        <f>-VLOOKUP($C81,'Kulstofoptag, skov'!$B$2:$I$13,MATCH(VALUE(RIGHT('Processer - data'!$D81,2)),'Kulstofoptag, skov'!$B$1:$I$1,0),FALSE)</f>
        <v>-2.6666666666666665</v>
      </c>
      <c r="K81" s="338"/>
    </row>
    <row r="82" spans="1:11" ht="15.75" hidden="1" thickBot="1" x14ac:dyDescent="0.3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894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ht="15.75" hidden="1" thickBot="1" x14ac:dyDescent="0.3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ht="15.75" hidden="1" thickBot="1" x14ac:dyDescent="0.3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ht="15.75" hidden="1" thickBot="1" x14ac:dyDescent="0.3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-2.6666666666666665</v>
      </c>
      <c r="I85" s="290">
        <f>-VLOOKUP($C85,'Kulstofoptag, skov'!$B$2:$I$13,MATCH(VALUE(RIGHT('Processer - data'!$D85,2)),'Kulstofoptag, skov'!$B$1:$I$1,0),FALSE)</f>
        <v>-2.6666666666666665</v>
      </c>
      <c r="J85" s="290">
        <f>-VLOOKUP($C85,'Kulstofoptag, skov'!$B$2:$I$13,MATCH(VALUE(RIGHT('Processer - data'!$D85,2)),'Kulstofoptag, skov'!$B$1:$I$1,0),FALSE)</f>
        <v>-2.6666666666666665</v>
      </c>
      <c r="K85" s="338"/>
    </row>
    <row r="86" spans="1:11" ht="15.75" hidden="1" thickBot="1" x14ac:dyDescent="0.3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894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ht="15.75" hidden="1" thickBot="1" x14ac:dyDescent="0.3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38"/>
    </row>
    <row r="88" spans="1:11" ht="15.75" hidden="1" thickBot="1" x14ac:dyDescent="0.3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38"/>
    </row>
    <row r="89" spans="1:11" ht="15.75" hidden="1" thickBot="1" x14ac:dyDescent="0.3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-3.3333333333333335</v>
      </c>
      <c r="I89" s="290">
        <f>-VLOOKUP($C89,'Kulstofoptag, skov'!$B$2:$I$13,MATCH(VALUE(RIGHT('Processer - data'!$D89,2)),'Kulstofoptag, skov'!$B$1:$I$1,0),FALSE)</f>
        <v>-3.3333333333333335</v>
      </c>
      <c r="J89" s="290">
        <f>-VLOOKUP($C89,'Kulstofoptag, skov'!$B$2:$I$13,MATCH(VALUE(RIGHT('Processer - data'!$D89,2)),'Kulstofoptag, skov'!$B$1:$I$1,0),FALSE)</f>
        <v>-3.3333333333333335</v>
      </c>
      <c r="K89" s="338"/>
    </row>
    <row r="90" spans="1:11" ht="15.75" hidden="1" thickBot="1" x14ac:dyDescent="0.3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894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290">
        <f>H90</f>
        <v>-0.14351851851851852</v>
      </c>
      <c r="J90" s="290">
        <f>I90</f>
        <v>-0.14351851851851852</v>
      </c>
      <c r="K90" s="338"/>
    </row>
    <row r="91" spans="1:11" ht="15.75" hidden="1" thickBot="1" x14ac:dyDescent="0.3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38"/>
    </row>
    <row r="92" spans="1:11" ht="15.75" hidden="1" thickBot="1" x14ac:dyDescent="0.3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38"/>
    </row>
    <row r="93" spans="1:11" ht="15.75" hidden="1" thickBot="1" x14ac:dyDescent="0.3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-4.333333333333333</v>
      </c>
      <c r="I93" s="290">
        <f>-VLOOKUP($C93,'Kulstofoptag, skov'!$B$2:$I$13,MATCH(VALUE(RIGHT('Processer - data'!$D93,2)),'Kulstofoptag, skov'!$B$1:$I$1,0),FALSE)</f>
        <v>-4.333333333333333</v>
      </c>
      <c r="J93" s="290">
        <f>-VLOOKUP($C93,'Kulstofoptag, skov'!$B$2:$I$13,MATCH(VALUE(RIGHT('Processer - data'!$D93,2)),'Kulstofoptag, skov'!$B$1:$I$1,0),FALSE)</f>
        <v>-4.333333333333333</v>
      </c>
      <c r="K93" s="338"/>
    </row>
    <row r="94" spans="1:11" ht="15.75" hidden="1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894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443">
        <f>H94</f>
        <v>-1.725490196078431</v>
      </c>
      <c r="J94" s="443">
        <f>I94</f>
        <v>-1.725490196078431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0.12546743028681259</v>
      </c>
      <c r="I101" s="447">
        <f>Dyrehold!$M$5</f>
        <v>0.12546743028681259</v>
      </c>
      <c r="J101" s="447">
        <f>Dyrehold!$M$5</f>
        <v>0.12546743028681259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0.13801417331549384</v>
      </c>
      <c r="I108" s="170">
        <f>Dyrehold!$M$6</f>
        <v>0.13801417331549384</v>
      </c>
      <c r="J108" s="170">
        <f>Dyrehold!$M$6</f>
        <v>0.13801417331549384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3.1715240866672119</v>
      </c>
      <c r="I116" s="170">
        <f>Dyrehold!$M$7</f>
        <v>3.1715240866672119</v>
      </c>
      <c r="J116" s="170">
        <f>Dyrehold!$M$7</f>
        <v>3.1715240866672119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2.6521826227537644</v>
      </c>
      <c r="I124" s="170">
        <f>Dyrehold!$M$8</f>
        <v>2.6521826227537644</v>
      </c>
      <c r="J124" s="170">
        <f>Dyrehold!$M$8</f>
        <v>2.6521826227537644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7.99210246451366E-4</v>
      </c>
      <c r="I132" s="170">
        <f>Dyrehold!$M$9</f>
        <v>7.99210246451366E-4</v>
      </c>
      <c r="J132" s="170">
        <f>Dyrehold!$M$9</f>
        <v>7.99210246451366E-4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8.7913127109650257E-4</v>
      </c>
      <c r="I140" s="170">
        <f>Dyrehold!$M$10</f>
        <v>8.7913127109650257E-4</v>
      </c>
      <c r="J140" s="170">
        <f>Dyrehold!$M$10</f>
        <v>8.7913127109650257E-4</v>
      </c>
      <c r="K140" s="145"/>
    </row>
    <row r="141" spans="1:11" ht="15.75" hidden="1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ht="15.75" hidden="1" thickTop="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ht="15.75" hidden="1" thickTop="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hidden="1" thickTop="1" x14ac:dyDescent="0.25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hidden="1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ht="15.75" hidden="1" thickTop="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ht="15.75" hidden="1" thickTop="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hidden="1" thickTop="1" x14ac:dyDescent="0.25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hidden="1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ht="15.75" hidden="1" thickTop="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ht="15.75" hidden="1" thickTop="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hidden="1" thickTop="1" x14ac:dyDescent="0.25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hidden="1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ht="15.75" hidden="1" thickTop="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ht="15.75" hidden="1" thickTop="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6.5" hidden="1" thickTop="1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hidden="1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ht="15.75" hidden="1" thickTop="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ht="15.75" hidden="1" thickTop="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6.5" hidden="1" thickTop="1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hidden="1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ht="15.75" hidden="1" thickTop="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ht="15.75" hidden="1" thickTop="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6.5" hidden="1" thickTop="1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hidden="1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ht="15.75" hidden="1" thickTop="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6.5" hidden="1" thickTop="1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hidden="1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ht="15.75" hidden="1" thickTop="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6.5" hidden="1" thickTop="1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hidden="1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ht="15.75" hidden="1" thickTop="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6.5" hidden="1" thickTop="1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hidden="1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ht="15.75" hidden="1" thickTop="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6.5" hidden="1" thickTop="1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hidden="1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ht="15.75" hidden="1" thickTop="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6.5" hidden="1" thickTop="1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hidden="1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ht="15.75" hidden="1" thickTop="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6.5" hidden="1" thickTop="1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hidden="1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ht="15.75" hidden="1" thickTop="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hidden="1" thickTop="1" x14ac:dyDescent="0.25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hidden="1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ht="15.75" hidden="1" thickTop="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6.5" hidden="1" thickTop="1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hidden="1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ht="15.75" hidden="1" thickTop="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6.5" hidden="1" thickTop="1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hidden="1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ht="15.75" hidden="1" thickTop="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6.5" hidden="1" thickTop="1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hidden="1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ht="15.75" hidden="1" thickTop="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6.5" hidden="1" thickTop="1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hidden="1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ht="15.75" hidden="1" thickTop="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6.5" hidden="1" thickTop="1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hidden="1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ht="15.75" hidden="1" thickTop="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6.5" hidden="1" thickTop="1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hidden="1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ht="15.75" hidden="1" thickTop="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6.5" hidden="1" thickTop="1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hidden="1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ht="15.75" hidden="1" thickTop="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6.5" hidden="1" thickTop="1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hidden="1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ht="15.75" hidden="1" thickTop="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6.5" hidden="1" thickTop="1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hidden="1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ht="15.75" hidden="1" thickTop="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6.5" hidden="1" thickTop="1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hidden="1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ht="15.75" hidden="1" thickTop="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6.5" hidden="1" thickTop="1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hidden="1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ht="15.75" hidden="1" thickTop="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6.5" hidden="1" thickTop="1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hidden="1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ht="15.75" hidden="1" thickTop="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6.5" hidden="1" thickTop="1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hidden="1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ht="15.75" hidden="1" thickTop="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ht="15.75" hidden="1" thickTop="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6.5" hidden="1" thickTop="1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hidden="1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ht="15.75" hidden="1" thickTop="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ht="15.75" hidden="1" thickTop="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6.5" hidden="1" thickTop="1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hidden="1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ht="15.75" hidden="1" thickTop="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ht="15.75" hidden="1" thickTop="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6.5" hidden="1" thickTop="1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hidden="1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ht="15.75" hidden="1" thickTop="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ht="15.75" hidden="1" thickTop="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6.5" hidden="1" thickTop="1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hidden="1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ht="15.75" hidden="1" thickTop="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ht="15.75" hidden="1" thickTop="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6.5" hidden="1" thickTop="1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hidden="1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ht="15.75" hidden="1" thickTop="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ht="15.75" hidden="1" thickTop="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6.5" hidden="1" thickTop="1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hidden="1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ht="15.75" hidden="1" thickTop="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6.5" hidden="1" thickTop="1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hidden="1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ht="15.75" hidden="1" thickTop="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6.5" hidden="1" thickTop="1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hidden="1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ht="15.75" hidden="1" thickTop="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6.5" hidden="1" thickTop="1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hidden="1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ht="15.75" hidden="1" thickTop="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6.5" hidden="1" thickTop="1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hidden="1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ht="15.75" hidden="1" thickTop="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6.5" hidden="1" thickTop="1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hidden="1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ht="15.75" hidden="1" thickTop="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6.5" hidden="1" thickTop="1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hidden="1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ht="15.75" hidden="1" thickTop="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6.5" hidden="1" thickTop="1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hidden="1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ht="15.75" hidden="1" thickTop="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6.5" hidden="1" thickTop="1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hidden="1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ht="15.75" hidden="1" thickTop="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6.5" hidden="1" thickTop="1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hidden="1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ht="15.75" hidden="1" thickTop="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6.5" hidden="1" thickTop="1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hidden="1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ht="15.75" hidden="1" thickTop="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6.5" hidden="1" thickTop="1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hidden="1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ht="15.75" hidden="1" thickTop="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6.5" hidden="1" thickTop="1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hidden="1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ht="15.75" hidden="1" thickTop="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6.5" hidden="1" thickTop="1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hidden="1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ht="15.75" hidden="1" thickTop="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6.5" hidden="1" thickTop="1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hidden="1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ht="15.75" hidden="1" thickTop="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6.5" hidden="1" thickTop="1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hidden="1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ht="15.75" hidden="1" thickTop="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6.5" hidden="1" thickTop="1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hidden="1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ht="15.75" hidden="1" thickTop="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6.5" hidden="1" thickTop="1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hidden="1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ht="15.75" hidden="1" thickTop="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6.5" hidden="1" thickTop="1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hidden="1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ht="15.75" hidden="1" thickTop="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6.5" hidden="1" thickTop="1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hidden="1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ht="15.75" hidden="1" thickTop="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6.5" hidden="1" thickTop="1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hidden="1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ht="15.75" hidden="1" thickTop="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6.5" hidden="1" thickTop="1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hidden="1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ht="15.75" hidden="1" thickTop="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6.5" hidden="1" thickTop="1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hidden="1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ht="15.75" hidden="1" thickTop="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6.5" hidden="1" thickTop="1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hidden="1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ht="15.75" hidden="1" thickTop="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6.5" hidden="1" thickTop="1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hidden="1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ht="15.75" hidden="1" thickTop="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ht="15.75" hidden="1" thickTop="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6.5" hidden="1" thickTop="1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hidden="1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ht="15.75" hidden="1" thickTop="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ht="15.75" hidden="1" thickTop="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6.5" hidden="1" thickTop="1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hidden="1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ht="15.75" hidden="1" thickTop="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ht="15.75" hidden="1" thickTop="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6.5" hidden="1" thickTop="1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hidden="1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ht="15.75" hidden="1" thickTop="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ht="15.75" hidden="1" thickTop="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6.5" hidden="1" thickTop="1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hidden="1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ht="15.75" hidden="1" thickTop="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ht="15.75" hidden="1" thickTop="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6.5" hidden="1" thickTop="1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hidden="1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ht="15.75" hidden="1" thickTop="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ht="15.75" hidden="1" thickTop="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6.5" hidden="1" thickTop="1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hidden="1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ht="15.75" hidden="1" thickTop="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ht="15.75" hidden="1" thickTop="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6.5" hidden="1" thickTop="1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hidden="1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ht="15.75" hidden="1" thickTop="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ht="15.75" hidden="1" thickTop="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6.5" hidden="1" thickTop="1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hidden="1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ht="15.75" hidden="1" thickTop="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ht="15.75" hidden="1" thickTop="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6.5" hidden="1" thickTop="1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hidden="1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ht="15.75" hidden="1" thickTop="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ht="15.75" hidden="1" thickTop="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6.5" hidden="1" thickTop="1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hidden="1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ht="15.75" hidden="1" thickTop="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ht="15.75" hidden="1" thickTop="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6.5" hidden="1" thickTop="1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hidden="1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ht="15.75" hidden="1" thickTop="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ht="15.75" hidden="1" thickTop="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6.5" hidden="1" thickTop="1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hidden="1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ht="15.75" hidden="1" thickTop="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6.5" hidden="1" thickTop="1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hidden="1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ht="15.75" hidden="1" thickTop="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6.5" hidden="1" thickTop="1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hidden="1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ht="15.75" hidden="1" thickTop="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6.5" hidden="1" thickTop="1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hidden="1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ht="15.75" hidden="1" thickTop="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6.5" hidden="1" thickTop="1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hidden="1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ht="15.75" hidden="1" thickTop="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6.5" hidden="1" thickTop="1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hidden="1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ht="15.75" hidden="1" thickTop="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6.5" hidden="1" thickTop="1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hidden="1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ht="15.75" hidden="1" thickTop="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6.5" hidden="1" thickTop="1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hidden="1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ht="15.75" hidden="1" thickTop="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6.5" hidden="1" thickTop="1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hidden="1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ht="15.75" hidden="1" thickTop="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6.5" hidden="1" thickTop="1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hidden="1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ht="15.75" hidden="1" thickTop="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6.5" hidden="1" thickTop="1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hidden="1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ht="15.75" hidden="1" thickTop="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6.5" hidden="1" thickTop="1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hidden="1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ht="15.75" hidden="1" thickTop="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6.5" hidden="1" thickTop="1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hidden="1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ht="15.75" hidden="1" thickTop="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6.5" hidden="1" thickTop="1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hidden="1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ht="15.75" hidden="1" thickTop="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6.5" hidden="1" thickTop="1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hidden="1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ht="15.75" hidden="1" thickTop="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6.5" hidden="1" thickTop="1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hidden="1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ht="15.75" hidden="1" thickTop="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6.5" hidden="1" thickTop="1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hidden="1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ht="15.75" hidden="1" thickTop="1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6.5" hidden="1" thickTop="1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hidden="1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ht="15.75" hidden="1" thickTop="1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6.5" hidden="1" thickTop="1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hidden="1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ht="15.75" hidden="1" thickTop="1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hidden="1" thickTop="1" x14ac:dyDescent="0.25">
      <c r="A425" s="180" t="s">
        <v>33</v>
      </c>
      <c r="B425" s="174"/>
      <c r="C425" s="174"/>
      <c r="D425" t="s">
        <v>894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v>0.2</v>
      </c>
      <c r="I425" s="193">
        <f>H425</f>
        <v>0.2</v>
      </c>
      <c r="J425" s="193">
        <v>0.37</v>
      </c>
      <c r="K425" s="145"/>
    </row>
    <row r="426" spans="1:14" ht="15.75" hidden="1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752</v>
      </c>
    </row>
    <row r="427" spans="1:14" ht="15.75" hidden="1" thickTop="1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ht="15.75" hidden="1" thickTop="1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>0.003285</f>
        <v>3.2850000000000002E-3</v>
      </c>
      <c r="J428" s="389">
        <f>0.003285</f>
        <v>3.2850000000000002E-3</v>
      </c>
      <c r="K428" s="145" t="s">
        <v>816</v>
      </c>
    </row>
    <row r="429" spans="1:14" ht="15.75" hidden="1" thickTop="1" x14ac:dyDescent="0.25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752</v>
      </c>
    </row>
    <row r="430" spans="1:14" ht="15.75" hidden="1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>1770.5/18356</f>
        <v>9.6453475702767494E-2</v>
      </c>
      <c r="J430" s="195">
        <f>1770.5/18356</f>
        <v>9.6453475702767494E-2</v>
      </c>
      <c r="K430" s="144" t="s">
        <v>413</v>
      </c>
    </row>
    <row r="431" spans="1:14" ht="15.75" hidden="1" thickTop="1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>21.2/18356*1.6</f>
        <v>1.8478971453475702E-3</v>
      </c>
      <c r="J431" s="197">
        <f>21.2/18356*1.6</f>
        <v>1.8478971453475702E-3</v>
      </c>
      <c r="K431" s="145" t="s">
        <v>500</v>
      </c>
    </row>
    <row r="432" spans="1:14" ht="15.75" hidden="1" thickTop="1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>(90.5+67.4)/18356</f>
        <v>8.602091959032469E-3</v>
      </c>
      <c r="J432" s="197">
        <f>(90.5+67.4)/18356</f>
        <v>8.602091959032469E-3</v>
      </c>
      <c r="K432" s="145" t="s">
        <v>413</v>
      </c>
      <c r="M432" t="s">
        <v>813</v>
      </c>
      <c r="N432">
        <v>1.1855</v>
      </c>
    </row>
    <row r="433" spans="1:11" ht="15.75" hidden="1" thickTop="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>(151.6+4.2)/18356</f>
        <v>8.4876879494443225E-3</v>
      </c>
      <c r="J433" s="197">
        <f>(151.6+4.2)/18356</f>
        <v>8.4876879494443225E-3</v>
      </c>
      <c r="K433" s="145" t="s">
        <v>413</v>
      </c>
    </row>
    <row r="434" spans="1:11" ht="15.75" hidden="1" thickTop="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>123400/495000</f>
        <v>0.24929292929292929</v>
      </c>
      <c r="J434" s="196">
        <f>123400/495000</f>
        <v>0.24929292929292929</v>
      </c>
      <c r="K434" s="145" t="s">
        <v>413</v>
      </c>
    </row>
    <row r="435" spans="1:11" ht="15.75" hidden="1" thickTop="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ht="15.75" hidden="1" thickTop="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>7.9/495</f>
        <v>1.5959595959595962E-2</v>
      </c>
      <c r="J436" s="196">
        <f>7.9/495</f>
        <v>1.5959595959595962E-2</v>
      </c>
      <c r="K436" s="145" t="s">
        <v>413</v>
      </c>
    </row>
    <row r="437" spans="1:11" ht="15.75" hidden="1" thickTop="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>(39.5+19.8+4.4+0.1+17.4)/495</f>
        <v>0.16404040404040401</v>
      </c>
      <c r="J437" s="196">
        <f>(39.5+19.8+4.4+0.1+17.4)/495</f>
        <v>0.16404040404040401</v>
      </c>
      <c r="K437" s="145" t="s">
        <v>413</v>
      </c>
    </row>
    <row r="438" spans="1:11" ht="15.75" hidden="1" thickTop="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>192000/101500000*(1-0.0023)</f>
        <v>1.8872748768472907E-3</v>
      </c>
      <c r="J438" s="197">
        <f>192000/101500000*(1-0.0023)</f>
        <v>1.8872748768472907E-3</v>
      </c>
      <c r="K438" s="145" t="s">
        <v>413</v>
      </c>
    </row>
    <row r="439" spans="1:11" ht="15.75" hidden="1" thickTop="1" x14ac:dyDescent="0.25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>192000/101500000*(0.0023)*1.6</f>
        <v>6.9611822660098529E-6</v>
      </c>
      <c r="J439" s="199">
        <f>192000/101500000*(0.0023)*1.6</f>
        <v>6.9611822660098529E-6</v>
      </c>
      <c r="K439" s="145" t="s">
        <v>500</v>
      </c>
    </row>
    <row r="440" spans="1:11" ht="15.75" hidden="1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ht="15.75" hidden="1" thickTop="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ht="15.75" hidden="1" thickTop="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ht="15.75" hidden="1" thickTop="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ht="15.75" hidden="1" thickTop="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ht="15.75" hidden="1" thickTop="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ht="15.75" hidden="1" thickTop="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ht="15.75" hidden="1" thickTop="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ht="15.75" hidden="1" thickTop="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ht="15.75" hidden="1" thickTop="1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ht="15.75" hidden="1" thickTop="1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ht="15.75" hidden="1" thickTop="1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ht="15.75" hidden="1" thickTop="1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198</v>
      </c>
      <c r="I452" s="187">
        <f>VLOOKUP('Processer - data'!$D452,Foder!$A$2:$C$16,3,FALSE)</f>
        <v>198</v>
      </c>
      <c r="J452" s="187">
        <f>VLOOKUP('Processer - data'!$D452,Foder!$A$2:$C$16,3,FALSE)</f>
        <v>198</v>
      </c>
      <c r="K452" s="145"/>
    </row>
    <row r="453" spans="1:15" ht="15.75" hidden="1" thickTop="1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6.5" hidden="1" thickTop="1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hidden="1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ht="15.75" hidden="1" thickTop="1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ht="15.75" hidden="1" thickTop="1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ht="15.75" hidden="1" thickTop="1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ht="15.75" hidden="1" thickTop="1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 ht="15.75" hidden="1" thickTop="1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ht="15.75" hidden="1" thickTop="1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 ht="15.75" hidden="1" thickTop="1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ht="15.75" hidden="1" thickTop="1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ht="15.75" hidden="1" thickTop="1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ht="15.75" hidden="1" thickTop="1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ht="15.75" hidden="1" thickTop="1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ht="15.75" hidden="1" thickTop="1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ht="15.75" hidden="1" thickTop="1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ht="15.75" hidden="1" thickTop="1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ht="15.75" hidden="1" thickTop="1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ht="15.75" hidden="1" thickTop="1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ht="15.75" hidden="1" thickTop="1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ht="15.75" hidden="1" thickTop="1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hidden="1" thickTop="1" x14ac:dyDescent="0.25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hidden="1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 t="shared" ref="I475:J480" si="0">H475</f>
        <v>5.3</v>
      </c>
      <c r="J475" s="222">
        <f t="shared" si="0"/>
        <v>5.3</v>
      </c>
      <c r="K475" s="144" t="s">
        <v>542</v>
      </c>
    </row>
    <row r="476" spans="1:15" ht="15.75" hidden="1" thickTop="1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si="0"/>
        <v>8</v>
      </c>
      <c r="J476" s="223">
        <f t="shared" si="0"/>
        <v>8</v>
      </c>
      <c r="K476" s="145" t="s">
        <v>542</v>
      </c>
    </row>
    <row r="477" spans="1:15" ht="15.75" hidden="1" thickTop="1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0"/>
        <v>7</v>
      </c>
      <c r="J477" s="223">
        <f t="shared" si="0"/>
        <v>7</v>
      </c>
      <c r="K477" s="145" t="s">
        <v>542</v>
      </c>
    </row>
    <row r="478" spans="1:15" ht="15.75" hidden="1" thickTop="1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0"/>
        <v>14</v>
      </c>
      <c r="J478" s="223">
        <f t="shared" si="0"/>
        <v>14</v>
      </c>
      <c r="K478" s="145" t="s">
        <v>542</v>
      </c>
    </row>
    <row r="479" spans="1:15" ht="15.75" hidden="1" thickTop="1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0"/>
        <v>7</v>
      </c>
      <c r="J479" s="194">
        <f t="shared" si="0"/>
        <v>7</v>
      </c>
      <c r="K479" s="145" t="s">
        <v>412</v>
      </c>
    </row>
    <row r="480" spans="1:15" ht="15.75" hidden="1" thickTop="1" x14ac:dyDescent="0.25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si="0"/>
        <v>160</v>
      </c>
      <c r="J480" s="194">
        <f t="shared" si="0"/>
        <v>160</v>
      </c>
      <c r="K480" s="145" t="s">
        <v>411</v>
      </c>
    </row>
    <row r="481" spans="1:11" ht="15.75" hidden="1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ht="15.75" hidden="1" thickTop="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ht="15.75" hidden="1" thickTop="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ht="15.75" hidden="1" thickTop="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ht="15.75" hidden="1" thickTop="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ht="15.75" hidden="1" thickTop="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ht="15.75" hidden="1" thickTop="1" x14ac:dyDescent="0.25">
      <c r="A487" s="180" t="s">
        <v>398</v>
      </c>
      <c r="B487" s="174"/>
      <c r="C487" s="174"/>
      <c r="D487" t="s">
        <v>880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ht="15.75" hidden="1" thickTop="1" x14ac:dyDescent="0.25">
      <c r="A488" s="180" t="s">
        <v>398</v>
      </c>
      <c r="B488" s="174"/>
      <c r="C488" s="174"/>
      <c r="D488" t="s">
        <v>868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6.5" hidden="1" thickTop="1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hidden="1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">H490</f>
        <v>0.16717139181723129</v>
      </c>
      <c r="J490" s="169">
        <f t="shared" si="1"/>
        <v>0.16717139181723129</v>
      </c>
      <c r="K490" s="144"/>
    </row>
    <row r="491" spans="1:11" ht="15.75" hidden="1" thickTop="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"/>
        <v>0.34417639491782914</v>
      </c>
      <c r="J491" s="163">
        <f t="shared" si="1"/>
        <v>0.34417639491782914</v>
      </c>
      <c r="K491" s="145"/>
    </row>
    <row r="492" spans="1:11" ht="16.5" hidden="1" thickTop="1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"/>
        <v>0.48865221326493952</v>
      </c>
      <c r="J492" s="170">
        <f t="shared" si="1"/>
        <v>0.48865221326493952</v>
      </c>
      <c r="K492" s="147"/>
    </row>
    <row r="493" spans="1:11" ht="15.75" hidden="1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J497" si="2">H493</f>
        <v>0.5</v>
      </c>
      <c r="J493" s="169">
        <f t="shared" si="2"/>
        <v>0.5</v>
      </c>
      <c r="K493" s="144"/>
    </row>
    <row r="494" spans="1:11" ht="16.5" hidden="1" thickTop="1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2"/>
        <v>0.32</v>
      </c>
      <c r="J494" s="170">
        <f t="shared" si="2"/>
        <v>0.32</v>
      </c>
      <c r="K494" s="147"/>
    </row>
    <row r="495" spans="1:11" ht="15.75" hidden="1" thickTop="1" x14ac:dyDescent="0.25">
      <c r="A495" s="179" t="s">
        <v>866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2"/>
        <v>-0.65266666666666662</v>
      </c>
      <c r="J495" s="169">
        <f t="shared" si="2"/>
        <v>-0.65266666666666662</v>
      </c>
      <c r="K495" s="144"/>
    </row>
    <row r="496" spans="1:11" ht="15.75" hidden="1" thickTop="1" x14ac:dyDescent="0.25">
      <c r="A496" s="180" t="s">
        <v>866</v>
      </c>
      <c r="B496" s="174"/>
      <c r="C496" s="174"/>
      <c r="D496" t="s">
        <v>37</v>
      </c>
      <c r="E496" t="str">
        <f>IFERROR(VLOOKUP(D496,Table2[],2,FALSE),"")</f>
        <v>Ton</v>
      </c>
      <c r="F496" t="s">
        <v>880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2"/>
        <v>0.14000000000000001</v>
      </c>
      <c r="J496" s="163">
        <f t="shared" si="2"/>
        <v>0.14000000000000001</v>
      </c>
      <c r="K496" s="145"/>
    </row>
    <row r="497" spans="1:11" ht="16.5" hidden="1" thickTop="1" thickBot="1" x14ac:dyDescent="0.3">
      <c r="A497" s="181" t="s">
        <v>866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868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2"/>
        <v>0.56000000000000005</v>
      </c>
      <c r="J497" s="170">
        <f t="shared" si="2"/>
        <v>0.56000000000000005</v>
      </c>
      <c r="K497" s="147"/>
    </row>
    <row r="498" spans="1:11" ht="15.75" thickTop="1" x14ac:dyDescent="0.25"/>
  </sheetData>
  <autoFilter ref="A2:O497" xr:uid="{8B1B2767-000A-4BCC-AA7A-47421BF47247}">
    <filterColumn colId="0">
      <filters>
        <filter val="Fjerkræbrug"/>
        <filter val="Grisestald"/>
        <filter val="Kostald"/>
      </filters>
    </filterColumn>
  </autoFilter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866</v>
      </c>
      <c r="B25" s="166" t="s">
        <v>867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894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868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880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G3" sqref="G3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7"/>
      <c r="B2" s="7"/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803</v>
      </c>
    </row>
    <row r="3" spans="1:9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</row>
    <row r="4" spans="1:9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</row>
    <row r="5" spans="1:9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</row>
    <row r="6" spans="1:9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7" t="s">
        <v>751</v>
      </c>
      <c r="B10" s="7">
        <f>B11/B12</f>
        <v>0.30562345796166263</v>
      </c>
    </row>
    <row r="11" spans="1:9" x14ac:dyDescent="0.25">
      <c r="A11" s="7" t="s">
        <v>753</v>
      </c>
      <c r="B11" s="7">
        <f>(1582.7+27.63)*1000000</f>
        <v>1610330000.0000002</v>
      </c>
    </row>
    <row r="12" spans="1:9" x14ac:dyDescent="0.25">
      <c r="A12" s="7" t="s">
        <v>770</v>
      </c>
      <c r="B12" s="7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22" t="s">
        <v>869</v>
      </c>
      <c r="B15" s="422">
        <f>H22</f>
        <v>-0.65266666666666662</v>
      </c>
      <c r="C15" s="422" t="s">
        <v>878</v>
      </c>
    </row>
    <row r="16" spans="1:9" x14ac:dyDescent="0.25">
      <c r="A16" s="422" t="s">
        <v>880</v>
      </c>
      <c r="B16" s="422">
        <f>B23/1000</f>
        <v>0.14000000000000001</v>
      </c>
      <c r="C16" s="422" t="s">
        <v>879</v>
      </c>
    </row>
    <row r="17" spans="1:12" x14ac:dyDescent="0.25">
      <c r="A17" s="422" t="s">
        <v>868</v>
      </c>
      <c r="B17" s="422">
        <f>B24/1000</f>
        <v>0.56000000000000005</v>
      </c>
      <c r="C17" s="422" t="s">
        <v>879</v>
      </c>
    </row>
    <row r="19" spans="1:12" ht="15.75" thickBot="1" x14ac:dyDescent="0.3">
      <c r="A19" t="s">
        <v>870</v>
      </c>
      <c r="B19"/>
      <c r="C19"/>
      <c r="D19"/>
      <c r="E19"/>
      <c r="F19"/>
      <c r="G19"/>
      <c r="H19" t="s">
        <v>883</v>
      </c>
      <c r="I19"/>
      <c r="J19"/>
      <c r="K19"/>
      <c r="L19"/>
    </row>
    <row r="20" spans="1:12" ht="15.75" thickBot="1" x14ac:dyDescent="0.3">
      <c r="A20" s="413"/>
      <c r="B20" s="413" t="s">
        <v>871</v>
      </c>
      <c r="C20" s="414"/>
      <c r="D20" s="413" t="s">
        <v>400</v>
      </c>
      <c r="E20" s="414"/>
      <c r="F20" s="156" t="s">
        <v>872</v>
      </c>
      <c r="G20" s="156"/>
      <c r="H20" s="423" t="s">
        <v>873</v>
      </c>
      <c r="I20" s="423" t="s">
        <v>804</v>
      </c>
      <c r="J20" s="423"/>
      <c r="K20" s="415" t="s">
        <v>874</v>
      </c>
      <c r="L20" s="415" t="s">
        <v>875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876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877</v>
      </c>
      <c r="L22" s="415">
        <v>16</v>
      </c>
    </row>
    <row r="23" spans="1:12" x14ac:dyDescent="0.25">
      <c r="A23" s="415" t="s">
        <v>880</v>
      </c>
      <c r="B23" s="415">
        <v>140</v>
      </c>
      <c r="C23" s="419">
        <v>0.14000000000000001</v>
      </c>
      <c r="D23" s="415">
        <f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>D23/(B23/1000)</f>
        <v>3.326857142857142E-5</v>
      </c>
      <c r="J23" s="423"/>
      <c r="K23" s="415"/>
      <c r="L23" s="415"/>
    </row>
    <row r="24" spans="1:12" x14ac:dyDescent="0.25">
      <c r="A24" s="415" t="s">
        <v>868</v>
      </c>
      <c r="B24" s="415">
        <v>560</v>
      </c>
      <c r="C24" s="419">
        <v>0.56000000000000005</v>
      </c>
      <c r="D24" s="415">
        <f>$D$21*E24</f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>D24/(B24/1000)</f>
        <v>8.9614285714285689E-6</v>
      </c>
      <c r="J24" s="423"/>
      <c r="K24" s="415"/>
      <c r="L24" s="415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779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780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B17" sqref="B17:C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59" t="s">
        <v>58</v>
      </c>
      <c r="C10" s="459"/>
      <c r="D10" s="459"/>
      <c r="E10" s="459"/>
      <c r="F10" s="459"/>
      <c r="G10" s="460"/>
    </row>
    <row r="11" spans="1:7" x14ac:dyDescent="0.25">
      <c r="A11" s="36"/>
      <c r="B11" s="459" t="s">
        <v>65</v>
      </c>
      <c r="C11" s="459"/>
      <c r="D11" s="459"/>
      <c r="E11" s="459"/>
      <c r="F11" s="459"/>
      <c r="G11" s="460"/>
    </row>
    <row r="12" spans="1:7" ht="28.5" customHeight="1" x14ac:dyDescent="0.25">
      <c r="A12" s="37"/>
      <c r="B12" s="461" t="s">
        <v>59</v>
      </c>
      <c r="C12" s="461"/>
      <c r="D12" s="461"/>
      <c r="E12" s="461"/>
      <c r="F12" s="461"/>
      <c r="G12" s="462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69" t="s">
        <v>112</v>
      </c>
      <c r="B42" s="85" t="s">
        <v>111</v>
      </c>
      <c r="C42" s="471">
        <v>1.6</v>
      </c>
      <c r="D42" s="471">
        <v>1</v>
      </c>
      <c r="E42" s="471">
        <v>0.3</v>
      </c>
      <c r="F42" s="471">
        <v>0.3</v>
      </c>
      <c r="G42" s="471">
        <v>0</v>
      </c>
      <c r="H42" s="463">
        <v>5.9</v>
      </c>
      <c r="I42" s="465">
        <v>0</v>
      </c>
      <c r="J42" s="467">
        <v>12.2</v>
      </c>
    </row>
    <row r="43" spans="1:10" x14ac:dyDescent="0.25">
      <c r="A43" s="470"/>
      <c r="B43" s="83">
        <v>3.2</v>
      </c>
      <c r="C43" s="472"/>
      <c r="D43" s="472"/>
      <c r="E43" s="472"/>
      <c r="F43" s="472"/>
      <c r="G43" s="472"/>
      <c r="H43" s="464"/>
      <c r="I43" s="466"/>
      <c r="J43" s="468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886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724</v>
      </c>
      <c r="F2" s="162"/>
      <c r="G2" s="162" t="s">
        <v>746</v>
      </c>
      <c r="H2" s="162"/>
      <c r="I2" s="344"/>
      <c r="K2" s="337" t="s">
        <v>62</v>
      </c>
      <c r="L2" t="s">
        <v>724</v>
      </c>
      <c r="O2" s="162"/>
      <c r="P2" s="162" t="s">
        <v>746</v>
      </c>
      <c r="Q2" s="162"/>
      <c r="R2" s="344"/>
      <c r="T2" s="337" t="s">
        <v>62</v>
      </c>
      <c r="U2" t="s">
        <v>724</v>
      </c>
      <c r="X2" s="162"/>
      <c r="Y2" s="162" t="s">
        <v>746</v>
      </c>
      <c r="Z2" s="162"/>
      <c r="AA2" s="344"/>
    </row>
    <row r="3" spans="1:27" x14ac:dyDescent="0.25">
      <c r="B3" s="337" t="s">
        <v>768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768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768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>SUM(C4,L4)</f>
        <v>1325250.4726813775</v>
      </c>
      <c r="V4">
        <f>SUM(D4,M4)</f>
        <v>30981.331745759828</v>
      </c>
      <c r="W4">
        <f>SUM(E4,N4)</f>
        <v>15097.195572862413</v>
      </c>
      <c r="X4" s="162" t="s">
        <v>11</v>
      </c>
      <c r="Y4" s="326">
        <f>U4/SUM(U$4:U$17)</f>
        <v>0.53753334285647836</v>
      </c>
      <c r="Z4" s="326">
        <f>V4/SUM(V$4:V$17)</f>
        <v>0.3103851136120081</v>
      </c>
      <c r="AA4" s="339">
        <f>W4/SUM(W$4:W$17)</f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6">$B5*F22</f>
        <v>69368.365239349441</v>
      </c>
      <c r="D5">
        <f t="shared" ref="D5:D17" si="7">$B5*G22</f>
        <v>2012.0664181985262</v>
      </c>
      <c r="E5">
        <f t="shared" si="0"/>
        <v>658.56834245203004</v>
      </c>
      <c r="F5" s="162" t="s">
        <v>14</v>
      </c>
      <c r="G5" s="326">
        <f t="shared" ref="G5:G17" si="8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9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0">SUM(B5,K5)</f>
        <v>79310</v>
      </c>
      <c r="U5">
        <f t="shared" ref="U5:U17" si="11">SUM(C5,L5)</f>
        <v>76369.814227471288</v>
      </c>
      <c r="V5">
        <f t="shared" ref="V5:V17" si="12">SUM(D5,M5)</f>
        <v>2215.1471789908956</v>
      </c>
      <c r="W5">
        <f t="shared" ref="W5:W17" si="13">SUM(E5,N5)</f>
        <v>725.03859353781286</v>
      </c>
      <c r="X5" s="162" t="s">
        <v>14</v>
      </c>
      <c r="Y5" s="326">
        <f t="shared" ref="Y5:Y17" si="14">U5/SUM(U$4:U$17)</f>
        <v>3.0976273829928767E-2</v>
      </c>
      <c r="Z5" s="326">
        <f t="shared" ref="Z5:Z17" si="15">V5/SUM(V$4:V$17)</f>
        <v>2.2192354881984948E-2</v>
      </c>
      <c r="AA5" s="339">
        <f t="shared" ref="AA5:AA17" si="16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6"/>
        <v>116652.69730542703</v>
      </c>
      <c r="D6">
        <f t="shared" si="7"/>
        <v>2154.4865125770075</v>
      </c>
      <c r="E6">
        <f t="shared" si="0"/>
        <v>852.8161819959488</v>
      </c>
      <c r="F6" s="162" t="s">
        <v>167</v>
      </c>
      <c r="G6" s="326">
        <f t="shared" si="8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9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0"/>
        <v>165218</v>
      </c>
      <c r="U6">
        <f t="shared" si="11"/>
        <v>161065.73076556949</v>
      </c>
      <c r="V6">
        <f t="shared" si="12"/>
        <v>2974.7614293410334</v>
      </c>
      <c r="W6">
        <f t="shared" si="13"/>
        <v>1177.5078050894758</v>
      </c>
      <c r="X6" s="162" t="s">
        <v>167</v>
      </c>
      <c r="Y6" s="326">
        <f t="shared" si="14"/>
        <v>6.5329688585482673E-2</v>
      </c>
      <c r="Z6" s="326">
        <f t="shared" si="15"/>
        <v>2.9802516941222323E-2</v>
      </c>
      <c r="AA6" s="339">
        <f t="shared" si="16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6"/>
        <v>222420.00470920876</v>
      </c>
      <c r="D7">
        <f t="shared" si="7"/>
        <v>19882.362025663842</v>
      </c>
      <c r="E7">
        <f t="shared" si="0"/>
        <v>19668.633265127406</v>
      </c>
      <c r="F7" s="162" t="s">
        <v>13</v>
      </c>
      <c r="G7" s="326">
        <f t="shared" si="8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9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0"/>
        <v>293751</v>
      </c>
      <c r="U7">
        <f t="shared" si="11"/>
        <v>249402.02848152956</v>
      </c>
      <c r="V7">
        <f t="shared" si="12"/>
        <v>22294.313979031187</v>
      </c>
      <c r="W7">
        <f t="shared" si="13"/>
        <v>22054.657539439253</v>
      </c>
      <c r="X7" s="162" t="s">
        <v>13</v>
      </c>
      <c r="Y7" s="326">
        <f t="shared" si="14"/>
        <v>0.10115967422642448</v>
      </c>
      <c r="Z7" s="326">
        <f t="shared" si="15"/>
        <v>0.22335460702816423</v>
      </c>
      <c r="AA7" s="339">
        <f t="shared" si="16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6"/>
        <v>8607.1483465005567</v>
      </c>
      <c r="D8">
        <f t="shared" si="7"/>
        <v>92.990555049124993</v>
      </c>
      <c r="E8">
        <f t="shared" si="0"/>
        <v>22.861098450319325</v>
      </c>
      <c r="F8" s="162" t="s">
        <v>12</v>
      </c>
      <c r="G8" s="326">
        <f t="shared" si="8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9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0"/>
        <v>13008</v>
      </c>
      <c r="U8">
        <f t="shared" si="11"/>
        <v>12835.238529322392</v>
      </c>
      <c r="V8">
        <f t="shared" si="12"/>
        <v>138.67031297478138</v>
      </c>
      <c r="W8">
        <f t="shared" si="13"/>
        <v>34.091157702826294</v>
      </c>
      <c r="X8" s="162" t="s">
        <v>12</v>
      </c>
      <c r="Y8" s="326">
        <f t="shared" si="14"/>
        <v>5.2060865589185204E-3</v>
      </c>
      <c r="Z8" s="326">
        <f t="shared" si="15"/>
        <v>1.3892624500617522E-3</v>
      </c>
      <c r="AA8" s="339">
        <f t="shared" si="16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6"/>
        <v>51273.875513650157</v>
      </c>
      <c r="D9">
        <f t="shared" si="7"/>
        <v>1468.0798414882997</v>
      </c>
      <c r="E9">
        <f t="shared" si="0"/>
        <v>1210.0446448615455</v>
      </c>
      <c r="F9" s="162" t="s">
        <v>178</v>
      </c>
      <c r="G9" s="326">
        <f t="shared" si="8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9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0"/>
        <v>56806</v>
      </c>
      <c r="U9">
        <f t="shared" si="11"/>
        <v>53986.205746374755</v>
      </c>
      <c r="V9">
        <f t="shared" si="12"/>
        <v>1545.7396106832807</v>
      </c>
      <c r="W9">
        <f t="shared" si="13"/>
        <v>1274.054642941966</v>
      </c>
      <c r="X9" s="162" t="s">
        <v>178</v>
      </c>
      <c r="Y9" s="326">
        <f t="shared" si="14"/>
        <v>2.189728375215861E-2</v>
      </c>
      <c r="Z9" s="326">
        <f t="shared" si="15"/>
        <v>1.5485924511368826E-2</v>
      </c>
      <c r="AA9" s="339">
        <f t="shared" si="16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6"/>
        <v>5005.3989577717884</v>
      </c>
      <c r="D10">
        <f t="shared" si="7"/>
        <v>38.515543575920923</v>
      </c>
      <c r="E10">
        <f t="shared" si="0"/>
        <v>13.085498652291111</v>
      </c>
      <c r="F10" s="162" t="s">
        <v>42</v>
      </c>
      <c r="G10" s="326">
        <f t="shared" si="8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9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0"/>
        <v>33544</v>
      </c>
      <c r="U10">
        <f t="shared" si="11"/>
        <v>33201.720909530726</v>
      </c>
      <c r="V10">
        <f t="shared" si="12"/>
        <v>255.48059990324134</v>
      </c>
      <c r="W10">
        <f t="shared" si="13"/>
        <v>86.798490566037771</v>
      </c>
      <c r="X10" s="162" t="s">
        <v>42</v>
      </c>
      <c r="Y10" s="326">
        <f t="shared" si="14"/>
        <v>1.3466912404096722E-2</v>
      </c>
      <c r="Z10" s="326">
        <f t="shared" si="15"/>
        <v>2.5595211877063469E-3</v>
      </c>
      <c r="AA10" s="339">
        <f t="shared" si="16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6"/>
        <v>171407.91225809458</v>
      </c>
      <c r="D11">
        <f t="shared" si="7"/>
        <v>4971.7778828726805</v>
      </c>
      <c r="E11">
        <f t="shared" si="0"/>
        <v>1627.3098590327256</v>
      </c>
      <c r="F11" s="162" t="s">
        <v>15</v>
      </c>
      <c r="G11" s="326">
        <f t="shared" si="8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9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0"/>
        <v>186289</v>
      </c>
      <c r="U11">
        <f t="shared" si="11"/>
        <v>179382.88138471061</v>
      </c>
      <c r="V11">
        <f t="shared" si="12"/>
        <v>5203.0961143239801</v>
      </c>
      <c r="W11">
        <f t="shared" si="13"/>
        <v>1703.0225009653971</v>
      </c>
      <c r="X11" s="162" t="s">
        <v>15</v>
      </c>
      <c r="Y11" s="326">
        <f t="shared" si="14"/>
        <v>7.2759287296729286E-2</v>
      </c>
      <c r="Z11" s="326">
        <f t="shared" si="15"/>
        <v>5.2126990273737149E-2</v>
      </c>
      <c r="AA11" s="339">
        <f t="shared" si="16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6"/>
        <v>3149.6677342606863</v>
      </c>
      <c r="D12">
        <f t="shared" si="7"/>
        <v>84.698510248354609</v>
      </c>
      <c r="E12">
        <f t="shared" si="0"/>
        <v>46.633755490958848</v>
      </c>
      <c r="F12" s="162" t="s">
        <v>143</v>
      </c>
      <c r="G12" s="326">
        <f t="shared" si="8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9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0"/>
        <v>5214</v>
      </c>
      <c r="U12">
        <f t="shared" si="11"/>
        <v>5005.2933759327088</v>
      </c>
      <c r="V12">
        <f t="shared" si="12"/>
        <v>134.59860787409963</v>
      </c>
      <c r="W12">
        <f t="shared" si="13"/>
        <v>74.108016193190934</v>
      </c>
      <c r="X12" s="162" t="s">
        <v>143</v>
      </c>
      <c r="Y12" s="326">
        <f t="shared" si="14"/>
        <v>2.0301913757470973E-3</v>
      </c>
      <c r="Z12" s="326">
        <f t="shared" si="15"/>
        <v>1.3484702510484653E-3</v>
      </c>
      <c r="AA12" s="339">
        <f t="shared" si="16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6"/>
        <v>55704.71297072139</v>
      </c>
      <c r="D13">
        <f t="shared" si="7"/>
        <v>1497.9695004367711</v>
      </c>
      <c r="E13">
        <f t="shared" si="0"/>
        <v>824.76000122610435</v>
      </c>
      <c r="F13" s="162" t="s">
        <v>136</v>
      </c>
      <c r="G13" s="326">
        <f t="shared" si="8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9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0"/>
        <v>71830</v>
      </c>
      <c r="U13">
        <f t="shared" si="11"/>
        <v>68954.78005240632</v>
      </c>
      <c r="V13">
        <f t="shared" si="12"/>
        <v>1854.2803996157609</v>
      </c>
      <c r="W13">
        <f t="shared" si="13"/>
        <v>1020.9395479779257</v>
      </c>
      <c r="X13" s="162" t="s">
        <v>136</v>
      </c>
      <c r="Y13" s="326">
        <f t="shared" si="14"/>
        <v>2.7968670218625629E-2</v>
      </c>
      <c r="Z13" s="326">
        <f t="shared" si="15"/>
        <v>1.8577026876258396E-2</v>
      </c>
      <c r="AA13" s="339">
        <f t="shared" si="16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6"/>
        <v>58596.458946278646</v>
      </c>
      <c r="D14">
        <f t="shared" si="7"/>
        <v>3697.4304770356175</v>
      </c>
      <c r="E14">
        <f t="shared" si="0"/>
        <v>2624.1105766857345</v>
      </c>
      <c r="F14" s="162" t="s">
        <v>297</v>
      </c>
      <c r="G14" s="326">
        <f t="shared" si="8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9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0"/>
        <v>110336</v>
      </c>
      <c r="U14">
        <f t="shared" si="11"/>
        <v>99591.775690819195</v>
      </c>
      <c r="V14">
        <f t="shared" si="12"/>
        <v>6284.2307081888212</v>
      </c>
      <c r="W14">
        <f t="shared" si="13"/>
        <v>4459.9936009919775</v>
      </c>
      <c r="X14" s="162" t="s">
        <v>297</v>
      </c>
      <c r="Y14" s="326">
        <f t="shared" si="14"/>
        <v>4.0395307311065158E-2</v>
      </c>
      <c r="Z14" s="326">
        <f t="shared" si="15"/>
        <v>6.2958289796312947E-2</v>
      </c>
      <c r="AA14" s="339">
        <f t="shared" si="16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6"/>
        <v>15797.297237120956</v>
      </c>
      <c r="D15">
        <f t="shared" si="7"/>
        <v>424.80910839589251</v>
      </c>
      <c r="E15">
        <f t="shared" si="0"/>
        <v>233.8936544831511</v>
      </c>
      <c r="F15" s="162" t="s">
        <v>138</v>
      </c>
      <c r="G15" s="326">
        <f t="shared" si="8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9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0"/>
        <v>19485</v>
      </c>
      <c r="U15">
        <f t="shared" si="11"/>
        <v>18705.052057930348</v>
      </c>
      <c r="V15">
        <f t="shared" si="12"/>
        <v>503.00227741212723</v>
      </c>
      <c r="W15">
        <f t="shared" si="13"/>
        <v>276.94566465752303</v>
      </c>
      <c r="X15" s="162" t="s">
        <v>138</v>
      </c>
      <c r="Y15" s="326">
        <f t="shared" si="14"/>
        <v>7.5869349743828522E-3</v>
      </c>
      <c r="Z15" s="326">
        <f t="shared" si="15"/>
        <v>5.0393062603911291E-3</v>
      </c>
      <c r="AA15" s="339">
        <f t="shared" si="16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6"/>
        <v>5810.7527780874962</v>
      </c>
      <c r="D16">
        <f t="shared" si="7"/>
        <v>697.69320083554544</v>
      </c>
      <c r="E16">
        <f t="shared" si="0"/>
        <v>552.11154869269581</v>
      </c>
      <c r="F16" s="162" t="s">
        <v>329</v>
      </c>
      <c r="G16" s="326">
        <f t="shared" si="8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9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0"/>
        <v>8740</v>
      </c>
      <c r="U16">
        <f t="shared" si="11"/>
        <v>7192.9134607071901</v>
      </c>
      <c r="V16">
        <f t="shared" si="12"/>
        <v>863.64830984697483</v>
      </c>
      <c r="W16">
        <f t="shared" si="13"/>
        <v>683.43822944583485</v>
      </c>
      <c r="X16" s="162" t="s">
        <v>329</v>
      </c>
      <c r="Y16" s="326">
        <f t="shared" si="14"/>
        <v>2.9175094799916215E-3</v>
      </c>
      <c r="Z16" s="326">
        <f t="shared" si="15"/>
        <v>8.6524227225758237E-3</v>
      </c>
      <c r="AA16" s="339">
        <f t="shared" si="16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6"/>
        <v>140059.66485275724</v>
      </c>
      <c r="D17" s="341">
        <f t="shared" si="7"/>
        <v>19720.343681186703</v>
      </c>
      <c r="E17" s="341">
        <f t="shared" si="0"/>
        <v>20419.991466056061</v>
      </c>
      <c r="F17" s="345" t="s">
        <v>61</v>
      </c>
      <c r="G17" s="342">
        <f t="shared" si="8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9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0"/>
        <v>224492</v>
      </c>
      <c r="U17" s="341">
        <f t="shared" si="11"/>
        <v>174485.4288686192</v>
      </c>
      <c r="V17" s="341">
        <f t="shared" si="12"/>
        <v>24567.477212413793</v>
      </c>
      <c r="W17" s="341">
        <f t="shared" si="13"/>
        <v>25439.093918967021</v>
      </c>
      <c r="X17" s="345" t="s">
        <v>61</v>
      </c>
      <c r="Y17" s="342">
        <f t="shared" si="14"/>
        <v>7.0772837129970206E-2</v>
      </c>
      <c r="Z17" s="342">
        <f t="shared" si="15"/>
        <v>0.24612819320715937</v>
      </c>
      <c r="AA17" s="343">
        <f t="shared" si="16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7">B21/$E21</f>
        <v>0.96639863423101069</v>
      </c>
      <c r="G21" s="9">
        <f t="shared" ref="G21:G34" si="18">C21/$E21</f>
        <v>2.259219468541818E-2</v>
      </c>
      <c r="H21" s="9">
        <f t="shared" ref="H21:H34" si="19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0">SUM(B22:D22)</f>
        <v>191699.52537600129</v>
      </c>
      <c r="F22" s="9">
        <f t="shared" si="17"/>
        <v>0.96292793125042597</v>
      </c>
      <c r="G22" s="9">
        <f t="shared" si="18"/>
        <v>2.7930238040485379E-2</v>
      </c>
      <c r="H22" s="9">
        <f t="shared" si="19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0"/>
        <v>165044.44057599935</v>
      </c>
      <c r="F23" s="9">
        <f t="shared" si="17"/>
        <v>0.97486793669920635</v>
      </c>
      <c r="G23" s="9">
        <f t="shared" si="18"/>
        <v>1.8005068632600766E-2</v>
      </c>
      <c r="H23" s="9">
        <f t="shared" si="19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0"/>
        <v>411644.52249599021</v>
      </c>
      <c r="F24" s="9">
        <f t="shared" si="17"/>
        <v>0.8490252917659159</v>
      </c>
      <c r="G24" s="9">
        <f t="shared" si="18"/>
        <v>7.5895278582987585E-2</v>
      </c>
      <c r="H24" s="9">
        <f t="shared" si="19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0"/>
        <v>14598.770687999815</v>
      </c>
      <c r="F25" s="9">
        <f t="shared" si="17"/>
        <v>0.98671882912995024</v>
      </c>
      <c r="G25" s="9">
        <f t="shared" si="18"/>
        <v>1.0660386913805456E-2</v>
      </c>
      <c r="H25" s="9">
        <f t="shared" si="19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0"/>
        <v>56809.778688000195</v>
      </c>
      <c r="F26" s="9">
        <f t="shared" si="17"/>
        <v>0.95036097852999246</v>
      </c>
      <c r="G26" s="9">
        <f t="shared" si="18"/>
        <v>2.7210851154513268E-2</v>
      </c>
      <c r="H26" s="9">
        <f t="shared" si="19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0"/>
        <v>33429.177599999981</v>
      </c>
      <c r="F27" s="9">
        <f t="shared" si="17"/>
        <v>0.98979611583385174</v>
      </c>
      <c r="G27" s="9">
        <f t="shared" si="18"/>
        <v>7.6162830879811984E-3</v>
      </c>
      <c r="H27" s="9">
        <f t="shared" si="19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0"/>
        <v>191699.52537600129</v>
      </c>
      <c r="F28" s="9">
        <f t="shared" si="17"/>
        <v>0.96292793125042597</v>
      </c>
      <c r="G28" s="9">
        <f t="shared" si="18"/>
        <v>2.7930238040485379E-2</v>
      </c>
      <c r="H28" s="9">
        <f t="shared" si="19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0"/>
        <v>236090.90406399991</v>
      </c>
      <c r="F29" s="9">
        <f t="shared" si="17"/>
        <v>0.95997187877497303</v>
      </c>
      <c r="G29" s="9">
        <f t="shared" si="18"/>
        <v>2.5814846159205915E-2</v>
      </c>
      <c r="H29" s="9">
        <f t="shared" si="19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0"/>
        <v>236090.90406399991</v>
      </c>
      <c r="F30" s="9">
        <f t="shared" si="17"/>
        <v>0.95997187877497303</v>
      </c>
      <c r="G30" s="9">
        <f t="shared" si="18"/>
        <v>2.5814846159205915E-2</v>
      </c>
      <c r="H30" s="9">
        <f t="shared" si="19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0"/>
        <v>262271.0630399973</v>
      </c>
      <c r="F31" s="9">
        <f t="shared" si="17"/>
        <v>0.90262267701221</v>
      </c>
      <c r="G31" s="9">
        <f t="shared" si="18"/>
        <v>5.695539722473917E-2</v>
      </c>
      <c r="H31" s="9">
        <f t="shared" si="19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0"/>
        <v>236090.90406399991</v>
      </c>
      <c r="F32" s="9">
        <f t="shared" si="17"/>
        <v>0.95997187877497303</v>
      </c>
      <c r="G32" s="9">
        <f t="shared" si="18"/>
        <v>2.5814846159205915E-2</v>
      </c>
      <c r="H32" s="9">
        <f t="shared" si="19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0"/>
        <v>8551.8069760000271</v>
      </c>
      <c r="F33" s="9">
        <f t="shared" si="17"/>
        <v>0.82298781014956401</v>
      </c>
      <c r="G33" s="9">
        <f t="shared" si="18"/>
        <v>9.8815596092331218E-2</v>
      </c>
      <c r="H33" s="9">
        <f t="shared" si="19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0"/>
        <v>170235.44729598946</v>
      </c>
      <c r="F34" s="9">
        <f t="shared" si="17"/>
        <v>0.77724564291208242</v>
      </c>
      <c r="G34" s="9">
        <f t="shared" si="18"/>
        <v>0.10943586948494287</v>
      </c>
      <c r="H34" s="9">
        <f t="shared" si="19"/>
        <v>0.1133184876029748</v>
      </c>
    </row>
    <row r="36" spans="1:10" x14ac:dyDescent="0.25">
      <c r="A36" t="s">
        <v>767</v>
      </c>
    </row>
    <row r="37" spans="1:10" x14ac:dyDescent="0.25">
      <c r="A37" s="307" t="s">
        <v>747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750</v>
      </c>
      <c r="H37" s="307" t="s">
        <v>725</v>
      </c>
    </row>
    <row r="38" spans="1:10" x14ac:dyDescent="0.25">
      <c r="A38" s="322" t="s">
        <v>748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1">E38+F38</f>
        <v>9450.2753279999997</v>
      </c>
      <c r="I38" s="9"/>
      <c r="J38" t="s">
        <v>749</v>
      </c>
    </row>
    <row r="39" spans="1:10" x14ac:dyDescent="0.25">
      <c r="A39" s="308" t="s">
        <v>726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2">SUM(C39:F39)</f>
        <v>20.793600000000005</v>
      </c>
      <c r="H39" s="311">
        <f t="shared" si="21"/>
        <v>3.6042240000000003</v>
      </c>
      <c r="I39" s="9"/>
    </row>
    <row r="40" spans="1:10" x14ac:dyDescent="0.25">
      <c r="A40" s="308" t="s">
        <v>727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2"/>
        <v>80.124672000000032</v>
      </c>
      <c r="H40" s="311">
        <f t="shared" si="21"/>
        <v>3.789056</v>
      </c>
      <c r="I40" s="9"/>
    </row>
    <row r="41" spans="1:10" x14ac:dyDescent="0.25">
      <c r="A41" s="308" t="s">
        <v>728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2"/>
        <v>4412.4019199999993</v>
      </c>
      <c r="H41" s="311">
        <f t="shared" si="21"/>
        <v>102.30451199999996</v>
      </c>
      <c r="I41" s="9"/>
    </row>
    <row r="42" spans="1:10" ht="30" x14ac:dyDescent="0.25">
      <c r="A42" s="308" t="s">
        <v>729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2"/>
        <v>262271.0630399973</v>
      </c>
      <c r="H42" s="312">
        <f t="shared" si="21"/>
        <v>25539.254015996852</v>
      </c>
      <c r="I42" s="9"/>
    </row>
    <row r="43" spans="1:10" x14ac:dyDescent="0.25">
      <c r="A43" s="308" t="s">
        <v>730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2"/>
        <v>170235.44729598946</v>
      </c>
      <c r="H43" s="314">
        <f t="shared" si="21"/>
        <v>37920.687615992225</v>
      </c>
      <c r="I43" s="9"/>
    </row>
    <row r="44" spans="1:10" x14ac:dyDescent="0.25">
      <c r="A44" s="308" t="s">
        <v>731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2"/>
        <v>149288.34431999284</v>
      </c>
      <c r="H44" s="311">
        <f t="shared" si="21"/>
        <v>36603.389951994141</v>
      </c>
      <c r="I44" s="9"/>
    </row>
    <row r="45" spans="1:10" x14ac:dyDescent="0.25">
      <c r="A45" s="308" t="s">
        <v>732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2"/>
        <v>14598.770687999815</v>
      </c>
      <c r="H45" s="311">
        <f t="shared" si="21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2"/>
        <v>56809.778688000195</v>
      </c>
      <c r="H46" s="311">
        <f t="shared" si="21"/>
        <v>2819.9818240000168</v>
      </c>
      <c r="I46" s="9"/>
    </row>
    <row r="47" spans="1:10" x14ac:dyDescent="0.25">
      <c r="A47" s="308" t="s">
        <v>733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2"/>
        <v>811052.15001599386</v>
      </c>
      <c r="H47" s="316">
        <f t="shared" si="21"/>
        <v>23711.450367996731</v>
      </c>
      <c r="I47" s="9"/>
    </row>
    <row r="48" spans="1:10" x14ac:dyDescent="0.25">
      <c r="A48" s="308" t="s">
        <v>734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2"/>
        <v>554608.28544000408</v>
      </c>
      <c r="H48" s="316">
        <f t="shared" si="21"/>
        <v>22176.605439997376</v>
      </c>
      <c r="I48" s="9"/>
    </row>
    <row r="49" spans="1:9" x14ac:dyDescent="0.25">
      <c r="A49" s="308" t="s">
        <v>735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2"/>
        <v>108.31155200000001</v>
      </c>
      <c r="H49" s="311">
        <f t="shared" si="21"/>
        <v>11.829248000000003</v>
      </c>
      <c r="I49" s="9"/>
    </row>
    <row r="50" spans="1:9" x14ac:dyDescent="0.25">
      <c r="A50" s="308" t="s">
        <v>736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2"/>
        <v>191699.52537600129</v>
      </c>
      <c r="H50" s="316">
        <f t="shared" si="21"/>
        <v>7106.6979839998112</v>
      </c>
      <c r="I50" s="9"/>
    </row>
    <row r="51" spans="1:9" x14ac:dyDescent="0.25">
      <c r="A51" s="308" t="s">
        <v>737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2"/>
        <v>119.03180800000001</v>
      </c>
      <c r="H51" s="311">
        <f t="shared" si="21"/>
        <v>41.12512000000001</v>
      </c>
      <c r="I51" s="9"/>
    </row>
    <row r="52" spans="1:9" x14ac:dyDescent="0.25">
      <c r="A52" s="308" t="s">
        <v>738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2"/>
        <v>2105.8833920000029</v>
      </c>
      <c r="H52" s="311">
        <f t="shared" si="21"/>
        <v>542.29708799999958</v>
      </c>
      <c r="I52" s="9"/>
    </row>
    <row r="53" spans="1:9" x14ac:dyDescent="0.25">
      <c r="A53" s="308" t="s">
        <v>739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2"/>
        <v>1061.6750079999997</v>
      </c>
      <c r="H53" s="311">
        <f t="shared" si="21"/>
        <v>137.23775999999992</v>
      </c>
      <c r="I53" s="9"/>
    </row>
    <row r="54" spans="1:9" ht="30" x14ac:dyDescent="0.25">
      <c r="A54" s="308" t="s">
        <v>740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2"/>
        <v>0.55449599999999999</v>
      </c>
      <c r="H54" s="311">
        <f t="shared" si="21"/>
        <v>9.2415999999999998E-2</v>
      </c>
      <c r="I54" s="9"/>
    </row>
    <row r="55" spans="1:9" x14ac:dyDescent="0.25">
      <c r="A55" s="308" t="s">
        <v>741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2"/>
        <v>2900.5685760000119</v>
      </c>
      <c r="H55" s="311">
        <f t="shared" si="21"/>
        <v>592.38655999999969</v>
      </c>
      <c r="I55" s="9"/>
    </row>
    <row r="56" spans="1:9" x14ac:dyDescent="0.25">
      <c r="A56" s="308" t="s">
        <v>742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2"/>
        <v>2343.3000960000131</v>
      </c>
      <c r="H56" s="311">
        <f t="shared" si="21"/>
        <v>197.03091199999977</v>
      </c>
      <c r="I56" s="9"/>
    </row>
    <row r="57" spans="1:9" x14ac:dyDescent="0.25">
      <c r="A57" s="308" t="s">
        <v>743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2"/>
        <v>165044.44057599935</v>
      </c>
      <c r="H57" s="316">
        <f t="shared" si="21"/>
        <v>4147.9073280000757</v>
      </c>
      <c r="I57" s="9"/>
    </row>
    <row r="58" spans="1:9" x14ac:dyDescent="0.25">
      <c r="A58" s="308" t="s">
        <v>744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2"/>
        <v>4.9904639999999993</v>
      </c>
      <c r="H58" s="311">
        <f t="shared" si="21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2"/>
        <v>29016.775679999984</v>
      </c>
      <c r="H59" s="311">
        <f t="shared" si="21"/>
        <v>238.8029439999998</v>
      </c>
      <c r="I59" s="9"/>
    </row>
    <row r="60" spans="1:9" x14ac:dyDescent="0.25">
      <c r="A60" s="308" t="s">
        <v>745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2"/>
        <v>64.598784000000009</v>
      </c>
      <c r="H60" s="311">
        <f t="shared" si="21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2"/>
        <v>2653937.7195519782</v>
      </c>
      <c r="H61" s="319">
        <f t="shared" si="21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G33" sqref="G33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>CONCATENATE("Kvælstofnorm-",H3)</f>
        <v>Kvælstofnorm-OC6</v>
      </c>
      <c r="I4" s="6" t="str">
        <f>CONCATENATE("Kvælstofnorm-",I3)</f>
        <v>Kvælstofnorm-OC12</v>
      </c>
      <c r="J4" s="6" t="str">
        <f>CONCATENATE("CO2-",J3)</f>
        <v>CO2-JB1-10</v>
      </c>
      <c r="K4" s="6" t="str">
        <f>CONCATENATE("CO2-",K3)</f>
        <v>CO2-OC6</v>
      </c>
      <c r="L4" s="6" t="str">
        <f>CONCATENATE("CO2-",L3)</f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0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0"/>
        <v>15.99169436748546</v>
      </c>
      <c r="L5" s="273">
        <f t="shared" si="0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1">AVERAGE(G6,I6)</f>
        <v>0</v>
      </c>
      <c r="I6" s="231">
        <v>0</v>
      </c>
      <c r="J6" s="273">
        <f t="shared" si="0"/>
        <v>2.2736943674854606</v>
      </c>
      <c r="K6" s="273">
        <f t="shared" si="0"/>
        <v>15.99169436748546</v>
      </c>
      <c r="L6" s="273">
        <f t="shared" si="0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1"/>
        <v>145</v>
      </c>
      <c r="I7" s="231">
        <v>115</v>
      </c>
      <c r="J7" s="273">
        <f t="shared" si="0"/>
        <v>2.2736943674854606</v>
      </c>
      <c r="K7" s="273">
        <f t="shared" si="0"/>
        <v>15.99169436748546</v>
      </c>
      <c r="L7" s="273">
        <f t="shared" si="0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1"/>
        <v>130</v>
      </c>
      <c r="I8" s="231">
        <v>105</v>
      </c>
      <c r="J8" s="273">
        <f t="shared" si="0"/>
        <v>2.2736943674854606</v>
      </c>
      <c r="K8" s="273">
        <f t="shared" si="0"/>
        <v>15.99169436748546</v>
      </c>
      <c r="L8" s="273">
        <f t="shared" si="0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1"/>
        <v>195</v>
      </c>
      <c r="I9" s="231">
        <v>190</v>
      </c>
      <c r="J9" s="273">
        <f t="shared" si="0"/>
        <v>2.2736943674854606</v>
      </c>
      <c r="K9" s="273">
        <f t="shared" si="0"/>
        <v>15.99169436748546</v>
      </c>
      <c r="L9" s="273">
        <f t="shared" si="0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1"/>
        <v>120</v>
      </c>
      <c r="I10" s="231">
        <v>90</v>
      </c>
      <c r="J10" s="273">
        <f t="shared" si="0"/>
        <v>2.2736943674854606</v>
      </c>
      <c r="K10" s="273">
        <f t="shared" si="0"/>
        <v>15.99169436748546</v>
      </c>
      <c r="L10" s="273">
        <f t="shared" si="0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1"/>
        <v>105</v>
      </c>
      <c r="I11" s="231">
        <v>75</v>
      </c>
      <c r="J11" s="273">
        <f t="shared" si="0"/>
        <v>2.2736943674854606</v>
      </c>
      <c r="K11" s="273">
        <f t="shared" si="0"/>
        <v>15.99169436748546</v>
      </c>
      <c r="L11" s="273">
        <f t="shared" si="0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1"/>
        <v>130</v>
      </c>
      <c r="I12" s="231">
        <v>100</v>
      </c>
      <c r="J12" s="273">
        <f t="shared" si="0"/>
        <v>2.2736943674854606</v>
      </c>
      <c r="K12" s="273">
        <f t="shared" si="0"/>
        <v>15.99169436748546</v>
      </c>
      <c r="L12" s="273">
        <f t="shared" si="0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1"/>
        <v>140</v>
      </c>
      <c r="I13" s="231">
        <v>140</v>
      </c>
      <c r="J13" s="273">
        <f t="shared" si="0"/>
        <v>1.9656943674854606</v>
      </c>
      <c r="K13" s="273">
        <f t="shared" si="0"/>
        <v>10.661694367485461</v>
      </c>
      <c r="L13" s="273">
        <f t="shared" si="0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1"/>
        <v>125</v>
      </c>
      <c r="I14" s="232">
        <f>AVERAGE(I5,I7:I13,I15:I18)</f>
        <v>107.91666666666667</v>
      </c>
      <c r="J14" s="273">
        <f t="shared" si="0"/>
        <v>2.2736943674854606</v>
      </c>
      <c r="K14" s="273">
        <f t="shared" si="0"/>
        <v>15.99169436748546</v>
      </c>
      <c r="L14" s="273">
        <f t="shared" si="0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1"/>
        <v>135</v>
      </c>
      <c r="I15" s="231">
        <v>120</v>
      </c>
      <c r="J15" s="273">
        <f t="shared" si="0"/>
        <v>2.2736943674854606</v>
      </c>
      <c r="K15" s="273">
        <f t="shared" si="0"/>
        <v>15.99169436748546</v>
      </c>
      <c r="L15" s="273">
        <f t="shared" si="0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1"/>
        <v>100</v>
      </c>
      <c r="I16" s="231">
        <v>90</v>
      </c>
      <c r="J16" s="273">
        <f t="shared" si="0"/>
        <v>1.9656943674854606</v>
      </c>
      <c r="K16" s="273">
        <f t="shared" si="0"/>
        <v>10.661694367485461</v>
      </c>
      <c r="L16" s="273">
        <f t="shared" si="0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1"/>
        <v>120</v>
      </c>
      <c r="I17" s="231">
        <v>120</v>
      </c>
      <c r="J17" s="273">
        <f t="shared" si="0"/>
        <v>1.9656943674854606</v>
      </c>
      <c r="K17" s="273">
        <f t="shared" si="0"/>
        <v>10.661694367485461</v>
      </c>
      <c r="L17" s="273">
        <f t="shared" si="0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1"/>
        <v>50</v>
      </c>
      <c r="I18" s="231">
        <v>50</v>
      </c>
      <c r="J18" s="273">
        <f t="shared" si="0"/>
        <v>1.9656943674854606</v>
      </c>
      <c r="K18" s="273">
        <f t="shared" si="0"/>
        <v>10.661694367485461</v>
      </c>
      <c r="L18" s="273">
        <f t="shared" si="0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>IF(E37&lt;&gt;0,E37*E37/C37,0)</f>
        <v>0.40000000000000008</v>
      </c>
      <c r="H37" s="272">
        <f>IF(F37&lt;&gt;0,F37*F37/D37,0)</f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 t="shared" ref="C38:H38" si="2">SUM(C31:C32)</f>
        <v>34.97</v>
      </c>
      <c r="D38" s="258">
        <f t="shared" si="2"/>
        <v>24</v>
      </c>
      <c r="E38" s="258">
        <f t="shared" si="2"/>
        <v>13.879999999999999</v>
      </c>
      <c r="F38" s="258">
        <f t="shared" si="2"/>
        <v>8.6000000000000014</v>
      </c>
      <c r="G38" s="258">
        <f t="shared" si="2"/>
        <v>0.5</v>
      </c>
      <c r="H38" s="259">
        <f t="shared" si="2"/>
        <v>0</v>
      </c>
    </row>
    <row r="39" spans="1:10" x14ac:dyDescent="0.25">
      <c r="A39" s="249" t="s">
        <v>528</v>
      </c>
      <c r="B39" s="250" t="s">
        <v>426</v>
      </c>
      <c r="C39" s="210">
        <f t="shared" ref="C39:H39" si="3">SUM(C33:C36)</f>
        <v>4.8100000000000005</v>
      </c>
      <c r="D39" s="210">
        <f t="shared" si="3"/>
        <v>3.3299999999999996</v>
      </c>
      <c r="E39" s="210">
        <f t="shared" si="3"/>
        <v>0.94000000000000006</v>
      </c>
      <c r="F39" s="210">
        <f t="shared" si="3"/>
        <v>0.89</v>
      </c>
      <c r="G39" s="210">
        <f t="shared" si="3"/>
        <v>0.60199999999999998</v>
      </c>
      <c r="H39" s="251">
        <f t="shared" si="3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 t="shared" ref="C40:H40" si="4">C37</f>
        <v>0.4</v>
      </c>
      <c r="D40" s="254">
        <f t="shared" si="4"/>
        <v>0.4</v>
      </c>
      <c r="E40" s="254">
        <f t="shared" si="4"/>
        <v>0.4</v>
      </c>
      <c r="F40" s="254">
        <f t="shared" si="4"/>
        <v>0.4</v>
      </c>
      <c r="G40" s="254">
        <f t="shared" si="4"/>
        <v>0.40000000000000008</v>
      </c>
      <c r="H40" s="255">
        <f t="shared" si="4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341" t="s">
        <v>851</v>
      </c>
    </row>
    <row r="43" spans="1:10" ht="15.75" thickBot="1" x14ac:dyDescent="0.3">
      <c r="A43" s="391" t="s">
        <v>822</v>
      </c>
      <c r="B43" s="393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341" t="s">
        <v>864</v>
      </c>
      <c r="J43" s="396">
        <v>2019</v>
      </c>
    </row>
    <row r="44" spans="1:10" x14ac:dyDescent="0.25">
      <c r="A44" s="390" t="s">
        <v>823</v>
      </c>
      <c r="B44" s="392">
        <v>3767.3551588371374</v>
      </c>
      <c r="C44" s="1" t="s">
        <v>837</v>
      </c>
      <c r="F44" s="1">
        <v>2578370</v>
      </c>
      <c r="I44" s="398" t="s">
        <v>839</v>
      </c>
      <c r="J44" s="397">
        <v>27.011008109722574</v>
      </c>
    </row>
    <row r="45" spans="1:10" x14ac:dyDescent="0.25">
      <c r="A45" s="390" t="s">
        <v>824</v>
      </c>
      <c r="B45" s="392">
        <v>2952.39814048791</v>
      </c>
      <c r="C45" s="1" t="s">
        <v>820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840</v>
      </c>
      <c r="J45" s="397">
        <v>13.494661638352639</v>
      </c>
    </row>
    <row r="46" spans="1:10" x14ac:dyDescent="0.25">
      <c r="A46" s="390" t="s">
        <v>825</v>
      </c>
      <c r="B46" s="392" t="s">
        <v>826</v>
      </c>
      <c r="F46" s="1">
        <v>2578370</v>
      </c>
      <c r="I46" s="398" t="s">
        <v>841</v>
      </c>
      <c r="J46" s="397">
        <v>4.2965611392438922E-2</v>
      </c>
    </row>
    <row r="47" spans="1:10" x14ac:dyDescent="0.25">
      <c r="A47" s="390" t="s">
        <v>827</v>
      </c>
      <c r="B47" s="392">
        <v>4072.8452465785531</v>
      </c>
      <c r="C47" s="1" t="s">
        <v>819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842</v>
      </c>
      <c r="J47" s="402"/>
    </row>
    <row r="48" spans="1:10" x14ac:dyDescent="0.25">
      <c r="A48" s="390" t="s">
        <v>828</v>
      </c>
      <c r="B48" s="392" t="s">
        <v>826</v>
      </c>
      <c r="F48" s="1">
        <v>2578370</v>
      </c>
      <c r="I48" s="398" t="s">
        <v>843</v>
      </c>
      <c r="J48" s="397">
        <v>5.411826658030066E-3</v>
      </c>
    </row>
    <row r="49" spans="1:10" x14ac:dyDescent="0.25">
      <c r="A49" s="390" t="s">
        <v>829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844</v>
      </c>
      <c r="J49" s="397">
        <v>0.47525986757812505</v>
      </c>
    </row>
    <row r="50" spans="1:10" x14ac:dyDescent="0.25">
      <c r="A50" s="390" t="s">
        <v>830</v>
      </c>
      <c r="B50" s="392">
        <v>239.91601891630901</v>
      </c>
      <c r="D50" s="1">
        <f>B50/F50</f>
        <v>9.3049492088532299E-5</v>
      </c>
      <c r="F50" s="1">
        <v>2578370</v>
      </c>
      <c r="I50" s="398" t="s">
        <v>845</v>
      </c>
      <c r="J50" s="397">
        <v>41.882892458812613</v>
      </c>
    </row>
    <row r="51" spans="1:10" x14ac:dyDescent="0.25">
      <c r="A51" s="390" t="s">
        <v>831</v>
      </c>
      <c r="B51" s="392">
        <v>1.39333333333333</v>
      </c>
      <c r="D51" s="1">
        <f>B51/F51</f>
        <v>5.4039309072527606E-7</v>
      </c>
      <c r="F51" s="1">
        <v>2578370</v>
      </c>
      <c r="I51" s="398" t="s">
        <v>846</v>
      </c>
      <c r="J51" s="397">
        <v>0.58710980836771465</v>
      </c>
    </row>
    <row r="52" spans="1:10" x14ac:dyDescent="0.25">
      <c r="A52" s="390" t="s">
        <v>832</v>
      </c>
      <c r="B52" s="392">
        <v>2.871</v>
      </c>
      <c r="D52" s="1">
        <f>B52/F52</f>
        <v>1.1134941843102424E-6</v>
      </c>
      <c r="F52" s="1">
        <v>2578370</v>
      </c>
      <c r="I52" s="398" t="s">
        <v>847</v>
      </c>
      <c r="J52" s="397">
        <v>1.1986960661131167</v>
      </c>
    </row>
    <row r="53" spans="1:10" x14ac:dyDescent="0.25">
      <c r="A53" s="390" t="s">
        <v>833</v>
      </c>
      <c r="B53" s="392" t="s">
        <v>834</v>
      </c>
      <c r="F53" s="1">
        <v>2578370</v>
      </c>
      <c r="I53" s="398" t="s">
        <v>848</v>
      </c>
      <c r="J53" s="403">
        <v>2.5311427660799999E-3</v>
      </c>
    </row>
    <row r="54" spans="1:10" x14ac:dyDescent="0.25">
      <c r="A54" s="405" t="s">
        <v>835</v>
      </c>
      <c r="I54" s="398" t="s">
        <v>849</v>
      </c>
      <c r="J54" s="399">
        <v>3.2264792749629999E-4</v>
      </c>
    </row>
    <row r="55" spans="1:10" ht="15.75" thickBot="1" x14ac:dyDescent="0.3">
      <c r="A55" s="390" t="s">
        <v>836</v>
      </c>
      <c r="B55" s="392">
        <v>4586.0116630635248</v>
      </c>
      <c r="I55" s="394" t="s">
        <v>850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08"/>
      <c r="B63" s="396">
        <v>2019</v>
      </c>
      <c r="C63" s="1" t="s">
        <v>859</v>
      </c>
    </row>
    <row r="64" spans="1:10" x14ac:dyDescent="0.25">
      <c r="A64" s="409" t="s">
        <v>854</v>
      </c>
      <c r="B64" s="406">
        <v>12.32</v>
      </c>
      <c r="C64" s="411">
        <f>1-B65/B64</f>
        <v>0.40827922077922074</v>
      </c>
    </row>
    <row r="65" spans="1:3" x14ac:dyDescent="0.25">
      <c r="A65" s="409" t="s">
        <v>855</v>
      </c>
      <c r="B65" s="406">
        <v>7.29</v>
      </c>
      <c r="C65" s="411"/>
    </row>
    <row r="66" spans="1:3" x14ac:dyDescent="0.25">
      <c r="A66" s="409" t="s">
        <v>856</v>
      </c>
      <c r="B66" s="406">
        <v>13.33</v>
      </c>
      <c r="C66" s="411">
        <f>1-B67/B66</f>
        <v>0.2235558889722431</v>
      </c>
    </row>
    <row r="67" spans="1:3" x14ac:dyDescent="0.25">
      <c r="A67" s="409" t="s">
        <v>857</v>
      </c>
      <c r="B67" s="406">
        <v>10.35</v>
      </c>
      <c r="C67" s="411"/>
    </row>
    <row r="68" spans="1:3" ht="15.75" thickBot="1" x14ac:dyDescent="0.3">
      <c r="A68" s="410" t="s">
        <v>858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I34" sqref="I34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>B5*1000</f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>B8*1000</f>
        <v>1008.3682008368201</v>
      </c>
      <c r="D8" s="244">
        <f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B14*1000</f>
        <v>198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3">IFERROR(E21/F21,"")</f>
        <v/>
      </c>
      <c r="H21" s="184"/>
      <c r="I21" s="184">
        <v>4007</v>
      </c>
      <c r="J21" s="276" t="s">
        <v>130</v>
      </c>
      <c r="K21" s="203" t="str">
        <f t="shared" ref="K21:K63" si="4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3"/>
        <v/>
      </c>
      <c r="H22" s="184"/>
      <c r="I22" s="184">
        <v>3759</v>
      </c>
      <c r="J22" s="276" t="s">
        <v>130</v>
      </c>
      <c r="K22" s="203" t="str">
        <f t="shared" si="4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3"/>
        <v>0.98197573656845749</v>
      </c>
      <c r="H23" s="72" t="s">
        <v>487</v>
      </c>
      <c r="I23" s="184">
        <v>1036</v>
      </c>
      <c r="J23" s="278">
        <v>1011</v>
      </c>
      <c r="K23" s="203">
        <f t="shared" si="4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3"/>
        <v>1.024110671936759</v>
      </c>
      <c r="H24" s="279"/>
      <c r="I24" s="279">
        <v>247</v>
      </c>
      <c r="J24" s="278">
        <v>241</v>
      </c>
      <c r="K24" s="203">
        <f t="shared" si="4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3"/>
        <v>1</v>
      </c>
      <c r="H25" s="279"/>
      <c r="I25" s="279">
        <v>61</v>
      </c>
      <c r="J25" s="278">
        <v>61</v>
      </c>
      <c r="K25" s="203">
        <f t="shared" si="4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3"/>
        <v>0.95522964106522579</v>
      </c>
      <c r="H26" s="279"/>
      <c r="I26" s="279">
        <v>85</v>
      </c>
      <c r="J26" s="278">
        <v>89</v>
      </c>
      <c r="K26" s="203">
        <f t="shared" si="4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3"/>
        <v>0.7923728813559322</v>
      </c>
      <c r="H27" s="279"/>
      <c r="I27" s="279">
        <v>7</v>
      </c>
      <c r="J27" s="278">
        <v>9</v>
      </c>
      <c r="K27" s="203">
        <f t="shared" si="4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3"/>
        <v>1</v>
      </c>
      <c r="H28" s="279"/>
      <c r="I28" s="279">
        <v>14</v>
      </c>
      <c r="J28" s="278">
        <v>14</v>
      </c>
      <c r="K28" s="203">
        <f t="shared" si="4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3"/>
        <v>2</v>
      </c>
      <c r="H29" s="279"/>
      <c r="I29" s="279">
        <v>621</v>
      </c>
      <c r="J29" s="278">
        <v>596</v>
      </c>
      <c r="K29" s="203">
        <f t="shared" si="4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3"/>
        <v>1.0833333333333333</v>
      </c>
      <c r="H30" s="72" t="s">
        <v>487</v>
      </c>
      <c r="I30" s="184">
        <v>8</v>
      </c>
      <c r="J30" s="278">
        <v>8</v>
      </c>
      <c r="K30" s="203">
        <f t="shared" si="4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3"/>
        <v>0.87096774193548387</v>
      </c>
      <c r="H31" s="72" t="s">
        <v>487</v>
      </c>
      <c r="I31" s="184">
        <v>107</v>
      </c>
      <c r="J31" s="278">
        <v>114</v>
      </c>
      <c r="K31" s="203">
        <f t="shared" si="4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3"/>
        <v>0.85185185185185186</v>
      </c>
      <c r="H32" s="279"/>
      <c r="I32" s="279">
        <v>56</v>
      </c>
      <c r="J32" s="278">
        <v>64</v>
      </c>
      <c r="K32" s="203">
        <f t="shared" si="4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3"/>
        <v>1</v>
      </c>
      <c r="H33" s="279"/>
      <c r="I33" s="279">
        <v>51</v>
      </c>
      <c r="J33" s="278">
        <v>50</v>
      </c>
      <c r="K33" s="203">
        <f t="shared" si="4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3"/>
        <v>1.0036496350364963</v>
      </c>
      <c r="H34" s="72" t="s">
        <v>487</v>
      </c>
      <c r="I34" s="184">
        <v>2331</v>
      </c>
      <c r="J34" s="278">
        <v>2034</v>
      </c>
      <c r="K34" s="203">
        <f t="shared" si="4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3"/>
        <v/>
      </c>
      <c r="H35" s="279"/>
      <c r="I35" s="279">
        <v>284</v>
      </c>
      <c r="J35" s="278">
        <v>289</v>
      </c>
      <c r="K35" s="203">
        <f t="shared" si="4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3"/>
        <v/>
      </c>
      <c r="H36" s="279"/>
      <c r="I36" s="279">
        <v>1758</v>
      </c>
      <c r="J36" s="278">
        <v>1457</v>
      </c>
      <c r="K36" s="203">
        <f t="shared" si="4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3"/>
        <v>1.00836820083682</v>
      </c>
      <c r="H37" s="279"/>
      <c r="I37" s="279">
        <v>256</v>
      </c>
      <c r="J37" s="278">
        <v>254</v>
      </c>
      <c r="K37" s="203">
        <f t="shared" si="4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3"/>
        <v>0.97142857142857142</v>
      </c>
      <c r="H38" s="279"/>
      <c r="I38" s="279">
        <v>32</v>
      </c>
      <c r="J38" s="278">
        <v>34</v>
      </c>
      <c r="K38" s="203">
        <f t="shared" si="4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3"/>
        <v/>
      </c>
      <c r="H39" s="72" t="s">
        <v>487</v>
      </c>
      <c r="I39" s="184">
        <v>1</v>
      </c>
      <c r="J39" s="278">
        <v>1</v>
      </c>
      <c r="K39" s="203">
        <f t="shared" si="4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3"/>
        <v>0.48672566371681414</v>
      </c>
      <c r="H40" s="72" t="s">
        <v>487</v>
      </c>
      <c r="I40" s="184">
        <v>33</v>
      </c>
      <c r="J40" s="278">
        <v>178</v>
      </c>
      <c r="K40" s="203">
        <f t="shared" si="4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3"/>
        <v>0.48672566371681414</v>
      </c>
      <c r="H41" s="279"/>
      <c r="I41" s="279">
        <v>5</v>
      </c>
      <c r="J41" s="278">
        <v>148</v>
      </c>
      <c r="K41" s="203">
        <f t="shared" si="4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3"/>
        <v/>
      </c>
      <c r="H42" s="279"/>
      <c r="I42" s="279">
        <v>28</v>
      </c>
      <c r="J42" s="278">
        <v>30</v>
      </c>
      <c r="K42" s="203">
        <f t="shared" si="4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3"/>
        <v>0.48333333333333334</v>
      </c>
      <c r="H43" s="72" t="s">
        <v>487</v>
      </c>
      <c r="I43" s="281">
        <v>159</v>
      </c>
      <c r="J43" s="278">
        <v>248</v>
      </c>
      <c r="K43" s="203">
        <f t="shared" si="4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3"/>
        <v/>
      </c>
      <c r="H44" s="283"/>
      <c r="I44" s="283" t="s">
        <v>130</v>
      </c>
      <c r="J44" s="276" t="s">
        <v>130</v>
      </c>
      <c r="K44" s="203" t="str">
        <f t="shared" si="4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3"/>
        <v>0.48333333333333334</v>
      </c>
      <c r="H45" s="184"/>
      <c r="I45" s="184">
        <v>159</v>
      </c>
      <c r="J45" s="278">
        <v>248</v>
      </c>
      <c r="K45" s="203">
        <f t="shared" si="4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3"/>
        <v>9.6335697399527187E-2</v>
      </c>
      <c r="H46" s="72" t="s">
        <v>487</v>
      </c>
      <c r="I46" s="184">
        <v>5</v>
      </c>
      <c r="J46" s="278">
        <v>4</v>
      </c>
      <c r="K46" s="203">
        <f t="shared" si="4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3"/>
        <v>0.24</v>
      </c>
      <c r="H47" s="279"/>
      <c r="I47" s="279">
        <v>0</v>
      </c>
      <c r="J47" s="278">
        <v>0</v>
      </c>
      <c r="K47" s="203" t="str">
        <f t="shared" si="4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3"/>
        <v>1.2352941176470589</v>
      </c>
      <c r="H48" s="279"/>
      <c r="I48" s="279">
        <v>5</v>
      </c>
      <c r="J48" s="278">
        <v>4</v>
      </c>
      <c r="K48" s="203">
        <f t="shared" si="4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3"/>
        <v>6.5066329753632343E-2</v>
      </c>
      <c r="H49" s="279"/>
      <c r="I49" s="279">
        <v>0</v>
      </c>
      <c r="J49" s="278">
        <v>0</v>
      </c>
      <c r="K49" s="203" t="str">
        <f t="shared" si="4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3"/>
        <v>2.75</v>
      </c>
      <c r="H50" s="72" t="s">
        <v>487</v>
      </c>
      <c r="I50" s="184">
        <v>79</v>
      </c>
      <c r="J50" s="278">
        <v>28</v>
      </c>
      <c r="K50" s="203">
        <f t="shared" si="4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3"/>
        <v/>
      </c>
      <c r="H51" s="184"/>
      <c r="I51" s="184">
        <v>247</v>
      </c>
      <c r="J51" s="276" t="s">
        <v>130</v>
      </c>
      <c r="K51" s="203" t="str">
        <f t="shared" si="4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3"/>
        <v>0.15228966986155484</v>
      </c>
      <c r="H52" s="284"/>
      <c r="I52" s="284">
        <v>247</v>
      </c>
      <c r="J52" s="278">
        <v>1764</v>
      </c>
      <c r="K52" s="203">
        <f t="shared" si="4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3"/>
        <v/>
      </c>
      <c r="H53" s="184"/>
      <c r="I53" s="184">
        <v>0</v>
      </c>
      <c r="J53" s="278">
        <v>0</v>
      </c>
      <c r="K53" s="203" t="str">
        <f t="shared" si="4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3"/>
        <v>0.14265335235378032</v>
      </c>
      <c r="H54" s="72" t="s">
        <v>487</v>
      </c>
      <c r="I54" s="184">
        <v>247</v>
      </c>
      <c r="J54" s="278">
        <v>1764</v>
      </c>
      <c r="K54" s="203">
        <f t="shared" si="4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3"/>
        <v>0.18067226890756302</v>
      </c>
      <c r="H55" s="184"/>
      <c r="I55" s="184">
        <v>0</v>
      </c>
      <c r="J55" s="278">
        <v>0</v>
      </c>
      <c r="K55" s="203" t="str">
        <f t="shared" si="4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3"/>
        <v/>
      </c>
      <c r="H56" s="283"/>
      <c r="I56" s="283" t="s">
        <v>130</v>
      </c>
      <c r="J56" s="276" t="s">
        <v>130</v>
      </c>
      <c r="K56" s="203" t="str">
        <f t="shared" si="4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3"/>
        <v>0.20045327418265985</v>
      </c>
      <c r="H57" s="284"/>
      <c r="I57" s="284">
        <v>0</v>
      </c>
      <c r="J57" s="278">
        <v>0</v>
      </c>
      <c r="K57" s="203" t="str">
        <f t="shared" si="4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3"/>
        <v>0.26492478226444971</v>
      </c>
      <c r="H58" s="184"/>
      <c r="I58" s="184">
        <v>0</v>
      </c>
      <c r="J58" s="278">
        <v>0</v>
      </c>
      <c r="K58" s="203" t="str">
        <f t="shared" si="4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3"/>
        <v>0.27952755905511811</v>
      </c>
      <c r="H59" s="184"/>
      <c r="I59" s="184">
        <v>0</v>
      </c>
      <c r="J59" s="278">
        <v>0</v>
      </c>
      <c r="K59" s="203" t="str">
        <f t="shared" si="4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3"/>
        <v>0.16991755479589785</v>
      </c>
      <c r="H60" s="184"/>
      <c r="I60" s="184">
        <v>0</v>
      </c>
      <c r="J60" s="278">
        <v>0</v>
      </c>
      <c r="K60" s="203" t="str">
        <f t="shared" si="4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3"/>
        <v>0.15943339361060879</v>
      </c>
      <c r="H61" s="184"/>
      <c r="I61" s="184">
        <v>0</v>
      </c>
      <c r="J61" s="278">
        <v>0</v>
      </c>
      <c r="K61" s="203" t="str">
        <f t="shared" si="4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3"/>
        <v>0.13350125944584382</v>
      </c>
      <c r="H62" s="184"/>
      <c r="I62" s="184">
        <v>0</v>
      </c>
      <c r="J62" s="278">
        <v>0</v>
      </c>
      <c r="K62" s="203" t="str">
        <f t="shared" si="4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3"/>
        <v>0.19003476245654694</v>
      </c>
      <c r="H63" s="184"/>
      <c r="I63" s="184">
        <v>0</v>
      </c>
      <c r="J63" s="278">
        <v>0</v>
      </c>
      <c r="K63" s="203" t="str">
        <f t="shared" si="4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C1" workbookViewId="0">
      <selection activeCell="M11" sqref="M11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781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7" t="s">
        <v>305</v>
      </c>
      <c r="B4" s="7"/>
      <c r="C4" s="7" t="s">
        <v>782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783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810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>N5*28/1000</f>
        <v>0.12546743028681259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>N6*28/1000</f>
        <v>0.13801417331549384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>N7*28/1000</f>
        <v>3.1715240866672119</v>
      </c>
      <c r="N7" s="243">
        <f>((N14+S8)*M14+(N15+S9)*M15)/J7</f>
        <v>113.26871738097185</v>
      </c>
      <c r="R7" s="341" t="s">
        <v>864</v>
      </c>
      <c r="S7" s="1" t="s">
        <v>852</v>
      </c>
      <c r="U7" s="1" t="s">
        <v>865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>N8*28/1000</f>
        <v>2.6521826227537644</v>
      </c>
      <c r="N8" s="243">
        <f>(N14*M14+N15*M15)/J7*O4</f>
        <v>94.720807955491594</v>
      </c>
      <c r="R8" s="398" t="s">
        <v>839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>N9*28/1000</f>
        <v>7.99210246451366E-4</v>
      </c>
      <c r="N9" s="243">
        <f>0.00308299593513136+S14</f>
        <v>2.8543223087548784E-2</v>
      </c>
      <c r="R9" s="398" t="s">
        <v>840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>N10*28/1000</f>
        <v>8.7913127109650257E-4</v>
      </c>
      <c r="N10" s="243">
        <f>N9*O4</f>
        <v>3.1397545396303662E-2</v>
      </c>
      <c r="R10" s="398" t="s">
        <v>841</v>
      </c>
      <c r="S10" s="397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294" t="s">
        <v>643</v>
      </c>
      <c r="R11" s="398" t="s">
        <v>843</v>
      </c>
      <c r="S11" s="397">
        <v>0.46338099649199982</v>
      </c>
    </row>
    <row r="12" spans="1:21" x14ac:dyDescent="0.25">
      <c r="K12" s="1">
        <v>2.1978</v>
      </c>
      <c r="R12" s="398" t="s">
        <v>844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845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>SUM(E24:E26)-D15</f>
        <v>10266966</v>
      </c>
      <c r="E14" s="225">
        <f>SUM(F24:F26)-E15</f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846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847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>SUM(E22:E23)-D17</f>
        <v>1541102</v>
      </c>
      <c r="E16" s="225">
        <f>SUM(F22:F23)-E17</f>
        <v>1570560</v>
      </c>
      <c r="G16" s="7" t="s">
        <v>67</v>
      </c>
      <c r="H16" s="7" t="s">
        <v>324</v>
      </c>
      <c r="R16" s="398" t="s">
        <v>848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849</v>
      </c>
      <c r="S17" s="397">
        <v>3.432424760598936</v>
      </c>
    </row>
    <row r="18" spans="1:19" ht="15.75" thickBot="1" x14ac:dyDescent="0.3">
      <c r="R18" s="394" t="s">
        <v>850</v>
      </c>
      <c r="S18" s="401">
        <v>1.3538981647058823E-3</v>
      </c>
    </row>
    <row r="19" spans="1:19" ht="17.25" x14ac:dyDescent="0.3">
      <c r="A19" s="479" t="s">
        <v>264</v>
      </c>
      <c r="B19" s="479"/>
      <c r="C19" s="479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>SUM(O32:S32)</f>
        <v>1650625</v>
      </c>
      <c r="N21">
        <f>AVERAGE(0.285,0.303)/100</f>
        <v>2.9399999999999999E-3</v>
      </c>
      <c r="O21">
        <f>(M21)*N21</f>
        <v>4852.8374999999996</v>
      </c>
      <c r="P21">
        <f t="shared" ref="P21:Q24" si="0">N21*25</f>
        <v>7.3499999999999996E-2</v>
      </c>
      <c r="Q21">
        <f t="shared" si="0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>SUM(O33:S33)</f>
        <v>13845238</v>
      </c>
      <c r="N22">
        <f>AVERAGE(0.011,0.012,0.013,0.015,0.017,0.021,0.075)/1000</f>
        <v>2.3428571428571429E-5</v>
      </c>
      <c r="O22">
        <f>(M22)*N22</f>
        <v>324.37414742857146</v>
      </c>
      <c r="P22">
        <f t="shared" si="0"/>
        <v>5.8571428571428576E-4</v>
      </c>
      <c r="Q22">
        <f t="shared" si="0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>SUM(O34:S34)</f>
        <v>6032794</v>
      </c>
      <c r="N23" s="203">
        <f>0.021/100</f>
        <v>2.1000000000000001E-4</v>
      </c>
      <c r="O23">
        <f>(M23)*N23</f>
        <v>1266.8867400000001</v>
      </c>
      <c r="P23">
        <f t="shared" si="0"/>
        <v>5.2500000000000003E-3</v>
      </c>
      <c r="Q23">
        <f t="shared" si="0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>SUM(O35:S35)</f>
        <v>22462628</v>
      </c>
      <c r="N24"/>
      <c r="O24">
        <f>SUM(O20:O23)/SUM(M24:M24)</f>
        <v>2.877111666287921E-4</v>
      </c>
      <c r="P24"/>
      <c r="Q24">
        <f t="shared" si="0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3" t="s">
        <v>257</v>
      </c>
      <c r="B29" s="473" t="s">
        <v>256</v>
      </c>
      <c r="C29" s="139"/>
      <c r="D29" s="139"/>
      <c r="E29" s="127" t="s">
        <v>255</v>
      </c>
      <c r="F29" s="139"/>
      <c r="G29" s="139"/>
      <c r="H29" s="475" t="s">
        <v>254</v>
      </c>
      <c r="I29" s="477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4"/>
      <c r="B30" s="474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6"/>
      <c r="I30" s="478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771</v>
      </c>
      <c r="B1" s="8"/>
    </row>
    <row r="2" spans="1:23" ht="18.75" x14ac:dyDescent="0.3">
      <c r="A2" s="350"/>
      <c r="B2" s="351"/>
      <c r="C2" s="483" t="s">
        <v>772</v>
      </c>
      <c r="D2" s="484"/>
      <c r="E2" s="484"/>
      <c r="F2" s="485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785</v>
      </c>
      <c r="L3" t="s">
        <v>692</v>
      </c>
      <c r="M3" t="s">
        <v>693</v>
      </c>
      <c r="R3" t="s">
        <v>893</v>
      </c>
      <c r="U3" s="163"/>
      <c r="W3" s="449" cm="1">
        <f t="array" aca="1" ref="W3" ca="1">INDIRECT("["&amp;Overblik!$B$7&amp;".xlsm]Skovbrug!C9")</f>
        <v>5.0000000000000001E-3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>
        <f t="shared" ref="S5:W9" ca="1" si="0">SUMIFS(C$19:C$28,$A$19:$A$28,$R5,$B$19:$B$28,"Hugst")/SUMIF($A$6:$A$15,$R5,$H$6:$H$15)*$W$3</f>
        <v>0</v>
      </c>
      <c r="T5" s="437">
        <f t="shared" ca="1" si="0"/>
        <v>0</v>
      </c>
      <c r="U5" s="437">
        <f t="shared" ca="1" si="0"/>
        <v>0</v>
      </c>
      <c r="V5" s="437">
        <f t="shared" ca="1" si="0"/>
        <v>3.2978723404255318E-3</v>
      </c>
      <c r="W5" s="437">
        <f t="shared" ca="1" si="0"/>
        <v>1.7021276595744681E-3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>D19*(1-D20)</f>
        <v>0</v>
      </c>
      <c r="E6" s="273">
        <f>E19*(1-E20)</f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>
        <f t="shared" ca="1" si="0"/>
        <v>0</v>
      </c>
      <c r="T6" s="437">
        <f t="shared" ca="1" si="0"/>
        <v>1.5254237288135596E-3</v>
      </c>
      <c r="U6" s="437">
        <f t="shared" ca="1" si="0"/>
        <v>1.7372881355932203E-3</v>
      </c>
      <c r="V6" s="437">
        <f t="shared" ca="1" si="0"/>
        <v>8.8983050847457623E-4</v>
      </c>
      <c r="W6" s="437">
        <f t="shared" ca="1" si="0"/>
        <v>8.4745762711864404E-4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>D19*D20</f>
        <v>0</v>
      </c>
      <c r="E7" s="273">
        <f>E19*E20</f>
        <v>0</v>
      </c>
      <c r="F7" s="273">
        <f>F19*F20</f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>
        <f t="shared" ca="1" si="0"/>
        <v>0</v>
      </c>
      <c r="T7" s="437">
        <f t="shared" ca="1" si="0"/>
        <v>0</v>
      </c>
      <c r="U7" s="437">
        <f t="shared" ca="1" si="0"/>
        <v>0</v>
      </c>
      <c r="V7" s="437">
        <f t="shared" ca="1" si="0"/>
        <v>1.818181818181818E-3</v>
      </c>
      <c r="W7" s="437">
        <f t="shared" ca="1" si="0"/>
        <v>3.1818181818181819E-3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1">D21*(1-D22)</f>
        <v>2.2834402547600621</v>
      </c>
      <c r="E8" s="273">
        <f t="shared" si="1"/>
        <v>2.4148286821172875</v>
      </c>
      <c r="F8" s="273">
        <f t="shared" si="1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>
        <f t="shared" ca="1" si="0"/>
        <v>0</v>
      </c>
      <c r="T8" s="437">
        <f t="shared" ca="1" si="0"/>
        <v>2.1951219512195124E-3</v>
      </c>
      <c r="U8" s="437">
        <f t="shared" ca="1" si="0"/>
        <v>1.2195121951219514E-3</v>
      </c>
      <c r="V8" s="437">
        <f t="shared" ca="1" si="0"/>
        <v>6.7073170731707312E-4</v>
      </c>
      <c r="W8" s="437">
        <f t="shared" ca="1" si="0"/>
        <v>9.1463414634146336E-4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>
        <f t="shared" ca="1" si="0"/>
        <v>0</v>
      </c>
      <c r="T9" s="437">
        <f t="shared" ca="1" si="0"/>
        <v>0</v>
      </c>
      <c r="U9" s="437">
        <f t="shared" ca="1" si="0"/>
        <v>3.3333333333333332E-4</v>
      </c>
      <c r="V9" s="437">
        <f t="shared" ca="1" si="0"/>
        <v>2.6666666666666666E-3</v>
      </c>
      <c r="W9" s="437">
        <f t="shared" ca="1" si="0"/>
        <v>2E-3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1"/>
        <v>0</v>
      </c>
      <c r="E10" s="273">
        <f t="shared" si="1"/>
        <v>0</v>
      </c>
      <c r="F10" s="273">
        <f t="shared" si="1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1"/>
        <v>0.5798693329878496</v>
      </c>
      <c r="E12" s="273">
        <f t="shared" si="1"/>
        <v>0.62416490703553229</v>
      </c>
      <c r="F12" s="273">
        <f t="shared" si="1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1"/>
        <v>0</v>
      </c>
      <c r="E14" s="273">
        <f t="shared" si="1"/>
        <v>0.17060507458971214</v>
      </c>
      <c r="F14" s="273">
        <f t="shared" si="1"/>
        <v>2.051145640608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>D27*D28</f>
        <v>0</v>
      </c>
      <c r="E15" s="273">
        <f>E27*E28</f>
        <v>0.22563896961865154</v>
      </c>
      <c r="F15" s="273">
        <f>F27*F28</f>
        <v>1.1188067130589092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 t="shared" ref="K22:O23" si="2">AVERAGE(AVERAGEIF($B$31:$J$31,K$20,$B39:$J39),AVERAGEIF($B$31:$J$31,K$20,$B47:$J47))/100</f>
        <v>0.75</v>
      </c>
      <c r="L22" s="379">
        <f t="shared" si="2"/>
        <v>0.15</v>
      </c>
      <c r="M22" s="379">
        <f t="shared" si="2"/>
        <v>0.22500000000000001</v>
      </c>
      <c r="N22" s="379">
        <f t="shared" si="2"/>
        <v>0.3</v>
      </c>
      <c r="O22" s="379">
        <f t="shared" si="2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 t="shared" si="2"/>
        <v>0.125</v>
      </c>
      <c r="L23" s="379">
        <f t="shared" si="2"/>
        <v>0.25</v>
      </c>
      <c r="M23" s="379">
        <f t="shared" si="2"/>
        <v>0.125</v>
      </c>
      <c r="N23" s="379">
        <f t="shared" si="2"/>
        <v>0.1</v>
      </c>
      <c r="O23" s="379">
        <f t="shared" si="2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3">AVERAGE(AVERAGEIF($B$31:$J$31,L$20,$B35:$J35),AVERAGEIF($B$31:$J$31,L$20,$B43:$J43))/100</f>
        <v>0.7</v>
      </c>
      <c r="M25" s="379">
        <f t="shared" si="3"/>
        <v>0.51249999999999996</v>
      </c>
      <c r="N25" s="379">
        <f t="shared" si="3"/>
        <v>0.3</v>
      </c>
      <c r="O25" s="379">
        <f t="shared" si="3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>D24</f>
        <v>0.77777777777777768</v>
      </c>
      <c r="E26" s="379">
        <f>E24</f>
        <v>0.56944444444444442</v>
      </c>
      <c r="F26" s="379">
        <f>F24</f>
        <v>0.35294117647058826</v>
      </c>
      <c r="G26" s="379">
        <f>G24</f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3"/>
        <v>0.1</v>
      </c>
      <c r="M26" s="379">
        <f t="shared" si="3"/>
        <v>0.1</v>
      </c>
      <c r="N26" s="379">
        <f t="shared" si="3"/>
        <v>0.15</v>
      </c>
      <c r="O26" s="379">
        <f t="shared" si="3"/>
        <v>0.15</v>
      </c>
    </row>
    <row r="27" spans="1:15" x14ac:dyDescent="0.25">
      <c r="A27" s="244" t="s">
        <v>550</v>
      </c>
      <c r="B27" s="244" t="s">
        <v>616</v>
      </c>
      <c r="C27" s="378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378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378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73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73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>D24</f>
        <v>0.77777777777777768</v>
      </c>
      <c r="E28" s="379">
        <f>E24</f>
        <v>0.56944444444444442</v>
      </c>
      <c r="F28" s="379">
        <f>F24</f>
        <v>0.35294117647058826</v>
      </c>
      <c r="G28" s="379">
        <f>G24</f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786</v>
      </c>
      <c r="B32" s="381" t="s">
        <v>799</v>
      </c>
      <c r="C32" s="381" t="s">
        <v>794</v>
      </c>
      <c r="D32" s="381" t="s">
        <v>795</v>
      </c>
      <c r="E32" s="381" t="s">
        <v>800</v>
      </c>
      <c r="F32" s="381" t="s">
        <v>796</v>
      </c>
      <c r="G32" s="381" t="s">
        <v>797</v>
      </c>
      <c r="H32" s="381" t="s">
        <v>798</v>
      </c>
      <c r="I32" s="381" t="s">
        <v>787</v>
      </c>
      <c r="J32" s="381" t="s">
        <v>801</v>
      </c>
    </row>
    <row r="33" spans="1:10" ht="15.75" thickBot="1" x14ac:dyDescent="0.3">
      <c r="A33" s="480" t="s">
        <v>788</v>
      </c>
      <c r="B33" s="481"/>
      <c r="C33" s="382"/>
      <c r="D33" s="382"/>
      <c r="E33" s="482"/>
      <c r="F33" s="482"/>
      <c r="G33" s="382"/>
      <c r="H33" s="382"/>
      <c r="I33" s="382"/>
      <c r="J33" s="383"/>
    </row>
    <row r="34" spans="1:10" ht="15.75" thickBot="1" x14ac:dyDescent="0.3">
      <c r="A34" s="384" t="s">
        <v>789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790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791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80" t="s">
        <v>792</v>
      </c>
      <c r="B37" s="481"/>
      <c r="C37" s="382"/>
      <c r="D37" s="382"/>
      <c r="E37" s="482"/>
      <c r="F37" s="482"/>
      <c r="G37" s="382"/>
      <c r="H37" s="382"/>
      <c r="I37" s="382"/>
      <c r="J37" s="383"/>
    </row>
    <row r="38" spans="1:10" ht="15.75" thickBot="1" x14ac:dyDescent="0.3">
      <c r="A38" s="384" t="s">
        <v>789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790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791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80" t="s">
        <v>793</v>
      </c>
      <c r="B41" s="481"/>
      <c r="C41" s="382"/>
      <c r="D41" s="382"/>
      <c r="E41" s="482"/>
      <c r="F41" s="482"/>
      <c r="G41" s="382"/>
      <c r="H41" s="382"/>
      <c r="I41" s="382"/>
      <c r="J41" s="383"/>
    </row>
    <row r="42" spans="1:10" ht="15.75" thickBot="1" x14ac:dyDescent="0.3">
      <c r="A42" s="384" t="s">
        <v>789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790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791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80" t="s">
        <v>792</v>
      </c>
      <c r="B45" s="481"/>
      <c r="C45" s="382"/>
      <c r="D45" s="382"/>
      <c r="E45" s="482"/>
      <c r="F45" s="482"/>
      <c r="G45" s="382"/>
      <c r="H45" s="382"/>
      <c r="I45" s="382"/>
      <c r="J45" s="383"/>
    </row>
    <row r="46" spans="1:10" ht="15.75" thickBot="1" x14ac:dyDescent="0.3">
      <c r="A46" s="384" t="s">
        <v>789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790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791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>C74</f>
        <v>1</v>
      </c>
      <c r="F2" s="225">
        <f>D74</f>
        <v>1</v>
      </c>
      <c r="G2" s="225">
        <f>E74</f>
        <v>1</v>
      </c>
      <c r="H2" s="225">
        <f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895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0">AVERAGE(C32,C29)</f>
        <v>5.5</v>
      </c>
      <c r="F4" s="225">
        <f t="shared" si="0"/>
        <v>14</v>
      </c>
      <c r="G4" s="225">
        <f t="shared" si="0"/>
        <v>14.5</v>
      </c>
      <c r="H4" s="225">
        <f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0"/>
        <v>0</v>
      </c>
      <c r="F5" s="225">
        <f t="shared" si="0"/>
        <v>0</v>
      </c>
      <c r="G5" s="225">
        <f t="shared" si="0"/>
        <v>15.5</v>
      </c>
      <c r="H5" s="225">
        <f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 t="shared" ref="D6:H7" si="1">AVERAGE(B47,B50)</f>
        <v>12.5</v>
      </c>
      <c r="E6" s="225">
        <f t="shared" si="1"/>
        <v>16</v>
      </c>
      <c r="F6" s="225">
        <f t="shared" si="1"/>
        <v>0.5</v>
      </c>
      <c r="G6" s="225">
        <f t="shared" si="1"/>
        <v>12.5</v>
      </c>
      <c r="H6" s="225">
        <f t="shared" si="1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 t="shared" si="1"/>
        <v>0</v>
      </c>
      <c r="E7" s="225">
        <f t="shared" si="1"/>
        <v>18</v>
      </c>
      <c r="F7" s="225">
        <f t="shared" si="1"/>
        <v>20.5</v>
      </c>
      <c r="G7" s="225">
        <f t="shared" si="1"/>
        <v>10.5</v>
      </c>
      <c r="H7" s="225">
        <f t="shared" si="1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 t="shared" ref="D8:H9" si="2">AVERAGE(B23,B26,B20,B17)</f>
        <v>2.5</v>
      </c>
      <c r="E8" s="225">
        <f t="shared" si="2"/>
        <v>4.25</v>
      </c>
      <c r="F8" s="225">
        <f t="shared" si="2"/>
        <v>13.75</v>
      </c>
      <c r="G8" s="225">
        <f t="shared" si="2"/>
        <v>13.25</v>
      </c>
      <c r="H8" s="225">
        <f t="shared" si="2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 t="shared" si="2"/>
        <v>0</v>
      </c>
      <c r="E9" s="225">
        <f t="shared" si="2"/>
        <v>0</v>
      </c>
      <c r="F9" s="225">
        <f t="shared" si="2"/>
        <v>0</v>
      </c>
      <c r="G9" s="225">
        <f t="shared" si="2"/>
        <v>4</v>
      </c>
      <c r="H9" s="225">
        <f t="shared" si="2"/>
        <v>7</v>
      </c>
      <c r="I9" s="225">
        <f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 t="shared" ref="D10:H11" si="3">AVERAGE(B41,B44)</f>
        <v>9.5</v>
      </c>
      <c r="E10" s="225">
        <f t="shared" si="3"/>
        <v>8</v>
      </c>
      <c r="F10" s="225">
        <f t="shared" si="3"/>
        <v>4.5</v>
      </c>
      <c r="G10" s="225">
        <f t="shared" si="3"/>
        <v>13</v>
      </c>
      <c r="H10" s="225">
        <f t="shared" si="3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 t="shared" si="3"/>
        <v>0</v>
      </c>
      <c r="E11" s="225">
        <f t="shared" si="3"/>
        <v>18</v>
      </c>
      <c r="F11" s="225">
        <f t="shared" si="3"/>
        <v>10</v>
      </c>
      <c r="G11" s="225">
        <f t="shared" si="3"/>
        <v>5.5</v>
      </c>
      <c r="H11" s="225">
        <f t="shared" si="3"/>
        <v>7.5</v>
      </c>
      <c r="I11" s="225">
        <f>AVERAGE(F42,F45)</f>
        <v>7.5</v>
      </c>
    </row>
    <row r="12" spans="1:14" x14ac:dyDescent="0.25">
      <c r="A12" s="7" t="s">
        <v>612</v>
      </c>
      <c r="B12" s="7" t="s">
        <v>550</v>
      </c>
      <c r="C12" s="244" t="s">
        <v>608</v>
      </c>
      <c r="D12" s="448">
        <f t="shared" ref="D12:H13" si="4">AVERAGE(B59,B62,B65)</f>
        <v>2.6666666666666665</v>
      </c>
      <c r="E12" s="448">
        <f t="shared" si="4"/>
        <v>2.6666666666666665</v>
      </c>
      <c r="F12" s="448">
        <f t="shared" si="4"/>
        <v>3.3333333333333335</v>
      </c>
      <c r="G12" s="448">
        <f t="shared" si="4"/>
        <v>4.333333333333333</v>
      </c>
      <c r="H12" s="448">
        <f t="shared" si="4"/>
        <v>5.333333333333333</v>
      </c>
      <c r="I12" s="448">
        <f>AVERAGE(F59,F62,F65)</f>
        <v>5.333333333333333</v>
      </c>
    </row>
    <row r="13" spans="1:14" x14ac:dyDescent="0.25">
      <c r="A13" s="244"/>
      <c r="B13" s="7" t="s">
        <v>550</v>
      </c>
      <c r="C13" s="244" t="s">
        <v>609</v>
      </c>
      <c r="D13" s="448">
        <f t="shared" si="4"/>
        <v>0</v>
      </c>
      <c r="E13" s="448">
        <f t="shared" si="4"/>
        <v>0</v>
      </c>
      <c r="F13" s="448">
        <f t="shared" si="4"/>
        <v>0.33333333333333331</v>
      </c>
      <c r="G13" s="448">
        <f t="shared" si="4"/>
        <v>2.6666666666666665</v>
      </c>
      <c r="H13" s="448">
        <f t="shared" si="4"/>
        <v>2</v>
      </c>
      <c r="I13" s="448">
        <f>AVERAGE(F60,F63,F66)</f>
        <v>2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>AB33+AB33-AA33</f>
        <v>875096</v>
      </c>
      <c r="C21" s="184">
        <f>B21+B21-AB33</f>
        <v>875572</v>
      </c>
      <c r="D21" s="184">
        <f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>AB34+AB34-AA34</f>
        <v>1269966</v>
      </c>
      <c r="C22" s="184">
        <f>B22+B22-AB34</f>
        <v>1270625</v>
      </c>
      <c r="D22" s="184">
        <f>C22+C22-B22</f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>AB35+AB35-AA35</f>
        <v>1474294</v>
      </c>
      <c r="C23" s="184">
        <f>B23+B23-AB35</f>
        <v>1477863</v>
      </c>
      <c r="D23" s="184">
        <f>C23+C23-B23</f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>AB36+AB36-AA36</f>
        <v>603918</v>
      </c>
      <c r="C24" s="184">
        <f>B24+B24-AB36</f>
        <v>603935</v>
      </c>
      <c r="D24" s="184">
        <f>C24+C24-B24</f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 t="shared" ref="N15:N20" si="0"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si="0"/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2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2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9"/>
      <c r="H2" s="8"/>
    </row>
    <row r="3" spans="1:14" ht="15.75" thickBot="1" x14ac:dyDescent="0.3">
      <c r="A3" s="227" t="s">
        <v>814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818</v>
      </c>
      <c r="B4" s="161">
        <f ca="1">B3-$C$18+B2</f>
        <v>358674.32551850227</v>
      </c>
      <c r="C4" s="161">
        <f ca="1">C3-$C$18+C2</f>
        <v>363994.97174274386</v>
      </c>
      <c r="D4" s="161">
        <f ca="1">D3-$C$18+D2</f>
        <v>369776.8151095995</v>
      </c>
      <c r="E4" s="486" t="s">
        <v>885</v>
      </c>
      <c r="F4" s="486"/>
      <c r="G4" s="486"/>
      <c r="H4" s="486"/>
      <c r="I4" s="486"/>
      <c r="J4" s="486"/>
      <c r="K4" s="486"/>
      <c r="L4" s="486"/>
      <c r="M4" s="486"/>
      <c r="N4" s="486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6"/>
      <c r="F5" s="486"/>
      <c r="G5" s="486"/>
      <c r="H5" s="486"/>
      <c r="I5" s="486"/>
      <c r="J5" s="486"/>
      <c r="K5" s="486"/>
      <c r="L5" s="486"/>
      <c r="M5" s="486"/>
      <c r="N5" s="486"/>
    </row>
    <row r="6" spans="1:14" x14ac:dyDescent="0.25">
      <c r="A6" s="8" t="s">
        <v>812</v>
      </c>
      <c r="B6" s="159">
        <f>$D$17+$D$19-SUM($C$26:$E$26)</f>
        <v>355018</v>
      </c>
      <c r="C6" s="159">
        <f>$D$17+$D$19-SUM($C$26:$E$26)</f>
        <v>355018</v>
      </c>
      <c r="D6" s="159">
        <f>$D$17+$D$19-SUM($C$26:$E$26)</f>
        <v>355018</v>
      </c>
      <c r="E6" s="486"/>
      <c r="F6" s="486"/>
      <c r="G6" s="486"/>
      <c r="H6" s="486"/>
      <c r="I6" s="486"/>
      <c r="J6" s="486"/>
      <c r="K6" s="486"/>
      <c r="L6" s="486"/>
      <c r="M6" s="486"/>
      <c r="N6" s="486"/>
    </row>
    <row r="7" spans="1:14" x14ac:dyDescent="0.25">
      <c r="A7" s="8" t="s">
        <v>815</v>
      </c>
      <c r="B7" s="159">
        <f ca="1">SUM(B4:B6)+E26+D26+C26</f>
        <v>2054836.3255185024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853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811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887</v>
      </c>
      <c r="D1" s="244"/>
      <c r="E1" t="s">
        <v>888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889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890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891</v>
      </c>
    </row>
    <row r="8" spans="1:10" x14ac:dyDescent="0.25">
      <c r="A8" s="415" t="s">
        <v>880</v>
      </c>
      <c r="B8" s="415" t="s">
        <v>401</v>
      </c>
      <c r="C8" s="430">
        <f>'Procesdata (baggrund)'!I23</f>
        <v>3.326857142857142E-5</v>
      </c>
      <c r="D8" s="415" t="s">
        <v>881</v>
      </c>
    </row>
    <row r="9" spans="1:10" x14ac:dyDescent="0.25">
      <c r="A9" s="415" t="s">
        <v>868</v>
      </c>
      <c r="B9" s="415" t="s">
        <v>401</v>
      </c>
      <c r="C9" s="429">
        <f>'Procesdata (baggrund)'!I24</f>
        <v>8.9614285714285689E-6</v>
      </c>
      <c r="D9" s="415" t="s">
        <v>881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805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807</v>
      </c>
      <c r="B21" s="244" t="s">
        <v>713</v>
      </c>
      <c r="C21" s="244" t="s">
        <v>714</v>
      </c>
      <c r="D21" s="244"/>
    </row>
    <row r="22" spans="1:8" x14ac:dyDescent="0.25">
      <c r="A22" s="244" t="s">
        <v>806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 x14ac:dyDescent="0.25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 x14ac:dyDescent="0.25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5" t="s">
        <v>37</v>
      </c>
      <c r="B9">
        <f>IFERROR(VLOOKUP(A9,Biogasudbytte!$A$2:$C$18,3,FALSE),VLOOKUP(A9,$I$2:$J$8,2,FALSE))</f>
        <v>0.85</v>
      </c>
    </row>
    <row r="10" spans="1:11" x14ac:dyDescent="0.25">
      <c r="A10" s="296" t="s">
        <v>517</v>
      </c>
      <c r="B10">
        <f>IFERROR(VLOOKUP(A10,Biogasudbytte!$A$2:$C$18,3,FALSE),VLOOKUP(A10,$I$2:$J$8,2,FALSE))</f>
        <v>0.3</v>
      </c>
    </row>
    <row r="11" spans="1:11" x14ac:dyDescent="0.25">
      <c r="A11" s="295" t="s">
        <v>41</v>
      </c>
      <c r="B11">
        <f>IFERROR(VLOOKUP(A11,Biogasudbytte!$A$2:$C$18,3,FALSE),VLOOKUP(A11,$I$2:$J$8,2,FALSE))</f>
        <v>0.42</v>
      </c>
    </row>
    <row r="12" spans="1:11" x14ac:dyDescent="0.25">
      <c r="A12" s="296" t="s">
        <v>178</v>
      </c>
      <c r="B12">
        <f>IFERROR(VLOOKUP(A12,Biogasudbytte!$A$2:$C$18,3,FALSE),VLOOKUP(A12,$I$2:$J$8,2,FALSE))</f>
        <v>0.25</v>
      </c>
    </row>
    <row r="13" spans="1:11" x14ac:dyDescent="0.25">
      <c r="A13" s="295" t="s">
        <v>11</v>
      </c>
      <c r="B13">
        <f>IFERROR(VLOOKUP(A13,Biogasudbytte!$A$2:$C$18,3,FALSE),VLOOKUP(A13,$I$2:$J$8,2,FALSE))</f>
        <v>0.31</v>
      </c>
    </row>
    <row r="14" spans="1:11" x14ac:dyDescent="0.25">
      <c r="A14" s="296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295" t="s">
        <v>15</v>
      </c>
      <c r="B15">
        <f>IFERROR(VLOOKUP(A15,Biogasudbytte!$A$2:$C$18,3,FALSE),VLOOKUP(A15,$I$2:$J$8,2,FALSE))</f>
        <v>0.3</v>
      </c>
    </row>
    <row r="16" spans="1:11" x14ac:dyDescent="0.25">
      <c r="A16" s="296" t="s">
        <v>301</v>
      </c>
      <c r="B16">
        <f>IFERROR(VLOOKUP(A16,Biogasudbytte!$A$2:$C$18,3,FALSE),VLOOKUP(A16,$I$2:$J$8,2,FALSE))</f>
        <v>0.15</v>
      </c>
    </row>
    <row r="17" spans="1:2" x14ac:dyDescent="0.25">
      <c r="A17" s="295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296" t="s">
        <v>167</v>
      </c>
      <c r="B18">
        <f>IFERROR(VLOOKUP(A18,Biogasudbytte!$A$2:$C$18,3,FALSE),VLOOKUP(A18,$I$2:$J$8,2,FALSE))</f>
        <v>0.91</v>
      </c>
    </row>
    <row r="19" spans="1:2" x14ac:dyDescent="0.25">
      <c r="A19" s="296" t="s">
        <v>710</v>
      </c>
      <c r="B19">
        <f>IFERROR(VLOOKUP(A19,Biogasudbytte!$A$2:$C$18,3,FALSE),VLOOKUP(A19,$I$2:$J$8,2,FALSE))</f>
        <v>0.91</v>
      </c>
    </row>
    <row r="20" spans="1:2" x14ac:dyDescent="0.25">
      <c r="A20" s="295" t="s">
        <v>42</v>
      </c>
      <c r="B20">
        <f>IFERROR(VLOOKUP(A20,Biogasudbytte!$A$2:$C$18,3,FALSE),VLOOKUP(A20,$I$2:$J$8,2,FALSE))</f>
        <v>0.2</v>
      </c>
    </row>
    <row r="21" spans="1:2" x14ac:dyDescent="0.25">
      <c r="A21" s="295" t="s">
        <v>492</v>
      </c>
      <c r="B21">
        <f>IFERROR(VLOOKUP(A21,Biogasudbytte!$A$2:$C$18,3,FALSE),VLOOKUP(A21,$I$2:$J$8,2,FALSE))</f>
        <v>0.06</v>
      </c>
    </row>
    <row r="22" spans="1:2" x14ac:dyDescent="0.25">
      <c r="A22" s="296" t="s">
        <v>488</v>
      </c>
      <c r="B22">
        <f>IFERROR(VLOOKUP(A22,Biogasudbytte!$A$2:$C$18,3,FALSE),VLOOKUP(A22,$I$2:$J$8,2,FALSE))</f>
        <v>0.05</v>
      </c>
    </row>
    <row r="23" spans="1:2" x14ac:dyDescent="0.25">
      <c r="A23" s="295" t="s">
        <v>300</v>
      </c>
      <c r="B23">
        <f>IFERROR(VLOOKUP(A23,Biogasudbytte!$A$2:$C$18,3,FALSE),VLOOKUP(A23,$I$2:$J$8,2,FALSE))</f>
        <v>0.15</v>
      </c>
    </row>
    <row r="24" spans="1:2" x14ac:dyDescent="0.25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 codeName="Sheet6">
    <tabColor theme="5" tint="0.59999389629810485"/>
  </sheetPr>
  <dimension ref="A1:O49"/>
  <sheetViews>
    <sheetView topLeftCell="A15" workbookViewId="0">
      <selection activeCell="C15" sqref="C15"/>
    </sheetView>
  </sheetViews>
  <sheetFormatPr defaultRowHeight="15" x14ac:dyDescent="0.25"/>
  <cols>
    <col min="1" max="1" width="18" bestFit="1" customWidth="1"/>
    <col min="2" max="2" width="57.42578125" bestFit="1" customWidth="1"/>
    <col min="3" max="3" width="28.28515625" bestFit="1" customWidth="1"/>
    <col min="4" max="4" width="25.7109375" bestFit="1" customWidth="1"/>
    <col min="7" max="7" width="18.5703125" bestFit="1" customWidth="1"/>
    <col min="8" max="8" width="10.5703125" bestFit="1" customWidth="1"/>
    <col min="9" max="9" width="18.5703125" bestFit="1" customWidth="1"/>
    <col min="10" max="10" width="23.140625" bestFit="1" customWidth="1"/>
    <col min="11" max="11" width="14.5703125" bestFit="1" customWidth="1"/>
  </cols>
  <sheetData>
    <row r="1" spans="1:15" x14ac:dyDescent="0.25">
      <c r="B1" t="s">
        <v>897</v>
      </c>
      <c r="C1" t="s">
        <v>939</v>
      </c>
      <c r="D1" t="s">
        <v>940</v>
      </c>
      <c r="H1" s="487" t="s">
        <v>941</v>
      </c>
      <c r="I1" s="487"/>
      <c r="J1" s="487"/>
      <c r="K1" s="487"/>
      <c r="L1" s="487"/>
      <c r="N1" t="s">
        <v>325</v>
      </c>
      <c r="O1" s="451" t="s">
        <v>896</v>
      </c>
    </row>
    <row r="2" spans="1:15" x14ac:dyDescent="0.25">
      <c r="A2" s="450" t="s">
        <v>303</v>
      </c>
      <c r="B2" t="s">
        <v>899</v>
      </c>
      <c r="C2">
        <f>IF(D2&lt;&gt;"",D2*IFERROR(IF(VLOOKUP(A2,$J$4:$M$24,4,FALSE)=1,VLOOKUP(A2,$J$4:$M$24,3,FALSE),1),1),0)</f>
        <v>138</v>
      </c>
      <c r="D2">
        <v>138</v>
      </c>
      <c r="H2" s="487"/>
      <c r="I2" s="487"/>
      <c r="J2" s="487"/>
      <c r="K2" s="487"/>
      <c r="L2" s="487"/>
      <c r="N2" t="s">
        <v>943</v>
      </c>
    </row>
    <row r="3" spans="1:15" x14ac:dyDescent="0.25">
      <c r="A3" s="450" t="s">
        <v>14</v>
      </c>
      <c r="B3" t="s">
        <v>898</v>
      </c>
      <c r="C3">
        <f t="shared" ref="C3:C49" si="0">IF(D3&lt;&gt;"",D3*IFERROR(IF(VLOOKUP(A3,$J$4:$M$24,4,FALSE)=1,VLOOKUP(A3,$J$4:$M$24,3,FALSE),1),1),0)</f>
        <v>694.5</v>
      </c>
      <c r="D3">
        <v>694.5</v>
      </c>
      <c r="H3" t="s">
        <v>936</v>
      </c>
      <c r="I3" t="s">
        <v>942</v>
      </c>
      <c r="J3" t="s">
        <v>937</v>
      </c>
      <c r="K3" t="s">
        <v>945</v>
      </c>
      <c r="L3" t="s">
        <v>938</v>
      </c>
      <c r="M3" t="s">
        <v>946</v>
      </c>
      <c r="N3" t="s">
        <v>944</v>
      </c>
    </row>
    <row r="4" spans="1:15" ht="22.5" x14ac:dyDescent="0.25">
      <c r="A4" s="450" t="s">
        <v>312</v>
      </c>
      <c r="B4" t="s">
        <v>607</v>
      </c>
      <c r="C4">
        <f t="shared" si="0"/>
        <v>0</v>
      </c>
      <c r="H4" s="452" t="s">
        <v>915</v>
      </c>
      <c r="I4" s="163">
        <v>232.41388774529983</v>
      </c>
      <c r="J4" t="str">
        <f>A24</f>
        <v>Korn</v>
      </c>
      <c r="K4">
        <f>D24</f>
        <v>366</v>
      </c>
      <c r="L4">
        <f>IF(K4="","",I4/K4)</f>
        <v>0.63501062225491756</v>
      </c>
      <c r="M4">
        <v>1</v>
      </c>
      <c r="N4" s="191" t="s">
        <v>947</v>
      </c>
    </row>
    <row r="5" spans="1:15" ht="22.5" x14ac:dyDescent="0.25">
      <c r="A5" s="450" t="s">
        <v>302</v>
      </c>
      <c r="B5" t="s">
        <v>607</v>
      </c>
      <c r="C5">
        <f t="shared" si="0"/>
        <v>0</v>
      </c>
      <c r="H5" s="452" t="s">
        <v>916</v>
      </c>
      <c r="I5" s="163">
        <v>63.817687998642</v>
      </c>
      <c r="L5" t="str">
        <f t="shared" ref="L5:L24" si="1">IF(K5="","",I5/K5)</f>
        <v/>
      </c>
    </row>
    <row r="6" spans="1:15" x14ac:dyDescent="0.25">
      <c r="A6" s="450" t="s">
        <v>304</v>
      </c>
      <c r="B6" t="s">
        <v>607</v>
      </c>
      <c r="C6">
        <f t="shared" si="0"/>
        <v>0</v>
      </c>
      <c r="H6" s="453" t="s">
        <v>917</v>
      </c>
      <c r="I6" s="163"/>
      <c r="L6" t="str">
        <f t="shared" si="1"/>
        <v/>
      </c>
    </row>
    <row r="7" spans="1:15" ht="22.5" x14ac:dyDescent="0.25">
      <c r="A7" s="450" t="s">
        <v>651</v>
      </c>
      <c r="B7" t="s">
        <v>607</v>
      </c>
      <c r="C7">
        <f t="shared" si="0"/>
        <v>0</v>
      </c>
      <c r="H7" s="452" t="s">
        <v>918</v>
      </c>
      <c r="I7" s="163">
        <v>320.25894187779437</v>
      </c>
      <c r="L7" t="str">
        <f t="shared" si="1"/>
        <v/>
      </c>
    </row>
    <row r="8" spans="1:15" x14ac:dyDescent="0.25">
      <c r="A8" t="s">
        <v>39</v>
      </c>
      <c r="B8" t="s">
        <v>607</v>
      </c>
      <c r="C8">
        <f t="shared" si="0"/>
        <v>0</v>
      </c>
      <c r="H8" s="453" t="s">
        <v>919</v>
      </c>
      <c r="I8" s="163">
        <v>337.96296296296293</v>
      </c>
      <c r="L8" t="str">
        <f t="shared" si="1"/>
        <v/>
      </c>
    </row>
    <row r="9" spans="1:15" x14ac:dyDescent="0.25">
      <c r="A9" t="s">
        <v>647</v>
      </c>
      <c r="B9" t="s">
        <v>607</v>
      </c>
      <c r="C9">
        <f t="shared" si="0"/>
        <v>0</v>
      </c>
      <c r="H9" s="453" t="s">
        <v>920</v>
      </c>
      <c r="I9" s="163">
        <v>283.88888888888886</v>
      </c>
      <c r="L9" t="str">
        <f t="shared" si="1"/>
        <v/>
      </c>
    </row>
    <row r="10" spans="1:15" x14ac:dyDescent="0.25">
      <c r="A10" t="s">
        <v>490</v>
      </c>
      <c r="B10" t="s">
        <v>607</v>
      </c>
      <c r="C10">
        <f t="shared" si="0"/>
        <v>0</v>
      </c>
      <c r="H10" s="453" t="s">
        <v>921</v>
      </c>
      <c r="I10" s="163">
        <v>218.37606837606842</v>
      </c>
      <c r="L10" t="str">
        <f t="shared" si="1"/>
        <v/>
      </c>
    </row>
    <row r="11" spans="1:15" ht="22.5" x14ac:dyDescent="0.25">
      <c r="A11" t="s">
        <v>355</v>
      </c>
      <c r="B11" t="s">
        <v>900</v>
      </c>
      <c r="C11">
        <f t="shared" si="0"/>
        <v>152</v>
      </c>
      <c r="D11">
        <v>152</v>
      </c>
      <c r="H11" s="452" t="s">
        <v>922</v>
      </c>
      <c r="I11" s="163">
        <v>864.6176911544228</v>
      </c>
      <c r="J11" t="str">
        <f>A39</f>
        <v>Rapsolie</v>
      </c>
      <c r="K11">
        <f>D39</f>
        <v>900</v>
      </c>
      <c r="L11">
        <f t="shared" si="1"/>
        <v>0.96068632350491423</v>
      </c>
    </row>
    <row r="12" spans="1:15" x14ac:dyDescent="0.25">
      <c r="A12" t="s">
        <v>297</v>
      </c>
      <c r="B12" t="s">
        <v>901</v>
      </c>
      <c r="C12">
        <f t="shared" si="0"/>
        <v>559</v>
      </c>
      <c r="D12">
        <v>559</v>
      </c>
      <c r="H12" s="453" t="s">
        <v>923</v>
      </c>
      <c r="I12" s="163">
        <v>26.348323929638234</v>
      </c>
      <c r="J12" t="str">
        <f>A17</f>
        <v>Grøntsager</v>
      </c>
      <c r="K12">
        <f>D17</f>
        <v>39</v>
      </c>
      <c r="L12">
        <f t="shared" si="1"/>
        <v>0.67559804947790347</v>
      </c>
    </row>
    <row r="13" spans="1:15" ht="22.5" x14ac:dyDescent="0.25">
      <c r="A13" t="s">
        <v>143</v>
      </c>
      <c r="B13" t="s">
        <v>902</v>
      </c>
      <c r="C13">
        <f t="shared" si="0"/>
        <v>52</v>
      </c>
      <c r="D13">
        <v>52</v>
      </c>
      <c r="H13" s="452" t="s">
        <v>924</v>
      </c>
      <c r="I13" s="163">
        <v>47.845084409136049</v>
      </c>
      <c r="J13" t="str">
        <f>A13</f>
        <v>Frugt</v>
      </c>
      <c r="K13">
        <f>D13</f>
        <v>52</v>
      </c>
      <c r="L13">
        <f t="shared" si="1"/>
        <v>0.92009777709877016</v>
      </c>
    </row>
    <row r="14" spans="1:15" x14ac:dyDescent="0.25">
      <c r="A14" s="450" t="s">
        <v>509</v>
      </c>
      <c r="B14" t="s">
        <v>607</v>
      </c>
      <c r="C14">
        <f t="shared" si="0"/>
        <v>0</v>
      </c>
      <c r="H14" s="453" t="s">
        <v>925</v>
      </c>
      <c r="I14" s="163">
        <v>145.48042704626334</v>
      </c>
      <c r="L14" t="str">
        <f t="shared" si="1"/>
        <v/>
      </c>
    </row>
    <row r="15" spans="1:15" x14ac:dyDescent="0.25">
      <c r="A15" s="450" t="s">
        <v>13</v>
      </c>
      <c r="C15">
        <f t="shared" si="0"/>
        <v>17</v>
      </c>
      <c r="D15">
        <v>17</v>
      </c>
      <c r="H15" s="453" t="s">
        <v>926</v>
      </c>
      <c r="I15" s="163">
        <v>304.16666666666663</v>
      </c>
      <c r="L15" t="str">
        <f t="shared" si="1"/>
        <v/>
      </c>
    </row>
    <row r="16" spans="1:15" ht="22.5" x14ac:dyDescent="0.25">
      <c r="A16" s="450" t="s">
        <v>645</v>
      </c>
      <c r="B16" t="s">
        <v>607</v>
      </c>
      <c r="C16">
        <f t="shared" si="0"/>
        <v>0</v>
      </c>
      <c r="H16" s="452" t="s">
        <v>927</v>
      </c>
      <c r="I16" s="163">
        <v>61.901005718793137</v>
      </c>
      <c r="L16" t="str">
        <f t="shared" si="1"/>
        <v/>
      </c>
    </row>
    <row r="17" spans="1:12" x14ac:dyDescent="0.25">
      <c r="A17" s="450" t="s">
        <v>12</v>
      </c>
      <c r="B17" t="s">
        <v>903</v>
      </c>
      <c r="C17">
        <f t="shared" si="0"/>
        <v>39</v>
      </c>
      <c r="D17">
        <v>39</v>
      </c>
      <c r="H17" s="453" t="s">
        <v>928</v>
      </c>
      <c r="I17" s="163">
        <v>168.04788213627995</v>
      </c>
      <c r="J17" t="str">
        <f>A45</f>
        <v>Svinekød</v>
      </c>
      <c r="K17">
        <f>D45</f>
        <v>195</v>
      </c>
      <c r="L17">
        <f t="shared" si="1"/>
        <v>0.86178401095528179</v>
      </c>
    </row>
    <row r="18" spans="1:12" x14ac:dyDescent="0.25">
      <c r="A18" s="450" t="s">
        <v>37</v>
      </c>
      <c r="B18" t="s">
        <v>607</v>
      </c>
      <c r="C18">
        <f t="shared" si="0"/>
        <v>0</v>
      </c>
      <c r="H18" s="453" t="s">
        <v>929</v>
      </c>
      <c r="I18" s="163">
        <v>123.2810615199035</v>
      </c>
      <c r="L18" t="str">
        <f t="shared" si="1"/>
        <v/>
      </c>
    </row>
    <row r="19" spans="1:12" x14ac:dyDescent="0.25">
      <c r="A19" s="450" t="s">
        <v>517</v>
      </c>
      <c r="B19" t="s">
        <v>607</v>
      </c>
      <c r="C19">
        <f t="shared" si="0"/>
        <v>0</v>
      </c>
      <c r="H19" s="453" t="s">
        <v>930</v>
      </c>
      <c r="I19" s="163">
        <v>566.18110236220468</v>
      </c>
      <c r="L19" t="str">
        <f t="shared" si="1"/>
        <v/>
      </c>
    </row>
    <row r="20" spans="1:12" x14ac:dyDescent="0.25">
      <c r="A20" t="s">
        <v>487</v>
      </c>
      <c r="B20" t="s">
        <v>607</v>
      </c>
      <c r="C20">
        <f t="shared" si="0"/>
        <v>57</v>
      </c>
      <c r="D20">
        <v>57</v>
      </c>
      <c r="H20" s="453" t="s">
        <v>931</v>
      </c>
      <c r="I20" s="163">
        <v>154.19432709716355</v>
      </c>
      <c r="J20" t="str">
        <f>A2</f>
        <v>Æg</v>
      </c>
      <c r="K20">
        <f>D2</f>
        <v>138</v>
      </c>
      <c r="L20">
        <f t="shared" si="1"/>
        <v>1.1173501963562575</v>
      </c>
    </row>
    <row r="21" spans="1:12" ht="22.5" x14ac:dyDescent="0.25">
      <c r="A21" s="450" t="s">
        <v>41</v>
      </c>
      <c r="B21" t="s">
        <v>607</v>
      </c>
      <c r="C21">
        <f t="shared" si="0"/>
        <v>0</v>
      </c>
      <c r="H21" s="452" t="s">
        <v>932</v>
      </c>
      <c r="I21" s="163">
        <v>43.175229038617651</v>
      </c>
      <c r="J21" t="str">
        <f>A36</f>
        <v>Råmælk</v>
      </c>
      <c r="K21">
        <f>D36</f>
        <v>63</v>
      </c>
      <c r="L21">
        <f t="shared" si="1"/>
        <v>0.68532109585107381</v>
      </c>
    </row>
    <row r="22" spans="1:12" ht="22.5" x14ac:dyDescent="0.25">
      <c r="A22" s="450" t="s">
        <v>138</v>
      </c>
      <c r="B22" t="s">
        <v>607</v>
      </c>
      <c r="C22">
        <f t="shared" si="0"/>
        <v>0</v>
      </c>
      <c r="H22" s="452" t="s">
        <v>933</v>
      </c>
      <c r="I22" s="163">
        <v>115.54640069384216</v>
      </c>
      <c r="L22" t="str">
        <f t="shared" si="1"/>
        <v/>
      </c>
    </row>
    <row r="23" spans="1:12" ht="22.5" x14ac:dyDescent="0.25">
      <c r="A23" s="450" t="s">
        <v>178</v>
      </c>
      <c r="B23" t="s">
        <v>904</v>
      </c>
      <c r="C23">
        <f t="shared" si="0"/>
        <v>78</v>
      </c>
      <c r="D23">
        <v>78</v>
      </c>
      <c r="H23" s="452" t="s">
        <v>934</v>
      </c>
      <c r="I23" s="163">
        <v>0</v>
      </c>
      <c r="L23" t="str">
        <f t="shared" si="1"/>
        <v/>
      </c>
    </row>
    <row r="24" spans="1:12" x14ac:dyDescent="0.25">
      <c r="A24" s="450" t="s">
        <v>11</v>
      </c>
      <c r="B24" t="s">
        <v>905</v>
      </c>
      <c r="C24">
        <f t="shared" si="0"/>
        <v>232.41388774529983</v>
      </c>
      <c r="D24">
        <v>366</v>
      </c>
      <c r="H24" s="453" t="s">
        <v>935</v>
      </c>
      <c r="I24" s="163">
        <v>0</v>
      </c>
      <c r="L24" t="str">
        <f t="shared" si="1"/>
        <v/>
      </c>
    </row>
    <row r="25" spans="1:12" x14ac:dyDescent="0.25">
      <c r="A25" s="450" t="s">
        <v>310</v>
      </c>
      <c r="B25" t="s">
        <v>607</v>
      </c>
      <c r="C25">
        <f t="shared" si="0"/>
        <v>0</v>
      </c>
    </row>
    <row r="26" spans="1:12" x14ac:dyDescent="0.25">
      <c r="A26" s="450" t="s">
        <v>489</v>
      </c>
      <c r="B26" t="s">
        <v>607</v>
      </c>
      <c r="C26">
        <f t="shared" si="0"/>
        <v>0</v>
      </c>
    </row>
    <row r="27" spans="1:12" x14ac:dyDescent="0.25">
      <c r="A27" s="450" t="s">
        <v>420</v>
      </c>
      <c r="B27" t="s">
        <v>607</v>
      </c>
      <c r="C27">
        <f t="shared" si="0"/>
        <v>0</v>
      </c>
    </row>
    <row r="28" spans="1:12" x14ac:dyDescent="0.25">
      <c r="A28" t="s">
        <v>15</v>
      </c>
      <c r="B28" t="s">
        <v>906</v>
      </c>
      <c r="C28">
        <f t="shared" si="0"/>
        <v>91</v>
      </c>
      <c r="D28">
        <v>91</v>
      </c>
    </row>
    <row r="29" spans="1:12" x14ac:dyDescent="0.25">
      <c r="A29" s="450" t="s">
        <v>299</v>
      </c>
      <c r="B29" t="s">
        <v>907</v>
      </c>
      <c r="C29">
        <f t="shared" si="0"/>
        <v>63</v>
      </c>
      <c r="D29">
        <v>63</v>
      </c>
    </row>
    <row r="30" spans="1:12" x14ac:dyDescent="0.25">
      <c r="A30" s="450" t="s">
        <v>301</v>
      </c>
      <c r="B30" t="s">
        <v>908</v>
      </c>
      <c r="C30">
        <f t="shared" si="0"/>
        <v>83</v>
      </c>
      <c r="D30">
        <v>83</v>
      </c>
    </row>
    <row r="31" spans="1:12" x14ac:dyDescent="0.25">
      <c r="A31" s="450" t="s">
        <v>309</v>
      </c>
      <c r="B31" t="s">
        <v>309</v>
      </c>
      <c r="C31">
        <f t="shared" si="0"/>
        <v>195</v>
      </c>
      <c r="D31">
        <v>195</v>
      </c>
    </row>
    <row r="32" spans="1:12" x14ac:dyDescent="0.25">
      <c r="A32" s="450" t="s">
        <v>136</v>
      </c>
      <c r="B32" t="s">
        <v>909</v>
      </c>
      <c r="C32">
        <f t="shared" si="0"/>
        <v>39</v>
      </c>
      <c r="D32">
        <v>39</v>
      </c>
    </row>
    <row r="33" spans="1:4" x14ac:dyDescent="0.25">
      <c r="A33" s="450" t="s">
        <v>329</v>
      </c>
      <c r="B33" t="s">
        <v>607</v>
      </c>
      <c r="C33">
        <f t="shared" si="0"/>
        <v>0</v>
      </c>
    </row>
    <row r="34" spans="1:4" x14ac:dyDescent="0.25">
      <c r="A34" s="450" t="s">
        <v>868</v>
      </c>
      <c r="B34" t="s">
        <v>607</v>
      </c>
      <c r="C34">
        <f t="shared" si="0"/>
        <v>0</v>
      </c>
    </row>
    <row r="35" spans="1:4" x14ac:dyDescent="0.25">
      <c r="A35" s="450" t="s">
        <v>880</v>
      </c>
      <c r="B35" t="s">
        <v>607</v>
      </c>
      <c r="C35">
        <f t="shared" si="0"/>
        <v>0</v>
      </c>
    </row>
    <row r="36" spans="1:4" x14ac:dyDescent="0.25">
      <c r="A36" s="450" t="s">
        <v>292</v>
      </c>
      <c r="B36" t="s">
        <v>910</v>
      </c>
      <c r="C36">
        <f t="shared" si="0"/>
        <v>63</v>
      </c>
      <c r="D36">
        <v>63</v>
      </c>
    </row>
    <row r="37" spans="1:4" x14ac:dyDescent="0.25">
      <c r="A37" t="s">
        <v>167</v>
      </c>
      <c r="C37">
        <f t="shared" si="0"/>
        <v>0</v>
      </c>
    </row>
    <row r="38" spans="1:4" x14ac:dyDescent="0.25">
      <c r="A38" t="s">
        <v>710</v>
      </c>
      <c r="C38">
        <f t="shared" si="0"/>
        <v>0</v>
      </c>
    </row>
    <row r="39" spans="1:4" x14ac:dyDescent="0.25">
      <c r="A39" t="s">
        <v>711</v>
      </c>
      <c r="B39" t="s">
        <v>911</v>
      </c>
      <c r="C39">
        <f t="shared" si="0"/>
        <v>900</v>
      </c>
      <c r="D39">
        <v>900</v>
      </c>
    </row>
    <row r="40" spans="1:4" x14ac:dyDescent="0.25">
      <c r="A40" t="s">
        <v>42</v>
      </c>
      <c r="B40" t="s">
        <v>912</v>
      </c>
      <c r="C40">
        <f t="shared" si="0"/>
        <v>30</v>
      </c>
      <c r="D40">
        <v>30</v>
      </c>
    </row>
    <row r="41" spans="1:4" x14ac:dyDescent="0.25">
      <c r="A41" t="s">
        <v>415</v>
      </c>
      <c r="B41" t="s">
        <v>607</v>
      </c>
      <c r="C41">
        <f t="shared" si="0"/>
        <v>0</v>
      </c>
    </row>
    <row r="42" spans="1:4" x14ac:dyDescent="0.25">
      <c r="A42" t="s">
        <v>414</v>
      </c>
      <c r="B42" t="s">
        <v>607</v>
      </c>
      <c r="C42">
        <f t="shared" si="0"/>
        <v>0</v>
      </c>
    </row>
    <row r="43" spans="1:4" x14ac:dyDescent="0.25">
      <c r="A43" s="450" t="s">
        <v>492</v>
      </c>
      <c r="B43" t="s">
        <v>607</v>
      </c>
      <c r="C43">
        <f t="shared" si="0"/>
        <v>0</v>
      </c>
    </row>
    <row r="44" spans="1:4" x14ac:dyDescent="0.25">
      <c r="A44" s="450" t="s">
        <v>488</v>
      </c>
      <c r="B44" t="s">
        <v>607</v>
      </c>
      <c r="C44">
        <f t="shared" si="0"/>
        <v>0</v>
      </c>
    </row>
    <row r="45" spans="1:4" x14ac:dyDescent="0.25">
      <c r="A45" s="450" t="s">
        <v>308</v>
      </c>
      <c r="B45" t="s">
        <v>914</v>
      </c>
      <c r="C45">
        <f t="shared" si="0"/>
        <v>195</v>
      </c>
      <c r="D45">
        <v>195</v>
      </c>
    </row>
    <row r="46" spans="1:4" x14ac:dyDescent="0.25">
      <c r="A46" s="450" t="s">
        <v>300</v>
      </c>
      <c r="B46" t="s">
        <v>913</v>
      </c>
      <c r="C46">
        <f t="shared" si="0"/>
        <v>40.799999999999997</v>
      </c>
      <c r="D46">
        <v>40.799999999999997</v>
      </c>
    </row>
    <row r="47" spans="1:4" x14ac:dyDescent="0.25">
      <c r="A47" s="450" t="s">
        <v>342</v>
      </c>
      <c r="B47" t="s">
        <v>607</v>
      </c>
      <c r="C47">
        <f t="shared" si="0"/>
        <v>0</v>
      </c>
    </row>
    <row r="48" spans="1:4" x14ac:dyDescent="0.25">
      <c r="A48" s="450" t="s">
        <v>395</v>
      </c>
      <c r="B48" t="s">
        <v>607</v>
      </c>
      <c r="C48">
        <f t="shared" si="0"/>
        <v>0</v>
      </c>
    </row>
    <row r="49" spans="1:3" x14ac:dyDescent="0.25">
      <c r="A49" s="450" t="s">
        <v>298</v>
      </c>
      <c r="B49" t="s">
        <v>607</v>
      </c>
      <c r="C49">
        <f t="shared" si="0"/>
        <v>0</v>
      </c>
    </row>
  </sheetData>
  <mergeCells count="1">
    <mergeCell ref="H1:L2"/>
  </mergeCells>
  <hyperlinks>
    <hyperlink ref="N4" r:id="rId1" xr:uid="{2A0B688D-7EE7-467E-ACC2-71E6C85F569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2023-12-12T12:46:16Z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