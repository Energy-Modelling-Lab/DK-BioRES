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6A0D557D-5498-4925-9E52-3DC4679CA032}" xr6:coauthVersionLast="47" xr6:coauthVersionMax="47" xr10:uidLastSave="{00000000-0000-0000-0000-000000000000}"/>
  <bookViews>
    <workbookView xWindow="-96" yWindow="-96" windowWidth="23232" windowHeight="12552" tabRatio="929" firstSheet="6" activeTab="17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33" l="1"/>
  <c r="B19" i="33"/>
  <c r="C19" i="33" l="1"/>
  <c r="C18" i="33"/>
  <c r="J93" i="20"/>
  <c r="I93" i="20"/>
  <c r="H93" i="20"/>
  <c r="J92" i="20"/>
  <c r="I92" i="20"/>
  <c r="H92" i="20"/>
  <c r="J91" i="20"/>
  <c r="J94" i="20" s="1" a="1"/>
  <c r="J94" i="20" s="1"/>
  <c r="I91" i="20"/>
  <c r="I94" i="20" s="1" a="1"/>
  <c r="I94" i="20" s="1"/>
  <c r="H91" i="20"/>
  <c r="H94" i="20" s="1" a="1"/>
  <c r="H94" i="20" s="1"/>
  <c r="J89" i="20"/>
  <c r="I89" i="20"/>
  <c r="H89" i="20"/>
  <c r="J88" i="20"/>
  <c r="I88" i="20"/>
  <c r="H88" i="20"/>
  <c r="J87" i="20"/>
  <c r="J90" i="20" s="1" a="1"/>
  <c r="J90" i="20" s="1"/>
  <c r="I87" i="20"/>
  <c r="I90" i="20" s="1" a="1"/>
  <c r="I90" i="20" s="1"/>
  <c r="H87" i="20"/>
  <c r="H90" i="20" s="1" a="1"/>
  <c r="H90" i="20" s="1"/>
  <c r="J85" i="20"/>
  <c r="I85" i="20"/>
  <c r="H85" i="20"/>
  <c r="J84" i="20"/>
  <c r="I84" i="20"/>
  <c r="I86" i="20" s="1" a="1"/>
  <c r="I86" i="20" s="1"/>
  <c r="H84" i="20"/>
  <c r="H86" i="20" s="1" a="1"/>
  <c r="H86" i="20" s="1"/>
  <c r="J83" i="20"/>
  <c r="J86" i="20" s="1" a="1"/>
  <c r="J86" i="20" s="1"/>
  <c r="I83" i="20"/>
  <c r="H83" i="20"/>
  <c r="J82" i="20" a="1"/>
  <c r="J82" i="20" s="1"/>
  <c r="H82" i="20" a="1"/>
  <c r="H82" i="20" s="1"/>
  <c r="J81" i="20"/>
  <c r="I81" i="20"/>
  <c r="H81" i="20"/>
  <c r="J80" i="20"/>
  <c r="I80" i="20"/>
  <c r="H80" i="20"/>
  <c r="J79" i="20"/>
  <c r="I79" i="20"/>
  <c r="I82" i="20" s="1" a="1"/>
  <c r="I82" i="20" s="1"/>
  <c r="H79" i="20"/>
  <c r="J77" i="20"/>
  <c r="I77" i="20"/>
  <c r="H77" i="20"/>
  <c r="J76" i="20"/>
  <c r="I76" i="20"/>
  <c r="H76" i="20"/>
  <c r="J75" i="20"/>
  <c r="J78" i="20" s="1" a="1"/>
  <c r="J78" i="20" s="1"/>
  <c r="I75" i="20"/>
  <c r="I78" i="20" s="1" a="1"/>
  <c r="I78" i="20" s="1"/>
  <c r="H75" i="20"/>
  <c r="H78" i="20" s="1" a="1"/>
  <c r="H78" i="20" s="1"/>
  <c r="J73" i="20"/>
  <c r="I73" i="20"/>
  <c r="H73" i="20"/>
  <c r="J72" i="20"/>
  <c r="I72" i="20"/>
  <c r="H72" i="20"/>
  <c r="J71" i="20"/>
  <c r="J74" i="20" s="1" a="1"/>
  <c r="J74" i="20" s="1"/>
  <c r="I71" i="20"/>
  <c r="I74" i="20" s="1" a="1"/>
  <c r="I74" i="20" s="1"/>
  <c r="H71" i="20"/>
  <c r="H74" i="20" s="1" a="1"/>
  <c r="H74" i="20" s="1"/>
  <c r="J69" i="20"/>
  <c r="I69" i="20"/>
  <c r="H69" i="20"/>
  <c r="J68" i="20"/>
  <c r="I68" i="20"/>
  <c r="I70" i="20" s="1" a="1"/>
  <c r="I70" i="20" s="1"/>
  <c r="H68" i="20"/>
  <c r="H70" i="20" s="1" a="1"/>
  <c r="H70" i="20" s="1"/>
  <c r="J67" i="20"/>
  <c r="J70" i="20" s="1" a="1"/>
  <c r="J70" i="20" s="1"/>
  <c r="I67" i="20"/>
  <c r="H67" i="20"/>
  <c r="J66" i="20" a="1"/>
  <c r="J66" i="20" s="1"/>
  <c r="H66" i="20" a="1"/>
  <c r="H66" i="20" s="1"/>
  <c r="J65" i="20"/>
  <c r="I65" i="20"/>
  <c r="H65" i="20"/>
  <c r="J64" i="20"/>
  <c r="I64" i="20"/>
  <c r="H64" i="20"/>
  <c r="J63" i="20"/>
  <c r="I63" i="20"/>
  <c r="I66" i="20" s="1" a="1"/>
  <c r="I66" i="20" s="1"/>
  <c r="H63" i="20"/>
  <c r="J61" i="20"/>
  <c r="I61" i="20"/>
  <c r="H61" i="20"/>
  <c r="J60" i="20"/>
  <c r="I60" i="20"/>
  <c r="H60" i="20"/>
  <c r="J59" i="20"/>
  <c r="J62" i="20" s="1" a="1"/>
  <c r="J62" i="20" s="1"/>
  <c r="I59" i="20"/>
  <c r="I62" i="20" s="1" a="1"/>
  <c r="I62" i="20" s="1"/>
  <c r="H59" i="20"/>
  <c r="H62" i="20" s="1" a="1"/>
  <c r="H62" i="20" s="1"/>
  <c r="J57" i="20"/>
  <c r="I57" i="20"/>
  <c r="H57" i="20"/>
  <c r="J56" i="20"/>
  <c r="I56" i="20"/>
  <c r="H56" i="20"/>
  <c r="J55" i="20"/>
  <c r="J58" i="20" s="1" a="1"/>
  <c r="J58" i="20" s="1"/>
  <c r="I55" i="20"/>
  <c r="I58" i="20" s="1" a="1"/>
  <c r="I58" i="20" s="1"/>
  <c r="H55" i="20"/>
  <c r="H58" i="20" s="1" a="1"/>
  <c r="H58" i="20" s="1"/>
  <c r="J53" i="20"/>
  <c r="I53" i="20"/>
  <c r="H53" i="20"/>
  <c r="J52" i="20"/>
  <c r="I52" i="20"/>
  <c r="I54" i="20" s="1" a="1"/>
  <c r="I54" i="20" s="1"/>
  <c r="H52" i="20"/>
  <c r="H54" i="20" s="1" a="1"/>
  <c r="H54" i="20" s="1"/>
  <c r="J51" i="20"/>
  <c r="J54" i="20" s="1" a="1"/>
  <c r="J54" i="20" s="1"/>
  <c r="I51" i="20"/>
  <c r="H51" i="20"/>
  <c r="J50" i="20" a="1"/>
  <c r="J50" i="20" s="1"/>
  <c r="H50" i="20" a="1"/>
  <c r="H50" i="20" s="1"/>
  <c r="J49" i="20"/>
  <c r="I49" i="20"/>
  <c r="H49" i="20"/>
  <c r="J48" i="20"/>
  <c r="I48" i="20"/>
  <c r="H48" i="20"/>
  <c r="J47" i="20"/>
  <c r="I47" i="20"/>
  <c r="I50" i="20" s="1" a="1"/>
  <c r="I50" i="20" s="1"/>
  <c r="H47" i="20"/>
  <c r="J45" i="20"/>
  <c r="I45" i="20"/>
  <c r="H45" i="20"/>
  <c r="J44" i="20"/>
  <c r="I44" i="20"/>
  <c r="H44" i="20"/>
  <c r="J43" i="20"/>
  <c r="J46" i="20" s="1" a="1"/>
  <c r="J46" i="20" s="1"/>
  <c r="I43" i="20"/>
  <c r="I46" i="20" s="1" a="1"/>
  <c r="I46" i="20" s="1"/>
  <c r="H43" i="20"/>
  <c r="H46" i="20" s="1" a="1"/>
  <c r="H46" i="20" s="1"/>
  <c r="J41" i="20"/>
  <c r="I41" i="20"/>
  <c r="H41" i="20"/>
  <c r="J40" i="20"/>
  <c r="I40" i="20"/>
  <c r="H40" i="20"/>
  <c r="J39" i="20"/>
  <c r="J42" i="20" s="1" a="1"/>
  <c r="J42" i="20" s="1"/>
  <c r="I39" i="20"/>
  <c r="I42" i="20" s="1" a="1"/>
  <c r="I42" i="20" s="1"/>
  <c r="H39" i="20"/>
  <c r="H42" i="20" s="1" a="1"/>
  <c r="H42" i="20" s="1"/>
  <c r="H38" i="20" a="1"/>
  <c r="H38" i="20" s="1"/>
  <c r="J37" i="20"/>
  <c r="I37" i="20"/>
  <c r="H37" i="20"/>
  <c r="J36" i="20"/>
  <c r="I36" i="20"/>
  <c r="I38" i="20" s="1" a="1"/>
  <c r="I38" i="20" s="1"/>
  <c r="H36" i="20"/>
  <c r="J35" i="20"/>
  <c r="J38" i="20" s="1" a="1"/>
  <c r="J38" i="20" s="1"/>
  <c r="I35" i="20"/>
  <c r="H35" i="20"/>
  <c r="J34" i="20" a="1"/>
  <c r="J34" i="20" s="1"/>
  <c r="J33" i="20"/>
  <c r="I33" i="20"/>
  <c r="H33" i="20"/>
  <c r="J32" i="20"/>
  <c r="I32" i="20"/>
  <c r="H32" i="20"/>
  <c r="J31" i="20"/>
  <c r="I31" i="20"/>
  <c r="I34" i="20" s="1" a="1"/>
  <c r="I34" i="20" s="1"/>
  <c r="H31" i="20"/>
  <c r="H34" i="20" s="1" a="1"/>
  <c r="H34" i="20" s="1"/>
  <c r="J30" i="20" a="1"/>
  <c r="J30" i="20" s="1"/>
  <c r="I30" i="20" a="1"/>
  <c r="I30" i="20" s="1"/>
  <c r="H30" i="20" a="1"/>
  <c r="H30" i="20" s="1"/>
  <c r="J26" i="20" a="1"/>
  <c r="J26" i="20" s="1"/>
  <c r="I26" i="20" a="1"/>
  <c r="I26" i="20" s="1"/>
  <c r="H26" i="20"/>
  <c r="H26" i="20" a="1"/>
  <c r="J22" i="20"/>
  <c r="J22" i="20" a="1"/>
  <c r="I22" i="20" a="1"/>
  <c r="I22" i="20" s="1"/>
  <c r="H22" i="20"/>
  <c r="H22" i="20" a="1"/>
  <c r="I18" i="20" a="1"/>
  <c r="I18" i="20" s="1"/>
  <c r="J18" i="20" a="1"/>
  <c r="J18" i="20" s="1"/>
  <c r="H18" i="20" a="1"/>
  <c r="H18" i="20"/>
  <c r="H15" i="20"/>
  <c r="J28" i="20"/>
  <c r="I28" i="20"/>
  <c r="H28" i="20"/>
  <c r="J27" i="20"/>
  <c r="I27" i="20"/>
  <c r="H27" i="20"/>
  <c r="J24" i="20"/>
  <c r="I24" i="20"/>
  <c r="H24" i="20"/>
  <c r="J23" i="20"/>
  <c r="I23" i="20"/>
  <c r="H23" i="20"/>
  <c r="H20" i="20"/>
  <c r="H19" i="20"/>
  <c r="J20" i="20"/>
  <c r="I20" i="20"/>
  <c r="J19" i="20"/>
  <c r="I19" i="20"/>
  <c r="I15" i="20"/>
  <c r="J15" i="20"/>
  <c r="I16" i="20"/>
  <c r="J16" i="20"/>
  <c r="H16" i="20"/>
  <c r="I11" i="20"/>
  <c r="J11" i="20"/>
  <c r="I12" i="20"/>
  <c r="J12" i="20"/>
  <c r="H12" i="20"/>
  <c r="H11" i="20"/>
  <c r="J14" i="34"/>
  <c r="J6" i="34"/>
  <c r="J12" i="34"/>
  <c r="J10" i="34"/>
  <c r="J8" i="34"/>
  <c r="J13" i="34"/>
  <c r="J11" i="34"/>
  <c r="J9" i="34"/>
  <c r="J7" i="34"/>
  <c r="J5" i="34"/>
  <c r="J4" i="34"/>
  <c r="I500" i="20" l="1"/>
  <c r="J500" i="20" s="1"/>
  <c r="I499" i="20"/>
  <c r="J499" i="20"/>
  <c r="I498" i="20"/>
  <c r="J498" i="20" s="1"/>
  <c r="H499" i="20"/>
  <c r="H500" i="20"/>
  <c r="H498" i="20"/>
  <c r="G500" i="20"/>
  <c r="E500" i="20"/>
  <c r="G499" i="20"/>
  <c r="E499" i="20"/>
  <c r="G498" i="20"/>
  <c r="E498" i="20"/>
  <c r="C14" i="32"/>
  <c r="H5" i="9"/>
  <c r="E23" i="26" l="1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B2" i="18" a="1"/>
  <c r="W3" i="34" a="1"/>
  <c r="B2" i="18" l="1"/>
  <c r="W3" i="34"/>
  <c r="G5" i="34"/>
  <c r="I22" i="37" l="1"/>
  <c r="B24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E6" i="19"/>
  <c r="F6" i="19"/>
  <c r="G6" i="19"/>
  <c r="D8" i="19"/>
  <c r="E8" i="19"/>
  <c r="F8" i="19"/>
  <c r="G8" i="19"/>
  <c r="D10" i="19"/>
  <c r="E10" i="19"/>
  <c r="F10" i="19"/>
  <c r="G10" i="19"/>
  <c r="D12" i="19"/>
  <c r="E12" i="19"/>
  <c r="F12" i="19"/>
  <c r="I13" i="20"/>
  <c r="I17" i="20"/>
  <c r="I21" i="20"/>
  <c r="I25" i="20"/>
  <c r="I29" i="20"/>
  <c r="J13" i="20"/>
  <c r="J17" i="20"/>
  <c r="J21" i="20"/>
  <c r="J25" i="20"/>
  <c r="J2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 s="1"/>
  <c r="B15" i="32"/>
  <c r="C15" i="32" s="1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E2" i="32" s="1"/>
  <c r="D5" i="32"/>
  <c r="D6" i="32"/>
  <c r="D7" i="32"/>
  <c r="D8" i="32"/>
  <c r="D9" i="32"/>
  <c r="D10" i="32"/>
  <c r="D11" i="32"/>
  <c r="D12" i="32"/>
  <c r="D13" i="32"/>
  <c r="D15" i="32"/>
  <c r="B2" i="32"/>
  <c r="C2" i="32" s="1"/>
  <c r="B3" i="32"/>
  <c r="C3" i="32" s="1"/>
  <c r="C4" i="32"/>
  <c r="I442" i="20" s="1"/>
  <c r="B5" i="32"/>
  <c r="C5" i="32"/>
  <c r="I443" i="20" s="1"/>
  <c r="E6" i="32"/>
  <c r="B6" i="32"/>
  <c r="C6" i="32" s="1"/>
  <c r="B7" i="32"/>
  <c r="C7" i="32" s="1"/>
  <c r="B8" i="32"/>
  <c r="C8" i="32" s="1"/>
  <c r="E9" i="32"/>
  <c r="C9" i="32"/>
  <c r="H447" i="20" s="1"/>
  <c r="I447" i="20"/>
  <c r="C10" i="32"/>
  <c r="I448" i="20"/>
  <c r="B11" i="32"/>
  <c r="C11" i="32" s="1"/>
  <c r="E12" i="32"/>
  <c r="B12" i="32"/>
  <c r="C12" i="32"/>
  <c r="I450" i="20" s="1"/>
  <c r="E13" i="32"/>
  <c r="E15" i="32"/>
  <c r="B16" i="32"/>
  <c r="C16" i="32" s="1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2" i="20"/>
  <c r="H448" i="20"/>
  <c r="H450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2" i="20"/>
  <c r="J443" i="20"/>
  <c r="J447" i="20"/>
  <c r="J448" i="20"/>
  <c r="J450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C4" i="33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J3" i="32" s="1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H5" i="20"/>
  <c r="H453" i="20" l="1"/>
  <c r="J453" i="20"/>
  <c r="I453" i="20"/>
  <c r="I449" i="20"/>
  <c r="H449" i="20"/>
  <c r="J449" i="20"/>
  <c r="H451" i="20"/>
  <c r="I451" i="20"/>
  <c r="J451" i="20"/>
  <c r="H441" i="20"/>
  <c r="I441" i="20"/>
  <c r="J441" i="20"/>
  <c r="I440" i="20"/>
  <c r="H440" i="20"/>
  <c r="J440" i="20"/>
  <c r="I454" i="20"/>
  <c r="H454" i="20"/>
  <c r="J454" i="20"/>
  <c r="J446" i="20"/>
  <c r="I446" i="20"/>
  <c r="H446" i="20"/>
  <c r="J445" i="20"/>
  <c r="H445" i="20"/>
  <c r="I445" i="20"/>
  <c r="I444" i="20"/>
  <c r="H444" i="20"/>
  <c r="J444" i="20"/>
  <c r="J4" i="32"/>
  <c r="E8" i="32"/>
  <c r="E5" i="32"/>
  <c r="E11" i="32"/>
  <c r="E4" i="32"/>
  <c r="H443" i="20"/>
  <c r="E7" i="32"/>
  <c r="E10" i="32"/>
  <c r="E3" i="32"/>
  <c r="E16" i="32"/>
  <c r="C7" i="2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452" i="20" l="1"/>
  <c r="I452" i="20"/>
  <c r="J452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D8" i="21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<sst xmlns="http://schemas.openxmlformats.org/spreadsheetml/2006/main" count="3769" uniqueCount="909">
  <si>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</si>
  <si>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</si>
  <si>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</si>
  <si>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</si>
  <si>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</si>
  <si>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</si>
  <si>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</si>
  <si>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</si>
  <si>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</si>
  <si>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</si>
  <si>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</si>
  <si>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</si>
  <si>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</si>
  <si>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</si>
  <si>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</si>
  <si>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</si>
  <si>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</si>
  <si>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</si>
  <si>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</si>
  <si>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</si>
  <si>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</si>
  <si>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</si>
  <si>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</si>
  <si>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</si>
  <si>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</si>
  <si>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</si>
  <si>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</si>
  <si>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</si>
  <si>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</si>
  <si>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</si>
  <si>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</si>
  <si>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</si>
  <si>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</si>
  <si>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</si>
  <si>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</si>
  <si>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</si>
  <si>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</si>
  <si>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</si>
  <si>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</si>
  <si>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</si>
  <si>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</si>
  <si>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</si>
  <si>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</si>
  <si>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</si>
  <si>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</si>
  <si>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</si>
  <si>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</si>
  <si>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</si>
  <si>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</si>
  <si>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</si>
  <si>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</si>
  <si>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</si>
  <si>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</si>
  <si>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</si>
  <si>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</si>
  <si>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</si>
  <si>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</si>
  <si>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</si>
  <si>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</si>
  <si>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</si>
  <si>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</si>
  <si>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</si>
  <si>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</si>
  <si>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</si>
  <si>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</si>
  <si>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</si>
  <si>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</si>
  <si>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</si>
  <si>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</si>
  <si>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</si>
  <si>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</si>
  <si>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</si>
  <si>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</si>
  <si>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</si>
  <si>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</si>
  <si>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</si>
  <si>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</si>
  <si>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</si>
  <si>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</si>
  <si>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</si>
  <si>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</si>
  <si>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</si>
  <si>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</si>
  <si>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</si>
  <si>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</si>
  <si>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</si>
  <si>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</si>
  <si>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</si>
  <si>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</si>
  <si>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</si>
  <si>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</si>
  <si>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</si>
  <si>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</si>
  <si>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</si>
  <si>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</si>
  <si>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</si>
  <si>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</si>
  <si>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</si>
  <si>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</si>
  <si>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</si>
  <si>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</si>
  <si>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</si>
  <si>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</si>
  <si>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</si>
  <si>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</si>
  <si>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</si>
  <si>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</si>
  <si>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</si>
  <si>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</si>
  <si>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</si>
  <si>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</si>
  <si>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</si>
  <si>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</si>
  <si>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</si>
  <si>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</si>
  <si>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</si>
  <si>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</si>
  <si>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</si>
  <si>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</si>
  <si>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</si>
  <si>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</si>
  <si>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</si>
  <si>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</si>
  <si>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</si>
  <si>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</si>
  <si>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</si>
  <si>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</si>
  <si>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</si>
  <si>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</si>
  <si>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</si>
  <si>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</si>
  <si>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</si>
  <si>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</si>
  <si>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</si>
  <si>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</si>
  <si>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</si>
  <si>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</si>
  <si>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</si>
  <si>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</si>
  <si>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</si>
  <si>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</si>
  <si>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</si>
  <si>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</si>
  <si>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</si>
  <si>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</si>
  <si>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</si>
  <si>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</si>
  <si>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</si>
  <si>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</si>
  <si>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</si>
  <si>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</si>
  <si>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</si>
  <si>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</si>
  <si>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</si>
  <si>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</si>
  <si>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</si>
  <si>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</si>
  <si>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</si>
  <si>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</si>
  <si>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</si>
  <si>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</si>
  <si>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</si>
  <si>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</si>
  <si>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</si>
  <si>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</si>
  <si>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</si>
  <si>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</si>
  <si>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</si>
  <si>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</si>
  <si>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</si>
  <si>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</si>
  <si>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</si>
  <si>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</si>
  <si>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</si>
  <si>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</si>
  <si>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</si>
  <si>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</si>
  <si>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</si>
  <si>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</si>
  <si>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</si>
  <si>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</si>
  <si>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</si>
  <si>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</si>
  <si>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</si>
  <si>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</si>
  <si>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</si>
  <si>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</si>
  <si>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</si>
  <si>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</si>
  <si>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</si>
  <si>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</si>
  <si>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</si>
  <si>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</si>
  <si>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</si>
  <si>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</si>
  <si>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</si>
  <si>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</si>
  <si>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</si>
  <si>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</si>
  <si>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</si>
  <si>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</si>
  <si>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</si>
  <si>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</si>
  <si>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</si>
  <si>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</si>
  <si>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</si>
  <si>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</si>
  <si>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</si>
  <si>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</si>
  <si>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</si>
  <si>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</si>
  <si>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</si>
  <si>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</si>
  <si>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</si>
  <si>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</si>
  <si>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</si>
  <si>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</si>
  <si>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</si>
  <si>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</si>
  <si>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</si>
  <si>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</si>
  <si>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</si>
  <si>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</si>
  <si>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</si>
  <si>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</si>
  <si>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</si>
  <si>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</si>
  <si>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</si>
  <si>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</si>
  <si>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</si>
  <si>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</si>
  <si>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</si>
  <si>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</si>
  <si>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</si>
  <si>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</si>
  <si>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</si>
  <si>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</si>
  <si>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</si>
  <si>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</si>
  <si>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</si>
  <si>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</si>
  <si>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</si>
  <si>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</si>
  <si>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</si>
  <si>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</si>
  <si>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</si>
  <si>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</si>
  <si>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</si>
  <si>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</si>
  <si>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</si>
  <si>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</si>
  <si>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</si>
  <si>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</si>
  <si>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</si>
  <si>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</si>
  <si>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</si>
  <si>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</si>
  <si>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</si>
  <si>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</si>
  <si>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</si>
  <si>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</si>
  <si>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</si>
  <si>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</si>
  <si>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</si>
  <si>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</si>
  <si>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</si>
  <si>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</si>
  <si>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</si>
  <si>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</si>
  <si>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</si>
  <si>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</si>
  <si>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</si>
  <si>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</si>
  <si>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</si>
  <si>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</si>
  <si>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</si>
  <si>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</si>
  <si>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</si>
  <si>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</si>
  <si>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</si>
  <si>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</si>
  <si>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</si>
  <si>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</si>
  <si>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</si>
  <si>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</si>
  <si>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</si>
  <si>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</si>
  <si>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</si>
  <si>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</si>
  <si>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</si>
  <si>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</si>
  <si>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</si>
  <si>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</si>
  <si>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</si>
  <si>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</si>
  <si>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</si>
  <si>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</si>
  <si>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</si>
  <si>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</si>
  <si>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</si>
  <si>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</si>
  <si>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</si>
  <si>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</si>
  <si>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</si>
  <si>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</si>
  <si>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</si>
  <si>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</si>
  <si>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</si>
  <si>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</si>
  <si>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</si>
  <si>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</si>
  <si>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</si>
  <si>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</si>
  <si>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</si>
  <si>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</si>
  <si>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</si>
  <si>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</si>
  <si>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</si>
  <si>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</si>
  <si>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</si>
  <si>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</si>
  <si>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</si>
  <si>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</si>
  <si>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</si>
  <si>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</si>
  <si>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</si>
  <si>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</si>
  <si>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</si>
  <si>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</si>
  <si>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</si>
  <si>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</si>
  <si>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</si>
  <si>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</si>
  <si>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</si>
  <si>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</si>
  <si>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</si>
  <si>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</si>
  <si>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</si>
  <si>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</si>
  <si>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</si>
  <si>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</si>
  <si>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</si>
  <si>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</si>
  <si>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</si>
  <si>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</si>
  <si>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</si>
  <si>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</si>
  <si>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</si>
  <si>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</si>
  <si>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</si>
  <si>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</si>
  <si>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</si>
  <si>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</si>
  <si>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</si>
  <si>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</si>
  <si>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</si>
  <si>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</si>
  <si>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</si>
  <si>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</si>
  <si>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</si>
  <si>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</si>
  <si>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</si>
  <si>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</si>
  <si>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</si>
  <si>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</si>
  <si>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</si>
  <si>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</si>
  <si>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</si>
  <si>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</si>
  <si>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</si>
  <si>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</si>
  <si>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</si>
  <si>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</si>
  <si>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</si>
  <si>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</si>
  <si>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</si>
  <si>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</si>
  <si>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</si>
  <si>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</si>
  <si>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</si>
  <si>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</si>
  <si>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</si>
  <si>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</si>
  <si>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</si>
  <si>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</si>
  <si>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</si>
  <si>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</si>
  <si>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</si>
  <si>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</si>
  <si>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</si>
  <si>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</si>
  <si>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</si>
  <si>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</si>
  <si>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</si>
  <si>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</si>
  <si>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</si>
  <si>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</si>
  <si>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</si>
  <si>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</si>
  <si>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</si>
  <si>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</si>
  <si>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</si>
  <si>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</si>
  <si>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</si>
  <si>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</si>
  <si>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</si>
  <si>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</si>
  <si>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</si>
  <si>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</si>
  <si>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</si>
  <si>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</si>
  <si>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</si>
  <si>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</si>
  <si>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</si>
  <si>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</si>
  <si>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</si>
  <si>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</si>
  <si>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</si>
  <si>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</si>
  <si>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</si>
  <si>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</si>
  <si>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</si>
  <si>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</si>
  <si>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</si>
  <si>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</si>
  <si>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</si>
  <si>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</si>
  <si>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</si>
  <si>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</si>
  <si>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</si>
  <si>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</si>
  <si>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</si>
  <si>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</si>
  <si>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</si>
  <si>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</si>
  <si>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</si>
  <si>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</si>
  <si>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</si>
  <si>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</si>
  <si>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</si>
  <si>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</si>
  <si>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</si>
  <si>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</si>
  <si>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</si>
  <si>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</si>
  <si>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</si>
  <si>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</si>
  <si>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</si>
  <si>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</si>
  <si>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</si>
  <si>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</si>
  <si>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</si>
  <si>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</si>
  <si>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</si>
  <si>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</si>
  <si>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</si>
  <si>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</si>
  <si>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</si>
  <si>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</si>
  <si>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</si>
  <si>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</si>
  <si>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</si>
  <si>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</si>
  <si>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</si>
  <si>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</si>
  <si>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</si>
  <si>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</si>
  <si>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</si>
  <si>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</si>
  <si>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</si>
  <si>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</si>
  <si>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</si>
  <si>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</si>
  <si>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</si>
  <si>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</si>
  <si>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</si>
  <si>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</si>
  <si>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</si>
  <si>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</si>
  <si>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</si>
  <si>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</si>
  <si>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</si>
  <si>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</si>
  <si>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</si>
  <si>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</si>
  <si>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</si>
  <si>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</si>
  <si>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</si>
  <si>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</si>
  <si>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</si>
  <si>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</si>
  <si>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</si>
  <si>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</si>
  <si>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</si>
  <si>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</si>
  <si>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</si>
  <si>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</si>
  <si>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</si>
  <si>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</si>
  <si>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</si>
  <si>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</si>
  <si>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</si>
  <si>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</si>
  <si>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</si>
  <si>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</si>
  <si>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</si>
  <si>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</si>
  <si>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</si>
  <si>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</si>
  <si>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</si>
  <si>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</si>
  <si>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</si>
  <si>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</si>
  <si>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</si>
  <si>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</si>
  <si>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</si>
  <si>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</si>
  <si>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</si>
  <si>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</si>
  <si>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</si>
  <si>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</si>
  <si>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</si>
  <si>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</si>
  <si>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</si>
  <si>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</si>
  <si>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</si>
  <si>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</si>
  <si>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</si>
  <si>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</si>
  <si>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</si>
  <si>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</si>
  <si>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</si>
  <si>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</si>
  <si>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</si>
  <si>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</si>
  <si>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</si>
  <si>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</si>
  <si>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</si>
  <si>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</si>
  <si>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</si>
  <si>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</si>
  <si>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</si>
  <si>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</si>
  <si>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</si>
  <si>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</si>
  <si>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</si>
  <si>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</si>
  <si>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</si>
  <si>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</si>
  <si>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</si>
  <si>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</si>
  <si>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</si>
  <si>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</si>
  <si>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</si>
  <si>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</si>
  <si>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</si>
  <si>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</si>
  <si>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</si>
  <si>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</si>
  <si>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</si>
  <si>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</si>
  <si>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</si>
  <si>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</si>
  <si>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</si>
  <si>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</si>
  <si>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</si>
  <si>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</si>
  <si>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</si>
  <si>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</si>
  <si>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</si>
  <si>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</si>
  <si>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</si>
  <si>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</si>
  <si>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</si>
  <si>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</si>
  <si>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</si>
  <si>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</si>
  <si>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</si>
  <si>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</si>
  <si>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</si>
  <si>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</si>
  <si>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</si>
  <si>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</si>
  <si>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</si>
  <si>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</si>
  <si>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</si>
  <si>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</si>
  <si>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</si>
  <si>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</si>
  <si>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</si>
  <si>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</si>
  <si>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</si>
  <si>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</si>
  <si>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</si>
  <si>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</si>
  <si>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</si>
  <si>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</si>
  <si>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</si>
  <si>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</si>
  <si>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</si>
  <si>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</si>
  <si>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</si>
  <si>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</si>
  <si>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</si>
  <si>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</si>
  <si>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</si>
  <si>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</si>
  <si>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</si>
  <si>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</si>
  <si>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</si>
  <si>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</si>
  <si>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</si>
  <si>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</si>
  <si>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</si>
  <si>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</si>
  <si>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</si>
  <si>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</si>
  <si>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</si>
  <si>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</si>
  <si>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</si>
  <si>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</si>
  <si>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</si>
  <si>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</si>
  <si>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</si>
  <si>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</si>
  <si>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</si>
  <si>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</si>
  <si>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</si>
  <si>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</si>
  <si>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</si>
  <si>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</si>
  <si>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</si>
  <si>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</si>
  <si>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</si>
  <si>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</si>
  <si>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</si>
  <si>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</si>
  <si>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</si>
  <si>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</si>
  <si>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</si>
  <si>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</si>
  <si>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</si>
  <si>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</si>
  <si>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</si>
  <si>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</si>
  <si>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</si>
  <si>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</si>
  <si>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</si>
  <si>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</si>
  <si>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</si>
  <si>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</si>
  <si>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</si>
  <si>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</si>
  <si>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</si>
  <si>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</si>
  <si>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</si>
  <si>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</si>
  <si>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</si>
  <si>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</si>
  <si>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</si>
  <si>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</si>
  <si>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</si>
  <si>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</si>
  <si>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</si>
  <si>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</si>
  <si>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</si>
  <si>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</si>
  <si>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</si>
  <si>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</si>
  <si>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</si>
  <si>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</si>
  <si>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</si>
  <si>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</si>
  <si>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</si>
  <si>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</si>
  <si>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</si>
  <si>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</si>
  <si>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</si>
  <si>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</si>
  <si>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</si>
  <si>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</si>
  <si>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</si>
  <si>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</si>
  <si>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</si>
  <si>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</si>
  <si>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</si>
  <si>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</si>
  <si>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</si>
  <si>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</si>
  <si>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</si>
  <si>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</si>
  <si>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</si>
  <si>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</si>
  <si>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</si>
  <si>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</si>
  <si>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</si>
  <si>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</si>
  <si>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</si>
  <si>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</si>
  <si>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</si>
  <si>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</si>
  <si>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</si>
  <si>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</si>
  <si>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</si>
  <si>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</si>
  <si>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</si>
  <si>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</si>
  <si>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</si>
  <si>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</si>
  <si>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</si>
  <si>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</si>
  <si>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</si>
  <si>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</si>
  <si>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</si>
  <si>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</si>
  <si>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</si>
  <si>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</si>
  <si>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</si>
  <si>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</si>
  <si>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</si>
  <si>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</si>
  <si>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</si>
  <si>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</si>
  <si>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</si>
  <si>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</si>
  <si>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</si>
  <si>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</si>
  <si>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</si>
  <si>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</si>
  <si>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</si>
  <si>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</si>
  <si>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</si>
  <si>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</si>
  <si>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</si>
  <si>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</si>
  <si>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</si>
  <si>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</si>
  <si>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</si>
  <si>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</si>
  <si>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</si>
  <si>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</si>
  <si>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</si>
  <si>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</si>
  <si>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</si>
  <si>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</si>
  <si>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</si>
  <si>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</si>
  <si>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</si>
  <si>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</si>
  <si>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</si>
  <si>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</si>
  <si>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</si>
  <si>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</si>
  <si>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</si>
  <si>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</si>
  <si>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</si>
  <si>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</si>
  <si>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</si>
  <si>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</si>
  <si>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</si>
  <si>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</si>
  <si>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</si>
  <si>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</si>
  <si>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</si>
  <si>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</si>
  <si>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</si>
  <si>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</si>
  <si>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</si>
  <si>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</si>
  <si>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</si>
  <si>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</si>
  <si>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</si>
  <si>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</si>
  <si>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</si>
  <si>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</si>
  <si>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</si>
  <si>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</si>
  <si>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</si>
  <si>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</si>
  <si>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</si>
  <si>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</si>
  <si>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</si>
  <si>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</si>
  <si>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</si>
  <si>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</si>
  <si>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</si>
  <si>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</si>
  <si>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</si>
  <si>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</si>
  <si>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</si>
  <si>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</si>
  <si>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</si>
  <si>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</si>
  <si>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</si>
  <si>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</si>
  <si>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</si>
  <si>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</si>
  <si>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</si>
  <si>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</si>
  <si>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</si>
  <si>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</si>
  <si>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</si>
  <si>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</si>
  <si>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</si>
  <si>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</si>
  <si>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</si>
  <si>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</si>
  <si>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</si>
  <si>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</si>
  <si>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</si>
  <si>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</si>
  <si>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</si>
  <si>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</si>
  <si>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</si>
  <si>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</si>
  <si>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</si>
  <si>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</si>
  <si>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</si>
  <si>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</si>
  <si>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</si>
  <si>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</si>
  <si>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</si>
  <si>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</si>
  <si>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</si>
  <si>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</si>
  <si>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</si>
  <si>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</si>
  <si>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</si>
  <si>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</si>
  <si>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</si>
  <si>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</si>
  <si>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</si>
  <si>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</si>
  <si>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</si>
  <si>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</si>
  <si>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</si>
  <si>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</si>
  <si>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</si>
  <si>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</si>
  <si>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</si>
  <si>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</si>
  <si>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</si>
  <si>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</si>
  <si>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</si>
  <si>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</si>
  <si>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</si>
  <si>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</si>
  <si>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</si>
  <si>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</si>
  <si>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</si>
  <si>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</si>
  <si>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</si>
  <si>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</si>
  <si>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</si>
  <si>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</si>
  <si>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</si>
  <si>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</si>
  <si>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</si>
  <si>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</si>
  <si>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</si>
  <si>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</si>
  <si>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</si>
  <si>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</si>
  <si>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</si>
  <si>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</si>
  <si>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</si>
  <si>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</si>
  <si>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</si>
  <si>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</si>
  <si>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</si>
  <si>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</si>
  <si>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</si>
  <si>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</si>
  <si>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</si>
  <si>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</si>
  <si>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</si>
  <si>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</si>
  <si>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</si>
  <si>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</si>
  <si>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</si>
  <si>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</si>
  <si>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</si>
  <si>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</si>
  <si>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</si>
  <si>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</si>
  <si>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</si>
  <si>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</si>
  <si>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</si>
  <si>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</si>
  <si>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</si>
  <si>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</si>
  <si>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</si>
  <si>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</si>
  <si>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</si>
  <si>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Massefylde træ til energi</t>
  </si>
  <si>
    <t>ton/m3</t>
  </si>
  <si>
    <t>Scenarie_BAU</t>
  </si>
  <si>
    <t>Rumvægt [ton/m3]</t>
  </si>
  <si>
    <t>Trætyper</t>
  </si>
  <si>
    <t>Eg</t>
  </si>
  <si>
    <t>Bøg</t>
  </si>
  <si>
    <t>Douglasgran</t>
  </si>
  <si>
    <t>Rødgran</t>
  </si>
  <si>
    <t>Poppel</t>
  </si>
  <si>
    <t>Massefylde</t>
  </si>
  <si>
    <t>*Antaget skovfyr</t>
  </si>
  <si>
    <t>https://www.skoven-i-skolen.dk/content/vedegenskaber</t>
  </si>
  <si>
    <t>https://static-curis.ku.dk/portal/files/183611561/Hugst_og_t_rring_af_poppel_til_flis.pdf</t>
  </si>
  <si>
    <t>9.3 (flis) /17.5 (træpiller) /14.7 (træaffald) (GJ/m3)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</si>
</sst>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 customWidth="1"/>
    <col min="4" max="4" width="13" style="1" customWidth="1"/>
    <col min="5" max="5" width="25.26171875" style="1" customWidth="1"/>
    <col min="6" max="6" width="24.68359375" style="1" customWidth="1"/>
    <col min="7" max="16384" width="9.15625" style="1"/>
  </cols>
  <sheetData>
    <row r="1" spans="1:5" ht="20.399999999999999" x14ac:dyDescent="0.75">
      <c r="A1" s="510" t="s">
        <v>0</v>
      </c>
      <c r="B1" s="510"/>
    </row>
    <row r="2" spans="1:5" ht="30" customHeight="1" x14ac:dyDescent="0.55000000000000004">
      <c r="A2" s="509" t="s">
        <v>765</v>
      </c>
      <c r="B2" s="509"/>
    </row>
    <row r="3" spans="1:5" x14ac:dyDescent="0.55000000000000004">
      <c r="A3" s="512" t="s">
        <v>6</v>
      </c>
      <c r="B3" s="512"/>
    </row>
    <row r="4" spans="1:5" ht="28.9" customHeight="1" x14ac:dyDescent="0.55000000000000004">
      <c r="A4" s="509" t="s">
        <v>883</v>
      </c>
      <c r="B4" s="509"/>
    </row>
    <row r="5" spans="1:5" x14ac:dyDescent="0.55000000000000004">
      <c r="A5" s="511" t="s">
        <v>764</v>
      </c>
      <c r="B5" s="511"/>
    </row>
    <row r="6" spans="1:5" x14ac:dyDescent="0.55000000000000004">
      <c r="B6" s="493" t="s">
        <v>890</v>
      </c>
    </row>
    <row r="7" spans="1:5" x14ac:dyDescent="0.55000000000000004">
      <c r="A7" s="2" t="s">
        <v>1</v>
      </c>
      <c r="B7" s="3" t="s">
        <v>896</v>
      </c>
    </row>
    <row r="8" spans="1:5" x14ac:dyDescent="0.55000000000000004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6">
      <c r="A9" s="509" t="s">
        <v>5</v>
      </c>
      <c r="B9" s="509"/>
    </row>
    <row r="10" spans="1:5" ht="14.7" thickTop="1" x14ac:dyDescent="0.55000000000000004">
      <c r="A10" s="371" t="s">
        <v>753</v>
      </c>
      <c r="B10" s="372" t="s">
        <v>287</v>
      </c>
      <c r="D10" s="403" t="s">
        <v>269</v>
      </c>
      <c r="E10" s="404"/>
    </row>
    <row r="11" spans="1:5" x14ac:dyDescent="0.55000000000000004">
      <c r="A11" s="373" t="s">
        <v>278</v>
      </c>
      <c r="B11" s="374" t="s">
        <v>754</v>
      </c>
      <c r="D11" s="405" t="s">
        <v>775</v>
      </c>
      <c r="E11" s="406" t="s">
        <v>270</v>
      </c>
    </row>
    <row r="12" spans="1:5" x14ac:dyDescent="0.55000000000000004">
      <c r="A12" s="373"/>
      <c r="B12" s="374" t="s">
        <v>4</v>
      </c>
      <c r="D12" s="405" t="s">
        <v>271</v>
      </c>
      <c r="E12" s="406" t="s">
        <v>272</v>
      </c>
    </row>
    <row r="13" spans="1:5" x14ac:dyDescent="0.55000000000000004">
      <c r="A13" s="375" t="s">
        <v>670</v>
      </c>
      <c r="B13" s="374" t="s">
        <v>755</v>
      </c>
      <c r="D13" s="405" t="s">
        <v>273</v>
      </c>
      <c r="E13" s="406" t="s">
        <v>274</v>
      </c>
    </row>
    <row r="14" spans="1:5" x14ac:dyDescent="0.55000000000000004">
      <c r="A14" s="373" t="s">
        <v>279</v>
      </c>
      <c r="B14" s="374" t="s">
        <v>756</v>
      </c>
      <c r="D14" s="405"/>
      <c r="E14" s="406"/>
    </row>
    <row r="15" spans="1:5" x14ac:dyDescent="0.55000000000000004">
      <c r="A15" s="373"/>
      <c r="B15" s="374"/>
      <c r="D15" s="407" t="s">
        <v>275</v>
      </c>
      <c r="E15" s="406"/>
    </row>
    <row r="16" spans="1:5" x14ac:dyDescent="0.55000000000000004">
      <c r="A16" s="375" t="s">
        <v>757</v>
      </c>
      <c r="B16" s="376" t="s">
        <v>758</v>
      </c>
      <c r="D16" s="405" t="s">
        <v>276</v>
      </c>
      <c r="E16" s="406"/>
    </row>
    <row r="17" spans="1:5" x14ac:dyDescent="0.55000000000000004">
      <c r="A17" s="373" t="s">
        <v>759</v>
      </c>
      <c r="B17" s="374" t="s">
        <v>760</v>
      </c>
      <c r="D17" s="405" t="s">
        <v>82</v>
      </c>
      <c r="E17" s="406"/>
    </row>
    <row r="18" spans="1:5" x14ac:dyDescent="0.55000000000000004">
      <c r="A18" s="373"/>
      <c r="B18" s="374"/>
      <c r="D18" s="405" t="s">
        <v>77</v>
      </c>
      <c r="E18" s="406"/>
    </row>
    <row r="19" spans="1:5" x14ac:dyDescent="0.55000000000000004">
      <c r="A19" s="375" t="s">
        <v>528</v>
      </c>
      <c r="B19" s="376" t="s">
        <v>36</v>
      </c>
      <c r="D19" s="405" t="s">
        <v>277</v>
      </c>
      <c r="E19" s="406"/>
    </row>
    <row r="20" spans="1:5" x14ac:dyDescent="0.55000000000000004">
      <c r="A20" s="373" t="s">
        <v>280</v>
      </c>
      <c r="B20" s="374" t="s">
        <v>761</v>
      </c>
      <c r="D20" s="405" t="s">
        <v>70</v>
      </c>
      <c r="E20" s="406"/>
    </row>
    <row r="21" spans="1:5" x14ac:dyDescent="0.55000000000000004">
      <c r="A21" s="373" t="s">
        <v>281</v>
      </c>
      <c r="B21" s="374"/>
      <c r="D21" s="405"/>
      <c r="E21" s="406"/>
    </row>
    <row r="22" spans="1:5" x14ac:dyDescent="0.55000000000000004">
      <c r="A22" s="373" t="s">
        <v>282</v>
      </c>
      <c r="B22" s="374"/>
      <c r="D22" s="407" t="s">
        <v>774</v>
      </c>
      <c r="E22" s="406"/>
    </row>
    <row r="23" spans="1:5" x14ac:dyDescent="0.55000000000000004">
      <c r="A23" s="373" t="s">
        <v>283</v>
      </c>
      <c r="B23" s="374"/>
      <c r="D23" s="405">
        <v>2019</v>
      </c>
      <c r="E23" s="406"/>
    </row>
    <row r="24" spans="1:5" x14ac:dyDescent="0.55000000000000004">
      <c r="A24" s="373" t="s">
        <v>762</v>
      </c>
      <c r="B24" s="374"/>
      <c r="D24" s="405">
        <v>2030</v>
      </c>
      <c r="E24" s="406"/>
    </row>
    <row r="25" spans="1:5" ht="14.7" thickBot="1" x14ac:dyDescent="0.6">
      <c r="A25" s="373" t="s">
        <v>763</v>
      </c>
      <c r="B25" s="374"/>
      <c r="D25" s="408">
        <v>2050</v>
      </c>
      <c r="E25" s="409"/>
    </row>
    <row r="26" spans="1:5" ht="14.7" thickTop="1" x14ac:dyDescent="0.55000000000000004">
      <c r="A26" s="373" t="s">
        <v>284</v>
      </c>
      <c r="B26" s="374"/>
    </row>
    <row r="27" spans="1:5" x14ac:dyDescent="0.55000000000000004">
      <c r="A27" s="373"/>
      <c r="B27" s="374"/>
    </row>
    <row r="28" spans="1:5" x14ac:dyDescent="0.55000000000000004">
      <c r="A28" s="375" t="s">
        <v>807</v>
      </c>
      <c r="B28" s="374"/>
    </row>
    <row r="29" spans="1:5" ht="14.7" thickBot="1" x14ac:dyDescent="0.6">
      <c r="A29" s="377" t="s">
        <v>3</v>
      </c>
      <c r="B29" s="378"/>
    </row>
    <row r="30" spans="1:5" ht="14.7" thickTop="1" x14ac:dyDescent="0.55000000000000004"/>
    <row r="32" spans="1:5" x14ac:dyDescent="0.55000000000000004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501"/>
  <sheetViews>
    <sheetView zoomScale="80" zoomScaleNormal="80" workbookViewId="0">
      <pane xSplit="3" ySplit="2" topLeftCell="D470" activePane="bottomRight" state="frozen"/>
      <selection activeCell="E2" sqref="E2:E66"/>
      <selection pane="topRight" activeCell="E2" sqref="E2:E66"/>
      <selection pane="bottomLeft" activeCell="E2" sqref="E2:E66"/>
      <selection pane="bottomRight" activeCell="H483" sqref="H483"/>
    </sheetView>
  </sheetViews>
  <sheetFormatPr defaultRowHeight="14.4" x14ac:dyDescent="0.55000000000000004"/>
  <cols>
    <col min="1" max="1" width="35.15625" bestFit="1" customWidth="1"/>
    <col min="2" max="2" width="22.68359375" bestFit="1" customWidth="1"/>
    <col min="3" max="3" width="14.26171875" bestFit="1" customWidth="1"/>
    <col min="4" max="4" width="23.41796875" bestFit="1" customWidth="1"/>
    <col min="5" max="5" width="7.68359375" bestFit="1" customWidth="1"/>
    <col min="6" max="6" width="21" bestFit="1" customWidth="1"/>
    <col min="7" max="7" width="19.41796875" bestFit="1" customWidth="1"/>
    <col min="8" max="8" width="14.26171875" bestFit="1" customWidth="1"/>
    <col min="9" max="9" width="12.15625" customWidth="1"/>
    <col min="10" max="10" width="13.578125" customWidth="1"/>
    <col min="11" max="11" width="55.83984375" customWidth="1"/>
    <col min="12" max="12" width="15.41796875" bestFit="1" customWidth="1"/>
    <col min="13" max="13" width="21" bestFit="1" customWidth="1"/>
    <col min="14" max="14" width="7.83984375" bestFit="1" customWidth="1"/>
    <col min="15" max="15" width="5" bestFit="1" customWidth="1"/>
  </cols>
  <sheetData>
    <row r="1" spans="1:11" x14ac:dyDescent="0.55000000000000004">
      <c r="A1" s="153"/>
      <c r="B1" s="154"/>
      <c r="C1" s="154"/>
      <c r="D1" s="154"/>
      <c r="E1" s="154"/>
      <c r="F1" s="154"/>
      <c r="G1" s="154"/>
      <c r="H1" s="513" t="s">
        <v>311</v>
      </c>
      <c r="I1" s="513"/>
      <c r="J1" s="513"/>
      <c r="K1" s="155"/>
    </row>
    <row r="2" spans="1:11" ht="14.7" thickBot="1" x14ac:dyDescent="0.6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4.7" thickBot="1" x14ac:dyDescent="0.6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55000000000000004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55000000000000004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4.7" thickBot="1" x14ac:dyDescent="0.6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4.7" thickTop="1" x14ac:dyDescent="0.55000000000000004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720</v>
      </c>
    </row>
    <row r="8" spans="1:11" ht="14.7" thickBot="1" x14ac:dyDescent="0.6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4.7" thickTop="1" x14ac:dyDescent="0.55000000000000004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719</v>
      </c>
    </row>
    <row r="10" spans="1:11" ht="14.7" thickBot="1" x14ac:dyDescent="0.6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4.7" thickTop="1" x14ac:dyDescent="0.55000000000000004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Ton</v>
      </c>
      <c r="H11" s="176">
        <f>Hugst!$G$4*(1-Hugst!$G$5)*Hugst!$J$4</f>
        <v>1.6115292918377659</v>
      </c>
      <c r="I11" s="176">
        <f>Hugst!$G$4*(1-Hugst!$G$5)*Hugst!$J$4</f>
        <v>1.6115292918377659</v>
      </c>
      <c r="J11" s="176">
        <f>Hugst!$G$4*(1-Hugst!$G$5)*Hugst!$J$4</f>
        <v>1.6115292918377659</v>
      </c>
      <c r="K11" s="145"/>
    </row>
    <row r="12" spans="1:11" x14ac:dyDescent="0.55000000000000004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Ton</v>
      </c>
      <c r="H12" s="168">
        <f>Hugst!$G$4*(1-Hugst!$G$5)*Hugst!$J$5</f>
        <v>0.919822655158542</v>
      </c>
      <c r="I12" s="168">
        <f>Hugst!$G$4*(1-Hugst!$G$5)*Hugst!$J$5</f>
        <v>0.919822655158542</v>
      </c>
      <c r="J12" s="168">
        <f>Hugst!$G$4*(1-Hugst!$G$5)*Hugst!$J$5</f>
        <v>0.919822655158542</v>
      </c>
      <c r="K12" s="147"/>
    </row>
    <row r="13" spans="1:11" x14ac:dyDescent="0.55000000000000004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4.7" thickBot="1" x14ac:dyDescent="0.6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892</v>
      </c>
      <c r="G14" s="441" t="str">
        <f>IFERROR(VLOOKUP(F14,Table2[],2,FALSE),"")</f>
        <v>t CO2-ækvivalenter</v>
      </c>
      <c r="H14" s="168">
        <f>-'Kulstofoptag, skov'!$D$3*H11/SUM(H11:H12)</f>
        <v>-3.183139534883721</v>
      </c>
      <c r="I14" s="168">
        <f>-'Kulstofoptag, skov'!$D$3*I11/SUM(I11:I12)</f>
        <v>-3.183139534883721</v>
      </c>
      <c r="J14" s="168">
        <f>-'Kulstofoptag, skov'!$D$3*J11/SUM(J11:J12)</f>
        <v>-3.183139534883721</v>
      </c>
      <c r="K14" s="147"/>
    </row>
    <row r="15" spans="1:11" x14ac:dyDescent="0.55000000000000004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Ton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K15" s="380"/>
    </row>
    <row r="16" spans="1:11" x14ac:dyDescent="0.55000000000000004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Ton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K16" s="382"/>
    </row>
    <row r="17" spans="1:11" x14ac:dyDescent="0.55000000000000004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55000000000000004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892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data'!$C18)*('Kulstofoptag, skov'!$C$2:$C$13="Kulstof I høst")*('Kulstofoptag, skov'!$D$1:$I$1=VALUE(RIGHT('Processer - data'!$D18,2))))*H15/SUMIFS(Hugst!$J$4:$J$15,Hugst!$A$4:$A$15,'Processer - data'!$C18,Hugst!$B$4:$B$15,'Processer - data'!$F15)/(H15/SUMIFS(Hugst!$J$4:$J$15,Hugst!$A$4:$A$15,'Processer - data'!$C18,Hugst!$B$4:$B$15,'Processer - data'!$F15)+H16/SUMIFS(Hugst!$J$4:$J$15,Hugst!$A$4:$A$15,'Processer - data'!$C18,Hugst!$B$4:$B$15,'Processer - data'!$F16)),0)</f>
        <v>0</v>
      </c>
      <c r="I18" s="317" cm="1">
        <f t="array" ref="I18">IF(SUM(I15:I16)&gt;0,-SUMPRODUCT('Kulstofoptag, skov'!$D$2:$I$13*('Kulstofoptag, skov'!$B$2:$B$13='Processer - data'!$C18)*('Kulstofoptag, skov'!$C$2:$C$13="Kulstof I høst")*('Kulstofoptag, skov'!$D$1:$I$1=VALUE(RIGHT('Processer - data'!$D18,2))))*I15/SUMIFS(Hugst!$J$4:$J$15,Hugst!$A$4:$A$15,'Processer - data'!$C18,Hugst!$B$4:$B$15,'Processer - data'!$F15)/(I15/SUMIFS(Hugst!$J$4:$J$15,Hugst!$A$4:$A$15,'Processer - data'!$C18,Hugst!$B$4:$B$15,'Processer - data'!$F15)+I16/SUMIFS(Hugst!$J$4:$J$15,Hugst!$A$4:$A$15,'Processer - data'!$C18,Hugst!$B$4:$B$15,'Processer - data'!$F16)),0)</f>
        <v>0</v>
      </c>
      <c r="J18" s="317" cm="1">
        <f t="array" ref="J18">IF(SUM(J15:J16)&gt;0,-SUMPRODUCT('Kulstofoptag, skov'!$D$2:$I$13*('Kulstofoptag, skov'!$B$2:$B$13='Processer - data'!$C18)*('Kulstofoptag, skov'!$C$2:$C$13="Kulstof I høst")*('Kulstofoptag, skov'!$D$1:$I$1=VALUE(RIGHT('Processer - data'!$D18,2))))*J15/SUMIFS(Hugst!$J$4:$J$15,Hugst!$A$4:$A$15,'Processer - data'!$C18,Hugst!$B$4:$B$15,'Processer - data'!$F15)/(J15/SUMIFS(Hugst!$J$4:$J$15,Hugst!$A$4:$A$15,'Processer - data'!$C18,Hugst!$B$4:$B$15,'Processer - data'!$F15)+J16/SUMIFS(Hugst!$J$4:$J$15,Hugst!$A$4:$A$15,'Processer - data'!$C18,Hugst!$B$4:$B$15,'Processer - data'!$F16)),0)</f>
        <v>0</v>
      </c>
      <c r="K18" s="382"/>
    </row>
    <row r="19" spans="1:11" x14ac:dyDescent="0.55000000000000004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Ton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K19" s="382"/>
    </row>
    <row r="20" spans="1:11" x14ac:dyDescent="0.55000000000000004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Ton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K20" s="382"/>
    </row>
    <row r="21" spans="1:11" x14ac:dyDescent="0.55000000000000004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55000000000000004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892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data'!$C22)*('Kulstofoptag, skov'!$C$2:$C$13="Kulstof I høst")*('Kulstofoptag, skov'!$D$1:$I$1=VALUE(RIGHT('Processer - data'!$D22,2))))*H19/SUMIFS(Hugst!$J$4:$J$15,Hugst!$A$4:$A$15,'Processer - data'!$C22,Hugst!$B$4:$B$15,'Processer - data'!$F19)/(H19/SUMIFS(Hugst!$J$4:$J$15,Hugst!$A$4:$A$15,'Processer - data'!$C22,Hugst!$B$4:$B$15,'Processer - data'!$F19)+H20/SUMIFS(Hugst!$J$4:$J$15,Hugst!$A$4:$A$15,'Processer - data'!$C22,Hugst!$B$4:$B$15,'Processer - data'!$F20)),0)</f>
        <v>0</v>
      </c>
      <c r="I22" s="317" cm="1">
        <f t="array" ref="I22">IF(SUM(I19:I20)&gt;0,-SUMPRODUCT('Kulstofoptag, skov'!$D$2:$I$13*('Kulstofoptag, skov'!$B$2:$B$13='Processer - data'!$C22)*('Kulstofoptag, skov'!$C$2:$C$13="Kulstof I høst")*('Kulstofoptag, skov'!$D$1:$I$1=VALUE(RIGHT('Processer - data'!$D22,2))))*I19/SUMIFS(Hugst!$J$4:$J$15,Hugst!$A$4:$A$15,'Processer - data'!$C22,Hugst!$B$4:$B$15,'Processer - data'!$F19)/(I19/SUMIFS(Hugst!$J$4:$J$15,Hugst!$A$4:$A$15,'Processer - data'!$C22,Hugst!$B$4:$B$15,'Processer - data'!$F19)+I20/SUMIFS(Hugst!$J$4:$J$15,Hugst!$A$4:$A$15,'Processer - data'!$C22,Hugst!$B$4:$B$15,'Processer - data'!$F20)),0)</f>
        <v>0</v>
      </c>
      <c r="J22" s="317" cm="1">
        <f t="array" ref="J22">IF(SUM(J19:J20)&gt;0,-SUMPRODUCT('Kulstofoptag, skov'!$D$2:$I$13*('Kulstofoptag, skov'!$B$2:$B$13='Processer - data'!$C22)*('Kulstofoptag, skov'!$C$2:$C$13="Kulstof I høst")*('Kulstofoptag, skov'!$D$1:$I$1=VALUE(RIGHT('Processer - data'!$D22,2))))*J19/SUMIFS(Hugst!$J$4:$J$15,Hugst!$A$4:$A$15,'Processer - data'!$C22,Hugst!$B$4:$B$15,'Processer - data'!$F19)/(J19/SUMIFS(Hugst!$J$4:$J$15,Hugst!$A$4:$A$15,'Processer - data'!$C22,Hugst!$B$4:$B$15,'Processer - data'!$F19)+J20/SUMIFS(Hugst!$J$4:$J$15,Hugst!$A$4:$A$15,'Processer - data'!$C22,Hugst!$B$4:$B$15,'Processer - data'!$F20)),0)</f>
        <v>0</v>
      </c>
      <c r="K22" s="382"/>
    </row>
    <row r="23" spans="1:11" x14ac:dyDescent="0.55000000000000004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Ton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K23" s="382"/>
    </row>
    <row r="24" spans="1:11" x14ac:dyDescent="0.55000000000000004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Ton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K24" s="382"/>
    </row>
    <row r="25" spans="1:11" x14ac:dyDescent="0.55000000000000004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55000000000000004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892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data'!$C26)*('Kulstofoptag, skov'!$C$2:$C$13="Kulstof I høst")*('Kulstofoptag, skov'!$D$1:$I$1=VALUE(RIGHT('Processer - data'!$D26,2))))*H23/SUMIFS(Hugst!$J$4:$J$15,Hugst!$A$4:$A$15,'Processer - data'!$C26,Hugst!$B$4:$B$15,'Processer - data'!$F23)/(H23/SUMIFS(Hugst!$J$4:$J$15,Hugst!$A$4:$A$15,'Processer - data'!$C26,Hugst!$B$4:$B$15,'Processer - data'!$F23)+H24/SUMIFS(Hugst!$J$4:$J$15,Hugst!$A$4:$A$15,'Processer - data'!$C26,Hugst!$B$4:$B$15,'Processer - data'!$F24)),0)</f>
        <v>0</v>
      </c>
      <c r="I26" s="317" cm="1">
        <f t="array" ref="I26">IF(SUM(I23:I24)&gt;0,-SUMPRODUCT('Kulstofoptag, skov'!$D$2:$I$13*('Kulstofoptag, skov'!$B$2:$B$13='Processer - data'!$C26)*('Kulstofoptag, skov'!$C$2:$C$13="Kulstof I høst")*('Kulstofoptag, skov'!$D$1:$I$1=VALUE(RIGHT('Processer - data'!$D26,2))))*I23/SUMIFS(Hugst!$J$4:$J$15,Hugst!$A$4:$A$15,'Processer - data'!$C26,Hugst!$B$4:$B$15,'Processer - data'!$F23)/(I23/SUMIFS(Hugst!$J$4:$J$15,Hugst!$A$4:$A$15,'Processer - data'!$C26,Hugst!$B$4:$B$15,'Processer - data'!$F23)+I24/SUMIFS(Hugst!$J$4:$J$15,Hugst!$A$4:$A$15,'Processer - data'!$C26,Hugst!$B$4:$B$15,'Processer - data'!$F24)),0)</f>
        <v>0</v>
      </c>
      <c r="J26" s="317" cm="1">
        <f t="array" ref="J26">IF(SUM(J23:J24)&gt;0,-SUMPRODUCT('Kulstofoptag, skov'!$D$2:$I$13*('Kulstofoptag, skov'!$B$2:$B$13='Processer - data'!$C26)*('Kulstofoptag, skov'!$C$2:$C$13="Kulstof I høst")*('Kulstofoptag, skov'!$D$1:$I$1=VALUE(RIGHT('Processer - data'!$D26,2))))*J23/SUMIFS(Hugst!$J$4:$J$15,Hugst!$A$4:$A$15,'Processer - data'!$C26,Hugst!$B$4:$B$15,'Processer - data'!$F23)/(J23/SUMIFS(Hugst!$J$4:$J$15,Hugst!$A$4:$A$15,'Processer - data'!$C26,Hugst!$B$4:$B$15,'Processer - data'!$F23)+J24/SUMIFS(Hugst!$J$4:$J$15,Hugst!$A$4:$A$15,'Processer - data'!$C26,Hugst!$B$4:$B$15,'Processer - data'!$F24)),0)</f>
        <v>0</v>
      </c>
      <c r="K26" s="382"/>
    </row>
    <row r="27" spans="1:11" x14ac:dyDescent="0.55000000000000004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Ton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1.1540219772205222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1.1540219772205222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1.1540219772205222</v>
      </c>
      <c r="K27" s="382"/>
    </row>
    <row r="28" spans="1:11" x14ac:dyDescent="0.55000000000000004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Ton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0.29893254621476462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0.29893254621476462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0.29893254621476462</v>
      </c>
      <c r="K28" s="382"/>
    </row>
    <row r="29" spans="1:11" x14ac:dyDescent="0.55000000000000004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4.7" thickBot="1" x14ac:dyDescent="0.6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892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data'!$C30)*('Kulstofoptag, skov'!$C$2:$C$13="Kulstof I høst")*('Kulstofoptag, skov'!$D$1:$I$1=VALUE(RIGHT('Processer - data'!$D30,2))))*H27/SUMIFS(Hugst!$J$4:$J$15,Hugst!$A$4:$A$15,'Processer - data'!$C30,Hugst!$B$4:$B$15,'Processer - data'!$F27)/(H27/SUMIFS(Hugst!$J$4:$J$15,Hugst!$A$4:$A$15,'Processer - data'!$C30,Hugst!$B$4:$B$15,'Processer - data'!$F27)+H28/SUMIFS(Hugst!$J$4:$J$15,Hugst!$A$4:$A$15,'Processer - data'!$C30,Hugst!$B$4:$B$15,'Processer - data'!$F28)),0)</f>
        <v>-10.181372549019608</v>
      </c>
      <c r="I30" s="317" cm="1">
        <f t="array" ref="I30">IF(SUM(I27:I28)&gt;0,-SUMPRODUCT('Kulstofoptag, skov'!$D$2:$I$13*('Kulstofoptag, skov'!$B$2:$B$13='Processer - data'!$C30)*('Kulstofoptag, skov'!$C$2:$C$13="Kulstof I høst")*('Kulstofoptag, skov'!$D$1:$I$1=VALUE(RIGHT('Processer - data'!$D30,2))))*I27/SUMIFS(Hugst!$J$4:$J$15,Hugst!$A$4:$A$15,'Processer - data'!$C30,Hugst!$B$4:$B$15,'Processer - data'!$F27)/(I27/SUMIFS(Hugst!$J$4:$J$15,Hugst!$A$4:$A$15,'Processer - data'!$C30,Hugst!$B$4:$B$15,'Processer - data'!$F27)+I28/SUMIFS(Hugst!$J$4:$J$15,Hugst!$A$4:$A$15,'Processer - data'!$C30,Hugst!$B$4:$B$15,'Processer - data'!$F28)),0)</f>
        <v>-10.181372549019608</v>
      </c>
      <c r="J30" s="317" cm="1">
        <f t="array" ref="J30">IF(SUM(J27:J28)&gt;0,-SUMPRODUCT('Kulstofoptag, skov'!$D$2:$I$13*('Kulstofoptag, skov'!$B$2:$B$13='Processer - data'!$C30)*('Kulstofoptag, skov'!$C$2:$C$13="Kulstof I høst")*('Kulstofoptag, skov'!$D$1:$I$1=VALUE(RIGHT('Processer - data'!$D30,2))))*J27/SUMIFS(Hugst!$J$4:$J$15,Hugst!$A$4:$A$15,'Processer - data'!$C30,Hugst!$B$4:$B$15,'Processer - data'!$F27)/(J27/SUMIFS(Hugst!$J$4:$J$15,Hugst!$A$4:$A$15,'Processer - data'!$C30,Hugst!$B$4:$B$15,'Processer - data'!$F27)+J28/SUMIFS(Hugst!$J$4:$J$15,Hugst!$A$4:$A$15,'Processer - data'!$C30,Hugst!$B$4:$B$15,'Processer - data'!$F28)),0)</f>
        <v>-10.181372549019608</v>
      </c>
      <c r="K30" s="502"/>
    </row>
    <row r="31" spans="1:11" x14ac:dyDescent="0.55000000000000004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Ton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K31" s="380"/>
    </row>
    <row r="32" spans="1:11" x14ac:dyDescent="0.55000000000000004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Ton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K32" s="382"/>
    </row>
    <row r="33" spans="1:11" x14ac:dyDescent="0.55000000000000004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55000000000000004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892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data'!$C34)*('Kulstofoptag, skov'!$C$2:$C$13="Kulstof I høst")*('Kulstofoptag, skov'!$D$1:$I$1=VALUE(RIGHT('Processer - data'!$D34,2))))*H31/SUMIFS(Hugst!$J$4:$J$15,Hugst!$A$4:$A$15,'Processer - data'!$C34,Hugst!$B$4:$B$15,'Processer - data'!$F31)/(H31/SUMIFS(Hugst!$J$4:$J$15,Hugst!$A$4:$A$15,'Processer - data'!$C34,Hugst!$B$4:$B$15,'Processer - data'!$F31)+H32/SUMIFS(Hugst!$J$4:$J$15,Hugst!$A$4:$A$15,'Processer - data'!$C34,Hugst!$B$4:$B$15,'Processer - data'!$F32)),0)</f>
        <v>0</v>
      </c>
      <c r="I34" s="317" cm="1">
        <f t="array" ref="I34">IF(SUM(I31:I32)&gt;0,-SUMPRODUCT('Kulstofoptag, skov'!$D$2:$I$13*('Kulstofoptag, skov'!$B$2:$B$13='Processer - data'!$C34)*('Kulstofoptag, skov'!$C$2:$C$13="Kulstof I høst")*('Kulstofoptag, skov'!$D$1:$I$1=VALUE(RIGHT('Processer - data'!$D34,2))))*I31/SUMIFS(Hugst!$J$4:$J$15,Hugst!$A$4:$A$15,'Processer - data'!$C34,Hugst!$B$4:$B$15,'Processer - data'!$F31)/(I31/SUMIFS(Hugst!$J$4:$J$15,Hugst!$A$4:$A$15,'Processer - data'!$C34,Hugst!$B$4:$B$15,'Processer - data'!$F31)+I32/SUMIFS(Hugst!$J$4:$J$15,Hugst!$A$4:$A$15,'Processer - data'!$C34,Hugst!$B$4:$B$15,'Processer - data'!$F32)),0)</f>
        <v>0</v>
      </c>
      <c r="J34" s="317" cm="1">
        <f t="array" ref="J34">IF(SUM(J31:J32)&gt;0,-SUMPRODUCT('Kulstofoptag, skov'!$D$2:$I$13*('Kulstofoptag, skov'!$B$2:$B$13='Processer - data'!$C34)*('Kulstofoptag, skov'!$C$2:$C$13="Kulstof I høst")*('Kulstofoptag, skov'!$D$1:$I$1=VALUE(RIGHT('Processer - data'!$D34,2))))*J31/SUMIFS(Hugst!$J$4:$J$15,Hugst!$A$4:$A$15,'Processer - data'!$C34,Hugst!$B$4:$B$15,'Processer - data'!$F31)/(J31/SUMIFS(Hugst!$J$4:$J$15,Hugst!$A$4:$A$15,'Processer - data'!$C34,Hugst!$B$4:$B$15,'Processer - data'!$F31)+J32/SUMIFS(Hugst!$J$4:$J$15,Hugst!$A$4:$A$15,'Processer - data'!$C34,Hugst!$B$4:$B$15,'Processer - data'!$F32)),0)</f>
        <v>0</v>
      </c>
      <c r="K34" s="382"/>
    </row>
    <row r="35" spans="1:11" x14ac:dyDescent="0.55000000000000004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Ton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1.0503825171896284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1.0503825171896284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1.0503825171896284</v>
      </c>
      <c r="K35" s="382"/>
    </row>
    <row r="36" spans="1:11" x14ac:dyDescent="0.55000000000000004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Ton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0.17125801910700461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0.17125801910700461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0.17125801910700461</v>
      </c>
      <c r="K36" s="382"/>
    </row>
    <row r="37" spans="1:11" x14ac:dyDescent="0.55000000000000004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55000000000000004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892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data'!$C38)*('Kulstofoptag, skov'!$C$2:$C$13="Kulstof I høst")*('Kulstofoptag, skov'!$D$1:$I$1=VALUE(RIGHT('Processer - data'!$D38,2))))*H35/SUMIFS(Hugst!$J$4:$J$15,Hugst!$A$4:$A$15,'Processer - data'!$C38,Hugst!$B$4:$B$15,'Processer - data'!$F35)/(H35/SUMIFS(Hugst!$J$4:$J$15,Hugst!$A$4:$A$15,'Processer - data'!$C38,Hugst!$B$4:$B$15,'Processer - data'!$F35)+H36/SUMIFS(Hugst!$J$4:$J$15,Hugst!$A$4:$A$15,'Processer - data'!$C38,Hugst!$B$4:$B$15,'Processer - data'!$F36)),0)</f>
        <v>-14.400000000000002</v>
      </c>
      <c r="I38" s="317" cm="1">
        <f t="array" ref="I38">IF(SUM(I35:I36)&gt;0,-SUMPRODUCT('Kulstofoptag, skov'!$D$2:$I$13*('Kulstofoptag, skov'!$B$2:$B$13='Processer - data'!$C38)*('Kulstofoptag, skov'!$C$2:$C$13="Kulstof I høst")*('Kulstofoptag, skov'!$D$1:$I$1=VALUE(RIGHT('Processer - data'!$D38,2))))*I35/SUMIFS(Hugst!$J$4:$J$15,Hugst!$A$4:$A$15,'Processer - data'!$C38,Hugst!$B$4:$B$15,'Processer - data'!$F35)/(I35/SUMIFS(Hugst!$J$4:$J$15,Hugst!$A$4:$A$15,'Processer - data'!$C38,Hugst!$B$4:$B$15,'Processer - data'!$F35)+I36/SUMIFS(Hugst!$J$4:$J$15,Hugst!$A$4:$A$15,'Processer - data'!$C38,Hugst!$B$4:$B$15,'Processer - data'!$F36)),0)</f>
        <v>-14.400000000000002</v>
      </c>
      <c r="J38" s="317" cm="1">
        <f t="array" ref="J38">IF(SUM(J35:J36)&gt;0,-SUMPRODUCT('Kulstofoptag, skov'!$D$2:$I$13*('Kulstofoptag, skov'!$B$2:$B$13='Processer - data'!$C38)*('Kulstofoptag, skov'!$C$2:$C$13="Kulstof I høst")*('Kulstofoptag, skov'!$D$1:$I$1=VALUE(RIGHT('Processer - data'!$D38,2))))*J35/SUMIFS(Hugst!$J$4:$J$15,Hugst!$A$4:$A$15,'Processer - data'!$C38,Hugst!$B$4:$B$15,'Processer - data'!$F35)/(J35/SUMIFS(Hugst!$J$4:$J$15,Hugst!$A$4:$A$15,'Processer - data'!$C38,Hugst!$B$4:$B$15,'Processer - data'!$F35)+J36/SUMIFS(Hugst!$J$4:$J$15,Hugst!$A$4:$A$15,'Processer - data'!$C38,Hugst!$B$4:$B$15,'Processer - data'!$F36)),0)</f>
        <v>-14.400000000000002</v>
      </c>
      <c r="K38" s="382"/>
    </row>
    <row r="39" spans="1:11" x14ac:dyDescent="0.55000000000000004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Ton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1.1108211937739523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1.1108211937739523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1.1108211937739523</v>
      </c>
      <c r="K39" s="382"/>
    </row>
    <row r="40" spans="1:11" x14ac:dyDescent="0.55000000000000004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Ton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0.25077067083525678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0.25077067083525678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0.25077067083525678</v>
      </c>
      <c r="K40" s="382"/>
    </row>
    <row r="41" spans="1:11" x14ac:dyDescent="0.55000000000000004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55000000000000004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892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data'!$C42)*('Kulstofoptag, skov'!$C$2:$C$13="Kulstof I høst")*('Kulstofoptag, skov'!$D$1:$I$1=VALUE(RIGHT('Processer - data'!$D42,2))))*H39/SUMIFS(Hugst!$J$4:$J$15,Hugst!$A$4:$A$15,'Processer - data'!$C42,Hugst!$B$4:$B$15,'Processer - data'!$F39)/(H39/SUMIFS(Hugst!$J$4:$J$15,Hugst!$A$4:$A$15,'Processer - data'!$C42,Hugst!$B$4:$B$15,'Processer - data'!$F39)+H40/SUMIFS(Hugst!$J$4:$J$15,Hugst!$A$4:$A$15,'Processer - data'!$C42,Hugst!$B$4:$B$15,'Processer - data'!$F40)),0)</f>
        <v>-15.228571428571426</v>
      </c>
      <c r="I42" s="317" cm="1">
        <f t="array" ref="I42">IF(SUM(I39:I40)&gt;0,-SUMPRODUCT('Kulstofoptag, skov'!$D$2:$I$13*('Kulstofoptag, skov'!$B$2:$B$13='Processer - data'!$C42)*('Kulstofoptag, skov'!$C$2:$C$13="Kulstof I høst")*('Kulstofoptag, skov'!$D$1:$I$1=VALUE(RIGHT('Processer - data'!$D42,2))))*I39/SUMIFS(Hugst!$J$4:$J$15,Hugst!$A$4:$A$15,'Processer - data'!$C42,Hugst!$B$4:$B$15,'Processer - data'!$F39)/(I39/SUMIFS(Hugst!$J$4:$J$15,Hugst!$A$4:$A$15,'Processer - data'!$C42,Hugst!$B$4:$B$15,'Processer - data'!$F39)+I40/SUMIFS(Hugst!$J$4:$J$15,Hugst!$A$4:$A$15,'Processer - data'!$C42,Hugst!$B$4:$B$15,'Processer - data'!$F40)),0)</f>
        <v>-15.228571428571426</v>
      </c>
      <c r="J42" s="317" cm="1">
        <f t="array" ref="J42">IF(SUM(J39:J40)&gt;0,-SUMPRODUCT('Kulstofoptag, skov'!$D$2:$I$13*('Kulstofoptag, skov'!$B$2:$B$13='Processer - data'!$C42)*('Kulstofoptag, skov'!$C$2:$C$13="Kulstof I høst")*('Kulstofoptag, skov'!$D$1:$I$1=VALUE(RIGHT('Processer - data'!$D42,2))))*J39/SUMIFS(Hugst!$J$4:$J$15,Hugst!$A$4:$A$15,'Processer - data'!$C42,Hugst!$B$4:$B$15,'Processer - data'!$F39)/(J39/SUMIFS(Hugst!$J$4:$J$15,Hugst!$A$4:$A$15,'Processer - data'!$C42,Hugst!$B$4:$B$15,'Processer - data'!$F39)+J40/SUMIFS(Hugst!$J$4:$J$15,Hugst!$A$4:$A$15,'Processer - data'!$C42,Hugst!$B$4:$B$15,'Processer - data'!$F40)),0)</f>
        <v>-15.228571428571426</v>
      </c>
      <c r="K42" s="382"/>
    </row>
    <row r="43" spans="1:11" x14ac:dyDescent="0.55000000000000004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Ton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0.51060261252273598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0.51060261252273598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0.51060261252273598</v>
      </c>
      <c r="K43" s="382"/>
    </row>
    <row r="44" spans="1:11" x14ac:dyDescent="0.55000000000000004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Ton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0.16650085190958785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0.16650085190958785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0.16650085190958785</v>
      </c>
      <c r="K44" s="382"/>
    </row>
    <row r="45" spans="1:11" x14ac:dyDescent="0.55000000000000004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4.7" thickBot="1" x14ac:dyDescent="0.6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892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data'!$C46)*('Kulstofoptag, skov'!$C$2:$C$13="Kulstof I høst")*('Kulstofoptag, skov'!$D$1:$I$1=VALUE(RIGHT('Processer - data'!$D46,2))))*H43/SUMIFS(Hugst!$J$4:$J$15,Hugst!$A$4:$A$15,'Processer - data'!$C46,Hugst!$B$4:$B$15,'Processer - data'!$F43)/(H43/SUMIFS(Hugst!$J$4:$J$15,Hugst!$A$4:$A$15,'Processer - data'!$C46,Hugst!$B$4:$B$15,'Processer - data'!$F43)+H44/SUMIFS(Hugst!$J$4:$J$15,Hugst!$A$4:$A$15,'Processer - data'!$C46,Hugst!$B$4:$B$15,'Processer - data'!$F44)),0)</f>
        <v>-6.9999999999999991</v>
      </c>
      <c r="I46" s="317" cm="1">
        <f t="array" ref="I46">IF(SUM(I43:I44)&gt;0,-SUMPRODUCT('Kulstofoptag, skov'!$D$2:$I$13*('Kulstofoptag, skov'!$B$2:$B$13='Processer - data'!$C46)*('Kulstofoptag, skov'!$C$2:$C$13="Kulstof I høst")*('Kulstofoptag, skov'!$D$1:$I$1=VALUE(RIGHT('Processer - data'!$D46,2))))*I43/SUMIFS(Hugst!$J$4:$J$15,Hugst!$A$4:$A$15,'Processer - data'!$C46,Hugst!$B$4:$B$15,'Processer - data'!$F43)/(I43/SUMIFS(Hugst!$J$4:$J$15,Hugst!$A$4:$A$15,'Processer - data'!$C46,Hugst!$B$4:$B$15,'Processer - data'!$F43)+I44/SUMIFS(Hugst!$J$4:$J$15,Hugst!$A$4:$A$15,'Processer - data'!$C46,Hugst!$B$4:$B$15,'Processer - data'!$F44)),0)</f>
        <v>-6.9999999999999991</v>
      </c>
      <c r="J46" s="317" cm="1">
        <f t="array" ref="J46">IF(SUM(J43:J44)&gt;0,-SUMPRODUCT('Kulstofoptag, skov'!$D$2:$I$13*('Kulstofoptag, skov'!$B$2:$B$13='Processer - data'!$C46)*('Kulstofoptag, skov'!$C$2:$C$13="Kulstof I høst")*('Kulstofoptag, skov'!$D$1:$I$1=VALUE(RIGHT('Processer - data'!$D46,2))))*J43/SUMIFS(Hugst!$J$4:$J$15,Hugst!$A$4:$A$15,'Processer - data'!$C46,Hugst!$B$4:$B$15,'Processer - data'!$F43)/(J43/SUMIFS(Hugst!$J$4:$J$15,Hugst!$A$4:$A$15,'Processer - data'!$C46,Hugst!$B$4:$B$15,'Processer - data'!$F43)+J44/SUMIFS(Hugst!$J$4:$J$15,Hugst!$A$4:$A$15,'Processer - data'!$C46,Hugst!$B$4:$B$15,'Processer - data'!$F44)),0)</f>
        <v>-6.9999999999999991</v>
      </c>
      <c r="K46" s="502"/>
    </row>
    <row r="47" spans="1:11" x14ac:dyDescent="0.55000000000000004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Ton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K47" s="380"/>
    </row>
    <row r="48" spans="1:11" x14ac:dyDescent="0.55000000000000004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Ton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K48" s="382"/>
    </row>
    <row r="49" spans="1:11" x14ac:dyDescent="0.55000000000000004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55000000000000004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892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data'!$C50)*('Kulstofoptag, skov'!$C$2:$C$13="Kulstof I høst")*('Kulstofoptag, skov'!$D$1:$I$1=VALUE(RIGHT('Processer - data'!$D50,2))))*H47/SUMIFS(Hugst!$J$4:$J$15,Hugst!$A$4:$A$15,'Processer - data'!$C50,Hugst!$B$4:$B$15,'Processer - data'!$F47)/(H47/SUMIFS(Hugst!$J$4:$J$15,Hugst!$A$4:$A$15,'Processer - data'!$C50,Hugst!$B$4:$B$15,'Processer - data'!$F47)+H48/SUMIFS(Hugst!$J$4:$J$15,Hugst!$A$4:$A$15,'Processer - data'!$C50,Hugst!$B$4:$B$15,'Processer - data'!$F48)),0)</f>
        <v>0</v>
      </c>
      <c r="I50" s="317" cm="1">
        <f t="array" ref="I50">IF(SUM(I47:I48)&gt;0,-SUMPRODUCT('Kulstofoptag, skov'!$D$2:$I$13*('Kulstofoptag, skov'!$B$2:$B$13='Processer - data'!$C50)*('Kulstofoptag, skov'!$C$2:$C$13="Kulstof I høst")*('Kulstofoptag, skov'!$D$1:$I$1=VALUE(RIGHT('Processer - data'!$D50,2))))*I47/SUMIFS(Hugst!$J$4:$J$15,Hugst!$A$4:$A$15,'Processer - data'!$C50,Hugst!$B$4:$B$15,'Processer - data'!$F47)/(I47/SUMIFS(Hugst!$J$4:$J$15,Hugst!$A$4:$A$15,'Processer - data'!$C50,Hugst!$B$4:$B$15,'Processer - data'!$F47)+I48/SUMIFS(Hugst!$J$4:$J$15,Hugst!$A$4:$A$15,'Processer - data'!$C50,Hugst!$B$4:$B$15,'Processer - data'!$F48)),0)</f>
        <v>0</v>
      </c>
      <c r="J50" s="317" cm="1">
        <f t="array" ref="J50">IF(SUM(J47:J48)&gt;0,-SUMPRODUCT('Kulstofoptag, skov'!$D$2:$I$13*('Kulstofoptag, skov'!$B$2:$B$13='Processer - data'!$C50)*('Kulstofoptag, skov'!$C$2:$C$13="Kulstof I høst")*('Kulstofoptag, skov'!$D$1:$I$1=VALUE(RIGHT('Processer - data'!$D50,2))))*J47/SUMIFS(Hugst!$J$4:$J$15,Hugst!$A$4:$A$15,'Processer - data'!$C50,Hugst!$B$4:$B$15,'Processer - data'!$F47)/(J47/SUMIFS(Hugst!$J$4:$J$15,Hugst!$A$4:$A$15,'Processer - data'!$C50,Hugst!$B$4:$B$15,'Processer - data'!$F47)+J48/SUMIFS(Hugst!$J$4:$J$15,Hugst!$A$4:$A$15,'Processer - data'!$C50,Hugst!$B$4:$B$15,'Processer - data'!$F48)),0)</f>
        <v>0</v>
      </c>
      <c r="K50" s="382"/>
    </row>
    <row r="51" spans="1:11" x14ac:dyDescent="0.55000000000000004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Ton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K51" s="382"/>
    </row>
    <row r="52" spans="1:11" x14ac:dyDescent="0.55000000000000004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Ton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K52" s="382"/>
    </row>
    <row r="53" spans="1:11" x14ac:dyDescent="0.55000000000000004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55000000000000004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892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data'!$C54)*('Kulstofoptag, skov'!$C$2:$C$13="Kulstof I høst")*('Kulstofoptag, skov'!$D$1:$I$1=VALUE(RIGHT('Processer - data'!$D54,2))))*H51/SUMIFS(Hugst!$J$4:$J$15,Hugst!$A$4:$A$15,'Processer - data'!$C54,Hugst!$B$4:$B$15,'Processer - data'!$F51)/(H51/SUMIFS(Hugst!$J$4:$J$15,Hugst!$A$4:$A$15,'Processer - data'!$C54,Hugst!$B$4:$B$15,'Processer - data'!$F51)+H52/SUMIFS(Hugst!$J$4:$J$15,Hugst!$A$4:$A$15,'Processer - data'!$C54,Hugst!$B$4:$B$15,'Processer - data'!$F52)),0)</f>
        <v>0</v>
      </c>
      <c r="I54" s="317" cm="1">
        <f t="array" ref="I54">IF(SUM(I51:I52)&gt;0,-SUMPRODUCT('Kulstofoptag, skov'!$D$2:$I$13*('Kulstofoptag, skov'!$B$2:$B$13='Processer - data'!$C54)*('Kulstofoptag, skov'!$C$2:$C$13="Kulstof I høst")*('Kulstofoptag, skov'!$D$1:$I$1=VALUE(RIGHT('Processer - data'!$D54,2))))*I51/SUMIFS(Hugst!$J$4:$J$15,Hugst!$A$4:$A$15,'Processer - data'!$C54,Hugst!$B$4:$B$15,'Processer - data'!$F51)/(I51/SUMIFS(Hugst!$J$4:$J$15,Hugst!$A$4:$A$15,'Processer - data'!$C54,Hugst!$B$4:$B$15,'Processer - data'!$F51)+I52/SUMIFS(Hugst!$J$4:$J$15,Hugst!$A$4:$A$15,'Processer - data'!$C54,Hugst!$B$4:$B$15,'Processer - data'!$F52)),0)</f>
        <v>0</v>
      </c>
      <c r="J54" s="317" cm="1">
        <f t="array" ref="J54">IF(SUM(J51:J52)&gt;0,-SUMPRODUCT('Kulstofoptag, skov'!$D$2:$I$13*('Kulstofoptag, skov'!$B$2:$B$13='Processer - data'!$C54)*('Kulstofoptag, skov'!$C$2:$C$13="Kulstof I høst")*('Kulstofoptag, skov'!$D$1:$I$1=VALUE(RIGHT('Processer - data'!$D54,2))))*J51/SUMIFS(Hugst!$J$4:$J$15,Hugst!$A$4:$A$15,'Processer - data'!$C54,Hugst!$B$4:$B$15,'Processer - data'!$F51)/(J51/SUMIFS(Hugst!$J$4:$J$15,Hugst!$A$4:$A$15,'Processer - data'!$C54,Hugst!$B$4:$B$15,'Processer - data'!$F51)+J52/SUMIFS(Hugst!$J$4:$J$15,Hugst!$A$4:$A$15,'Processer - data'!$C54,Hugst!$B$4:$B$15,'Processer - data'!$F52)),0)</f>
        <v>0</v>
      </c>
      <c r="K54" s="382"/>
    </row>
    <row r="55" spans="1:11" x14ac:dyDescent="0.55000000000000004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Ton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K55" s="382"/>
    </row>
    <row r="56" spans="1:11" x14ac:dyDescent="0.55000000000000004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Ton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K56" s="382"/>
    </row>
    <row r="57" spans="1:11" x14ac:dyDescent="0.55000000000000004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55000000000000004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892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data'!$C58)*('Kulstofoptag, skov'!$C$2:$C$13="Kulstof I høst")*('Kulstofoptag, skov'!$D$1:$I$1=VALUE(RIGHT('Processer - data'!$D58,2))))*H55/SUMIFS(Hugst!$J$4:$J$15,Hugst!$A$4:$A$15,'Processer - data'!$C58,Hugst!$B$4:$B$15,'Processer - data'!$F55)/(H55/SUMIFS(Hugst!$J$4:$J$15,Hugst!$A$4:$A$15,'Processer - data'!$C58,Hugst!$B$4:$B$15,'Processer - data'!$F55)+H56/SUMIFS(Hugst!$J$4:$J$15,Hugst!$A$4:$A$15,'Processer - data'!$C58,Hugst!$B$4:$B$15,'Processer - data'!$F56)),0)</f>
        <v>0</v>
      </c>
      <c r="I58" s="317" cm="1">
        <f t="array" ref="I58">IF(SUM(I55:I56)&gt;0,-SUMPRODUCT('Kulstofoptag, skov'!$D$2:$I$13*('Kulstofoptag, skov'!$B$2:$B$13='Processer - data'!$C58)*('Kulstofoptag, skov'!$C$2:$C$13="Kulstof I høst")*('Kulstofoptag, skov'!$D$1:$I$1=VALUE(RIGHT('Processer - data'!$D58,2))))*I55/SUMIFS(Hugst!$J$4:$J$15,Hugst!$A$4:$A$15,'Processer - data'!$C58,Hugst!$B$4:$B$15,'Processer - data'!$F55)/(I55/SUMIFS(Hugst!$J$4:$J$15,Hugst!$A$4:$A$15,'Processer - data'!$C58,Hugst!$B$4:$B$15,'Processer - data'!$F55)+I56/SUMIFS(Hugst!$J$4:$J$15,Hugst!$A$4:$A$15,'Processer - data'!$C58,Hugst!$B$4:$B$15,'Processer - data'!$F56)),0)</f>
        <v>0</v>
      </c>
      <c r="J58" s="317" cm="1">
        <f t="array" ref="J58">IF(SUM(J55:J56)&gt;0,-SUMPRODUCT('Kulstofoptag, skov'!$D$2:$I$13*('Kulstofoptag, skov'!$B$2:$B$13='Processer - data'!$C58)*('Kulstofoptag, skov'!$C$2:$C$13="Kulstof I høst")*('Kulstofoptag, skov'!$D$1:$I$1=VALUE(RIGHT('Processer - data'!$D58,2))))*J55/SUMIFS(Hugst!$J$4:$J$15,Hugst!$A$4:$A$15,'Processer - data'!$C58,Hugst!$B$4:$B$15,'Processer - data'!$F55)/(J55/SUMIFS(Hugst!$J$4:$J$15,Hugst!$A$4:$A$15,'Processer - data'!$C58,Hugst!$B$4:$B$15,'Processer - data'!$F55)+J56/SUMIFS(Hugst!$J$4:$J$15,Hugst!$A$4:$A$15,'Processer - data'!$C58,Hugst!$B$4:$B$15,'Processer - data'!$F56)),0)</f>
        <v>0</v>
      </c>
      <c r="K58" s="382"/>
    </row>
    <row r="59" spans="1:11" x14ac:dyDescent="0.55000000000000004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Ton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0.93000808023021819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0.93000808023021819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0.93000808023021819</v>
      </c>
      <c r="K59" s="382"/>
    </row>
    <row r="60" spans="1:11" x14ac:dyDescent="0.55000000000000004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Ton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0.22884682767114053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0.22884682767114053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0.22884682767114053</v>
      </c>
      <c r="K60" s="382"/>
    </row>
    <row r="61" spans="1:11" x14ac:dyDescent="0.55000000000000004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4.7" thickBot="1" x14ac:dyDescent="0.6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892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data'!$C62)*('Kulstofoptag, skov'!$C$2:$C$13="Kulstof I høst")*('Kulstofoptag, skov'!$D$1:$I$1=VALUE(RIGHT('Processer - data'!$D62,2))))*H59/SUMIFS(Hugst!$J$4:$J$15,Hugst!$A$4:$A$15,'Processer - data'!$C62,Hugst!$B$4:$B$15,'Processer - data'!$F59)/(H59/SUMIFS(Hugst!$J$4:$J$15,Hugst!$A$4:$A$15,'Processer - data'!$C62,Hugst!$B$4:$B$15,'Processer - data'!$F59)+H60/SUMIFS(Hugst!$J$4:$J$15,Hugst!$A$4:$A$15,'Processer - data'!$C62,Hugst!$B$4:$B$15,'Processer - data'!$F60)),0)</f>
        <v>-2.5882352941176467</v>
      </c>
      <c r="I62" s="317" cm="1">
        <f t="array" ref="I62">IF(SUM(I59:I60)&gt;0,-SUMPRODUCT('Kulstofoptag, skov'!$D$2:$I$13*('Kulstofoptag, skov'!$B$2:$B$13='Processer - data'!$C62)*('Kulstofoptag, skov'!$C$2:$C$13="Kulstof I høst")*('Kulstofoptag, skov'!$D$1:$I$1=VALUE(RIGHT('Processer - data'!$D62,2))))*I59/SUMIFS(Hugst!$J$4:$J$15,Hugst!$A$4:$A$15,'Processer - data'!$C62,Hugst!$B$4:$B$15,'Processer - data'!$F59)/(I59/SUMIFS(Hugst!$J$4:$J$15,Hugst!$A$4:$A$15,'Processer - data'!$C62,Hugst!$B$4:$B$15,'Processer - data'!$F59)+I60/SUMIFS(Hugst!$J$4:$J$15,Hugst!$A$4:$A$15,'Processer - data'!$C62,Hugst!$B$4:$B$15,'Processer - data'!$F60)),0)</f>
        <v>-2.5882352941176467</v>
      </c>
      <c r="J62" s="317" cm="1">
        <f t="array" ref="J62">IF(SUM(J59:J60)&gt;0,-SUMPRODUCT('Kulstofoptag, skov'!$D$2:$I$13*('Kulstofoptag, skov'!$B$2:$B$13='Processer - data'!$C62)*('Kulstofoptag, skov'!$C$2:$C$13="Kulstof I høst")*('Kulstofoptag, skov'!$D$1:$I$1=VALUE(RIGHT('Processer - data'!$D62,2))))*J59/SUMIFS(Hugst!$J$4:$J$15,Hugst!$A$4:$A$15,'Processer - data'!$C62,Hugst!$B$4:$B$15,'Processer - data'!$F59)/(J59/SUMIFS(Hugst!$J$4:$J$15,Hugst!$A$4:$A$15,'Processer - data'!$C62,Hugst!$B$4:$B$15,'Processer - data'!$F59)+J60/SUMIFS(Hugst!$J$4:$J$15,Hugst!$A$4:$A$15,'Processer - data'!$C62,Hugst!$B$4:$B$15,'Processer - data'!$F60)),0)</f>
        <v>-2.5882352941176467</v>
      </c>
      <c r="K62" s="502"/>
    </row>
    <row r="63" spans="1:11" x14ac:dyDescent="0.55000000000000004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Ton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K63" s="380"/>
    </row>
    <row r="64" spans="1:11" x14ac:dyDescent="0.55000000000000004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Ton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K64" s="382"/>
    </row>
    <row r="65" spans="1:11" x14ac:dyDescent="0.55000000000000004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55000000000000004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892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data'!$C66)*('Kulstofoptag, skov'!$C$2:$C$13="Kulstof I høst")*('Kulstofoptag, skov'!$D$1:$I$1=VALUE(RIGHT('Processer - data'!$D66,2))))*H63/SUMIFS(Hugst!$J$4:$J$15,Hugst!$A$4:$A$15,'Processer - data'!$C66,Hugst!$B$4:$B$15,'Processer - data'!$F63)/(H63/SUMIFS(Hugst!$J$4:$J$15,Hugst!$A$4:$A$15,'Processer - data'!$C66,Hugst!$B$4:$B$15,'Processer - data'!$F63)+H64/SUMIFS(Hugst!$J$4:$J$15,Hugst!$A$4:$A$15,'Processer - data'!$C66,Hugst!$B$4:$B$15,'Processer - data'!$F64)),0)</f>
        <v>0</v>
      </c>
      <c r="I66" s="317" cm="1">
        <f t="array" ref="I66">IF(SUM(I63:I64)&gt;0,-SUMPRODUCT('Kulstofoptag, skov'!$D$2:$I$13*('Kulstofoptag, skov'!$B$2:$B$13='Processer - data'!$C66)*('Kulstofoptag, skov'!$C$2:$C$13="Kulstof I høst")*('Kulstofoptag, skov'!$D$1:$I$1=VALUE(RIGHT('Processer - data'!$D66,2))))*I63/SUMIFS(Hugst!$J$4:$J$15,Hugst!$A$4:$A$15,'Processer - data'!$C66,Hugst!$B$4:$B$15,'Processer - data'!$F63)/(I63/SUMIFS(Hugst!$J$4:$J$15,Hugst!$A$4:$A$15,'Processer - data'!$C66,Hugst!$B$4:$B$15,'Processer - data'!$F63)+I64/SUMIFS(Hugst!$J$4:$J$15,Hugst!$A$4:$A$15,'Processer - data'!$C66,Hugst!$B$4:$B$15,'Processer - data'!$F64)),0)</f>
        <v>0</v>
      </c>
      <c r="J66" s="317" cm="1">
        <f t="array" ref="J66">IF(SUM(J63:J64)&gt;0,-SUMPRODUCT('Kulstofoptag, skov'!$D$2:$I$13*('Kulstofoptag, skov'!$B$2:$B$13='Processer - data'!$C66)*('Kulstofoptag, skov'!$C$2:$C$13="Kulstof I høst")*('Kulstofoptag, skov'!$D$1:$I$1=VALUE(RIGHT('Processer - data'!$D66,2))))*J63/SUMIFS(Hugst!$J$4:$J$15,Hugst!$A$4:$A$15,'Processer - data'!$C66,Hugst!$B$4:$B$15,'Processer - data'!$F63)/(J63/SUMIFS(Hugst!$J$4:$J$15,Hugst!$A$4:$A$15,'Processer - data'!$C66,Hugst!$B$4:$B$15,'Processer - data'!$F63)+J64/SUMIFS(Hugst!$J$4:$J$15,Hugst!$A$4:$A$15,'Processer - data'!$C66,Hugst!$B$4:$B$15,'Processer - data'!$F64)),0)</f>
        <v>0</v>
      </c>
      <c r="K66" s="382"/>
    </row>
    <row r="67" spans="1:11" x14ac:dyDescent="0.55000000000000004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Ton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0.27978695316663743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0.27978695316663743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0.27978695316663743</v>
      </c>
      <c r="K67" s="382"/>
    </row>
    <row r="68" spans="1:11" x14ac:dyDescent="0.55000000000000004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Ton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0.60886279963724166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0.60886279963724166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0.60886279963724166</v>
      </c>
      <c r="K68" s="382"/>
    </row>
    <row r="69" spans="1:11" x14ac:dyDescent="0.55000000000000004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55000000000000004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892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data'!$C70)*('Kulstofoptag, skov'!$C$2:$C$13="Kulstof I høst")*('Kulstofoptag, skov'!$D$1:$I$1=VALUE(RIGHT('Processer - data'!$D70,2))))*H67/SUMIFS(Hugst!$J$4:$J$15,Hugst!$A$4:$A$15,'Processer - data'!$C70,Hugst!$B$4:$B$15,'Processer - data'!$F67)/(H67/SUMIFS(Hugst!$J$4:$J$15,Hugst!$A$4:$A$15,'Processer - data'!$C70,Hugst!$B$4:$B$15,'Processer - data'!$F67)+H68/SUMIFS(Hugst!$J$4:$J$15,Hugst!$A$4:$A$15,'Processer - data'!$C70,Hugst!$B$4:$B$15,'Processer - data'!$F68)),0)</f>
        <v>-4.0000000000000018</v>
      </c>
      <c r="I70" s="317" cm="1">
        <f t="array" ref="I70">IF(SUM(I67:I68)&gt;0,-SUMPRODUCT('Kulstofoptag, skov'!$D$2:$I$13*('Kulstofoptag, skov'!$B$2:$B$13='Processer - data'!$C70)*('Kulstofoptag, skov'!$C$2:$C$13="Kulstof I høst")*('Kulstofoptag, skov'!$D$1:$I$1=VALUE(RIGHT('Processer - data'!$D70,2))))*I67/SUMIFS(Hugst!$J$4:$J$15,Hugst!$A$4:$A$15,'Processer - data'!$C70,Hugst!$B$4:$B$15,'Processer - data'!$F67)/(I67/SUMIFS(Hugst!$J$4:$J$15,Hugst!$A$4:$A$15,'Processer - data'!$C70,Hugst!$B$4:$B$15,'Processer - data'!$F67)+I68/SUMIFS(Hugst!$J$4:$J$15,Hugst!$A$4:$A$15,'Processer - data'!$C70,Hugst!$B$4:$B$15,'Processer - data'!$F68)),0)</f>
        <v>-4.0000000000000018</v>
      </c>
      <c r="J70" s="317" cm="1">
        <f t="array" ref="J70">IF(SUM(J67:J68)&gt;0,-SUMPRODUCT('Kulstofoptag, skov'!$D$2:$I$13*('Kulstofoptag, skov'!$B$2:$B$13='Processer - data'!$C70)*('Kulstofoptag, skov'!$C$2:$C$13="Kulstof I høst")*('Kulstofoptag, skov'!$D$1:$I$1=VALUE(RIGHT('Processer - data'!$D70,2))))*J67/SUMIFS(Hugst!$J$4:$J$15,Hugst!$A$4:$A$15,'Processer - data'!$C70,Hugst!$B$4:$B$15,'Processer - data'!$F67)/(J67/SUMIFS(Hugst!$J$4:$J$15,Hugst!$A$4:$A$15,'Processer - data'!$C70,Hugst!$B$4:$B$15,'Processer - data'!$F67)+J68/SUMIFS(Hugst!$J$4:$J$15,Hugst!$A$4:$A$15,'Processer - data'!$C70,Hugst!$B$4:$B$15,'Processer - data'!$F68)),0)</f>
        <v>-4.0000000000000018</v>
      </c>
      <c r="K70" s="382"/>
    </row>
    <row r="71" spans="1:11" x14ac:dyDescent="0.55000000000000004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Ton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0.30115956764464435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0.30115956764464435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0.30115956764464435</v>
      </c>
      <c r="K71" s="382"/>
    </row>
    <row r="72" spans="1:11" x14ac:dyDescent="0.55000000000000004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Ton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0.24765252763022733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0.24765252763022733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0.24765252763022733</v>
      </c>
      <c r="K72" s="382"/>
    </row>
    <row r="73" spans="1:11" x14ac:dyDescent="0.55000000000000004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55000000000000004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892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data'!$C74)*('Kulstofoptag, skov'!$C$2:$C$13="Kulstof I høst")*('Kulstofoptag, skov'!$D$1:$I$1=VALUE(RIGHT('Processer - data'!$D74,2))))*H71/SUMIFS(Hugst!$J$4:$J$15,Hugst!$A$4:$A$15,'Processer - data'!$C74,Hugst!$B$4:$B$15,'Processer - data'!$F71)/(H71/SUMIFS(Hugst!$J$4:$J$15,Hugst!$A$4:$A$15,'Processer - data'!$C74,Hugst!$B$4:$B$15,'Processer - data'!$F71)+H72/SUMIFS(Hugst!$J$4:$J$15,Hugst!$A$4:$A$15,'Processer - data'!$C74,Hugst!$B$4:$B$15,'Processer - data'!$F72)),0)</f>
        <v>-4.3055555555555554</v>
      </c>
      <c r="I74" s="317" cm="1">
        <f t="array" ref="I74">IF(SUM(I71:I72)&gt;0,-SUMPRODUCT('Kulstofoptag, skov'!$D$2:$I$13*('Kulstofoptag, skov'!$B$2:$B$13='Processer - data'!$C74)*('Kulstofoptag, skov'!$C$2:$C$13="Kulstof I høst")*('Kulstofoptag, skov'!$D$1:$I$1=VALUE(RIGHT('Processer - data'!$D74,2))))*I71/SUMIFS(Hugst!$J$4:$J$15,Hugst!$A$4:$A$15,'Processer - data'!$C74,Hugst!$B$4:$B$15,'Processer - data'!$F71)/(I71/SUMIFS(Hugst!$J$4:$J$15,Hugst!$A$4:$A$15,'Processer - data'!$C74,Hugst!$B$4:$B$15,'Processer - data'!$F71)+I72/SUMIFS(Hugst!$J$4:$J$15,Hugst!$A$4:$A$15,'Processer - data'!$C74,Hugst!$B$4:$B$15,'Processer - data'!$F72)),0)</f>
        <v>-4.3055555555555554</v>
      </c>
      <c r="J74" s="317" cm="1">
        <f t="array" ref="J74">IF(SUM(J71:J72)&gt;0,-SUMPRODUCT('Kulstofoptag, skov'!$D$2:$I$13*('Kulstofoptag, skov'!$B$2:$B$13='Processer - data'!$C74)*('Kulstofoptag, skov'!$C$2:$C$13="Kulstof I høst")*('Kulstofoptag, skov'!$D$1:$I$1=VALUE(RIGHT('Processer - data'!$D74,2))))*J71/SUMIFS(Hugst!$J$4:$J$15,Hugst!$A$4:$A$15,'Processer - data'!$C74,Hugst!$B$4:$B$15,'Processer - data'!$F71)/(J71/SUMIFS(Hugst!$J$4:$J$15,Hugst!$A$4:$A$15,'Processer - data'!$C74,Hugst!$B$4:$B$15,'Processer - data'!$F71)+J72/SUMIFS(Hugst!$J$4:$J$15,Hugst!$A$4:$A$15,'Processer - data'!$C74,Hugst!$B$4:$B$15,'Processer - data'!$F72)),0)</f>
        <v>-4.3055555555555554</v>
      </c>
      <c r="K74" s="382"/>
    </row>
    <row r="75" spans="1:11" x14ac:dyDescent="0.55000000000000004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Ton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0.24892809803796404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0.24892809803796404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0.24892809803796404</v>
      </c>
      <c r="K75" s="382"/>
    </row>
    <row r="76" spans="1:11" x14ac:dyDescent="0.55000000000000004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Ton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8.4422152890878066E-2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8.4422152890878066E-2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8.4422152890878066E-2</v>
      </c>
      <c r="K76" s="382"/>
    </row>
    <row r="77" spans="1:11" x14ac:dyDescent="0.55000000000000004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4.7" thickBot="1" x14ac:dyDescent="0.6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892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data'!$C78)*('Kulstofoptag, skov'!$C$2:$C$13="Kulstof I høst")*('Kulstofoptag, skov'!$D$1:$I$1=VALUE(RIGHT('Processer - data'!$D78,2))))*H75/SUMIFS(Hugst!$J$4:$J$15,Hugst!$A$4:$A$15,'Processer - data'!$C78,Hugst!$B$4:$B$15,'Processer - data'!$F75)/(H75/SUMIFS(Hugst!$J$4:$J$15,Hugst!$A$4:$A$15,'Processer - data'!$C78,Hugst!$B$4:$B$15,'Processer - data'!$F75)+H76/SUMIFS(Hugst!$J$4:$J$15,Hugst!$A$4:$A$15,'Processer - data'!$C78,Hugst!$B$4:$B$15,'Processer - data'!$F76)),0)</f>
        <v>-3.5588235294117641</v>
      </c>
      <c r="I78" s="317" cm="1">
        <f t="array" ref="I78">IF(SUM(I75:I76)&gt;0,-SUMPRODUCT('Kulstofoptag, skov'!$D$2:$I$13*('Kulstofoptag, skov'!$B$2:$B$13='Processer - data'!$C78)*('Kulstofoptag, skov'!$C$2:$C$13="Kulstof I høst")*('Kulstofoptag, skov'!$D$1:$I$1=VALUE(RIGHT('Processer - data'!$D78,2))))*I75/SUMIFS(Hugst!$J$4:$J$15,Hugst!$A$4:$A$15,'Processer - data'!$C78,Hugst!$B$4:$B$15,'Processer - data'!$F75)/(I75/SUMIFS(Hugst!$J$4:$J$15,Hugst!$A$4:$A$15,'Processer - data'!$C78,Hugst!$B$4:$B$15,'Processer - data'!$F75)+I76/SUMIFS(Hugst!$J$4:$J$15,Hugst!$A$4:$A$15,'Processer - data'!$C78,Hugst!$B$4:$B$15,'Processer - data'!$F76)),0)</f>
        <v>-3.5588235294117641</v>
      </c>
      <c r="J78" s="317" cm="1">
        <f t="array" ref="J78">IF(SUM(J75:J76)&gt;0,-SUMPRODUCT('Kulstofoptag, skov'!$D$2:$I$13*('Kulstofoptag, skov'!$B$2:$B$13='Processer - data'!$C78)*('Kulstofoptag, skov'!$C$2:$C$13="Kulstof I høst")*('Kulstofoptag, skov'!$D$1:$I$1=VALUE(RIGHT('Processer - data'!$D78,2))))*J75/SUMIFS(Hugst!$J$4:$J$15,Hugst!$A$4:$A$15,'Processer - data'!$C78,Hugst!$B$4:$B$15,'Processer - data'!$F75)/(J75/SUMIFS(Hugst!$J$4:$J$15,Hugst!$A$4:$A$15,'Processer - data'!$C78,Hugst!$B$4:$B$15,'Processer - data'!$F75)+J76/SUMIFS(Hugst!$J$4:$J$15,Hugst!$A$4:$A$15,'Processer - data'!$C78,Hugst!$B$4:$B$15,'Processer - data'!$F76)),0)</f>
        <v>-3.5588235294117641</v>
      </c>
      <c r="K78" s="502"/>
    </row>
    <row r="79" spans="1:11" x14ac:dyDescent="0.55000000000000004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Ton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K79" s="380"/>
    </row>
    <row r="80" spans="1:11" x14ac:dyDescent="0.55000000000000004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Ton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K80" s="382"/>
    </row>
    <row r="81" spans="1:11" x14ac:dyDescent="0.55000000000000004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55000000000000004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892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data'!$C82)*('Kulstofoptag, skov'!$C$2:$C$13="Kulstof I høst")*('Kulstofoptag, skov'!$D$1:$I$1=VALUE(RIGHT('Processer - data'!$D82,2))))*H79/SUMIFS(Hugst!$J$4:$J$15,Hugst!$A$4:$A$15,'Processer - data'!$C82,Hugst!$B$4:$B$15,'Processer - data'!$F79)/(H79/SUMIFS(Hugst!$J$4:$J$15,Hugst!$A$4:$A$15,'Processer - data'!$C82,Hugst!$B$4:$B$15,'Processer - data'!$F79)+H80/SUMIFS(Hugst!$J$4:$J$15,Hugst!$A$4:$A$15,'Processer - data'!$C82,Hugst!$B$4:$B$15,'Processer - data'!$F80)),0)</f>
        <v>0</v>
      </c>
      <c r="I82" s="317" cm="1">
        <f t="array" ref="I82">IF(SUM(I79:I80)&gt;0,-SUMPRODUCT('Kulstofoptag, skov'!$D$2:$I$13*('Kulstofoptag, skov'!$B$2:$B$13='Processer - data'!$C82)*('Kulstofoptag, skov'!$C$2:$C$13="Kulstof I høst")*('Kulstofoptag, skov'!$D$1:$I$1=VALUE(RIGHT('Processer - data'!$D82,2))))*I79/SUMIFS(Hugst!$J$4:$J$15,Hugst!$A$4:$A$15,'Processer - data'!$C82,Hugst!$B$4:$B$15,'Processer - data'!$F79)/(I79/SUMIFS(Hugst!$J$4:$J$15,Hugst!$A$4:$A$15,'Processer - data'!$C82,Hugst!$B$4:$B$15,'Processer - data'!$F79)+I80/SUMIFS(Hugst!$J$4:$J$15,Hugst!$A$4:$A$15,'Processer - data'!$C82,Hugst!$B$4:$B$15,'Processer - data'!$F80)),0)</f>
        <v>0</v>
      </c>
      <c r="J82" s="317" cm="1">
        <f t="array" ref="J82">IF(SUM(J79:J80)&gt;0,-SUMPRODUCT('Kulstofoptag, skov'!$D$2:$I$13*('Kulstofoptag, skov'!$B$2:$B$13='Processer - data'!$C82)*('Kulstofoptag, skov'!$C$2:$C$13="Kulstof I høst")*('Kulstofoptag, skov'!$D$1:$I$1=VALUE(RIGHT('Processer - data'!$D82,2))))*J79/SUMIFS(Hugst!$J$4:$J$15,Hugst!$A$4:$A$15,'Processer - data'!$C82,Hugst!$B$4:$B$15,'Processer - data'!$F79)/(J79/SUMIFS(Hugst!$J$4:$J$15,Hugst!$A$4:$A$15,'Processer - data'!$C82,Hugst!$B$4:$B$15,'Processer - data'!$F79)+J80/SUMIFS(Hugst!$J$4:$J$15,Hugst!$A$4:$A$15,'Processer - data'!$C82,Hugst!$B$4:$B$15,'Processer - data'!$F80)),0)</f>
        <v>0</v>
      </c>
      <c r="K82" s="382"/>
    </row>
    <row r="83" spans="1:11" x14ac:dyDescent="0.55000000000000004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Ton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K83" s="382"/>
    </row>
    <row r="84" spans="1:11" x14ac:dyDescent="0.55000000000000004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Ton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K84" s="382"/>
    </row>
    <row r="85" spans="1:11" x14ac:dyDescent="0.55000000000000004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55000000000000004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892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data'!$C86)*('Kulstofoptag, skov'!$C$2:$C$13="Kulstof I høst")*('Kulstofoptag, skov'!$D$1:$I$1=VALUE(RIGHT('Processer - data'!$D86,2))))*H83/SUMIFS(Hugst!$J$4:$J$15,Hugst!$A$4:$A$15,'Processer - data'!$C86,Hugst!$B$4:$B$15,'Processer - data'!$F83)/(H83/SUMIFS(Hugst!$J$4:$J$15,Hugst!$A$4:$A$15,'Processer - data'!$C86,Hugst!$B$4:$B$15,'Processer - data'!$F83)+H84/SUMIFS(Hugst!$J$4:$J$15,Hugst!$A$4:$A$15,'Processer - data'!$C86,Hugst!$B$4:$B$15,'Processer - data'!$F84)),0)</f>
        <v>0</v>
      </c>
      <c r="I86" s="317" cm="1">
        <f t="array" ref="I86">IF(SUM(I83:I84)&gt;0,-SUMPRODUCT('Kulstofoptag, skov'!$D$2:$I$13*('Kulstofoptag, skov'!$B$2:$B$13='Processer - data'!$C86)*('Kulstofoptag, skov'!$C$2:$C$13="Kulstof I høst")*('Kulstofoptag, skov'!$D$1:$I$1=VALUE(RIGHT('Processer - data'!$D86,2))))*I83/SUMIFS(Hugst!$J$4:$J$15,Hugst!$A$4:$A$15,'Processer - data'!$C86,Hugst!$B$4:$B$15,'Processer - data'!$F83)/(I83/SUMIFS(Hugst!$J$4:$J$15,Hugst!$A$4:$A$15,'Processer - data'!$C86,Hugst!$B$4:$B$15,'Processer - data'!$F83)+I84/SUMIFS(Hugst!$J$4:$J$15,Hugst!$A$4:$A$15,'Processer - data'!$C86,Hugst!$B$4:$B$15,'Processer - data'!$F84)),0)</f>
        <v>0</v>
      </c>
      <c r="J86" s="317" cm="1">
        <f t="array" ref="J86">IF(SUM(J83:J84)&gt;0,-SUMPRODUCT('Kulstofoptag, skov'!$D$2:$I$13*('Kulstofoptag, skov'!$B$2:$B$13='Processer - data'!$C86)*('Kulstofoptag, skov'!$C$2:$C$13="Kulstof I høst")*('Kulstofoptag, skov'!$D$1:$I$1=VALUE(RIGHT('Processer - data'!$D86,2))))*J83/SUMIFS(Hugst!$J$4:$J$15,Hugst!$A$4:$A$15,'Processer - data'!$C86,Hugst!$B$4:$B$15,'Processer - data'!$F83)/(J83/SUMIFS(Hugst!$J$4:$J$15,Hugst!$A$4:$A$15,'Processer - data'!$C86,Hugst!$B$4:$B$15,'Processer - data'!$F83)+J84/SUMIFS(Hugst!$J$4:$J$15,Hugst!$A$4:$A$15,'Processer - data'!$C86,Hugst!$B$4:$B$15,'Processer - data'!$F84)),0)</f>
        <v>0</v>
      </c>
      <c r="K86" s="382"/>
    </row>
    <row r="87" spans="1:11" x14ac:dyDescent="0.55000000000000004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Ton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8.700858804075319E-2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8.700858804075319E-2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8.700858804075319E-2</v>
      </c>
      <c r="K87" s="382"/>
    </row>
    <row r="88" spans="1:11" x14ac:dyDescent="0.55000000000000004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Ton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6.7691690885595457E-2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6.7691690885595457E-2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6.7691690885595457E-2</v>
      </c>
      <c r="K88" s="382"/>
    </row>
    <row r="89" spans="1:11" x14ac:dyDescent="0.55000000000000004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55000000000000004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892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data'!$C90)*('Kulstofoptag, skov'!$C$2:$C$13="Kulstof I høst")*('Kulstofoptag, skov'!$D$1:$I$1=VALUE(RIGHT('Processer - data'!$D90,2))))*H87/SUMIFS(Hugst!$J$4:$J$15,Hugst!$A$4:$A$15,'Processer - data'!$C90,Hugst!$B$4:$B$15,'Processer - data'!$F87)/(H87/SUMIFS(Hugst!$J$4:$J$15,Hugst!$A$4:$A$15,'Processer - data'!$C90,Hugst!$B$4:$B$15,'Processer - data'!$F87)+H88/SUMIFS(Hugst!$J$4:$J$15,Hugst!$A$4:$A$15,'Processer - data'!$C90,Hugst!$B$4:$B$15,'Processer - data'!$F88)),0)</f>
        <v>-0.14351851851851849</v>
      </c>
      <c r="I90" s="317" cm="1">
        <f t="array" ref="I90">IF(SUM(I87:I88)&gt;0,-SUMPRODUCT('Kulstofoptag, skov'!$D$2:$I$13*('Kulstofoptag, skov'!$B$2:$B$13='Processer - data'!$C90)*('Kulstofoptag, skov'!$C$2:$C$13="Kulstof I høst")*('Kulstofoptag, skov'!$D$1:$I$1=VALUE(RIGHT('Processer - data'!$D90,2))))*I87/SUMIFS(Hugst!$J$4:$J$15,Hugst!$A$4:$A$15,'Processer - data'!$C90,Hugst!$B$4:$B$15,'Processer - data'!$F87)/(I87/SUMIFS(Hugst!$J$4:$J$15,Hugst!$A$4:$A$15,'Processer - data'!$C90,Hugst!$B$4:$B$15,'Processer - data'!$F87)+I88/SUMIFS(Hugst!$J$4:$J$15,Hugst!$A$4:$A$15,'Processer - data'!$C90,Hugst!$B$4:$B$15,'Processer - data'!$F88)),0)</f>
        <v>-0.14351851851851849</v>
      </c>
      <c r="J90" s="317" cm="1">
        <f t="array" ref="J90">IF(SUM(J87:J88)&gt;0,-SUMPRODUCT('Kulstofoptag, skov'!$D$2:$I$13*('Kulstofoptag, skov'!$B$2:$B$13='Processer - data'!$C90)*('Kulstofoptag, skov'!$C$2:$C$13="Kulstof I høst")*('Kulstofoptag, skov'!$D$1:$I$1=VALUE(RIGHT('Processer - data'!$D90,2))))*J87/SUMIFS(Hugst!$J$4:$J$15,Hugst!$A$4:$A$15,'Processer - data'!$C90,Hugst!$B$4:$B$15,'Processer - data'!$F87)/(J87/SUMIFS(Hugst!$J$4:$J$15,Hugst!$A$4:$A$15,'Processer - data'!$C90,Hugst!$B$4:$B$15,'Processer - data'!$F87)+J88/SUMIFS(Hugst!$J$4:$J$15,Hugst!$A$4:$A$15,'Processer - data'!$C90,Hugst!$B$4:$B$15,'Processer - data'!$F88)),0)</f>
        <v>-0.14351851851851849</v>
      </c>
      <c r="K90" s="382"/>
    </row>
    <row r="91" spans="1:11" x14ac:dyDescent="0.55000000000000004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Ton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1.04608427671008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1.04608427671008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1.04608427671008</v>
      </c>
      <c r="K91" s="382"/>
    </row>
    <row r="92" spans="1:11" x14ac:dyDescent="0.55000000000000004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Ton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0.33564201391767273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0.33564201391767273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0.33564201391767273</v>
      </c>
      <c r="K92" s="382"/>
    </row>
    <row r="93" spans="1:11" x14ac:dyDescent="0.55000000000000004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4.7" thickBot="1" x14ac:dyDescent="0.6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892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data'!$C94)*('Kulstofoptag, skov'!$C$2:$C$13="Kulstof I høst")*('Kulstofoptag, skov'!$D$1:$I$1=VALUE(RIGHT('Processer - data'!$D94,2))))*H91/SUMIFS(Hugst!$J$4:$J$15,Hugst!$A$4:$A$15,'Processer - data'!$C94,Hugst!$B$4:$B$15,'Processer - data'!$F91)/(H91/SUMIFS(Hugst!$J$4:$J$15,Hugst!$A$4:$A$15,'Processer - data'!$C94,Hugst!$B$4:$B$15,'Processer - data'!$F91)+H92/SUMIFS(Hugst!$J$4:$J$15,Hugst!$A$4:$A$15,'Processer - data'!$C94,Hugst!$B$4:$B$15,'Processer - data'!$F92)),0)</f>
        <v>-1.725490196078431</v>
      </c>
      <c r="I94" s="317" cm="1">
        <f t="array" ref="I94">IF(SUM(I91:I92)&gt;0,-SUMPRODUCT('Kulstofoptag, skov'!$D$2:$I$13*('Kulstofoptag, skov'!$B$2:$B$13='Processer - data'!$C94)*('Kulstofoptag, skov'!$C$2:$C$13="Kulstof I høst")*('Kulstofoptag, skov'!$D$1:$I$1=VALUE(RIGHT('Processer - data'!$D94,2))))*I91/SUMIFS(Hugst!$J$4:$J$15,Hugst!$A$4:$A$15,'Processer - data'!$C94,Hugst!$B$4:$B$15,'Processer - data'!$F91)/(I91/SUMIFS(Hugst!$J$4:$J$15,Hugst!$A$4:$A$15,'Processer - data'!$C94,Hugst!$B$4:$B$15,'Processer - data'!$F91)+I92/SUMIFS(Hugst!$J$4:$J$15,Hugst!$A$4:$A$15,'Processer - data'!$C94,Hugst!$B$4:$B$15,'Processer - data'!$F92)),0)</f>
        <v>-1.725490196078431</v>
      </c>
      <c r="J94" s="317" cm="1">
        <f t="array" ref="J94">IF(SUM(J91:J92)&gt;0,-SUMPRODUCT('Kulstofoptag, skov'!$D$2:$I$13*('Kulstofoptag, skov'!$B$2:$B$13='Processer - data'!$C94)*('Kulstofoptag, skov'!$C$2:$C$13="Kulstof I høst")*('Kulstofoptag, skov'!$D$1:$I$1=VALUE(RIGHT('Processer - data'!$D94,2))))*J91/SUMIFS(Hugst!$J$4:$J$15,Hugst!$A$4:$A$15,'Processer - data'!$C94,Hugst!$B$4:$B$15,'Processer - data'!$F91)/(J91/SUMIFS(Hugst!$J$4:$J$15,Hugst!$A$4:$A$15,'Processer - data'!$C94,Hugst!$B$4:$B$15,'Processer - data'!$F91)+J92/SUMIFS(Hugst!$J$4:$J$15,Hugst!$A$4:$A$15,'Processer - data'!$C94,Hugst!$B$4:$B$15,'Processer - data'!$F92)),0)</f>
        <v>-1.725490196078431</v>
      </c>
      <c r="K94" s="502"/>
    </row>
    <row r="95" spans="1:11" x14ac:dyDescent="0.55000000000000004">
      <c r="A95" s="497" t="s">
        <v>339</v>
      </c>
      <c r="B95" s="503" t="s">
        <v>45</v>
      </c>
      <c r="C95" s="503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55000000000000004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55000000000000004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55000000000000004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55000000000000004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55000000000000004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4.7" thickBot="1" x14ac:dyDescent="0.6">
      <c r="A101" s="500" t="s">
        <v>339</v>
      </c>
      <c r="B101" s="504" t="s">
        <v>45</v>
      </c>
      <c r="C101" s="504"/>
      <c r="D101" s="444" t="s">
        <v>16</v>
      </c>
      <c r="E101" s="444" t="str">
        <f>IFERROR(VLOOKUP(D101,Table2[],2,FALSE),"")</f>
        <v>Antal</v>
      </c>
      <c r="F101" s="505" t="s">
        <v>334</v>
      </c>
      <c r="G101" s="444" t="str">
        <f>IFERROR(VLOOKUP(F101,Table2[],2,FALSE),"")</f>
        <v>t CO2-ækvivalenter</v>
      </c>
      <c r="H101" s="506">
        <f>Dyrehold!$M$5</f>
        <v>0.11202449132751124</v>
      </c>
      <c r="I101" s="506">
        <f>Dyrehold!$M$5</f>
        <v>0.11202449132751124</v>
      </c>
      <c r="J101" s="506">
        <f>Dyrehold!$M$5</f>
        <v>0.11202449132751124</v>
      </c>
      <c r="K101" s="502"/>
    </row>
    <row r="102" spans="1:11" x14ac:dyDescent="0.55000000000000004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55000000000000004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55000000000000004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55000000000000004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55000000000000004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55000000000000004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4.7" thickBot="1" x14ac:dyDescent="0.6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4.7" thickTop="1" x14ac:dyDescent="0.55000000000000004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55000000000000004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55000000000000004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55000000000000004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55000000000000004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55000000000000004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55000000000000004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4.7" thickBot="1" x14ac:dyDescent="0.6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4.7" thickTop="1" x14ac:dyDescent="0.55000000000000004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55000000000000004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55000000000000004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55000000000000004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55000000000000004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55000000000000004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55000000000000004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4.7" thickBot="1" x14ac:dyDescent="0.6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4.7" thickTop="1" x14ac:dyDescent="0.55000000000000004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55000000000000004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55000000000000004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55000000000000004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55000000000000004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55000000000000004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55000000000000004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4.7" thickBot="1" x14ac:dyDescent="0.6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4.7" thickTop="1" x14ac:dyDescent="0.55000000000000004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55000000000000004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55000000000000004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55000000000000004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55000000000000004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55000000000000004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55000000000000004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4.7" thickBot="1" x14ac:dyDescent="0.6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4.7" thickTop="1" x14ac:dyDescent="0.55000000000000004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55000000000000004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55000000000000004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4.7" thickBot="1" x14ac:dyDescent="0.6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4.7" thickTop="1" x14ac:dyDescent="0.55000000000000004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55000000000000004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55000000000000004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4.7" thickBot="1" x14ac:dyDescent="0.6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4.7" thickTop="1" x14ac:dyDescent="0.55000000000000004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55000000000000004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55000000000000004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4.7" thickBot="1" x14ac:dyDescent="0.6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4.7" thickTop="1" x14ac:dyDescent="0.55000000000000004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55000000000000004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55000000000000004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4.7" thickBot="1" x14ac:dyDescent="0.6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4.7" thickTop="1" x14ac:dyDescent="0.55000000000000004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55000000000000004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55000000000000004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4.7" thickBot="1" x14ac:dyDescent="0.6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4.7" thickTop="1" x14ac:dyDescent="0.55000000000000004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55000000000000004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55000000000000004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4.7" thickBot="1" x14ac:dyDescent="0.6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4.7" thickTop="1" x14ac:dyDescent="0.55000000000000004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55000000000000004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4.7" thickBot="1" x14ac:dyDescent="0.6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4.7" thickTop="1" x14ac:dyDescent="0.55000000000000004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55000000000000004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4.7" thickBot="1" x14ac:dyDescent="0.6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4.7" thickTop="1" x14ac:dyDescent="0.55000000000000004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55000000000000004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4.7" thickBot="1" x14ac:dyDescent="0.6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4.7" thickTop="1" x14ac:dyDescent="0.55000000000000004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55000000000000004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4.7" thickBot="1" x14ac:dyDescent="0.6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4.7" thickTop="1" x14ac:dyDescent="0.55000000000000004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55000000000000004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4.7" thickBot="1" x14ac:dyDescent="0.6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4.7" thickTop="1" x14ac:dyDescent="0.55000000000000004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55000000000000004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4.7" thickBot="1" x14ac:dyDescent="0.6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4.7" thickTop="1" x14ac:dyDescent="0.55000000000000004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55000000000000004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4.7" thickBot="1" x14ac:dyDescent="0.6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4.7" thickTop="1" x14ac:dyDescent="0.55000000000000004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55000000000000004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4.7" thickBot="1" x14ac:dyDescent="0.6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4.7" thickTop="1" x14ac:dyDescent="0.55000000000000004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55000000000000004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4.7" thickBot="1" x14ac:dyDescent="0.6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4.7" thickTop="1" x14ac:dyDescent="0.55000000000000004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55000000000000004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4.7" thickBot="1" x14ac:dyDescent="0.6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4.7" thickTop="1" x14ac:dyDescent="0.55000000000000004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55000000000000004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4.7" thickBot="1" x14ac:dyDescent="0.6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4.7" thickTop="1" x14ac:dyDescent="0.55000000000000004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55000000000000004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4.7" thickBot="1" x14ac:dyDescent="0.6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4.7" thickTop="1" x14ac:dyDescent="0.55000000000000004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55000000000000004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4.7" thickBot="1" x14ac:dyDescent="0.6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4.7" thickTop="1" x14ac:dyDescent="0.55000000000000004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55000000000000004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4.7" thickBot="1" x14ac:dyDescent="0.6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4.7" thickTop="1" x14ac:dyDescent="0.55000000000000004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55000000000000004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4.7" thickBot="1" x14ac:dyDescent="0.6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4.7" thickTop="1" x14ac:dyDescent="0.55000000000000004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55000000000000004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4.7" thickBot="1" x14ac:dyDescent="0.6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4.7" thickTop="1" x14ac:dyDescent="0.55000000000000004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55000000000000004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4.7" thickBot="1" x14ac:dyDescent="0.6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4.7" thickTop="1" x14ac:dyDescent="0.55000000000000004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55000000000000004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4.7" thickBot="1" x14ac:dyDescent="0.6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4.7" thickTop="1" x14ac:dyDescent="0.55000000000000004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55000000000000004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4.7" thickBot="1" x14ac:dyDescent="0.6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4.7" thickTop="1" x14ac:dyDescent="0.55000000000000004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55000000000000004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4.7" thickBot="1" x14ac:dyDescent="0.6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4.7" thickTop="1" x14ac:dyDescent="0.55000000000000004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55000000000000004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55000000000000004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4.7" thickBot="1" x14ac:dyDescent="0.6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4.7" thickTop="1" x14ac:dyDescent="0.55000000000000004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55000000000000004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55000000000000004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4.7" thickBot="1" x14ac:dyDescent="0.6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4.7" thickTop="1" x14ac:dyDescent="0.55000000000000004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55000000000000004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55000000000000004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4.7" thickBot="1" x14ac:dyDescent="0.6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4.7" thickTop="1" x14ac:dyDescent="0.55000000000000004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55000000000000004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55000000000000004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4.7" thickBot="1" x14ac:dyDescent="0.6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4.7" thickTop="1" x14ac:dyDescent="0.55000000000000004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55000000000000004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55000000000000004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4.7" thickBot="1" x14ac:dyDescent="0.6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4.7" thickTop="1" x14ac:dyDescent="0.55000000000000004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55000000000000004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55000000000000004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4.7" thickBot="1" x14ac:dyDescent="0.6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4.7" thickTop="1" x14ac:dyDescent="0.55000000000000004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55000000000000004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4.7" thickBot="1" x14ac:dyDescent="0.6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4.7" thickTop="1" x14ac:dyDescent="0.55000000000000004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55000000000000004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4.7" thickBot="1" x14ac:dyDescent="0.6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4.7" thickTop="1" x14ac:dyDescent="0.55000000000000004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55000000000000004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4.7" thickBot="1" x14ac:dyDescent="0.6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4.7" thickTop="1" x14ac:dyDescent="0.55000000000000004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55000000000000004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4.7" thickBot="1" x14ac:dyDescent="0.6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4.7" thickTop="1" x14ac:dyDescent="0.55000000000000004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55000000000000004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4.7" thickBot="1" x14ac:dyDescent="0.6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4.7" thickTop="1" x14ac:dyDescent="0.55000000000000004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55000000000000004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4.7" thickBot="1" x14ac:dyDescent="0.6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4.7" thickTop="1" x14ac:dyDescent="0.55000000000000004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55000000000000004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4.7" thickBot="1" x14ac:dyDescent="0.6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4.7" thickTop="1" x14ac:dyDescent="0.55000000000000004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55000000000000004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4.7" thickBot="1" x14ac:dyDescent="0.6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4.7" thickTop="1" x14ac:dyDescent="0.55000000000000004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55000000000000004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4.7" thickBot="1" x14ac:dyDescent="0.6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4.7" thickTop="1" x14ac:dyDescent="0.55000000000000004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55000000000000004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4.7" thickBot="1" x14ac:dyDescent="0.6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4.7" thickTop="1" x14ac:dyDescent="0.55000000000000004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55000000000000004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4.7" thickBot="1" x14ac:dyDescent="0.6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4.7" thickTop="1" x14ac:dyDescent="0.55000000000000004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55000000000000004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4.7" thickBot="1" x14ac:dyDescent="0.6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4.7" thickTop="1" x14ac:dyDescent="0.55000000000000004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55000000000000004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4.7" thickBot="1" x14ac:dyDescent="0.6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4.7" thickTop="1" x14ac:dyDescent="0.55000000000000004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55000000000000004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4.7" thickBot="1" x14ac:dyDescent="0.6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4.7" thickTop="1" x14ac:dyDescent="0.55000000000000004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55000000000000004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4.7" thickBot="1" x14ac:dyDescent="0.6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4.7" thickTop="1" x14ac:dyDescent="0.55000000000000004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55000000000000004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4.7" thickBot="1" x14ac:dyDescent="0.6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4.7" thickTop="1" x14ac:dyDescent="0.55000000000000004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55000000000000004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4.7" thickBot="1" x14ac:dyDescent="0.6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4.7" thickTop="1" x14ac:dyDescent="0.55000000000000004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55000000000000004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4.7" thickBot="1" x14ac:dyDescent="0.6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4.7" thickTop="1" x14ac:dyDescent="0.55000000000000004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55000000000000004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4.7" thickBot="1" x14ac:dyDescent="0.6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4.7" thickTop="1" x14ac:dyDescent="0.55000000000000004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55000000000000004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4.7" thickBot="1" x14ac:dyDescent="0.6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4.7" thickTop="1" x14ac:dyDescent="0.55000000000000004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55000000000000004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4.7" thickBot="1" x14ac:dyDescent="0.6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4.7" thickTop="1" x14ac:dyDescent="0.55000000000000004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55000000000000004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4.7" thickBot="1" x14ac:dyDescent="0.6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4.7" thickTop="1" x14ac:dyDescent="0.55000000000000004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55000000000000004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4.7" thickBot="1" x14ac:dyDescent="0.6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4.7" thickTop="1" x14ac:dyDescent="0.55000000000000004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55000000000000004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4.7" thickBot="1" x14ac:dyDescent="0.6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4.7" thickTop="1" x14ac:dyDescent="0.55000000000000004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55000000000000004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55000000000000004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4.7" thickBot="1" x14ac:dyDescent="0.6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4.7" thickTop="1" x14ac:dyDescent="0.55000000000000004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55000000000000004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55000000000000004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4.7" thickBot="1" x14ac:dyDescent="0.6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4.7" thickTop="1" x14ac:dyDescent="0.55000000000000004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55000000000000004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55000000000000004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4.7" thickBot="1" x14ac:dyDescent="0.6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4.7" thickTop="1" x14ac:dyDescent="0.55000000000000004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55000000000000004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55000000000000004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4.7" thickBot="1" x14ac:dyDescent="0.6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4.7" thickTop="1" x14ac:dyDescent="0.55000000000000004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55000000000000004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55000000000000004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4.7" thickBot="1" x14ac:dyDescent="0.6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4.7" thickTop="1" x14ac:dyDescent="0.55000000000000004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55000000000000004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55000000000000004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4.7" thickBot="1" x14ac:dyDescent="0.6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4.7" thickTop="1" x14ac:dyDescent="0.55000000000000004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55000000000000004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55000000000000004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4.7" thickBot="1" x14ac:dyDescent="0.6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4.7" thickTop="1" x14ac:dyDescent="0.55000000000000004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55000000000000004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55000000000000004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4.7" thickBot="1" x14ac:dyDescent="0.6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4.7" thickTop="1" x14ac:dyDescent="0.55000000000000004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55000000000000004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55000000000000004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4.7" thickBot="1" x14ac:dyDescent="0.6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4.7" thickTop="1" x14ac:dyDescent="0.55000000000000004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55000000000000004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55000000000000004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4.7" thickBot="1" x14ac:dyDescent="0.6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4.7" thickTop="1" x14ac:dyDescent="0.55000000000000004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55000000000000004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55000000000000004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4.7" thickBot="1" x14ac:dyDescent="0.6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4.7" thickTop="1" x14ac:dyDescent="0.55000000000000004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55000000000000004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55000000000000004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4.7" thickBot="1" x14ac:dyDescent="0.6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4.7" thickTop="1" x14ac:dyDescent="0.55000000000000004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55000000000000004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4.7" thickBot="1" x14ac:dyDescent="0.6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4.7" thickTop="1" x14ac:dyDescent="0.55000000000000004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55000000000000004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4.7" thickBot="1" x14ac:dyDescent="0.6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4.7" thickTop="1" x14ac:dyDescent="0.55000000000000004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55000000000000004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4.7" thickBot="1" x14ac:dyDescent="0.6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4.7" thickTop="1" x14ac:dyDescent="0.55000000000000004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55000000000000004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4.7" thickBot="1" x14ac:dyDescent="0.6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4.7" thickTop="1" x14ac:dyDescent="0.55000000000000004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55000000000000004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4.7" thickBot="1" x14ac:dyDescent="0.6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4.7" thickTop="1" x14ac:dyDescent="0.55000000000000004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55000000000000004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4.7" thickBot="1" x14ac:dyDescent="0.6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4.7" thickTop="1" x14ac:dyDescent="0.55000000000000004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55000000000000004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4.7" thickBot="1" x14ac:dyDescent="0.6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4.7" thickTop="1" x14ac:dyDescent="0.55000000000000004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55000000000000004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4.7" thickBot="1" x14ac:dyDescent="0.6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4.7" thickTop="1" x14ac:dyDescent="0.55000000000000004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55000000000000004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4.7" thickBot="1" x14ac:dyDescent="0.6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4.7" thickTop="1" x14ac:dyDescent="0.55000000000000004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55000000000000004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4.7" thickBot="1" x14ac:dyDescent="0.6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4.7" thickTop="1" x14ac:dyDescent="0.55000000000000004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55000000000000004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4.7" thickBot="1" x14ac:dyDescent="0.6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4.7" thickTop="1" x14ac:dyDescent="0.55000000000000004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55000000000000004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4.7" thickBot="1" x14ac:dyDescent="0.6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4.7" thickTop="1" x14ac:dyDescent="0.55000000000000004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55000000000000004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4.7" thickBot="1" x14ac:dyDescent="0.6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4.7" thickTop="1" x14ac:dyDescent="0.55000000000000004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55000000000000004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4.7" thickBot="1" x14ac:dyDescent="0.6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4.7" thickTop="1" x14ac:dyDescent="0.55000000000000004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55000000000000004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4.7" thickBot="1" x14ac:dyDescent="0.6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4.7" thickTop="1" x14ac:dyDescent="0.55000000000000004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55000000000000004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4.7" thickBot="1" x14ac:dyDescent="0.6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4.7" thickTop="1" x14ac:dyDescent="0.55000000000000004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55000000000000004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4.7" thickBot="1" x14ac:dyDescent="0.6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4.7" thickTop="1" x14ac:dyDescent="0.55000000000000004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55000000000000004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4.7" thickBot="1" x14ac:dyDescent="0.6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4.7" thickTop="1" x14ac:dyDescent="0.55000000000000004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Ton</v>
      </c>
      <c r="F423" s="146" t="s">
        <v>298</v>
      </c>
      <c r="G423" s="146" t="str">
        <f>IFERROR(VLOOKUP(F423,Table2[],2,FALSE),"")</f>
        <v>Ton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55000000000000004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Ton</v>
      </c>
      <c r="F424" s="150" t="s">
        <v>395</v>
      </c>
      <c r="G424" s="146" t="str">
        <f>IFERROR(VLOOKUP(F424,Table2[],2,FALSE),"")</f>
        <v>Ton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4.7" thickBot="1" x14ac:dyDescent="0.6">
      <c r="A425" s="187" t="s">
        <v>33</v>
      </c>
      <c r="B425" s="181"/>
      <c r="C425" s="181"/>
      <c r="D425" s="441" t="s">
        <v>892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4.7" thickTop="1" x14ac:dyDescent="0.55000000000000004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751</v>
      </c>
    </row>
    <row r="427" spans="1:14" x14ac:dyDescent="0.55000000000000004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55000000000000004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815</v>
      </c>
    </row>
    <row r="429" spans="1:14" ht="14.7" thickBot="1" x14ac:dyDescent="0.6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751</v>
      </c>
    </row>
    <row r="430" spans="1:14" ht="14.7" thickTop="1" x14ac:dyDescent="0.55000000000000004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55000000000000004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55000000000000004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812</v>
      </c>
      <c r="N432">
        <v>1.1855</v>
      </c>
    </row>
    <row r="433" spans="1:11" x14ac:dyDescent="0.55000000000000004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55000000000000004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55000000000000004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55000000000000004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55000000000000004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55000000000000004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4.7" thickBot="1" x14ac:dyDescent="0.6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4.7" thickTop="1" x14ac:dyDescent="0.55000000000000004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55000000000000004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55000000000000004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55000000000000004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55000000000000004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55000000000000004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55000000000000004">
      <c r="A446" s="187" t="s">
        <v>405</v>
      </c>
      <c r="B446" s="181"/>
      <c r="C446" s="181"/>
      <c r="D446" s="146" t="s">
        <v>709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55000000000000004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55000000000000004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55000000000000004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55000000000000004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55000000000000004">
      <c r="A451" s="187" t="s">
        <v>405</v>
      </c>
      <c r="B451" s="181"/>
      <c r="C451" s="181"/>
      <c r="D451" s="146" t="s">
        <v>646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55000000000000004">
      <c r="A452" s="187" t="s">
        <v>405</v>
      </c>
      <c r="B452" s="181"/>
      <c r="C452" s="181"/>
      <c r="D452" s="146" t="s">
        <v>644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198</v>
      </c>
      <c r="I452" s="201">
        <f>VLOOKUP('Processer - data'!$D452,Foder!$A$2:$C$16,3,FALSE)</f>
        <v>198</v>
      </c>
      <c r="J452" s="201">
        <f>VLOOKUP('Processer - data'!$D452,Foder!$A$2:$C$16,3,FALSE)</f>
        <v>198</v>
      </c>
      <c r="K452" s="147"/>
    </row>
    <row r="453" spans="1:15" x14ac:dyDescent="0.55000000000000004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4.7" thickBot="1" x14ac:dyDescent="0.6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4.7" thickTop="1" x14ac:dyDescent="0.55000000000000004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55000000000000004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55000000000000004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55000000000000004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55000000000000004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55000000000000004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55000000000000004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55000000000000004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55000000000000004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55000000000000004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55000000000000004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55000000000000004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55000000000000004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55000000000000004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55000000000000004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55000000000000004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55000000000000004">
      <c r="A471" s="187" t="s">
        <v>36</v>
      </c>
      <c r="B471" s="181"/>
      <c r="C471" s="181"/>
      <c r="D471" s="146" t="s">
        <v>650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55000000000000004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55000000000000004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4.7" thickBot="1" x14ac:dyDescent="0.6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4.7" thickTop="1" x14ac:dyDescent="0.55000000000000004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55000000000000004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55000000000000004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55000000000000004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55000000000000004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4.7" thickBot="1" x14ac:dyDescent="0.6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4.7" thickTop="1" x14ac:dyDescent="0.55000000000000004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55000000000000004">
      <c r="A482" s="187" t="s">
        <v>398</v>
      </c>
      <c r="B482" s="181"/>
      <c r="C482" s="181"/>
      <c r="D482" s="150" t="s">
        <v>710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55000000000000004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55000000000000004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Ton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4.3511870809379823E-5</v>
      </c>
      <c r="I484" s="146">
        <f>VLOOKUP($D484,Energiindhold!$A$2:$C$10,3,FALSE)</f>
        <v>4.3511870809379823E-5</v>
      </c>
      <c r="J484" s="146">
        <f>VLOOKUP($D484,Energiindhold!$A$2:$C$10,3,FALSE)</f>
        <v>4.3511870809379823E-5</v>
      </c>
      <c r="K484" s="147"/>
    </row>
    <row r="485" spans="1:11" x14ac:dyDescent="0.55000000000000004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55000000000000004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55000000000000004">
      <c r="A487" s="187" t="s">
        <v>398</v>
      </c>
      <c r="B487" s="181"/>
      <c r="C487" s="181"/>
      <c r="D487" s="150" t="s">
        <v>879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55000000000000004">
      <c r="A488" s="187" t="s">
        <v>398</v>
      </c>
      <c r="B488" s="181"/>
      <c r="C488" s="181"/>
      <c r="D488" s="150" t="s">
        <v>867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4.7" thickBot="1" x14ac:dyDescent="0.6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4.7" thickTop="1" x14ac:dyDescent="0.55000000000000004">
      <c r="A490" s="186" t="s">
        <v>645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644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55000000000000004">
      <c r="A491" s="187" t="s">
        <v>645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646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4.7" thickBot="1" x14ac:dyDescent="0.6">
      <c r="A492" s="188" t="s">
        <v>645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650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4.7" thickTop="1" x14ac:dyDescent="0.55000000000000004">
      <c r="A493" s="186" t="s">
        <v>711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709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500" si="16">I493</f>
        <v>0.5</v>
      </c>
      <c r="K493" s="145"/>
    </row>
    <row r="494" spans="1:11" ht="14.7" thickBot="1" x14ac:dyDescent="0.6">
      <c r="A494" s="188" t="s">
        <v>711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710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4.7" thickTop="1" x14ac:dyDescent="0.55000000000000004">
      <c r="A495" s="186" t="s">
        <v>865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55000000000000004">
      <c r="A496" s="187" t="s">
        <v>865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879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4.7" thickBot="1" x14ac:dyDescent="0.6">
      <c r="A497" s="188" t="s">
        <v>865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867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4.7" thickTop="1" x14ac:dyDescent="0.55000000000000004">
      <c r="A498" s="186" t="s">
        <v>865</v>
      </c>
      <c r="B498" s="180"/>
      <c r="C498" s="180"/>
      <c r="D498" s="441" t="s">
        <v>395</v>
      </c>
      <c r="E498" s="144" t="str">
        <f>IFERROR(VLOOKUP(D498,Table2[],2,FALSE),"")</f>
        <v>Ton</v>
      </c>
      <c r="F498" s="144" t="s">
        <v>334</v>
      </c>
      <c r="G498" s="144" t="str">
        <f>IFERROR(VLOOKUP(F498,Table2[],2,FALSE),"")</f>
        <v>t CO2-ækvivalenter</v>
      </c>
      <c r="H498" s="176">
        <f>'Procesdata (baggrund)'!B15*'Procesdata (baggrund)'!$B$18</f>
        <v>-0.19579999999999997</v>
      </c>
      <c r="I498" s="176">
        <f>H498</f>
        <v>-0.19579999999999997</v>
      </c>
      <c r="J498" s="176">
        <f t="shared" si="16"/>
        <v>-0.19579999999999997</v>
      </c>
      <c r="K498" s="145"/>
    </row>
    <row r="499" spans="1:11" x14ac:dyDescent="0.55000000000000004">
      <c r="A499" s="187" t="s">
        <v>865</v>
      </c>
      <c r="B499" s="181"/>
      <c r="C499" s="181"/>
      <c r="D499" s="441" t="s">
        <v>395</v>
      </c>
      <c r="E499" s="441" t="str">
        <f>IFERROR(VLOOKUP(D499,Table2[],2,FALSE),"")</f>
        <v>Ton</v>
      </c>
      <c r="F499" s="150" t="s">
        <v>879</v>
      </c>
      <c r="G499" s="441" t="str">
        <f>IFERROR(VLOOKUP(F499,Table2[],2,FALSE),"")</f>
        <v>Ton</v>
      </c>
      <c r="H499" s="168">
        <f>'Procesdata (baggrund)'!B16*'Procesdata (baggrund)'!$B$18</f>
        <v>4.2000000000000003E-2</v>
      </c>
      <c r="I499" s="168">
        <f>H499</f>
        <v>4.2000000000000003E-2</v>
      </c>
      <c r="J499" s="168">
        <f t="shared" si="16"/>
        <v>4.2000000000000003E-2</v>
      </c>
      <c r="K499" s="147"/>
    </row>
    <row r="500" spans="1:11" ht="14.7" thickBot="1" x14ac:dyDescent="0.6">
      <c r="A500" s="188" t="s">
        <v>865</v>
      </c>
      <c r="B500" s="182"/>
      <c r="C500" s="182"/>
      <c r="D500" s="441" t="s">
        <v>395</v>
      </c>
      <c r="E500" s="148" t="str">
        <f>IFERROR(VLOOKUP(D500,Table2[],2,FALSE),"")</f>
        <v>Ton</v>
      </c>
      <c r="F500" s="148" t="s">
        <v>867</v>
      </c>
      <c r="G500" s="148" t="str">
        <f>IFERROR(VLOOKUP(F500,Table2[],2,FALSE),"")</f>
        <v>Ton</v>
      </c>
      <c r="H500" s="177">
        <f>'Procesdata (baggrund)'!B17*'Procesdata (baggrund)'!$B$18</f>
        <v>0.16800000000000001</v>
      </c>
      <c r="I500" s="177">
        <f>H500</f>
        <v>0.16800000000000001</v>
      </c>
      <c r="J500" s="177">
        <f t="shared" si="16"/>
        <v>0.16800000000000001</v>
      </c>
      <c r="K500" s="149"/>
    </row>
    <row r="501" spans="1:11" ht="14.7" thickTop="1" x14ac:dyDescent="0.55000000000000004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F3:F500 D3:D500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79" workbookViewId="0">
      <selection activeCell="F100" sqref="F100"/>
    </sheetView>
  </sheetViews>
  <sheetFormatPr defaultRowHeight="14.4" x14ac:dyDescent="0.55000000000000004"/>
  <cols>
    <col min="1" max="2" width="30.41796875" customWidth="1"/>
    <col min="5" max="5" width="26.15625" customWidth="1"/>
    <col min="10" max="10" width="18.41796875" customWidth="1"/>
  </cols>
  <sheetData>
    <row r="1" spans="1:8" x14ac:dyDescent="0.55000000000000004">
      <c r="A1" t="s">
        <v>328</v>
      </c>
      <c r="B1" t="s">
        <v>777</v>
      </c>
      <c r="E1" s="146" t="s">
        <v>776</v>
      </c>
      <c r="F1" t="s">
        <v>305</v>
      </c>
      <c r="G1" t="s">
        <v>392</v>
      </c>
      <c r="H1" t="s">
        <v>416</v>
      </c>
    </row>
    <row r="2" spans="1:8" x14ac:dyDescent="0.55000000000000004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55000000000000004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55000000000000004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55000000000000004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55000000000000004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55000000000000004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55000000000000004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55000000000000004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55000000000000004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55000000000000004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55000000000000004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55000000000000004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55000000000000004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55000000000000004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55000000000000004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55000000000000004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55000000000000004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55000000000000004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55000000000000004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55000000000000004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55000000000000004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55000000000000004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55000000000000004">
      <c r="A24" s="172" t="s">
        <v>645</v>
      </c>
      <c r="B24" s="172" t="s">
        <v>658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55000000000000004">
      <c r="A25" s="172" t="s">
        <v>865</v>
      </c>
      <c r="B25" s="172" t="s">
        <v>866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55000000000000004">
      <c r="A26" s="172" t="s">
        <v>711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55000000000000004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55000000000000004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55000000000000004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55000000000000004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55000000000000004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55000000000000004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55000000000000004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55000000000000004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55000000000000004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55000000000000004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55000000000000004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55000000000000004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55000000000000004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55000000000000004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55000000000000004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55000000000000004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55000000000000004">
      <c r="E43" t="s">
        <v>650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55000000000000004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55000000000000004">
      <c r="E45" s="456" t="s">
        <v>892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55000000000000004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55000000000000004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55000000000000004">
      <c r="E48" t="s">
        <v>646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55000000000000004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55000000000000004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55000000000000004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55000000000000004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55000000000000004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55000000000000004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55000000000000004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55000000000000004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55000000000000004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55000000000000004">
      <c r="E58" s="456" t="s">
        <v>644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55000000000000004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55000000000000004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55000000000000004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55000000000000004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55000000000000004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55000000000000004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55000000000000004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55000000000000004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55000000000000004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55000000000000004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55000000000000004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55000000000000004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55000000000000004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55000000000000004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55000000000000004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55000000000000004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55000000000000004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55000000000000004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55000000000000004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55000000000000004">
      <c r="E78" s="456" t="s">
        <v>867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55000000000000004">
      <c r="E79" s="456" t="s">
        <v>879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55000000000000004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55000000000000004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55000000000000004">
      <c r="E82" s="456" t="s">
        <v>709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55000000000000004">
      <c r="E83" s="456" t="s">
        <v>710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55000000000000004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55000000000000004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55000000000000004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55000000000000004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55000000000000004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55000000000000004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55000000000000004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55000000000000004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55000000000000004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55000000000000004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55000000000000004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55000000000000004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55000000000000004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55000000000000004">
      <c r="E97" s="456" t="s">
        <v>395</v>
      </c>
      <c r="F97" t="s">
        <v>307</v>
      </c>
      <c r="H97" s="456" t="b">
        <f>IF(COUNTIF('Processer - data'!$D:$F,Table2[[#This Row],[Råvare]])&gt;0,TRUE,FALSE)</f>
        <v>1</v>
      </c>
    </row>
    <row r="98" spans="5:8" x14ac:dyDescent="0.55000000000000004">
      <c r="E98" s="441" t="s">
        <v>543</v>
      </c>
      <c r="F98" t="s">
        <v>307</v>
      </c>
      <c r="H98" s="456" t="b">
        <f>IF(COUNTIF('Processer - data'!$D:$F,Table2[[#This Row],[Råvare]])&gt;0,TRUE,FALSE)</f>
        <v>1</v>
      </c>
    </row>
    <row r="99" spans="5:8" x14ac:dyDescent="0.55000000000000004">
      <c r="E99" s="441" t="s">
        <v>298</v>
      </c>
      <c r="F99" t="s">
        <v>307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topLeftCell="A9" workbookViewId="0">
      <selection activeCell="B18" sqref="B18"/>
    </sheetView>
  </sheetViews>
  <sheetFormatPr defaultColWidth="9.15625" defaultRowHeight="14.4" x14ac:dyDescent="0.55000000000000004"/>
  <cols>
    <col min="1" max="1" width="20.83984375" style="1" customWidth="1"/>
    <col min="2" max="2" width="9.68359375" style="1" bestFit="1" customWidth="1"/>
    <col min="3" max="3" width="9.15625" style="1"/>
    <col min="4" max="4" width="11.68359375" style="1" bestFit="1" customWidth="1"/>
    <col min="5" max="5" width="10.578125" style="1" bestFit="1" customWidth="1"/>
    <col min="6" max="8" width="9.15625" style="1"/>
    <col min="9" max="9" width="12" style="1" bestFit="1" customWidth="1"/>
    <col min="10" max="16384" width="9.15625" style="1"/>
  </cols>
  <sheetData>
    <row r="1" spans="1:9" x14ac:dyDescent="0.55000000000000004">
      <c r="A1" s="2" t="s">
        <v>655</v>
      </c>
    </row>
    <row r="2" spans="1:9" x14ac:dyDescent="0.55000000000000004">
      <c r="A2" s="8"/>
      <c r="B2" s="8"/>
      <c r="C2" s="8" t="s">
        <v>491</v>
      </c>
      <c r="D2" s="8" t="s">
        <v>651</v>
      </c>
      <c r="E2" s="8" t="s">
        <v>653</v>
      </c>
      <c r="F2" s="8" t="s">
        <v>652</v>
      </c>
      <c r="G2" s="8" t="s">
        <v>654</v>
      </c>
      <c r="H2" s="1" t="s">
        <v>657</v>
      </c>
      <c r="I2" s="1" t="s">
        <v>802</v>
      </c>
    </row>
    <row r="3" spans="1:9" x14ac:dyDescent="0.55000000000000004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55000000000000004">
      <c r="A4" s="8" t="s">
        <v>649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55000000000000004">
      <c r="A5" s="8" t="s">
        <v>650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55000000000000004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55000000000000004">
      <c r="A7" s="1" t="s">
        <v>67</v>
      </c>
      <c r="B7" s="1" t="s">
        <v>656</v>
      </c>
    </row>
    <row r="9" spans="1:9" x14ac:dyDescent="0.55000000000000004">
      <c r="A9" s="2" t="s">
        <v>768</v>
      </c>
    </row>
    <row r="10" spans="1:9" x14ac:dyDescent="0.55000000000000004">
      <c r="A10" s="8" t="s">
        <v>750</v>
      </c>
      <c r="B10" s="8">
        <f>B11/B12</f>
        <v>0.30562345796166263</v>
      </c>
    </row>
    <row r="11" spans="1:9" x14ac:dyDescent="0.55000000000000004">
      <c r="A11" s="8" t="s">
        <v>752</v>
      </c>
      <c r="B11" s="8">
        <f>(1582.7+27.63)*1000000</f>
        <v>1610330000.0000002</v>
      </c>
    </row>
    <row r="12" spans="1:9" x14ac:dyDescent="0.55000000000000004">
      <c r="A12" s="8" t="s">
        <v>769</v>
      </c>
      <c r="B12" s="8">
        <f>4786000000+483000000</f>
        <v>5269000000</v>
      </c>
    </row>
    <row r="14" spans="1:9" x14ac:dyDescent="0.55000000000000004">
      <c r="A14" s="2" t="s">
        <v>865</v>
      </c>
    </row>
    <row r="15" spans="1:9" x14ac:dyDescent="0.55000000000000004">
      <c r="A15" s="478" t="s">
        <v>868</v>
      </c>
      <c r="B15" s="478">
        <f>H22</f>
        <v>-0.65266666666666662</v>
      </c>
      <c r="C15" s="478" t="s">
        <v>877</v>
      </c>
    </row>
    <row r="16" spans="1:9" x14ac:dyDescent="0.55000000000000004">
      <c r="A16" s="478" t="s">
        <v>879</v>
      </c>
      <c r="B16" s="478">
        <f>B23/1000</f>
        <v>0.14000000000000001</v>
      </c>
      <c r="C16" s="478" t="s">
        <v>878</v>
      </c>
    </row>
    <row r="17" spans="1:12" x14ac:dyDescent="0.55000000000000004">
      <c r="A17" s="478" t="s">
        <v>867</v>
      </c>
      <c r="B17" s="478">
        <f>B24/1000</f>
        <v>0.56000000000000005</v>
      </c>
      <c r="C17" s="478" t="s">
        <v>878</v>
      </c>
    </row>
    <row r="18" spans="1:12" x14ac:dyDescent="0.55000000000000004">
      <c r="A18" s="1" t="s">
        <v>894</v>
      </c>
      <c r="B18" s="1">
        <v>0.3</v>
      </c>
      <c r="C18" s="1" t="s">
        <v>895</v>
      </c>
    </row>
    <row r="19" spans="1:12" ht="14.7" thickBot="1" x14ac:dyDescent="0.6">
      <c r="A19" s="456" t="s">
        <v>869</v>
      </c>
      <c r="B19" s="456"/>
      <c r="C19" s="456"/>
      <c r="D19" s="456"/>
      <c r="E19" s="456"/>
      <c r="F19" s="456"/>
      <c r="G19" s="456"/>
      <c r="H19" s="456" t="s">
        <v>882</v>
      </c>
      <c r="I19" s="456"/>
      <c r="J19" s="456"/>
      <c r="K19" s="456"/>
      <c r="L19" s="456"/>
    </row>
    <row r="20" spans="1:12" ht="14.7" thickBot="1" x14ac:dyDescent="0.6">
      <c r="A20" s="469"/>
      <c r="B20" s="469" t="s">
        <v>870</v>
      </c>
      <c r="C20" s="470"/>
      <c r="D20" s="469" t="s">
        <v>400</v>
      </c>
      <c r="E20" s="470"/>
      <c r="F20" s="159" t="s">
        <v>871</v>
      </c>
      <c r="G20" s="159"/>
      <c r="H20" s="480" t="s">
        <v>872</v>
      </c>
      <c r="I20" s="480" t="s">
        <v>803</v>
      </c>
      <c r="J20" s="480"/>
      <c r="K20" s="479" t="s">
        <v>873</v>
      </c>
      <c r="L20" s="479" t="s">
        <v>874</v>
      </c>
    </row>
    <row r="21" spans="1:12" x14ac:dyDescent="0.55000000000000004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875</v>
      </c>
      <c r="L21" s="479">
        <v>12</v>
      </c>
    </row>
    <row r="22" spans="1:12" x14ac:dyDescent="0.55000000000000004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876</v>
      </c>
      <c r="L22" s="479">
        <v>16</v>
      </c>
    </row>
    <row r="23" spans="1:12" x14ac:dyDescent="0.55000000000000004">
      <c r="A23" s="471" t="s">
        <v>879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55000000000000004">
      <c r="A24" s="471" t="s">
        <v>867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55000000000000004">
      <c r="A25" s="1" t="s">
        <v>881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opLeftCell="A15" workbookViewId="0">
      <selection activeCell="B28" sqref="B28"/>
    </sheetView>
  </sheetViews>
  <sheetFormatPr defaultColWidth="9.15625" defaultRowHeight="14.4" x14ac:dyDescent="0.55000000000000004"/>
  <cols>
    <col min="1" max="1" width="29.41796875" style="47" customWidth="1"/>
    <col min="2" max="2" width="27.83984375" style="47" customWidth="1"/>
    <col min="3" max="3" width="50.26171875" style="47" customWidth="1"/>
    <col min="4" max="4" width="21.26171875" style="47" customWidth="1"/>
    <col min="5" max="5" width="13" style="47" customWidth="1"/>
    <col min="6" max="6" width="15.26171875" style="47" customWidth="1"/>
    <col min="7" max="8" width="8.83984375" style="47" customWidth="1"/>
    <col min="9" max="9" width="13.41796875" style="47" customWidth="1"/>
    <col min="10" max="10" width="17.15625" style="47" customWidth="1"/>
    <col min="11" max="16384" width="9.15625" style="47"/>
  </cols>
  <sheetData>
    <row r="1" spans="1:5" ht="18.3" x14ac:dyDescent="0.7">
      <c r="A1" s="414" t="s">
        <v>778</v>
      </c>
    </row>
    <row r="2" spans="1:5" x14ac:dyDescent="0.55000000000000004">
      <c r="A2" s="41"/>
      <c r="B2" s="41" t="s">
        <v>51</v>
      </c>
      <c r="C2" s="41" t="s">
        <v>52</v>
      </c>
    </row>
    <row r="3" spans="1:5" x14ac:dyDescent="0.55000000000000004">
      <c r="A3" s="41" t="s">
        <v>779</v>
      </c>
      <c r="B3" s="410">
        <f>D23/C23</f>
        <v>0.77115679138975135</v>
      </c>
      <c r="C3" s="410">
        <f>E23/C23</f>
        <v>0.22884320861024854</v>
      </c>
    </row>
    <row r="6" spans="1:5" x14ac:dyDescent="0.55000000000000004">
      <c r="A6" s="72"/>
      <c r="B6" s="5" t="s">
        <v>51</v>
      </c>
      <c r="C6" s="5" t="s">
        <v>52</v>
      </c>
      <c r="D6" s="71"/>
      <c r="E6" s="71"/>
    </row>
    <row r="7" spans="1:5" x14ac:dyDescent="0.55000000000000004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55000000000000004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55000000000000004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55000000000000004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4.7" thickBot="1" x14ac:dyDescent="0.6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55000000000000004">
      <c r="A12" s="72"/>
      <c r="B12" s="71"/>
      <c r="C12" s="71"/>
      <c r="D12" s="71"/>
      <c r="E12" s="71"/>
    </row>
    <row r="13" spans="1:5" x14ac:dyDescent="0.55000000000000004">
      <c r="A13" s="1"/>
      <c r="B13" s="1"/>
      <c r="C13" s="1"/>
      <c r="D13" s="1"/>
      <c r="E13" s="1"/>
    </row>
    <row r="14" spans="1:5" x14ac:dyDescent="0.55000000000000004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55000000000000004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55000000000000004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55000000000000004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55000000000000004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55000000000000004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55000000000000004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55000000000000004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55000000000000004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55000000000000004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4.7" thickBot="1" x14ac:dyDescent="0.6"/>
    <row r="25" spans="1:12" s="64" customFormat="1" ht="16.8" x14ac:dyDescent="0.65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55000000000000004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55000000000000004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55000000000000004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55000000000000004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55000000000000004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55000000000000004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55000000000000004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55000000000000004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55000000000000004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55000000000000004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55000000000000004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55000000000000004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55000000000000004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55000000000000004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55000000000000004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55000000000000004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55000000000000004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55000000000000004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55000000000000004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55000000000000004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55000000000000004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55000000000000004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55000000000000004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55000000000000004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55000000000000004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55000000000000004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4.7" thickBot="1" x14ac:dyDescent="0.6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55000000000000004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3" sqref="C3"/>
    </sheetView>
  </sheetViews>
  <sheetFormatPr defaultColWidth="8.83984375" defaultRowHeight="14.4" x14ac:dyDescent="0.55000000000000004"/>
  <cols>
    <col min="1" max="1" width="17.578125" style="1" bestFit="1" customWidth="1"/>
    <col min="2" max="2" width="11.68359375" style="1" customWidth="1"/>
    <col min="3" max="3" width="19.83984375" style="1" bestFit="1" customWidth="1"/>
    <col min="4" max="4" width="22.15625" style="1" bestFit="1" customWidth="1"/>
    <col min="5" max="5" width="17.15625" style="1" customWidth="1"/>
    <col min="6" max="6" width="9.41796875" style="1" customWidth="1"/>
    <col min="7" max="7" width="8.578125" style="1" customWidth="1"/>
    <col min="8" max="16384" width="8.83984375" style="1"/>
  </cols>
  <sheetData>
    <row r="1" spans="1:7" x14ac:dyDescent="0.55000000000000004">
      <c r="A1" s="11"/>
      <c r="B1" s="12"/>
      <c r="C1" s="12"/>
      <c r="D1" s="12"/>
      <c r="E1" s="12"/>
      <c r="F1" s="13"/>
      <c r="G1" s="14"/>
    </row>
    <row r="2" spans="1:7" x14ac:dyDescent="0.55000000000000004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55000000000000004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55000000000000004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55000000000000004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55000000000000004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4.7" thickBot="1" x14ac:dyDescent="0.6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55000000000000004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55000000000000004">
      <c r="A9" s="31"/>
      <c r="B9" s="32"/>
      <c r="C9" s="32"/>
      <c r="D9" s="33"/>
      <c r="E9" s="34"/>
      <c r="F9" s="34"/>
      <c r="G9" s="35"/>
    </row>
    <row r="10" spans="1:7" x14ac:dyDescent="0.55000000000000004">
      <c r="A10" s="36"/>
      <c r="B10" s="520" t="s">
        <v>58</v>
      </c>
      <c r="C10" s="520"/>
      <c r="D10" s="520"/>
      <c r="E10" s="520"/>
      <c r="F10" s="520"/>
      <c r="G10" s="521"/>
    </row>
    <row r="11" spans="1:7" x14ac:dyDescent="0.55000000000000004">
      <c r="A11" s="37"/>
      <c r="B11" s="520" t="s">
        <v>65</v>
      </c>
      <c r="C11" s="520"/>
      <c r="D11" s="520"/>
      <c r="E11" s="520"/>
      <c r="F11" s="520"/>
      <c r="G11" s="521"/>
    </row>
    <row r="12" spans="1:7" ht="28.5" customHeight="1" x14ac:dyDescent="0.55000000000000004">
      <c r="A12" s="38"/>
      <c r="B12" s="522" t="s">
        <v>59</v>
      </c>
      <c r="C12" s="522"/>
      <c r="D12" s="522"/>
      <c r="E12" s="522"/>
      <c r="F12" s="522"/>
      <c r="G12" s="523"/>
    </row>
    <row r="13" spans="1:7" x14ac:dyDescent="0.55000000000000004">
      <c r="A13" s="40"/>
      <c r="G13" s="17"/>
    </row>
    <row r="14" spans="1:7" x14ac:dyDescent="0.55000000000000004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55000000000000004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55000000000000004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55000000000000004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4.7" thickBot="1" x14ac:dyDescent="0.6">
      <c r="A18" s="43"/>
      <c r="B18" s="44"/>
      <c r="C18" s="44"/>
      <c r="D18" s="44"/>
      <c r="E18" s="44"/>
      <c r="F18" s="44"/>
      <c r="G18" s="45"/>
    </row>
    <row r="21" spans="1:10" ht="14.7" thickBot="1" x14ac:dyDescent="0.6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55000000000000004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5.6" thickBot="1" x14ac:dyDescent="0.6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0.399999999999999" x14ac:dyDescent="0.55000000000000004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55000000000000004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55000000000000004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55000000000000004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4.7" thickBot="1" x14ac:dyDescent="0.6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4.7" thickBot="1" x14ac:dyDescent="0.6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.6" x14ac:dyDescent="0.55000000000000004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55000000000000004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55000000000000004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55000000000000004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4.7" thickBot="1" x14ac:dyDescent="0.6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4.7" thickBot="1" x14ac:dyDescent="0.6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.6" x14ac:dyDescent="0.55000000000000004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55000000000000004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55000000000000004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55000000000000004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4.7" thickBot="1" x14ac:dyDescent="0.6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4.7" thickBot="1" x14ac:dyDescent="0.6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55000000000000004">
      <c r="A42" s="516" t="s">
        <v>112</v>
      </c>
      <c r="B42" s="86" t="s">
        <v>111</v>
      </c>
      <c r="C42" s="518">
        <v>1.6</v>
      </c>
      <c r="D42" s="518">
        <v>1</v>
      </c>
      <c r="E42" s="518">
        <v>0.3</v>
      </c>
      <c r="F42" s="518">
        <v>0.3</v>
      </c>
      <c r="G42" s="518">
        <v>0</v>
      </c>
      <c r="H42" s="524">
        <v>5.9</v>
      </c>
      <c r="I42" s="526">
        <v>0</v>
      </c>
      <c r="J42" s="514">
        <v>12.2</v>
      </c>
    </row>
    <row r="43" spans="1:10" x14ac:dyDescent="0.55000000000000004">
      <c r="A43" s="517"/>
      <c r="B43" s="84">
        <v>3.2</v>
      </c>
      <c r="C43" s="519"/>
      <c r="D43" s="519"/>
      <c r="E43" s="519"/>
      <c r="F43" s="519"/>
      <c r="G43" s="519"/>
      <c r="H43" s="525"/>
      <c r="I43" s="527"/>
      <c r="J43" s="515"/>
    </row>
    <row r="44" spans="1:10" x14ac:dyDescent="0.55000000000000004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55000000000000004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55000000000000004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4.7" thickBot="1" x14ac:dyDescent="0.6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4.7" thickBot="1" x14ac:dyDescent="0.6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.6" x14ac:dyDescent="0.55000000000000004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55000000000000004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55000000000000004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55000000000000004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4.7" thickBot="1" x14ac:dyDescent="0.6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4.7" thickBot="1" x14ac:dyDescent="0.6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.6" x14ac:dyDescent="0.55000000000000004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55000000000000004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55000000000000004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55000000000000004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4.7" thickBot="1" x14ac:dyDescent="0.6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4.7" thickBot="1" x14ac:dyDescent="0.6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20.399999999999999" x14ac:dyDescent="0.55000000000000004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55000000000000004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55000000000000004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55000000000000004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4.7" thickBot="1" x14ac:dyDescent="0.6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4.7" thickBot="1" x14ac:dyDescent="0.6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.399999999999999" x14ac:dyDescent="0.55000000000000004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55000000000000004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55000000000000004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55000000000000004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5.6" thickBot="1" x14ac:dyDescent="0.6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4.7" thickBot="1" x14ac:dyDescent="0.6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3984375" defaultRowHeight="14.4" x14ac:dyDescent="0.55000000000000004"/>
  <cols>
    <col min="1" max="1" width="10.15625" style="73" customWidth="1"/>
    <col min="2" max="2" width="19.578125" style="73" customWidth="1"/>
    <col min="3" max="3" width="25.68359375" style="73" customWidth="1"/>
    <col min="4" max="4" width="21.26171875" style="73" customWidth="1"/>
    <col min="5" max="5" width="13.26171875" style="73" customWidth="1"/>
    <col min="6" max="6" width="21.26171875" style="73" customWidth="1"/>
    <col min="7" max="7" width="17.26171875" style="73" customWidth="1"/>
    <col min="8" max="8" width="20.41796875" style="73" customWidth="1"/>
    <col min="9" max="9" width="19.83984375" style="73" customWidth="1"/>
    <col min="10" max="10" width="20" style="73" customWidth="1"/>
    <col min="11" max="16384" width="8.83984375" style="73"/>
  </cols>
  <sheetData>
    <row r="1" spans="1:9" x14ac:dyDescent="0.55000000000000004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55000000000000004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55000000000000004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55000000000000004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55000000000000004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55000000000000004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55000000000000004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55000000000000004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55000000000000004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55000000000000004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55000000000000004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55000000000000004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55000000000000004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55000000000000004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55000000000000004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55000000000000004">
      <c r="B16" s="73" t="s">
        <v>47</v>
      </c>
      <c r="D16" s="73">
        <f>SUM(D2:D15)</f>
        <v>2639353</v>
      </c>
    </row>
    <row r="17" spans="1:16" ht="16.8" x14ac:dyDescent="0.65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55000000000000004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55000000000000004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55000000000000004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55000000000000004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55000000000000004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55000000000000004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55000000000000004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55000000000000004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55000000000000004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55000000000000004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55000000000000004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55000000000000004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55000000000000004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55000000000000004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55000000000000004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55000000000000004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55000000000000004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55000000000000004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55000000000000004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55000000000000004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55000000000000004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55000000000000004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55000000000000004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55000000000000004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55000000000000004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55000000000000004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55000000000000004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55000000000000004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55000000000000004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55000000000000004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55000000000000004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55000000000000004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55000000000000004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55000000000000004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55000000000000004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55000000000000004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55000000000000004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55000000000000004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55000000000000004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55000000000000004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55000000000000004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55000000000000004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55000000000000004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55000000000000004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55000000000000004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55000000000000004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55000000000000004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55000000000000004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55000000000000004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55000000000000004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55000000000000004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55000000000000004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55000000000000004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55000000000000004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55000000000000004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55000000000000004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55000000000000004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55000000000000004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55000000000000004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55000000000000004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55000000000000004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A36" sqref="A36"/>
    </sheetView>
  </sheetViews>
  <sheetFormatPr defaultRowHeight="14.4" x14ac:dyDescent="0.55000000000000004"/>
  <cols>
    <col min="1" max="1" width="30.26171875" bestFit="1" customWidth="1"/>
    <col min="2" max="2" width="12.83984375" bestFit="1" customWidth="1"/>
    <col min="3" max="3" width="11.26171875" bestFit="1" customWidth="1"/>
    <col min="4" max="4" width="11.26171875" customWidth="1"/>
    <col min="5" max="5" width="10.26171875" bestFit="1" customWidth="1"/>
    <col min="6" max="6" width="10.26171875" customWidth="1"/>
    <col min="7" max="7" width="11.83984375" customWidth="1"/>
    <col min="8" max="8" width="10.26171875" customWidth="1"/>
    <col min="9" max="9" width="12.83984375" bestFit="1" customWidth="1"/>
    <col min="10" max="10" width="11.41796875" bestFit="1" customWidth="1"/>
    <col min="13" max="13" width="10.578125" customWidth="1"/>
    <col min="15" max="15" width="10.15625" customWidth="1"/>
    <col min="16" max="17" width="13.15625" bestFit="1" customWidth="1"/>
    <col min="19" max="19" width="12.68359375" customWidth="1"/>
    <col min="20" max="20" width="9.578125" bestFit="1" customWidth="1"/>
  </cols>
  <sheetData>
    <row r="1" spans="1:27" x14ac:dyDescent="0.55000000000000004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885</v>
      </c>
      <c r="U1" s="262"/>
      <c r="V1" s="262"/>
      <c r="W1" s="262"/>
      <c r="X1" s="262"/>
      <c r="Y1" s="262"/>
      <c r="Z1" s="262"/>
      <c r="AA1" s="380"/>
    </row>
    <row r="2" spans="1:27" x14ac:dyDescent="0.55000000000000004">
      <c r="B2" s="381" t="s">
        <v>62</v>
      </c>
      <c r="C2" s="146" t="s">
        <v>723</v>
      </c>
      <c r="D2" s="146"/>
      <c r="E2" s="146"/>
      <c r="F2" s="388"/>
      <c r="G2" s="388" t="s">
        <v>745</v>
      </c>
      <c r="H2" s="388"/>
      <c r="I2" s="389"/>
      <c r="K2" s="381" t="s">
        <v>62</v>
      </c>
      <c r="L2" s="146" t="s">
        <v>723</v>
      </c>
      <c r="M2" s="146"/>
      <c r="N2" s="146"/>
      <c r="O2" s="388"/>
      <c r="P2" s="388" t="s">
        <v>745</v>
      </c>
      <c r="Q2" s="388"/>
      <c r="R2" s="389"/>
      <c r="T2" s="381" t="s">
        <v>62</v>
      </c>
      <c r="U2" s="441" t="s">
        <v>723</v>
      </c>
      <c r="V2" s="441"/>
      <c r="W2" s="441"/>
      <c r="X2" s="388"/>
      <c r="Y2" s="388" t="s">
        <v>745</v>
      </c>
      <c r="Z2" s="388"/>
      <c r="AA2" s="389"/>
    </row>
    <row r="3" spans="1:27" x14ac:dyDescent="0.55000000000000004">
      <c r="B3" s="381" t="s">
        <v>767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767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767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55000000000000004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55000000000000004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55000000000000004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55000000000000004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55000000000000004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55000000000000004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55000000000000004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55000000000000004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55000000000000004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55000000000000004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55000000000000004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55000000000000004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55000000000000004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4.7" thickBot="1" x14ac:dyDescent="0.6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55000000000000004">
      <c r="B19" t="s">
        <v>721</v>
      </c>
      <c r="F19" t="s">
        <v>722</v>
      </c>
    </row>
    <row r="20" spans="1:27" x14ac:dyDescent="0.55000000000000004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55000000000000004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55000000000000004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55000000000000004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55000000000000004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55000000000000004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55000000000000004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55000000000000004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55000000000000004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55000000000000004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55000000000000004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55000000000000004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55000000000000004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55000000000000004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55000000000000004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55000000000000004">
      <c r="A36" t="s">
        <v>766</v>
      </c>
    </row>
    <row r="37" spans="1:10" x14ac:dyDescent="0.55000000000000004">
      <c r="A37" s="350" t="s">
        <v>746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749</v>
      </c>
      <c r="H37" s="350" t="s">
        <v>724</v>
      </c>
    </row>
    <row r="38" spans="1:10" x14ac:dyDescent="0.55000000000000004">
      <c r="A38" s="365" t="s">
        <v>747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748</v>
      </c>
    </row>
    <row r="39" spans="1:10" x14ac:dyDescent="0.55000000000000004">
      <c r="A39" s="351" t="s">
        <v>725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55000000000000004">
      <c r="A40" s="351" t="s">
        <v>726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55000000000000004">
      <c r="A41" s="351" t="s">
        <v>727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28.8" x14ac:dyDescent="0.55000000000000004">
      <c r="A42" s="351" t="s">
        <v>728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55000000000000004">
      <c r="A43" s="351" t="s">
        <v>729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55000000000000004">
      <c r="A44" s="351" t="s">
        <v>730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55000000000000004">
      <c r="A45" s="351" t="s">
        <v>731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55000000000000004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55000000000000004">
      <c r="A47" s="351" t="s">
        <v>732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55000000000000004">
      <c r="A48" s="351" t="s">
        <v>733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55000000000000004">
      <c r="A49" s="351" t="s">
        <v>734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55000000000000004">
      <c r="A50" s="351" t="s">
        <v>735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55000000000000004">
      <c r="A51" s="351" t="s">
        <v>736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55000000000000004">
      <c r="A52" s="351" t="s">
        <v>737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55000000000000004">
      <c r="A53" s="351" t="s">
        <v>738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x14ac:dyDescent="0.55000000000000004">
      <c r="A54" s="351" t="s">
        <v>739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55000000000000004">
      <c r="A55" s="351" t="s">
        <v>740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55000000000000004">
      <c r="A56" s="351" t="s">
        <v>741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55000000000000004">
      <c r="A57" s="351" t="s">
        <v>742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55000000000000004">
      <c r="A58" s="351" t="s">
        <v>743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55000000000000004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55000000000000004">
      <c r="A60" s="351" t="s">
        <v>744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55000000000000004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55000000000000004">
      <c r="E62" s="364"/>
    </row>
    <row r="63" spans="1:9" x14ac:dyDescent="0.55000000000000004">
      <c r="B63" s="334"/>
      <c r="C63" s="334"/>
      <c r="D63" s="334"/>
      <c r="E63" s="334"/>
    </row>
    <row r="64" spans="1:9" x14ac:dyDescent="0.55000000000000004">
      <c r="B64" s="334"/>
      <c r="C64" s="334"/>
      <c r="D64" s="334"/>
      <c r="E64" s="334"/>
    </row>
    <row r="65" spans="2:5" x14ac:dyDescent="0.55000000000000004">
      <c r="B65" s="334"/>
      <c r="C65" s="334"/>
      <c r="D65" s="334"/>
      <c r="E65" s="334"/>
    </row>
    <row r="66" spans="2:5" x14ac:dyDescent="0.55000000000000004">
      <c r="B66" s="334"/>
      <c r="C66" s="334"/>
      <c r="D66" s="334"/>
      <c r="E66" s="334"/>
    </row>
    <row r="67" spans="2:5" x14ac:dyDescent="0.55000000000000004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23" zoomScaleNormal="100" workbookViewId="0">
      <selection activeCell="A31" sqref="A31"/>
    </sheetView>
  </sheetViews>
  <sheetFormatPr defaultColWidth="9.15625" defaultRowHeight="14.4" x14ac:dyDescent="0.55000000000000004"/>
  <cols>
    <col min="1" max="1" width="34.41796875" style="1" customWidth="1"/>
    <col min="2" max="2" width="16" style="1" customWidth="1"/>
    <col min="3" max="3" width="20.41796875" style="1" customWidth="1"/>
    <col min="4" max="8" width="14" style="1" customWidth="1"/>
    <col min="9" max="9" width="12.15625" style="1" customWidth="1"/>
    <col min="10" max="10" width="12.68359375" style="1" customWidth="1"/>
    <col min="11" max="11" width="12.26171875" style="1" customWidth="1"/>
    <col min="12" max="16384" width="9.15625" style="1"/>
  </cols>
  <sheetData>
    <row r="1" spans="1:15" ht="14.7" thickBot="1" x14ac:dyDescent="0.6">
      <c r="C1" s="1">
        <v>2019</v>
      </c>
    </row>
    <row r="2" spans="1:15" ht="42.75" customHeight="1" x14ac:dyDescent="0.55000000000000004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55000000000000004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55000000000000004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55000000000000004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55000000000000004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55000000000000004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55000000000000004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55000000000000004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55000000000000004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55000000000000004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55000000000000004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55000000000000004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55000000000000004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55000000000000004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55000000000000004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55000000000000004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55000000000000004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55000000000000004">
      <c r="B19" s="7"/>
      <c r="C19" s="7"/>
      <c r="D19" s="7"/>
      <c r="E19" s="7"/>
      <c r="F19" s="7"/>
      <c r="G19" s="7"/>
      <c r="H19" s="7"/>
      <c r="I19" s="7"/>
    </row>
    <row r="20" spans="1:13" x14ac:dyDescent="0.55000000000000004">
      <c r="A20" s="233" t="s">
        <v>541</v>
      </c>
    </row>
    <row r="21" spans="1:13" x14ac:dyDescent="0.55000000000000004">
      <c r="A21" s="234" t="s">
        <v>68</v>
      </c>
    </row>
    <row r="22" spans="1:13" x14ac:dyDescent="0.55000000000000004">
      <c r="A22" s="228" t="s">
        <v>496</v>
      </c>
    </row>
    <row r="23" spans="1:13" x14ac:dyDescent="0.55000000000000004">
      <c r="A23" s="239" t="s">
        <v>332</v>
      </c>
      <c r="B23" s="239" t="s">
        <v>497</v>
      </c>
    </row>
    <row r="24" spans="1:13" x14ac:dyDescent="0.55000000000000004">
      <c r="A24" s="230" t="s">
        <v>412</v>
      </c>
    </row>
    <row r="25" spans="1:13" x14ac:dyDescent="0.55000000000000004">
      <c r="A25" s="3" t="s">
        <v>511</v>
      </c>
    </row>
    <row r="26" spans="1:13" x14ac:dyDescent="0.55000000000000004">
      <c r="A26" s="254" t="s">
        <v>512</v>
      </c>
    </row>
    <row r="27" spans="1:13" x14ac:dyDescent="0.55000000000000004">
      <c r="A27" s="214"/>
    </row>
    <row r="28" spans="1:13" ht="14.7" thickBot="1" x14ac:dyDescent="0.6">
      <c r="A28" s="2" t="s">
        <v>422</v>
      </c>
      <c r="I28"/>
    </row>
    <row r="29" spans="1:13" x14ac:dyDescent="0.55000000000000004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55000000000000004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55000000000000004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55000000000000004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55000000000000004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55000000000000004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55000000000000004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55000000000000004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4.7" thickBot="1" x14ac:dyDescent="0.6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55000000000000004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55000000000000004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4.7" thickBot="1" x14ac:dyDescent="0.6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55000000000000004">
      <c r="J41"/>
    </row>
    <row r="42" spans="1:10" ht="14.7" thickBot="1" x14ac:dyDescent="0.6">
      <c r="A42" s="1" t="s">
        <v>862</v>
      </c>
      <c r="B42" s="1" t="s">
        <v>861</v>
      </c>
      <c r="J42" s="444" t="s">
        <v>850</v>
      </c>
    </row>
    <row r="43" spans="1:10" ht="14.7" thickBot="1" x14ac:dyDescent="0.6">
      <c r="A43" s="438" t="s">
        <v>821</v>
      </c>
      <c r="B43" s="440">
        <v>11041.260135196238</v>
      </c>
      <c r="D43" s="1">
        <f>SUM(D44:D53)</f>
        <v>1.1716943674854605</v>
      </c>
      <c r="E43" s="1" t="s">
        <v>820</v>
      </c>
      <c r="F43" s="1" t="s">
        <v>837</v>
      </c>
      <c r="I43" s="444" t="s">
        <v>863</v>
      </c>
      <c r="J43" s="445">
        <v>2019</v>
      </c>
    </row>
    <row r="44" spans="1:10" x14ac:dyDescent="0.55000000000000004">
      <c r="A44" s="437" t="s">
        <v>822</v>
      </c>
      <c r="B44" s="439">
        <v>3767.3551588371374</v>
      </c>
      <c r="C44" s="1" t="s">
        <v>836</v>
      </c>
      <c r="F44" s="1">
        <v>2578370</v>
      </c>
      <c r="I44" s="448" t="s">
        <v>838</v>
      </c>
      <c r="J44" s="446">
        <v>27.011008109722574</v>
      </c>
    </row>
    <row r="45" spans="1:10" x14ac:dyDescent="0.55000000000000004">
      <c r="A45" s="437" t="s">
        <v>823</v>
      </c>
      <c r="B45" s="439">
        <v>2952.39814048791</v>
      </c>
      <c r="C45" s="1" t="s">
        <v>819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839</v>
      </c>
      <c r="J45" s="446">
        <v>13.494661638352639</v>
      </c>
    </row>
    <row r="46" spans="1:10" x14ac:dyDescent="0.55000000000000004">
      <c r="A46" s="437" t="s">
        <v>824</v>
      </c>
      <c r="B46" s="439" t="s">
        <v>825</v>
      </c>
      <c r="F46" s="1">
        <v>2578370</v>
      </c>
      <c r="I46" s="448" t="s">
        <v>840</v>
      </c>
      <c r="J46" s="446">
        <v>4.2965611392438922E-2</v>
      </c>
    </row>
    <row r="47" spans="1:10" x14ac:dyDescent="0.55000000000000004">
      <c r="A47" s="437" t="s">
        <v>826</v>
      </c>
      <c r="B47" s="439">
        <v>4072.8452465785531</v>
      </c>
      <c r="C47" s="1" t="s">
        <v>818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841</v>
      </c>
      <c r="J47" s="454"/>
    </row>
    <row r="48" spans="1:10" x14ac:dyDescent="0.55000000000000004">
      <c r="A48" s="437" t="s">
        <v>827</v>
      </c>
      <c r="B48" s="439" t="s">
        <v>825</v>
      </c>
      <c r="F48" s="1">
        <v>2578370</v>
      </c>
      <c r="I48" s="448" t="s">
        <v>842</v>
      </c>
      <c r="J48" s="446">
        <v>5.411826658030066E-3</v>
      </c>
    </row>
    <row r="49" spans="1:10" x14ac:dyDescent="0.55000000000000004">
      <c r="A49" s="437" t="s">
        <v>828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843</v>
      </c>
      <c r="J49" s="446">
        <v>0.47525986757812505</v>
      </c>
    </row>
    <row r="50" spans="1:10" x14ac:dyDescent="0.55000000000000004">
      <c r="A50" s="437" t="s">
        <v>829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844</v>
      </c>
      <c r="J50" s="446">
        <v>41.882892458812613</v>
      </c>
    </row>
    <row r="51" spans="1:10" x14ac:dyDescent="0.55000000000000004">
      <c r="A51" s="437" t="s">
        <v>830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845</v>
      </c>
      <c r="J51" s="446">
        <v>0.58710980836771465</v>
      </c>
    </row>
    <row r="52" spans="1:10" x14ac:dyDescent="0.55000000000000004">
      <c r="A52" s="437" t="s">
        <v>831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846</v>
      </c>
      <c r="J52" s="446">
        <v>1.1986960661131167</v>
      </c>
    </row>
    <row r="53" spans="1:10" x14ac:dyDescent="0.55000000000000004">
      <c r="A53" s="437" t="s">
        <v>832</v>
      </c>
      <c r="B53" s="439" t="s">
        <v>833</v>
      </c>
      <c r="F53" s="1">
        <v>2578370</v>
      </c>
      <c r="I53" s="448" t="s">
        <v>847</v>
      </c>
      <c r="J53" s="457">
        <v>2.5311427660799999E-3</v>
      </c>
    </row>
    <row r="54" spans="1:10" x14ac:dyDescent="0.55000000000000004">
      <c r="A54" s="460" t="s">
        <v>834</v>
      </c>
      <c r="I54" s="448" t="s">
        <v>848</v>
      </c>
      <c r="J54" s="451">
        <v>3.2264792749629999E-4</v>
      </c>
    </row>
    <row r="55" spans="1:10" ht="14.7" thickBot="1" x14ac:dyDescent="0.6">
      <c r="A55" s="459" t="s">
        <v>835</v>
      </c>
      <c r="B55" s="461">
        <v>4586.0116630635248</v>
      </c>
      <c r="I55" s="442" t="s">
        <v>849</v>
      </c>
      <c r="J55" s="457">
        <v>1.4385168E-3</v>
      </c>
    </row>
    <row r="56" spans="1:10" ht="14.7" thickBot="1" x14ac:dyDescent="0.6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55000000000000004">
      <c r="J57" s="1">
        <f>J56*25</f>
        <v>2117.5574423622702</v>
      </c>
    </row>
    <row r="62" spans="1:10" ht="14.7" thickBot="1" x14ac:dyDescent="0.6">
      <c r="A62" s="1" t="s">
        <v>860</v>
      </c>
      <c r="B62" s="1" t="s">
        <v>859</v>
      </c>
    </row>
    <row r="63" spans="1:10" ht="14.7" thickBot="1" x14ac:dyDescent="0.6">
      <c r="A63" s="464"/>
      <c r="B63" s="449">
        <v>2019</v>
      </c>
      <c r="C63" s="1" t="s">
        <v>858</v>
      </c>
    </row>
    <row r="64" spans="1:10" x14ac:dyDescent="0.55000000000000004">
      <c r="A64" s="465" t="s">
        <v>853</v>
      </c>
      <c r="B64" s="462">
        <v>12.32</v>
      </c>
      <c r="C64" s="467">
        <f>1-B65/B64</f>
        <v>0.40827922077922074</v>
      </c>
    </row>
    <row r="65" spans="1:3" x14ac:dyDescent="0.55000000000000004">
      <c r="A65" s="465" t="s">
        <v>854</v>
      </c>
      <c r="B65" s="462">
        <v>7.29</v>
      </c>
      <c r="C65" s="467"/>
    </row>
    <row r="66" spans="1:3" x14ac:dyDescent="0.55000000000000004">
      <c r="A66" s="465" t="s">
        <v>855</v>
      </c>
      <c r="B66" s="462">
        <v>13.33</v>
      </c>
      <c r="C66" s="467">
        <f>1-B67/B66</f>
        <v>0.2235558889722431</v>
      </c>
    </row>
    <row r="67" spans="1:3" x14ac:dyDescent="0.55000000000000004">
      <c r="A67" s="465" t="s">
        <v>856</v>
      </c>
      <c r="B67" s="462">
        <v>10.35</v>
      </c>
      <c r="C67" s="467"/>
    </row>
    <row r="68" spans="1:3" ht="14.7" thickBot="1" x14ac:dyDescent="0.6">
      <c r="A68" s="466" t="s">
        <v>857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C14" sqref="C14"/>
    </sheetView>
  </sheetViews>
  <sheetFormatPr defaultRowHeight="14.4" x14ac:dyDescent="0.55000000000000004"/>
  <cols>
    <col min="13" max="13" width="11.578125" bestFit="1" customWidth="1"/>
  </cols>
  <sheetData>
    <row r="1" spans="1:18" x14ac:dyDescent="0.55000000000000004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55000000000000004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55000000000000004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55000000000000004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55000000000000004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55000000000000004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55000000000000004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55000000000000004">
      <c r="A8" s="267" t="s">
        <v>709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55000000000000004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55000000000000004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55000000000000004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55000000000000004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55000000000000004">
      <c r="A13" s="300" t="s">
        <v>646</v>
      </c>
      <c r="B13" s="267">
        <f>'Procesdata (baggrund)'!G4</f>
        <v>0.30940000000000001</v>
      </c>
      <c r="C13" s="267">
        <f>B13*1000</f>
        <v>309.40000000000003</v>
      </c>
      <c r="D13" s="267">
        <f t="shared" si="2"/>
        <v>0</v>
      </c>
      <c r="E13" s="415">
        <f t="shared" si="1"/>
        <v>0</v>
      </c>
      <c r="F13" s="267" t="s">
        <v>647</v>
      </c>
    </row>
    <row r="14" spans="1:18" x14ac:dyDescent="0.55000000000000004">
      <c r="A14" s="300" t="s">
        <v>644</v>
      </c>
      <c r="B14" s="300">
        <f>'Procesdata (baggrund)'!G3</f>
        <v>0.19800000000000001</v>
      </c>
      <c r="C14" s="267">
        <f>B14*1000</f>
        <v>198</v>
      </c>
      <c r="D14" s="267">
        <v>0</v>
      </c>
      <c r="E14" s="415">
        <v>0</v>
      </c>
      <c r="F14" s="267" t="s">
        <v>648</v>
      </c>
    </row>
    <row r="15" spans="1:18" x14ac:dyDescent="0.55000000000000004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55000000000000004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6.8" x14ac:dyDescent="0.65">
      <c r="A18" s="216" t="s">
        <v>431</v>
      </c>
    </row>
    <row r="19" spans="1:11" x14ac:dyDescent="0.55000000000000004">
      <c r="A19" s="217" t="s">
        <v>97</v>
      </c>
      <c r="E19" t="s">
        <v>475</v>
      </c>
      <c r="H19" t="s">
        <v>476</v>
      </c>
    </row>
    <row r="20" spans="1:11" x14ac:dyDescent="0.55000000000000004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55000000000000004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55000000000000004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55000000000000004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55000000000000004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55000000000000004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55000000000000004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55000000000000004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55000000000000004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55000000000000004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55000000000000004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55000000000000004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55000000000000004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55000000000000004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55000000000000004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55000000000000004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55000000000000004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55000000000000004">
      <c r="C37" s="220" t="s">
        <v>449</v>
      </c>
      <c r="D37" s="220" t="s">
        <v>709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55000000000000004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55000000000000004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55000000000000004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55000000000000004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55000000000000004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55000000000000004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55000000000000004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55000000000000004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55000000000000004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55000000000000004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55000000000000004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55000000000000004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55000000000000004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55000000000000004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55000000000000004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55000000000000004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55000000000000004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55000000000000004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55000000000000004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55000000000000004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55000000000000004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55000000000000004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55000000000000004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55000000000000004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55000000000000004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55000000000000004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288" x14ac:dyDescent="0.55000000000000004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I3" workbookViewId="0">
      <selection activeCell="S8" sqref="S8"/>
    </sheetView>
  </sheetViews>
  <sheetFormatPr defaultColWidth="9.15625" defaultRowHeight="14.4" x14ac:dyDescent="0.55000000000000004"/>
  <cols>
    <col min="1" max="1" width="26.26171875" style="1" customWidth="1"/>
    <col min="2" max="2" width="13.15625" style="1" bestFit="1" customWidth="1"/>
    <col min="3" max="3" width="22.68359375" style="1" customWidth="1"/>
    <col min="4" max="4" width="23" style="1" bestFit="1" customWidth="1"/>
    <col min="5" max="5" width="21.83984375" style="1" bestFit="1" customWidth="1"/>
    <col min="6" max="6" width="11.68359375" style="1" bestFit="1" customWidth="1"/>
    <col min="7" max="7" width="10.83984375" style="1" bestFit="1" customWidth="1"/>
    <col min="8" max="8" width="12.15625" style="1" bestFit="1" customWidth="1"/>
    <col min="9" max="9" width="13.26171875" style="1" customWidth="1"/>
    <col min="10" max="10" width="17.26171875" style="1" bestFit="1" customWidth="1"/>
    <col min="11" max="11" width="10.15625" style="1" bestFit="1" customWidth="1"/>
    <col min="12" max="12" width="12.578125" style="1" customWidth="1"/>
    <col min="13" max="13" width="10.15625" style="1" bestFit="1" customWidth="1"/>
    <col min="14" max="14" width="12.15625" style="1" bestFit="1" customWidth="1"/>
    <col min="15" max="15" width="12" style="1" bestFit="1" customWidth="1"/>
    <col min="16" max="16" width="11" style="1" bestFit="1" customWidth="1"/>
    <col min="17" max="18" width="9.15625" style="1"/>
    <col min="19" max="19" width="12" style="1" bestFit="1" customWidth="1"/>
    <col min="20" max="16384" width="9.15625" style="1"/>
  </cols>
  <sheetData>
    <row r="1" spans="1:21" ht="18.3" x14ac:dyDescent="0.7">
      <c r="A1" s="143" t="s">
        <v>265</v>
      </c>
    </row>
    <row r="2" spans="1:21" x14ac:dyDescent="0.55000000000000004">
      <c r="A2" s="417" t="s">
        <v>780</v>
      </c>
    </row>
    <row r="3" spans="1:21" x14ac:dyDescent="0.55000000000000004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637</v>
      </c>
      <c r="O3" s="1" t="s">
        <v>638</v>
      </c>
      <c r="P3" s="1" t="s">
        <v>808</v>
      </c>
    </row>
    <row r="4" spans="1:21" x14ac:dyDescent="0.55000000000000004">
      <c r="A4" s="8" t="s">
        <v>305</v>
      </c>
      <c r="B4" s="8"/>
      <c r="C4" s="8" t="s">
        <v>781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782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809</v>
      </c>
    </row>
    <row r="5" spans="1:21" x14ac:dyDescent="0.55000000000000004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627</v>
      </c>
    </row>
    <row r="6" spans="1:21" x14ac:dyDescent="0.55000000000000004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627</v>
      </c>
    </row>
    <row r="7" spans="1:21" ht="14.7" thickBot="1" x14ac:dyDescent="0.6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863</v>
      </c>
      <c r="S7" s="1" t="s">
        <v>851</v>
      </c>
      <c r="U7" s="1" t="s">
        <v>864</v>
      </c>
    </row>
    <row r="8" spans="1:21" x14ac:dyDescent="0.55000000000000004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838</v>
      </c>
      <c r="S8" s="455">
        <v>47.66881225916778</v>
      </c>
      <c r="U8" s="1">
        <f>((S8)*M14+(S9)*M15)*25/1000/(F7*I7+F8*I8)</f>
        <v>7.2074093530179004E-2</v>
      </c>
    </row>
    <row r="9" spans="1:21" ht="21" x14ac:dyDescent="0.55000000000000004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839</v>
      </c>
      <c r="S9" s="455">
        <v>14.592057308217106</v>
      </c>
    </row>
    <row r="10" spans="1:21" x14ac:dyDescent="0.55000000000000004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840</v>
      </c>
      <c r="S10" s="455">
        <v>0.19571412612000011</v>
      </c>
    </row>
    <row r="11" spans="1:21" ht="15" x14ac:dyDescent="0.65">
      <c r="A11" s="1" t="s">
        <v>325</v>
      </c>
      <c r="C11" s="1" t="s">
        <v>783</v>
      </c>
      <c r="D11" s="1" t="s">
        <v>624</v>
      </c>
      <c r="E11" s="1" t="s">
        <v>623</v>
      </c>
      <c r="F11" s="1" t="s">
        <v>532</v>
      </c>
      <c r="G11" s="1" t="s">
        <v>532</v>
      </c>
      <c r="H11" s="1" t="s">
        <v>327</v>
      </c>
      <c r="K11" s="1" t="s">
        <v>816</v>
      </c>
      <c r="L11" s="1" t="s">
        <v>708</v>
      </c>
      <c r="M11" s="321" t="s">
        <v>642</v>
      </c>
      <c r="N11" s="266"/>
      <c r="R11" s="447" t="s">
        <v>842</v>
      </c>
      <c r="S11" s="455">
        <v>0.46338099649199982</v>
      </c>
    </row>
    <row r="12" spans="1:21" x14ac:dyDescent="0.55000000000000004">
      <c r="K12" s="1">
        <v>2.1978</v>
      </c>
      <c r="R12" s="447" t="s">
        <v>843</v>
      </c>
      <c r="S12" s="455">
        <v>2.7157706718750001</v>
      </c>
    </row>
    <row r="13" spans="1:21" ht="15" x14ac:dyDescent="0.6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639</v>
      </c>
      <c r="N13" s="391" t="s">
        <v>642</v>
      </c>
      <c r="O13" s="8"/>
      <c r="R13" s="447" t="s">
        <v>844</v>
      </c>
      <c r="S13" s="455">
        <v>3.4053242231492895</v>
      </c>
      <c r="U13" s="1">
        <f>S13*J5*25/1000/(F5*J5)</f>
        <v>5.6932519664996864E-2</v>
      </c>
    </row>
    <row r="14" spans="1:21" x14ac:dyDescent="0.55000000000000004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641</v>
      </c>
      <c r="M14" s="8">
        <v>566639</v>
      </c>
      <c r="N14" s="8">
        <v>160.59029405341599</v>
      </c>
      <c r="O14" s="8" t="s">
        <v>625</v>
      </c>
      <c r="R14" s="447" t="s">
        <v>845</v>
      </c>
      <c r="S14" s="455">
        <v>2.5460227152417424E-2</v>
      </c>
    </row>
    <row r="15" spans="1:21" x14ac:dyDescent="0.55000000000000004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640</v>
      </c>
      <c r="M15" s="8">
        <f>J7-M14</f>
        <v>924793</v>
      </c>
      <c r="N15" s="8">
        <v>40.474166115923701</v>
      </c>
      <c r="O15" s="8" t="s">
        <v>626</v>
      </c>
      <c r="R15" s="447" t="s">
        <v>846</v>
      </c>
      <c r="S15" s="455">
        <v>0.48616573334049179</v>
      </c>
    </row>
    <row r="16" spans="1:21" x14ac:dyDescent="0.55000000000000004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847</v>
      </c>
      <c r="S16" s="455">
        <v>0.32571647999999997</v>
      </c>
    </row>
    <row r="17" spans="1:19" x14ac:dyDescent="0.55000000000000004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848</v>
      </c>
      <c r="S17" s="455">
        <v>3.432424760598936</v>
      </c>
    </row>
    <row r="18" spans="1:19" ht="14.7" thickBot="1" x14ac:dyDescent="0.6">
      <c r="A18" s="7"/>
      <c r="B18" s="7"/>
      <c r="C18" s="7"/>
      <c r="D18" s="7"/>
      <c r="E18" s="7"/>
      <c r="R18" s="450" t="s">
        <v>849</v>
      </c>
      <c r="S18" s="453">
        <v>1.3538981647058823E-3</v>
      </c>
    </row>
    <row r="19" spans="1:19" ht="16.8" x14ac:dyDescent="0.65">
      <c r="A19" s="534" t="s">
        <v>264</v>
      </c>
      <c r="B19" s="534"/>
      <c r="C19" s="534"/>
      <c r="D19" s="34"/>
      <c r="E19" s="34"/>
      <c r="F19" s="34"/>
      <c r="L19"/>
      <c r="M19"/>
      <c r="N19" t="s">
        <v>635</v>
      </c>
      <c r="O19" t="s">
        <v>64</v>
      </c>
      <c r="P19" t="s">
        <v>636</v>
      </c>
      <c r="Q19"/>
    </row>
    <row r="20" spans="1:19" x14ac:dyDescent="0.55000000000000004">
      <c r="A20" s="141" t="s">
        <v>97</v>
      </c>
      <c r="B20" s="142"/>
      <c r="C20" s="142"/>
      <c r="D20" s="142"/>
      <c r="E20" s="142"/>
      <c r="F20" s="142"/>
      <c r="L20" s="218" t="s">
        <v>628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55000000000000004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629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55000000000000004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630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55000000000000004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631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55000000000000004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632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55000000000000004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55000000000000004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55000000000000004">
      <c r="L27"/>
      <c r="M27"/>
      <c r="N27"/>
      <c r="O27"/>
      <c r="P27"/>
      <c r="Q27"/>
      <c r="R27"/>
      <c r="S27"/>
    </row>
    <row r="28" spans="1:19" ht="17.100000000000001" thickBot="1" x14ac:dyDescent="0.7">
      <c r="A28" t="s">
        <v>258</v>
      </c>
      <c r="B28"/>
      <c r="C28"/>
      <c r="D28"/>
      <c r="E28"/>
      <c r="F28"/>
      <c r="G28"/>
      <c r="H28"/>
      <c r="I28"/>
      <c r="L28" s="216" t="s">
        <v>633</v>
      </c>
      <c r="M28"/>
      <c r="N28"/>
      <c r="O28"/>
      <c r="P28"/>
      <c r="Q28"/>
      <c r="R28"/>
      <c r="S28"/>
    </row>
    <row r="29" spans="1:19" ht="14.7" thickBot="1" x14ac:dyDescent="0.6">
      <c r="A29" s="528" t="s">
        <v>257</v>
      </c>
      <c r="B29" s="528" t="s">
        <v>256</v>
      </c>
      <c r="C29" s="140"/>
      <c r="D29" s="140"/>
      <c r="E29" s="128" t="s">
        <v>255</v>
      </c>
      <c r="F29" s="140"/>
      <c r="G29" s="140"/>
      <c r="H29" s="530" t="s">
        <v>254</v>
      </c>
      <c r="I29" s="532" t="s">
        <v>253</v>
      </c>
      <c r="L29" s="217" t="s">
        <v>97</v>
      </c>
      <c r="M29"/>
      <c r="N29"/>
      <c r="O29"/>
      <c r="P29"/>
      <c r="Q29"/>
      <c r="R29"/>
      <c r="S29"/>
    </row>
    <row r="30" spans="1:19" ht="14.7" thickBot="1" x14ac:dyDescent="0.6">
      <c r="A30" s="529"/>
      <c r="B30" s="529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31"/>
      <c r="I30" s="53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1.9" thickBot="1" x14ac:dyDescent="0.6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628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1.9" thickBot="1" x14ac:dyDescent="0.6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629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1.9" thickBot="1" x14ac:dyDescent="0.6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630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1.9" thickBot="1" x14ac:dyDescent="0.6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631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4.7" thickBot="1" x14ac:dyDescent="0.6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632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1.9" thickBot="1" x14ac:dyDescent="0.6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57.9" thickBot="1" x14ac:dyDescent="0.6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634</v>
      </c>
      <c r="M37"/>
      <c r="N37"/>
      <c r="O37"/>
      <c r="P37"/>
      <c r="Q37"/>
      <c r="R37"/>
      <c r="S37"/>
    </row>
    <row r="38" spans="1:19" ht="21.9" thickBot="1" x14ac:dyDescent="0.6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14.7" thickBot="1" x14ac:dyDescent="0.6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4.7" thickBot="1" x14ac:dyDescent="0.6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4.7" thickBot="1" x14ac:dyDescent="0.6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1.9" thickBot="1" x14ac:dyDescent="0.6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4.7" thickBot="1" x14ac:dyDescent="0.6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4.7" thickBot="1" x14ac:dyDescent="0.6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4.7" thickBot="1" x14ac:dyDescent="0.6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4.7" thickBot="1" x14ac:dyDescent="0.6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4.7" thickBot="1" x14ac:dyDescent="0.6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1.9" thickBot="1" x14ac:dyDescent="0.6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1.9" thickBot="1" x14ac:dyDescent="0.6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55000000000000004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4.7" thickBot="1" x14ac:dyDescent="0.6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4.7" thickBot="1" x14ac:dyDescent="0.6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4.7" thickBot="1" x14ac:dyDescent="0.6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1.9" thickBot="1" x14ac:dyDescent="0.6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4.7" thickBot="1" x14ac:dyDescent="0.6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14.7" thickBot="1" x14ac:dyDescent="0.6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4.7" thickBot="1" x14ac:dyDescent="0.6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1.9" thickBot="1" x14ac:dyDescent="0.6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1.9" thickBot="1" x14ac:dyDescent="0.6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1.9" thickBot="1" x14ac:dyDescent="0.6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4.7" thickBot="1" x14ac:dyDescent="0.6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1.9" thickBot="1" x14ac:dyDescent="0.6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1.9" thickBot="1" x14ac:dyDescent="0.6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4.7" thickBot="1" x14ac:dyDescent="0.6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1.9" thickBot="1" x14ac:dyDescent="0.6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1.9" thickBot="1" x14ac:dyDescent="0.6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1.9" thickBot="1" x14ac:dyDescent="0.6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1.9" thickBot="1" x14ac:dyDescent="0.6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1.9" thickBot="1" x14ac:dyDescent="0.6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1.9" thickBot="1" x14ac:dyDescent="0.6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1.9" thickBot="1" x14ac:dyDescent="0.6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1.9" thickBot="1" x14ac:dyDescent="0.6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1.9" thickBot="1" x14ac:dyDescent="0.6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4.7" thickBot="1" x14ac:dyDescent="0.6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14.7" thickBot="1" x14ac:dyDescent="0.6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4.7" thickBot="1" x14ac:dyDescent="0.6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1.9" thickBot="1" x14ac:dyDescent="0.6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1.9" thickBot="1" x14ac:dyDescent="0.6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14.7" thickBot="1" x14ac:dyDescent="0.6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3.5" thickBot="1" x14ac:dyDescent="0.6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1.9" thickBot="1" x14ac:dyDescent="0.6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4.7" thickBot="1" x14ac:dyDescent="0.6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4.7" thickBot="1" x14ac:dyDescent="0.6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J14" sqref="J14"/>
    </sheetView>
  </sheetViews>
  <sheetFormatPr defaultRowHeight="14.4" x14ac:dyDescent="0.55000000000000004"/>
  <cols>
    <col min="1" max="1" width="13.68359375" customWidth="1"/>
    <col min="18" max="18" width="11.26171875" customWidth="1"/>
    <col min="19" max="22" width="9.578125" bestFit="1" customWidth="1"/>
  </cols>
  <sheetData>
    <row r="1" spans="1:23" ht="18.3" x14ac:dyDescent="0.7">
      <c r="A1" s="392" t="s">
        <v>770</v>
      </c>
      <c r="B1" s="9"/>
    </row>
    <row r="2" spans="1:23" ht="18.3" x14ac:dyDescent="0.7">
      <c r="A2" s="395"/>
      <c r="B2" s="396"/>
      <c r="C2" s="538" t="s">
        <v>771</v>
      </c>
      <c r="D2" s="539"/>
      <c r="E2" s="539"/>
      <c r="F2" s="540"/>
      <c r="G2" s="267"/>
      <c r="H2" s="267"/>
      <c r="I2" s="267"/>
    </row>
    <row r="3" spans="1:23" x14ac:dyDescent="0.55000000000000004">
      <c r="A3" s="267" t="s">
        <v>621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784</v>
      </c>
      <c r="J3" s="485" t="s">
        <v>897</v>
      </c>
      <c r="L3" t="s">
        <v>691</v>
      </c>
      <c r="M3" t="s">
        <v>692</v>
      </c>
      <c r="R3" t="s">
        <v>891</v>
      </c>
      <c r="U3" s="173"/>
      <c r="W3" s="508" cm="1">
        <f t="array" aca="1" ref="W3" ca="1">INDIRECT("["&amp;Overblik!$B$7&amp;".xlsm]Skovbrug!C9")</f>
        <v>5.0000000000000001E-3</v>
      </c>
    </row>
    <row r="4" spans="1:23" ht="14.25" customHeight="1" x14ac:dyDescent="0.55000000000000004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6.824202983588485</v>
      </c>
      <c r="H4" s="422">
        <f>(4.7+0.3+1.2)*M4</f>
        <v>6.824202983588485</v>
      </c>
      <c r="I4" s="267" t="s">
        <v>619</v>
      </c>
      <c r="J4">
        <f>0.68*J8+0.32*J10</f>
        <v>0.52560000000000007</v>
      </c>
      <c r="L4">
        <f>(2907+204+727)*1000/Arealanvendelse!C19</f>
        <v>6.824202983588485</v>
      </c>
      <c r="M4">
        <f>L4/(4.7+0.3+1.2)</f>
        <v>1.1006779005787879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55000000000000004">
      <c r="A5" s="267" t="s">
        <v>545</v>
      </c>
      <c r="B5" s="267" t="s">
        <v>395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J5">
        <f>S21</f>
        <v>0.3</v>
      </c>
      <c r="L5" t="s">
        <v>693</v>
      </c>
      <c r="M5" s="1" t="s">
        <v>604</v>
      </c>
      <c r="R5" s="456" t="s">
        <v>546</v>
      </c>
      <c r="S5" s="496">
        <f ca="1">SUMIFS(C$19:C$28,$A$19:$A$28,$R5,$B$19:$B$28,"Hugst")/SUMIF($A$6:$A$15,$R5,$H$6:$H$15)*$W$3</f>
        <v>0</v>
      </c>
      <c r="T5" s="496">
        <f t="shared" ref="T5:W5" ca="1" si="0">SUMIFS(D$19:D$28,$A$19:$A$28,$R5,$B$19:$B$28,"Hugst")/SUMIF($A$6:$A$15,$R5,$H$6:$H$15)*$W$3</f>
        <v>0</v>
      </c>
      <c r="U5" s="496">
        <f t="shared" ca="1" si="0"/>
        <v>0</v>
      </c>
      <c r="V5" s="496">
        <f t="shared" ca="1" si="0"/>
        <v>3.2978723404255318E-3</v>
      </c>
      <c r="W5" s="496">
        <f t="shared" ca="1" si="0"/>
        <v>1.7021276595744681E-3</v>
      </c>
    </row>
    <row r="6" spans="1:23" x14ac:dyDescent="0.55000000000000004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1.9074743425132601</v>
      </c>
      <c r="G6" s="253"/>
      <c r="H6" s="422">
        <f>(3.1+0+0.9)*M4</f>
        <v>4.4027116023151516</v>
      </c>
      <c r="I6" s="267" t="s">
        <v>618</v>
      </c>
      <c r="J6">
        <f>0.7*S17+0.3*S19</f>
        <v>0.60499999999999998</v>
      </c>
      <c r="L6" t="s">
        <v>546</v>
      </c>
      <c r="M6" s="1" t="s">
        <v>605</v>
      </c>
      <c r="R6" s="456" t="s">
        <v>547</v>
      </c>
      <c r="S6" s="496">
        <f t="shared" ref="S6:S9" ca="1" si="2">SUMIFS(C$19:C$28,$A$19:$A$28,$R6,$B$19:$B$28,"Hugst")/SUMIF($A$6:$A$15,$R6,$H$6:$H$15)*$W$3</f>
        <v>0</v>
      </c>
      <c r="T6" s="496">
        <f t="shared" ref="T6:T9" ca="1" si="3">SUMIFS(D$19:D$28,$A$19:$A$28,$R6,$B$19:$B$28,"Hugst")/SUMIF($A$6:$A$15,$R6,$H$6:$H$15)*$W$3</f>
        <v>1.5254237288135596E-3</v>
      </c>
      <c r="U6" s="496">
        <f t="shared" ref="U6:U9" ca="1" si="4">SUMIFS(E$19:E$28,$A$19:$A$28,$R6,$B$19:$B$28,"Hugst")/SUMIF($A$6:$A$15,$R6,$H$6:$H$15)*$W$3</f>
        <v>1.7372881355932203E-3</v>
      </c>
      <c r="V6" s="496">
        <f t="shared" ref="V6:V9" ca="1" si="5">SUMIFS(F$19:F$28,$A$19:$A$28,$R6,$B$19:$B$28,"Hugst")/SUMIF($A$6:$A$15,$R6,$H$6:$H$15)*$W$3</f>
        <v>8.8983050847457623E-4</v>
      </c>
      <c r="W6" s="496">
        <f t="shared" ref="W6:W9" ca="1" si="6">SUMIFS(G$19:G$28,$A$19:$A$28,$R6,$B$19:$B$28,"Hugst")/SUMIF($A$6:$A$15,$R6,$H$6:$H$15)*$W$3</f>
        <v>8.4745762711864404E-4</v>
      </c>
    </row>
    <row r="7" spans="1:23" x14ac:dyDescent="0.55000000000000004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0.99644182071588216</v>
      </c>
      <c r="G7" s="253"/>
      <c r="H7" s="422"/>
      <c r="I7" s="267"/>
      <c r="J7">
        <f>S21</f>
        <v>0.3</v>
      </c>
      <c r="L7" t="s">
        <v>547</v>
      </c>
      <c r="M7" s="1" t="s">
        <v>606</v>
      </c>
      <c r="R7" s="456" t="s">
        <v>548</v>
      </c>
      <c r="S7" s="496">
        <f t="shared" ca="1" si="2"/>
        <v>0</v>
      </c>
      <c r="T7" s="496">
        <f t="shared" ca="1" si="3"/>
        <v>0</v>
      </c>
      <c r="U7" s="496">
        <f t="shared" ca="1" si="4"/>
        <v>0</v>
      </c>
      <c r="V7" s="496">
        <f t="shared" ca="1" si="5"/>
        <v>1.818181818181818E-3</v>
      </c>
      <c r="W7" s="496">
        <f t="shared" ca="1" si="6"/>
        <v>3.1818181818181819E-3</v>
      </c>
    </row>
    <row r="8" spans="1:23" x14ac:dyDescent="0.55000000000000004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2.2834402547600621</v>
      </c>
      <c r="E8" s="297">
        <f t="shared" si="8"/>
        <v>2.4148286821172875</v>
      </c>
      <c r="F8" s="297">
        <f t="shared" si="8"/>
        <v>1.1100056793972521</v>
      </c>
      <c r="G8" s="253"/>
      <c r="H8" s="422">
        <f>(6.2+0.7+1.6)*M4</f>
        <v>9.355762154919697</v>
      </c>
      <c r="I8" s="267" t="s">
        <v>616</v>
      </c>
      <c r="J8">
        <f>AVERAGE(S18,S19)</f>
        <v>0.45999999999999996</v>
      </c>
      <c r="L8" t="s">
        <v>548</v>
      </c>
      <c r="M8" s="1" t="s">
        <v>610</v>
      </c>
      <c r="R8" s="456" t="s">
        <v>549</v>
      </c>
      <c r="S8" s="496">
        <f t="shared" ca="1" si="2"/>
        <v>0</v>
      </c>
      <c r="T8" s="496">
        <f t="shared" ca="1" si="3"/>
        <v>2.1951219512195124E-3</v>
      </c>
      <c r="U8" s="496">
        <f t="shared" ca="1" si="4"/>
        <v>1.2195121951219514E-3</v>
      </c>
      <c r="V8" s="496">
        <f t="shared" ca="1" si="5"/>
        <v>6.7073170731707312E-4</v>
      </c>
      <c r="W8" s="496">
        <f t="shared" ca="1" si="6"/>
        <v>9.1463414634146336E-4</v>
      </c>
    </row>
    <row r="9" spans="1:23" x14ac:dyDescent="0.55000000000000004">
      <c r="A9" s="8" t="s">
        <v>547</v>
      </c>
      <c r="B9" s="267" t="s">
        <v>395</v>
      </c>
      <c r="C9" s="297">
        <f>C21*C22</f>
        <v>0</v>
      </c>
      <c r="D9" s="297">
        <f>D21*D22</f>
        <v>0.57086006369001541</v>
      </c>
      <c r="E9" s="297">
        <f>E21*E22</f>
        <v>0.83590223611752268</v>
      </c>
      <c r="F9" s="297">
        <f>F21*F22</f>
        <v>0.55500283969862618</v>
      </c>
      <c r="G9" s="253"/>
      <c r="H9" s="422"/>
      <c r="I9" s="267"/>
      <c r="J9">
        <f>S21</f>
        <v>0.3</v>
      </c>
      <c r="L9" t="s">
        <v>549</v>
      </c>
      <c r="M9" s="1" t="s">
        <v>611</v>
      </c>
      <c r="R9" s="456" t="s">
        <v>550</v>
      </c>
      <c r="S9" s="496">
        <f t="shared" ca="1" si="2"/>
        <v>0</v>
      </c>
      <c r="T9" s="496">
        <f t="shared" ca="1" si="3"/>
        <v>0</v>
      </c>
      <c r="U9" s="496">
        <f t="shared" ca="1" si="4"/>
        <v>3.3333333333333332E-4</v>
      </c>
      <c r="V9" s="496">
        <f t="shared" ca="1" si="5"/>
        <v>2.6666666666666666E-3</v>
      </c>
      <c r="W9" s="496">
        <f t="shared" ca="1" si="6"/>
        <v>2E-3</v>
      </c>
    </row>
    <row r="10" spans="1:23" x14ac:dyDescent="0.55000000000000004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1.3985083913236362</v>
      </c>
      <c r="G10" s="253"/>
      <c r="H10" s="422">
        <f>(4.4+0.1+0.9)*$M$4</f>
        <v>5.9436606631254554</v>
      </c>
      <c r="I10" s="267" t="s">
        <v>617</v>
      </c>
      <c r="J10">
        <f>AVERAGE(S16,S17)</f>
        <v>0.66500000000000004</v>
      </c>
      <c r="L10" t="s">
        <v>550</v>
      </c>
      <c r="M10" s="1" t="s">
        <v>612</v>
      </c>
    </row>
    <row r="11" spans="1:23" x14ac:dyDescent="0.55000000000000004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0.7628227589038018</v>
      </c>
      <c r="G11" s="253"/>
      <c r="H11" s="422"/>
      <c r="I11" s="267"/>
      <c r="J11">
        <f>S21</f>
        <v>0.3</v>
      </c>
    </row>
    <row r="12" spans="1:23" x14ac:dyDescent="0.55000000000000004">
      <c r="A12" s="8" t="s">
        <v>549</v>
      </c>
      <c r="B12" s="267" t="s">
        <v>543</v>
      </c>
      <c r="C12" s="297">
        <f>C25*(1-C26)</f>
        <v>0</v>
      </c>
      <c r="D12" s="297">
        <f t="shared" si="8"/>
        <v>0.5798693329878496</v>
      </c>
      <c r="E12" s="297">
        <f t="shared" si="8"/>
        <v>0.62416490703553229</v>
      </c>
      <c r="F12" s="297">
        <f t="shared" si="8"/>
        <v>0.51591315655536585</v>
      </c>
      <c r="G12" s="253"/>
      <c r="H12" s="422">
        <f>(4.4+0.1+0.9)*$M$4</f>
        <v>5.9436606631254554</v>
      </c>
      <c r="I12" s="267" t="s">
        <v>617</v>
      </c>
      <c r="J12">
        <f>0.5*(AVERAGE(S16,S17)+S20)</f>
        <v>0.48250000000000004</v>
      </c>
    </row>
    <row r="13" spans="1:23" x14ac:dyDescent="0.55000000000000004">
      <c r="A13" s="8" t="s">
        <v>549</v>
      </c>
      <c r="B13" s="267" t="s">
        <v>395</v>
      </c>
      <c r="C13" s="297">
        <f>C25*C26</f>
        <v>0</v>
      </c>
      <c r="D13" s="297">
        <f>D25*D26</f>
        <v>2.0295426654574724</v>
      </c>
      <c r="E13" s="297">
        <f>E25*E26</f>
        <v>0.82550842543409109</v>
      </c>
      <c r="F13" s="297">
        <f>F25*F26</f>
        <v>0.28140717630292689</v>
      </c>
      <c r="G13" s="253"/>
      <c r="H13" s="422"/>
      <c r="I13" s="267"/>
      <c r="J13">
        <f>S21</f>
        <v>0.3</v>
      </c>
    </row>
    <row r="14" spans="1:23" x14ac:dyDescent="0.55000000000000004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0.17060507458971214</v>
      </c>
      <c r="F14" s="297">
        <f t="shared" si="8"/>
        <v>2.051145640608</v>
      </c>
      <c r="G14" s="423"/>
      <c r="H14" s="422">
        <f>(4.4+0.1+0.9)*$M$4</f>
        <v>5.9436606631254554</v>
      </c>
      <c r="I14" s="267" t="s">
        <v>617</v>
      </c>
      <c r="J14">
        <f>AVERAGE(S16:S20)</f>
        <v>0.51</v>
      </c>
    </row>
    <row r="15" spans="1:23" x14ac:dyDescent="0.55000000000000004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0.22563896961865154</v>
      </c>
      <c r="F15" s="297">
        <f t="shared" si="9"/>
        <v>1.1188067130589092</v>
      </c>
      <c r="G15" s="394"/>
      <c r="H15" s="267"/>
      <c r="I15" s="267"/>
      <c r="J15">
        <v>0.3</v>
      </c>
      <c r="R15" t="s">
        <v>898</v>
      </c>
      <c r="S15" t="s">
        <v>904</v>
      </c>
      <c r="T15" s="456" t="s">
        <v>906</v>
      </c>
    </row>
    <row r="16" spans="1:23" x14ac:dyDescent="0.55000000000000004">
      <c r="H16" s="206"/>
      <c r="R16" t="s">
        <v>899</v>
      </c>
      <c r="S16" s="254">
        <v>0.65</v>
      </c>
    </row>
    <row r="17" spans="1:20" x14ac:dyDescent="0.55000000000000004">
      <c r="R17" t="s">
        <v>900</v>
      </c>
      <c r="S17" s="254">
        <v>0.68</v>
      </c>
    </row>
    <row r="18" spans="1:20" x14ac:dyDescent="0.55000000000000004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  <c r="R18" t="s">
        <v>901</v>
      </c>
      <c r="S18" s="254">
        <v>0.49</v>
      </c>
      <c r="T18" t="s">
        <v>905</v>
      </c>
    </row>
    <row r="19" spans="1:20" x14ac:dyDescent="0.55000000000000004">
      <c r="A19" s="300" t="s">
        <v>546</v>
      </c>
      <c r="B19" s="300" t="s">
        <v>615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  <c r="R19" t="s">
        <v>902</v>
      </c>
      <c r="S19" s="254">
        <v>0.43</v>
      </c>
    </row>
    <row r="20" spans="1:20" x14ac:dyDescent="0.55000000000000004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  <c r="R20" t="s">
        <v>903</v>
      </c>
      <c r="S20" s="254">
        <v>0.3</v>
      </c>
      <c r="T20" s="456" t="s">
        <v>907</v>
      </c>
    </row>
    <row r="21" spans="1:20" x14ac:dyDescent="0.55000000000000004">
      <c r="A21" s="300" t="s">
        <v>547</v>
      </c>
      <c r="B21" s="300" t="s">
        <v>615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616</v>
      </c>
      <c r="I21" s="300" t="s">
        <v>547</v>
      </c>
      <c r="J21" s="300" t="s">
        <v>615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  <c r="R21" t="s">
        <v>395</v>
      </c>
      <c r="S21" s="254">
        <v>0.3</v>
      </c>
    </row>
    <row r="22" spans="1:20" x14ac:dyDescent="0.55000000000000004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20" x14ac:dyDescent="0.55000000000000004">
      <c r="A23" s="300" t="s">
        <v>548</v>
      </c>
      <c r="B23" s="300" t="s">
        <v>615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300" t="s">
        <v>547</v>
      </c>
      <c r="J23" s="300" t="s">
        <v>620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20" x14ac:dyDescent="0.55000000000000004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617</v>
      </c>
      <c r="I24" s="300" t="s">
        <v>548</v>
      </c>
      <c r="J24" s="300" t="s">
        <v>615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20" x14ac:dyDescent="0.55000000000000004">
      <c r="A25" s="300" t="s">
        <v>549</v>
      </c>
      <c r="B25" s="300" t="s">
        <v>615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20" x14ac:dyDescent="0.55000000000000004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620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20" x14ac:dyDescent="0.55000000000000004">
      <c r="A27" s="300" t="s">
        <v>550</v>
      </c>
      <c r="B27" s="300" t="s">
        <v>615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20" x14ac:dyDescent="0.55000000000000004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20" x14ac:dyDescent="0.55000000000000004">
      <c r="A30" t="s">
        <v>801</v>
      </c>
    </row>
    <row r="31" spans="1:20" ht="14.7" thickBot="1" x14ac:dyDescent="0.6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20" ht="14.7" thickBot="1" x14ac:dyDescent="0.6">
      <c r="A32" s="426" t="s">
        <v>785</v>
      </c>
      <c r="B32" s="427" t="s">
        <v>798</v>
      </c>
      <c r="C32" s="427" t="s">
        <v>793</v>
      </c>
      <c r="D32" s="427" t="s">
        <v>794</v>
      </c>
      <c r="E32" s="427" t="s">
        <v>799</v>
      </c>
      <c r="F32" s="427" t="s">
        <v>795</v>
      </c>
      <c r="G32" s="427" t="s">
        <v>796</v>
      </c>
      <c r="H32" s="427" t="s">
        <v>797</v>
      </c>
      <c r="I32" s="427" t="s">
        <v>786</v>
      </c>
      <c r="J32" s="427" t="s">
        <v>800</v>
      </c>
    </row>
    <row r="33" spans="1:10" ht="14.7" thickBot="1" x14ac:dyDescent="0.6">
      <c r="A33" s="535" t="s">
        <v>787</v>
      </c>
      <c r="B33" s="536"/>
      <c r="C33" s="428"/>
      <c r="D33" s="428"/>
      <c r="E33" s="537"/>
      <c r="F33" s="537"/>
      <c r="G33" s="428"/>
      <c r="H33" s="428"/>
      <c r="I33" s="428"/>
      <c r="J33" s="429"/>
    </row>
    <row r="34" spans="1:10" ht="14.7" thickBot="1" x14ac:dyDescent="0.6">
      <c r="A34" s="430" t="s">
        <v>788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4.7" thickBot="1" x14ac:dyDescent="0.6">
      <c r="A35" s="430" t="s">
        <v>789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4.7" thickBot="1" x14ac:dyDescent="0.6">
      <c r="A36" s="430" t="s">
        <v>790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4.7" thickBot="1" x14ac:dyDescent="0.6">
      <c r="A37" s="535" t="s">
        <v>791</v>
      </c>
      <c r="B37" s="536"/>
      <c r="C37" s="428"/>
      <c r="D37" s="428"/>
      <c r="E37" s="537"/>
      <c r="F37" s="537"/>
      <c r="G37" s="428"/>
      <c r="H37" s="428"/>
      <c r="I37" s="428"/>
      <c r="J37" s="429"/>
    </row>
    <row r="38" spans="1:10" ht="14.7" thickBot="1" x14ac:dyDescent="0.6">
      <c r="A38" s="430" t="s">
        <v>788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4.7" thickBot="1" x14ac:dyDescent="0.6">
      <c r="A39" s="430" t="s">
        <v>789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4.7" thickBot="1" x14ac:dyDescent="0.6">
      <c r="A40" s="430" t="s">
        <v>790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4.7" thickBot="1" x14ac:dyDescent="0.6">
      <c r="A41" s="535" t="s">
        <v>792</v>
      </c>
      <c r="B41" s="536"/>
      <c r="C41" s="428"/>
      <c r="D41" s="428"/>
      <c r="E41" s="537"/>
      <c r="F41" s="537"/>
      <c r="G41" s="428"/>
      <c r="H41" s="428"/>
      <c r="I41" s="428"/>
      <c r="J41" s="429"/>
    </row>
    <row r="42" spans="1:10" ht="14.7" thickBot="1" x14ac:dyDescent="0.6">
      <c r="A42" s="430" t="s">
        <v>788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4.7" thickBot="1" x14ac:dyDescent="0.6">
      <c r="A43" s="430" t="s">
        <v>789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4.7" thickBot="1" x14ac:dyDescent="0.6">
      <c r="A44" s="430" t="s">
        <v>790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4.7" thickBot="1" x14ac:dyDescent="0.6">
      <c r="A45" s="535" t="s">
        <v>791</v>
      </c>
      <c r="B45" s="536"/>
      <c r="C45" s="428"/>
      <c r="D45" s="428"/>
      <c r="E45" s="537"/>
      <c r="F45" s="537"/>
      <c r="G45" s="428"/>
      <c r="H45" s="428"/>
      <c r="I45" s="428"/>
      <c r="J45" s="429"/>
    </row>
    <row r="46" spans="1:10" ht="14.7" thickBot="1" x14ac:dyDescent="0.6">
      <c r="A46" s="430" t="s">
        <v>788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4.7" thickBot="1" x14ac:dyDescent="0.6">
      <c r="A47" s="430" t="s">
        <v>789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4.7" thickBot="1" x14ac:dyDescent="0.6">
      <c r="A48" s="430" t="s">
        <v>790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4" sqref="D4"/>
    </sheetView>
  </sheetViews>
  <sheetFormatPr defaultRowHeight="14.4" x14ac:dyDescent="0.55000000000000004"/>
  <cols>
    <col min="1" max="1" width="62" customWidth="1"/>
    <col min="2" max="2" width="10.68359375" customWidth="1"/>
    <col min="3" max="3" width="16.68359375" customWidth="1"/>
    <col min="10" max="10" width="121.26171875" bestFit="1" customWidth="1"/>
  </cols>
  <sheetData>
    <row r="1" spans="1:14" x14ac:dyDescent="0.55000000000000004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55000000000000004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55000000000000004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893</v>
      </c>
      <c r="K3" s="417"/>
      <c r="N3" s="1"/>
    </row>
    <row r="4" spans="1:14" x14ac:dyDescent="0.55000000000000004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55000000000000004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55000000000000004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55000000000000004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55000000000000004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55000000000000004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55000000000000004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55000000000000004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55000000000000004">
      <c r="A12" s="8" t="s">
        <v>612</v>
      </c>
      <c r="B12" s="8" t="s">
        <v>550</v>
      </c>
      <c r="C12" s="267" t="s">
        <v>608</v>
      </c>
      <c r="D12" s="507">
        <f>AVERAGE(B59,B62,B65)</f>
        <v>2.6666666666666665</v>
      </c>
      <c r="E12" s="507">
        <f t="shared" ref="E12:H12" si="17">AVERAGE(C59,C62,C65)</f>
        <v>2.6666666666666665</v>
      </c>
      <c r="F12" s="507">
        <f t="shared" si="17"/>
        <v>3.3333333333333335</v>
      </c>
      <c r="G12" s="507">
        <f t="shared" si="17"/>
        <v>4.333333333333333</v>
      </c>
      <c r="H12" s="507">
        <f t="shared" si="17"/>
        <v>5.333333333333333</v>
      </c>
      <c r="I12" s="507">
        <f>AVERAGE(F59,F62,F65)</f>
        <v>5.333333333333333</v>
      </c>
    </row>
    <row r="13" spans="1:14" x14ac:dyDescent="0.55000000000000004">
      <c r="A13" s="267"/>
      <c r="B13" s="8" t="s">
        <v>550</v>
      </c>
      <c r="C13" s="267" t="s">
        <v>609</v>
      </c>
      <c r="D13" s="507">
        <f>AVERAGE(B60,B63,B66)</f>
        <v>0</v>
      </c>
      <c r="E13" s="507">
        <f t="shared" ref="E13" si="18">AVERAGE(C60,C63,C66)</f>
        <v>0</v>
      </c>
      <c r="F13" s="507">
        <f t="shared" ref="F13" si="19">AVERAGE(D60,D63,D66)</f>
        <v>0.33333333333333331</v>
      </c>
      <c r="G13" s="507">
        <f t="shared" ref="G13:H13" si="20">AVERAGE(E60,E63,E66)</f>
        <v>2.6666666666666665</v>
      </c>
      <c r="H13" s="507">
        <f t="shared" si="20"/>
        <v>2</v>
      </c>
      <c r="I13" s="507">
        <f t="shared" ref="I13" si="21">AVERAGE(F60,F63,F66)</f>
        <v>2</v>
      </c>
    </row>
    <row r="14" spans="1:14" ht="14.7" thickBot="1" x14ac:dyDescent="0.6"/>
    <row r="15" spans="1:14" ht="14.7" thickBot="1" x14ac:dyDescent="0.6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4.7" thickBot="1" x14ac:dyDescent="0.6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4.7" thickBot="1" x14ac:dyDescent="0.6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4.7" thickBot="1" x14ac:dyDescent="0.6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4.7" thickBot="1" x14ac:dyDescent="0.6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4.7" thickBot="1" x14ac:dyDescent="0.6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4.7" thickBot="1" x14ac:dyDescent="0.6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4.7" thickBot="1" x14ac:dyDescent="0.6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4.7" thickBot="1" x14ac:dyDescent="0.6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4.7" thickBot="1" x14ac:dyDescent="0.6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4.7" thickBot="1" x14ac:dyDescent="0.6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4.7" thickBot="1" x14ac:dyDescent="0.6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4.7" thickBot="1" x14ac:dyDescent="0.6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14.7" thickBot="1" x14ac:dyDescent="0.6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4.7" thickBot="1" x14ac:dyDescent="0.6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4.7" thickBot="1" x14ac:dyDescent="0.6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14.7" thickBot="1" x14ac:dyDescent="0.6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4.7" thickBot="1" x14ac:dyDescent="0.6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4.7" thickBot="1" x14ac:dyDescent="0.6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14.7" thickBot="1" x14ac:dyDescent="0.6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4.7" thickBot="1" x14ac:dyDescent="0.6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4.7" thickBot="1" x14ac:dyDescent="0.6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14.7" thickBot="1" x14ac:dyDescent="0.6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4.7" thickBot="1" x14ac:dyDescent="0.6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4.7" thickBot="1" x14ac:dyDescent="0.6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14.7" thickBot="1" x14ac:dyDescent="0.6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4.7" thickBot="1" x14ac:dyDescent="0.6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4.7" thickBot="1" x14ac:dyDescent="0.6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14.7" thickBot="1" x14ac:dyDescent="0.6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4.7" thickBot="1" x14ac:dyDescent="0.6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4.7" thickBot="1" x14ac:dyDescent="0.6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5.5" thickBot="1" x14ac:dyDescent="0.6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4.7" thickBot="1" x14ac:dyDescent="0.6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4.7" thickBot="1" x14ac:dyDescent="0.6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14.7" thickBot="1" x14ac:dyDescent="0.6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4.7" thickBot="1" x14ac:dyDescent="0.6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4.7" thickBot="1" x14ac:dyDescent="0.6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5.5" thickBot="1" x14ac:dyDescent="0.6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4.7" thickBot="1" x14ac:dyDescent="0.6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4.7" thickBot="1" x14ac:dyDescent="0.6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5.5" thickBot="1" x14ac:dyDescent="0.6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4.7" thickBot="1" x14ac:dyDescent="0.6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4.7" thickBot="1" x14ac:dyDescent="0.6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14.7" thickBot="1" x14ac:dyDescent="0.6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4.7" thickBot="1" x14ac:dyDescent="0.6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4.7" thickBot="1" x14ac:dyDescent="0.6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14.7" thickBot="1" x14ac:dyDescent="0.6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4.7" thickBot="1" x14ac:dyDescent="0.6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4.7" thickBot="1" x14ac:dyDescent="0.6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5.5" thickBot="1" x14ac:dyDescent="0.6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4.7" thickBot="1" x14ac:dyDescent="0.6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4.7" thickBot="1" x14ac:dyDescent="0.6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14.7" thickBot="1" x14ac:dyDescent="0.6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4.7" thickBot="1" x14ac:dyDescent="0.6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4.7" thickBot="1" x14ac:dyDescent="0.6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5.5" thickBot="1" x14ac:dyDescent="0.6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4.7" thickBot="1" x14ac:dyDescent="0.6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4.7" thickBot="1" x14ac:dyDescent="0.6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5.5" thickBot="1" x14ac:dyDescent="0.6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4.7" thickBot="1" x14ac:dyDescent="0.6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4.7" thickBot="1" x14ac:dyDescent="0.6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4.7" thickBot="1" x14ac:dyDescent="0.6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4.7" thickBot="1" x14ac:dyDescent="0.6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4.7" thickBot="1" x14ac:dyDescent="0.6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14.7" thickBot="1" x14ac:dyDescent="0.6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4.7" thickBot="1" x14ac:dyDescent="0.6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4.7" thickBot="1" x14ac:dyDescent="0.6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4" x14ac:dyDescent="0.55000000000000004"/>
  <sheetData>
    <row r="1" spans="1:4" ht="20.399999999999999" x14ac:dyDescent="0.75">
      <c r="A1" s="4" t="s">
        <v>7</v>
      </c>
    </row>
    <row r="3" spans="1:4" x14ac:dyDescent="0.5500000000000000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5500000000000000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5500000000000000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5500000000000000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6.8" x14ac:dyDescent="0.65">
      <c r="A8" s="197" t="s">
        <v>389</v>
      </c>
      <c r="B8" s="196"/>
      <c r="C8" s="196"/>
      <c r="D8" s="196"/>
    </row>
    <row r="9" spans="1:4" x14ac:dyDescent="0.55000000000000004">
      <c r="A9" s="198" t="s">
        <v>359</v>
      </c>
      <c r="B9" s="196"/>
      <c r="C9" s="196"/>
      <c r="D9" s="196"/>
    </row>
    <row r="10" spans="1:4" x14ac:dyDescent="0.55000000000000004">
      <c r="A10" s="196"/>
      <c r="B10" s="196"/>
      <c r="C10" s="196"/>
      <c r="D10" s="199" t="s">
        <v>57</v>
      </c>
    </row>
    <row r="11" spans="1:4" x14ac:dyDescent="0.55000000000000004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55000000000000004">
      <c r="A12" s="196"/>
      <c r="B12" s="196"/>
      <c r="C12" s="199" t="s">
        <v>55</v>
      </c>
      <c r="D12" s="200">
        <v>836738</v>
      </c>
    </row>
    <row r="13" spans="1:4" x14ac:dyDescent="0.55000000000000004">
      <c r="A13" s="196"/>
      <c r="B13" s="196"/>
      <c r="C13" s="199" t="s">
        <v>54</v>
      </c>
      <c r="D13" s="200">
        <v>1223348</v>
      </c>
    </row>
    <row r="14" spans="1:4" x14ac:dyDescent="0.55000000000000004">
      <c r="A14" s="196"/>
      <c r="B14" s="196"/>
      <c r="C14" s="199" t="s">
        <v>53</v>
      </c>
      <c r="D14" s="200">
        <v>1320678</v>
      </c>
    </row>
    <row r="15" spans="1:4" x14ac:dyDescent="0.55000000000000004">
      <c r="A15" s="196"/>
      <c r="B15" s="196"/>
      <c r="C15" s="199" t="s">
        <v>50</v>
      </c>
      <c r="D15" s="200">
        <v>589755</v>
      </c>
    </row>
    <row r="19" spans="1:28" x14ac:dyDescent="0.55000000000000004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55000000000000004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55000000000000004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55000000000000004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55000000000000004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55000000000000004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55000000000000004">
      <c r="A25" t="s">
        <v>391</v>
      </c>
    </row>
    <row r="28" spans="1:28" x14ac:dyDescent="0.55000000000000004">
      <c r="A28" s="195" t="s">
        <v>388</v>
      </c>
    </row>
    <row r="29" spans="1:28" ht="16.8" x14ac:dyDescent="0.65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55000000000000004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55000000000000004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55000000000000004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55000000000000004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55000000000000004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55000000000000004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55000000000000004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6" x14ac:dyDescent="0.55000000000000004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4" x14ac:dyDescent="0.55000000000000004"/>
  <cols>
    <col min="2" max="2" width="13.26171875" bestFit="1" customWidth="1"/>
    <col min="7" max="7" width="11.26171875" customWidth="1"/>
    <col min="12" max="12" width="12.26171875" customWidth="1"/>
    <col min="14" max="14" width="16.83984375" bestFit="1" customWidth="1"/>
  </cols>
  <sheetData>
    <row r="1" spans="1:14" ht="20.399999999999999" x14ac:dyDescent="0.75">
      <c r="A1" s="4" t="s">
        <v>773</v>
      </c>
    </row>
    <row r="3" spans="1:14" x14ac:dyDescent="0.55000000000000004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55000000000000004">
      <c r="A4" s="1" t="s">
        <v>703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55000000000000004">
      <c r="A5" s="1"/>
      <c r="B5" s="326"/>
    </row>
    <row r="6" spans="1:14" x14ac:dyDescent="0.55000000000000004">
      <c r="A6" s="1"/>
      <c r="B6" s="326"/>
    </row>
    <row r="8" spans="1:14" x14ac:dyDescent="0.55000000000000004">
      <c r="A8" t="s">
        <v>685</v>
      </c>
      <c r="B8">
        <f>SUM(M15:M19)</f>
        <v>1030256</v>
      </c>
      <c r="C8" t="s">
        <v>687</v>
      </c>
      <c r="F8" s="218" t="s">
        <v>675</v>
      </c>
    </row>
    <row r="9" spans="1:14" x14ac:dyDescent="0.55000000000000004">
      <c r="A9" t="s">
        <v>686</v>
      </c>
      <c r="B9" s="336">
        <f>B8*B30*1000</f>
        <v>6905432.9016786581</v>
      </c>
      <c r="C9" t="s">
        <v>704</v>
      </c>
      <c r="F9" s="219">
        <v>140000</v>
      </c>
      <c r="G9" s="335">
        <f>140000/Biogasudbytte!C18</f>
        <v>2333333.3333333335</v>
      </c>
    </row>
    <row r="10" spans="1:14" x14ac:dyDescent="0.55000000000000004">
      <c r="A10" t="s">
        <v>688</v>
      </c>
    </row>
    <row r="12" spans="1:14" ht="16.8" x14ac:dyDescent="0.65">
      <c r="A12" s="329" t="s">
        <v>667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55000000000000004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55000000000000004">
      <c r="A14" s="328"/>
      <c r="B14" s="328"/>
      <c r="C14" s="328"/>
      <c r="D14" s="331" t="s">
        <v>659</v>
      </c>
      <c r="E14" s="331" t="s">
        <v>660</v>
      </c>
      <c r="F14" s="331" t="s">
        <v>661</v>
      </c>
      <c r="G14" s="331" t="s">
        <v>662</v>
      </c>
      <c r="H14" s="331" t="s">
        <v>663</v>
      </c>
      <c r="I14" s="331" t="s">
        <v>664</v>
      </c>
      <c r="J14" s="331" t="s">
        <v>665</v>
      </c>
      <c r="K14" s="331" t="s">
        <v>666</v>
      </c>
      <c r="L14" s="331" t="s">
        <v>94</v>
      </c>
      <c r="M14" s="331" t="s">
        <v>259</v>
      </c>
      <c r="N14" s="331" t="s">
        <v>619</v>
      </c>
    </row>
    <row r="15" spans="1:14" x14ac:dyDescent="0.55000000000000004">
      <c r="A15" s="331" t="s">
        <v>668</v>
      </c>
      <c r="B15" s="331" t="s">
        <v>99</v>
      </c>
      <c r="C15" s="331" t="s">
        <v>669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55000000000000004">
      <c r="A16" s="328"/>
      <c r="B16" s="328"/>
      <c r="C16" s="331" t="s">
        <v>670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55000000000000004">
      <c r="A17" s="328"/>
      <c r="B17" s="328"/>
      <c r="C17" s="331" t="s">
        <v>671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55000000000000004">
      <c r="A18" s="328"/>
      <c r="B18" s="328"/>
      <c r="C18" s="331" t="s">
        <v>672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55000000000000004">
      <c r="A19" s="328"/>
      <c r="B19" s="328"/>
      <c r="C19" s="331" t="s">
        <v>673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55000000000000004">
      <c r="A20" s="328"/>
      <c r="B20" s="328"/>
      <c r="C20" s="331" t="s">
        <v>674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55000000000000004">
      <c r="N21" s="334">
        <f>SUM(N15:N20)</f>
        <v>1356538780.5555556</v>
      </c>
    </row>
    <row r="24" spans="1:14" x14ac:dyDescent="0.55000000000000004">
      <c r="A24" s="167" t="s">
        <v>676</v>
      </c>
      <c r="B24" t="s">
        <v>772</v>
      </c>
    </row>
    <row r="25" spans="1:14" x14ac:dyDescent="0.55000000000000004">
      <c r="A25" t="s">
        <v>677</v>
      </c>
      <c r="B25">
        <v>30</v>
      </c>
      <c r="C25" t="s">
        <v>678</v>
      </c>
    </row>
    <row r="26" spans="1:14" x14ac:dyDescent="0.55000000000000004">
      <c r="A26" t="s">
        <v>679</v>
      </c>
      <c r="B26">
        <v>4.3</v>
      </c>
      <c r="C26" t="s">
        <v>680</v>
      </c>
    </row>
    <row r="27" spans="1:14" x14ac:dyDescent="0.55000000000000004">
      <c r="A27" t="s">
        <v>679</v>
      </c>
      <c r="B27">
        <f>B26/B25</f>
        <v>0.14333333333333334</v>
      </c>
      <c r="C27" t="s">
        <v>681</v>
      </c>
    </row>
    <row r="28" spans="1:14" x14ac:dyDescent="0.55000000000000004">
      <c r="A28" t="s">
        <v>682</v>
      </c>
      <c r="B28">
        <f>B27*0.65</f>
        <v>9.3166666666666675E-2</v>
      </c>
      <c r="C28" t="s">
        <v>683</v>
      </c>
    </row>
    <row r="29" spans="1:14" x14ac:dyDescent="0.55000000000000004">
      <c r="A29" s="167" t="s">
        <v>690</v>
      </c>
    </row>
    <row r="30" spans="1:14" x14ac:dyDescent="0.55000000000000004">
      <c r="A30" t="s">
        <v>684</v>
      </c>
      <c r="B30">
        <f>B28/Biogasudbytte!B18</f>
        <v>6.7026378896882502E-3</v>
      </c>
      <c r="C30" t="s">
        <v>689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4" x14ac:dyDescent="0.55000000000000004"/>
  <cols>
    <col min="1" max="1" width="57" bestFit="1" customWidth="1"/>
    <col min="2" max="2" width="44.83984375" bestFit="1" customWidth="1"/>
    <col min="3" max="3" width="16.15625" bestFit="1" customWidth="1"/>
    <col min="4" max="4" width="15.41796875" bestFit="1" customWidth="1"/>
    <col min="5" max="5" width="11.578125" customWidth="1"/>
    <col min="14" max="14" width="9.68359375" customWidth="1"/>
    <col min="18" max="18" width="12" bestFit="1" customWidth="1"/>
  </cols>
  <sheetData>
    <row r="1" spans="1:14" ht="20.399999999999999" x14ac:dyDescent="0.7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55000000000000004">
      <c r="A2" s="161" t="s">
        <v>702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4.7" thickBot="1" x14ac:dyDescent="0.6">
      <c r="A3" s="247" t="s">
        <v>813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6">
      <c r="A4" s="164" t="s">
        <v>817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1" t="s">
        <v>884</v>
      </c>
      <c r="F4" s="541"/>
      <c r="G4" s="541"/>
      <c r="H4" s="541"/>
      <c r="I4" s="541"/>
      <c r="J4" s="541"/>
      <c r="K4" s="541"/>
      <c r="L4" s="541"/>
      <c r="M4" s="541"/>
      <c r="N4" s="541"/>
    </row>
    <row r="5" spans="1:14" ht="14.65" customHeight="1" x14ac:dyDescent="0.55000000000000004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1"/>
      <c r="F5" s="541"/>
      <c r="G5" s="541"/>
      <c r="H5" s="541"/>
      <c r="I5" s="541"/>
      <c r="J5" s="541"/>
      <c r="K5" s="541"/>
      <c r="L5" s="541"/>
      <c r="M5" s="541"/>
      <c r="N5" s="541"/>
    </row>
    <row r="6" spans="1:14" x14ac:dyDescent="0.55000000000000004">
      <c r="A6" s="162" t="s">
        <v>811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</row>
    <row r="7" spans="1:14" x14ac:dyDescent="0.55000000000000004">
      <c r="A7" s="162" t="s">
        <v>814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55000000000000004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55000000000000004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55000000000000004">
      <c r="A10" t="s">
        <v>319</v>
      </c>
    </row>
    <row r="11" spans="1:14" x14ac:dyDescent="0.55000000000000004">
      <c r="A11" s="166"/>
      <c r="K11" s="2"/>
      <c r="L11" s="2"/>
    </row>
    <row r="12" spans="1:14" ht="16.8" x14ac:dyDescent="0.65">
      <c r="A12" s="339" t="s">
        <v>313</v>
      </c>
      <c r="B12" s="338"/>
      <c r="C12" s="338"/>
      <c r="D12" s="338"/>
    </row>
    <row r="13" spans="1:14" x14ac:dyDescent="0.55000000000000004">
      <c r="A13" s="340" t="s">
        <v>314</v>
      </c>
      <c r="B13" s="338"/>
      <c r="C13" s="338"/>
      <c r="D13" s="338"/>
    </row>
    <row r="14" spans="1:14" x14ac:dyDescent="0.55000000000000004">
      <c r="A14" s="338"/>
      <c r="B14" s="338"/>
      <c r="C14" s="341" t="s">
        <v>315</v>
      </c>
      <c r="D14" s="341" t="s">
        <v>316</v>
      </c>
    </row>
    <row r="15" spans="1:14" x14ac:dyDescent="0.55000000000000004">
      <c r="A15" s="341" t="s">
        <v>259</v>
      </c>
      <c r="B15" s="341" t="s">
        <v>699</v>
      </c>
      <c r="C15" s="342">
        <v>0</v>
      </c>
      <c r="D15" s="342">
        <v>0</v>
      </c>
    </row>
    <row r="16" spans="1:14" x14ac:dyDescent="0.55000000000000004">
      <c r="A16" s="338"/>
      <c r="B16" s="341" t="s">
        <v>318</v>
      </c>
      <c r="C16" s="342">
        <v>793037</v>
      </c>
      <c r="D16" s="342">
        <v>189772</v>
      </c>
    </row>
    <row r="17" spans="1:5" x14ac:dyDescent="0.55000000000000004">
      <c r="A17" s="338"/>
      <c r="B17" s="341" t="s">
        <v>700</v>
      </c>
      <c r="C17" s="342">
        <v>5534</v>
      </c>
      <c r="D17" s="342">
        <v>488981</v>
      </c>
    </row>
    <row r="18" spans="1:5" x14ac:dyDescent="0.55000000000000004">
      <c r="A18" s="338"/>
      <c r="B18" s="341" t="s">
        <v>701</v>
      </c>
      <c r="C18" s="342">
        <v>130234</v>
      </c>
      <c r="D18" s="342">
        <v>222906</v>
      </c>
    </row>
    <row r="19" spans="1:5" s="456" customFormat="1" x14ac:dyDescent="0.55000000000000004">
      <c r="A19" s="343"/>
      <c r="B19" s="346" t="s">
        <v>852</v>
      </c>
      <c r="C19" s="347">
        <v>0</v>
      </c>
      <c r="D19" s="347">
        <v>224372</v>
      </c>
    </row>
    <row r="20" spans="1:5" x14ac:dyDescent="0.55000000000000004">
      <c r="E20">
        <f>SUM(C16:D18)</f>
        <v>1830464</v>
      </c>
    </row>
    <row r="21" spans="1:5" ht="16.8" x14ac:dyDescent="0.65">
      <c r="A21" s="344" t="s">
        <v>313</v>
      </c>
      <c r="B21" s="343"/>
      <c r="C21" s="343"/>
      <c r="D21" s="343"/>
    </row>
    <row r="22" spans="1:5" x14ac:dyDescent="0.55000000000000004">
      <c r="A22" s="345" t="s">
        <v>314</v>
      </c>
      <c r="B22" s="343"/>
      <c r="C22" s="343"/>
      <c r="D22" s="343"/>
    </row>
    <row r="23" spans="1:5" x14ac:dyDescent="0.55000000000000004">
      <c r="A23" s="343"/>
      <c r="B23" s="343"/>
      <c r="C23" s="346" t="s">
        <v>320</v>
      </c>
      <c r="D23" s="346" t="s">
        <v>321</v>
      </c>
      <c r="E23" t="s">
        <v>810</v>
      </c>
    </row>
    <row r="24" spans="1:5" x14ac:dyDescent="0.55000000000000004">
      <c r="A24" s="346" t="s">
        <v>259</v>
      </c>
      <c r="B24" s="346" t="s">
        <v>699</v>
      </c>
      <c r="C24" s="347">
        <v>0</v>
      </c>
      <c r="D24" s="347">
        <v>0</v>
      </c>
    </row>
    <row r="25" spans="1:5" x14ac:dyDescent="0.55000000000000004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55000000000000004">
      <c r="A26" s="343"/>
      <c r="B26" s="346" t="s">
        <v>700</v>
      </c>
      <c r="C26" s="347">
        <v>73281</v>
      </c>
      <c r="D26" s="347">
        <v>17318</v>
      </c>
      <c r="E26">
        <v>267736</v>
      </c>
    </row>
    <row r="27" spans="1:5" x14ac:dyDescent="0.55000000000000004">
      <c r="A27" s="343"/>
      <c r="B27" s="346" t="s">
        <v>701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3984375" defaultRowHeight="14.4" x14ac:dyDescent="0.55000000000000004"/>
  <cols>
    <col min="1" max="1" width="18.41796875" bestFit="1" customWidth="1"/>
    <col min="2" max="2" width="35.41796875" bestFit="1" customWidth="1"/>
    <col min="3" max="3" width="14.26171875" bestFit="1" customWidth="1"/>
    <col min="4" max="4" width="9.15625" customWidth="1"/>
    <col min="5" max="16384" width="8.83984375" style="146"/>
  </cols>
  <sheetData>
    <row r="1" spans="1:10" customFormat="1" x14ac:dyDescent="0.55000000000000004">
      <c r="A1" s="400" t="s">
        <v>40</v>
      </c>
      <c r="B1" s="400" t="s">
        <v>643</v>
      </c>
      <c r="C1" s="400" t="s">
        <v>43</v>
      </c>
      <c r="E1" s="254" t="s">
        <v>513</v>
      </c>
    </row>
    <row r="2" spans="1:10" customFormat="1" x14ac:dyDescent="0.55000000000000004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55000000000000004">
      <c r="A3" s="400" t="s">
        <v>13</v>
      </c>
      <c r="B3" s="398">
        <v>51.25</v>
      </c>
      <c r="C3" s="399">
        <v>0.28000000000000003</v>
      </c>
    </row>
    <row r="4" spans="1:10" x14ac:dyDescent="0.55000000000000004">
      <c r="A4" s="400" t="s">
        <v>488</v>
      </c>
      <c r="B4" s="422">
        <v>12</v>
      </c>
      <c r="C4" s="433">
        <v>0.05</v>
      </c>
    </row>
    <row r="5" spans="1:10" x14ac:dyDescent="0.55000000000000004">
      <c r="A5" s="400" t="s">
        <v>489</v>
      </c>
      <c r="B5" s="422">
        <v>14.1</v>
      </c>
      <c r="C5" s="433">
        <v>7.5999999999999998E-2</v>
      </c>
    </row>
    <row r="6" spans="1:10" x14ac:dyDescent="0.55000000000000004">
      <c r="A6" s="400" t="s">
        <v>490</v>
      </c>
      <c r="B6" s="422">
        <v>13.1</v>
      </c>
      <c r="C6" s="433">
        <v>6.3E-2</v>
      </c>
    </row>
    <row r="7" spans="1:10" x14ac:dyDescent="0.55000000000000004">
      <c r="A7" s="400" t="s">
        <v>39</v>
      </c>
      <c r="B7" s="422">
        <v>60</v>
      </c>
      <c r="C7" s="433">
        <v>0.3</v>
      </c>
    </row>
    <row r="8" spans="1:10" x14ac:dyDescent="0.55000000000000004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55000000000000004">
      <c r="A9" s="400" t="s">
        <v>42</v>
      </c>
      <c r="B9" s="398">
        <v>75.599999999999994</v>
      </c>
      <c r="C9" s="399">
        <v>0.2</v>
      </c>
    </row>
    <row r="10" spans="1:10" x14ac:dyDescent="0.55000000000000004">
      <c r="A10" s="400" t="s">
        <v>312</v>
      </c>
      <c r="B10" s="398">
        <v>94.9</v>
      </c>
      <c r="C10" s="399">
        <v>0.28000000000000003</v>
      </c>
    </row>
    <row r="11" spans="1:10" x14ac:dyDescent="0.55000000000000004">
      <c r="A11" s="400" t="s">
        <v>41</v>
      </c>
      <c r="B11" s="398">
        <v>120.7</v>
      </c>
      <c r="C11" s="399">
        <v>0.42</v>
      </c>
      <c r="F11" s="162"/>
    </row>
    <row r="12" spans="1:10" x14ac:dyDescent="0.55000000000000004">
      <c r="A12" s="400" t="s">
        <v>301</v>
      </c>
      <c r="B12" s="422">
        <v>25</v>
      </c>
      <c r="C12" s="433">
        <v>0.15</v>
      </c>
    </row>
    <row r="13" spans="1:10" x14ac:dyDescent="0.55000000000000004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55000000000000004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55000000000000004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55000000000000004">
      <c r="A16" s="400" t="s">
        <v>650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55000000000000004">
      <c r="A17" s="400" t="s">
        <v>509</v>
      </c>
      <c r="B17" s="422">
        <v>423.36</v>
      </c>
      <c r="C17" s="433">
        <v>0.9</v>
      </c>
    </row>
    <row r="18" spans="1:12" x14ac:dyDescent="0.55000000000000004">
      <c r="A18" s="400" t="s">
        <v>492</v>
      </c>
      <c r="B18" s="422">
        <v>13.9</v>
      </c>
      <c r="C18" s="433">
        <v>0.06</v>
      </c>
    </row>
    <row r="19" spans="1:12" x14ac:dyDescent="0.55000000000000004">
      <c r="D19" s="173"/>
    </row>
    <row r="20" spans="1:12" x14ac:dyDescent="0.55000000000000004">
      <c r="A20" s="146"/>
      <c r="B20" s="173"/>
      <c r="C20" s="173"/>
      <c r="D20" s="173"/>
    </row>
    <row r="21" spans="1:12" x14ac:dyDescent="0.55000000000000004">
      <c r="A21" s="146"/>
      <c r="B21" s="173"/>
      <c r="C21" s="173"/>
      <c r="D21" s="173"/>
      <c r="H21" s="150"/>
      <c r="I21" s="162"/>
      <c r="J21" s="162"/>
    </row>
    <row r="22" spans="1:12" x14ac:dyDescent="0.55000000000000004">
      <c r="A22" s="146"/>
      <c r="B22" s="173"/>
      <c r="C22" s="173"/>
      <c r="D22" s="173"/>
    </row>
    <row r="23" spans="1:12" x14ac:dyDescent="0.55000000000000004">
      <c r="A23" s="146"/>
      <c r="B23" s="173"/>
      <c r="C23" s="173"/>
      <c r="D23" s="173"/>
    </row>
    <row r="24" spans="1:12" x14ac:dyDescent="0.55000000000000004">
      <c r="A24" s="146"/>
      <c r="B24" s="173"/>
      <c r="C24" s="173"/>
      <c r="D24" s="173"/>
    </row>
    <row r="25" spans="1:12" x14ac:dyDescent="0.55000000000000004">
      <c r="A25" s="146"/>
      <c r="B25" s="173"/>
      <c r="C25" s="173"/>
      <c r="D25" s="173"/>
      <c r="K25" s="441"/>
      <c r="L25" s="441"/>
    </row>
    <row r="26" spans="1:12" x14ac:dyDescent="0.55000000000000004">
      <c r="A26" s="146"/>
      <c r="B26" s="173"/>
      <c r="C26" s="173"/>
      <c r="D26" s="173"/>
      <c r="I26" s="162"/>
      <c r="J26" s="162"/>
      <c r="K26" s="441"/>
      <c r="L26" s="441"/>
    </row>
    <row r="27" spans="1:12" x14ac:dyDescent="0.55000000000000004">
      <c r="A27" s="146"/>
      <c r="B27" s="173"/>
      <c r="C27" s="173"/>
      <c r="D27" s="173"/>
    </row>
    <row r="28" spans="1:12" x14ac:dyDescent="0.55000000000000004">
      <c r="A28" s="146"/>
      <c r="B28" s="173"/>
      <c r="C28" s="173"/>
      <c r="D28" s="173"/>
    </row>
    <row r="29" spans="1:12" x14ac:dyDescent="0.55000000000000004">
      <c r="A29" s="146"/>
      <c r="B29" s="173"/>
      <c r="C29" s="173"/>
      <c r="D29" s="173"/>
    </row>
    <row r="30" spans="1:12" x14ac:dyDescent="0.55000000000000004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tabSelected="1" workbookViewId="0">
      <selection activeCell="D19" sqref="D19"/>
    </sheetView>
  </sheetViews>
  <sheetFormatPr defaultRowHeight="14.4" x14ac:dyDescent="0.55000000000000004"/>
  <cols>
    <col min="1" max="1" width="22.41796875" customWidth="1"/>
    <col min="2" max="2" width="23.26171875" customWidth="1"/>
    <col min="3" max="3" width="25.26171875" customWidth="1"/>
    <col min="4" max="4" width="51.83984375" customWidth="1"/>
    <col min="5" max="6" width="11.578125" bestFit="1" customWidth="1"/>
    <col min="8" max="8" width="13.26171875" bestFit="1" customWidth="1"/>
    <col min="10" max="10" width="12" bestFit="1" customWidth="1"/>
  </cols>
  <sheetData>
    <row r="1" spans="1:10" x14ac:dyDescent="0.55000000000000004">
      <c r="A1" s="267"/>
      <c r="B1" s="267" t="s">
        <v>305</v>
      </c>
      <c r="C1" s="267" t="s">
        <v>886</v>
      </c>
      <c r="D1" s="267"/>
      <c r="E1" t="s">
        <v>887</v>
      </c>
    </row>
    <row r="2" spans="1:10" ht="15" customHeight="1" x14ac:dyDescent="0.55000000000000004">
      <c r="A2" s="267" t="s">
        <v>37</v>
      </c>
      <c r="B2" s="267" t="s">
        <v>401</v>
      </c>
      <c r="C2" s="245">
        <f>D27</f>
        <v>1.0335806339134365E-5</v>
      </c>
      <c r="D2" s="489" t="s">
        <v>714</v>
      </c>
      <c r="E2">
        <v>14.5</v>
      </c>
    </row>
    <row r="3" spans="1:10" ht="45.75" customHeight="1" x14ac:dyDescent="0.55000000000000004">
      <c r="A3" s="267" t="s">
        <v>710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3.2" x14ac:dyDescent="0.55000000000000004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55000000000000004">
      <c r="A5" s="267" t="s">
        <v>395</v>
      </c>
      <c r="B5" s="267" t="s">
        <v>401</v>
      </c>
      <c r="C5" s="486">
        <f>C19/D19</f>
        <v>4.3511870809379823E-5</v>
      </c>
      <c r="D5" s="492" t="s">
        <v>715</v>
      </c>
      <c r="E5" s="485" t="s">
        <v>908</v>
      </c>
    </row>
    <row r="6" spans="1:10" ht="15" customHeight="1" x14ac:dyDescent="0.55000000000000004">
      <c r="A6" s="267" t="s">
        <v>517</v>
      </c>
      <c r="B6" s="267" t="s">
        <v>401</v>
      </c>
      <c r="C6" s="486">
        <f>D24</f>
        <v>1.7852220520673815E-5</v>
      </c>
      <c r="D6" s="492" t="s">
        <v>714</v>
      </c>
      <c r="E6" t="s">
        <v>888</v>
      </c>
    </row>
    <row r="7" spans="1:10" ht="15" customHeight="1" x14ac:dyDescent="0.55000000000000004">
      <c r="A7" s="267" t="s">
        <v>312</v>
      </c>
      <c r="B7" s="267" t="s">
        <v>401</v>
      </c>
      <c r="C7" s="486">
        <f>D24</f>
        <v>1.7852220520673815E-5</v>
      </c>
      <c r="D7" s="492" t="s">
        <v>714</v>
      </c>
      <c r="E7" t="s">
        <v>889</v>
      </c>
    </row>
    <row r="8" spans="1:10" s="456" customFormat="1" x14ac:dyDescent="0.55000000000000004">
      <c r="A8" s="471" t="s">
        <v>879</v>
      </c>
      <c r="B8" s="471" t="s">
        <v>401</v>
      </c>
      <c r="C8" s="488">
        <f>'Procesdata (baggrund)'!I23</f>
        <v>3.326857142857142E-5</v>
      </c>
      <c r="D8" s="479" t="s">
        <v>880</v>
      </c>
    </row>
    <row r="9" spans="1:10" s="456" customFormat="1" x14ac:dyDescent="0.55000000000000004">
      <c r="A9" s="471" t="s">
        <v>867</v>
      </c>
      <c r="B9" s="471" t="s">
        <v>401</v>
      </c>
      <c r="C9" s="487">
        <f>'Procesdata (baggrund)'!I24</f>
        <v>8.9614285714285689E-6</v>
      </c>
      <c r="D9" s="479" t="s">
        <v>880</v>
      </c>
    </row>
    <row r="10" spans="1:10" x14ac:dyDescent="0.55000000000000004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55000000000000004">
      <c r="A13" s="267"/>
      <c r="B13" s="267" t="s">
        <v>694</v>
      </c>
      <c r="C13" s="267" t="s">
        <v>695</v>
      </c>
      <c r="D13" s="267" t="s">
        <v>804</v>
      </c>
    </row>
    <row r="14" spans="1:10" x14ac:dyDescent="0.55000000000000004">
      <c r="A14" s="267" t="s">
        <v>622</v>
      </c>
      <c r="B14" s="267">
        <v>139000</v>
      </c>
      <c r="C14" s="267">
        <v>14.757999999999999</v>
      </c>
      <c r="D14" s="267"/>
    </row>
    <row r="15" spans="1:10" x14ac:dyDescent="0.55000000000000004">
      <c r="A15" s="267" t="s">
        <v>696</v>
      </c>
      <c r="B15" s="267">
        <v>1763000</v>
      </c>
      <c r="C15" s="267">
        <v>21.187000000000001</v>
      </c>
      <c r="D15" s="267"/>
      <c r="E15" s="456"/>
      <c r="J15" s="337"/>
    </row>
    <row r="16" spans="1:10" x14ac:dyDescent="0.55000000000000004">
      <c r="A16" s="267" t="s">
        <v>697</v>
      </c>
      <c r="B16" s="267">
        <v>205000</v>
      </c>
      <c r="C16" s="267">
        <v>1.988</v>
      </c>
      <c r="D16" s="267"/>
      <c r="E16" s="456"/>
      <c r="F16" s="456"/>
    </row>
    <row r="17" spans="1:8" x14ac:dyDescent="0.55000000000000004">
      <c r="A17" s="267" t="s">
        <v>698</v>
      </c>
      <c r="B17" s="267">
        <f>1643000*'Processer - data'!H424</f>
        <v>854360</v>
      </c>
      <c r="C17" s="267">
        <v>8.9450000000000003</v>
      </c>
      <c r="D17" s="267"/>
      <c r="E17" s="456"/>
      <c r="F17" s="456"/>
    </row>
    <row r="18" spans="1:8" x14ac:dyDescent="0.55000000000000004">
      <c r="A18" s="267" t="s">
        <v>329</v>
      </c>
      <c r="B18" s="267"/>
      <c r="C18" s="267">
        <f>-D18</f>
        <v>-3.8615553516557766</v>
      </c>
      <c r="D18" s="267">
        <v>3.8615553516557766</v>
      </c>
    </row>
    <row r="19" spans="1:8" x14ac:dyDescent="0.55000000000000004">
      <c r="A19" s="267"/>
      <c r="B19" s="267">
        <f>SUM(B14:B17)</f>
        <v>2961360</v>
      </c>
      <c r="C19" s="267">
        <f>SUM(C14:C18)</f>
        <v>43.016444648344226</v>
      </c>
      <c r="D19" s="267">
        <v>988614</v>
      </c>
    </row>
    <row r="20" spans="1:8" x14ac:dyDescent="0.55000000000000004">
      <c r="H20" s="334"/>
    </row>
    <row r="21" spans="1:8" x14ac:dyDescent="0.55000000000000004">
      <c r="A21" s="267" t="s">
        <v>806</v>
      </c>
      <c r="B21" s="267" t="s">
        <v>712</v>
      </c>
      <c r="C21" s="267" t="s">
        <v>713</v>
      </c>
      <c r="D21" s="267"/>
    </row>
    <row r="22" spans="1:8" x14ac:dyDescent="0.55000000000000004">
      <c r="A22" s="267" t="s">
        <v>805</v>
      </c>
      <c r="B22" s="267">
        <v>633738</v>
      </c>
      <c r="C22" s="267"/>
      <c r="D22" s="267"/>
    </row>
    <row r="23" spans="1:8" x14ac:dyDescent="0.55000000000000004">
      <c r="A23" s="267" t="s">
        <v>705</v>
      </c>
      <c r="B23" s="267">
        <f>SUM(Affald!C15:D18)-SUM(Affald!C26:D27)</f>
        <v>1678538</v>
      </c>
      <c r="C23" s="267"/>
      <c r="D23" s="267"/>
    </row>
    <row r="24" spans="1:8" x14ac:dyDescent="0.55000000000000004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55000000000000004">
      <c r="A26" s="267"/>
      <c r="B26" s="267" t="s">
        <v>717</v>
      </c>
      <c r="C26" s="267" t="s">
        <v>713</v>
      </c>
      <c r="D26" s="267"/>
      <c r="E26" s="267"/>
    </row>
    <row r="27" spans="1:8" x14ac:dyDescent="0.55000000000000004">
      <c r="A27" s="267" t="s">
        <v>716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55000000000000004">
      <c r="A28" s="267" t="s">
        <v>718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4.4" x14ac:dyDescent="0.55000000000000004"/>
  <sheetData>
    <row r="1" spans="1:11" x14ac:dyDescent="0.55000000000000004">
      <c r="B1" t="s">
        <v>43</v>
      </c>
      <c r="J1" t="s">
        <v>43</v>
      </c>
    </row>
    <row r="2" spans="1:11" x14ac:dyDescent="0.55000000000000004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55000000000000004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55000000000000004">
      <c r="A4" s="323" t="s">
        <v>650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707</v>
      </c>
    </row>
    <row r="5" spans="1:11" x14ac:dyDescent="0.55000000000000004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706</v>
      </c>
    </row>
    <row r="6" spans="1:11" x14ac:dyDescent="0.55000000000000004">
      <c r="A6" s="323" t="s">
        <v>490</v>
      </c>
      <c r="B6">
        <f>IFERROR(VLOOKUP(A6,Biogasudbytte!$A$2:$C$18,3,FALSE),VLOOKUP(A6,$I$2:$J$8,2,FALSE))</f>
        <v>6.3E-2</v>
      </c>
      <c r="I6" s="323" t="s">
        <v>709</v>
      </c>
      <c r="J6">
        <v>0.91</v>
      </c>
      <c r="K6" t="s">
        <v>706</v>
      </c>
    </row>
    <row r="7" spans="1:11" x14ac:dyDescent="0.55000000000000004">
      <c r="A7" s="322" t="s">
        <v>509</v>
      </c>
      <c r="B7">
        <f>IFERROR(VLOOKUP(A7,Biogasudbytte!$A$2:$C$18,3,FALSE),VLOOKUP(A7,$I$2:$J$8,2,FALSE))</f>
        <v>0.9</v>
      </c>
      <c r="I7" s="323" t="s">
        <v>710</v>
      </c>
      <c r="J7">
        <v>0.91</v>
      </c>
      <c r="K7" t="s">
        <v>706</v>
      </c>
    </row>
    <row r="8" spans="1:11" x14ac:dyDescent="0.55000000000000004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f>AVERAGE(0.58,0.57,0.57,0.565,0.54,0.5,0.49,0.46,0.44,0.43,0.42,0.37)</f>
        <v>0.49458333333333332</v>
      </c>
      <c r="K8" t="s">
        <v>707</v>
      </c>
    </row>
    <row r="9" spans="1:11" x14ac:dyDescent="0.55000000000000004">
      <c r="A9" s="322" t="s">
        <v>37</v>
      </c>
      <c r="B9">
        <f>IFERROR(VLOOKUP(A9,Biogasudbytte!$A$2:$C$18,3,FALSE),VLOOKUP(A9,$I$2:$J$8,2,FALSE))</f>
        <v>0.85</v>
      </c>
    </row>
    <row r="10" spans="1:11" x14ac:dyDescent="0.55000000000000004">
      <c r="A10" s="323" t="s">
        <v>517</v>
      </c>
      <c r="B10">
        <f>IFERROR(VLOOKUP(A10,Biogasudbytte!$A$2:$C$18,3,FALSE),VLOOKUP(A10,$I$2:$J$8,2,FALSE))</f>
        <v>0.3</v>
      </c>
    </row>
    <row r="11" spans="1:11" x14ac:dyDescent="0.55000000000000004">
      <c r="A11" s="322" t="s">
        <v>41</v>
      </c>
      <c r="B11">
        <f>IFERROR(VLOOKUP(A11,Biogasudbytte!$A$2:$C$18,3,FALSE),VLOOKUP(A11,$I$2:$J$8,2,FALSE))</f>
        <v>0.42</v>
      </c>
    </row>
    <row r="12" spans="1:11" x14ac:dyDescent="0.55000000000000004">
      <c r="A12" s="323" t="s">
        <v>178</v>
      </c>
      <c r="B12">
        <f>IFERROR(VLOOKUP(A12,Biogasudbytte!$A$2:$C$18,3,FALSE),VLOOKUP(A12,$I$2:$J$8,2,FALSE))</f>
        <v>0.25</v>
      </c>
    </row>
    <row r="13" spans="1:11" x14ac:dyDescent="0.55000000000000004">
      <c r="A13" s="322" t="s">
        <v>11</v>
      </c>
      <c r="B13">
        <f>IFERROR(VLOOKUP(A13,Biogasudbytte!$A$2:$C$18,3,FALSE),VLOOKUP(A13,$I$2:$J$8,2,FALSE))</f>
        <v>0.31</v>
      </c>
    </row>
    <row r="14" spans="1:11" x14ac:dyDescent="0.55000000000000004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55000000000000004">
      <c r="A15" s="322" t="s">
        <v>15</v>
      </c>
      <c r="B15">
        <f>IFERROR(VLOOKUP(A15,Biogasudbytte!$A$2:$C$18,3,FALSE),VLOOKUP(A15,$I$2:$J$8,2,FALSE))</f>
        <v>0.3</v>
      </c>
    </row>
    <row r="16" spans="1:11" x14ac:dyDescent="0.55000000000000004">
      <c r="A16" s="323" t="s">
        <v>301</v>
      </c>
      <c r="B16">
        <f>IFERROR(VLOOKUP(A16,Biogasudbytte!$A$2:$C$18,3,FALSE),VLOOKUP(A16,$I$2:$J$8,2,FALSE))</f>
        <v>0.15</v>
      </c>
    </row>
    <row r="17" spans="1:2" x14ac:dyDescent="0.55000000000000004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55000000000000004">
      <c r="A18" s="323" t="s">
        <v>167</v>
      </c>
      <c r="B18">
        <f>IFERROR(VLOOKUP(A18,Biogasudbytte!$A$2:$C$18,3,FALSE),VLOOKUP(A18,$I$2:$J$8,2,FALSE))</f>
        <v>0.91</v>
      </c>
    </row>
    <row r="19" spans="1:2" x14ac:dyDescent="0.55000000000000004">
      <c r="A19" s="323" t="s">
        <v>709</v>
      </c>
      <c r="B19">
        <f>IFERROR(VLOOKUP(A19,Biogasudbytte!$A$2:$C$18,3,FALSE),VLOOKUP(A19,$I$2:$J$8,2,FALSE))</f>
        <v>0.91</v>
      </c>
    </row>
    <row r="20" spans="1:2" x14ac:dyDescent="0.55000000000000004">
      <c r="A20" s="322" t="s">
        <v>42</v>
      </c>
      <c r="B20">
        <f>IFERROR(VLOOKUP(A20,Biogasudbytte!$A$2:$C$18,3,FALSE),VLOOKUP(A20,$I$2:$J$8,2,FALSE))</f>
        <v>0.2</v>
      </c>
    </row>
    <row r="21" spans="1:2" x14ac:dyDescent="0.55000000000000004">
      <c r="A21" s="322" t="s">
        <v>492</v>
      </c>
      <c r="B21">
        <f>IFERROR(VLOOKUP(A21,Biogasudbytte!$A$2:$C$18,3,FALSE),VLOOKUP(A21,$I$2:$J$8,2,FALSE))</f>
        <v>0.06</v>
      </c>
    </row>
    <row r="22" spans="1:2" x14ac:dyDescent="0.55000000000000004">
      <c r="A22" s="323" t="s">
        <v>488</v>
      </c>
      <c r="B22">
        <f>IFERROR(VLOOKUP(A22,Biogasudbytte!$A$2:$C$18,3,FALSE),VLOOKUP(A22,$I$2:$J$8,2,FALSE))</f>
        <v>0.05</v>
      </c>
    </row>
    <row r="23" spans="1:2" x14ac:dyDescent="0.55000000000000004">
      <c r="A23" s="322" t="s">
        <v>300</v>
      </c>
      <c r="B23">
        <f>IFERROR(VLOOKUP(A23,Biogasudbytte!$A$2:$C$18,3,FALSE),VLOOKUP(A23,$I$2:$J$8,2,FALSE))</f>
        <v>0.15</v>
      </c>
    </row>
    <row r="24" spans="1:2" x14ac:dyDescent="0.55000000000000004">
      <c r="A24" s="323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2021-12-16T08:34:49Z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925594508647918</vt:r8>
  </property>
</Properties>
</file>