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C8F81B66-6093-4457-8F41-BEFDE9019DFA}" xr6:coauthVersionLast="47" xr6:coauthVersionMax="47" xr10:uidLastSave="{00000000-0000-0000-0000-000000000000}"/>
  <bookViews>
    <workbookView xWindow="-96" yWindow="-96" windowWidth="23232" windowHeight="12552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B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<sst xmlns="http://schemas.openxmlformats.org/spreadsheetml/2006/main" count="3650" uniqueCount="898">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</sst>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90" t="s">
        <v>0</v>
      </c>
      <c r="B1" s="490"/>
    </row>
    <row r="2" spans="1:5" ht="30" customHeight="1" x14ac:dyDescent="0.55000000000000004">
      <c r="A2" s="489" t="s">
        <v>776</v>
      </c>
      <c r="B2" s="489"/>
    </row>
    <row r="3" spans="1:5" x14ac:dyDescent="0.55000000000000004">
      <c r="A3" s="492" t="s">
        <v>6</v>
      </c>
      <c r="B3" s="492"/>
    </row>
    <row r="4" spans="1:5" ht="28.9" customHeight="1" x14ac:dyDescent="0.55000000000000004">
      <c r="A4" s="489" t="s">
        <v>894</v>
      </c>
      <c r="B4" s="489"/>
    </row>
    <row r="5" spans="1:5" x14ac:dyDescent="0.55000000000000004">
      <c r="A5" s="491" t="s">
        <v>775</v>
      </c>
      <c r="B5" s="491"/>
    </row>
    <row r="7" spans="1:5" x14ac:dyDescent="0.55000000000000004">
      <c r="A7" s="2" t="s">
        <v>1</v>
      </c>
      <c r="B7" s="3" t="s">
        <v>895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489" t="s">
        <v>5</v>
      </c>
      <c r="B9" s="489"/>
    </row>
    <row r="10" spans="1:5" ht="14.7" thickTop="1" x14ac:dyDescent="0.55000000000000004">
      <c r="A10" s="373" t="s">
        <v>764</v>
      </c>
      <c r="B10" s="374" t="s">
        <v>297</v>
      </c>
      <c r="D10" s="406" t="s">
        <v>279</v>
      </c>
      <c r="E10" s="407"/>
    </row>
    <row r="11" spans="1:5" x14ac:dyDescent="0.55000000000000004">
      <c r="A11" s="375" t="s">
        <v>288</v>
      </c>
      <c r="B11" s="376" t="s">
        <v>765</v>
      </c>
      <c r="D11" s="408" t="s">
        <v>786</v>
      </c>
      <c r="E11" s="409" t="s">
        <v>280</v>
      </c>
    </row>
    <row r="12" spans="1:5" x14ac:dyDescent="0.55000000000000004">
      <c r="A12" s="375"/>
      <c r="B12" s="376" t="s">
        <v>4</v>
      </c>
      <c r="D12" s="408" t="s">
        <v>281</v>
      </c>
      <c r="E12" s="409" t="s">
        <v>282</v>
      </c>
    </row>
    <row r="13" spans="1:5" x14ac:dyDescent="0.55000000000000004">
      <c r="A13" s="377" t="s">
        <v>681</v>
      </c>
      <c r="B13" s="376" t="s">
        <v>766</v>
      </c>
      <c r="D13" s="408" t="s">
        <v>283</v>
      </c>
      <c r="E13" s="409" t="s">
        <v>284</v>
      </c>
    </row>
    <row r="14" spans="1:5" x14ac:dyDescent="0.55000000000000004">
      <c r="A14" s="375" t="s">
        <v>289</v>
      </c>
      <c r="B14" s="376" t="s">
        <v>767</v>
      </c>
      <c r="D14" s="408"/>
      <c r="E14" s="409"/>
    </row>
    <row r="15" spans="1:5" x14ac:dyDescent="0.55000000000000004">
      <c r="A15" s="375"/>
      <c r="B15" s="376"/>
      <c r="D15" s="410" t="s">
        <v>285</v>
      </c>
      <c r="E15" s="409"/>
    </row>
    <row r="16" spans="1:5" x14ac:dyDescent="0.55000000000000004">
      <c r="A16" s="377" t="s">
        <v>768</v>
      </c>
      <c r="B16" s="378" t="s">
        <v>769</v>
      </c>
      <c r="D16" s="408" t="s">
        <v>286</v>
      </c>
      <c r="E16" s="409"/>
    </row>
    <row r="17" spans="1:5" x14ac:dyDescent="0.55000000000000004">
      <c r="A17" s="375" t="s">
        <v>770</v>
      </c>
      <c r="B17" s="376" t="s">
        <v>771</v>
      </c>
      <c r="D17" s="408" t="s">
        <v>82</v>
      </c>
      <c r="E17" s="409"/>
    </row>
    <row r="18" spans="1:5" x14ac:dyDescent="0.55000000000000004">
      <c r="A18" s="375"/>
      <c r="B18" s="376"/>
      <c r="D18" s="408" t="s">
        <v>77</v>
      </c>
      <c r="E18" s="409"/>
    </row>
    <row r="19" spans="1:5" x14ac:dyDescent="0.55000000000000004">
      <c r="A19" s="377" t="s">
        <v>538</v>
      </c>
      <c r="B19" s="378" t="s">
        <v>36</v>
      </c>
      <c r="D19" s="408" t="s">
        <v>287</v>
      </c>
      <c r="E19" s="409"/>
    </row>
    <row r="20" spans="1:5" x14ac:dyDescent="0.55000000000000004">
      <c r="A20" s="375" t="s">
        <v>290</v>
      </c>
      <c r="B20" s="376" t="s">
        <v>772</v>
      </c>
      <c r="D20" s="408" t="s">
        <v>70</v>
      </c>
      <c r="E20" s="409"/>
    </row>
    <row r="21" spans="1:5" x14ac:dyDescent="0.55000000000000004">
      <c r="A21" s="375" t="s">
        <v>291</v>
      </c>
      <c r="B21" s="376"/>
      <c r="D21" s="408"/>
      <c r="E21" s="409"/>
    </row>
    <row r="22" spans="1:5" x14ac:dyDescent="0.55000000000000004">
      <c r="A22" s="375" t="s">
        <v>292</v>
      </c>
      <c r="B22" s="376"/>
      <c r="D22" s="410" t="s">
        <v>785</v>
      </c>
      <c r="E22" s="409"/>
    </row>
    <row r="23" spans="1:5" x14ac:dyDescent="0.55000000000000004">
      <c r="A23" s="375" t="s">
        <v>293</v>
      </c>
      <c r="B23" s="376"/>
      <c r="D23" s="408">
        <v>2019</v>
      </c>
      <c r="E23" s="409"/>
    </row>
    <row r="24" spans="1:5" x14ac:dyDescent="0.55000000000000004">
      <c r="A24" s="375" t="s">
        <v>773</v>
      </c>
      <c r="B24" s="376"/>
      <c r="D24" s="408">
        <v>2030</v>
      </c>
      <c r="E24" s="409"/>
    </row>
    <row r="25" spans="1:5" ht="14.7" thickBot="1" x14ac:dyDescent="0.6">
      <c r="A25" s="375" t="s">
        <v>774</v>
      </c>
      <c r="B25" s="376"/>
      <c r="D25" s="411">
        <v>2050</v>
      </c>
      <c r="E25" s="412"/>
    </row>
    <row r="26" spans="1:5" ht="14.7" thickTop="1" x14ac:dyDescent="0.55000000000000004">
      <c r="A26" s="375" t="s">
        <v>294</v>
      </c>
      <c r="B26" s="376"/>
    </row>
    <row r="27" spans="1:5" x14ac:dyDescent="0.55000000000000004">
      <c r="A27" s="375"/>
      <c r="B27" s="376"/>
    </row>
    <row r="28" spans="1:5" x14ac:dyDescent="0.55000000000000004">
      <c r="A28" s="377" t="s">
        <v>818</v>
      </c>
      <c r="B28" s="376"/>
    </row>
    <row r="29" spans="1:5" ht="14.7" thickBot="1" x14ac:dyDescent="0.6">
      <c r="A29" s="379" t="s">
        <v>3</v>
      </c>
      <c r="B29" s="380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493" t="s">
        <v>321</v>
      </c>
      <c r="I1" s="493"/>
      <c r="J1" s="493"/>
      <c r="K1" s="155"/>
    </row>
    <row r="2" spans="1:11" ht="14.7" thickBot="1" x14ac:dyDescent="0.6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55000000000000004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7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4.7" thickBot="1" x14ac:dyDescent="0.6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4.7" thickTop="1" x14ac:dyDescent="0.55000000000000004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4.7" thickBot="1" x14ac:dyDescent="0.6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4.7" thickTop="1" x14ac:dyDescent="0.55000000000000004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55000000000000004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4.7" thickBot="1" x14ac:dyDescent="0.6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4.7" thickTop="1" x14ac:dyDescent="0.55000000000000004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55000000000000004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55000000000000004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55000000000000004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55000000000000004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55000000000000004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55000000000000004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55000000000000004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55000000000000004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55000000000000004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55000000000000004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4.7" thickBot="1" x14ac:dyDescent="0.6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4.7" thickTop="1" x14ac:dyDescent="0.55000000000000004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55000000000000004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55000000000000004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55000000000000004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55000000000000004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55000000000000004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55000000000000004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55000000000000004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55000000000000004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55000000000000004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55000000000000004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4.7" thickBot="1" x14ac:dyDescent="0.6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4.7" thickTop="1" x14ac:dyDescent="0.55000000000000004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55000000000000004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55000000000000004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55000000000000004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55000000000000004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55000000000000004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55000000000000004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55000000000000004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55000000000000004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55000000000000004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55000000000000004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4.7" thickBot="1" x14ac:dyDescent="0.6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4.7" thickTop="1" x14ac:dyDescent="0.55000000000000004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55000000000000004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55000000000000004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55000000000000004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55000000000000004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55000000000000004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55000000000000004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55000000000000004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55000000000000004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55000000000000004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55000000000000004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4.7" thickBot="1" x14ac:dyDescent="0.6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4.7" thickTop="1" x14ac:dyDescent="0.55000000000000004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55000000000000004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55000000000000004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55000000000000004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55000000000000004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55000000000000004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55000000000000004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55000000000000004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55000000000000004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55000000000000004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55000000000000004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4.7" thickBot="1" x14ac:dyDescent="0.6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4.7" thickTop="1" x14ac:dyDescent="0.55000000000000004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55000000000000004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55000000000000004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55000000000000004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55000000000000004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55000000000000004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4.7" thickBot="1" x14ac:dyDescent="0.6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4.7" thickTop="1" x14ac:dyDescent="0.55000000000000004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55000000000000004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55000000000000004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55000000000000004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55000000000000004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55000000000000004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4.7" thickBot="1" x14ac:dyDescent="0.6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4.7" thickTop="1" x14ac:dyDescent="0.55000000000000004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55000000000000004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55000000000000004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55000000000000004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55000000000000004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55000000000000004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55000000000000004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4.7" thickBot="1" x14ac:dyDescent="0.6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4.7" thickTop="1" x14ac:dyDescent="0.55000000000000004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55000000000000004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55000000000000004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55000000000000004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55000000000000004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55000000000000004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55000000000000004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4.7" thickBot="1" x14ac:dyDescent="0.6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4.7" thickTop="1" x14ac:dyDescent="0.55000000000000004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55000000000000004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55000000000000004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55000000000000004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55000000000000004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55000000000000004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55000000000000004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4.7" thickBot="1" x14ac:dyDescent="0.6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4.7" thickTop="1" x14ac:dyDescent="0.55000000000000004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55000000000000004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55000000000000004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55000000000000004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55000000000000004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55000000000000004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55000000000000004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4.7" thickBot="1" x14ac:dyDescent="0.6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4.7" thickTop="1" x14ac:dyDescent="0.55000000000000004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55000000000000004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55000000000000004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4.7" thickBot="1" x14ac:dyDescent="0.6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4.7" thickTop="1" x14ac:dyDescent="0.55000000000000004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55000000000000004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55000000000000004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4.7" thickBot="1" x14ac:dyDescent="0.6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4.7" thickTop="1" x14ac:dyDescent="0.55000000000000004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55000000000000004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55000000000000004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4.7" thickBot="1" x14ac:dyDescent="0.6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4.7" thickTop="1" x14ac:dyDescent="0.55000000000000004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55000000000000004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55000000000000004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4.7" thickBot="1" x14ac:dyDescent="0.6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4.7" thickTop="1" x14ac:dyDescent="0.55000000000000004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55000000000000004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55000000000000004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4.7" thickBot="1" x14ac:dyDescent="0.6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4.7" thickTop="1" x14ac:dyDescent="0.55000000000000004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55000000000000004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55000000000000004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4.7" thickBot="1" x14ac:dyDescent="0.6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4.7" thickTop="1" x14ac:dyDescent="0.55000000000000004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55000000000000004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4.7" thickBot="1" x14ac:dyDescent="0.6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4.7" thickTop="1" x14ac:dyDescent="0.55000000000000004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55000000000000004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4.7" thickBot="1" x14ac:dyDescent="0.6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4.7" thickTop="1" x14ac:dyDescent="0.55000000000000004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55000000000000004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4.7" thickBot="1" x14ac:dyDescent="0.6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4.7" thickTop="1" x14ac:dyDescent="0.55000000000000004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55000000000000004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4.7" thickBot="1" x14ac:dyDescent="0.6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4.7" thickTop="1" x14ac:dyDescent="0.55000000000000004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55000000000000004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4.7" thickBot="1" x14ac:dyDescent="0.6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4.7" thickTop="1" x14ac:dyDescent="0.55000000000000004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55000000000000004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4.7" thickBot="1" x14ac:dyDescent="0.6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4.7" thickTop="1" x14ac:dyDescent="0.55000000000000004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55000000000000004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4.7" thickBot="1" x14ac:dyDescent="0.6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4.7" thickTop="1" x14ac:dyDescent="0.55000000000000004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55000000000000004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4.7" thickBot="1" x14ac:dyDescent="0.6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4.7" thickTop="1" x14ac:dyDescent="0.55000000000000004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55000000000000004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4.7" thickBot="1" x14ac:dyDescent="0.6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4.7" thickTop="1" x14ac:dyDescent="0.55000000000000004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55000000000000004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4.7" thickBot="1" x14ac:dyDescent="0.6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4.7" thickTop="1" x14ac:dyDescent="0.55000000000000004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55000000000000004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4.7" thickBot="1" x14ac:dyDescent="0.6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4.7" thickTop="1" x14ac:dyDescent="0.55000000000000004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55000000000000004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4.7" thickBot="1" x14ac:dyDescent="0.6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4.7" thickTop="1" x14ac:dyDescent="0.55000000000000004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55000000000000004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4.7" thickBot="1" x14ac:dyDescent="0.6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4.7" thickTop="1" x14ac:dyDescent="0.55000000000000004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55000000000000004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4.7" thickBot="1" x14ac:dyDescent="0.6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4.7" thickTop="1" x14ac:dyDescent="0.55000000000000004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55000000000000004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4.7" thickBot="1" x14ac:dyDescent="0.6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4.7" thickTop="1" x14ac:dyDescent="0.55000000000000004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55000000000000004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4.7" thickBot="1" x14ac:dyDescent="0.6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4.7" thickTop="1" x14ac:dyDescent="0.55000000000000004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55000000000000004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4.7" thickBot="1" x14ac:dyDescent="0.6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4.7" thickTop="1" x14ac:dyDescent="0.55000000000000004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55000000000000004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4.7" thickBot="1" x14ac:dyDescent="0.6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4.7" thickTop="1" x14ac:dyDescent="0.55000000000000004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55000000000000004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4.7" thickBot="1" x14ac:dyDescent="0.6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4.7" thickTop="1" x14ac:dyDescent="0.55000000000000004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55000000000000004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4.7" thickBot="1" x14ac:dyDescent="0.6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4.7" thickTop="1" x14ac:dyDescent="0.55000000000000004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55000000000000004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55000000000000004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4.7" thickBot="1" x14ac:dyDescent="0.6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4.7" thickTop="1" x14ac:dyDescent="0.55000000000000004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55000000000000004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55000000000000004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4.7" thickBot="1" x14ac:dyDescent="0.6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4.7" thickTop="1" x14ac:dyDescent="0.55000000000000004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55000000000000004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55000000000000004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4.7" thickBot="1" x14ac:dyDescent="0.6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55000000000000004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55000000000000004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4.7" thickBot="1" x14ac:dyDescent="0.6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4.7" thickTop="1" x14ac:dyDescent="0.55000000000000004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55000000000000004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55000000000000004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4.7" thickBot="1" x14ac:dyDescent="0.6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4.7" thickTop="1" x14ac:dyDescent="0.55000000000000004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55000000000000004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55000000000000004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4.7" thickBot="1" x14ac:dyDescent="0.6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4.7" thickTop="1" x14ac:dyDescent="0.55000000000000004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55000000000000004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4.7" thickBot="1" x14ac:dyDescent="0.6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4.7" thickTop="1" x14ac:dyDescent="0.55000000000000004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55000000000000004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4.7" thickBot="1" x14ac:dyDescent="0.6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4.7" thickTop="1" x14ac:dyDescent="0.55000000000000004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55000000000000004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4.7" thickBot="1" x14ac:dyDescent="0.6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55000000000000004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4.7" thickBot="1" x14ac:dyDescent="0.6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4.7" thickTop="1" x14ac:dyDescent="0.55000000000000004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55000000000000004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4.7" thickBot="1" x14ac:dyDescent="0.6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4.7" thickTop="1" x14ac:dyDescent="0.55000000000000004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55000000000000004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4.7" thickBot="1" x14ac:dyDescent="0.6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4.7" thickTop="1" x14ac:dyDescent="0.55000000000000004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55000000000000004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4.7" thickBot="1" x14ac:dyDescent="0.6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4.7" thickTop="1" x14ac:dyDescent="0.55000000000000004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55000000000000004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4.7" thickBot="1" x14ac:dyDescent="0.6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4.7" thickTop="1" x14ac:dyDescent="0.55000000000000004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55000000000000004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4.7" thickBot="1" x14ac:dyDescent="0.6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4.7" thickTop="1" x14ac:dyDescent="0.55000000000000004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55000000000000004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4.7" thickBot="1" x14ac:dyDescent="0.6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4.7" thickTop="1" x14ac:dyDescent="0.55000000000000004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55000000000000004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4.7" thickBot="1" x14ac:dyDescent="0.6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4.7" thickTop="1" x14ac:dyDescent="0.55000000000000004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55000000000000004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4.7" thickBot="1" x14ac:dyDescent="0.6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4.7" thickTop="1" x14ac:dyDescent="0.55000000000000004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55000000000000004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4.7" thickBot="1" x14ac:dyDescent="0.6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4.7" thickTop="1" x14ac:dyDescent="0.55000000000000004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55000000000000004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4.7" thickBot="1" x14ac:dyDescent="0.6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4.7" thickTop="1" x14ac:dyDescent="0.55000000000000004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55000000000000004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4.7" thickBot="1" x14ac:dyDescent="0.6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4.7" thickTop="1" x14ac:dyDescent="0.55000000000000004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55000000000000004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4.7" thickBot="1" x14ac:dyDescent="0.6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4.7" thickTop="1" x14ac:dyDescent="0.55000000000000004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55000000000000004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4.7" thickBot="1" x14ac:dyDescent="0.6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4.7" thickTop="1" x14ac:dyDescent="0.55000000000000004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55000000000000004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4.7" thickBot="1" x14ac:dyDescent="0.6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4.7" thickTop="1" x14ac:dyDescent="0.55000000000000004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55000000000000004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4.7" thickBot="1" x14ac:dyDescent="0.6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4.7" thickTop="1" x14ac:dyDescent="0.55000000000000004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55000000000000004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4.7" thickBot="1" x14ac:dyDescent="0.6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4.7" thickTop="1" x14ac:dyDescent="0.55000000000000004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55000000000000004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4.7" thickBot="1" x14ac:dyDescent="0.6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4.7" thickTop="1" x14ac:dyDescent="0.55000000000000004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55000000000000004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4.7" thickBot="1" x14ac:dyDescent="0.6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4.7" thickTop="1" x14ac:dyDescent="0.55000000000000004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55000000000000004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4.7" thickBot="1" x14ac:dyDescent="0.6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4.7" thickTop="1" x14ac:dyDescent="0.55000000000000004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55000000000000004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4.7" thickBot="1" x14ac:dyDescent="0.6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4.7" thickTop="1" x14ac:dyDescent="0.55000000000000004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55000000000000004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55000000000000004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4.7" thickBot="1" x14ac:dyDescent="0.6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4.7" thickTop="1" x14ac:dyDescent="0.55000000000000004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55000000000000004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55000000000000004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4.7" thickBot="1" x14ac:dyDescent="0.6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4.7" thickTop="1" x14ac:dyDescent="0.55000000000000004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55000000000000004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55000000000000004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4.7" thickBot="1" x14ac:dyDescent="0.6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55000000000000004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55000000000000004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4.7" thickBot="1" x14ac:dyDescent="0.6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4.7" thickTop="1" x14ac:dyDescent="0.55000000000000004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55000000000000004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55000000000000004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4.7" thickBot="1" x14ac:dyDescent="0.6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4.7" thickTop="1" x14ac:dyDescent="0.55000000000000004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55000000000000004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55000000000000004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4.7" thickBot="1" x14ac:dyDescent="0.6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4.7" thickTop="1" x14ac:dyDescent="0.55000000000000004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55000000000000004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55000000000000004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4.7" thickBot="1" x14ac:dyDescent="0.6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4.7" thickTop="1" x14ac:dyDescent="0.55000000000000004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55000000000000004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55000000000000004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4.7" thickBot="1" x14ac:dyDescent="0.6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4.7" thickTop="1" x14ac:dyDescent="0.55000000000000004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55000000000000004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55000000000000004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4.7" thickBot="1" x14ac:dyDescent="0.6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4.7" thickTop="1" x14ac:dyDescent="0.55000000000000004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55000000000000004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55000000000000004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4.7" thickBot="1" x14ac:dyDescent="0.6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4.7" thickTop="1" x14ac:dyDescent="0.55000000000000004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55000000000000004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55000000000000004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4.7" thickBot="1" x14ac:dyDescent="0.6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4.7" thickTop="1" x14ac:dyDescent="0.55000000000000004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55000000000000004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55000000000000004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4.7" thickBot="1" x14ac:dyDescent="0.6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4.7" thickTop="1" x14ac:dyDescent="0.55000000000000004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55000000000000004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4.7" thickBot="1" x14ac:dyDescent="0.6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4.7" thickTop="1" x14ac:dyDescent="0.55000000000000004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55000000000000004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4.7" thickBot="1" x14ac:dyDescent="0.6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4.7" thickTop="1" x14ac:dyDescent="0.55000000000000004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55000000000000004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4.7" thickBot="1" x14ac:dyDescent="0.6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4.7" thickTop="1" x14ac:dyDescent="0.55000000000000004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55000000000000004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4.7" thickBot="1" x14ac:dyDescent="0.6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4.7" thickTop="1" x14ac:dyDescent="0.55000000000000004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55000000000000004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4.7" thickBot="1" x14ac:dyDescent="0.6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4.7" thickTop="1" x14ac:dyDescent="0.55000000000000004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55000000000000004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4.7" thickBot="1" x14ac:dyDescent="0.6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4.7" thickTop="1" x14ac:dyDescent="0.55000000000000004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55000000000000004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4.7" thickBot="1" x14ac:dyDescent="0.6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4.7" thickTop="1" x14ac:dyDescent="0.55000000000000004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55000000000000004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4.7" thickBot="1" x14ac:dyDescent="0.6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4.7" thickTop="1" x14ac:dyDescent="0.55000000000000004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55000000000000004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4.7" thickBot="1" x14ac:dyDescent="0.6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4.7" thickTop="1" x14ac:dyDescent="0.55000000000000004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55000000000000004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4.7" thickBot="1" x14ac:dyDescent="0.6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4.7" thickTop="1" x14ac:dyDescent="0.55000000000000004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55000000000000004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4.7" thickBot="1" x14ac:dyDescent="0.6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4.7" thickTop="1" x14ac:dyDescent="0.55000000000000004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55000000000000004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4.7" thickBot="1" x14ac:dyDescent="0.6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4.7" thickTop="1" x14ac:dyDescent="0.55000000000000004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55000000000000004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4.7" thickBot="1" x14ac:dyDescent="0.6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4.7" thickTop="1" x14ac:dyDescent="0.55000000000000004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55000000000000004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4.7" thickBot="1" x14ac:dyDescent="0.6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4.7" thickTop="1" x14ac:dyDescent="0.55000000000000004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55000000000000004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4.7" thickBot="1" x14ac:dyDescent="0.6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4.7" thickTop="1" x14ac:dyDescent="0.55000000000000004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55000000000000004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4.7" thickBot="1" x14ac:dyDescent="0.6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4.7" thickTop="1" x14ac:dyDescent="0.55000000000000004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55000000000000004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4.7" thickBot="1" x14ac:dyDescent="0.6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4.7" thickTop="1" x14ac:dyDescent="0.55000000000000004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55000000000000004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4.7" thickBot="1" x14ac:dyDescent="0.6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4.7" thickTop="1" x14ac:dyDescent="0.55000000000000004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4.7" thickBot="1" x14ac:dyDescent="0.6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4.7" thickTop="1" x14ac:dyDescent="0.55000000000000004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55000000000000004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55000000000000004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9">
        <f>0.003285</f>
        <v>3.2850000000000002E-3</v>
      </c>
      <c r="I406" s="439">
        <f t="shared" ref="I406:J406" si="1">0.003285</f>
        <v>3.2850000000000002E-3</v>
      </c>
      <c r="J406" s="439">
        <f t="shared" si="1"/>
        <v>3.2850000000000002E-3</v>
      </c>
      <c r="K406" s="147" t="s">
        <v>826</v>
      </c>
    </row>
    <row r="407" spans="1:14" ht="14.7" thickBot="1" x14ac:dyDescent="0.6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4.7" thickTop="1" x14ac:dyDescent="0.55000000000000004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55000000000000004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55000000000000004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55000000000000004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55000000000000004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55000000000000004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55000000000000004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55000000000000004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55000000000000004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4.7" thickBot="1" x14ac:dyDescent="0.6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4.7" thickTop="1" x14ac:dyDescent="0.55000000000000004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55000000000000004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55000000000000004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55000000000000004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55000000000000004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55000000000000004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55000000000000004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55000000000000004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55000000000000004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55000000000000004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55000000000000004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55000000000000004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55000000000000004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55000000000000004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4.7" thickBot="1" x14ac:dyDescent="0.6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4.7" thickTop="1" x14ac:dyDescent="0.55000000000000004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55000000000000004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55000000000000004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55000000000000004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9" customFormat="1" x14ac:dyDescent="0.55000000000000004">
      <c r="A437" s="187" t="s">
        <v>36</v>
      </c>
      <c r="B437" s="181"/>
      <c r="C437" s="181"/>
      <c r="D437" s="444" t="s">
        <v>498</v>
      </c>
      <c r="E437" s="444" t="str">
        <f>IFERROR(VLOOKUP(D437,Table2[],2,FALSE),"")</f>
        <v>Ton</v>
      </c>
      <c r="F437" s="444" t="s">
        <v>344</v>
      </c>
      <c r="G437" s="444" t="str">
        <f>IFERROR(VLOOKUP(F437,Table2[],2,FALSE),"")</f>
        <v>t CO2-ækvivalenter</v>
      </c>
      <c r="H437" s="471">
        <f>-Dyrehold!$U$13*Afgrødedata!$C$66</f>
        <v>-1.2727600045138086E-2</v>
      </c>
      <c r="I437" s="471">
        <f>-Dyrehold!$U$13*Afgrødedata!$C$66</f>
        <v>-1.2727600045138086E-2</v>
      </c>
      <c r="J437" s="471">
        <f>-Dyrehold!$U$13*Afgrødedata!$C$66</f>
        <v>-1.2727600045138086E-2</v>
      </c>
      <c r="K437" s="147"/>
      <c r="O437" s="10"/>
    </row>
    <row r="438" spans="1:15" x14ac:dyDescent="0.55000000000000004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9" customFormat="1" x14ac:dyDescent="0.55000000000000004">
      <c r="A439" s="187" t="s">
        <v>36</v>
      </c>
      <c r="B439" s="181"/>
      <c r="C439" s="181"/>
      <c r="D439" s="444" t="s">
        <v>499</v>
      </c>
      <c r="E439" s="444" t="str">
        <f>IFERROR(VLOOKUP(D439,Table2[],2,FALSE),"")</f>
        <v>Ton</v>
      </c>
      <c r="F439" s="444" t="s">
        <v>344</v>
      </c>
      <c r="G439" s="444" t="str">
        <f>IFERROR(VLOOKUP(F439,Table2[],2,FALSE),"")</f>
        <v>t CO2-ækvivalenter</v>
      </c>
      <c r="H439" s="471">
        <f>-Dyrehold!$U$8*Afgrødedata!$C$64</f>
        <v>-2.942635474487016E-2</v>
      </c>
      <c r="I439" s="471">
        <f>-Dyrehold!$U$8*Afgrødedata!$C$64</f>
        <v>-2.942635474487016E-2</v>
      </c>
      <c r="J439" s="471">
        <f>-Dyrehold!$U$8*Afgrødedata!$C$64</f>
        <v>-2.942635474487016E-2</v>
      </c>
      <c r="K439" s="147"/>
      <c r="O439" s="10"/>
    </row>
    <row r="440" spans="1:15" x14ac:dyDescent="0.55000000000000004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55000000000000004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55000000000000004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55000000000000004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55000000000000004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55000000000000004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55000000000000004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55000000000000004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55000000000000004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55000000000000004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55000000000000004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55000000000000004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4.7" thickBot="1" x14ac:dyDescent="0.6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4.7" thickTop="1" x14ac:dyDescent="0.55000000000000004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55000000000000004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55000000000000004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55000000000000004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55000000000000004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4.7" thickBot="1" x14ac:dyDescent="0.6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4.7" thickTop="1" x14ac:dyDescent="0.55000000000000004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55000000000000004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55000000000000004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55000000000000004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55000000000000004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55000000000000004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9" customFormat="1" x14ac:dyDescent="0.55000000000000004">
      <c r="A465" s="187" t="s">
        <v>408</v>
      </c>
      <c r="B465" s="181"/>
      <c r="C465" s="181"/>
      <c r="D465" s="150" t="s">
        <v>890</v>
      </c>
      <c r="E465" s="444" t="str">
        <f>IFERROR(VLOOKUP(D465,Table2[],2,FALSE),"")</f>
        <v>Ton</v>
      </c>
      <c r="F465" s="444" t="s">
        <v>409</v>
      </c>
      <c r="G465" s="444" t="str">
        <f>IFERROR(VLOOKUP(F465,Table2[],2,FALSE),"")</f>
        <v>PJ</v>
      </c>
      <c r="H465" s="444">
        <f>VLOOKUP($D465,Energiindhold!$A$2:$C$10,3,FALSE)</f>
        <v>3.326857142857142E-5</v>
      </c>
      <c r="I465" s="444">
        <f>VLOOKUP($D465,Energiindhold!$A$2:$C$10,3,FALSE)</f>
        <v>3.326857142857142E-5</v>
      </c>
      <c r="J465" s="444">
        <f>VLOOKUP($D465,Energiindhold!$A$2:$C$10,3,FALSE)</f>
        <v>3.326857142857142E-5</v>
      </c>
      <c r="K465" s="147"/>
    </row>
    <row r="466" spans="1:11" s="459" customFormat="1" x14ac:dyDescent="0.55000000000000004">
      <c r="A466" s="187" t="s">
        <v>408</v>
      </c>
      <c r="B466" s="181"/>
      <c r="C466" s="181"/>
      <c r="D466" s="150" t="s">
        <v>878</v>
      </c>
      <c r="E466" s="444" t="str">
        <f>IFERROR(VLOOKUP(D466,Table2[],2,FALSE),"")</f>
        <v>Ton</v>
      </c>
      <c r="F466" s="444" t="s">
        <v>409</v>
      </c>
      <c r="G466" s="444" t="str">
        <f>IFERROR(VLOOKUP(F466,Table2[],2,FALSE),"")</f>
        <v>PJ</v>
      </c>
      <c r="H466" s="444">
        <f>VLOOKUP($D466,Energiindhold!$A$2:$C$10,3,FALSE)</f>
        <v>8.9614285714285689E-6</v>
      </c>
      <c r="I466" s="444">
        <f>VLOOKUP($D466,Energiindhold!$A$2:$C$10,3,FALSE)</f>
        <v>8.9614285714285689E-6</v>
      </c>
      <c r="J466" s="444">
        <f>VLOOKUP($D466,Energiindhold!$A$2:$C$10,3,FALSE)</f>
        <v>8.9614285714285689E-6</v>
      </c>
      <c r="K466" s="147"/>
    </row>
    <row r="467" spans="1:11" ht="14.7" thickBot="1" x14ac:dyDescent="0.6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4.7" thickTop="1" x14ac:dyDescent="0.55000000000000004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55000000000000004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4.7" thickBot="1" x14ac:dyDescent="0.6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4.7" thickTop="1" x14ac:dyDescent="0.55000000000000004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4.7" thickBot="1" x14ac:dyDescent="0.6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4.7" thickTop="1" x14ac:dyDescent="0.55000000000000004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55000000000000004">
      <c r="A474" s="187" t="s">
        <v>876</v>
      </c>
      <c r="B474" s="181"/>
      <c r="C474" s="181"/>
      <c r="D474" s="444" t="s">
        <v>37</v>
      </c>
      <c r="E474" s="444" t="str">
        <f>IFERROR(VLOOKUP(D474,Table2[],2,FALSE),"")</f>
        <v>Ton</v>
      </c>
      <c r="F474" s="150" t="s">
        <v>890</v>
      </c>
      <c r="G474" s="444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4.7" thickBot="1" x14ac:dyDescent="0.6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4.7" thickTop="1" x14ac:dyDescent="0.55000000000000004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55000000000000004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344</v>
      </c>
      <c r="F44" t="s">
        <v>345</v>
      </c>
      <c r="H44" s="459" t="b">
        <f>IF(COUNTIF('Processer - data'!$D:$F,Table2[[#This Row],[Råvare]])&gt;0,TRUE,FALSE)</f>
        <v>1</v>
      </c>
    </row>
    <row r="45" spans="1:8" x14ac:dyDescent="0.55000000000000004">
      <c r="E45" s="444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55000000000000004">
      <c r="E46" s="459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55000000000000004">
      <c r="E48" t="s">
        <v>18</v>
      </c>
      <c r="F48" t="s">
        <v>316</v>
      </c>
      <c r="G48">
        <v>1</v>
      </c>
      <c r="H48" s="459" t="b">
        <f>IF(COUNTIF('Processer - data'!$D:$F,Table2[[#This Row],[Råvare]])&gt;0,TRUE,FALSE)</f>
        <v>1</v>
      </c>
    </row>
    <row r="49" spans="5:8" x14ac:dyDescent="0.55000000000000004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55000000000000004">
      <c r="E50" t="s">
        <v>365</v>
      </c>
      <c r="F50" t="s">
        <v>317</v>
      </c>
      <c r="H50" s="459" t="b">
        <f>IF(COUNTIF('Processer - data'!$D:$F,Table2[[#This Row],[Råvare]])&gt;0,TRUE,FALSE)</f>
        <v>1</v>
      </c>
    </row>
    <row r="51" spans="5:8" x14ac:dyDescent="0.55000000000000004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55000000000000004">
      <c r="E52" s="444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55000000000000004">
      <c r="E53" s="459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55000000000000004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55000000000000004">
      <c r="E55" s="444" t="s">
        <v>303</v>
      </c>
      <c r="F55" t="s">
        <v>420</v>
      </c>
      <c r="H55" s="459" t="b">
        <f>IF(COUNTIF('Processer - data'!$D:$F,Table2[[#This Row],[Råvare]])&gt;0,TRUE,FALSE)</f>
        <v>1</v>
      </c>
    </row>
    <row r="56" spans="5:8" x14ac:dyDescent="0.55000000000000004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55000000000000004">
      <c r="E57" s="459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55000000000000004">
      <c r="E58" s="444" t="s">
        <v>12</v>
      </c>
      <c r="F58" t="s">
        <v>317</v>
      </c>
      <c r="H58" s="459" t="b">
        <f>IF(COUNTIF('Processer - data'!$D:$F,Table2[[#This Row],[Råvare]])&gt;0,TRUE,FALSE)</f>
        <v>1</v>
      </c>
    </row>
    <row r="59" spans="5:8" x14ac:dyDescent="0.55000000000000004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55000000000000004">
      <c r="E60" s="459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55000000000000004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55000000000000004">
      <c r="E62" s="444" t="s">
        <v>41</v>
      </c>
      <c r="F62" t="s">
        <v>317</v>
      </c>
      <c r="H62" s="459" t="b">
        <f>IF(COUNTIF('Processer - data'!$D:$F,Table2[[#This Row],[Råvare]])&gt;0,TRUE,FALSE)</f>
        <v>1</v>
      </c>
    </row>
    <row r="63" spans="5:8" x14ac:dyDescent="0.55000000000000004">
      <c r="E63" s="459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55000000000000004">
      <c r="E64" s="444" t="s">
        <v>188</v>
      </c>
      <c r="F64" t="s">
        <v>317</v>
      </c>
      <c r="H64" s="459" t="b">
        <f>IF(COUNTIF('Processer - data'!$D:$F,Table2[[#This Row],[Råvare]])&gt;0,TRUE,FALSE)</f>
        <v>1</v>
      </c>
    </row>
    <row r="65" spans="5:8" x14ac:dyDescent="0.55000000000000004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55000000000000004">
      <c r="E68" s="459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55000000000000004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55000000000000004">
      <c r="E70" s="444" t="s">
        <v>15</v>
      </c>
      <c r="F70" t="s">
        <v>317</v>
      </c>
      <c r="H70" s="459" t="b">
        <f>IF(COUNTIF('Processer - data'!$D:$F,Table2[[#This Row],[Råvare]])&gt;0,TRUE,FALSE)</f>
        <v>1</v>
      </c>
    </row>
    <row r="71" spans="5:8" x14ac:dyDescent="0.55000000000000004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55000000000000004">
      <c r="E75" s="459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55000000000000004">
      <c r="E76" s="444" t="s">
        <v>339</v>
      </c>
      <c r="F76" t="s">
        <v>317</v>
      </c>
      <c r="H76" s="459" t="b">
        <f>IF(COUNTIF('Processer - data'!$D:$F,Table2[[#This Row],[Råvare]])&gt;0,TRUE,FALSE)</f>
        <v>1</v>
      </c>
    </row>
    <row r="77" spans="5:8" x14ac:dyDescent="0.55000000000000004">
      <c r="E77" s="459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55000000000000004">
      <c r="E78" s="459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55000000000000004">
      <c r="E79" s="444" t="s">
        <v>302</v>
      </c>
      <c r="F79" t="s">
        <v>317</v>
      </c>
      <c r="H79" s="459" t="b">
        <f>IF(COUNTIF('Processer - data'!$D:$F,Table2[[#This Row],[Råvare]])&gt;0,TRUE,FALSE)</f>
        <v>1</v>
      </c>
    </row>
    <row r="80" spans="5:8" x14ac:dyDescent="0.55000000000000004">
      <c r="E80" s="444" t="s">
        <v>177</v>
      </c>
      <c r="F80" t="s">
        <v>317</v>
      </c>
      <c r="H80" s="459" t="b">
        <f>IF(COUNTIF('Processer - data'!$D:$F,Table2[[#This Row],[Råvare]])&gt;0,TRUE,FALSE)</f>
        <v>1</v>
      </c>
    </row>
    <row r="81" spans="5:8" x14ac:dyDescent="0.55000000000000004">
      <c r="E81" s="459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55000000000000004">
      <c r="E82" s="459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55000000000000004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55000000000000004">
      <c r="E84" s="444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55000000000000004">
      <c r="E85" s="444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55000000000000004">
      <c r="E86" s="459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55000000000000004">
      <c r="E87" s="459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55000000000000004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55000000000000004">
      <c r="E93" s="444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55000000000000004">
      <c r="E94" s="444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55000000000000004">
      <c r="E95" s="459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55000000000000004">
      <c r="E96" s="459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55000000000000004">
      <c r="E97" s="444" t="s">
        <v>553</v>
      </c>
      <c r="F97" t="s">
        <v>625</v>
      </c>
      <c r="H97" s="459" t="b">
        <f>IF(COUNTIF('Processer - data'!$D:$F,Table2[[#This Row],[Råvare]])&gt;0,TRUE,FALSE)</f>
        <v>1</v>
      </c>
    </row>
    <row r="98" spans="5:8" x14ac:dyDescent="0.55000000000000004">
      <c r="E98" s="444" t="s">
        <v>308</v>
      </c>
      <c r="F98" t="s">
        <v>625</v>
      </c>
      <c r="H98" s="45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1.578125" style="1" bestFit="1" customWidth="1"/>
    <col min="10" max="16384" width="9.15625" style="1"/>
  </cols>
  <sheetData>
    <row r="1" spans="1:9" x14ac:dyDescent="0.55000000000000004">
      <c r="A1" s="2" t="s">
        <v>666</v>
      </c>
    </row>
    <row r="2" spans="1:9" x14ac:dyDescent="0.55000000000000004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55000000000000004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667</v>
      </c>
    </row>
    <row r="9" spans="1:9" x14ac:dyDescent="0.55000000000000004">
      <c r="A9" s="2" t="s">
        <v>779</v>
      </c>
    </row>
    <row r="10" spans="1:9" x14ac:dyDescent="0.55000000000000004">
      <c r="A10" s="8" t="s">
        <v>761</v>
      </c>
      <c r="B10" s="8">
        <f>B11/B12</f>
        <v>0.30562345796166263</v>
      </c>
    </row>
    <row r="11" spans="1:9" x14ac:dyDescent="0.55000000000000004">
      <c r="A11" s="8" t="s">
        <v>763</v>
      </c>
      <c r="B11" s="8">
        <f>(1582.7+27.63)*1000000</f>
        <v>1610330000.0000002</v>
      </c>
    </row>
    <row r="12" spans="1:9" x14ac:dyDescent="0.55000000000000004">
      <c r="A12" s="8" t="s">
        <v>780</v>
      </c>
      <c r="B12" s="8">
        <f>4786000000+483000000</f>
        <v>5269000000</v>
      </c>
    </row>
    <row r="14" spans="1:9" x14ac:dyDescent="0.55000000000000004">
      <c r="A14" s="2" t="s">
        <v>876</v>
      </c>
    </row>
    <row r="15" spans="1:9" x14ac:dyDescent="0.55000000000000004">
      <c r="A15" s="481" t="s">
        <v>879</v>
      </c>
      <c r="B15" s="481">
        <f>H22</f>
        <v>-0.65266666666666662</v>
      </c>
      <c r="C15" s="481" t="s">
        <v>888</v>
      </c>
    </row>
    <row r="16" spans="1:9" x14ac:dyDescent="0.55000000000000004">
      <c r="A16" s="481" t="s">
        <v>890</v>
      </c>
      <c r="B16" s="481">
        <f>B23/1000</f>
        <v>0.14000000000000001</v>
      </c>
      <c r="C16" s="481" t="s">
        <v>889</v>
      </c>
    </row>
    <row r="17" spans="1:12" x14ac:dyDescent="0.55000000000000004">
      <c r="A17" s="481" t="s">
        <v>878</v>
      </c>
      <c r="B17" s="481">
        <f>B24/1000</f>
        <v>0.56000000000000005</v>
      </c>
      <c r="C17" s="481" t="s">
        <v>889</v>
      </c>
    </row>
    <row r="19" spans="1:12" ht="14.7" thickBot="1" x14ac:dyDescent="0.6">
      <c r="A19" s="459" t="s">
        <v>880</v>
      </c>
      <c r="B19" s="459"/>
      <c r="C19" s="459"/>
      <c r="D19" s="459"/>
      <c r="E19" s="459"/>
      <c r="F19" s="459"/>
      <c r="G19" s="459"/>
      <c r="H19" s="459" t="s">
        <v>893</v>
      </c>
      <c r="I19" s="459"/>
      <c r="J19" s="459"/>
      <c r="K19" s="459"/>
      <c r="L19" s="459"/>
    </row>
    <row r="20" spans="1:12" ht="14.7" thickBot="1" x14ac:dyDescent="0.6">
      <c r="A20" s="472"/>
      <c r="B20" s="472" t="s">
        <v>881</v>
      </c>
      <c r="C20" s="473"/>
      <c r="D20" s="472" t="s">
        <v>410</v>
      </c>
      <c r="E20" s="473"/>
      <c r="F20" s="159" t="s">
        <v>882</v>
      </c>
      <c r="G20" s="159"/>
      <c r="H20" s="484" t="s">
        <v>883</v>
      </c>
      <c r="I20" s="484" t="s">
        <v>814</v>
      </c>
      <c r="J20" s="484"/>
      <c r="K20" s="482" t="s">
        <v>884</v>
      </c>
      <c r="L20" s="482" t="s">
        <v>885</v>
      </c>
    </row>
    <row r="21" spans="1:12" x14ac:dyDescent="0.55000000000000004">
      <c r="A21" s="475" t="s">
        <v>37</v>
      </c>
      <c r="B21" s="475">
        <v>1000</v>
      </c>
      <c r="C21" s="476">
        <v>1</v>
      </c>
      <c r="D21" s="475">
        <f>16.4/1000000</f>
        <v>1.6399999999999999E-5</v>
      </c>
      <c r="E21" s="476">
        <v>1</v>
      </c>
      <c r="F21" s="475">
        <v>420</v>
      </c>
      <c r="G21" s="477"/>
      <c r="H21" s="484"/>
      <c r="I21" s="484"/>
      <c r="J21" s="484"/>
      <c r="K21" s="482" t="s">
        <v>886</v>
      </c>
      <c r="L21" s="482">
        <v>12</v>
      </c>
    </row>
    <row r="22" spans="1:12" x14ac:dyDescent="0.55000000000000004">
      <c r="A22" s="474" t="s">
        <v>344</v>
      </c>
      <c r="B22" s="474">
        <v>300</v>
      </c>
      <c r="C22" s="478">
        <v>0.3</v>
      </c>
      <c r="D22" s="474">
        <f>$D$21*E22</f>
        <v>6.740399999999999E-6</v>
      </c>
      <c r="E22" s="479">
        <v>0.41099999999999998</v>
      </c>
      <c r="F22" s="474">
        <v>178</v>
      </c>
      <c r="G22" s="480">
        <v>0.42</v>
      </c>
      <c r="H22" s="484">
        <f>-(F22*(2*L22/L21)+F22)/1000</f>
        <v>-0.65266666666666662</v>
      </c>
      <c r="I22" s="484">
        <f>D22/(B22/1000)</f>
        <v>2.2467999999999999E-5</v>
      </c>
      <c r="J22" s="484"/>
      <c r="K22" s="482" t="s">
        <v>887</v>
      </c>
      <c r="L22" s="482">
        <v>16</v>
      </c>
    </row>
    <row r="23" spans="1:12" x14ac:dyDescent="0.55000000000000004">
      <c r="A23" s="474" t="s">
        <v>890</v>
      </c>
      <c r="B23" s="474">
        <v>140</v>
      </c>
      <c r="C23" s="478">
        <v>0.14000000000000001</v>
      </c>
      <c r="D23" s="474">
        <f t="shared" ref="D23:D24" si="0">$D$21*E23</f>
        <v>4.6575999999999992E-6</v>
      </c>
      <c r="E23" s="479">
        <v>0.28399999999999997</v>
      </c>
      <c r="F23" s="474">
        <v>98</v>
      </c>
      <c r="G23" s="480">
        <v>0.23</v>
      </c>
      <c r="H23" s="484"/>
      <c r="I23" s="484">
        <f t="shared" ref="I23:I24" si="1">D23/(B23/1000)</f>
        <v>3.326857142857142E-5</v>
      </c>
      <c r="J23" s="484"/>
      <c r="K23" s="482"/>
      <c r="L23" s="482"/>
    </row>
    <row r="24" spans="1:12" x14ac:dyDescent="0.55000000000000004">
      <c r="A24" s="474" t="s">
        <v>878</v>
      </c>
      <c r="B24" s="474">
        <v>560</v>
      </c>
      <c r="C24" s="478">
        <v>0.56000000000000005</v>
      </c>
      <c r="D24" s="474">
        <f t="shared" si="0"/>
        <v>5.0183999999999993E-6</v>
      </c>
      <c r="E24" s="479">
        <v>0.30599999999999999</v>
      </c>
      <c r="F24" s="474">
        <v>144</v>
      </c>
      <c r="G24" s="480">
        <v>0.34</v>
      </c>
      <c r="H24" s="484"/>
      <c r="I24" s="484">
        <f t="shared" si="1"/>
        <v>8.9614285714285689E-6</v>
      </c>
      <c r="J24" s="484"/>
      <c r="K24" s="482"/>
      <c r="L24" s="482"/>
    </row>
    <row r="25" spans="1:12" x14ac:dyDescent="0.55000000000000004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1" width="10.41796875" style="47" customWidth="1"/>
    <col min="12" max="13" width="11.15625" style="47" customWidth="1"/>
    <col min="14" max="14" width="10.68359375" style="47" customWidth="1"/>
    <col min="15" max="15" width="8.83984375" style="47" customWidth="1"/>
    <col min="16" max="16" width="11" style="47" customWidth="1"/>
    <col min="17" max="17" width="15.26171875" style="47" customWidth="1"/>
    <col min="18" max="18" width="7.26171875" style="47" customWidth="1"/>
    <col min="19" max="19" width="17.15625" style="47" customWidth="1"/>
    <col min="20" max="16384" width="9.15625" style="47"/>
  </cols>
  <sheetData>
    <row r="1" spans="1:5" ht="18.3" x14ac:dyDescent="0.7">
      <c r="A1" s="417" t="s">
        <v>789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790</v>
      </c>
      <c r="B3" s="413">
        <f>D23/C23</f>
        <v>0.77115679138975146</v>
      </c>
      <c r="C3" s="413">
        <f>E23/C23</f>
        <v>0.22884789216581661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4" t="str">
        <f>Bebyg</f>
        <v>Bebyggelse &amp; infrastruktur</v>
      </c>
      <c r="B7" s="416">
        <f>SUM(D15:D17)/SUM($C15:$C17)</f>
        <v>0.69809884645309694</v>
      </c>
      <c r="C7" s="416">
        <f>SUM(E15:E17)/SUM($C15:$C17)</f>
        <v>0.30191806772436658</v>
      </c>
      <c r="D7" s="71"/>
      <c r="E7" s="71"/>
    </row>
    <row r="8" spans="1:5" x14ac:dyDescent="0.55000000000000004">
      <c r="A8" s="414" t="str">
        <f>Afgrøder</f>
        <v>Landbrugsafgrøder</v>
      </c>
      <c r="B8" s="416">
        <f>D18/$C18</f>
        <v>0.77910074969845278</v>
      </c>
      <c r="C8" s="416">
        <f>E18/$C18</f>
        <v>0.22089925030154711</v>
      </c>
      <c r="D8" s="71"/>
      <c r="E8" s="71"/>
    </row>
    <row r="9" spans="1:5" x14ac:dyDescent="0.55000000000000004">
      <c r="A9" s="414" t="str">
        <f>SkovAreal</f>
        <v>Skov</v>
      </c>
      <c r="B9" s="416">
        <f>D19/$C19</f>
        <v>0.77355804310298804</v>
      </c>
      <c r="C9" s="416">
        <f>E19/$C19</f>
        <v>0.22642416045274155</v>
      </c>
      <c r="D9" s="71"/>
      <c r="E9" s="71"/>
    </row>
    <row r="10" spans="1:5" x14ac:dyDescent="0.55000000000000004">
      <c r="A10" s="414" t="str">
        <f>NaturAreal</f>
        <v>Natur</v>
      </c>
      <c r="B10" s="416">
        <f>SUM(D20:D21)/SUM($C20:$C21)</f>
        <v>0.82510044406851346</v>
      </c>
      <c r="C10" s="416">
        <f>SUM(E20:E21)/SUM($C20:$C21)</f>
        <v>0.17494184817086067</v>
      </c>
      <c r="D10" s="71"/>
      <c r="E10" s="71"/>
    </row>
    <row r="11" spans="1:5" ht="14.7" thickBot="1" x14ac:dyDescent="0.6">
      <c r="A11" s="415" t="str">
        <f>IKareal</f>
        <v>Ikke klassificeret</v>
      </c>
      <c r="B11" s="416">
        <f>D22/$C22</f>
        <v>0.70816884300030369</v>
      </c>
      <c r="C11" s="416">
        <f>E22/$C22</f>
        <v>0.29183115699969631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55000000000000004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4.7" thickBot="1" x14ac:dyDescent="0.6"/>
    <row r="25" spans="1:19" s="64" customFormat="1" ht="16.8" x14ac:dyDescent="0.65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55000000000000004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55000000000000004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55000000000000004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55000000000000004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55000000000000004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55000000000000004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55000000000000004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55000000000000004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55000000000000004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55000000000000004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55000000000000004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55000000000000004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55000000000000004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55000000000000004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55000000000000004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55000000000000004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55000000000000004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55000000000000004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55000000000000004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55000000000000004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55000000000000004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55000000000000004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55000000000000004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4.7" thickBot="1" x14ac:dyDescent="0.6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55000000000000004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55000000000000004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4.7" thickBot="1" x14ac:dyDescent="0.6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494" t="s">
        <v>58</v>
      </c>
      <c r="C10" s="494"/>
      <c r="D10" s="494"/>
      <c r="E10" s="494"/>
      <c r="F10" s="494"/>
      <c r="G10" s="495"/>
    </row>
    <row r="11" spans="1:7" x14ac:dyDescent="0.55000000000000004">
      <c r="A11" s="37"/>
      <c r="B11" s="494" t="s">
        <v>65</v>
      </c>
      <c r="C11" s="494"/>
      <c r="D11" s="494"/>
      <c r="E11" s="494"/>
      <c r="F11" s="494"/>
      <c r="G11" s="495"/>
    </row>
    <row r="12" spans="1:7" ht="28.5" customHeight="1" x14ac:dyDescent="0.55000000000000004">
      <c r="A12" s="38"/>
      <c r="B12" s="496" t="s">
        <v>59</v>
      </c>
      <c r="C12" s="496"/>
      <c r="D12" s="496"/>
      <c r="E12" s="496"/>
      <c r="F12" s="496"/>
      <c r="G12" s="497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5.6" thickBot="1" x14ac:dyDescent="0.6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04" t="s">
        <v>122</v>
      </c>
      <c r="B42" s="86" t="s">
        <v>121</v>
      </c>
      <c r="C42" s="506">
        <v>1.6</v>
      </c>
      <c r="D42" s="506">
        <v>1</v>
      </c>
      <c r="E42" s="506">
        <v>0.3</v>
      </c>
      <c r="F42" s="506">
        <v>0.3</v>
      </c>
      <c r="G42" s="506">
        <v>0</v>
      </c>
      <c r="H42" s="498">
        <v>5.9</v>
      </c>
      <c r="I42" s="500">
        <v>0</v>
      </c>
      <c r="J42" s="502">
        <v>12.2</v>
      </c>
    </row>
    <row r="43" spans="1:10" x14ac:dyDescent="0.55000000000000004">
      <c r="A43" s="505"/>
      <c r="B43" s="84">
        <v>3.2</v>
      </c>
      <c r="C43" s="507"/>
      <c r="D43" s="507"/>
      <c r="E43" s="507"/>
      <c r="F43" s="507"/>
      <c r="G43" s="507"/>
      <c r="H43" s="499"/>
      <c r="I43" s="501"/>
      <c r="J43" s="503"/>
    </row>
    <row r="44" spans="1:10" x14ac:dyDescent="0.55000000000000004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2:9" x14ac:dyDescent="0.55000000000000004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55000000000000004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55000000000000004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55000000000000004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55000000000000004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2:9" x14ac:dyDescent="0.55000000000000004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55000000000000004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55000000000000004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2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55000000000000004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55000000000000004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55000000000000004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55000000000000004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55000000000000004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55000000000000004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55000000000000004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55000000000000004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55000000000000004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topLeftCell="J1" workbookViewId="0">
      <selection activeCell="M9" sqref="M9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s="381" t="s">
        <v>897</v>
      </c>
      <c r="U1" s="262"/>
      <c r="V1" s="262"/>
      <c r="W1" s="262"/>
      <c r="X1" s="262"/>
      <c r="Y1" s="262"/>
      <c r="Z1" s="262"/>
      <c r="AA1" s="382"/>
    </row>
    <row r="2" spans="1:27" x14ac:dyDescent="0.55000000000000004">
      <c r="B2" s="383"/>
      <c r="C2" s="146" t="s">
        <v>734</v>
      </c>
      <c r="D2" s="146"/>
      <c r="E2" s="146"/>
      <c r="F2" s="390"/>
      <c r="G2" s="390" t="s">
        <v>756</v>
      </c>
      <c r="H2" s="390"/>
      <c r="I2" s="391"/>
      <c r="K2" s="383"/>
      <c r="L2" s="146" t="s">
        <v>734</v>
      </c>
      <c r="M2" s="146"/>
      <c r="N2" s="146"/>
      <c r="O2" s="390"/>
      <c r="P2" s="390" t="s">
        <v>756</v>
      </c>
      <c r="Q2" s="390"/>
      <c r="R2" s="391"/>
      <c r="T2" s="383"/>
      <c r="U2" s="444" t="s">
        <v>734</v>
      </c>
      <c r="V2" s="444"/>
      <c r="W2" s="444"/>
      <c r="X2" s="390"/>
      <c r="Y2" s="390" t="s">
        <v>756</v>
      </c>
      <c r="Z2" s="390"/>
      <c r="AA2" s="391"/>
    </row>
    <row r="3" spans="1:27" x14ac:dyDescent="0.55000000000000004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4" t="str">
        <f>Jordbund1</f>
        <v>JB1-10</v>
      </c>
      <c r="V3" s="444" t="str">
        <f>Organ6</f>
        <v>OC6</v>
      </c>
      <c r="W3" s="444" t="str">
        <f>Organ12</f>
        <v>OC12</v>
      </c>
      <c r="X3" s="390"/>
      <c r="Y3" s="444" t="str">
        <f>Jordbund1</f>
        <v>JB1-10</v>
      </c>
      <c r="Z3" s="444" t="str">
        <f>Organ6</f>
        <v>OC6</v>
      </c>
      <c r="AA3" s="384" t="str">
        <f>Organ12</f>
        <v>OC12</v>
      </c>
    </row>
    <row r="4" spans="1:27" x14ac:dyDescent="0.55000000000000004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 s="383">
        <f>SUM(B4,K4)</f>
        <v>1371329</v>
      </c>
      <c r="U4" s="444">
        <f t="shared" ref="U4:W4" si="6">SUM(C4,L4)</f>
        <v>1325250.4726813775</v>
      </c>
      <c r="V4" s="444">
        <f t="shared" si="6"/>
        <v>30981.331745759828</v>
      </c>
      <c r="W4" s="444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85">
        <f t="shared" si="7"/>
        <v>0.20372190135299265</v>
      </c>
    </row>
    <row r="5" spans="1:27" x14ac:dyDescent="0.55000000000000004">
      <c r="A5" s="167" t="s">
        <v>14</v>
      </c>
      <c r="B5" s="383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383">
        <f t="shared" ref="T5:T17" si="12">SUM(B5,K5)</f>
        <v>79310</v>
      </c>
      <c r="U5" s="444">
        <f t="shared" ref="U5:U17" si="13">SUM(C5,L5)</f>
        <v>76369.814227471288</v>
      </c>
      <c r="V5" s="444">
        <f t="shared" ref="V5:V17" si="14">SUM(D5,M5)</f>
        <v>2215.1471789908956</v>
      </c>
      <c r="W5" s="444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85">
        <f t="shared" ref="AA5:AA17" si="18">W5/SUM(W$4:W$17)</f>
        <v>9.7836873157640305E-3</v>
      </c>
    </row>
    <row r="6" spans="1:27" x14ac:dyDescent="0.55000000000000004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383">
        <f t="shared" si="12"/>
        <v>165218</v>
      </c>
      <c r="U6" s="444">
        <f t="shared" si="13"/>
        <v>161065.73076556949</v>
      </c>
      <c r="V6" s="444">
        <f t="shared" si="14"/>
        <v>2974.7614293410334</v>
      </c>
      <c r="W6" s="444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85">
        <f t="shared" si="18"/>
        <v>1.5889317175039771E-2</v>
      </c>
    </row>
    <row r="7" spans="1:27" x14ac:dyDescent="0.55000000000000004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383">
        <f t="shared" si="12"/>
        <v>293751</v>
      </c>
      <c r="U7" s="444">
        <f t="shared" si="13"/>
        <v>249402.02848152956</v>
      </c>
      <c r="V7" s="444">
        <f t="shared" si="14"/>
        <v>22294.313979031187</v>
      </c>
      <c r="W7" s="444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85">
        <f t="shared" si="18"/>
        <v>0.29760605179547317</v>
      </c>
    </row>
    <row r="8" spans="1:27" x14ac:dyDescent="0.55000000000000004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383">
        <f t="shared" si="12"/>
        <v>13008</v>
      </c>
      <c r="U8" s="444">
        <f t="shared" si="13"/>
        <v>12835.238529322392</v>
      </c>
      <c r="V8" s="444">
        <f t="shared" si="14"/>
        <v>138.67031297478138</v>
      </c>
      <c r="W8" s="444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85">
        <f t="shared" si="18"/>
        <v>4.600268594935945E-4</v>
      </c>
    </row>
    <row r="9" spans="1:27" x14ac:dyDescent="0.55000000000000004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383">
        <f t="shared" si="12"/>
        <v>56806</v>
      </c>
      <c r="U9" s="444">
        <f t="shared" si="13"/>
        <v>53986.205746374755</v>
      </c>
      <c r="V9" s="444">
        <f t="shared" si="14"/>
        <v>1545.7396106832807</v>
      </c>
      <c r="W9" s="444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85">
        <f t="shared" si="18"/>
        <v>1.7192122406779854E-2</v>
      </c>
    </row>
    <row r="10" spans="1:27" x14ac:dyDescent="0.55000000000000004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383">
        <f t="shared" si="12"/>
        <v>33544</v>
      </c>
      <c r="U10" s="444">
        <f t="shared" si="13"/>
        <v>33201.720909530726</v>
      </c>
      <c r="V10" s="444">
        <f t="shared" si="14"/>
        <v>255.48059990324134</v>
      </c>
      <c r="W10" s="444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85">
        <f t="shared" si="18"/>
        <v>1.1712608111448329E-3</v>
      </c>
    </row>
    <row r="11" spans="1:27" x14ac:dyDescent="0.55000000000000004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383">
        <f t="shared" si="12"/>
        <v>186289</v>
      </c>
      <c r="U11" s="444">
        <f t="shared" si="13"/>
        <v>179382.88138471061</v>
      </c>
      <c r="V11" s="444">
        <f t="shared" si="14"/>
        <v>5203.0961143239801</v>
      </c>
      <c r="W11" s="444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85">
        <f t="shared" si="18"/>
        <v>2.2980624465595331E-2</v>
      </c>
    </row>
    <row r="12" spans="1:27" x14ac:dyDescent="0.55000000000000004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383">
        <f t="shared" si="12"/>
        <v>5214</v>
      </c>
      <c r="U12" s="444">
        <f t="shared" si="13"/>
        <v>5005.2933759327088</v>
      </c>
      <c r="V12" s="444">
        <f t="shared" si="14"/>
        <v>134.59860787409963</v>
      </c>
      <c r="W12" s="444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85">
        <f t="shared" si="18"/>
        <v>1.0000152605503254E-3</v>
      </c>
    </row>
    <row r="13" spans="1:27" x14ac:dyDescent="0.55000000000000004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383">
        <f t="shared" si="12"/>
        <v>71830</v>
      </c>
      <c r="U13" s="444">
        <f t="shared" si="13"/>
        <v>68954.78005240632</v>
      </c>
      <c r="V13" s="444">
        <f t="shared" si="14"/>
        <v>1854.2803996157609</v>
      </c>
      <c r="W13" s="444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85">
        <f t="shared" si="18"/>
        <v>1.3776581543024526E-2</v>
      </c>
    </row>
    <row r="14" spans="1:27" x14ac:dyDescent="0.55000000000000004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383">
        <f t="shared" si="12"/>
        <v>110336</v>
      </c>
      <c r="U14" s="444">
        <f t="shared" si="13"/>
        <v>99591.775690819195</v>
      </c>
      <c r="V14" s="444">
        <f t="shared" si="14"/>
        <v>6284.2307081888212</v>
      </c>
      <c r="W14" s="444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85">
        <f t="shared" si="18"/>
        <v>6.0183255362306794E-2</v>
      </c>
    </row>
    <row r="15" spans="1:27" x14ac:dyDescent="0.55000000000000004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383">
        <f t="shared" si="12"/>
        <v>19485</v>
      </c>
      <c r="U15" s="444">
        <f t="shared" si="13"/>
        <v>18705.052057930348</v>
      </c>
      <c r="V15" s="444">
        <f t="shared" si="14"/>
        <v>503.00227741212723</v>
      </c>
      <c r="W15" s="444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85">
        <f t="shared" si="18"/>
        <v>3.7371111146572858E-3</v>
      </c>
    </row>
    <row r="16" spans="1:27" x14ac:dyDescent="0.55000000000000004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383">
        <f t="shared" si="12"/>
        <v>8740</v>
      </c>
      <c r="U16" s="444">
        <f t="shared" si="13"/>
        <v>7192.9134607071901</v>
      </c>
      <c r="V16" s="444">
        <f t="shared" si="14"/>
        <v>863.64830984697483</v>
      </c>
      <c r="W16" s="444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85">
        <f t="shared" si="18"/>
        <v>9.2223310540071532E-3</v>
      </c>
    </row>
    <row r="17" spans="1:27" ht="14.7" thickBot="1" x14ac:dyDescent="0.6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386">
        <f t="shared" si="12"/>
        <v>224492</v>
      </c>
      <c r="U17" s="447">
        <f t="shared" si="13"/>
        <v>174485.4288686192</v>
      </c>
      <c r="V17" s="447">
        <f t="shared" si="14"/>
        <v>24567.477212413793</v>
      </c>
      <c r="W17" s="447">
        <f t="shared" si="15"/>
        <v>25439.093918967021</v>
      </c>
      <c r="X17" s="392" t="s">
        <v>61</v>
      </c>
      <c r="Y17" s="388">
        <f t="shared" si="16"/>
        <v>7.0772837129970206E-2</v>
      </c>
      <c r="Z17" s="388">
        <f t="shared" si="17"/>
        <v>0.24612819320715937</v>
      </c>
      <c r="AA17" s="389">
        <f t="shared" si="18"/>
        <v>0.34327571348317099</v>
      </c>
    </row>
    <row r="19" spans="1:27" x14ac:dyDescent="0.55000000000000004">
      <c r="B19" t="s">
        <v>732</v>
      </c>
      <c r="F19" t="s">
        <v>733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777</v>
      </c>
    </row>
    <row r="37" spans="1:10" x14ac:dyDescent="0.55000000000000004">
      <c r="A37" s="352" t="s">
        <v>757</v>
      </c>
      <c r="B37" s="485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55000000000000004">
      <c r="A38" s="367" t="s">
        <v>758</v>
      </c>
      <c r="B38" s="486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55000000000000004">
      <c r="A39" s="353" t="s">
        <v>736</v>
      </c>
      <c r="B39" s="459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55000000000000004">
      <c r="A40" s="353" t="s">
        <v>737</v>
      </c>
      <c r="B40" s="459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55000000000000004">
      <c r="A41" s="353" t="s">
        <v>738</v>
      </c>
      <c r="B41" s="459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28.8" x14ac:dyDescent="0.55000000000000004">
      <c r="A42" s="353" t="s">
        <v>739</v>
      </c>
      <c r="B42" s="459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55000000000000004">
      <c r="A43" s="353" t="s">
        <v>740</v>
      </c>
      <c r="B43" s="487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55000000000000004">
      <c r="A44" s="353" t="s">
        <v>741</v>
      </c>
      <c r="B44" s="459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55000000000000004">
      <c r="A45" s="353" t="s">
        <v>742</v>
      </c>
      <c r="B45" s="459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55000000000000004">
      <c r="A46" s="353" t="s">
        <v>188</v>
      </c>
      <c r="B46" s="459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55000000000000004">
      <c r="A47" s="353" t="s">
        <v>743</v>
      </c>
      <c r="B47" s="459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55000000000000004">
      <c r="A48" s="353" t="s">
        <v>744</v>
      </c>
      <c r="B48" s="459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55000000000000004">
      <c r="A49" s="353" t="s">
        <v>745</v>
      </c>
      <c r="B49" s="487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55000000000000004">
      <c r="A50" s="353" t="s">
        <v>746</v>
      </c>
      <c r="B50" s="459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55000000000000004">
      <c r="A51" s="353" t="s">
        <v>747</v>
      </c>
      <c r="B51" s="459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55000000000000004">
      <c r="A52" s="353" t="s">
        <v>748</v>
      </c>
      <c r="B52" s="459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55000000000000004">
      <c r="A53" s="353" t="s">
        <v>749</v>
      </c>
      <c r="B53" s="459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x14ac:dyDescent="0.55000000000000004">
      <c r="A54" s="353" t="s">
        <v>750</v>
      </c>
      <c r="B54" s="459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55000000000000004">
      <c r="A55" s="353" t="s">
        <v>751</v>
      </c>
      <c r="B55" s="459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55000000000000004">
      <c r="A56" s="353" t="s">
        <v>752</v>
      </c>
      <c r="B56" s="459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55000000000000004">
      <c r="A57" s="353" t="s">
        <v>753</v>
      </c>
      <c r="B57" s="459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55000000000000004">
      <c r="A58" s="353" t="s">
        <v>754</v>
      </c>
      <c r="B58" s="459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55000000000000004">
      <c r="A59" s="353" t="s">
        <v>187</v>
      </c>
      <c r="B59" s="459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55000000000000004">
      <c r="A60" s="353" t="s">
        <v>755</v>
      </c>
      <c r="B60" s="487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55000000000000004">
      <c r="A61" s="362" t="s">
        <v>57</v>
      </c>
      <c r="B61" s="488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55000000000000004">
      <c r="E62" s="366"/>
    </row>
    <row r="63" spans="1:9" x14ac:dyDescent="0.55000000000000004">
      <c r="B63" s="336"/>
      <c r="C63" s="336"/>
      <c r="D63" s="336"/>
      <c r="E63" s="336"/>
    </row>
    <row r="64" spans="1:9" x14ac:dyDescent="0.55000000000000004">
      <c r="B64" s="336"/>
      <c r="C64" s="336"/>
      <c r="D64" s="336"/>
      <c r="E64" s="336"/>
    </row>
    <row r="65" spans="2:5" x14ac:dyDescent="0.55000000000000004">
      <c r="B65" s="336"/>
      <c r="C65" s="336"/>
      <c r="D65" s="336"/>
      <c r="E65" s="336"/>
    </row>
    <row r="66" spans="2:5" x14ac:dyDescent="0.55000000000000004">
      <c r="B66" s="336"/>
      <c r="C66" s="336"/>
      <c r="D66" s="336"/>
      <c r="E66" s="336"/>
    </row>
    <row r="67" spans="2:5" x14ac:dyDescent="0.55000000000000004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551</v>
      </c>
    </row>
    <row r="21" spans="1:13" x14ac:dyDescent="0.55000000000000004">
      <c r="A21" s="234" t="s">
        <v>68</v>
      </c>
    </row>
    <row r="22" spans="1:13" x14ac:dyDescent="0.55000000000000004">
      <c r="A22" s="228" t="s">
        <v>506</v>
      </c>
    </row>
    <row r="23" spans="1:13" x14ac:dyDescent="0.55000000000000004">
      <c r="A23" s="239" t="s">
        <v>342</v>
      </c>
      <c r="B23" s="239" t="s">
        <v>507</v>
      </c>
    </row>
    <row r="24" spans="1:13" x14ac:dyDescent="0.55000000000000004">
      <c r="A24" s="230" t="s">
        <v>422</v>
      </c>
    </row>
    <row r="25" spans="1:13" x14ac:dyDescent="0.55000000000000004">
      <c r="A25" s="3" t="s">
        <v>521</v>
      </c>
    </row>
    <row r="26" spans="1:13" x14ac:dyDescent="0.55000000000000004">
      <c r="A26" s="254" t="s">
        <v>522</v>
      </c>
    </row>
    <row r="27" spans="1:13" x14ac:dyDescent="0.55000000000000004">
      <c r="A27" s="214"/>
    </row>
    <row r="28" spans="1:13" ht="14.7" thickBot="1" x14ac:dyDescent="0.6">
      <c r="A28" s="2" t="s">
        <v>432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55000000000000004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55000000000000004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55000000000000004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55000000000000004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55000000000000004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55000000000000004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873</v>
      </c>
      <c r="B42" s="1" t="s">
        <v>872</v>
      </c>
      <c r="J42" s="447" t="s">
        <v>861</v>
      </c>
    </row>
    <row r="43" spans="1:10" ht="14.7" thickBot="1" x14ac:dyDescent="0.6">
      <c r="A43" s="441" t="s">
        <v>832</v>
      </c>
      <c r="B43" s="443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7" t="s">
        <v>874</v>
      </c>
      <c r="J43" s="448">
        <v>2019</v>
      </c>
    </row>
    <row r="44" spans="1:10" x14ac:dyDescent="0.55000000000000004">
      <c r="A44" s="440" t="s">
        <v>833</v>
      </c>
      <c r="B44" s="442">
        <v>3767.3551588371374</v>
      </c>
      <c r="C44" s="1" t="s">
        <v>847</v>
      </c>
      <c r="F44" s="1">
        <v>2578370</v>
      </c>
      <c r="I44" s="451" t="s">
        <v>849</v>
      </c>
      <c r="J44" s="449">
        <v>27.011008109722574</v>
      </c>
    </row>
    <row r="45" spans="1:10" x14ac:dyDescent="0.55000000000000004">
      <c r="A45" s="440" t="s">
        <v>834</v>
      </c>
      <c r="B45" s="442">
        <v>2952.39814048791</v>
      </c>
      <c r="C45" s="1" t="s">
        <v>830</v>
      </c>
      <c r="D45" s="461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1" t="s">
        <v>850</v>
      </c>
      <c r="J45" s="449">
        <v>13.494661638352639</v>
      </c>
    </row>
    <row r="46" spans="1:10" x14ac:dyDescent="0.55000000000000004">
      <c r="A46" s="440" t="s">
        <v>835</v>
      </c>
      <c r="B46" s="442" t="s">
        <v>836</v>
      </c>
      <c r="F46" s="1">
        <v>2578370</v>
      </c>
      <c r="I46" s="451" t="s">
        <v>851</v>
      </c>
      <c r="J46" s="449">
        <v>4.2965611392438922E-2</v>
      </c>
    </row>
    <row r="47" spans="1:10" x14ac:dyDescent="0.55000000000000004">
      <c r="A47" s="440" t="s">
        <v>837</v>
      </c>
      <c r="B47" s="442">
        <v>4072.8452465785531</v>
      </c>
      <c r="C47" s="1" t="s">
        <v>829</v>
      </c>
      <c r="D47" s="461">
        <f>(B47*1000-E47)/F46</f>
        <v>1.6416267822611006</v>
      </c>
      <c r="E47" s="1">
        <v>-159876</v>
      </c>
      <c r="F47" s="1">
        <v>2578370</v>
      </c>
      <c r="I47" s="451" t="s">
        <v>852</v>
      </c>
      <c r="J47" s="457"/>
    </row>
    <row r="48" spans="1:10" x14ac:dyDescent="0.55000000000000004">
      <c r="A48" s="440" t="s">
        <v>838</v>
      </c>
      <c r="B48" s="442" t="s">
        <v>836</v>
      </c>
      <c r="F48" s="1">
        <v>2578370</v>
      </c>
      <c r="I48" s="451" t="s">
        <v>853</v>
      </c>
      <c r="J48" s="449">
        <v>5.411826658030066E-3</v>
      </c>
    </row>
    <row r="49" spans="1:10" x14ac:dyDescent="0.55000000000000004">
      <c r="A49" s="440" t="s">
        <v>839</v>
      </c>
      <c r="B49" s="442">
        <v>4.4812370430000001</v>
      </c>
      <c r="D49" s="1">
        <f>B49/F49</f>
        <v>1.7380116286646214E-6</v>
      </c>
      <c r="F49" s="1">
        <v>2578370</v>
      </c>
      <c r="I49" s="451" t="s">
        <v>854</v>
      </c>
      <c r="J49" s="449">
        <v>0.47525986757812505</v>
      </c>
    </row>
    <row r="50" spans="1:10" x14ac:dyDescent="0.55000000000000004">
      <c r="A50" s="440" t="s">
        <v>840</v>
      </c>
      <c r="B50" s="442">
        <v>239.91601891630901</v>
      </c>
      <c r="D50" s="1">
        <f t="shared" ref="D50:D52" si="8">B50/F50</f>
        <v>9.3049492088532299E-5</v>
      </c>
      <c r="F50" s="1">
        <v>2578370</v>
      </c>
      <c r="I50" s="451" t="s">
        <v>855</v>
      </c>
      <c r="J50" s="449">
        <v>41.882892458812613</v>
      </c>
    </row>
    <row r="51" spans="1:10" x14ac:dyDescent="0.55000000000000004">
      <c r="A51" s="440" t="s">
        <v>841</v>
      </c>
      <c r="B51" s="442">
        <v>1.39333333333333</v>
      </c>
      <c r="D51" s="1">
        <f t="shared" si="8"/>
        <v>5.4039309072527606E-7</v>
      </c>
      <c r="F51" s="1">
        <v>2578370</v>
      </c>
      <c r="I51" s="451" t="s">
        <v>856</v>
      </c>
      <c r="J51" s="449">
        <v>0.58710980836771465</v>
      </c>
    </row>
    <row r="52" spans="1:10" x14ac:dyDescent="0.55000000000000004">
      <c r="A52" s="440" t="s">
        <v>842</v>
      </c>
      <c r="B52" s="442">
        <v>2.871</v>
      </c>
      <c r="D52" s="1">
        <f t="shared" si="8"/>
        <v>1.1134941843102424E-6</v>
      </c>
      <c r="F52" s="1">
        <v>2578370</v>
      </c>
      <c r="I52" s="451" t="s">
        <v>857</v>
      </c>
      <c r="J52" s="449">
        <v>1.1986960661131167</v>
      </c>
    </row>
    <row r="53" spans="1:10" x14ac:dyDescent="0.55000000000000004">
      <c r="A53" s="440" t="s">
        <v>843</v>
      </c>
      <c r="B53" s="442" t="s">
        <v>844</v>
      </c>
      <c r="F53" s="1">
        <v>2578370</v>
      </c>
      <c r="I53" s="451" t="s">
        <v>858</v>
      </c>
      <c r="J53" s="460">
        <v>2.5311427660799999E-3</v>
      </c>
    </row>
    <row r="54" spans="1:10" x14ac:dyDescent="0.55000000000000004">
      <c r="A54" s="463" t="s">
        <v>845</v>
      </c>
      <c r="I54" s="451" t="s">
        <v>859</v>
      </c>
      <c r="J54" s="454">
        <v>3.2264792749629999E-4</v>
      </c>
    </row>
    <row r="55" spans="1:10" ht="14.7" thickBot="1" x14ac:dyDescent="0.6">
      <c r="A55" s="462" t="s">
        <v>846</v>
      </c>
      <c r="B55" s="464">
        <v>4586.0116630635248</v>
      </c>
      <c r="I55" s="445" t="s">
        <v>860</v>
      </c>
      <c r="J55" s="460">
        <v>1.4385168E-3</v>
      </c>
    </row>
    <row r="56" spans="1:10" ht="14.7" thickBot="1" x14ac:dyDescent="0.6">
      <c r="B56" s="265">
        <f>SUM(B44,B45,B47,B55)</f>
        <v>15378.610208967126</v>
      </c>
      <c r="I56" s="455" t="s">
        <v>111</v>
      </c>
      <c r="J56" s="446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871</v>
      </c>
      <c r="B62" s="1" t="s">
        <v>870</v>
      </c>
    </row>
    <row r="63" spans="1:10" ht="14.7" thickBot="1" x14ac:dyDescent="0.6">
      <c r="A63" s="467"/>
      <c r="B63" s="452">
        <v>2019</v>
      </c>
      <c r="C63" s="1" t="s">
        <v>869</v>
      </c>
    </row>
    <row r="64" spans="1:10" x14ac:dyDescent="0.55000000000000004">
      <c r="A64" s="468" t="s">
        <v>864</v>
      </c>
      <c r="B64" s="465">
        <v>12.32</v>
      </c>
      <c r="C64" s="470">
        <f>1-B65/B64</f>
        <v>0.40827922077922074</v>
      </c>
    </row>
    <row r="65" spans="1:3" x14ac:dyDescent="0.55000000000000004">
      <c r="A65" s="468" t="s">
        <v>865</v>
      </c>
      <c r="B65" s="465">
        <v>7.29</v>
      </c>
      <c r="C65" s="470"/>
    </row>
    <row r="66" spans="1:3" x14ac:dyDescent="0.55000000000000004">
      <c r="A66" s="468" t="s">
        <v>866</v>
      </c>
      <c r="B66" s="465">
        <v>13.33</v>
      </c>
      <c r="C66" s="470">
        <f>1-B67/B66</f>
        <v>0.2235558889722431</v>
      </c>
    </row>
    <row r="67" spans="1:3" x14ac:dyDescent="0.55000000000000004">
      <c r="A67" s="468" t="s">
        <v>867</v>
      </c>
      <c r="B67" s="465">
        <v>10.35</v>
      </c>
      <c r="C67" s="470"/>
    </row>
    <row r="68" spans="1:3" ht="14.7" thickBot="1" x14ac:dyDescent="0.6">
      <c r="A68" s="469" t="s">
        <v>868</v>
      </c>
      <c r="B68" s="466">
        <v>10.14</v>
      </c>
      <c r="C68" s="470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8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8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8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8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8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8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8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8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8">
        <f t="shared" si="1"/>
        <v>0</v>
      </c>
      <c r="F10" s="267" t="s">
        <v>347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8">
        <f t="shared" si="1"/>
        <v>0.15385657208640888</v>
      </c>
      <c r="F11" s="267" t="s">
        <v>484</v>
      </c>
    </row>
    <row r="12" spans="1:18" x14ac:dyDescent="0.55000000000000004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8">
        <f t="shared" si="1"/>
        <v>1.1038125550213313E-2</v>
      </c>
      <c r="F12" s="267" t="s">
        <v>484</v>
      </c>
    </row>
    <row r="13" spans="1:18" x14ac:dyDescent="0.55000000000000004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8">
        <f t="shared" si="1"/>
        <v>0</v>
      </c>
      <c r="F13" s="267" t="s">
        <v>658</v>
      </c>
    </row>
    <row r="14" spans="1:18" x14ac:dyDescent="0.55000000000000004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8">
        <v>0</v>
      </c>
      <c r="F14" s="267" t="s">
        <v>659</v>
      </c>
    </row>
    <row r="15" spans="1:18" x14ac:dyDescent="0.55000000000000004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8">
        <f t="shared" si="1"/>
        <v>8.1939459605877979E-3</v>
      </c>
      <c r="F15" s="267" t="s">
        <v>484</v>
      </c>
    </row>
    <row r="16" spans="1:18" x14ac:dyDescent="0.55000000000000004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8">
        <f>D16/SUM($D$2:$D$16)</f>
        <v>0.27128055800094808</v>
      </c>
      <c r="F16" s="267"/>
    </row>
    <row r="18" spans="1:11" ht="16.8" x14ac:dyDescent="0.65">
      <c r="A18" s="216" t="s">
        <v>441</v>
      </c>
    </row>
    <row r="19" spans="1:11" x14ac:dyDescent="0.55000000000000004">
      <c r="A19" s="217" t="s">
        <v>107</v>
      </c>
      <c r="E19" t="s">
        <v>485</v>
      </c>
      <c r="H19" t="s">
        <v>486</v>
      </c>
    </row>
    <row r="20" spans="1:11" x14ac:dyDescent="0.55000000000000004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55000000000000004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55000000000000004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55000000000000004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55000000000000004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55000000000000004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55000000000000004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275</v>
      </c>
    </row>
    <row r="2" spans="1:21" x14ac:dyDescent="0.55000000000000004">
      <c r="A2" s="420" t="s">
        <v>791</v>
      </c>
    </row>
    <row r="3" spans="1:21" x14ac:dyDescent="0.55000000000000004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55000000000000004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55000000000000004">
      <c r="A5" s="8" t="s">
        <v>16</v>
      </c>
      <c r="B5" s="8" t="s">
        <v>45</v>
      </c>
      <c r="C5" s="419">
        <f>1111*0.77</f>
        <v>855.47</v>
      </c>
      <c r="D5" s="419"/>
      <c r="E5" s="419"/>
      <c r="F5" s="421">
        <f>17657*(1-0)*1000/I5</f>
        <v>1.4953335295833323</v>
      </c>
      <c r="G5" s="421">
        <f>2515*(1-0.1)*1000/I5</f>
        <v>0.19169096925932338</v>
      </c>
      <c r="H5" s="421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1">
        <f>87.68*1000/SUM(I5:I6)*K12</f>
        <v>1.5668203052737979E-2</v>
      </c>
      <c r="L5" s="421">
        <f>18/1000*365/100</f>
        <v>6.5699999999999995E-2</v>
      </c>
      <c r="M5" s="421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55000000000000004">
      <c r="A6" s="8"/>
      <c r="B6" s="8" t="s">
        <v>46</v>
      </c>
      <c r="C6" s="419">
        <f>1111*0.77</f>
        <v>855.47</v>
      </c>
      <c r="D6" s="419"/>
      <c r="E6" s="419"/>
      <c r="F6" s="421">
        <f>17657*(0)*1000/I6</f>
        <v>0</v>
      </c>
      <c r="G6" s="421">
        <f>2515*(0.1)*1000/I6</f>
        <v>0.51229925609666671</v>
      </c>
      <c r="H6" s="421">
        <f>H60/SUM(H58:H61)</f>
        <v>0.47263527552126194</v>
      </c>
      <c r="I6" s="297">
        <f>SUM(H58:H61)</f>
        <v>490924</v>
      </c>
      <c r="J6" s="297"/>
      <c r="K6" s="421">
        <f>K5</f>
        <v>1.5668203052737979E-2</v>
      </c>
      <c r="L6" s="421">
        <f>35/1000*(365-200)/100</f>
        <v>5.7750000000000003E-2</v>
      </c>
      <c r="M6" s="421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4.7" thickBot="1" x14ac:dyDescent="0.6">
      <c r="A7" s="8" t="s">
        <v>17</v>
      </c>
      <c r="B7" s="8" t="s">
        <v>45</v>
      </c>
      <c r="C7" s="419">
        <f>3400*0.77</f>
        <v>2618</v>
      </c>
      <c r="D7" s="419">
        <f>4786000000/1000/I7</f>
        <v>3.7771765723503732</v>
      </c>
      <c r="E7" s="419"/>
      <c r="F7" s="421">
        <f>14050*(1-0.09)*1000/I7</f>
        <v>10.090491238149957</v>
      </c>
      <c r="G7" s="421">
        <f>261*(1-0.04)*1000/I7</f>
        <v>0.19774537441874415</v>
      </c>
      <c r="H7" s="421">
        <f>(464000-23400)/I7</f>
        <v>0.34772753819004898</v>
      </c>
      <c r="I7" s="297">
        <f>J7-I8</f>
        <v>1267084</v>
      </c>
      <c r="J7" s="297">
        <f>SUM(D22:D26)</f>
        <v>1491432</v>
      </c>
      <c r="K7" s="421">
        <f>(21+8.2)*1000/SUM(I7:I8)*K12</f>
        <v>4.3029625219252375E-2</v>
      </c>
      <c r="L7" s="421">
        <f>3/1000*365/100</f>
        <v>1.095E-2</v>
      </c>
      <c r="M7" s="421">
        <f t="shared" si="0"/>
        <v>2.831717934524296</v>
      </c>
      <c r="N7" s="265">
        <f>((N14+S8)*M14+(N15+S9)*M15)/J7</f>
        <v>113.26871738097185</v>
      </c>
      <c r="R7" s="447" t="s">
        <v>874</v>
      </c>
      <c r="S7" s="1" t="s">
        <v>862</v>
      </c>
      <c r="U7" s="1" t="s">
        <v>875</v>
      </c>
    </row>
    <row r="8" spans="1:21" x14ac:dyDescent="0.55000000000000004">
      <c r="A8" s="8"/>
      <c r="B8" s="8" t="s">
        <v>46</v>
      </c>
      <c r="C8" s="419">
        <f>3400*0.77</f>
        <v>2618</v>
      </c>
      <c r="D8" s="419">
        <f>483000000/1000/I8</f>
        <v>2.1529053078253426</v>
      </c>
      <c r="E8" s="419"/>
      <c r="F8" s="421">
        <f>14050*(0.09)*1000/I8</f>
        <v>5.636332840052062</v>
      </c>
      <c r="G8" s="421">
        <f>261*(0.04)*1000/I8</f>
        <v>4.6534847647404926E-2</v>
      </c>
      <c r="H8" s="421">
        <f>23400/I8</f>
        <v>0.10430224472694208</v>
      </c>
      <c r="I8" s="297">
        <f>SUM(H36:H51)</f>
        <v>224348</v>
      </c>
      <c r="J8" s="297"/>
      <c r="K8" s="421">
        <f>K7</f>
        <v>4.3029625219252375E-2</v>
      </c>
      <c r="L8" s="421">
        <f>8/1000*(365-200)/100</f>
        <v>1.32E-2</v>
      </c>
      <c r="M8" s="421">
        <f t="shared" si="0"/>
        <v>2.3680201988872902</v>
      </c>
      <c r="N8" s="265">
        <f>(N14*M14+N15*M15)/J7*O4</f>
        <v>94.720807955491594</v>
      </c>
      <c r="R8" s="450" t="s">
        <v>849</v>
      </c>
      <c r="S8" s="458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9">
        <f>24*0.77</f>
        <v>18.48</v>
      </c>
      <c r="D9" s="419"/>
      <c r="E9" s="419">
        <f>220000000/1000/I9</f>
        <v>1.1120887382109748E-2</v>
      </c>
      <c r="F9" s="421">
        <f>8883/I9*46496/(46496+14973)</f>
        <v>3.3965332371824528E-4</v>
      </c>
      <c r="G9" s="421">
        <f>157070/I9*5445008/(5445008+297894)</f>
        <v>7.5279568763122248E-3</v>
      </c>
      <c r="H9" s="421">
        <f>105567000/I9</f>
        <v>5.3363578103053619</v>
      </c>
      <c r="I9" s="297">
        <f>J9-I10</f>
        <v>19782594</v>
      </c>
      <c r="J9" s="297">
        <f>SUM(F22:F26)</f>
        <v>23059881</v>
      </c>
      <c r="K9" s="421">
        <f>154000*3.2%/J9*K12</f>
        <v>4.6967971777477953E-4</v>
      </c>
      <c r="L9" s="421">
        <f>0.12/1000*365/100</f>
        <v>4.3799999999999997E-4</v>
      </c>
      <c r="M9" s="421">
        <f t="shared" si="0"/>
        <v>7.1358057718871957E-4</v>
      </c>
      <c r="N9" s="265">
        <f>0.00308299593513136+S14</f>
        <v>2.8543223087548784E-2</v>
      </c>
      <c r="R9" s="450" t="s">
        <v>850</v>
      </c>
      <c r="S9" s="458">
        <v>14.592057308217106</v>
      </c>
    </row>
    <row r="10" spans="1:21" x14ac:dyDescent="0.55000000000000004">
      <c r="A10" s="8"/>
      <c r="B10" s="8" t="s">
        <v>46</v>
      </c>
      <c r="C10" s="419">
        <f>24*0.77</f>
        <v>18.48</v>
      </c>
      <c r="D10" s="419"/>
      <c r="E10" s="419">
        <f>15000000/1000/I10</f>
        <v>4.5769564887054442E-3</v>
      </c>
      <c r="F10" s="421">
        <f>8883/I10*14973/(46496+14973)</f>
        <v>6.6023396673266124E-4</v>
      </c>
      <c r="G10" s="421">
        <f>157070/I10*297894/(5445008+297894)</f>
        <v>2.4860457648070043E-3</v>
      </c>
      <c r="H10" s="421">
        <f>SUM(H70:H71)/I10</f>
        <v>0.37369537669419861</v>
      </c>
      <c r="I10" s="297">
        <f>SUM(H65:H78)</f>
        <v>3277287</v>
      </c>
      <c r="J10" s="297"/>
      <c r="K10" s="421">
        <f>K9</f>
        <v>4.6967971777477953E-4</v>
      </c>
      <c r="L10" s="421">
        <f>0.5/1000*(365-200)/100</f>
        <v>8.25E-4</v>
      </c>
      <c r="M10" s="421">
        <f t="shared" si="0"/>
        <v>7.8493863490759156E-4</v>
      </c>
      <c r="N10" s="265">
        <f>N9*O4</f>
        <v>3.1397545396303662E-2</v>
      </c>
      <c r="R10" s="450" t="s">
        <v>851</v>
      </c>
      <c r="S10" s="458">
        <v>0.19571412612000011</v>
      </c>
    </row>
    <row r="11" spans="1:21" ht="15" x14ac:dyDescent="0.6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50" t="s">
        <v>853</v>
      </c>
      <c r="S11" s="458">
        <v>0.46338099649199982</v>
      </c>
    </row>
    <row r="12" spans="1:21" x14ac:dyDescent="0.55000000000000004">
      <c r="K12" s="1">
        <v>2.1978</v>
      </c>
      <c r="R12" s="450" t="s">
        <v>854</v>
      </c>
      <c r="S12" s="458">
        <v>2.7157706718750001</v>
      </c>
    </row>
    <row r="13" spans="1:21" ht="15" x14ac:dyDescent="0.6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50" t="s">
        <v>855</v>
      </c>
      <c r="S13" s="458">
        <v>3.4053242231492895</v>
      </c>
      <c r="U13" s="1">
        <f>S13*J5*25/1000/(F5*J5)</f>
        <v>5.6932519664996864E-2</v>
      </c>
    </row>
    <row r="14" spans="1:21" x14ac:dyDescent="0.55000000000000004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50" t="s">
        <v>856</v>
      </c>
      <c r="S14" s="458">
        <v>2.5460227152417424E-2</v>
      </c>
    </row>
    <row r="15" spans="1:21" x14ac:dyDescent="0.55000000000000004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50" t="s">
        <v>857</v>
      </c>
      <c r="S15" s="458">
        <v>0.48616573334049179</v>
      </c>
    </row>
    <row r="16" spans="1:21" x14ac:dyDescent="0.55000000000000004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50" t="s">
        <v>858</v>
      </c>
      <c r="S16" s="458">
        <v>0.32571647999999997</v>
      </c>
    </row>
    <row r="17" spans="1:19" x14ac:dyDescent="0.55000000000000004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50" t="s">
        <v>859</v>
      </c>
      <c r="S17" s="458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3" t="s">
        <v>860</v>
      </c>
      <c r="S18" s="456">
        <v>1.3538981647058823E-3</v>
      </c>
    </row>
    <row r="19" spans="1:19" ht="16.8" x14ac:dyDescent="0.65">
      <c r="A19" s="514" t="s">
        <v>274</v>
      </c>
      <c r="B19" s="514"/>
      <c r="C19" s="51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55000000000000004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270</v>
      </c>
      <c r="B22" s="68" t="s">
        <v>269</v>
      </c>
      <c r="C22" s="68" t="s">
        <v>56</v>
      </c>
      <c r="D22" s="422">
        <v>29506</v>
      </c>
      <c r="E22" s="422">
        <v>287584</v>
      </c>
      <c r="F22" s="422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22">
        <v>69462</v>
      </c>
      <c r="E23" s="422">
        <v>1268965</v>
      </c>
      <c r="F23" s="422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22">
        <v>571543</v>
      </c>
      <c r="E24" s="422">
        <v>3681778</v>
      </c>
      <c r="F24" s="422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22">
        <v>475308</v>
      </c>
      <c r="E25" s="422">
        <v>4307984</v>
      </c>
      <c r="F25" s="422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22">
        <v>345613</v>
      </c>
      <c r="E26" s="422">
        <v>2752681</v>
      </c>
      <c r="F26" s="422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4.7" thickBot="1" x14ac:dyDescent="0.6">
      <c r="A29" s="508" t="s">
        <v>267</v>
      </c>
      <c r="B29" s="508" t="s">
        <v>266</v>
      </c>
      <c r="C29" s="140"/>
      <c r="D29" s="140"/>
      <c r="E29" s="128" t="s">
        <v>265</v>
      </c>
      <c r="F29" s="140"/>
      <c r="G29" s="140"/>
      <c r="H29" s="510" t="s">
        <v>264</v>
      </c>
      <c r="I29" s="51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4.7" thickBot="1" x14ac:dyDescent="0.6">
      <c r="A30" s="509"/>
      <c r="B30" s="50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1"/>
      <c r="I30" s="51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4.4" x14ac:dyDescent="0.55000000000000004"/>
  <cols>
    <col min="1" max="1" width="13.68359375" customWidth="1"/>
  </cols>
  <sheetData>
    <row r="1" spans="1:13" ht="18.3" x14ac:dyDescent="0.7">
      <c r="A1" s="394" t="s">
        <v>781</v>
      </c>
      <c r="B1" s="9"/>
    </row>
    <row r="2" spans="1:13" ht="18.3" x14ac:dyDescent="0.7">
      <c r="A2" s="397"/>
      <c r="B2" s="398"/>
      <c r="C2" s="518" t="s">
        <v>782</v>
      </c>
      <c r="D2" s="519"/>
      <c r="E2" s="519"/>
      <c r="F2" s="520"/>
      <c r="G2" s="267"/>
      <c r="H2" s="267"/>
      <c r="I2" s="267"/>
    </row>
    <row r="3" spans="1:13" x14ac:dyDescent="0.55000000000000004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55000000000000004">
      <c r="A4" s="267" t="s">
        <v>555</v>
      </c>
      <c r="B4" s="267" t="s">
        <v>553</v>
      </c>
      <c r="C4" s="267"/>
      <c r="D4" s="267"/>
      <c r="E4" s="267"/>
      <c r="F4" s="267"/>
      <c r="G4" s="425">
        <f>H4</f>
        <v>6.8302753109928638</v>
      </c>
      <c r="H4" s="425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55000000000000004">
      <c r="A5" s="267" t="s">
        <v>555</v>
      </c>
      <c r="B5" s="267" t="s">
        <v>405</v>
      </c>
      <c r="C5" s="395"/>
      <c r="D5" s="395"/>
      <c r="E5" s="395"/>
      <c r="F5" s="395"/>
      <c r="G5" s="423">
        <f>(139+1763+205)/3826</f>
        <v>0.55070569785676948</v>
      </c>
      <c r="H5" s="425"/>
      <c r="I5" s="267"/>
      <c r="L5" t="s">
        <v>704</v>
      </c>
      <c r="M5" s="1" t="s">
        <v>614</v>
      </c>
    </row>
    <row r="6" spans="1:13" x14ac:dyDescent="0.55000000000000004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5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55000000000000004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5"/>
      <c r="I7" s="267"/>
      <c r="L7" t="s">
        <v>557</v>
      </c>
      <c r="M7" s="1" t="s">
        <v>616</v>
      </c>
    </row>
    <row r="8" spans="1:13" x14ac:dyDescent="0.55000000000000004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5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55000000000000004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5"/>
      <c r="I9" s="267"/>
      <c r="L9" t="s">
        <v>559</v>
      </c>
      <c r="M9" s="1" t="s">
        <v>621</v>
      </c>
    </row>
    <row r="10" spans="1:13" x14ac:dyDescent="0.55000000000000004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5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55000000000000004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5"/>
      <c r="I11" s="267"/>
    </row>
    <row r="12" spans="1:13" x14ac:dyDescent="0.55000000000000004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5">
        <f>(4.4+0.1+0.9)*$M$4</f>
        <v>5.9489494644131398</v>
      </c>
      <c r="I12" s="267" t="s">
        <v>628</v>
      </c>
    </row>
    <row r="13" spans="1:13" x14ac:dyDescent="0.55000000000000004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5"/>
      <c r="I13" s="267"/>
    </row>
    <row r="14" spans="1:13" x14ac:dyDescent="0.55000000000000004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6"/>
      <c r="H14" s="425">
        <f>(4.4+0.1+0.9)*$M$4</f>
        <v>5.9489494644131398</v>
      </c>
      <c r="I14" s="267" t="s">
        <v>628</v>
      </c>
    </row>
    <row r="15" spans="1:13" x14ac:dyDescent="0.55000000000000004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55000000000000004">
      <c r="H16" s="206"/>
    </row>
    <row r="18" spans="1:15" x14ac:dyDescent="0.55000000000000004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55000000000000004">
      <c r="A19" s="300" t="s">
        <v>556</v>
      </c>
      <c r="B19" s="300" t="s">
        <v>626</v>
      </c>
      <c r="C19" s="427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7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7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55000000000000004">
      <c r="A20" s="300" t="s">
        <v>556</v>
      </c>
      <c r="B20" s="300" t="s">
        <v>408</v>
      </c>
      <c r="C20" s="428">
        <f>AVERAGE(C22,C24)</f>
        <v>0.9285714285714286</v>
      </c>
      <c r="D20" s="428">
        <f>AVERAGE(D22,D24)</f>
        <v>0.48888888888888882</v>
      </c>
      <c r="E20" s="428">
        <f>AVERAGE(E22,E24)</f>
        <v>0.41329365079365077</v>
      </c>
      <c r="F20" s="428">
        <f>AVERAGE(F22,F24)</f>
        <v>0.34313725490196079</v>
      </c>
      <c r="G20" s="428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557</v>
      </c>
      <c r="B21" s="300" t="s">
        <v>626</v>
      </c>
      <c r="C21" s="427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4">
        <f>1-K22-K23</f>
        <v>0.125</v>
      </c>
      <c r="L21" s="424">
        <f>1-L22-L23</f>
        <v>0.6</v>
      </c>
      <c r="M21" s="424">
        <f>1-M22-M23</f>
        <v>0.65</v>
      </c>
      <c r="N21" s="424">
        <f>1-N22-N23</f>
        <v>0.6</v>
      </c>
      <c r="O21" s="424">
        <f>1-O22-O23</f>
        <v>0.5</v>
      </c>
    </row>
    <row r="22" spans="1:15" x14ac:dyDescent="0.55000000000000004">
      <c r="A22" s="300" t="s">
        <v>557</v>
      </c>
      <c r="B22" s="300" t="s">
        <v>408</v>
      </c>
      <c r="C22" s="428">
        <f>K22/SUM(K21:K22)</f>
        <v>0.8571428571428571</v>
      </c>
      <c r="D22" s="428">
        <f>L22/SUM(L21:L22)</f>
        <v>0.19999999999999998</v>
      </c>
      <c r="E22" s="428">
        <f>M22/SUM(M21:M22)</f>
        <v>0.25714285714285717</v>
      </c>
      <c r="F22" s="428">
        <f>N22/SUM(N21:N22)</f>
        <v>0.33333333333333337</v>
      </c>
      <c r="G22" s="428">
        <f>O22/SUM(O21:O22)</f>
        <v>0.44444444444444448</v>
      </c>
      <c r="I22" s="300" t="s">
        <v>557</v>
      </c>
      <c r="J22" s="300" t="s">
        <v>408</v>
      </c>
      <c r="K22" s="428">
        <f>AVERAGE(AVERAGEIF($B$31:$J$31,K$20,$B39:$J39),AVERAGEIF($B$31:$J$31,K$20,$B47:$J47))/100</f>
        <v>0.75</v>
      </c>
      <c r="L22" s="428">
        <f t="shared" ref="L22:O22" si="4">AVERAGE(AVERAGEIF($B$31:$J$31,L$20,$B39:$J39),AVERAGEIF($B$31:$J$31,L$20,$B47:$J47))/100</f>
        <v>0.15</v>
      </c>
      <c r="M22" s="428">
        <f t="shared" si="4"/>
        <v>0.22500000000000001</v>
      </c>
      <c r="N22" s="428">
        <f t="shared" si="4"/>
        <v>0.3</v>
      </c>
      <c r="O22" s="428">
        <f t="shared" si="4"/>
        <v>0.4</v>
      </c>
    </row>
    <row r="23" spans="1:15" x14ac:dyDescent="0.55000000000000004">
      <c r="A23" s="300" t="s">
        <v>558</v>
      </c>
      <c r="B23" s="300" t="s">
        <v>626</v>
      </c>
      <c r="C23" s="427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7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7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8">
        <f>AVERAGE(AVERAGEIF($B$31:$J$31,K$20,$B40:$J40),AVERAGEIF($B$31:$J$31,K$20,$B48:$J48))/100</f>
        <v>0.125</v>
      </c>
      <c r="L23" s="428">
        <f t="shared" ref="L23:O23" si="5">AVERAGE(AVERAGEIF($B$31:$J$31,L$20,$B40:$J40),AVERAGEIF($B$31:$J$31,L$20,$B48:$J48))/100</f>
        <v>0.25</v>
      </c>
      <c r="M23" s="428">
        <f t="shared" si="5"/>
        <v>0.125</v>
      </c>
      <c r="N23" s="428">
        <f t="shared" si="5"/>
        <v>0.1</v>
      </c>
      <c r="O23" s="428">
        <f t="shared" si="5"/>
        <v>0.1</v>
      </c>
    </row>
    <row r="24" spans="1:15" x14ac:dyDescent="0.55000000000000004">
      <c r="A24" s="300" t="s">
        <v>558</v>
      </c>
      <c r="B24" s="300" t="s">
        <v>408</v>
      </c>
      <c r="C24" s="428">
        <f>K25/SUM(K24:K25)</f>
        <v>1</v>
      </c>
      <c r="D24" s="428">
        <f>L25/SUM(L24:L25)</f>
        <v>0.77777777777777768</v>
      </c>
      <c r="E24" s="428">
        <f>M25/SUM(M24:M25)</f>
        <v>0.56944444444444442</v>
      </c>
      <c r="F24" s="428">
        <f>N25/SUM(N24:N25)</f>
        <v>0.35294117647058826</v>
      </c>
      <c r="G24" s="428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4">
        <f>1-K25-K26</f>
        <v>0</v>
      </c>
      <c r="L24" s="424">
        <f>1-L25-L26</f>
        <v>0.20000000000000004</v>
      </c>
      <c r="M24" s="424">
        <f>1-M25-M26</f>
        <v>0.38750000000000007</v>
      </c>
      <c r="N24" s="424">
        <f>1-N25-N26</f>
        <v>0.54999999999999993</v>
      </c>
      <c r="O24" s="424">
        <f>1-O25-O26</f>
        <v>0.48749999999999993</v>
      </c>
    </row>
    <row r="25" spans="1:15" x14ac:dyDescent="0.55000000000000004">
      <c r="A25" s="300" t="s">
        <v>559</v>
      </c>
      <c r="B25" s="300" t="s">
        <v>626</v>
      </c>
      <c r="C25" s="427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8">
        <f>AVERAGE(AVERAGEIF($B$31:$J$31,K$20,$B35:$J35),AVERAGEIF($B$31:$J$31,K$20,$B43:$J43))/100</f>
        <v>0.85</v>
      </c>
      <c r="L25" s="428">
        <f t="shared" ref="L25:O26" si="6">AVERAGE(AVERAGEIF($B$31:$J$31,L$20,$B35:$J35),AVERAGEIF($B$31:$J$31,L$20,$B43:$J43))/100</f>
        <v>0.7</v>
      </c>
      <c r="M25" s="428">
        <f t="shared" si="6"/>
        <v>0.51249999999999996</v>
      </c>
      <c r="N25" s="428">
        <f t="shared" si="6"/>
        <v>0.3</v>
      </c>
      <c r="O25" s="428">
        <f t="shared" si="6"/>
        <v>0.36249999999999999</v>
      </c>
    </row>
    <row r="26" spans="1:15" x14ac:dyDescent="0.55000000000000004">
      <c r="A26" s="300" t="s">
        <v>559</v>
      </c>
      <c r="B26" s="300" t="s">
        <v>408</v>
      </c>
      <c r="C26" s="428">
        <f>C24</f>
        <v>1</v>
      </c>
      <c r="D26" s="428">
        <f t="shared" ref="D26:G26" si="7">D24</f>
        <v>0.77777777777777768</v>
      </c>
      <c r="E26" s="428">
        <f t="shared" si="7"/>
        <v>0.56944444444444442</v>
      </c>
      <c r="F26" s="428">
        <f t="shared" si="7"/>
        <v>0.35294117647058826</v>
      </c>
      <c r="G26" s="428">
        <f t="shared" si="7"/>
        <v>0.42647058823529416</v>
      </c>
      <c r="I26" s="300" t="s">
        <v>558</v>
      </c>
      <c r="J26" s="300" t="s">
        <v>631</v>
      </c>
      <c r="K26" s="428">
        <f>AVERAGE(AVERAGEIF($B$31:$J$31,K$20,$B36:$J36),AVERAGEIF($B$31:$J$31,K$20,$B44:$J44))/100</f>
        <v>0.15</v>
      </c>
      <c r="L26" s="428">
        <f t="shared" si="6"/>
        <v>0.1</v>
      </c>
      <c r="M26" s="428">
        <f t="shared" si="6"/>
        <v>0.1</v>
      </c>
      <c r="N26" s="428">
        <f t="shared" si="6"/>
        <v>0.15</v>
      </c>
      <c r="O26" s="428">
        <f t="shared" si="6"/>
        <v>0.15</v>
      </c>
    </row>
    <row r="27" spans="1:15" x14ac:dyDescent="0.55000000000000004">
      <c r="A27" s="300" t="s">
        <v>560</v>
      </c>
      <c r="B27" s="300" t="s">
        <v>626</v>
      </c>
      <c r="C27" s="427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7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7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55000000000000004">
      <c r="A28" s="300" t="s">
        <v>560</v>
      </c>
      <c r="B28" s="300" t="s">
        <v>408</v>
      </c>
      <c r="C28" s="428">
        <f>C24</f>
        <v>1</v>
      </c>
      <c r="D28" s="428">
        <f t="shared" ref="D28:G28" si="8">D24</f>
        <v>0.77777777777777768</v>
      </c>
      <c r="E28" s="428">
        <f t="shared" si="8"/>
        <v>0.56944444444444442</v>
      </c>
      <c r="F28" s="428">
        <f t="shared" si="8"/>
        <v>0.35294117647058826</v>
      </c>
      <c r="G28" s="428">
        <f t="shared" si="8"/>
        <v>0.42647058823529416</v>
      </c>
    </row>
    <row r="30" spans="1:15" x14ac:dyDescent="0.55000000000000004">
      <c r="A30" t="s">
        <v>812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9" t="s">
        <v>796</v>
      </c>
      <c r="B32" s="430" t="s">
        <v>809</v>
      </c>
      <c r="C32" s="430" t="s">
        <v>804</v>
      </c>
      <c r="D32" s="430" t="s">
        <v>805</v>
      </c>
      <c r="E32" s="430" t="s">
        <v>810</v>
      </c>
      <c r="F32" s="430" t="s">
        <v>806</v>
      </c>
      <c r="G32" s="430" t="s">
        <v>807</v>
      </c>
      <c r="H32" s="430" t="s">
        <v>808</v>
      </c>
      <c r="I32" s="430" t="s">
        <v>797</v>
      </c>
      <c r="J32" s="430" t="s">
        <v>811</v>
      </c>
    </row>
    <row r="33" spans="1:10" ht="14.7" thickBot="1" x14ac:dyDescent="0.6">
      <c r="A33" s="515" t="s">
        <v>798</v>
      </c>
      <c r="B33" s="516"/>
      <c r="C33" s="431"/>
      <c r="D33" s="431"/>
      <c r="E33" s="517"/>
      <c r="F33" s="517"/>
      <c r="G33" s="431"/>
      <c r="H33" s="431"/>
      <c r="I33" s="431"/>
      <c r="J33" s="432"/>
    </row>
    <row r="34" spans="1:10" ht="14.7" thickBot="1" x14ac:dyDescent="0.6">
      <c r="A34" s="433" t="s">
        <v>799</v>
      </c>
      <c r="B34" s="434">
        <v>0</v>
      </c>
      <c r="C34" s="434">
        <v>0</v>
      </c>
      <c r="D34" s="434">
        <v>20</v>
      </c>
      <c r="E34" s="434">
        <v>30</v>
      </c>
      <c r="F34" s="434">
        <v>40</v>
      </c>
      <c r="G34" s="434">
        <v>50</v>
      </c>
      <c r="H34" s="434">
        <v>55</v>
      </c>
      <c r="I34" s="434">
        <v>50</v>
      </c>
      <c r="J34" s="434">
        <v>45</v>
      </c>
    </row>
    <row r="35" spans="1:10" ht="14.7" thickBot="1" x14ac:dyDescent="0.6">
      <c r="A35" s="433" t="s">
        <v>800</v>
      </c>
      <c r="B35" s="434">
        <v>80</v>
      </c>
      <c r="C35" s="434">
        <v>90</v>
      </c>
      <c r="D35" s="434">
        <v>70</v>
      </c>
      <c r="E35" s="434">
        <v>60</v>
      </c>
      <c r="F35" s="434">
        <v>50</v>
      </c>
      <c r="G35" s="434">
        <v>35</v>
      </c>
      <c r="H35" s="434">
        <v>30</v>
      </c>
      <c r="I35" s="434">
        <v>35</v>
      </c>
      <c r="J35" s="434">
        <v>40</v>
      </c>
    </row>
    <row r="36" spans="1:10" ht="14.7" thickBot="1" x14ac:dyDescent="0.6">
      <c r="A36" s="433" t="s">
        <v>801</v>
      </c>
      <c r="B36" s="434">
        <v>20</v>
      </c>
      <c r="C36" s="434">
        <v>10</v>
      </c>
      <c r="D36" s="434">
        <v>10</v>
      </c>
      <c r="E36" s="434">
        <v>10</v>
      </c>
      <c r="F36" s="434">
        <v>10</v>
      </c>
      <c r="G36" s="434">
        <v>15</v>
      </c>
      <c r="H36" s="434">
        <v>15</v>
      </c>
      <c r="I36" s="434">
        <v>15</v>
      </c>
      <c r="J36" s="434">
        <v>15</v>
      </c>
    </row>
    <row r="37" spans="1:10" ht="14.7" thickBot="1" x14ac:dyDescent="0.6">
      <c r="A37" s="515" t="s">
        <v>802</v>
      </c>
      <c r="B37" s="516"/>
      <c r="C37" s="431"/>
      <c r="D37" s="431"/>
      <c r="E37" s="517"/>
      <c r="F37" s="517"/>
      <c r="G37" s="431"/>
      <c r="H37" s="431"/>
      <c r="I37" s="431"/>
      <c r="J37" s="432"/>
    </row>
    <row r="38" spans="1:10" ht="14.7" thickBot="1" x14ac:dyDescent="0.6">
      <c r="A38" s="433" t="s">
        <v>799</v>
      </c>
      <c r="B38" s="434">
        <v>0</v>
      </c>
      <c r="C38" s="434">
        <v>25</v>
      </c>
      <c r="D38" s="434">
        <v>60</v>
      </c>
      <c r="E38" s="434">
        <v>65</v>
      </c>
      <c r="F38" s="434">
        <v>65</v>
      </c>
      <c r="G38" s="434">
        <v>60</v>
      </c>
      <c r="H38" s="434">
        <v>60</v>
      </c>
      <c r="I38" s="434">
        <v>50</v>
      </c>
      <c r="J38" s="434">
        <v>50</v>
      </c>
    </row>
    <row r="39" spans="1:10" ht="14.7" thickBot="1" x14ac:dyDescent="0.6">
      <c r="A39" s="433" t="s">
        <v>800</v>
      </c>
      <c r="B39" s="434">
        <v>90</v>
      </c>
      <c r="C39" s="434">
        <v>60</v>
      </c>
      <c r="D39" s="434">
        <v>15</v>
      </c>
      <c r="E39" s="434">
        <v>20</v>
      </c>
      <c r="F39" s="434">
        <v>25</v>
      </c>
      <c r="G39" s="434">
        <v>30</v>
      </c>
      <c r="H39" s="434">
        <v>30</v>
      </c>
      <c r="I39" s="434">
        <v>40</v>
      </c>
      <c r="J39" s="434">
        <v>40</v>
      </c>
    </row>
    <row r="40" spans="1:10" ht="14.7" thickBot="1" x14ac:dyDescent="0.6">
      <c r="A40" s="433" t="s">
        <v>801</v>
      </c>
      <c r="B40" s="434">
        <v>10</v>
      </c>
      <c r="C40" s="434">
        <v>15</v>
      </c>
      <c r="D40" s="434">
        <v>25</v>
      </c>
      <c r="E40" s="434">
        <v>15</v>
      </c>
      <c r="F40" s="434">
        <v>10</v>
      </c>
      <c r="G40" s="434">
        <v>10</v>
      </c>
      <c r="H40" s="434">
        <v>10</v>
      </c>
      <c r="I40" s="434">
        <v>10</v>
      </c>
      <c r="J40" s="434">
        <v>10</v>
      </c>
    </row>
    <row r="41" spans="1:10" ht="14.7" thickBot="1" x14ac:dyDescent="0.6">
      <c r="A41" s="515" t="s">
        <v>803</v>
      </c>
      <c r="B41" s="516"/>
      <c r="C41" s="431"/>
      <c r="D41" s="431"/>
      <c r="E41" s="517"/>
      <c r="F41" s="517"/>
      <c r="G41" s="431"/>
      <c r="H41" s="431"/>
      <c r="I41" s="431"/>
      <c r="J41" s="432"/>
    </row>
    <row r="42" spans="1:10" ht="14.7" thickBot="1" x14ac:dyDescent="0.6">
      <c r="A42" s="433" t="s">
        <v>799</v>
      </c>
      <c r="B42" s="434">
        <v>0</v>
      </c>
      <c r="C42" s="434">
        <v>0</v>
      </c>
      <c r="D42" s="434">
        <v>20</v>
      </c>
      <c r="E42" s="434">
        <v>35</v>
      </c>
      <c r="F42" s="434">
        <v>50</v>
      </c>
      <c r="G42" s="434">
        <v>55</v>
      </c>
      <c r="H42" s="434">
        <v>60</v>
      </c>
      <c r="I42" s="434">
        <v>55</v>
      </c>
      <c r="J42" s="434">
        <v>45</v>
      </c>
    </row>
    <row r="43" spans="1:10" ht="14.7" thickBot="1" x14ac:dyDescent="0.6">
      <c r="A43" s="433" t="s">
        <v>800</v>
      </c>
      <c r="B43" s="434">
        <v>80</v>
      </c>
      <c r="C43" s="434">
        <v>90</v>
      </c>
      <c r="D43" s="434">
        <v>70</v>
      </c>
      <c r="E43" s="434">
        <v>55</v>
      </c>
      <c r="F43" s="434">
        <v>40</v>
      </c>
      <c r="G43" s="434">
        <v>30</v>
      </c>
      <c r="H43" s="434">
        <v>25</v>
      </c>
      <c r="I43" s="434">
        <v>30</v>
      </c>
      <c r="J43" s="434">
        <v>40</v>
      </c>
    </row>
    <row r="44" spans="1:10" ht="14.7" thickBot="1" x14ac:dyDescent="0.6">
      <c r="A44" s="433" t="s">
        <v>801</v>
      </c>
      <c r="B44" s="434">
        <v>20</v>
      </c>
      <c r="C44" s="434">
        <v>10</v>
      </c>
      <c r="D44" s="434">
        <v>10</v>
      </c>
      <c r="E44" s="434">
        <v>10</v>
      </c>
      <c r="F44" s="434">
        <v>10</v>
      </c>
      <c r="G44" s="434">
        <v>15</v>
      </c>
      <c r="H44" s="434">
        <v>15</v>
      </c>
      <c r="I44" s="434">
        <v>15</v>
      </c>
      <c r="J44" s="434">
        <v>15</v>
      </c>
    </row>
    <row r="45" spans="1:10" ht="14.7" thickBot="1" x14ac:dyDescent="0.6">
      <c r="A45" s="515" t="s">
        <v>802</v>
      </c>
      <c r="B45" s="516"/>
      <c r="C45" s="431"/>
      <c r="D45" s="431"/>
      <c r="E45" s="517"/>
      <c r="F45" s="517"/>
      <c r="G45" s="431"/>
      <c r="H45" s="431"/>
      <c r="I45" s="431"/>
      <c r="J45" s="432"/>
    </row>
    <row r="46" spans="1:10" ht="14.7" thickBot="1" x14ac:dyDescent="0.6">
      <c r="A46" s="433" t="s">
        <v>799</v>
      </c>
      <c r="B46" s="434">
        <v>0</v>
      </c>
      <c r="C46" s="434">
        <v>25</v>
      </c>
      <c r="D46" s="434">
        <v>60</v>
      </c>
      <c r="E46" s="434">
        <v>65</v>
      </c>
      <c r="F46" s="434">
        <v>65</v>
      </c>
      <c r="G46" s="434">
        <v>60</v>
      </c>
      <c r="H46" s="434">
        <v>60</v>
      </c>
      <c r="I46" s="434">
        <v>50</v>
      </c>
      <c r="J46" s="434">
        <v>50</v>
      </c>
    </row>
    <row r="47" spans="1:10" ht="14.7" thickBot="1" x14ac:dyDescent="0.6">
      <c r="A47" s="433" t="s">
        <v>800</v>
      </c>
      <c r="B47" s="434">
        <v>90</v>
      </c>
      <c r="C47" s="434">
        <v>60</v>
      </c>
      <c r="D47" s="434">
        <v>15</v>
      </c>
      <c r="E47" s="434">
        <v>20</v>
      </c>
      <c r="F47" s="434">
        <v>25</v>
      </c>
      <c r="G47" s="434">
        <v>30</v>
      </c>
      <c r="H47" s="434">
        <v>30</v>
      </c>
      <c r="I47" s="434">
        <v>40</v>
      </c>
      <c r="J47" s="434">
        <v>40</v>
      </c>
    </row>
    <row r="48" spans="1:10" ht="14.7" thickBot="1" x14ac:dyDescent="0.6">
      <c r="A48" s="433" t="s">
        <v>801</v>
      </c>
      <c r="B48" s="434">
        <v>10</v>
      </c>
      <c r="C48" s="434">
        <v>15</v>
      </c>
      <c r="D48" s="434">
        <v>25</v>
      </c>
      <c r="E48" s="434">
        <v>15</v>
      </c>
      <c r="F48" s="434">
        <v>10</v>
      </c>
      <c r="G48" s="434">
        <v>10</v>
      </c>
      <c r="H48" s="434">
        <v>10</v>
      </c>
      <c r="I48" s="434">
        <v>10</v>
      </c>
      <c r="J48" s="434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</cols>
  <sheetData>
    <row r="1" spans="1:14" x14ac:dyDescent="0.55000000000000004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55000000000000004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55000000000000004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55000000000000004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55000000000000004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55000000000000004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55000000000000004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55000000000000004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55000000000000004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55000000000000004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55000000000000004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55000000000000004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55000000000000004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4.7" thickBot="1" x14ac:dyDescent="0.6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4.7" thickBot="1" x14ac:dyDescent="0.6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4.7" thickBot="1" x14ac:dyDescent="0.6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4.7" thickBot="1" x14ac:dyDescent="0.6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4.7" thickBot="1" x14ac:dyDescent="0.6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4.7" thickBot="1" x14ac:dyDescent="0.6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4.7" thickBot="1" x14ac:dyDescent="0.6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4.7" thickBot="1" x14ac:dyDescent="0.6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4.7" thickBot="1" x14ac:dyDescent="0.6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4.7" thickBot="1" x14ac:dyDescent="0.6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4.7" thickBot="1" x14ac:dyDescent="0.6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4.7" thickBot="1" x14ac:dyDescent="0.6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14.7" thickBot="1" x14ac:dyDescent="0.6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4.7" thickBot="1" x14ac:dyDescent="0.6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4.7" thickBot="1" x14ac:dyDescent="0.6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14.7" thickBot="1" x14ac:dyDescent="0.6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4.7" thickBot="1" x14ac:dyDescent="0.6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4.7" thickBot="1" x14ac:dyDescent="0.6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14.7" thickBot="1" x14ac:dyDescent="0.6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4.7" thickBot="1" x14ac:dyDescent="0.6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4.7" thickBot="1" x14ac:dyDescent="0.6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14.7" thickBot="1" x14ac:dyDescent="0.6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4.7" thickBot="1" x14ac:dyDescent="0.6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4.7" thickBot="1" x14ac:dyDescent="0.6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14.7" thickBot="1" x14ac:dyDescent="0.6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4.7" thickBot="1" x14ac:dyDescent="0.6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4.7" thickBot="1" x14ac:dyDescent="0.6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14.7" thickBot="1" x14ac:dyDescent="0.6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4.7" thickBot="1" x14ac:dyDescent="0.6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4.7" thickBot="1" x14ac:dyDescent="0.6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5.5" thickBot="1" x14ac:dyDescent="0.6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4.7" thickBot="1" x14ac:dyDescent="0.6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4.7" thickBot="1" x14ac:dyDescent="0.6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14.7" thickBot="1" x14ac:dyDescent="0.6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4.7" thickBot="1" x14ac:dyDescent="0.6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4.7" thickBot="1" x14ac:dyDescent="0.6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5.5" thickBot="1" x14ac:dyDescent="0.6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4.7" thickBot="1" x14ac:dyDescent="0.6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4.7" thickBot="1" x14ac:dyDescent="0.6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5.5" thickBot="1" x14ac:dyDescent="0.6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4.7" thickBot="1" x14ac:dyDescent="0.6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4.7" thickBot="1" x14ac:dyDescent="0.6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14.7" thickBot="1" x14ac:dyDescent="0.6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4.7" thickBot="1" x14ac:dyDescent="0.6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4.7" thickBot="1" x14ac:dyDescent="0.6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14.7" thickBot="1" x14ac:dyDescent="0.6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4.7" thickBot="1" x14ac:dyDescent="0.6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4.7" thickBot="1" x14ac:dyDescent="0.6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5.5" thickBot="1" x14ac:dyDescent="0.6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4.7" thickBot="1" x14ac:dyDescent="0.6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4.7" thickBot="1" x14ac:dyDescent="0.6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14.7" thickBot="1" x14ac:dyDescent="0.6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4.7" thickBot="1" x14ac:dyDescent="0.6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4.7" thickBot="1" x14ac:dyDescent="0.6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5.5" thickBot="1" x14ac:dyDescent="0.6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4.7" thickBot="1" x14ac:dyDescent="0.6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4.7" thickBot="1" x14ac:dyDescent="0.6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5.5" thickBot="1" x14ac:dyDescent="0.6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4.7" thickBot="1" x14ac:dyDescent="0.6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4.7" thickBot="1" x14ac:dyDescent="0.6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4.7" thickBot="1" x14ac:dyDescent="0.6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4.7" thickBot="1" x14ac:dyDescent="0.6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4.7" thickBot="1" x14ac:dyDescent="0.6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14.7" thickBot="1" x14ac:dyDescent="0.6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4.7" thickBot="1" x14ac:dyDescent="0.6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4.7" thickBot="1" x14ac:dyDescent="0.6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399</v>
      </c>
      <c r="B8" s="196"/>
      <c r="C8" s="196"/>
      <c r="D8" s="196"/>
    </row>
    <row r="9" spans="1:4" x14ac:dyDescent="0.55000000000000004">
      <c r="A9" s="198" t="s">
        <v>369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401</v>
      </c>
    </row>
    <row r="28" spans="1:28" x14ac:dyDescent="0.55000000000000004">
      <c r="A28" s="195" t="s">
        <v>398</v>
      </c>
    </row>
    <row r="29" spans="1:28" ht="16.8" x14ac:dyDescent="0.65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55000000000000004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784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55000000000000004">
      <c r="A5" s="1"/>
      <c r="B5" s="328"/>
    </row>
    <row r="6" spans="1:14" x14ac:dyDescent="0.55000000000000004">
      <c r="A6" s="1"/>
      <c r="B6" s="328"/>
    </row>
    <row r="8" spans="1:14" x14ac:dyDescent="0.55000000000000004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55000000000000004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55000000000000004">
      <c r="A10" t="s">
        <v>699</v>
      </c>
    </row>
    <row r="12" spans="1:14" ht="16.8" x14ac:dyDescent="0.65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55000000000000004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55000000000000004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55000000000000004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55000000000000004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55000000000000004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55000000000000004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55000000000000004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55000000000000004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55000000000000004">
      <c r="N21" s="336">
        <f>SUM(N15:N20)</f>
        <v>1356538780.5555556</v>
      </c>
    </row>
    <row r="24" spans="1:14" x14ac:dyDescent="0.55000000000000004">
      <c r="A24" s="167" t="s">
        <v>687</v>
      </c>
      <c r="B24" t="s">
        <v>783</v>
      </c>
    </row>
    <row r="25" spans="1:14" x14ac:dyDescent="0.55000000000000004">
      <c r="A25" t="s">
        <v>688</v>
      </c>
      <c r="B25">
        <v>30</v>
      </c>
      <c r="C25" t="s">
        <v>689</v>
      </c>
    </row>
    <row r="26" spans="1:14" x14ac:dyDescent="0.55000000000000004">
      <c r="A26" t="s">
        <v>690</v>
      </c>
      <c r="B26">
        <v>4.3</v>
      </c>
      <c r="C26" t="s">
        <v>691</v>
      </c>
    </row>
    <row r="27" spans="1:14" x14ac:dyDescent="0.55000000000000004">
      <c r="A27" t="s">
        <v>690</v>
      </c>
      <c r="B27">
        <f>B26/B25</f>
        <v>0.14333333333333334</v>
      </c>
      <c r="C27" t="s">
        <v>692</v>
      </c>
    </row>
    <row r="28" spans="1:14" x14ac:dyDescent="0.55000000000000004">
      <c r="A28" t="s">
        <v>693</v>
      </c>
      <c r="B28">
        <f>B27*0.65</f>
        <v>9.3166666666666675E-2</v>
      </c>
      <c r="C28" t="s">
        <v>694</v>
      </c>
    </row>
    <row r="29" spans="1:14" x14ac:dyDescent="0.55000000000000004">
      <c r="A29" s="167" t="s">
        <v>701</v>
      </c>
    </row>
    <row r="30" spans="1:14" x14ac:dyDescent="0.55000000000000004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1" t="s">
        <v>896</v>
      </c>
      <c r="F4" s="521"/>
      <c r="G4" s="521"/>
      <c r="H4" s="521"/>
      <c r="I4" s="521"/>
      <c r="J4" s="521"/>
      <c r="K4" s="521"/>
      <c r="L4" s="521"/>
      <c r="M4" s="521"/>
      <c r="N4" s="521"/>
    </row>
    <row r="5" spans="1:14" ht="14.65" customHeight="1" x14ac:dyDescent="0.55000000000000004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1"/>
      <c r="F5" s="521"/>
      <c r="G5" s="521"/>
      <c r="H5" s="521"/>
      <c r="I5" s="521"/>
      <c r="J5" s="521"/>
      <c r="K5" s="521"/>
      <c r="L5" s="521"/>
      <c r="M5" s="521"/>
      <c r="N5" s="521"/>
    </row>
    <row r="6" spans="1:14" x14ac:dyDescent="0.55000000000000004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1"/>
      <c r="F6" s="521"/>
      <c r="G6" s="521"/>
      <c r="H6" s="521"/>
      <c r="I6" s="521"/>
      <c r="J6" s="521"/>
      <c r="K6" s="521"/>
      <c r="L6" s="521"/>
      <c r="M6" s="521"/>
      <c r="N6" s="521"/>
    </row>
    <row r="7" spans="1:14" x14ac:dyDescent="0.55000000000000004">
      <c r="A7" s="162" t="s">
        <v>825</v>
      </c>
      <c r="B7" s="163">
        <f ca="1">SUM(B4:B6)+E26+D26+C26</f>
        <v>2054836.3255185024</v>
      </c>
      <c r="C7" s="163"/>
      <c r="D7" s="163"/>
      <c r="E7" s="438"/>
      <c r="F7" s="438"/>
      <c r="G7" s="438"/>
      <c r="H7" s="438"/>
      <c r="I7" s="438"/>
      <c r="J7" s="438"/>
      <c r="K7" s="438"/>
      <c r="L7" s="438"/>
      <c r="M7" s="438"/>
      <c r="N7" s="438"/>
    </row>
    <row r="8" spans="1:14" x14ac:dyDescent="0.55000000000000004">
      <c r="A8" s="162"/>
      <c r="B8" s="163"/>
      <c r="C8" s="163"/>
      <c r="D8" s="163"/>
      <c r="E8" s="438"/>
      <c r="F8" s="438"/>
      <c r="G8" s="438"/>
      <c r="H8" s="438"/>
      <c r="I8" s="438"/>
      <c r="J8" s="438"/>
      <c r="K8" s="438"/>
      <c r="L8" s="438"/>
      <c r="M8" s="438"/>
      <c r="N8" s="438"/>
    </row>
    <row r="9" spans="1:14" x14ac:dyDescent="0.55000000000000004">
      <c r="A9" s="162"/>
      <c r="B9" s="163"/>
      <c r="C9" s="163"/>
      <c r="D9" s="163"/>
      <c r="E9" s="438"/>
      <c r="F9" s="438"/>
      <c r="G9" s="438"/>
      <c r="H9" s="438"/>
      <c r="I9" s="438"/>
      <c r="J9" s="438"/>
      <c r="K9" s="438"/>
      <c r="L9" s="438"/>
      <c r="M9" s="438"/>
      <c r="N9" s="438"/>
    </row>
    <row r="10" spans="1:14" x14ac:dyDescent="0.55000000000000004">
      <c r="A10" t="s">
        <v>329</v>
      </c>
    </row>
    <row r="11" spans="1:14" x14ac:dyDescent="0.55000000000000004">
      <c r="A11" s="166"/>
      <c r="K11" s="2"/>
      <c r="L11" s="2"/>
    </row>
    <row r="12" spans="1:14" ht="16.8" x14ac:dyDescent="0.65">
      <c r="A12" s="341" t="s">
        <v>323</v>
      </c>
      <c r="B12" s="340"/>
      <c r="C12" s="340"/>
      <c r="D12" s="340"/>
    </row>
    <row r="13" spans="1:14" x14ac:dyDescent="0.55000000000000004">
      <c r="A13" s="342" t="s">
        <v>324</v>
      </c>
      <c r="B13" s="340"/>
      <c r="C13" s="340"/>
      <c r="D13" s="340"/>
    </row>
    <row r="14" spans="1:14" x14ac:dyDescent="0.55000000000000004">
      <c r="A14" s="340"/>
      <c r="B14" s="340"/>
      <c r="C14" s="343" t="s">
        <v>325</v>
      </c>
      <c r="D14" s="343" t="s">
        <v>326</v>
      </c>
    </row>
    <row r="15" spans="1:14" x14ac:dyDescent="0.55000000000000004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55000000000000004">
      <c r="A16" s="340"/>
      <c r="B16" s="343" t="s">
        <v>328</v>
      </c>
      <c r="C16" s="344">
        <v>793037</v>
      </c>
      <c r="D16" s="344">
        <v>189772</v>
      </c>
    </row>
    <row r="17" spans="1:5" x14ac:dyDescent="0.55000000000000004">
      <c r="A17" s="340"/>
      <c r="B17" s="343" t="s">
        <v>711</v>
      </c>
      <c r="C17" s="344">
        <v>5534</v>
      </c>
      <c r="D17" s="344">
        <v>488981</v>
      </c>
    </row>
    <row r="18" spans="1:5" x14ac:dyDescent="0.55000000000000004">
      <c r="A18" s="340"/>
      <c r="B18" s="343" t="s">
        <v>712</v>
      </c>
      <c r="C18" s="344">
        <v>130234</v>
      </c>
      <c r="D18" s="344">
        <v>222906</v>
      </c>
    </row>
    <row r="19" spans="1:5" s="459" customFormat="1" x14ac:dyDescent="0.55000000000000004">
      <c r="A19" s="345"/>
      <c r="B19" s="348" t="s">
        <v>863</v>
      </c>
      <c r="C19" s="349">
        <v>0</v>
      </c>
      <c r="D19" s="349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6" t="s">
        <v>323</v>
      </c>
      <c r="B21" s="345"/>
      <c r="C21" s="345"/>
      <c r="D21" s="345"/>
    </row>
    <row r="22" spans="1:5" x14ac:dyDescent="0.55000000000000004">
      <c r="A22" s="347" t="s">
        <v>324</v>
      </c>
      <c r="B22" s="345"/>
      <c r="C22" s="345"/>
      <c r="D22" s="345"/>
    </row>
    <row r="23" spans="1:5" x14ac:dyDescent="0.55000000000000004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55000000000000004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55000000000000004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55000000000000004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55000000000000004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55000000000000004">
      <c r="A2" s="402" t="s">
        <v>37</v>
      </c>
      <c r="B2" s="425">
        <v>160.6</v>
      </c>
      <c r="C2" s="436">
        <v>0.85</v>
      </c>
      <c r="E2" s="255" t="s">
        <v>44</v>
      </c>
    </row>
    <row r="3" spans="1:10" x14ac:dyDescent="0.55000000000000004">
      <c r="A3" s="402" t="s">
        <v>13</v>
      </c>
      <c r="B3" s="400">
        <v>51.25</v>
      </c>
      <c r="C3" s="401">
        <v>0.28000000000000003</v>
      </c>
    </row>
    <row r="4" spans="1:10" x14ac:dyDescent="0.55000000000000004">
      <c r="A4" s="402" t="s">
        <v>498</v>
      </c>
      <c r="B4" s="425">
        <v>12</v>
      </c>
      <c r="C4" s="436">
        <v>0.05</v>
      </c>
    </row>
    <row r="5" spans="1:10" x14ac:dyDescent="0.55000000000000004">
      <c r="A5" s="402" t="s">
        <v>499</v>
      </c>
      <c r="B5" s="425">
        <v>14.1</v>
      </c>
      <c r="C5" s="436">
        <v>7.5999999999999998E-2</v>
      </c>
    </row>
    <row r="6" spans="1:10" x14ac:dyDescent="0.55000000000000004">
      <c r="A6" s="402" t="s">
        <v>500</v>
      </c>
      <c r="B6" s="425">
        <v>13.1</v>
      </c>
      <c r="C6" s="436">
        <v>6.3E-2</v>
      </c>
    </row>
    <row r="7" spans="1:10" x14ac:dyDescent="0.55000000000000004">
      <c r="A7" s="402" t="s">
        <v>39</v>
      </c>
      <c r="B7" s="425">
        <v>60</v>
      </c>
      <c r="C7" s="436">
        <v>0.3</v>
      </c>
    </row>
    <row r="8" spans="1:10" x14ac:dyDescent="0.55000000000000004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55000000000000004">
      <c r="A9" s="402" t="s">
        <v>42</v>
      </c>
      <c r="B9" s="400">
        <v>75.599999999999994</v>
      </c>
      <c r="C9" s="401">
        <v>0.2</v>
      </c>
    </row>
    <row r="10" spans="1:10" x14ac:dyDescent="0.55000000000000004">
      <c r="A10" s="402" t="s">
        <v>322</v>
      </c>
      <c r="B10" s="400">
        <v>94.9</v>
      </c>
      <c r="C10" s="401">
        <v>0.28000000000000003</v>
      </c>
    </row>
    <row r="11" spans="1:10" x14ac:dyDescent="0.55000000000000004">
      <c r="A11" s="402" t="s">
        <v>41</v>
      </c>
      <c r="B11" s="400">
        <v>120.7</v>
      </c>
      <c r="C11" s="401">
        <v>0.42</v>
      </c>
      <c r="F11" s="162"/>
    </row>
    <row r="12" spans="1:10" x14ac:dyDescent="0.55000000000000004">
      <c r="A12" s="402" t="s">
        <v>311</v>
      </c>
      <c r="B12" s="425">
        <v>25</v>
      </c>
      <c r="C12" s="436">
        <v>0.15</v>
      </c>
    </row>
    <row r="13" spans="1:10" x14ac:dyDescent="0.55000000000000004">
      <c r="A13" s="402" t="s">
        <v>310</v>
      </c>
      <c r="B13" s="425">
        <v>25</v>
      </c>
      <c r="C13" s="436">
        <v>0.15</v>
      </c>
      <c r="I13" s="435"/>
      <c r="J13" s="162"/>
    </row>
    <row r="14" spans="1:10" x14ac:dyDescent="0.55000000000000004">
      <c r="A14" s="402" t="s">
        <v>11</v>
      </c>
      <c r="B14" s="425">
        <v>95.4</v>
      </c>
      <c r="C14" s="436">
        <v>0.31</v>
      </c>
      <c r="I14" s="435"/>
      <c r="J14" s="162"/>
    </row>
    <row r="15" spans="1:10" x14ac:dyDescent="0.55000000000000004">
      <c r="A15" s="402" t="s">
        <v>527</v>
      </c>
      <c r="B15" s="400">
        <v>47.3</v>
      </c>
      <c r="C15" s="401">
        <v>0.3</v>
      </c>
      <c r="I15" s="435"/>
      <c r="J15" s="162"/>
    </row>
    <row r="16" spans="1:10" x14ac:dyDescent="0.55000000000000004">
      <c r="A16" s="402" t="s">
        <v>661</v>
      </c>
      <c r="B16" s="297">
        <f>'Procesdata (baggrund)'!I5</f>
        <v>15.822453396634783</v>
      </c>
      <c r="C16" s="424">
        <f>'Procesdata (baggrund)'!B5</f>
        <v>4.2763387558472386E-2</v>
      </c>
      <c r="I16" s="435"/>
      <c r="J16" s="162"/>
    </row>
    <row r="17" spans="1:12" x14ac:dyDescent="0.55000000000000004">
      <c r="A17" s="402" t="s">
        <v>519</v>
      </c>
      <c r="B17" s="425">
        <v>423.36</v>
      </c>
      <c r="C17" s="436">
        <v>0.9</v>
      </c>
    </row>
    <row r="18" spans="1:12" x14ac:dyDescent="0.55000000000000004">
      <c r="A18" s="402" t="s">
        <v>502</v>
      </c>
      <c r="B18" s="425">
        <v>13.9</v>
      </c>
      <c r="C18" s="436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4"/>
      <c r="L25" s="444"/>
    </row>
    <row r="26" spans="1:12" x14ac:dyDescent="0.55000000000000004">
      <c r="A26" s="146"/>
      <c r="B26" s="173"/>
      <c r="C26" s="173"/>
      <c r="D26" s="173"/>
      <c r="I26" s="162"/>
      <c r="J26" s="162"/>
      <c r="K26" s="444"/>
      <c r="L26" s="444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4.4" x14ac:dyDescent="0.55000000000000004"/>
  <cols>
    <col min="1" max="1" width="22.41796875" customWidth="1"/>
    <col min="2" max="2" width="23.26171875" customWidth="1"/>
    <col min="3" max="4" width="12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315</v>
      </c>
      <c r="C1" s="267" t="s">
        <v>814</v>
      </c>
      <c r="D1" s="267"/>
    </row>
    <row r="2" spans="1:10" x14ac:dyDescent="0.55000000000000004">
      <c r="A2" s="267" t="s">
        <v>37</v>
      </c>
      <c r="B2" s="267" t="s">
        <v>411</v>
      </c>
      <c r="C2" s="267">
        <f>D27</f>
        <v>1.0335806339134365E-5</v>
      </c>
      <c r="D2" s="227" t="s">
        <v>725</v>
      </c>
    </row>
    <row r="3" spans="1:10" x14ac:dyDescent="0.55000000000000004">
      <c r="A3" s="267" t="s">
        <v>721</v>
      </c>
      <c r="B3" s="267" t="s">
        <v>411</v>
      </c>
      <c r="C3" s="267">
        <f>35*10^-6</f>
        <v>3.4999999999999997E-5</v>
      </c>
      <c r="D3" s="404" t="s">
        <v>413</v>
      </c>
    </row>
    <row r="4" spans="1:10" x14ac:dyDescent="0.55000000000000004">
      <c r="A4" s="267" t="s">
        <v>339</v>
      </c>
      <c r="B4" s="267" t="s">
        <v>411</v>
      </c>
      <c r="C4" s="267">
        <f>18.4*10^-6</f>
        <v>1.8399999999999997E-5</v>
      </c>
      <c r="D4" s="267" t="s">
        <v>518</v>
      </c>
    </row>
    <row r="5" spans="1:10" x14ac:dyDescent="0.55000000000000004">
      <c r="A5" s="267" t="s">
        <v>405</v>
      </c>
      <c r="B5" s="267" t="s">
        <v>412</v>
      </c>
      <c r="C5" s="405">
        <f>D19</f>
        <v>1.449356890077532E-5</v>
      </c>
      <c r="D5" s="300" t="s">
        <v>726</v>
      </c>
    </row>
    <row r="6" spans="1:10" x14ac:dyDescent="0.55000000000000004">
      <c r="A6" s="267" t="s">
        <v>527</v>
      </c>
      <c r="B6" s="267" t="s">
        <v>411</v>
      </c>
      <c r="C6" s="405">
        <f>D24</f>
        <v>1.7852220520673815E-5</v>
      </c>
      <c r="D6" s="300" t="s">
        <v>725</v>
      </c>
    </row>
    <row r="7" spans="1:10" x14ac:dyDescent="0.55000000000000004">
      <c r="A7" s="267" t="s">
        <v>322</v>
      </c>
      <c r="B7" s="267" t="s">
        <v>411</v>
      </c>
      <c r="C7" s="405">
        <f>D24</f>
        <v>1.7852220520673815E-5</v>
      </c>
      <c r="D7" s="300" t="s">
        <v>725</v>
      </c>
    </row>
    <row r="8" spans="1:10" s="459" customFormat="1" x14ac:dyDescent="0.55000000000000004">
      <c r="A8" s="474" t="s">
        <v>890</v>
      </c>
      <c r="B8" s="474" t="s">
        <v>411</v>
      </c>
      <c r="C8" s="483">
        <f>'Procesdata (baggrund)'!I23</f>
        <v>3.326857142857142E-5</v>
      </c>
      <c r="D8" s="482" t="s">
        <v>891</v>
      </c>
    </row>
    <row r="9" spans="1:10" s="459" customFormat="1" x14ac:dyDescent="0.55000000000000004">
      <c r="A9" s="474" t="s">
        <v>878</v>
      </c>
      <c r="B9" s="474" t="s">
        <v>411</v>
      </c>
      <c r="C9" s="483">
        <f>'Procesdata (baggrund)'!I24</f>
        <v>8.9614285714285689E-6</v>
      </c>
      <c r="D9" s="482" t="s">
        <v>891</v>
      </c>
    </row>
    <row r="10" spans="1:10" x14ac:dyDescent="0.55000000000000004">
      <c r="A10" s="267" t="s">
        <v>312</v>
      </c>
      <c r="B10" s="267" t="s">
        <v>412</v>
      </c>
      <c r="C10" s="267">
        <f>35.9*10^-9</f>
        <v>3.5900000000000004E-8</v>
      </c>
      <c r="D10" s="267" t="s">
        <v>414</v>
      </c>
    </row>
    <row r="13" spans="1:10" x14ac:dyDescent="0.55000000000000004">
      <c r="A13" s="267"/>
      <c r="B13" s="267" t="s">
        <v>705</v>
      </c>
      <c r="C13" s="267" t="s">
        <v>706</v>
      </c>
      <c r="D13" s="267" t="s">
        <v>815</v>
      </c>
    </row>
    <row r="14" spans="1:10" x14ac:dyDescent="0.55000000000000004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55000000000000004">
      <c r="A16" s="267" t="s">
        <v>708</v>
      </c>
      <c r="B16" s="267">
        <v>205000</v>
      </c>
      <c r="C16" s="267">
        <v>1.988</v>
      </c>
      <c r="D16" s="267"/>
    </row>
    <row r="17" spans="1:8" x14ac:dyDescent="0.55000000000000004">
      <c r="A17" s="267" t="s">
        <v>709</v>
      </c>
      <c r="B17" s="267">
        <f>1643000*'Processer - data'!H403</f>
        <v>854360</v>
      </c>
      <c r="C17" s="267">
        <v>8.9450000000000003</v>
      </c>
      <c r="D17" s="267"/>
    </row>
    <row r="18" spans="1:8" x14ac:dyDescent="0.55000000000000004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6"/>
    </row>
    <row r="21" spans="1:8" x14ac:dyDescent="0.55000000000000004">
      <c r="A21" s="267" t="s">
        <v>817</v>
      </c>
      <c r="B21" s="267" t="s">
        <v>723</v>
      </c>
      <c r="C21" s="267" t="s">
        <v>724</v>
      </c>
      <c r="D21" s="267"/>
    </row>
    <row r="22" spans="1:8" x14ac:dyDescent="0.55000000000000004">
      <c r="A22" s="267" t="s">
        <v>816</v>
      </c>
      <c r="B22" s="267">
        <v>633738</v>
      </c>
      <c r="C22" s="267"/>
      <c r="D22" s="267"/>
    </row>
    <row r="23" spans="1:8" x14ac:dyDescent="0.55000000000000004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728</v>
      </c>
      <c r="C26" s="267" t="s">
        <v>724</v>
      </c>
      <c r="D26" s="267"/>
      <c r="E26" s="267"/>
    </row>
    <row r="27" spans="1:8" x14ac:dyDescent="0.55000000000000004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729</v>
      </c>
      <c r="B28" s="267">
        <v>75934</v>
      </c>
      <c r="C28" s="267"/>
      <c r="D28" s="267"/>
      <c r="E28" s="26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55000000000000004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55000000000000004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55000000000000004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55000000000000004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55000000000000004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55000000000000004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55000000000000004">
      <c r="A9" s="324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5" t="s">
        <v>527</v>
      </c>
      <c r="B10">
        <f>IFERROR(VLOOKUP(A10,Biogasudbytte!$A$2:$C$18,3,FALSE),VLOOKUP(A10,$I$2:$J$8,2,FALSE))</f>
        <v>0.3</v>
      </c>
    </row>
    <row r="11" spans="1:11" x14ac:dyDescent="0.55000000000000004">
      <c r="A11" s="324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5" t="s">
        <v>188</v>
      </c>
      <c r="B12">
        <f>IFERROR(VLOOKUP(A12,Biogasudbytte!$A$2:$C$18,3,FALSE),VLOOKUP(A12,$I$2:$J$8,2,FALSE))</f>
        <v>0.25</v>
      </c>
    </row>
    <row r="13" spans="1:11" x14ac:dyDescent="0.55000000000000004">
      <c r="A13" s="324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4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5" t="s">
        <v>311</v>
      </c>
      <c r="B16">
        <f>IFERROR(VLOOKUP(A16,Biogasudbytte!$A$2:$C$18,3,FALSE),VLOOKUP(A16,$I$2:$J$8,2,FALSE))</f>
        <v>0.15</v>
      </c>
    </row>
    <row r="17" spans="1:2" x14ac:dyDescent="0.55000000000000004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5" t="s">
        <v>177</v>
      </c>
      <c r="B18">
        <f>IFERROR(VLOOKUP(A18,Biogasudbytte!$A$2:$C$18,3,FALSE),VLOOKUP(A18,$I$2:$J$8,2,FALSE))</f>
        <v>0.91</v>
      </c>
    </row>
    <row r="19" spans="1:2" x14ac:dyDescent="0.55000000000000004">
      <c r="A19" s="325" t="s">
        <v>720</v>
      </c>
      <c r="B19">
        <f>IFERROR(VLOOKUP(A19,Biogasudbytte!$A$2:$C$18,3,FALSE),VLOOKUP(A19,$I$2:$J$8,2,FALSE))</f>
        <v>0.91</v>
      </c>
    </row>
    <row r="20" spans="1:2" x14ac:dyDescent="0.55000000000000004">
      <c r="A20" s="325" t="s">
        <v>721</v>
      </c>
      <c r="B20">
        <f>IFERROR(VLOOKUP(A20,Biogasudbytte!$A$2:$C$18,3,FALSE),VLOOKUP(A20,$I$2:$J$8,2,FALSE))</f>
        <v>0.91</v>
      </c>
    </row>
    <row r="21" spans="1:2" x14ac:dyDescent="0.55000000000000004">
      <c r="A21" s="324" t="s">
        <v>42</v>
      </c>
      <c r="B21">
        <f>IFERROR(VLOOKUP(A21,Biogasudbytte!$A$2:$C$18,3,FALSE),VLOOKUP(A21,$I$2:$J$8,2,FALSE))</f>
        <v>0.2</v>
      </c>
    </row>
    <row r="22" spans="1:2" x14ac:dyDescent="0.55000000000000004">
      <c r="A22" s="324" t="s">
        <v>502</v>
      </c>
      <c r="B22">
        <f>IFERROR(VLOOKUP(A22,Biogasudbytte!$A$2:$C$18,3,FALSE),VLOOKUP(A22,$I$2:$J$8,2,FALSE))</f>
        <v>0.06</v>
      </c>
    </row>
    <row r="23" spans="1:2" x14ac:dyDescent="0.55000000000000004">
      <c r="A23" s="325" t="s">
        <v>498</v>
      </c>
      <c r="B23">
        <f>IFERROR(VLOOKUP(A23,Biogasudbytte!$A$2:$C$18,3,FALSE),VLOOKUP(A23,$I$2:$J$8,2,FALSE))</f>
        <v>0.05</v>
      </c>
    </row>
    <row r="24" spans="1:2" x14ac:dyDescent="0.55000000000000004">
      <c r="A24" s="324" t="s">
        <v>310</v>
      </c>
      <c r="B24">
        <f>IFERROR(VLOOKUP(A24,Biogasudbytte!$A$2:$C$18,3,FALSE),VLOOKUP(A24,$I$2:$J$8,2,FALSE))</f>
        <v>0.15</v>
      </c>
    </row>
    <row r="25" spans="1:2" x14ac:dyDescent="0.55000000000000004">
      <c r="A25" s="325" t="s">
        <v>405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2021-09-09T11:43:35Z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195592761039733</vt:r8>
  </property>
</Properties>
</file>