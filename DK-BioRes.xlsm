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1EACF2CD-F775-4926-9931-C921F087F75E}" xr6:coauthVersionLast="47" xr6:coauthVersionMax="47" xr10:uidLastSave="{00000000-0000-0000-0000-000000000000}"/>
  <bookViews>
    <workbookView xWindow="-120" yWindow="-120" windowWidth="29040" windowHeight="1584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5" i="34"/>
  <c r="D24" i="34"/>
  <c r="C20" i="34"/>
  <c r="K22" i="34"/>
  <c r="K21" i="34" s="1"/>
  <c r="F19" i="34"/>
  <c r="F6" i="34" s="1"/>
  <c r="T8" i="34" l="1"/>
  <c r="V5" i="34"/>
  <c r="H8" i="34"/>
  <c r="H6" i="34"/>
  <c r="G5" i="34"/>
  <c r="M4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C2" i="18" a="1"/>
  <c r="B2" i="18" a="1"/>
  <c r="D2" i="18" a="1"/>
  <c r="D2" i="18" l="1"/>
  <c r="C2" i="18"/>
  <c r="B2" i="18"/>
  <c r="B4" i="8"/>
  <c r="D3" i="21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H4" i="34"/>
  <c r="G4" i="34"/>
  <c r="J11" i="20"/>
  <c r="J14" i="20" s="1"/>
  <c r="J12" i="20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19" i="34"/>
  <c r="S5" i="34" s="1"/>
  <c r="C22" i="34"/>
  <c r="D19" i="34"/>
  <c r="T5" i="34" s="1"/>
  <c r="L21" i="34"/>
  <c r="D22" i="34"/>
  <c r="D20" i="34"/>
  <c r="E19" i="34"/>
  <c r="U5" i="34" s="1"/>
  <c r="M21" i="34"/>
  <c r="E22" i="34"/>
  <c r="E20" i="34"/>
  <c r="N21" i="34"/>
  <c r="F22" i="34"/>
  <c r="F20" i="34"/>
  <c r="J27" i="20"/>
  <c r="F7" i="34"/>
  <c r="J28" i="20" s="1"/>
  <c r="D7" i="19"/>
  <c r="E7" i="19"/>
  <c r="F7" i="19"/>
  <c r="G7" i="19"/>
  <c r="C21" i="34"/>
  <c r="S6" i="34" s="1"/>
  <c r="D21" i="34"/>
  <c r="T6" i="34" s="1"/>
  <c r="E21" i="34"/>
  <c r="U6" i="34" s="1"/>
  <c r="F21" i="34"/>
  <c r="V6" i="34" s="1"/>
  <c r="H10" i="34"/>
  <c r="D9" i="19"/>
  <c r="E9" i="19"/>
  <c r="F9" i="19"/>
  <c r="G9" i="19"/>
  <c r="C23" i="34"/>
  <c r="S7" i="34" s="1"/>
  <c r="D23" i="34"/>
  <c r="T7" i="34" s="1"/>
  <c r="E23" i="34"/>
  <c r="U7" i="34" s="1"/>
  <c r="F23" i="34"/>
  <c r="V7" i="34" s="1"/>
  <c r="H12" i="34"/>
  <c r="D11" i="19"/>
  <c r="E11" i="19"/>
  <c r="F11" i="19"/>
  <c r="G11" i="19"/>
  <c r="C25" i="34"/>
  <c r="S8" i="34" s="1"/>
  <c r="D12" i="34"/>
  <c r="J67" i="20" s="1"/>
  <c r="D13" i="34"/>
  <c r="J68" i="20" s="1"/>
  <c r="E25" i="34"/>
  <c r="U8" i="34" s="1"/>
  <c r="F25" i="34"/>
  <c r="V8" i="34" s="1"/>
  <c r="H14" i="34"/>
  <c r="D13" i="19"/>
  <c r="E13" i="19"/>
  <c r="F13" i="19"/>
  <c r="G13" i="19"/>
  <c r="C27" i="34"/>
  <c r="S9" i="34" s="1"/>
  <c r="D27" i="34"/>
  <c r="T9" i="34" s="1"/>
  <c r="E27" i="34"/>
  <c r="U9" i="34" s="1"/>
  <c r="F27" i="34"/>
  <c r="V9" i="34" s="1"/>
  <c r="D19" i="26" a="1"/>
  <c r="D19" i="26"/>
  <c r="D4" i="21"/>
  <c r="D5" i="21"/>
  <c r="D18" i="26" a="1"/>
  <c r="D18" i="26"/>
  <c r="H11" i="20"/>
  <c r="H14" i="20" s="1"/>
  <c r="H12" i="20"/>
  <c r="H27" i="20"/>
  <c r="I11" i="20"/>
  <c r="I14" i="20" s="1"/>
  <c r="I12" i="20"/>
  <c r="I27" i="20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W5" i="34" s="1"/>
  <c r="G23" i="34"/>
  <c r="W7" i="34" s="1"/>
  <c r="G27" i="34"/>
  <c r="W9" i="34" s="1"/>
  <c r="G21" i="34"/>
  <c r="W6" i="34" s="1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89" i="20"/>
  <c r="J4" i="32"/>
  <c r="J3" i="32"/>
  <c r="H5" i="20"/>
  <c r="G25" i="34"/>
  <c r="W8" i="34" s="1"/>
  <c r="H67" i="20" l="1"/>
  <c r="H28" i="20"/>
  <c r="H30" i="20" s="1" a="1"/>
  <c r="H30" i="20" s="1"/>
  <c r="I67" i="20"/>
  <c r="F8" i="34"/>
  <c r="I43" i="20" s="1"/>
  <c r="F15" i="34"/>
  <c r="H92" i="20" s="1"/>
  <c r="F10" i="34"/>
  <c r="J59" i="20" s="1"/>
  <c r="D10" i="34"/>
  <c r="J51" i="20" s="1"/>
  <c r="C15" i="34"/>
  <c r="I28" i="20"/>
  <c r="C14" i="34"/>
  <c r="E12" i="34"/>
  <c r="C6" i="34"/>
  <c r="C8" i="34"/>
  <c r="J31" i="20" s="1"/>
  <c r="E7" i="34"/>
  <c r="C13" i="34"/>
  <c r="I64" i="20" s="1"/>
  <c r="C11" i="34"/>
  <c r="I48" i="20" s="1"/>
  <c r="I59" i="20"/>
  <c r="F14" i="34"/>
  <c r="H91" i="20" s="1"/>
  <c r="H94" i="20" s="1" a="1"/>
  <c r="H94" i="20" s="1"/>
  <c r="E15" i="34"/>
  <c r="H88" i="20" s="1"/>
  <c r="F13" i="34"/>
  <c r="H76" i="20" s="1"/>
  <c r="D14" i="34"/>
  <c r="F12" i="34"/>
  <c r="C12" i="34"/>
  <c r="C10" i="34"/>
  <c r="E11" i="34"/>
  <c r="E9" i="34"/>
  <c r="E6" i="34"/>
  <c r="I76" i="20"/>
  <c r="E13" i="34"/>
  <c r="E10" i="34"/>
  <c r="E8" i="34"/>
  <c r="I92" i="20"/>
  <c r="E14" i="34"/>
  <c r="D11" i="34"/>
  <c r="D9" i="34"/>
  <c r="D6" i="34"/>
  <c r="J19" i="20" s="1"/>
  <c r="D15" i="34"/>
  <c r="F11" i="34"/>
  <c r="F9" i="34"/>
  <c r="D8" i="34"/>
  <c r="H45" i="29"/>
  <c r="I68" i="20"/>
  <c r="H68" i="20"/>
  <c r="H19" i="20"/>
  <c r="I19" i="20"/>
  <c r="H84" i="20"/>
  <c r="D7" i="34"/>
  <c r="C9" i="34"/>
  <c r="J15" i="20"/>
  <c r="H15" i="20"/>
  <c r="I15" i="20"/>
  <c r="C7" i="34"/>
  <c r="J475" i="20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H70" i="20" l="1" a="1"/>
  <c r="H70" i="20" s="1"/>
  <c r="I70" i="20" s="1"/>
  <c r="J88" i="20"/>
  <c r="H51" i="20"/>
  <c r="I88" i="20"/>
  <c r="I91" i="20"/>
  <c r="H43" i="20"/>
  <c r="J43" i="20"/>
  <c r="J91" i="20"/>
  <c r="J64" i="20"/>
  <c r="H59" i="20"/>
  <c r="H64" i="20"/>
  <c r="J92" i="20"/>
  <c r="J48" i="20"/>
  <c r="H48" i="20"/>
  <c r="I79" i="20"/>
  <c r="J79" i="20"/>
  <c r="H79" i="20"/>
  <c r="I51" i="20"/>
  <c r="H31" i="20"/>
  <c r="I80" i="20"/>
  <c r="J80" i="20"/>
  <c r="H80" i="20"/>
  <c r="I31" i="20"/>
  <c r="J76" i="20"/>
  <c r="H24" i="20"/>
  <c r="I24" i="20"/>
  <c r="J24" i="20"/>
  <c r="J71" i="20"/>
  <c r="I71" i="20"/>
  <c r="H71" i="20"/>
  <c r="J87" i="20"/>
  <c r="H87" i="20"/>
  <c r="H90" i="20" s="1" a="1"/>
  <c r="H90" i="20" s="1"/>
  <c r="I90" i="20" s="1"/>
  <c r="I87" i="20"/>
  <c r="H56" i="20"/>
  <c r="J56" i="20"/>
  <c r="I56" i="20"/>
  <c r="I63" i="20"/>
  <c r="H63" i="20"/>
  <c r="J63" i="20"/>
  <c r="J35" i="20"/>
  <c r="I35" i="20"/>
  <c r="H35" i="20"/>
  <c r="I75" i="20"/>
  <c r="H75" i="20"/>
  <c r="H78" i="20" s="1" a="1"/>
  <c r="H78" i="20" s="1"/>
  <c r="I78" i="20" s="1"/>
  <c r="J75" i="20"/>
  <c r="J44" i="20"/>
  <c r="I44" i="20"/>
  <c r="H44" i="20"/>
  <c r="H46" i="20" s="1" a="1"/>
  <c r="H46" i="20" s="1"/>
  <c r="I46" i="20" s="1"/>
  <c r="I39" i="20"/>
  <c r="H39" i="20"/>
  <c r="J39" i="20"/>
  <c r="H60" i="20"/>
  <c r="J60" i="20"/>
  <c r="I60" i="20"/>
  <c r="J55" i="20"/>
  <c r="I55" i="20"/>
  <c r="H55" i="20"/>
  <c r="J84" i="20"/>
  <c r="I84" i="20"/>
  <c r="I72" i="20"/>
  <c r="H72" i="20"/>
  <c r="J72" i="20"/>
  <c r="H36" i="20"/>
  <c r="J36" i="20"/>
  <c r="I36" i="20"/>
  <c r="I23" i="20"/>
  <c r="H23" i="20"/>
  <c r="J23" i="20"/>
  <c r="J83" i="20"/>
  <c r="H83" i="20"/>
  <c r="H86" i="20" s="1" a="1"/>
  <c r="H86" i="20" s="1"/>
  <c r="I86" i="20" s="1"/>
  <c r="I83" i="20"/>
  <c r="I47" i="20"/>
  <c r="H47" i="20"/>
  <c r="H50" i="20" s="1" a="1"/>
  <c r="H50" i="20" s="1"/>
  <c r="I50" i="20" s="1"/>
  <c r="J47" i="20"/>
  <c r="J52" i="20"/>
  <c r="I52" i="20"/>
  <c r="H52" i="20"/>
  <c r="H54" i="20" s="1" a="1"/>
  <c r="H54" i="20" s="1"/>
  <c r="I54" i="20" s="1"/>
  <c r="I40" i="20"/>
  <c r="H40" i="20"/>
  <c r="J40" i="20"/>
  <c r="I30" i="20"/>
  <c r="I94" i="20"/>
  <c r="H20" i="20"/>
  <c r="J20" i="20"/>
  <c r="I20" i="20"/>
  <c r="H32" i="20"/>
  <c r="J32" i="20"/>
  <c r="I32" i="20"/>
  <c r="H16" i="20"/>
  <c r="J16" i="20"/>
  <c r="I16" i="20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H62" i="20" l="1" a="1"/>
  <c r="H62" i="20" s="1"/>
  <c r="I62" i="20" s="1"/>
  <c r="J62" i="20" s="1"/>
  <c r="H66" i="20" a="1"/>
  <c r="H66" i="20" s="1"/>
  <c r="I66" i="20" s="1"/>
  <c r="J66" i="20" s="1"/>
  <c r="H74" i="20" a="1"/>
  <c r="H74" i="20" s="1"/>
  <c r="I74" i="20" s="1"/>
  <c r="J74" i="20" s="1"/>
  <c r="H82" i="20" a="1"/>
  <c r="H82" i="20" s="1"/>
  <c r="I82" i="20" s="1"/>
  <c r="J82" i="20" s="1"/>
  <c r="H42" i="20" a="1"/>
  <c r="H42" i="20" s="1"/>
  <c r="I42" i="20" s="1"/>
  <c r="J42" i="20" s="1"/>
  <c r="H58" i="20" a="1"/>
  <c r="H58" i="20" s="1"/>
  <c r="I58" i="20" s="1"/>
  <c r="J58" i="20" s="1"/>
  <c r="H26" i="20" a="1"/>
  <c r="H26" i="20" s="1"/>
  <c r="I26" i="20" s="1"/>
  <c r="J26" i="20" s="1"/>
  <c r="H38" i="20" a="1"/>
  <c r="H38" i="20" s="1"/>
  <c r="I38" i="20" s="1"/>
  <c r="J38" i="20" s="1"/>
  <c r="J46" i="20"/>
  <c r="J50" i="20"/>
  <c r="J78" i="20"/>
  <c r="J70" i="20"/>
  <c r="J90" i="20"/>
  <c r="J86" i="20"/>
  <c r="H34" i="20" a="1"/>
  <c r="H34" i="20" s="1"/>
  <c r="H22" i="20" a="1"/>
  <c r="H22" i="20" s="1"/>
  <c r="H18" i="20" a="1"/>
  <c r="H18" i="20" s="1"/>
  <c r="J94" i="20"/>
  <c r="J30" i="20"/>
  <c r="J54" i="20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I22" i="20" l="1"/>
  <c r="I18" i="20"/>
  <c r="I34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J34" i="20" l="1"/>
  <c r="J18" i="20"/>
  <c r="J22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<sst xmlns="http://schemas.openxmlformats.org/spreadsheetml/2006/main" count="3754" uniqueCount="907">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</sst>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4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510" t="s">
        <v>0</v>
      </c>
      <c r="B1" s="510"/>
    </row>
    <row r="2" spans="1:5" ht="30" customHeight="1" x14ac:dyDescent="0.25">
      <c r="A2" s="509" t="s">
        <v>776</v>
      </c>
      <c r="B2" s="509"/>
    </row>
    <row r="3" spans="1:5" x14ac:dyDescent="0.25">
      <c r="A3" s="512" t="s">
        <v>6</v>
      </c>
      <c r="B3" s="512"/>
    </row>
    <row r="4" spans="1:5" ht="28.9" customHeight="1" x14ac:dyDescent="0.25">
      <c r="A4" s="509" t="s">
        <v>894</v>
      </c>
      <c r="B4" s="509"/>
    </row>
    <row r="5" spans="1:5" x14ac:dyDescent="0.25">
      <c r="A5" s="511" t="s">
        <v>775</v>
      </c>
      <c r="B5" s="511"/>
    </row>
    <row r="6" spans="1:5" x14ac:dyDescent="0.25">
      <c r="B6" s="493" t="s">
        <v>903</v>
      </c>
    </row>
    <row r="7" spans="1:5" x14ac:dyDescent="0.25">
      <c r="A7" s="2" t="s">
        <v>1</v>
      </c>
      <c r="B7" s="3" t="s">
        <v>895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509" t="s">
        <v>5</v>
      </c>
      <c r="B9" s="509"/>
    </row>
    <row r="10" spans="1:5" ht="15.75" thickTop="1" x14ac:dyDescent="0.25">
      <c r="A10" s="371" t="s">
        <v>764</v>
      </c>
      <c r="B10" s="372" t="s">
        <v>297</v>
      </c>
      <c r="D10" s="403" t="s">
        <v>279</v>
      </c>
      <c r="E10" s="404"/>
    </row>
    <row r="11" spans="1:5" x14ac:dyDescent="0.25">
      <c r="A11" s="373" t="s">
        <v>288</v>
      </c>
      <c r="B11" s="374" t="s">
        <v>765</v>
      </c>
      <c r="D11" s="405" t="s">
        <v>786</v>
      </c>
      <c r="E11" s="406" t="s">
        <v>280</v>
      </c>
    </row>
    <row r="12" spans="1:5" x14ac:dyDescent="0.25">
      <c r="A12" s="373"/>
      <c r="B12" s="374" t="s">
        <v>4</v>
      </c>
      <c r="D12" s="405" t="s">
        <v>281</v>
      </c>
      <c r="E12" s="406" t="s">
        <v>282</v>
      </c>
    </row>
    <row r="13" spans="1:5" x14ac:dyDescent="0.25">
      <c r="A13" s="375" t="s">
        <v>681</v>
      </c>
      <c r="B13" s="374" t="s">
        <v>766</v>
      </c>
      <c r="D13" s="405" t="s">
        <v>283</v>
      </c>
      <c r="E13" s="406" t="s">
        <v>284</v>
      </c>
    </row>
    <row r="14" spans="1:5" x14ac:dyDescent="0.25">
      <c r="A14" s="373" t="s">
        <v>289</v>
      </c>
      <c r="B14" s="374" t="s">
        <v>767</v>
      </c>
      <c r="D14" s="405"/>
      <c r="E14" s="406"/>
    </row>
    <row r="15" spans="1:5" x14ac:dyDescent="0.25">
      <c r="A15" s="373"/>
      <c r="B15" s="374"/>
      <c r="D15" s="407" t="s">
        <v>285</v>
      </c>
      <c r="E15" s="406"/>
    </row>
    <row r="16" spans="1:5" x14ac:dyDescent="0.25">
      <c r="A16" s="375" t="s">
        <v>768</v>
      </c>
      <c r="B16" s="376" t="s">
        <v>769</v>
      </c>
      <c r="D16" s="405" t="s">
        <v>286</v>
      </c>
      <c r="E16" s="406"/>
    </row>
    <row r="17" spans="1:5" x14ac:dyDescent="0.25">
      <c r="A17" s="373" t="s">
        <v>770</v>
      </c>
      <c r="B17" s="374" t="s">
        <v>771</v>
      </c>
      <c r="D17" s="405" t="s">
        <v>82</v>
      </c>
      <c r="E17" s="406"/>
    </row>
    <row r="18" spans="1:5" x14ac:dyDescent="0.25">
      <c r="A18" s="373"/>
      <c r="B18" s="374"/>
      <c r="D18" s="405" t="s">
        <v>77</v>
      </c>
      <c r="E18" s="406"/>
    </row>
    <row r="19" spans="1:5" x14ac:dyDescent="0.25">
      <c r="A19" s="375" t="s">
        <v>538</v>
      </c>
      <c r="B19" s="376" t="s">
        <v>36</v>
      </c>
      <c r="D19" s="405" t="s">
        <v>287</v>
      </c>
      <c r="E19" s="406"/>
    </row>
    <row r="20" spans="1:5" x14ac:dyDescent="0.25">
      <c r="A20" s="373" t="s">
        <v>290</v>
      </c>
      <c r="B20" s="374" t="s">
        <v>772</v>
      </c>
      <c r="D20" s="405" t="s">
        <v>70</v>
      </c>
      <c r="E20" s="406"/>
    </row>
    <row r="21" spans="1:5" x14ac:dyDescent="0.25">
      <c r="A21" s="373" t="s">
        <v>291</v>
      </c>
      <c r="B21" s="374"/>
      <c r="D21" s="405"/>
      <c r="E21" s="406"/>
    </row>
    <row r="22" spans="1:5" x14ac:dyDescent="0.25">
      <c r="A22" s="373" t="s">
        <v>292</v>
      </c>
      <c r="B22" s="374"/>
      <c r="D22" s="407" t="s">
        <v>785</v>
      </c>
      <c r="E22" s="406"/>
    </row>
    <row r="23" spans="1:5" x14ac:dyDescent="0.25">
      <c r="A23" s="373" t="s">
        <v>293</v>
      </c>
      <c r="B23" s="374"/>
      <c r="D23" s="405">
        <v>2019</v>
      </c>
      <c r="E23" s="406"/>
    </row>
    <row r="24" spans="1:5" x14ac:dyDescent="0.25">
      <c r="A24" s="373" t="s">
        <v>773</v>
      </c>
      <c r="B24" s="374"/>
      <c r="D24" s="405">
        <v>2030</v>
      </c>
      <c r="E24" s="406"/>
    </row>
    <row r="25" spans="1:5" ht="15.75" thickBot="1" x14ac:dyDescent="0.3">
      <c r="A25" s="373" t="s">
        <v>774</v>
      </c>
      <c r="B25" s="374"/>
      <c r="D25" s="408">
        <v>2050</v>
      </c>
      <c r="E25" s="409"/>
    </row>
    <row r="26" spans="1:5" ht="15.75" thickTop="1" x14ac:dyDescent="0.25">
      <c r="A26" s="373" t="s">
        <v>294</v>
      </c>
      <c r="B26" s="374"/>
    </row>
    <row r="27" spans="1:5" x14ac:dyDescent="0.25">
      <c r="A27" s="373"/>
      <c r="B27" s="374"/>
    </row>
    <row r="28" spans="1:5" x14ac:dyDescent="0.25">
      <c r="A28" s="375" t="s">
        <v>818</v>
      </c>
      <c r="B28" s="374"/>
    </row>
    <row r="29" spans="1:5" ht="15.75" thickBot="1" x14ac:dyDescent="0.3">
      <c r="A29" s="377" t="s">
        <v>3</v>
      </c>
      <c r="B29" s="378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403" activePane="bottomRight" state="frozen"/>
      <selection activeCell="E2" sqref="E2:E66"/>
      <selection pane="topRight" activeCell="E2" sqref="E2:E66"/>
      <selection pane="bottomLeft" activeCell="E2" sqref="E2:E66"/>
      <selection pane="bottomRight" activeCell="H425" sqref="H425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513" t="s">
        <v>321</v>
      </c>
      <c r="I1" s="513"/>
      <c r="J1" s="513"/>
      <c r="K1" s="155"/>
    </row>
    <row r="2" spans="1:11" ht="15.75" thickBot="1" x14ac:dyDescent="0.3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25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25">
      <c r="A5" s="434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.75" thickBot="1" x14ac:dyDescent="0.3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.75" thickTop="1" x14ac:dyDescent="0.25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731</v>
      </c>
    </row>
    <row r="8" spans="1:11" ht="15.75" thickBot="1" x14ac:dyDescent="0.3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5.75" thickTop="1" x14ac:dyDescent="0.25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5.75" thickBot="1" x14ac:dyDescent="0.3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5.75" thickTop="1" x14ac:dyDescent="0.25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25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x14ac:dyDescent="0.25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5.75" thickBot="1" x14ac:dyDescent="0.3">
      <c r="A14" s="187" t="s">
        <v>554</v>
      </c>
      <c r="B14" s="185"/>
      <c r="C14" s="185" t="s">
        <v>555</v>
      </c>
      <c r="D14" s="441" t="s">
        <v>581</v>
      </c>
      <c r="E14" s="441" t="str">
        <f>IFERROR(VLOOKUP(D14,Table2[],2,FALSE),"")</f>
        <v>Hektar</v>
      </c>
      <c r="F14" s="441" t="s">
        <v>905</v>
      </c>
      <c r="G14" s="441" t="str">
        <f>IFERROR(VLOOKUP(F14,Table2[],2,FALSE),"")</f>
        <v>t CO2-ækvivalenter</v>
      </c>
      <c r="H14" s="168">
        <f>-'Kulstofoptag, skov'!$D$3*H11/SUM(H11:H12)</f>
        <v>-2.2464715107161526</v>
      </c>
      <c r="I14" s="168">
        <f>-'Kulstofoptag, skov'!$D$3*I11/SUM(I11:I12)</f>
        <v>-2.2464715107161526</v>
      </c>
      <c r="J14" s="168">
        <f>-'Kulstofoptag, skov'!$D$3*J11/SUM(J11:J12)</f>
        <v>-2.2464715107161526</v>
      </c>
      <c r="K14" s="147"/>
    </row>
    <row r="15" spans="1:11" x14ac:dyDescent="0.25">
      <c r="A15" s="497" t="s">
        <v>554</v>
      </c>
      <c r="B15" s="261"/>
      <c r="C15" s="261" t="s">
        <v>556</v>
      </c>
      <c r="D15" s="262" t="s">
        <v>561</v>
      </c>
      <c r="E15" s="262" t="str">
        <f>IFERROR(VLOOKUP(D15,Table2[],2,FALSE),"")</f>
        <v>Hektar</v>
      </c>
      <c r="F15" s="262" t="s">
        <v>553</v>
      </c>
      <c r="G15" s="262" t="str">
        <f>IFERROR(VLOOKUP(F15,Table2[],2,FALSE),"")</f>
        <v>m3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80"/>
    </row>
    <row r="16" spans="1:11" x14ac:dyDescent="0.25">
      <c r="A16" s="499" t="s">
        <v>554</v>
      </c>
      <c r="B16" s="185"/>
      <c r="C16" s="185" t="s">
        <v>556</v>
      </c>
      <c r="D16" s="441" t="s">
        <v>561</v>
      </c>
      <c r="E16" s="441" t="str">
        <f>IFERROR(VLOOKUP(D16,Table2[],2,FALSE),"")</f>
        <v>Hektar</v>
      </c>
      <c r="F16" s="150" t="s">
        <v>405</v>
      </c>
      <c r="G16" s="441" t="str">
        <f>IFERROR(VLOOKUP(F16,Table2[],2,FALSE),"")</f>
        <v>m3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82"/>
    </row>
    <row r="17" spans="1:11" x14ac:dyDescent="0.25">
      <c r="A17" s="499" t="s">
        <v>554</v>
      </c>
      <c r="B17" s="185"/>
      <c r="C17" s="185" t="s">
        <v>556</v>
      </c>
      <c r="D17" s="441" t="s">
        <v>561</v>
      </c>
      <c r="E17" s="441" t="str">
        <f>IFERROR(VLOOKUP(D17,Table2[],2,FALSE),"")</f>
        <v>Hektar</v>
      </c>
      <c r="F17" s="441" t="s">
        <v>344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25">
      <c r="A18" s="187" t="s">
        <v>554</v>
      </c>
      <c r="B18" s="185"/>
      <c r="C18" s="185" t="s">
        <v>556</v>
      </c>
      <c r="D18" s="441" t="s">
        <v>561</v>
      </c>
      <c r="E18" s="441" t="str">
        <f>IFERROR(VLOOKUP(D18,Table2[],2,FALSE),"")</f>
        <v>Hektar</v>
      </c>
      <c r="F18" s="441" t="s">
        <v>905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317">
        <f>H18</f>
        <v>0</v>
      </c>
      <c r="J18" s="317">
        <f>I18</f>
        <v>0</v>
      </c>
      <c r="K18" s="382"/>
    </row>
    <row r="19" spans="1:11" x14ac:dyDescent="0.25">
      <c r="A19" s="499" t="s">
        <v>554</v>
      </c>
      <c r="B19" s="185"/>
      <c r="C19" s="185" t="s">
        <v>556</v>
      </c>
      <c r="D19" s="441" t="s">
        <v>562</v>
      </c>
      <c r="E19" s="441" t="str">
        <f>IFERROR(VLOOKUP(D19,Table2[],2,FALSE),"")</f>
        <v>Hektar</v>
      </c>
      <c r="F19" s="441" t="s">
        <v>553</v>
      </c>
      <c r="G19" s="441" t="str">
        <f>IFERROR(VLOOKUP(F19,Table2[],2,FALSE),"")</f>
        <v>m3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82"/>
    </row>
    <row r="20" spans="1:11" x14ac:dyDescent="0.25">
      <c r="A20" s="499" t="s">
        <v>554</v>
      </c>
      <c r="B20" s="185"/>
      <c r="C20" s="185" t="s">
        <v>556</v>
      </c>
      <c r="D20" s="441" t="s">
        <v>562</v>
      </c>
      <c r="E20" s="441" t="str">
        <f>IFERROR(VLOOKUP(D20,Table2[],2,FALSE),"")</f>
        <v>Hektar</v>
      </c>
      <c r="F20" s="441" t="s">
        <v>405</v>
      </c>
      <c r="G20" s="441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82"/>
    </row>
    <row r="21" spans="1:11" x14ac:dyDescent="0.25">
      <c r="A21" s="499" t="s">
        <v>554</v>
      </c>
      <c r="B21" s="185"/>
      <c r="C21" s="185" t="s">
        <v>556</v>
      </c>
      <c r="D21" s="441" t="s">
        <v>562</v>
      </c>
      <c r="E21" s="441" t="str">
        <f>IFERROR(VLOOKUP(D21,Table2[],2,FALSE),"")</f>
        <v>Hektar</v>
      </c>
      <c r="F21" s="441" t="s">
        <v>344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25">
      <c r="A22" s="187" t="s">
        <v>554</v>
      </c>
      <c r="B22" s="185"/>
      <c r="C22" s="185" t="s">
        <v>556</v>
      </c>
      <c r="D22" s="441" t="s">
        <v>562</v>
      </c>
      <c r="E22" s="441" t="str">
        <f>IFERROR(VLOOKUP(D22,Table2[],2,FALSE),"")</f>
        <v>Hektar</v>
      </c>
      <c r="F22" s="441" t="s">
        <v>905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317">
        <f>H22</f>
        <v>0</v>
      </c>
      <c r="J22" s="317">
        <f>I22</f>
        <v>0</v>
      </c>
      <c r="K22" s="382"/>
    </row>
    <row r="23" spans="1:11" x14ac:dyDescent="0.25">
      <c r="A23" s="499" t="s">
        <v>554</v>
      </c>
      <c r="B23" s="185"/>
      <c r="C23" s="185" t="s">
        <v>556</v>
      </c>
      <c r="D23" s="441" t="s">
        <v>563</v>
      </c>
      <c r="E23" s="441" t="str">
        <f>IFERROR(VLOOKUP(D23,Table2[],2,FALSE),"")</f>
        <v>Hektar</v>
      </c>
      <c r="F23" s="441" t="s">
        <v>553</v>
      </c>
      <c r="G23" s="441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82"/>
    </row>
    <row r="24" spans="1:11" x14ac:dyDescent="0.25">
      <c r="A24" s="499" t="s">
        <v>554</v>
      </c>
      <c r="B24" s="185"/>
      <c r="C24" s="185" t="s">
        <v>556</v>
      </c>
      <c r="D24" s="441" t="s">
        <v>563</v>
      </c>
      <c r="E24" s="441" t="str">
        <f>IFERROR(VLOOKUP(D24,Table2[],2,FALSE),"")</f>
        <v>Hektar</v>
      </c>
      <c r="F24" s="441" t="s">
        <v>405</v>
      </c>
      <c r="G24" s="441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82"/>
    </row>
    <row r="25" spans="1:11" x14ac:dyDescent="0.25">
      <c r="A25" s="499" t="s">
        <v>554</v>
      </c>
      <c r="B25" s="185"/>
      <c r="C25" s="185" t="s">
        <v>556</v>
      </c>
      <c r="D25" s="441" t="s">
        <v>563</v>
      </c>
      <c r="E25" s="441" t="str">
        <f>IFERROR(VLOOKUP(D25,Table2[],2,FALSE),"")</f>
        <v>Hektar</v>
      </c>
      <c r="F25" s="441" t="s">
        <v>344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25">
      <c r="A26" s="187" t="s">
        <v>554</v>
      </c>
      <c r="B26" s="185"/>
      <c r="C26" s="185" t="s">
        <v>556</v>
      </c>
      <c r="D26" s="441" t="s">
        <v>563</v>
      </c>
      <c r="E26" s="441" t="str">
        <f>IFERROR(VLOOKUP(D26,Table2[],2,FALSE),"")</f>
        <v>Hektar</v>
      </c>
      <c r="F26" s="441" t="s">
        <v>905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317">
        <f>H26</f>
        <v>0</v>
      </c>
      <c r="J26" s="317">
        <f>I26</f>
        <v>0</v>
      </c>
      <c r="K26" s="382"/>
    </row>
    <row r="27" spans="1:11" x14ac:dyDescent="0.25">
      <c r="A27" s="499" t="s">
        <v>554</v>
      </c>
      <c r="B27" s="185"/>
      <c r="C27" s="185" t="s">
        <v>556</v>
      </c>
      <c r="D27" s="441" t="s">
        <v>564</v>
      </c>
      <c r="E27" s="441" t="str">
        <f>IFERROR(VLOOKUP(D27,Table2[],2,FALSE),"")</f>
        <v>Hektar</v>
      </c>
      <c r="F27" s="441" t="s">
        <v>553</v>
      </c>
      <c r="G27" s="441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K27" s="382"/>
    </row>
    <row r="28" spans="1:11" x14ac:dyDescent="0.25">
      <c r="A28" s="499" t="s">
        <v>554</v>
      </c>
      <c r="B28" s="185"/>
      <c r="C28" s="185" t="s">
        <v>556</v>
      </c>
      <c r="D28" s="441" t="s">
        <v>564</v>
      </c>
      <c r="E28" s="441" t="str">
        <f>IFERROR(VLOOKUP(D28,Table2[],2,FALSE),"")</f>
        <v>Hektar</v>
      </c>
      <c r="F28" s="441" t="s">
        <v>405</v>
      </c>
      <c r="G28" s="441" t="str">
        <f>IFERROR(VLOOKUP(F28,Table2[],2,FALSE),"")</f>
        <v>m3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K28" s="382"/>
    </row>
    <row r="29" spans="1:11" x14ac:dyDescent="0.25">
      <c r="A29" s="499" t="s">
        <v>554</v>
      </c>
      <c r="B29" s="185"/>
      <c r="C29" s="185" t="s">
        <v>556</v>
      </c>
      <c r="D29" s="441" t="s">
        <v>564</v>
      </c>
      <c r="E29" s="441" t="str">
        <f>IFERROR(VLOOKUP(D29,Table2[],2,FALSE),"")</f>
        <v>Hektar</v>
      </c>
      <c r="F29" s="441" t="s">
        <v>344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5.75" thickBot="1" x14ac:dyDescent="0.3">
      <c r="A30" s="187" t="s">
        <v>554</v>
      </c>
      <c r="B30" s="185"/>
      <c r="C30" s="185" t="s">
        <v>556</v>
      </c>
      <c r="D30" s="441" t="s">
        <v>564</v>
      </c>
      <c r="E30" s="441" t="str">
        <f>IFERROR(VLOOKUP(D30,Table2[],2,FALSE),"")</f>
        <v>Hektar</v>
      </c>
      <c r="F30" s="441" t="s">
        <v>905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317">
        <f>H30</f>
        <v>-10.181372549019608</v>
      </c>
      <c r="J30" s="317">
        <f>I30</f>
        <v>-10.181372549019608</v>
      </c>
      <c r="K30" s="503"/>
    </row>
    <row r="31" spans="1:11" x14ac:dyDescent="0.25">
      <c r="A31" s="497" t="s">
        <v>554</v>
      </c>
      <c r="B31" s="261"/>
      <c r="C31" s="261" t="s">
        <v>557</v>
      </c>
      <c r="D31" s="262" t="s">
        <v>565</v>
      </c>
      <c r="E31" s="262" t="str">
        <f>IFERROR(VLOOKUP(D31,Table2[],2,FALSE),"")</f>
        <v>Hektar</v>
      </c>
      <c r="F31" s="262" t="s">
        <v>553</v>
      </c>
      <c r="G31" s="262" t="str">
        <f>IFERROR(VLOOKUP(F31,Table2[],2,FALSE),"")</f>
        <v>m3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80"/>
    </row>
    <row r="32" spans="1:11" x14ac:dyDescent="0.25">
      <c r="A32" s="499" t="s">
        <v>554</v>
      </c>
      <c r="B32" s="185"/>
      <c r="C32" s="185" t="s">
        <v>557</v>
      </c>
      <c r="D32" s="441" t="s">
        <v>565</v>
      </c>
      <c r="E32" s="441" t="str">
        <f>IFERROR(VLOOKUP(D32,Table2[],2,FALSE),"")</f>
        <v>Hektar</v>
      </c>
      <c r="F32" s="150" t="s">
        <v>405</v>
      </c>
      <c r="G32" s="441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82"/>
    </row>
    <row r="33" spans="1:11" x14ac:dyDescent="0.25">
      <c r="A33" s="499" t="s">
        <v>554</v>
      </c>
      <c r="B33" s="185"/>
      <c r="C33" s="185" t="s">
        <v>557</v>
      </c>
      <c r="D33" s="441" t="s">
        <v>565</v>
      </c>
      <c r="E33" s="441" t="str">
        <f>IFERROR(VLOOKUP(D33,Table2[],2,FALSE),"")</f>
        <v>Hektar</v>
      </c>
      <c r="F33" s="441" t="s">
        <v>344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25">
      <c r="A34" s="187" t="s">
        <v>554</v>
      </c>
      <c r="B34" s="185"/>
      <c r="C34" s="185" t="s">
        <v>557</v>
      </c>
      <c r="D34" s="441" t="s">
        <v>565</v>
      </c>
      <c r="E34" s="441" t="str">
        <f>IFERROR(VLOOKUP(D34,Table2[],2,FALSE),"")</f>
        <v>Hektar</v>
      </c>
      <c r="F34" s="441" t="s">
        <v>905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317">
        <f>H34</f>
        <v>0</v>
      </c>
      <c r="J34" s="317">
        <f>I34</f>
        <v>0</v>
      </c>
      <c r="K34" s="382"/>
    </row>
    <row r="35" spans="1:11" x14ac:dyDescent="0.25">
      <c r="A35" s="499" t="s">
        <v>554</v>
      </c>
      <c r="B35" s="185"/>
      <c r="C35" s="185" t="s">
        <v>557</v>
      </c>
      <c r="D35" s="441" t="s">
        <v>566</v>
      </c>
      <c r="E35" s="441" t="str">
        <f>IFERROR(VLOOKUP(D35,Table2[],2,FALSE),"")</f>
        <v>Hektar</v>
      </c>
      <c r="F35" s="441" t="s">
        <v>553</v>
      </c>
      <c r="G35" s="441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K35" s="382"/>
    </row>
    <row r="36" spans="1:11" x14ac:dyDescent="0.25">
      <c r="A36" s="499" t="s">
        <v>554</v>
      </c>
      <c r="B36" s="185"/>
      <c r="C36" s="185" t="s">
        <v>557</v>
      </c>
      <c r="D36" s="441" t="s">
        <v>566</v>
      </c>
      <c r="E36" s="441" t="str">
        <f>IFERROR(VLOOKUP(D36,Table2[],2,FALSE),"")</f>
        <v>Hektar</v>
      </c>
      <c r="F36" s="441" t="s">
        <v>405</v>
      </c>
      <c r="G36" s="441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K36" s="382"/>
    </row>
    <row r="37" spans="1:11" x14ac:dyDescent="0.25">
      <c r="A37" s="499" t="s">
        <v>554</v>
      </c>
      <c r="B37" s="185"/>
      <c r="C37" s="185" t="s">
        <v>557</v>
      </c>
      <c r="D37" s="441" t="s">
        <v>566</v>
      </c>
      <c r="E37" s="441" t="str">
        <f>IFERROR(VLOOKUP(D37,Table2[],2,FALSE),"")</f>
        <v>Hektar</v>
      </c>
      <c r="F37" s="441" t="s">
        <v>344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25">
      <c r="A38" s="187" t="s">
        <v>554</v>
      </c>
      <c r="B38" s="185"/>
      <c r="C38" s="185" t="s">
        <v>557</v>
      </c>
      <c r="D38" s="441" t="s">
        <v>566</v>
      </c>
      <c r="E38" s="441" t="str">
        <f>IFERROR(VLOOKUP(D38,Table2[],2,FALSE),"")</f>
        <v>Hektar</v>
      </c>
      <c r="F38" s="441" t="s">
        <v>905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-14.399999999999999</v>
      </c>
      <c r="I38" s="317">
        <f>H38</f>
        <v>-14.399999999999999</v>
      </c>
      <c r="J38" s="317">
        <f>I38</f>
        <v>-14.399999999999999</v>
      </c>
      <c r="K38" s="382"/>
    </row>
    <row r="39" spans="1:11" x14ac:dyDescent="0.25">
      <c r="A39" s="499" t="s">
        <v>554</v>
      </c>
      <c r="B39" s="185"/>
      <c r="C39" s="185" t="s">
        <v>557</v>
      </c>
      <c r="D39" s="441" t="s">
        <v>567</v>
      </c>
      <c r="E39" s="441" t="str">
        <f>IFERROR(VLOOKUP(D39,Table2[],2,FALSE),"")</f>
        <v>Hektar</v>
      </c>
      <c r="F39" s="441" t="s">
        <v>553</v>
      </c>
      <c r="G39" s="441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K39" s="382"/>
    </row>
    <row r="40" spans="1:11" x14ac:dyDescent="0.25">
      <c r="A40" s="499" t="s">
        <v>554</v>
      </c>
      <c r="B40" s="185"/>
      <c r="C40" s="185" t="s">
        <v>557</v>
      </c>
      <c r="D40" s="441" t="s">
        <v>567</v>
      </c>
      <c r="E40" s="441" t="str">
        <f>IFERROR(VLOOKUP(D40,Table2[],2,FALSE),"")</f>
        <v>Hektar</v>
      </c>
      <c r="F40" s="441" t="s">
        <v>405</v>
      </c>
      <c r="G40" s="441" t="str">
        <f>IFERROR(VLOOKUP(F40,Table2[],2,FALSE),"")</f>
        <v>m3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K40" s="382"/>
    </row>
    <row r="41" spans="1:11" x14ac:dyDescent="0.25">
      <c r="A41" s="499" t="s">
        <v>554</v>
      </c>
      <c r="B41" s="185"/>
      <c r="C41" s="185" t="s">
        <v>557</v>
      </c>
      <c r="D41" s="441" t="s">
        <v>567</v>
      </c>
      <c r="E41" s="441" t="str">
        <f>IFERROR(VLOOKUP(D41,Table2[],2,FALSE),"")</f>
        <v>Hektar</v>
      </c>
      <c r="F41" s="441" t="s">
        <v>344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25">
      <c r="A42" s="187" t="s">
        <v>554</v>
      </c>
      <c r="B42" s="185"/>
      <c r="C42" s="185" t="s">
        <v>557</v>
      </c>
      <c r="D42" s="441" t="s">
        <v>567</v>
      </c>
      <c r="E42" s="441" t="str">
        <f>IFERROR(VLOOKUP(D42,Table2[],2,FALSE),"")</f>
        <v>Hektar</v>
      </c>
      <c r="F42" s="441" t="s">
        <v>905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317">
        <f>H42</f>
        <v>-15.228571428571428</v>
      </c>
      <c r="J42" s="317">
        <f>I42</f>
        <v>-15.228571428571428</v>
      </c>
      <c r="K42" s="382"/>
    </row>
    <row r="43" spans="1:11" x14ac:dyDescent="0.25">
      <c r="A43" s="499" t="s">
        <v>554</v>
      </c>
      <c r="B43" s="185"/>
      <c r="C43" s="185" t="s">
        <v>557</v>
      </c>
      <c r="D43" s="441" t="s">
        <v>568</v>
      </c>
      <c r="E43" s="441" t="str">
        <f>IFERROR(VLOOKUP(D43,Table2[],2,FALSE),"")</f>
        <v>Hektar</v>
      </c>
      <c r="F43" s="441" t="s">
        <v>553</v>
      </c>
      <c r="G43" s="441" t="str">
        <f>IFERROR(VLOOKUP(F43,Table2[],2,FALSE),"")</f>
        <v>m3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K43" s="382"/>
    </row>
    <row r="44" spans="1:11" x14ac:dyDescent="0.25">
      <c r="A44" s="499" t="s">
        <v>554</v>
      </c>
      <c r="B44" s="185"/>
      <c r="C44" s="185" t="s">
        <v>557</v>
      </c>
      <c r="D44" s="441" t="s">
        <v>568</v>
      </c>
      <c r="E44" s="441" t="str">
        <f>IFERROR(VLOOKUP(D44,Table2[],2,FALSE),"")</f>
        <v>Hektar</v>
      </c>
      <c r="F44" s="441" t="s">
        <v>405</v>
      </c>
      <c r="G44" s="441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K44" s="382"/>
    </row>
    <row r="45" spans="1:11" x14ac:dyDescent="0.25">
      <c r="A45" s="499" t="s">
        <v>554</v>
      </c>
      <c r="B45" s="185"/>
      <c r="C45" s="185" t="s">
        <v>557</v>
      </c>
      <c r="D45" s="441" t="s">
        <v>568</v>
      </c>
      <c r="E45" s="441" t="str">
        <f>IFERROR(VLOOKUP(D45,Table2[],2,FALSE),"")</f>
        <v>Hektar</v>
      </c>
      <c r="F45" s="441" t="s">
        <v>344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5.75" thickBot="1" x14ac:dyDescent="0.3">
      <c r="A46" s="187" t="s">
        <v>554</v>
      </c>
      <c r="B46" s="185"/>
      <c r="C46" s="185" t="s">
        <v>557</v>
      </c>
      <c r="D46" s="441" t="s">
        <v>568</v>
      </c>
      <c r="E46" s="441" t="str">
        <f>IFERROR(VLOOKUP(D46,Table2[],2,FALSE),"")</f>
        <v>Hektar</v>
      </c>
      <c r="F46" s="441" t="s">
        <v>905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-7</v>
      </c>
      <c r="I46" s="317">
        <f>H46</f>
        <v>-7</v>
      </c>
      <c r="J46" s="317">
        <f>I46</f>
        <v>-7</v>
      </c>
      <c r="K46" s="503"/>
    </row>
    <row r="47" spans="1:11" x14ac:dyDescent="0.25">
      <c r="A47" s="497" t="s">
        <v>554</v>
      </c>
      <c r="B47" s="261"/>
      <c r="C47" s="261" t="s">
        <v>558</v>
      </c>
      <c r="D47" s="262" t="s">
        <v>569</v>
      </c>
      <c r="E47" s="262" t="str">
        <f>IFERROR(VLOOKUP(D47,Table2[],2,FALSE),"")</f>
        <v>Hektar</v>
      </c>
      <c r="F47" s="262" t="s">
        <v>553</v>
      </c>
      <c r="G47" s="262" t="str">
        <f>IFERROR(VLOOKUP(F47,Table2[],2,FALSE),"")</f>
        <v>m3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80"/>
    </row>
    <row r="48" spans="1:11" x14ac:dyDescent="0.25">
      <c r="A48" s="499" t="s">
        <v>554</v>
      </c>
      <c r="B48" s="185"/>
      <c r="C48" s="185" t="s">
        <v>558</v>
      </c>
      <c r="D48" s="441" t="s">
        <v>569</v>
      </c>
      <c r="E48" s="441" t="str">
        <f>IFERROR(VLOOKUP(D48,Table2[],2,FALSE),"")</f>
        <v>Hektar</v>
      </c>
      <c r="F48" s="150" t="s">
        <v>405</v>
      </c>
      <c r="G48" s="441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82"/>
    </row>
    <row r="49" spans="1:11" x14ac:dyDescent="0.25">
      <c r="A49" s="499" t="s">
        <v>554</v>
      </c>
      <c r="B49" s="185"/>
      <c r="C49" s="185" t="s">
        <v>558</v>
      </c>
      <c r="D49" s="441" t="s">
        <v>569</v>
      </c>
      <c r="E49" s="441" t="str">
        <f>IFERROR(VLOOKUP(D49,Table2[],2,FALSE),"")</f>
        <v>Hektar</v>
      </c>
      <c r="F49" s="441" t="s">
        <v>344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25">
      <c r="A50" s="187" t="s">
        <v>554</v>
      </c>
      <c r="B50" s="185"/>
      <c r="C50" s="185" t="s">
        <v>558</v>
      </c>
      <c r="D50" s="441" t="s">
        <v>569</v>
      </c>
      <c r="E50" s="441" t="str">
        <f>IFERROR(VLOOKUP(D50,Table2[],2,FALSE),"")</f>
        <v>Hektar</v>
      </c>
      <c r="F50" s="441" t="s">
        <v>905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317">
        <f>H50</f>
        <v>0</v>
      </c>
      <c r="J50" s="317">
        <f>I50</f>
        <v>0</v>
      </c>
      <c r="K50" s="382"/>
    </row>
    <row r="51" spans="1:11" x14ac:dyDescent="0.25">
      <c r="A51" s="499" t="s">
        <v>554</v>
      </c>
      <c r="B51" s="185"/>
      <c r="C51" s="185" t="s">
        <v>558</v>
      </c>
      <c r="D51" s="441" t="s">
        <v>570</v>
      </c>
      <c r="E51" s="441" t="str">
        <f>IFERROR(VLOOKUP(D51,Table2[],2,FALSE),"")</f>
        <v>Hektar</v>
      </c>
      <c r="F51" s="441" t="s">
        <v>553</v>
      </c>
      <c r="G51" s="441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82"/>
    </row>
    <row r="52" spans="1:11" x14ac:dyDescent="0.25">
      <c r="A52" s="499" t="s">
        <v>554</v>
      </c>
      <c r="B52" s="185"/>
      <c r="C52" s="185" t="s">
        <v>558</v>
      </c>
      <c r="D52" s="441" t="s">
        <v>570</v>
      </c>
      <c r="E52" s="441" t="str">
        <f>IFERROR(VLOOKUP(D52,Table2[],2,FALSE),"")</f>
        <v>Hektar</v>
      </c>
      <c r="F52" s="441" t="s">
        <v>405</v>
      </c>
      <c r="G52" s="441" t="str">
        <f>IFERROR(VLOOKUP(F52,Table2[],2,FALSE),"")</f>
        <v>m3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82"/>
    </row>
    <row r="53" spans="1:11" x14ac:dyDescent="0.25">
      <c r="A53" s="499" t="s">
        <v>554</v>
      </c>
      <c r="B53" s="185"/>
      <c r="C53" s="185" t="s">
        <v>558</v>
      </c>
      <c r="D53" s="441" t="s">
        <v>570</v>
      </c>
      <c r="E53" s="441" t="str">
        <f>IFERROR(VLOOKUP(D53,Table2[],2,FALSE),"")</f>
        <v>Hektar</v>
      </c>
      <c r="F53" s="441" t="s">
        <v>344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25">
      <c r="A54" s="187" t="s">
        <v>554</v>
      </c>
      <c r="B54" s="185"/>
      <c r="C54" s="185" t="s">
        <v>558</v>
      </c>
      <c r="D54" s="441" t="s">
        <v>570</v>
      </c>
      <c r="E54" s="441" t="str">
        <f>IFERROR(VLOOKUP(D54,Table2[],2,FALSE),"")</f>
        <v>Hektar</v>
      </c>
      <c r="F54" s="441" t="s">
        <v>905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317">
        <f>H54</f>
        <v>0</v>
      </c>
      <c r="J54" s="317">
        <f>I54</f>
        <v>0</v>
      </c>
      <c r="K54" s="382"/>
    </row>
    <row r="55" spans="1:11" x14ac:dyDescent="0.25">
      <c r="A55" s="499" t="s">
        <v>554</v>
      </c>
      <c r="B55" s="185"/>
      <c r="C55" s="185" t="s">
        <v>558</v>
      </c>
      <c r="D55" s="441" t="s">
        <v>571</v>
      </c>
      <c r="E55" s="441" t="str">
        <f>IFERROR(VLOOKUP(D55,Table2[],2,FALSE),"")</f>
        <v>Hektar</v>
      </c>
      <c r="F55" s="441" t="s">
        <v>553</v>
      </c>
      <c r="G55" s="441" t="str">
        <f>IFERROR(VLOOKUP(F55,Table2[],2,FALSE),"")</f>
        <v>m3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82"/>
    </row>
    <row r="56" spans="1:11" x14ac:dyDescent="0.25">
      <c r="A56" s="499" t="s">
        <v>554</v>
      </c>
      <c r="B56" s="185"/>
      <c r="C56" s="185" t="s">
        <v>558</v>
      </c>
      <c r="D56" s="441" t="s">
        <v>571</v>
      </c>
      <c r="E56" s="441" t="str">
        <f>IFERROR(VLOOKUP(D56,Table2[],2,FALSE),"")</f>
        <v>Hektar</v>
      </c>
      <c r="F56" s="441" t="s">
        <v>405</v>
      </c>
      <c r="G56" s="441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82"/>
    </row>
    <row r="57" spans="1:11" x14ac:dyDescent="0.25">
      <c r="A57" s="499" t="s">
        <v>554</v>
      </c>
      <c r="B57" s="185"/>
      <c r="C57" s="185" t="s">
        <v>558</v>
      </c>
      <c r="D57" s="441" t="s">
        <v>571</v>
      </c>
      <c r="E57" s="441" t="str">
        <f>IFERROR(VLOOKUP(D57,Table2[],2,FALSE),"")</f>
        <v>Hektar</v>
      </c>
      <c r="F57" s="441" t="s">
        <v>344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25">
      <c r="A58" s="187" t="s">
        <v>554</v>
      </c>
      <c r="B58" s="185"/>
      <c r="C58" s="185" t="s">
        <v>558</v>
      </c>
      <c r="D58" s="441" t="s">
        <v>571</v>
      </c>
      <c r="E58" s="441" t="str">
        <f>IFERROR(VLOOKUP(D58,Table2[],2,FALSE),"")</f>
        <v>Hektar</v>
      </c>
      <c r="F58" s="441" t="s">
        <v>905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317">
        <f>H58</f>
        <v>0</v>
      </c>
      <c r="J58" s="317">
        <f>I58</f>
        <v>0</v>
      </c>
      <c r="K58" s="382"/>
    </row>
    <row r="59" spans="1:11" x14ac:dyDescent="0.25">
      <c r="A59" s="499" t="s">
        <v>554</v>
      </c>
      <c r="B59" s="185"/>
      <c r="C59" s="185" t="s">
        <v>558</v>
      </c>
      <c r="D59" s="441" t="s">
        <v>572</v>
      </c>
      <c r="E59" s="441" t="str">
        <f>IFERROR(VLOOKUP(D59,Table2[],2,FALSE),"")</f>
        <v>Hektar</v>
      </c>
      <c r="F59" s="441" t="s">
        <v>553</v>
      </c>
      <c r="G59" s="441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K59" s="382"/>
    </row>
    <row r="60" spans="1:11" x14ac:dyDescent="0.25">
      <c r="A60" s="499" t="s">
        <v>554</v>
      </c>
      <c r="B60" s="185"/>
      <c r="C60" s="185" t="s">
        <v>558</v>
      </c>
      <c r="D60" s="441" t="s">
        <v>572</v>
      </c>
      <c r="E60" s="441" t="str">
        <f>IFERROR(VLOOKUP(D60,Table2[],2,FALSE),"")</f>
        <v>Hektar</v>
      </c>
      <c r="F60" s="441" t="s">
        <v>405</v>
      </c>
      <c r="G60" s="441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K60" s="382"/>
    </row>
    <row r="61" spans="1:11" x14ac:dyDescent="0.25">
      <c r="A61" s="499" t="s">
        <v>554</v>
      </c>
      <c r="B61" s="185"/>
      <c r="C61" s="185" t="s">
        <v>558</v>
      </c>
      <c r="D61" s="441" t="s">
        <v>572</v>
      </c>
      <c r="E61" s="441" t="str">
        <f>IFERROR(VLOOKUP(D61,Table2[],2,FALSE),"")</f>
        <v>Hektar</v>
      </c>
      <c r="F61" s="441" t="s">
        <v>344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5.75" thickBot="1" x14ac:dyDescent="0.3">
      <c r="A62" s="187" t="s">
        <v>554</v>
      </c>
      <c r="B62" s="185"/>
      <c r="C62" s="185" t="s">
        <v>558</v>
      </c>
      <c r="D62" s="441" t="s">
        <v>572</v>
      </c>
      <c r="E62" s="441" t="str">
        <f>IFERROR(VLOOKUP(D62,Table2[],2,FALSE),"")</f>
        <v>Hektar</v>
      </c>
      <c r="F62" s="441" t="s">
        <v>905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-2.5882352941176472</v>
      </c>
      <c r="I62" s="317">
        <f>H62</f>
        <v>-2.5882352941176472</v>
      </c>
      <c r="J62" s="317">
        <f>I62</f>
        <v>-2.5882352941176472</v>
      </c>
      <c r="K62" s="503"/>
    </row>
    <row r="63" spans="1:11" x14ac:dyDescent="0.25">
      <c r="A63" s="497" t="s">
        <v>554</v>
      </c>
      <c r="B63" s="261"/>
      <c r="C63" s="261" t="s">
        <v>559</v>
      </c>
      <c r="D63" s="262" t="s">
        <v>573</v>
      </c>
      <c r="E63" s="262" t="str">
        <f>IFERROR(VLOOKUP(D63,Table2[],2,FALSE),"")</f>
        <v>Hektar</v>
      </c>
      <c r="F63" s="262" t="s">
        <v>553</v>
      </c>
      <c r="G63" s="262" t="str">
        <f>IFERROR(VLOOKUP(F63,Table2[],2,FALSE),"")</f>
        <v>m3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80"/>
    </row>
    <row r="64" spans="1:11" x14ac:dyDescent="0.25">
      <c r="A64" s="499" t="s">
        <v>554</v>
      </c>
      <c r="B64" s="185"/>
      <c r="C64" s="185" t="s">
        <v>559</v>
      </c>
      <c r="D64" s="441" t="s">
        <v>573</v>
      </c>
      <c r="E64" s="441" t="str">
        <f>IFERROR(VLOOKUP(D64,Table2[],2,FALSE),"")</f>
        <v>Hektar</v>
      </c>
      <c r="F64" s="150" t="s">
        <v>405</v>
      </c>
      <c r="G64" s="441" t="str">
        <f>IFERROR(VLOOKUP(F64,Table2[],2,FALSE),"")</f>
        <v>m3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82"/>
    </row>
    <row r="65" spans="1:11" x14ac:dyDescent="0.25">
      <c r="A65" s="499" t="s">
        <v>554</v>
      </c>
      <c r="B65" s="185"/>
      <c r="C65" s="185" t="s">
        <v>559</v>
      </c>
      <c r="D65" s="441" t="s">
        <v>573</v>
      </c>
      <c r="E65" s="441" t="str">
        <f>IFERROR(VLOOKUP(D65,Table2[],2,FALSE),"")</f>
        <v>Hektar</v>
      </c>
      <c r="F65" s="441" t="s">
        <v>344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25">
      <c r="A66" s="187" t="s">
        <v>554</v>
      </c>
      <c r="B66" s="185"/>
      <c r="C66" s="185" t="s">
        <v>559</v>
      </c>
      <c r="D66" s="441" t="s">
        <v>573</v>
      </c>
      <c r="E66" s="441" t="str">
        <f>IFERROR(VLOOKUP(D66,Table2[],2,FALSE),"")</f>
        <v>Hektar</v>
      </c>
      <c r="F66" s="441" t="s">
        <v>905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317">
        <f>H66</f>
        <v>0</v>
      </c>
      <c r="J66" s="317">
        <f>I66</f>
        <v>0</v>
      </c>
      <c r="K66" s="382"/>
    </row>
    <row r="67" spans="1:11" x14ac:dyDescent="0.25">
      <c r="A67" s="499" t="s">
        <v>554</v>
      </c>
      <c r="B67" s="185"/>
      <c r="C67" s="185" t="s">
        <v>559</v>
      </c>
      <c r="D67" s="441" t="s">
        <v>574</v>
      </c>
      <c r="E67" s="441" t="str">
        <f>IFERROR(VLOOKUP(D67,Table2[],2,FALSE),"")</f>
        <v>Hektar</v>
      </c>
      <c r="F67" s="441" t="s">
        <v>553</v>
      </c>
      <c r="G67" s="441" t="str">
        <f>IFERROR(VLOOKUP(F67,Table2[],2,FALSE),"")</f>
        <v>m3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K67" s="382"/>
    </row>
    <row r="68" spans="1:11" x14ac:dyDescent="0.25">
      <c r="A68" s="499" t="s">
        <v>554</v>
      </c>
      <c r="B68" s="185"/>
      <c r="C68" s="185" t="s">
        <v>559</v>
      </c>
      <c r="D68" s="441" t="s">
        <v>574</v>
      </c>
      <c r="E68" s="441" t="str">
        <f>IFERROR(VLOOKUP(D68,Table2[],2,FALSE),"")</f>
        <v>Hektar</v>
      </c>
      <c r="F68" s="441" t="s">
        <v>405</v>
      </c>
      <c r="G68" s="441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K68" s="382"/>
    </row>
    <row r="69" spans="1:11" x14ac:dyDescent="0.25">
      <c r="A69" s="499" t="s">
        <v>554</v>
      </c>
      <c r="B69" s="185"/>
      <c r="C69" s="185" t="s">
        <v>559</v>
      </c>
      <c r="D69" s="441" t="s">
        <v>574</v>
      </c>
      <c r="E69" s="441" t="str">
        <f>IFERROR(VLOOKUP(D69,Table2[],2,FALSE),"")</f>
        <v>Hektar</v>
      </c>
      <c r="F69" s="441" t="s">
        <v>344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25">
      <c r="A70" s="187" t="s">
        <v>554</v>
      </c>
      <c r="B70" s="185"/>
      <c r="C70" s="185" t="s">
        <v>559</v>
      </c>
      <c r="D70" s="441" t="s">
        <v>574</v>
      </c>
      <c r="E70" s="441" t="str">
        <f>IFERROR(VLOOKUP(D70,Table2[],2,FALSE),"")</f>
        <v>Hektar</v>
      </c>
      <c r="F70" s="441" t="s">
        <v>905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317">
        <f>H70</f>
        <v>-4.0000000000000018</v>
      </c>
      <c r="J70" s="317">
        <f>I70</f>
        <v>-4.0000000000000018</v>
      </c>
      <c r="K70" s="382"/>
    </row>
    <row r="71" spans="1:11" x14ac:dyDescent="0.25">
      <c r="A71" s="499" t="s">
        <v>554</v>
      </c>
      <c r="B71" s="185"/>
      <c r="C71" s="185" t="s">
        <v>559</v>
      </c>
      <c r="D71" s="441" t="s">
        <v>575</v>
      </c>
      <c r="E71" s="441" t="str">
        <f>IFERROR(VLOOKUP(D71,Table2[],2,FALSE),"")</f>
        <v>Hektar</v>
      </c>
      <c r="F71" s="441" t="s">
        <v>553</v>
      </c>
      <c r="G71" s="441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K71" s="382"/>
    </row>
    <row r="72" spans="1:11" x14ac:dyDescent="0.25">
      <c r="A72" s="499" t="s">
        <v>554</v>
      </c>
      <c r="B72" s="185"/>
      <c r="C72" s="185" t="s">
        <v>559</v>
      </c>
      <c r="D72" s="441" t="s">
        <v>575</v>
      </c>
      <c r="E72" s="441" t="str">
        <f>IFERROR(VLOOKUP(D72,Table2[],2,FALSE),"")</f>
        <v>Hektar</v>
      </c>
      <c r="F72" s="441" t="s">
        <v>405</v>
      </c>
      <c r="G72" s="441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K72" s="382"/>
    </row>
    <row r="73" spans="1:11" x14ac:dyDescent="0.25">
      <c r="A73" s="499" t="s">
        <v>554</v>
      </c>
      <c r="B73" s="185"/>
      <c r="C73" s="185" t="s">
        <v>559</v>
      </c>
      <c r="D73" s="441" t="s">
        <v>575</v>
      </c>
      <c r="E73" s="441" t="str">
        <f>IFERROR(VLOOKUP(D73,Table2[],2,FALSE),"")</f>
        <v>Hektar</v>
      </c>
      <c r="F73" s="441" t="s">
        <v>344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25">
      <c r="A74" s="187" t="s">
        <v>554</v>
      </c>
      <c r="B74" s="185"/>
      <c r="C74" s="185" t="s">
        <v>559</v>
      </c>
      <c r="D74" s="441" t="s">
        <v>575</v>
      </c>
      <c r="E74" s="441" t="str">
        <f>IFERROR(VLOOKUP(D74,Table2[],2,FALSE),"")</f>
        <v>Hektar</v>
      </c>
      <c r="F74" s="441" t="s">
        <v>905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317">
        <f>H74</f>
        <v>-4.3055555555555554</v>
      </c>
      <c r="J74" s="317">
        <f>I74</f>
        <v>-4.3055555555555554</v>
      </c>
      <c r="K74" s="382"/>
    </row>
    <row r="75" spans="1:11" x14ac:dyDescent="0.25">
      <c r="A75" s="499" t="s">
        <v>554</v>
      </c>
      <c r="B75" s="185"/>
      <c r="C75" s="185" t="s">
        <v>559</v>
      </c>
      <c r="D75" s="441" t="s">
        <v>576</v>
      </c>
      <c r="E75" s="441" t="str">
        <f>IFERROR(VLOOKUP(D75,Table2[],2,FALSE),"")</f>
        <v>Hektar</v>
      </c>
      <c r="F75" s="441" t="s">
        <v>553</v>
      </c>
      <c r="G75" s="441" t="str">
        <f>IFERROR(VLOOKUP(F75,Table2[],2,FALSE),"")</f>
        <v>m3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K75" s="382"/>
    </row>
    <row r="76" spans="1:11" x14ac:dyDescent="0.25">
      <c r="A76" s="499" t="s">
        <v>554</v>
      </c>
      <c r="B76" s="185"/>
      <c r="C76" s="185" t="s">
        <v>559</v>
      </c>
      <c r="D76" s="441" t="s">
        <v>576</v>
      </c>
      <c r="E76" s="441" t="str">
        <f>IFERROR(VLOOKUP(D76,Table2[],2,FALSE),"")</f>
        <v>Hektar</v>
      </c>
      <c r="F76" s="441" t="s">
        <v>405</v>
      </c>
      <c r="G76" s="441" t="str">
        <f>IFERROR(VLOOKUP(F76,Table2[],2,FALSE),"")</f>
        <v>m3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K76" s="382"/>
    </row>
    <row r="77" spans="1:11" x14ac:dyDescent="0.25">
      <c r="A77" s="499" t="s">
        <v>554</v>
      </c>
      <c r="B77" s="185"/>
      <c r="C77" s="185" t="s">
        <v>559</v>
      </c>
      <c r="D77" s="441" t="s">
        <v>576</v>
      </c>
      <c r="E77" s="441" t="str">
        <f>IFERROR(VLOOKUP(D77,Table2[],2,FALSE),"")</f>
        <v>Hektar</v>
      </c>
      <c r="F77" s="441" t="s">
        <v>344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5.75" thickBot="1" x14ac:dyDescent="0.3">
      <c r="A78" s="187" t="s">
        <v>554</v>
      </c>
      <c r="B78" s="185"/>
      <c r="C78" s="185" t="s">
        <v>559</v>
      </c>
      <c r="D78" s="441" t="s">
        <v>576</v>
      </c>
      <c r="E78" s="441" t="str">
        <f>IFERROR(VLOOKUP(D78,Table2[],2,FALSE),"")</f>
        <v>Hektar</v>
      </c>
      <c r="F78" s="441" t="s">
        <v>905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-3.5588235294117649</v>
      </c>
      <c r="I78" s="317">
        <f>H78</f>
        <v>-3.5588235294117649</v>
      </c>
      <c r="J78" s="317">
        <f>I78</f>
        <v>-3.5588235294117649</v>
      </c>
      <c r="K78" s="503"/>
    </row>
    <row r="79" spans="1:11" x14ac:dyDescent="0.25">
      <c r="A79" s="497" t="s">
        <v>554</v>
      </c>
      <c r="B79" s="261"/>
      <c r="C79" s="261" t="s">
        <v>560</v>
      </c>
      <c r="D79" s="262" t="s">
        <v>577</v>
      </c>
      <c r="E79" s="262" t="str">
        <f>IFERROR(VLOOKUP(D79,Table2[],2,FALSE),"")</f>
        <v>Hektar</v>
      </c>
      <c r="F79" s="262" t="s">
        <v>553</v>
      </c>
      <c r="G79" s="262" t="str">
        <f>IFERROR(VLOOKUP(F79,Table2[],2,FALSE),"")</f>
        <v>m3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80"/>
    </row>
    <row r="80" spans="1:11" x14ac:dyDescent="0.25">
      <c r="A80" s="499" t="s">
        <v>554</v>
      </c>
      <c r="B80" s="185"/>
      <c r="C80" s="185" t="s">
        <v>560</v>
      </c>
      <c r="D80" s="441" t="s">
        <v>577</v>
      </c>
      <c r="E80" s="441" t="str">
        <f>IFERROR(VLOOKUP(D80,Table2[],2,FALSE),"")</f>
        <v>Hektar</v>
      </c>
      <c r="F80" s="150" t="s">
        <v>405</v>
      </c>
      <c r="G80" s="441" t="str">
        <f>IFERROR(VLOOKUP(F80,Table2[],2,FALSE),"")</f>
        <v>m3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82"/>
    </row>
    <row r="81" spans="1:11" x14ac:dyDescent="0.25">
      <c r="A81" s="499" t="s">
        <v>554</v>
      </c>
      <c r="B81" s="185"/>
      <c r="C81" s="185" t="s">
        <v>560</v>
      </c>
      <c r="D81" s="441" t="s">
        <v>577</v>
      </c>
      <c r="E81" s="441" t="str">
        <f>IFERROR(VLOOKUP(D81,Table2[],2,FALSE),"")</f>
        <v>Hektar</v>
      </c>
      <c r="F81" s="441" t="s">
        <v>344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25">
      <c r="A82" s="499" t="s">
        <v>554</v>
      </c>
      <c r="B82" s="185"/>
      <c r="C82" s="185" t="s">
        <v>560</v>
      </c>
      <c r="D82" s="441" t="s">
        <v>577</v>
      </c>
      <c r="E82" s="441" t="str">
        <f>IFERROR(VLOOKUP(D82,Table2[],2,FALSE),"")</f>
        <v>Hektar</v>
      </c>
      <c r="F82" s="441" t="s">
        <v>905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317">
        <f>H82</f>
        <v>0</v>
      </c>
      <c r="J82" s="317">
        <f>I82</f>
        <v>0</v>
      </c>
      <c r="K82" s="382"/>
    </row>
    <row r="83" spans="1:11" x14ac:dyDescent="0.25">
      <c r="A83" s="499" t="s">
        <v>554</v>
      </c>
      <c r="B83" s="185"/>
      <c r="C83" s="185" t="s">
        <v>560</v>
      </c>
      <c r="D83" s="441" t="s">
        <v>578</v>
      </c>
      <c r="E83" s="441" t="str">
        <f>IFERROR(VLOOKUP(D83,Table2[],2,FALSE),"")</f>
        <v>Hektar</v>
      </c>
      <c r="F83" s="441" t="s">
        <v>553</v>
      </c>
      <c r="G83" s="441" t="str">
        <f>IFERROR(VLOOKUP(F83,Table2[],2,FALSE),"")</f>
        <v>m3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82"/>
    </row>
    <row r="84" spans="1:11" x14ac:dyDescent="0.25">
      <c r="A84" s="499" t="s">
        <v>554</v>
      </c>
      <c r="B84" s="185"/>
      <c r="C84" s="185" t="s">
        <v>560</v>
      </c>
      <c r="D84" s="441" t="s">
        <v>578</v>
      </c>
      <c r="E84" s="441" t="str">
        <f>IFERROR(VLOOKUP(D84,Table2[],2,FALSE),"")</f>
        <v>Hektar</v>
      </c>
      <c r="F84" s="441" t="s">
        <v>405</v>
      </c>
      <c r="G84" s="441" t="str">
        <f>IFERROR(VLOOKUP(F84,Table2[],2,FALSE),"")</f>
        <v>m3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82"/>
    </row>
    <row r="85" spans="1:11" x14ac:dyDescent="0.25">
      <c r="A85" s="499" t="s">
        <v>554</v>
      </c>
      <c r="B85" s="185"/>
      <c r="C85" s="185" t="s">
        <v>560</v>
      </c>
      <c r="D85" s="441" t="s">
        <v>578</v>
      </c>
      <c r="E85" s="441" t="str">
        <f>IFERROR(VLOOKUP(D85,Table2[],2,FALSE),"")</f>
        <v>Hektar</v>
      </c>
      <c r="F85" s="441" t="s">
        <v>344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25">
      <c r="A86" s="499" t="s">
        <v>554</v>
      </c>
      <c r="B86" s="185"/>
      <c r="C86" s="185" t="s">
        <v>560</v>
      </c>
      <c r="D86" s="441" t="s">
        <v>578</v>
      </c>
      <c r="E86" s="441" t="str">
        <f>IFERROR(VLOOKUP(D86,Table2[],2,FALSE),"")</f>
        <v>Hektar</v>
      </c>
      <c r="F86" s="441" t="s">
        <v>905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317">
        <f>H86</f>
        <v>0</v>
      </c>
      <c r="J86" s="317">
        <f>I86</f>
        <v>0</v>
      </c>
      <c r="K86" s="382"/>
    </row>
    <row r="87" spans="1:11" x14ac:dyDescent="0.25">
      <c r="A87" s="499" t="s">
        <v>554</v>
      </c>
      <c r="B87" s="185"/>
      <c r="C87" s="185" t="s">
        <v>560</v>
      </c>
      <c r="D87" s="441" t="s">
        <v>579</v>
      </c>
      <c r="E87" s="441" t="str">
        <f>IFERROR(VLOOKUP(D87,Table2[],2,FALSE),"")</f>
        <v>Hektar</v>
      </c>
      <c r="F87" s="441" t="s">
        <v>553</v>
      </c>
      <c r="G87" s="441" t="str">
        <f>IFERROR(VLOOKUP(F87,Table2[],2,FALSE),"")</f>
        <v>m3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K87" s="382"/>
    </row>
    <row r="88" spans="1:11" x14ac:dyDescent="0.25">
      <c r="A88" s="499" t="s">
        <v>554</v>
      </c>
      <c r="B88" s="185"/>
      <c r="C88" s="185" t="s">
        <v>560</v>
      </c>
      <c r="D88" s="441" t="s">
        <v>579</v>
      </c>
      <c r="E88" s="441" t="str">
        <f>IFERROR(VLOOKUP(D88,Table2[],2,FALSE),"")</f>
        <v>Hektar</v>
      </c>
      <c r="F88" s="441" t="s">
        <v>405</v>
      </c>
      <c r="G88" s="441" t="str">
        <f>IFERROR(VLOOKUP(F88,Table2[],2,FALSE),"")</f>
        <v>m3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K88" s="382"/>
    </row>
    <row r="89" spans="1:11" x14ac:dyDescent="0.25">
      <c r="A89" s="499" t="s">
        <v>554</v>
      </c>
      <c r="B89" s="185"/>
      <c r="C89" s="185" t="s">
        <v>560</v>
      </c>
      <c r="D89" s="441" t="s">
        <v>579</v>
      </c>
      <c r="E89" s="441" t="str">
        <f>IFERROR(VLOOKUP(D89,Table2[],2,FALSE),"")</f>
        <v>Hektar</v>
      </c>
      <c r="F89" s="441" t="s">
        <v>344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25">
      <c r="A90" s="499" t="s">
        <v>554</v>
      </c>
      <c r="B90" s="185"/>
      <c r="C90" s="185" t="s">
        <v>560</v>
      </c>
      <c r="D90" s="441" t="s">
        <v>579</v>
      </c>
      <c r="E90" s="441" t="str">
        <f>IFERROR(VLOOKUP(D90,Table2[],2,FALSE),"")</f>
        <v>Hektar</v>
      </c>
      <c r="F90" s="441" t="s">
        <v>905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317">
        <f>H90</f>
        <v>-0.14351851851851852</v>
      </c>
      <c r="J90" s="317">
        <f>I90</f>
        <v>-0.14351851851851852</v>
      </c>
      <c r="K90" s="382"/>
    </row>
    <row r="91" spans="1:11" x14ac:dyDescent="0.25">
      <c r="A91" s="499" t="s">
        <v>554</v>
      </c>
      <c r="B91" s="185"/>
      <c r="C91" s="185" t="s">
        <v>560</v>
      </c>
      <c r="D91" s="441" t="s">
        <v>580</v>
      </c>
      <c r="E91" s="441" t="str">
        <f>IFERROR(VLOOKUP(D91,Table2[],2,FALSE),"")</f>
        <v>Hektar</v>
      </c>
      <c r="F91" s="441" t="s">
        <v>553</v>
      </c>
      <c r="G91" s="441" t="str">
        <f>IFERROR(VLOOKUP(F91,Table2[],2,FALSE),"")</f>
        <v>m3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K91" s="382"/>
    </row>
    <row r="92" spans="1:11" x14ac:dyDescent="0.25">
      <c r="A92" s="499" t="s">
        <v>554</v>
      </c>
      <c r="B92" s="185"/>
      <c r="C92" s="185" t="s">
        <v>560</v>
      </c>
      <c r="D92" s="441" t="s">
        <v>580</v>
      </c>
      <c r="E92" s="441" t="str">
        <f>IFERROR(VLOOKUP(D92,Table2[],2,FALSE),"")</f>
        <v>Hektar</v>
      </c>
      <c r="F92" s="441" t="s">
        <v>405</v>
      </c>
      <c r="G92" s="441" t="str">
        <f>IFERROR(VLOOKUP(F92,Table2[],2,FALSE),"")</f>
        <v>m3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K92" s="382"/>
    </row>
    <row r="93" spans="1:11" x14ac:dyDescent="0.25">
      <c r="A93" s="499" t="s">
        <v>554</v>
      </c>
      <c r="B93" s="185"/>
      <c r="C93" s="185" t="s">
        <v>560</v>
      </c>
      <c r="D93" s="441" t="s">
        <v>580</v>
      </c>
      <c r="E93" s="441" t="str">
        <f>IFERROR(VLOOKUP(D93,Table2[],2,FALSE),"")</f>
        <v>Hektar</v>
      </c>
      <c r="F93" s="441" t="s">
        <v>344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5.75" thickBot="1" x14ac:dyDescent="0.3">
      <c r="A94" s="500" t="s">
        <v>554</v>
      </c>
      <c r="B94" s="501"/>
      <c r="C94" s="501" t="s">
        <v>560</v>
      </c>
      <c r="D94" s="444" t="s">
        <v>580</v>
      </c>
      <c r="E94" s="444" t="str">
        <f>IFERROR(VLOOKUP(D94,Table2[],2,FALSE),"")</f>
        <v>Hektar</v>
      </c>
      <c r="F94" s="444" t="s">
        <v>905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502">
        <f>H94</f>
        <v>-1.725490196078431</v>
      </c>
      <c r="J94" s="502">
        <f>I94</f>
        <v>-1.725490196078431</v>
      </c>
      <c r="K94" s="503"/>
    </row>
    <row r="95" spans="1:11" x14ac:dyDescent="0.25">
      <c r="A95" s="497" t="s">
        <v>349</v>
      </c>
      <c r="B95" s="504" t="s">
        <v>45</v>
      </c>
      <c r="C95" s="504"/>
      <c r="D95" s="262" t="s">
        <v>16</v>
      </c>
      <c r="E95" s="262" t="str">
        <f>IFERROR(VLOOKUP(D95,Table2[],2,FALSE),"")</f>
        <v>Antal</v>
      </c>
      <c r="F95" s="262" t="s">
        <v>300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25">
      <c r="A96" s="499" t="s">
        <v>349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498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25">
      <c r="A97" s="499" t="s">
        <v>349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25">
      <c r="A98" s="499" t="s">
        <v>349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25">
      <c r="A99" s="499" t="s">
        <v>349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416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25">
      <c r="A100" s="499" t="s">
        <v>349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5.75" thickBot="1" x14ac:dyDescent="0.3">
      <c r="A101" s="500" t="s">
        <v>349</v>
      </c>
      <c r="B101" s="505" t="s">
        <v>45</v>
      </c>
      <c r="C101" s="505"/>
      <c r="D101" s="444" t="s">
        <v>16</v>
      </c>
      <c r="E101" s="444" t="str">
        <f>IFERROR(VLOOKUP(D101,Table2[],2,FALSE),"")</f>
        <v>Antal</v>
      </c>
      <c r="F101" s="506" t="s">
        <v>344</v>
      </c>
      <c r="G101" s="444" t="str">
        <f>IFERROR(VLOOKUP(F101,Table2[],2,FALSE),"")</f>
        <v>t CO2-ækvivalenter</v>
      </c>
      <c r="H101" s="507">
        <f>Dyrehold!$M$5</f>
        <v>0.11202449132751124</v>
      </c>
      <c r="I101" s="507">
        <f>Dyrehold!$M$5</f>
        <v>0.11202449132751124</v>
      </c>
      <c r="J101" s="507">
        <f>Dyrehold!$M$5</f>
        <v>0.11202449132751124</v>
      </c>
      <c r="K101" s="503"/>
    </row>
    <row r="102" spans="1:11" x14ac:dyDescent="0.25">
      <c r="A102" s="187" t="s">
        <v>349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300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25">
      <c r="A103" s="187" t="s">
        <v>349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498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25">
      <c r="A104" s="187" t="s">
        <v>349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25">
      <c r="A105" s="187" t="s">
        <v>349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25">
      <c r="A106" s="187" t="s">
        <v>349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416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25">
      <c r="A107" s="187" t="s">
        <v>349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5.75" thickBot="1" x14ac:dyDescent="0.3">
      <c r="A108" s="187" t="s">
        <v>349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344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5.75" thickTop="1" x14ac:dyDescent="0.25">
      <c r="A109" s="186" t="s">
        <v>351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301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25">
      <c r="A110" s="187" t="s">
        <v>351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499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25">
      <c r="A111" s="187" t="s">
        <v>351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25">
      <c r="A112" s="187" t="s">
        <v>351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302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25">
      <c r="A113" s="187" t="s">
        <v>351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25">
      <c r="A114" s="187" t="s">
        <v>351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416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25">
      <c r="A115" s="187" t="s">
        <v>351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5.75" thickBot="1" x14ac:dyDescent="0.3">
      <c r="A116" s="188" t="s">
        <v>351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344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5.75" thickTop="1" x14ac:dyDescent="0.25">
      <c r="A117" s="187" t="s">
        <v>351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301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25">
      <c r="A118" s="187" t="s">
        <v>351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499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25">
      <c r="A119" s="187" t="s">
        <v>351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25">
      <c r="A120" s="187" t="s">
        <v>351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302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25">
      <c r="A121" s="187" t="s">
        <v>351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25">
      <c r="A122" s="187" t="s">
        <v>351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416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25">
      <c r="A123" s="187" t="s">
        <v>351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5.75" thickBot="1" x14ac:dyDescent="0.3">
      <c r="A124" s="187" t="s">
        <v>351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344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5.75" thickTop="1" x14ac:dyDescent="0.25">
      <c r="A125" s="186" t="s">
        <v>350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364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25">
      <c r="A126" s="187" t="s">
        <v>350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500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25">
      <c r="A127" s="187" t="s">
        <v>350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25">
      <c r="A128" s="187" t="s">
        <v>350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313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25">
      <c r="A129" s="187" t="s">
        <v>350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25">
      <c r="A130" s="187" t="s">
        <v>350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416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25">
      <c r="A131" s="187" t="s">
        <v>350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5.75" thickBot="1" x14ac:dyDescent="0.3">
      <c r="A132" s="188" t="s">
        <v>350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344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5.75" thickTop="1" x14ac:dyDescent="0.25">
      <c r="A133" s="187" t="s">
        <v>350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364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25">
      <c r="A134" s="187" t="s">
        <v>350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500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25">
      <c r="A135" s="187" t="s">
        <v>350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25">
      <c r="A136" s="187" t="s">
        <v>350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313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25">
      <c r="A137" s="187" t="s">
        <v>350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25">
      <c r="A138" s="187" t="s">
        <v>350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416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25">
      <c r="A139" s="187" t="s">
        <v>350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5.75" thickBot="1" x14ac:dyDescent="0.3">
      <c r="A140" s="187" t="s">
        <v>350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344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5.75" thickTop="1" x14ac:dyDescent="0.25">
      <c r="A141" s="186" t="s">
        <v>25</v>
      </c>
      <c r="B141" s="180" t="s">
        <v>45</v>
      </c>
      <c r="C141" s="180" t="str">
        <f>Jordbund1</f>
        <v>JB1-10</v>
      </c>
      <c r="D141" s="144" t="s">
        <v>358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25">
      <c r="A142" s="187" t="s">
        <v>25</v>
      </c>
      <c r="B142" s="181" t="s">
        <v>45</v>
      </c>
      <c r="C142" s="181" t="str">
        <f>Jordbund1</f>
        <v>JB1-10</v>
      </c>
      <c r="D142" s="146" t="s">
        <v>358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25">
      <c r="A143" s="187" t="s">
        <v>25</v>
      </c>
      <c r="B143" s="181" t="s">
        <v>45</v>
      </c>
      <c r="C143" s="181" t="str">
        <f>Jordbund1</f>
        <v>JB1-10</v>
      </c>
      <c r="D143" s="146" t="s">
        <v>358</v>
      </c>
      <c r="E143" s="146" t="str">
        <f>IFERROR(VLOOKUP(D143,Table2[],2,FALSE),"")</f>
        <v>Hektar</v>
      </c>
      <c r="F143" s="146" t="s">
        <v>303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5.75" thickBot="1" x14ac:dyDescent="0.3">
      <c r="A144" s="187" t="s">
        <v>25</v>
      </c>
      <c r="B144" s="181" t="s">
        <v>45</v>
      </c>
      <c r="C144" s="181" t="str">
        <f>Jordbund1</f>
        <v>JB1-10</v>
      </c>
      <c r="D144" s="146" t="s">
        <v>358</v>
      </c>
      <c r="E144" s="146" t="str">
        <f>IFERROR(VLOOKUP(D144,Table2[],2,FALSE),"")</f>
        <v>Hektar</v>
      </c>
      <c r="F144" s="150" t="s">
        <v>344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5.75" thickTop="1" x14ac:dyDescent="0.25">
      <c r="A145" s="186" t="s">
        <v>25</v>
      </c>
      <c r="B145" s="180" t="s">
        <v>45</v>
      </c>
      <c r="C145" s="180" t="str">
        <f>Organ6</f>
        <v>OC6</v>
      </c>
      <c r="D145" s="144" t="s">
        <v>358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25">
      <c r="A146" s="187" t="s">
        <v>25</v>
      </c>
      <c r="B146" s="181" t="s">
        <v>45</v>
      </c>
      <c r="C146" s="181" t="str">
        <f>Organ6</f>
        <v>OC6</v>
      </c>
      <c r="D146" s="146" t="s">
        <v>358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25">
      <c r="A147" s="187" t="s">
        <v>25</v>
      </c>
      <c r="B147" s="181" t="s">
        <v>45</v>
      </c>
      <c r="C147" s="181" t="str">
        <f>Organ6</f>
        <v>OC6</v>
      </c>
      <c r="D147" s="146" t="s">
        <v>358</v>
      </c>
      <c r="E147" s="146" t="str">
        <f>IFERROR(VLOOKUP(D147,Table2[],2,FALSE),"")</f>
        <v>Hektar</v>
      </c>
      <c r="F147" s="146" t="s">
        <v>303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5.75" thickBot="1" x14ac:dyDescent="0.3">
      <c r="A148" s="187" t="s">
        <v>25</v>
      </c>
      <c r="B148" s="181" t="s">
        <v>45</v>
      </c>
      <c r="C148" s="181" t="str">
        <f>Organ6</f>
        <v>OC6</v>
      </c>
      <c r="D148" s="146" t="s">
        <v>358</v>
      </c>
      <c r="E148" s="146" t="str">
        <f>IFERROR(VLOOKUP(D148,Table2[],2,FALSE),"")</f>
        <v>Hektar</v>
      </c>
      <c r="F148" s="150" t="s">
        <v>344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5.75" thickTop="1" x14ac:dyDescent="0.25">
      <c r="A149" s="186" t="s">
        <v>25</v>
      </c>
      <c r="B149" s="180" t="s">
        <v>45</v>
      </c>
      <c r="C149" s="180" t="str">
        <f>Organ12</f>
        <v>OC12</v>
      </c>
      <c r="D149" s="144" t="s">
        <v>358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25">
      <c r="A150" s="187" t="s">
        <v>25</v>
      </c>
      <c r="B150" s="181" t="s">
        <v>45</v>
      </c>
      <c r="C150" s="181" t="str">
        <f>Organ12</f>
        <v>OC12</v>
      </c>
      <c r="D150" s="146" t="s">
        <v>358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25">
      <c r="A151" s="187" t="s">
        <v>25</v>
      </c>
      <c r="B151" s="181" t="s">
        <v>45</v>
      </c>
      <c r="C151" s="181" t="str">
        <f>Organ12</f>
        <v>OC12</v>
      </c>
      <c r="D151" s="146" t="s">
        <v>358</v>
      </c>
      <c r="E151" s="146" t="str">
        <f>IFERROR(VLOOKUP(D151,Table2[],2,FALSE),"")</f>
        <v>Hektar</v>
      </c>
      <c r="F151" s="146" t="s">
        <v>303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5.75" thickBot="1" x14ac:dyDescent="0.3">
      <c r="A152" s="187" t="s">
        <v>25</v>
      </c>
      <c r="B152" s="181" t="s">
        <v>45</v>
      </c>
      <c r="C152" s="181" t="str">
        <f>Organ12</f>
        <v>OC12</v>
      </c>
      <c r="D152" s="146" t="s">
        <v>358</v>
      </c>
      <c r="E152" s="146" t="str">
        <f>IFERROR(VLOOKUP(D152,Table2[],2,FALSE),"")</f>
        <v>Hektar</v>
      </c>
      <c r="F152" s="150" t="s">
        <v>344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5.75" thickTop="1" x14ac:dyDescent="0.25">
      <c r="A153" s="186" t="s">
        <v>25</v>
      </c>
      <c r="B153" s="180" t="s">
        <v>46</v>
      </c>
      <c r="C153" s="180" t="str">
        <f>Jordbund1</f>
        <v>JB1-10</v>
      </c>
      <c r="D153" s="144" t="s">
        <v>358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25">
      <c r="A154" s="187" t="s">
        <v>25</v>
      </c>
      <c r="B154" s="181" t="s">
        <v>46</v>
      </c>
      <c r="C154" s="181" t="str">
        <f>Jordbund1</f>
        <v>JB1-10</v>
      </c>
      <c r="D154" s="146" t="s">
        <v>358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25">
      <c r="A155" s="187" t="s">
        <v>25</v>
      </c>
      <c r="B155" s="181" t="s">
        <v>46</v>
      </c>
      <c r="C155" s="181" t="str">
        <f>Jordbund1</f>
        <v>JB1-10</v>
      </c>
      <c r="D155" s="146" t="s">
        <v>358</v>
      </c>
      <c r="E155" s="146" t="str">
        <f>IFERROR(VLOOKUP(D155,Table2[],2,FALSE),"")</f>
        <v>Hektar</v>
      </c>
      <c r="F155" s="146" t="s">
        <v>303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5.75" thickBot="1" x14ac:dyDescent="0.3">
      <c r="A156" s="188" t="s">
        <v>25</v>
      </c>
      <c r="B156" s="182" t="s">
        <v>46</v>
      </c>
      <c r="C156" s="182" t="str">
        <f>Jordbund1</f>
        <v>JB1-10</v>
      </c>
      <c r="D156" s="148" t="s">
        <v>358</v>
      </c>
      <c r="E156" s="148" t="str">
        <f>IFERROR(VLOOKUP(D156,Table2[],2,FALSE),"")</f>
        <v>Hektar</v>
      </c>
      <c r="F156" s="202" t="s">
        <v>344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5.75" thickTop="1" x14ac:dyDescent="0.25">
      <c r="A157" s="186" t="s">
        <v>25</v>
      </c>
      <c r="B157" s="180" t="s">
        <v>46</v>
      </c>
      <c r="C157" s="180" t="str">
        <f>Organ6</f>
        <v>OC6</v>
      </c>
      <c r="D157" s="144" t="s">
        <v>358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25">
      <c r="A158" s="187" t="s">
        <v>25</v>
      </c>
      <c r="B158" s="181" t="s">
        <v>46</v>
      </c>
      <c r="C158" s="181" t="str">
        <f>Organ6</f>
        <v>OC6</v>
      </c>
      <c r="D158" s="146" t="s">
        <v>358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25">
      <c r="A159" s="187" t="s">
        <v>25</v>
      </c>
      <c r="B159" s="181" t="s">
        <v>46</v>
      </c>
      <c r="C159" s="181" t="str">
        <f>Organ6</f>
        <v>OC6</v>
      </c>
      <c r="D159" s="146" t="s">
        <v>358</v>
      </c>
      <c r="E159" s="146" t="str">
        <f>IFERROR(VLOOKUP(D159,Table2[],2,FALSE),"")</f>
        <v>Hektar</v>
      </c>
      <c r="F159" s="146" t="s">
        <v>303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5.75" thickBot="1" x14ac:dyDescent="0.3">
      <c r="A160" s="188" t="s">
        <v>25</v>
      </c>
      <c r="B160" s="182" t="s">
        <v>46</v>
      </c>
      <c r="C160" s="182" t="str">
        <f>Organ6</f>
        <v>OC6</v>
      </c>
      <c r="D160" s="148" t="s">
        <v>358</v>
      </c>
      <c r="E160" s="148" t="str">
        <f>IFERROR(VLOOKUP(D160,Table2[],2,FALSE),"")</f>
        <v>Hektar</v>
      </c>
      <c r="F160" s="202" t="s">
        <v>344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5.75" thickTop="1" x14ac:dyDescent="0.25">
      <c r="A161" s="186" t="s">
        <v>25</v>
      </c>
      <c r="B161" s="180" t="s">
        <v>46</v>
      </c>
      <c r="C161" s="180" t="str">
        <f>Organ12</f>
        <v>OC12</v>
      </c>
      <c r="D161" s="144" t="s">
        <v>358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25">
      <c r="A162" s="187" t="s">
        <v>25</v>
      </c>
      <c r="B162" s="181" t="s">
        <v>46</v>
      </c>
      <c r="C162" s="181" t="str">
        <f>Organ12</f>
        <v>OC12</v>
      </c>
      <c r="D162" s="146" t="s">
        <v>358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25">
      <c r="A163" s="187" t="s">
        <v>25</v>
      </c>
      <c r="B163" s="181" t="s">
        <v>46</v>
      </c>
      <c r="C163" s="181" t="str">
        <f>Organ12</f>
        <v>OC12</v>
      </c>
      <c r="D163" s="146" t="s">
        <v>358</v>
      </c>
      <c r="E163" s="146" t="str">
        <f>IFERROR(VLOOKUP(D163,Table2[],2,FALSE),"")</f>
        <v>Hektar</v>
      </c>
      <c r="F163" s="146" t="s">
        <v>303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5.75" thickBot="1" x14ac:dyDescent="0.3">
      <c r="A164" s="188" t="s">
        <v>25</v>
      </c>
      <c r="B164" s="182" t="s">
        <v>46</v>
      </c>
      <c r="C164" s="182" t="str">
        <f>Organ12</f>
        <v>OC12</v>
      </c>
      <c r="D164" s="148" t="s">
        <v>358</v>
      </c>
      <c r="E164" s="148" t="str">
        <f>IFERROR(VLOOKUP(D164,Table2[],2,FALSE),"")</f>
        <v>Hektar</v>
      </c>
      <c r="F164" s="202" t="s">
        <v>344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5.75" thickTop="1" x14ac:dyDescent="0.25">
      <c r="A165" s="186" t="s">
        <v>26</v>
      </c>
      <c r="B165" s="180" t="s">
        <v>45</v>
      </c>
      <c r="C165" s="180" t="str">
        <f>Jordbund1</f>
        <v>JB1-10</v>
      </c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25">
      <c r="A166" s="187" t="s">
        <v>26</v>
      </c>
      <c r="B166" s="181" t="s">
        <v>45</v>
      </c>
      <c r="C166" s="181" t="str">
        <f>Jordbund1</f>
        <v>JB1-10</v>
      </c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5.75" thickBot="1" x14ac:dyDescent="0.3">
      <c r="A167" s="188" t="s">
        <v>26</v>
      </c>
      <c r="B167" s="182" t="s">
        <v>45</v>
      </c>
      <c r="C167" s="182" t="str">
        <f>Jordbund1</f>
        <v>JB1-10</v>
      </c>
      <c r="D167" s="202" t="s">
        <v>356</v>
      </c>
      <c r="E167" s="202" t="str">
        <f>IFERROR(VLOOKUP(D167,Table2[],2,FALSE),"")</f>
        <v>Hektar</v>
      </c>
      <c r="F167" s="202" t="s">
        <v>344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5.75" thickTop="1" x14ac:dyDescent="0.25">
      <c r="A168" s="186" t="s">
        <v>26</v>
      </c>
      <c r="B168" s="180" t="s">
        <v>45</v>
      </c>
      <c r="C168" s="180" t="str">
        <f>Organ6</f>
        <v>OC6</v>
      </c>
      <c r="D168" s="241" t="s">
        <v>356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25">
      <c r="A169" s="187" t="s">
        <v>26</v>
      </c>
      <c r="B169" s="181" t="s">
        <v>45</v>
      </c>
      <c r="C169" s="181" t="str">
        <f>Organ6</f>
        <v>OC6</v>
      </c>
      <c r="D169" s="150" t="s">
        <v>356</v>
      </c>
      <c r="E169" s="150" t="str">
        <f>IFERROR(VLOOKUP(D169,Table2[],2,FALSE),"")</f>
        <v>Hektar</v>
      </c>
      <c r="F169" s="150" t="s">
        <v>303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5.75" thickBot="1" x14ac:dyDescent="0.3">
      <c r="A170" s="188" t="s">
        <v>26</v>
      </c>
      <c r="B170" s="182" t="s">
        <v>45</v>
      </c>
      <c r="C170" s="182" t="str">
        <f>Organ6</f>
        <v>OC6</v>
      </c>
      <c r="D170" s="202" t="s">
        <v>356</v>
      </c>
      <c r="E170" s="202" t="str">
        <f>IFERROR(VLOOKUP(D170,Table2[],2,FALSE),"")</f>
        <v>Hektar</v>
      </c>
      <c r="F170" s="202" t="s">
        <v>344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5.75" thickTop="1" x14ac:dyDescent="0.25">
      <c r="A171" s="186" t="s">
        <v>26</v>
      </c>
      <c r="B171" s="180" t="s">
        <v>45</v>
      </c>
      <c r="C171" s="180" t="str">
        <f>Organ12</f>
        <v>OC12</v>
      </c>
      <c r="D171" s="241" t="s">
        <v>356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25">
      <c r="A172" s="187" t="s">
        <v>26</v>
      </c>
      <c r="B172" s="181" t="s">
        <v>45</v>
      </c>
      <c r="C172" s="181" t="str">
        <f>Organ12</f>
        <v>OC12</v>
      </c>
      <c r="D172" s="150" t="s">
        <v>356</v>
      </c>
      <c r="E172" s="150" t="str">
        <f>IFERROR(VLOOKUP(D172,Table2[],2,FALSE),"")</f>
        <v>Hektar</v>
      </c>
      <c r="F172" s="150" t="s">
        <v>303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5.75" thickBot="1" x14ac:dyDescent="0.3">
      <c r="A173" s="188" t="s">
        <v>26</v>
      </c>
      <c r="B173" s="182" t="s">
        <v>45</v>
      </c>
      <c r="C173" s="182" t="str">
        <f>Organ12</f>
        <v>OC12</v>
      </c>
      <c r="D173" s="202" t="s">
        <v>356</v>
      </c>
      <c r="E173" s="202" t="str">
        <f>IFERROR(VLOOKUP(D173,Table2[],2,FALSE),"")</f>
        <v>Hektar</v>
      </c>
      <c r="F173" s="202" t="s">
        <v>344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5.75" thickTop="1" x14ac:dyDescent="0.25">
      <c r="A174" s="186" t="s">
        <v>26</v>
      </c>
      <c r="B174" s="180" t="s">
        <v>46</v>
      </c>
      <c r="C174" s="180" t="str">
        <f>Jordbund1</f>
        <v>JB1-10</v>
      </c>
      <c r="D174" s="241" t="s">
        <v>356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25">
      <c r="A175" s="187" t="s">
        <v>26</v>
      </c>
      <c r="B175" s="181" t="s">
        <v>46</v>
      </c>
      <c r="C175" s="181" t="str">
        <f>Jordbund1</f>
        <v>JB1-10</v>
      </c>
      <c r="D175" s="150" t="s">
        <v>356</v>
      </c>
      <c r="E175" s="150" t="str">
        <f>IFERROR(VLOOKUP(D175,Table2[],2,FALSE),"")</f>
        <v>Hektar</v>
      </c>
      <c r="F175" s="150" t="s">
        <v>303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5.75" thickBot="1" x14ac:dyDescent="0.3">
      <c r="A176" s="188" t="s">
        <v>26</v>
      </c>
      <c r="B176" s="182" t="s">
        <v>46</v>
      </c>
      <c r="C176" s="182" t="str">
        <f>Jordbund1</f>
        <v>JB1-10</v>
      </c>
      <c r="D176" s="202" t="s">
        <v>356</v>
      </c>
      <c r="E176" s="202" t="str">
        <f>IFERROR(VLOOKUP(D176,Table2[],2,FALSE),"")</f>
        <v>Hektar</v>
      </c>
      <c r="F176" s="202" t="s">
        <v>344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5.75" thickTop="1" x14ac:dyDescent="0.25">
      <c r="A177" s="186" t="s">
        <v>26</v>
      </c>
      <c r="B177" s="180" t="s">
        <v>46</v>
      </c>
      <c r="C177" s="180" t="str">
        <f>Organ6</f>
        <v>OC6</v>
      </c>
      <c r="D177" s="241" t="s">
        <v>356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25">
      <c r="A178" s="187" t="s">
        <v>26</v>
      </c>
      <c r="B178" s="181" t="s">
        <v>46</v>
      </c>
      <c r="C178" s="181" t="str">
        <f>Organ6</f>
        <v>OC6</v>
      </c>
      <c r="D178" s="150" t="s">
        <v>356</v>
      </c>
      <c r="E178" s="150" t="str">
        <f>IFERROR(VLOOKUP(D178,Table2[],2,FALSE),"")</f>
        <v>Hektar</v>
      </c>
      <c r="F178" s="150" t="s">
        <v>303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5.75" thickBot="1" x14ac:dyDescent="0.3">
      <c r="A179" s="188" t="s">
        <v>26</v>
      </c>
      <c r="B179" s="182" t="s">
        <v>46</v>
      </c>
      <c r="C179" s="182" t="str">
        <f>Organ6</f>
        <v>OC6</v>
      </c>
      <c r="D179" s="202" t="s">
        <v>356</v>
      </c>
      <c r="E179" s="202" t="str">
        <f>IFERROR(VLOOKUP(D179,Table2[],2,FALSE),"")</f>
        <v>Hektar</v>
      </c>
      <c r="F179" s="202" t="s">
        <v>344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5.75" thickTop="1" x14ac:dyDescent="0.25">
      <c r="A180" s="186" t="s">
        <v>26</v>
      </c>
      <c r="B180" s="180" t="s">
        <v>46</v>
      </c>
      <c r="C180" s="180" t="str">
        <f>Organ12</f>
        <v>OC12</v>
      </c>
      <c r="D180" s="241" t="s">
        <v>356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25">
      <c r="A181" s="187" t="s">
        <v>26</v>
      </c>
      <c r="B181" s="181" t="s">
        <v>46</v>
      </c>
      <c r="C181" s="181" t="str">
        <f>Organ12</f>
        <v>OC12</v>
      </c>
      <c r="D181" s="150" t="s">
        <v>356</v>
      </c>
      <c r="E181" s="150" t="str">
        <f>IFERROR(VLOOKUP(D181,Table2[],2,FALSE),"")</f>
        <v>Hektar</v>
      </c>
      <c r="F181" s="150" t="s">
        <v>303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5.75" thickBot="1" x14ac:dyDescent="0.3">
      <c r="A182" s="188" t="s">
        <v>26</v>
      </c>
      <c r="B182" s="182" t="s">
        <v>46</v>
      </c>
      <c r="C182" s="182" t="str">
        <f>Organ12</f>
        <v>OC12</v>
      </c>
      <c r="D182" s="202" t="s">
        <v>356</v>
      </c>
      <c r="E182" s="202" t="str">
        <f>IFERROR(VLOOKUP(D182,Table2[],2,FALSE),"")</f>
        <v>Hektar</v>
      </c>
      <c r="F182" s="202" t="s">
        <v>344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5.75" thickTop="1" x14ac:dyDescent="0.25">
      <c r="A183" s="187" t="s">
        <v>27</v>
      </c>
      <c r="B183" s="181" t="s">
        <v>45</v>
      </c>
      <c r="C183" s="181"/>
      <c r="D183" s="150" t="s">
        <v>356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25">
      <c r="A184" s="187" t="s">
        <v>27</v>
      </c>
      <c r="B184" s="181" t="s">
        <v>45</v>
      </c>
      <c r="C184" s="181"/>
      <c r="D184" s="150" t="s">
        <v>356</v>
      </c>
      <c r="E184" s="150" t="str">
        <f>IFERROR(VLOOKUP(D184,Table2[],2,FALSE),"")</f>
        <v>Hektar</v>
      </c>
      <c r="F184" s="150" t="s">
        <v>303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5.75" thickBot="1" x14ac:dyDescent="0.3">
      <c r="A185" s="187" t="s">
        <v>27</v>
      </c>
      <c r="B185" s="181" t="s">
        <v>45</v>
      </c>
      <c r="C185" s="181"/>
      <c r="D185" s="150" t="s">
        <v>356</v>
      </c>
      <c r="E185" s="150" t="str">
        <f>IFERROR(VLOOKUP(D185,Table2[],2,FALSE),"")</f>
        <v>Hektar</v>
      </c>
      <c r="F185" s="150" t="s">
        <v>344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5.75" thickTop="1" x14ac:dyDescent="0.25">
      <c r="A186" s="186" t="s">
        <v>27</v>
      </c>
      <c r="B186" s="180" t="s">
        <v>46</v>
      </c>
      <c r="C186" s="180"/>
      <c r="D186" s="241" t="s">
        <v>356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25">
      <c r="A187" s="187" t="s">
        <v>27</v>
      </c>
      <c r="B187" s="181" t="s">
        <v>46</v>
      </c>
      <c r="C187" s="181"/>
      <c r="D187" s="150" t="s">
        <v>356</v>
      </c>
      <c r="E187" s="150" t="str">
        <f>IFERROR(VLOOKUP(D187,Table2[],2,FALSE),"")</f>
        <v>Hektar</v>
      </c>
      <c r="F187" s="150" t="s">
        <v>303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5.75" thickBot="1" x14ac:dyDescent="0.3">
      <c r="A188" s="188" t="s">
        <v>27</v>
      </c>
      <c r="B188" s="182" t="s">
        <v>46</v>
      </c>
      <c r="C188" s="182"/>
      <c r="D188" s="148" t="s">
        <v>356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5.75" thickTop="1" x14ac:dyDescent="0.25">
      <c r="A189" s="186" t="s">
        <v>304</v>
      </c>
      <c r="B189" s="180" t="s">
        <v>45</v>
      </c>
      <c r="C189" s="180" t="str">
        <f>Jordbund1</f>
        <v>JB1-10</v>
      </c>
      <c r="D189" s="144" t="s">
        <v>357</v>
      </c>
      <c r="E189" s="144" t="str">
        <f>IFERROR(VLOOKUP(D189,Table2[],2,FALSE),"")</f>
        <v>Hektar</v>
      </c>
      <c r="F189" s="144" t="s">
        <v>188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25">
      <c r="A190" s="187" t="s">
        <v>304</v>
      </c>
      <c r="B190" s="181" t="s">
        <v>45</v>
      </c>
      <c r="C190" s="181" t="str">
        <f>Jordbund1</f>
        <v>JB1-10</v>
      </c>
      <c r="D190" s="146" t="s">
        <v>357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5.75" thickBot="1" x14ac:dyDescent="0.3">
      <c r="A191" s="188" t="s">
        <v>304</v>
      </c>
      <c r="B191" s="182" t="s">
        <v>45</v>
      </c>
      <c r="C191" s="182" t="str">
        <f>Jordbund1</f>
        <v>JB1-10</v>
      </c>
      <c r="D191" s="148" t="s">
        <v>357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5.75" thickTop="1" x14ac:dyDescent="0.25">
      <c r="A192" s="187" t="s">
        <v>304</v>
      </c>
      <c r="B192" s="181" t="s">
        <v>45</v>
      </c>
      <c r="C192" s="181" t="str">
        <f>Organ6</f>
        <v>OC6</v>
      </c>
      <c r="D192" s="146" t="s">
        <v>357</v>
      </c>
      <c r="E192" s="146" t="str">
        <f>IFERROR(VLOOKUP(D192,Table2[],2,FALSE),"")</f>
        <v>Hektar</v>
      </c>
      <c r="F192" s="146" t="s">
        <v>188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25">
      <c r="A193" s="187" t="s">
        <v>304</v>
      </c>
      <c r="B193" s="181" t="s">
        <v>45</v>
      </c>
      <c r="C193" s="181" t="str">
        <f>Organ6</f>
        <v>OC6</v>
      </c>
      <c r="D193" s="146" t="s">
        <v>357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5.75" thickBot="1" x14ac:dyDescent="0.3">
      <c r="A194" s="188" t="s">
        <v>304</v>
      </c>
      <c r="B194" s="182" t="s">
        <v>45</v>
      </c>
      <c r="C194" s="182" t="str">
        <f>Organ6</f>
        <v>OC6</v>
      </c>
      <c r="D194" s="148" t="s">
        <v>357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5.75" thickTop="1" x14ac:dyDescent="0.25">
      <c r="A195" s="186" t="s">
        <v>304</v>
      </c>
      <c r="B195" s="180" t="s">
        <v>45</v>
      </c>
      <c r="C195" s="180" t="str">
        <f>Organ12</f>
        <v>OC12</v>
      </c>
      <c r="D195" s="144" t="s">
        <v>357</v>
      </c>
      <c r="E195" s="144" t="str">
        <f>IFERROR(VLOOKUP(D195,Table2[],2,FALSE),"")</f>
        <v>Hektar</v>
      </c>
      <c r="F195" s="144" t="s">
        <v>188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25">
      <c r="A196" s="187" t="s">
        <v>304</v>
      </c>
      <c r="B196" s="181" t="s">
        <v>45</v>
      </c>
      <c r="C196" s="181" t="str">
        <f>Organ12</f>
        <v>OC12</v>
      </c>
      <c r="D196" s="146" t="s">
        <v>357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5.75" thickBot="1" x14ac:dyDescent="0.3">
      <c r="A197" s="188" t="s">
        <v>304</v>
      </c>
      <c r="B197" s="182" t="s">
        <v>45</v>
      </c>
      <c r="C197" s="182" t="str">
        <f>Organ12</f>
        <v>OC12</v>
      </c>
      <c r="D197" s="148" t="s">
        <v>357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5.75" thickTop="1" x14ac:dyDescent="0.25">
      <c r="A198" s="186" t="s">
        <v>304</v>
      </c>
      <c r="B198" s="180" t="s">
        <v>46</v>
      </c>
      <c r="C198" s="180" t="str">
        <f>Jordbund1</f>
        <v>JB1-10</v>
      </c>
      <c r="D198" s="144" t="s">
        <v>357</v>
      </c>
      <c r="E198" s="144" t="str">
        <f>IFERROR(VLOOKUP(D198,Table2[],2,FALSE),"")</f>
        <v>Hektar</v>
      </c>
      <c r="F198" s="144" t="s">
        <v>188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25">
      <c r="A199" s="187" t="s">
        <v>304</v>
      </c>
      <c r="B199" s="181" t="s">
        <v>46</v>
      </c>
      <c r="C199" s="181" t="str">
        <f>Jordbund1</f>
        <v>JB1-10</v>
      </c>
      <c r="D199" s="146" t="s">
        <v>357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5.75" thickBot="1" x14ac:dyDescent="0.3">
      <c r="A200" s="188" t="s">
        <v>304</v>
      </c>
      <c r="B200" s="182" t="s">
        <v>46</v>
      </c>
      <c r="C200" s="182" t="str">
        <f>Jordbund1</f>
        <v>JB1-10</v>
      </c>
      <c r="D200" s="148" t="s">
        <v>357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5.75" thickTop="1" x14ac:dyDescent="0.25">
      <c r="A201" s="186" t="s">
        <v>304</v>
      </c>
      <c r="B201" s="180" t="s">
        <v>46</v>
      </c>
      <c r="C201" s="180" t="str">
        <f>Organ6</f>
        <v>OC6</v>
      </c>
      <c r="D201" s="144" t="s">
        <v>357</v>
      </c>
      <c r="E201" s="144" t="str">
        <f>IFERROR(VLOOKUP(D201,Table2[],2,FALSE),"")</f>
        <v>Hektar</v>
      </c>
      <c r="F201" s="144" t="s">
        <v>188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25">
      <c r="A202" s="187" t="s">
        <v>304</v>
      </c>
      <c r="B202" s="181" t="s">
        <v>46</v>
      </c>
      <c r="C202" s="181" t="str">
        <f>Organ6</f>
        <v>OC6</v>
      </c>
      <c r="D202" s="146" t="s">
        <v>357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5.75" thickBot="1" x14ac:dyDescent="0.3">
      <c r="A203" s="188" t="s">
        <v>304</v>
      </c>
      <c r="B203" s="182" t="s">
        <v>46</v>
      </c>
      <c r="C203" s="182" t="str">
        <f>Organ6</f>
        <v>OC6</v>
      </c>
      <c r="D203" s="148" t="s">
        <v>357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5.75" thickTop="1" x14ac:dyDescent="0.25">
      <c r="A204" s="186" t="s">
        <v>304</v>
      </c>
      <c r="B204" s="180" t="s">
        <v>46</v>
      </c>
      <c r="C204" s="180" t="str">
        <f>Organ12</f>
        <v>OC12</v>
      </c>
      <c r="D204" s="144" t="s">
        <v>357</v>
      </c>
      <c r="E204" s="144" t="str">
        <f>IFERROR(VLOOKUP(D204,Table2[],2,FALSE),"")</f>
        <v>Hektar</v>
      </c>
      <c r="F204" s="144" t="s">
        <v>188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25">
      <c r="A205" s="187" t="s">
        <v>304</v>
      </c>
      <c r="B205" s="181" t="s">
        <v>46</v>
      </c>
      <c r="C205" s="181" t="str">
        <f>Organ12</f>
        <v>OC12</v>
      </c>
      <c r="D205" s="146" t="s">
        <v>357</v>
      </c>
      <c r="E205" s="146" t="str">
        <f>IFERROR(VLOOKUP(D205,Table2[],2,FALSE),"")</f>
        <v>Hektar</v>
      </c>
      <c r="F205" s="146" t="s">
        <v>303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5.75" thickBot="1" x14ac:dyDescent="0.3">
      <c r="A206" s="188" t="s">
        <v>304</v>
      </c>
      <c r="B206" s="182" t="s">
        <v>46</v>
      </c>
      <c r="C206" s="182" t="str">
        <f>Organ12</f>
        <v>OC12</v>
      </c>
      <c r="D206" s="148" t="s">
        <v>357</v>
      </c>
      <c r="E206" s="148" t="str">
        <f>IFERROR(VLOOKUP(D206,Table2[],2,FALSE),"")</f>
        <v>Hektar</v>
      </c>
      <c r="F206" s="202" t="s">
        <v>344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5.75" thickTop="1" x14ac:dyDescent="0.25">
      <c r="A207" s="186" t="s">
        <v>28</v>
      </c>
      <c r="B207" s="180" t="s">
        <v>45</v>
      </c>
      <c r="C207" s="180" t="str">
        <f>Jordbund1</f>
        <v>JB1-10</v>
      </c>
      <c r="D207" s="144" t="s">
        <v>355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25">
      <c r="A208" s="187" t="s">
        <v>28</v>
      </c>
      <c r="B208" s="181" t="s">
        <v>45</v>
      </c>
      <c r="C208" s="181" t="str">
        <f>Jordbund1</f>
        <v>JB1-10</v>
      </c>
      <c r="D208" s="146" t="s">
        <v>355</v>
      </c>
      <c r="E208" s="146" t="str">
        <f>IFERROR(VLOOKUP(D208,Table2[],2,FALSE),"")</f>
        <v>Hektar</v>
      </c>
      <c r="F208" s="146" t="s">
        <v>303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5.75" thickBot="1" x14ac:dyDescent="0.3">
      <c r="A209" s="188" t="s">
        <v>28</v>
      </c>
      <c r="B209" s="182" t="s">
        <v>45</v>
      </c>
      <c r="C209" s="182" t="str">
        <f>Jordbund1</f>
        <v>JB1-10</v>
      </c>
      <c r="D209" s="148" t="s">
        <v>355</v>
      </c>
      <c r="E209" s="148" t="str">
        <f>IFERROR(VLOOKUP(D209,Table2[],2,FALSE),"")</f>
        <v>Hektar</v>
      </c>
      <c r="F209" s="202" t="s">
        <v>344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5.75" thickTop="1" x14ac:dyDescent="0.25">
      <c r="A210" s="186" t="s">
        <v>28</v>
      </c>
      <c r="B210" s="180" t="s">
        <v>45</v>
      </c>
      <c r="C210" s="180" t="str">
        <f>Organ6</f>
        <v>OC6</v>
      </c>
      <c r="D210" s="144" t="s">
        <v>355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25">
      <c r="A211" s="187" t="s">
        <v>28</v>
      </c>
      <c r="B211" s="181" t="s">
        <v>45</v>
      </c>
      <c r="C211" s="181" t="str">
        <f>Organ6</f>
        <v>OC6</v>
      </c>
      <c r="D211" s="146" t="s">
        <v>355</v>
      </c>
      <c r="E211" s="146" t="str">
        <f>IFERROR(VLOOKUP(D211,Table2[],2,FALSE),"")</f>
        <v>Hektar</v>
      </c>
      <c r="F211" s="146" t="s">
        <v>303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5.75" thickBot="1" x14ac:dyDescent="0.3">
      <c r="A212" s="188" t="s">
        <v>28</v>
      </c>
      <c r="B212" s="182" t="s">
        <v>45</v>
      </c>
      <c r="C212" s="182" t="str">
        <f>Organ6</f>
        <v>OC6</v>
      </c>
      <c r="D212" s="148" t="s">
        <v>355</v>
      </c>
      <c r="E212" s="148" t="str">
        <f>IFERROR(VLOOKUP(D212,Table2[],2,FALSE),"")</f>
        <v>Hektar</v>
      </c>
      <c r="F212" s="202" t="s">
        <v>344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5.75" thickTop="1" x14ac:dyDescent="0.25">
      <c r="A213" s="186" t="s">
        <v>28</v>
      </c>
      <c r="B213" s="180" t="s">
        <v>45</v>
      </c>
      <c r="C213" s="180" t="str">
        <f>Organ12</f>
        <v>OC12</v>
      </c>
      <c r="D213" s="144" t="s">
        <v>355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25">
      <c r="A214" s="187" t="s">
        <v>28</v>
      </c>
      <c r="B214" s="181" t="s">
        <v>45</v>
      </c>
      <c r="C214" s="181" t="str">
        <f>Organ12</f>
        <v>OC12</v>
      </c>
      <c r="D214" s="146" t="s">
        <v>355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5.75" thickBot="1" x14ac:dyDescent="0.3">
      <c r="A215" s="188" t="s">
        <v>28</v>
      </c>
      <c r="B215" s="182" t="s">
        <v>45</v>
      </c>
      <c r="C215" s="182" t="str">
        <f>Organ12</f>
        <v>OC12</v>
      </c>
      <c r="D215" s="148" t="s">
        <v>355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6" t="s">
        <v>28</v>
      </c>
      <c r="B216" s="180" t="s">
        <v>46</v>
      </c>
      <c r="C216" s="180" t="str">
        <f>Jordbund1</f>
        <v>JB1-10</v>
      </c>
      <c r="D216" s="144" t="s">
        <v>355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25">
      <c r="A217" s="187" t="s">
        <v>28</v>
      </c>
      <c r="B217" s="181" t="s">
        <v>46</v>
      </c>
      <c r="C217" s="181" t="str">
        <f>Jordbund1</f>
        <v>JB1-10</v>
      </c>
      <c r="D217" s="146" t="s">
        <v>355</v>
      </c>
      <c r="E217" s="146" t="str">
        <f>IFERROR(VLOOKUP(D217,Table2[],2,FALSE),"")</f>
        <v>Hektar</v>
      </c>
      <c r="F217" s="146" t="s">
        <v>303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5.75" thickBot="1" x14ac:dyDescent="0.3">
      <c r="A218" s="188" t="s">
        <v>28</v>
      </c>
      <c r="B218" s="182" t="s">
        <v>46</v>
      </c>
      <c r="C218" s="182" t="str">
        <f>Jordbund1</f>
        <v>JB1-10</v>
      </c>
      <c r="D218" s="148" t="s">
        <v>355</v>
      </c>
      <c r="E218" s="148" t="str">
        <f>IFERROR(VLOOKUP(D218,Table2[],2,FALSE),"")</f>
        <v>Hektar</v>
      </c>
      <c r="F218" s="202" t="s">
        <v>344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5.75" thickTop="1" x14ac:dyDescent="0.25">
      <c r="A219" s="186" t="s">
        <v>28</v>
      </c>
      <c r="B219" s="180" t="s">
        <v>46</v>
      </c>
      <c r="C219" s="180" t="str">
        <f>Organ6</f>
        <v>OC6</v>
      </c>
      <c r="D219" s="144" t="s">
        <v>355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25">
      <c r="A220" s="187" t="s">
        <v>28</v>
      </c>
      <c r="B220" s="181" t="s">
        <v>46</v>
      </c>
      <c r="C220" s="181" t="str">
        <f>Organ6</f>
        <v>OC6</v>
      </c>
      <c r="D220" s="146" t="s">
        <v>355</v>
      </c>
      <c r="E220" s="146" t="str">
        <f>IFERROR(VLOOKUP(D220,Table2[],2,FALSE),"")</f>
        <v>Hektar</v>
      </c>
      <c r="F220" s="146" t="s">
        <v>303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5.75" thickBot="1" x14ac:dyDescent="0.3">
      <c r="A221" s="188" t="s">
        <v>28</v>
      </c>
      <c r="B221" s="182" t="s">
        <v>46</v>
      </c>
      <c r="C221" s="182" t="str">
        <f>Organ6</f>
        <v>OC6</v>
      </c>
      <c r="D221" s="148" t="s">
        <v>355</v>
      </c>
      <c r="E221" s="148" t="str">
        <f>IFERROR(VLOOKUP(D221,Table2[],2,FALSE),"")</f>
        <v>Hektar</v>
      </c>
      <c r="F221" s="202" t="s">
        <v>344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5.75" thickTop="1" x14ac:dyDescent="0.25">
      <c r="A222" s="186" t="s">
        <v>28</v>
      </c>
      <c r="B222" s="180" t="s">
        <v>46</v>
      </c>
      <c r="C222" s="180" t="str">
        <f>Organ12</f>
        <v>OC12</v>
      </c>
      <c r="D222" s="144" t="s">
        <v>355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25">
      <c r="A223" s="187" t="s">
        <v>28</v>
      </c>
      <c r="B223" s="181" t="s">
        <v>46</v>
      </c>
      <c r="C223" s="181" t="str">
        <f>Organ12</f>
        <v>OC12</v>
      </c>
      <c r="D223" s="146" t="s">
        <v>355</v>
      </c>
      <c r="E223" s="146" t="str">
        <f>IFERROR(VLOOKUP(D223,Table2[],2,FALSE),"")</f>
        <v>Hektar</v>
      </c>
      <c r="F223" s="146" t="s">
        <v>303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5.75" thickBot="1" x14ac:dyDescent="0.3">
      <c r="A224" s="188" t="s">
        <v>28</v>
      </c>
      <c r="B224" s="182" t="s">
        <v>46</v>
      </c>
      <c r="C224" s="182" t="str">
        <f>Organ12</f>
        <v>OC12</v>
      </c>
      <c r="D224" s="148" t="s">
        <v>355</v>
      </c>
      <c r="E224" s="148" t="str">
        <f>IFERROR(VLOOKUP(D224,Table2[],2,FALSE),"")</f>
        <v>Hektar</v>
      </c>
      <c r="F224" s="202" t="s">
        <v>344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5.75" thickTop="1" x14ac:dyDescent="0.25">
      <c r="A225" s="186" t="s">
        <v>29</v>
      </c>
      <c r="B225" s="180" t="s">
        <v>45</v>
      </c>
      <c r="C225" s="180" t="str">
        <f>Jordbund1</f>
        <v>JB1-10</v>
      </c>
      <c r="D225" s="144" t="s">
        <v>353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25">
      <c r="A226" s="187" t="s">
        <v>29</v>
      </c>
      <c r="B226" s="181" t="s">
        <v>45</v>
      </c>
      <c r="C226" s="181" t="str">
        <f>Jordbund1</f>
        <v>JB1-10</v>
      </c>
      <c r="D226" s="146" t="s">
        <v>353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25">
      <c r="A227" s="187" t="s">
        <v>29</v>
      </c>
      <c r="B227" s="181" t="s">
        <v>45</v>
      </c>
      <c r="C227" s="181" t="str">
        <f>Jordbund1</f>
        <v>JB1-10</v>
      </c>
      <c r="D227" s="146" t="s">
        <v>353</v>
      </c>
      <c r="E227" s="146" t="str">
        <f>IFERROR(VLOOKUP(D227,Table2[],2,FALSE),"")</f>
        <v>Hektar</v>
      </c>
      <c r="F227" s="146" t="s">
        <v>303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5.75" thickBot="1" x14ac:dyDescent="0.3">
      <c r="A228" s="188" t="s">
        <v>29</v>
      </c>
      <c r="B228" s="182" t="s">
        <v>45</v>
      </c>
      <c r="C228" s="182" t="str">
        <f>Jordbund1</f>
        <v>JB1-10</v>
      </c>
      <c r="D228" s="148" t="s">
        <v>353</v>
      </c>
      <c r="E228" s="148" t="str">
        <f>IFERROR(VLOOKUP(D228,Table2[],2,FALSE),"")</f>
        <v>Hektar</v>
      </c>
      <c r="F228" s="202" t="s">
        <v>344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5.75" thickTop="1" x14ac:dyDescent="0.25">
      <c r="A229" s="186" t="s">
        <v>29</v>
      </c>
      <c r="B229" s="180" t="s">
        <v>45</v>
      </c>
      <c r="C229" s="180" t="str">
        <f>Organ6</f>
        <v>OC6</v>
      </c>
      <c r="D229" s="144" t="s">
        <v>353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25">
      <c r="A230" s="187" t="s">
        <v>29</v>
      </c>
      <c r="B230" s="181" t="s">
        <v>45</v>
      </c>
      <c r="C230" s="181" t="str">
        <f>Organ6</f>
        <v>OC6</v>
      </c>
      <c r="D230" s="146" t="s">
        <v>353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25">
      <c r="A231" s="187" t="s">
        <v>29</v>
      </c>
      <c r="B231" s="181" t="s">
        <v>45</v>
      </c>
      <c r="C231" s="181" t="str">
        <f>Organ6</f>
        <v>OC6</v>
      </c>
      <c r="D231" s="146" t="s">
        <v>353</v>
      </c>
      <c r="E231" s="146" t="str">
        <f>IFERROR(VLOOKUP(D231,Table2[],2,FALSE),"")</f>
        <v>Hektar</v>
      </c>
      <c r="F231" s="146" t="s">
        <v>303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5.75" thickBot="1" x14ac:dyDescent="0.3">
      <c r="A232" s="188" t="s">
        <v>29</v>
      </c>
      <c r="B232" s="182" t="s">
        <v>45</v>
      </c>
      <c r="C232" s="182" t="str">
        <f>Organ6</f>
        <v>OC6</v>
      </c>
      <c r="D232" s="148" t="s">
        <v>353</v>
      </c>
      <c r="E232" s="148" t="str">
        <f>IFERROR(VLOOKUP(D232,Table2[],2,FALSE),"")</f>
        <v>Hektar</v>
      </c>
      <c r="F232" s="202" t="s">
        <v>344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5.75" thickTop="1" x14ac:dyDescent="0.25">
      <c r="A233" s="186" t="s">
        <v>29</v>
      </c>
      <c r="B233" s="180" t="s">
        <v>45</v>
      </c>
      <c r="C233" s="180" t="str">
        <f>Organ12</f>
        <v>OC12</v>
      </c>
      <c r="D233" s="144" t="s">
        <v>353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25">
      <c r="A234" s="187" t="s">
        <v>29</v>
      </c>
      <c r="B234" s="181" t="s">
        <v>45</v>
      </c>
      <c r="C234" s="181" t="str">
        <f>Organ12</f>
        <v>OC12</v>
      </c>
      <c r="D234" s="146" t="s">
        <v>353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25">
      <c r="A235" s="187" t="s">
        <v>29</v>
      </c>
      <c r="B235" s="181" t="s">
        <v>45</v>
      </c>
      <c r="C235" s="181" t="str">
        <f>Organ12</f>
        <v>OC12</v>
      </c>
      <c r="D235" s="146" t="s">
        <v>353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5.75" thickBot="1" x14ac:dyDescent="0.3">
      <c r="A236" s="188" t="s">
        <v>29</v>
      </c>
      <c r="B236" s="182" t="s">
        <v>45</v>
      </c>
      <c r="C236" s="182" t="str">
        <f>Organ12</f>
        <v>OC12</v>
      </c>
      <c r="D236" s="148" t="s">
        <v>353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6" t="s">
        <v>29</v>
      </c>
      <c r="B237" s="180" t="s">
        <v>46</v>
      </c>
      <c r="C237" s="180" t="str">
        <f>Jordbund1</f>
        <v>JB1-10</v>
      </c>
      <c r="D237" s="144" t="s">
        <v>353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25">
      <c r="A238" s="187" t="s">
        <v>29</v>
      </c>
      <c r="B238" s="181" t="s">
        <v>46</v>
      </c>
      <c r="C238" s="181" t="str">
        <f>Jordbund1</f>
        <v>JB1-10</v>
      </c>
      <c r="D238" s="146" t="s">
        <v>353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25">
      <c r="A239" s="187" t="s">
        <v>29</v>
      </c>
      <c r="B239" s="181" t="s">
        <v>46</v>
      </c>
      <c r="C239" s="181" t="str">
        <f>Jordbund1</f>
        <v>JB1-10</v>
      </c>
      <c r="D239" s="146" t="s">
        <v>353</v>
      </c>
      <c r="E239" s="146" t="str">
        <f>IFERROR(VLOOKUP(D239,Table2[],2,FALSE),"")</f>
        <v>Hektar</v>
      </c>
      <c r="F239" s="146" t="s">
        <v>303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5.75" thickBot="1" x14ac:dyDescent="0.3">
      <c r="A240" s="188" t="s">
        <v>29</v>
      </c>
      <c r="B240" s="182" t="s">
        <v>46</v>
      </c>
      <c r="C240" s="182" t="str">
        <f>Jordbund1</f>
        <v>JB1-10</v>
      </c>
      <c r="D240" s="148" t="s">
        <v>353</v>
      </c>
      <c r="E240" s="148" t="str">
        <f>IFERROR(VLOOKUP(D240,Table2[],2,FALSE),"")</f>
        <v>Hektar</v>
      </c>
      <c r="F240" s="202" t="s">
        <v>344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5.75" thickTop="1" x14ac:dyDescent="0.25">
      <c r="A241" s="186" t="s">
        <v>29</v>
      </c>
      <c r="B241" s="180" t="s">
        <v>46</v>
      </c>
      <c r="C241" s="180" t="str">
        <f>Organ6</f>
        <v>OC6</v>
      </c>
      <c r="D241" s="144" t="s">
        <v>353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25">
      <c r="A242" s="187" t="s">
        <v>29</v>
      </c>
      <c r="B242" s="181" t="s">
        <v>46</v>
      </c>
      <c r="C242" s="181" t="str">
        <f>Organ6</f>
        <v>OC6</v>
      </c>
      <c r="D242" s="146" t="s">
        <v>353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25">
      <c r="A243" s="187" t="s">
        <v>29</v>
      </c>
      <c r="B243" s="181" t="s">
        <v>46</v>
      </c>
      <c r="C243" s="181" t="str">
        <f>Organ6</f>
        <v>OC6</v>
      </c>
      <c r="D243" s="146" t="s">
        <v>353</v>
      </c>
      <c r="E243" s="146" t="str">
        <f>IFERROR(VLOOKUP(D243,Table2[],2,FALSE),"")</f>
        <v>Hektar</v>
      </c>
      <c r="F243" s="146" t="s">
        <v>303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5.75" thickBot="1" x14ac:dyDescent="0.3">
      <c r="A244" s="188" t="s">
        <v>29</v>
      </c>
      <c r="B244" s="182" t="s">
        <v>46</v>
      </c>
      <c r="C244" s="182" t="str">
        <f>Organ6</f>
        <v>OC6</v>
      </c>
      <c r="D244" s="148" t="s">
        <v>353</v>
      </c>
      <c r="E244" s="148" t="str">
        <f>IFERROR(VLOOKUP(D244,Table2[],2,FALSE),"")</f>
        <v>Hektar</v>
      </c>
      <c r="F244" s="202" t="s">
        <v>344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5.75" thickTop="1" x14ac:dyDescent="0.25">
      <c r="A245" s="186" t="s">
        <v>29</v>
      </c>
      <c r="B245" s="180" t="s">
        <v>46</v>
      </c>
      <c r="C245" s="180" t="str">
        <f>Organ12</f>
        <v>OC12</v>
      </c>
      <c r="D245" s="144" t="s">
        <v>353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25">
      <c r="A246" s="187" t="s">
        <v>29</v>
      </c>
      <c r="B246" s="181" t="s">
        <v>46</v>
      </c>
      <c r="C246" s="181" t="str">
        <f>Organ12</f>
        <v>OC12</v>
      </c>
      <c r="D246" s="146" t="s">
        <v>353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25">
      <c r="A247" s="187" t="s">
        <v>29</v>
      </c>
      <c r="B247" s="181" t="s">
        <v>46</v>
      </c>
      <c r="C247" s="181" t="str">
        <f>Organ12</f>
        <v>OC12</v>
      </c>
      <c r="D247" s="146" t="s">
        <v>353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5.75" thickBot="1" x14ac:dyDescent="0.3">
      <c r="A248" s="188" t="s">
        <v>29</v>
      </c>
      <c r="B248" s="182" t="s">
        <v>46</v>
      </c>
      <c r="C248" s="182" t="str">
        <f>Organ12</f>
        <v>OC12</v>
      </c>
      <c r="D248" s="148" t="s">
        <v>353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5.75" thickTop="1" x14ac:dyDescent="0.25">
      <c r="A249" s="187" t="s">
        <v>30</v>
      </c>
      <c r="B249" s="181" t="s">
        <v>45</v>
      </c>
      <c r="C249" s="181" t="str">
        <f>Jordbund1</f>
        <v>JB1-10</v>
      </c>
      <c r="D249" s="146" t="s">
        <v>363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25">
      <c r="A250" s="187" t="s">
        <v>30</v>
      </c>
      <c r="B250" s="181" t="s">
        <v>45</v>
      </c>
      <c r="C250" s="181" t="str">
        <f>Jordbund1</f>
        <v>JB1-10</v>
      </c>
      <c r="D250" s="146" t="s">
        <v>363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5.75" thickBot="1" x14ac:dyDescent="0.3">
      <c r="A251" s="188" t="s">
        <v>30</v>
      </c>
      <c r="B251" s="182" t="s">
        <v>45</v>
      </c>
      <c r="C251" s="182" t="str">
        <f>Jordbund1</f>
        <v>JB1-10</v>
      </c>
      <c r="D251" s="148" t="s">
        <v>363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5.75" thickTop="1" x14ac:dyDescent="0.25">
      <c r="A252" s="186" t="s">
        <v>30</v>
      </c>
      <c r="B252" s="180" t="s">
        <v>45</v>
      </c>
      <c r="C252" s="180" t="str">
        <f>Organ6</f>
        <v>OC6</v>
      </c>
      <c r="D252" s="144" t="s">
        <v>363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25">
      <c r="A253" s="187" t="s">
        <v>30</v>
      </c>
      <c r="B253" s="181" t="s">
        <v>45</v>
      </c>
      <c r="C253" s="181" t="str">
        <f>Organ6</f>
        <v>OC6</v>
      </c>
      <c r="D253" s="146" t="s">
        <v>363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5.75" thickBot="1" x14ac:dyDescent="0.3">
      <c r="A254" s="188" t="s">
        <v>30</v>
      </c>
      <c r="B254" s="182" t="s">
        <v>45</v>
      </c>
      <c r="C254" s="182" t="str">
        <f>Organ6</f>
        <v>OC6</v>
      </c>
      <c r="D254" s="148" t="s">
        <v>363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5.75" thickTop="1" x14ac:dyDescent="0.25">
      <c r="A255" s="186" t="s">
        <v>30</v>
      </c>
      <c r="B255" s="180" t="s">
        <v>45</v>
      </c>
      <c r="C255" s="180" t="str">
        <f>Organ12</f>
        <v>OC12</v>
      </c>
      <c r="D255" s="144" t="s">
        <v>363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25">
      <c r="A256" s="187" t="s">
        <v>30</v>
      </c>
      <c r="B256" s="181" t="s">
        <v>45</v>
      </c>
      <c r="C256" s="181" t="str">
        <f>Organ12</f>
        <v>OC12</v>
      </c>
      <c r="D256" s="146" t="s">
        <v>363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5.75" thickBot="1" x14ac:dyDescent="0.3">
      <c r="A257" s="188" t="s">
        <v>30</v>
      </c>
      <c r="B257" s="182" t="s">
        <v>45</v>
      </c>
      <c r="C257" s="182" t="str">
        <f>Organ12</f>
        <v>OC12</v>
      </c>
      <c r="D257" s="148" t="s">
        <v>363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5.75" thickTop="1" x14ac:dyDescent="0.25">
      <c r="A258" s="186" t="s">
        <v>30</v>
      </c>
      <c r="B258" s="180" t="s">
        <v>46</v>
      </c>
      <c r="C258" s="180" t="str">
        <f>Jordbund1</f>
        <v>JB1-10</v>
      </c>
      <c r="D258" s="144" t="s">
        <v>363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25">
      <c r="A259" s="187" t="s">
        <v>30</v>
      </c>
      <c r="B259" s="181" t="s">
        <v>46</v>
      </c>
      <c r="C259" s="181" t="str">
        <f>Jordbund1</f>
        <v>JB1-10</v>
      </c>
      <c r="D259" s="146" t="s">
        <v>363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5.75" thickBot="1" x14ac:dyDescent="0.3">
      <c r="A260" s="188" t="s">
        <v>30</v>
      </c>
      <c r="B260" s="182" t="s">
        <v>46</v>
      </c>
      <c r="C260" s="182" t="str">
        <f>Jordbund1</f>
        <v>JB1-10</v>
      </c>
      <c r="D260" s="148" t="s">
        <v>363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5.75" thickTop="1" x14ac:dyDescent="0.25">
      <c r="A261" s="186" t="s">
        <v>30</v>
      </c>
      <c r="B261" s="180" t="s">
        <v>46</v>
      </c>
      <c r="C261" s="180" t="str">
        <f>Organ6</f>
        <v>OC6</v>
      </c>
      <c r="D261" s="144" t="s">
        <v>363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25">
      <c r="A262" s="187" t="s">
        <v>30</v>
      </c>
      <c r="B262" s="181" t="s">
        <v>46</v>
      </c>
      <c r="C262" s="181" t="str">
        <f>Organ6</f>
        <v>OC6</v>
      </c>
      <c r="D262" s="146" t="s">
        <v>363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5.75" thickBot="1" x14ac:dyDescent="0.3">
      <c r="A263" s="188" t="s">
        <v>30</v>
      </c>
      <c r="B263" s="182" t="s">
        <v>46</v>
      </c>
      <c r="C263" s="182" t="str">
        <f>Organ6</f>
        <v>OC6</v>
      </c>
      <c r="D263" s="148" t="s">
        <v>363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5.75" thickTop="1" x14ac:dyDescent="0.25">
      <c r="A264" s="186" t="s">
        <v>30</v>
      </c>
      <c r="B264" s="180" t="s">
        <v>46</v>
      </c>
      <c r="C264" s="180" t="str">
        <f>Organ12</f>
        <v>OC12</v>
      </c>
      <c r="D264" s="144" t="s">
        <v>363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25">
      <c r="A265" s="187" t="s">
        <v>30</v>
      </c>
      <c r="B265" s="181" t="s">
        <v>46</v>
      </c>
      <c r="C265" s="181" t="str">
        <f>Organ12</f>
        <v>OC12</v>
      </c>
      <c r="D265" s="146" t="s">
        <v>363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5.75" thickBot="1" x14ac:dyDescent="0.3">
      <c r="A266" s="188" t="s">
        <v>30</v>
      </c>
      <c r="B266" s="182" t="s">
        <v>46</v>
      </c>
      <c r="C266" s="182" t="str">
        <f>Organ12</f>
        <v>OC12</v>
      </c>
      <c r="D266" s="148" t="s">
        <v>363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5.75" thickTop="1" x14ac:dyDescent="0.25">
      <c r="A267" s="186" t="s">
        <v>545</v>
      </c>
      <c r="B267" s="180" t="s">
        <v>45</v>
      </c>
      <c r="C267" s="180" t="str">
        <f>Jordbund1</f>
        <v>JB1-10</v>
      </c>
      <c r="D267" s="144" t="s">
        <v>547</v>
      </c>
      <c r="E267" s="144" t="str">
        <f>IFERROR(VLOOKUP(D267,Table2[],2,FALSE),"")</f>
        <v>Hektar</v>
      </c>
      <c r="F267" s="144" t="s">
        <v>153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25">
      <c r="A268" s="187" t="s">
        <v>545</v>
      </c>
      <c r="B268" s="181" t="s">
        <v>45</v>
      </c>
      <c r="C268" s="181" t="str">
        <f>Jordbund1</f>
        <v>JB1-10</v>
      </c>
      <c r="D268" s="146" t="s">
        <v>547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5.75" thickBot="1" x14ac:dyDescent="0.3">
      <c r="A269" s="188" t="s">
        <v>545</v>
      </c>
      <c r="B269" s="182" t="s">
        <v>45</v>
      </c>
      <c r="C269" s="182" t="str">
        <f>Jordbund1</f>
        <v>JB1-10</v>
      </c>
      <c r="D269" s="148" t="s">
        <v>547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5.75" thickTop="1" x14ac:dyDescent="0.25">
      <c r="A270" s="186" t="s">
        <v>545</v>
      </c>
      <c r="B270" s="180" t="s">
        <v>45</v>
      </c>
      <c r="C270" s="180" t="str">
        <f>Organ6</f>
        <v>OC6</v>
      </c>
      <c r="D270" s="144" t="s">
        <v>547</v>
      </c>
      <c r="E270" s="144" t="str">
        <f>IFERROR(VLOOKUP(D270,Table2[],2,FALSE),"")</f>
        <v>Hektar</v>
      </c>
      <c r="F270" s="144" t="s">
        <v>153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25">
      <c r="A271" s="187" t="s">
        <v>545</v>
      </c>
      <c r="B271" s="181" t="s">
        <v>45</v>
      </c>
      <c r="C271" s="181" t="str">
        <f>Organ6</f>
        <v>OC6</v>
      </c>
      <c r="D271" s="146" t="s">
        <v>547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5.75" thickBot="1" x14ac:dyDescent="0.3">
      <c r="A272" s="188" t="s">
        <v>545</v>
      </c>
      <c r="B272" s="182" t="s">
        <v>45</v>
      </c>
      <c r="C272" s="182" t="str">
        <f>Organ6</f>
        <v>OC6</v>
      </c>
      <c r="D272" s="148" t="s">
        <v>547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5.75" thickTop="1" x14ac:dyDescent="0.25">
      <c r="A273" s="186" t="s">
        <v>545</v>
      </c>
      <c r="B273" s="180" t="s">
        <v>45</v>
      </c>
      <c r="C273" s="180" t="str">
        <f>Organ12</f>
        <v>OC12</v>
      </c>
      <c r="D273" s="144" t="s">
        <v>547</v>
      </c>
      <c r="E273" s="144" t="str">
        <f>IFERROR(VLOOKUP(D273,Table2[],2,FALSE),"")</f>
        <v>Hektar</v>
      </c>
      <c r="F273" s="144" t="s">
        <v>153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25">
      <c r="A274" s="187" t="s">
        <v>545</v>
      </c>
      <c r="B274" s="181" t="s">
        <v>45</v>
      </c>
      <c r="C274" s="181" t="str">
        <f>Organ12</f>
        <v>OC12</v>
      </c>
      <c r="D274" s="146" t="s">
        <v>547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5.75" thickBot="1" x14ac:dyDescent="0.3">
      <c r="A275" s="188" t="s">
        <v>545</v>
      </c>
      <c r="B275" s="182" t="s">
        <v>45</v>
      </c>
      <c r="C275" s="182" t="str">
        <f>Organ12</f>
        <v>OC12</v>
      </c>
      <c r="D275" s="148" t="s">
        <v>547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5.75" thickTop="1" x14ac:dyDescent="0.25">
      <c r="A276" s="186" t="s">
        <v>545</v>
      </c>
      <c r="B276" s="180" t="s">
        <v>46</v>
      </c>
      <c r="C276" s="180" t="str">
        <f>Jordbund1</f>
        <v>JB1-10</v>
      </c>
      <c r="D276" s="144" t="s">
        <v>547</v>
      </c>
      <c r="E276" s="144" t="str">
        <f>IFERROR(VLOOKUP(D276,Table2[],2,FALSE),"")</f>
        <v>Hektar</v>
      </c>
      <c r="F276" s="144" t="s">
        <v>153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25">
      <c r="A277" s="187" t="s">
        <v>545</v>
      </c>
      <c r="B277" s="181" t="s">
        <v>46</v>
      </c>
      <c r="C277" s="181" t="str">
        <f>Jordbund1</f>
        <v>JB1-10</v>
      </c>
      <c r="D277" s="146" t="s">
        <v>547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5.75" thickBot="1" x14ac:dyDescent="0.3">
      <c r="A278" s="188" t="s">
        <v>545</v>
      </c>
      <c r="B278" s="182" t="s">
        <v>46</v>
      </c>
      <c r="C278" s="182" t="str">
        <f>Jordbund1</f>
        <v>JB1-10</v>
      </c>
      <c r="D278" s="148" t="s">
        <v>547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5.75" thickTop="1" x14ac:dyDescent="0.25">
      <c r="A279" s="186" t="s">
        <v>545</v>
      </c>
      <c r="B279" s="180" t="s">
        <v>46</v>
      </c>
      <c r="C279" s="180" t="str">
        <f>Organ6</f>
        <v>OC6</v>
      </c>
      <c r="D279" s="144" t="s">
        <v>547</v>
      </c>
      <c r="E279" s="144" t="str">
        <f>IFERROR(VLOOKUP(D279,Table2[],2,FALSE),"")</f>
        <v>Hektar</v>
      </c>
      <c r="F279" s="144" t="s">
        <v>153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25">
      <c r="A280" s="187" t="s">
        <v>545</v>
      </c>
      <c r="B280" s="181" t="s">
        <v>46</v>
      </c>
      <c r="C280" s="181" t="str">
        <f>Organ6</f>
        <v>OC6</v>
      </c>
      <c r="D280" s="146" t="s">
        <v>547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5.75" thickBot="1" x14ac:dyDescent="0.3">
      <c r="A281" s="188" t="s">
        <v>545</v>
      </c>
      <c r="B281" s="182" t="s">
        <v>46</v>
      </c>
      <c r="C281" s="182" t="str">
        <f>Organ6</f>
        <v>OC6</v>
      </c>
      <c r="D281" s="148" t="s">
        <v>547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5.75" thickTop="1" x14ac:dyDescent="0.25">
      <c r="A282" s="186" t="s">
        <v>545</v>
      </c>
      <c r="B282" s="180" t="s">
        <v>46</v>
      </c>
      <c r="C282" s="180" t="str">
        <f>Organ12</f>
        <v>OC12</v>
      </c>
      <c r="D282" s="144" t="s">
        <v>547</v>
      </c>
      <c r="E282" s="144" t="str">
        <f>IFERROR(VLOOKUP(D282,Table2[],2,FALSE),"")</f>
        <v>Hektar</v>
      </c>
      <c r="F282" s="144" t="s">
        <v>153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25">
      <c r="A283" s="187" t="s">
        <v>545</v>
      </c>
      <c r="B283" s="181" t="s">
        <v>46</v>
      </c>
      <c r="C283" s="181" t="str">
        <f>Organ12</f>
        <v>OC12</v>
      </c>
      <c r="D283" s="146" t="s">
        <v>547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5.75" thickBot="1" x14ac:dyDescent="0.3">
      <c r="A284" s="188" t="s">
        <v>545</v>
      </c>
      <c r="B284" s="182" t="s">
        <v>46</v>
      </c>
      <c r="C284" s="182" t="str">
        <f>Organ12</f>
        <v>OC12</v>
      </c>
      <c r="D284" s="148" t="s">
        <v>547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5.75" thickTop="1" x14ac:dyDescent="0.25">
      <c r="A285" s="186" t="s">
        <v>546</v>
      </c>
      <c r="B285" s="180" t="s">
        <v>45</v>
      </c>
      <c r="C285" s="180" t="str">
        <f>Jordbund1</f>
        <v>JB1-10</v>
      </c>
      <c r="D285" s="144" t="s">
        <v>548</v>
      </c>
      <c r="E285" s="144" t="str">
        <f>IFERROR(VLOOKUP(D285,Table2[],2,FALSE),"")</f>
        <v>Hektar</v>
      </c>
      <c r="F285" s="144" t="s">
        <v>146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25">
      <c r="A286" s="187" t="s">
        <v>546</v>
      </c>
      <c r="B286" s="181" t="s">
        <v>45</v>
      </c>
      <c r="C286" s="181" t="str">
        <f>Jordbund1</f>
        <v>JB1-10</v>
      </c>
      <c r="D286" s="146" t="s">
        <v>548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5.75" thickBot="1" x14ac:dyDescent="0.3">
      <c r="A287" s="188" t="s">
        <v>546</v>
      </c>
      <c r="B287" s="182" t="s">
        <v>45</v>
      </c>
      <c r="C287" s="182" t="str">
        <f>Jordbund1</f>
        <v>JB1-10</v>
      </c>
      <c r="D287" s="148" t="s">
        <v>548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5.75" thickTop="1" x14ac:dyDescent="0.25">
      <c r="A288" s="186" t="s">
        <v>546</v>
      </c>
      <c r="B288" s="180" t="s">
        <v>45</v>
      </c>
      <c r="C288" s="180" t="str">
        <f>Organ6</f>
        <v>OC6</v>
      </c>
      <c r="D288" s="144" t="s">
        <v>548</v>
      </c>
      <c r="E288" s="144" t="str">
        <f>IFERROR(VLOOKUP(D288,Table2[],2,FALSE),"")</f>
        <v>Hektar</v>
      </c>
      <c r="F288" s="144" t="s">
        <v>146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25">
      <c r="A289" s="187" t="s">
        <v>546</v>
      </c>
      <c r="B289" s="181" t="s">
        <v>45</v>
      </c>
      <c r="C289" s="181" t="str">
        <f>Organ6</f>
        <v>OC6</v>
      </c>
      <c r="D289" s="146" t="s">
        <v>548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5.75" thickBot="1" x14ac:dyDescent="0.3">
      <c r="A290" s="188" t="s">
        <v>546</v>
      </c>
      <c r="B290" s="182" t="s">
        <v>45</v>
      </c>
      <c r="C290" s="182" t="str">
        <f>Organ6</f>
        <v>OC6</v>
      </c>
      <c r="D290" s="148" t="s">
        <v>548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5.75" thickTop="1" x14ac:dyDescent="0.25">
      <c r="A291" s="186" t="s">
        <v>546</v>
      </c>
      <c r="B291" s="180" t="s">
        <v>45</v>
      </c>
      <c r="C291" s="180" t="str">
        <f>Organ12</f>
        <v>OC12</v>
      </c>
      <c r="D291" s="144" t="s">
        <v>548</v>
      </c>
      <c r="E291" s="144" t="str">
        <f>IFERROR(VLOOKUP(D291,Table2[],2,FALSE),"")</f>
        <v>Hektar</v>
      </c>
      <c r="F291" s="144" t="s">
        <v>146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25">
      <c r="A292" s="187" t="s">
        <v>546</v>
      </c>
      <c r="B292" s="181" t="s">
        <v>45</v>
      </c>
      <c r="C292" s="181" t="str">
        <f>Organ12</f>
        <v>OC12</v>
      </c>
      <c r="D292" s="146" t="s">
        <v>548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5.75" thickBot="1" x14ac:dyDescent="0.3">
      <c r="A293" s="188" t="s">
        <v>546</v>
      </c>
      <c r="B293" s="182" t="s">
        <v>45</v>
      </c>
      <c r="C293" s="182" t="str">
        <f>Organ12</f>
        <v>OC12</v>
      </c>
      <c r="D293" s="148" t="s">
        <v>548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5.75" thickTop="1" x14ac:dyDescent="0.25">
      <c r="A294" s="186" t="s">
        <v>546</v>
      </c>
      <c r="B294" s="180" t="s">
        <v>46</v>
      </c>
      <c r="C294" s="180" t="str">
        <f>Jordbund1</f>
        <v>JB1-10</v>
      </c>
      <c r="D294" s="144" t="s">
        <v>548</v>
      </c>
      <c r="E294" s="144" t="str">
        <f>IFERROR(VLOOKUP(D294,Table2[],2,FALSE),"")</f>
        <v>Hektar</v>
      </c>
      <c r="F294" s="144" t="s">
        <v>146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25">
      <c r="A295" s="187" t="s">
        <v>546</v>
      </c>
      <c r="B295" s="181" t="s">
        <v>46</v>
      </c>
      <c r="C295" s="181" t="str">
        <f>Jordbund1</f>
        <v>JB1-10</v>
      </c>
      <c r="D295" s="146" t="s">
        <v>548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5.75" thickBot="1" x14ac:dyDescent="0.3">
      <c r="A296" s="188" t="s">
        <v>546</v>
      </c>
      <c r="B296" s="182" t="s">
        <v>46</v>
      </c>
      <c r="C296" s="182" t="str">
        <f>Jordbund1</f>
        <v>JB1-10</v>
      </c>
      <c r="D296" s="148" t="s">
        <v>548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5.75" thickTop="1" x14ac:dyDescent="0.25">
      <c r="A297" s="186" t="s">
        <v>546</v>
      </c>
      <c r="B297" s="180" t="s">
        <v>46</v>
      </c>
      <c r="C297" s="180" t="str">
        <f>Organ6</f>
        <v>OC6</v>
      </c>
      <c r="D297" s="144" t="s">
        <v>548</v>
      </c>
      <c r="E297" s="144" t="str">
        <f>IFERROR(VLOOKUP(D297,Table2[],2,FALSE),"")</f>
        <v>Hektar</v>
      </c>
      <c r="F297" s="144" t="s">
        <v>146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25">
      <c r="A298" s="187" t="s">
        <v>546</v>
      </c>
      <c r="B298" s="181" t="s">
        <v>46</v>
      </c>
      <c r="C298" s="181" t="str">
        <f>Organ6</f>
        <v>OC6</v>
      </c>
      <c r="D298" s="146" t="s">
        <v>548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5.75" thickBot="1" x14ac:dyDescent="0.3">
      <c r="A299" s="188" t="s">
        <v>546</v>
      </c>
      <c r="B299" s="182" t="s">
        <v>46</v>
      </c>
      <c r="C299" s="182" t="str">
        <f>Organ6</f>
        <v>OC6</v>
      </c>
      <c r="D299" s="148" t="s">
        <v>548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5.75" thickTop="1" x14ac:dyDescent="0.25">
      <c r="A300" s="186" t="s">
        <v>546</v>
      </c>
      <c r="B300" s="180" t="s">
        <v>46</v>
      </c>
      <c r="C300" s="180" t="str">
        <f>Organ12</f>
        <v>OC12</v>
      </c>
      <c r="D300" s="144" t="s">
        <v>548</v>
      </c>
      <c r="E300" s="144" t="str">
        <f>IFERROR(VLOOKUP(D300,Table2[],2,FALSE),"")</f>
        <v>Hektar</v>
      </c>
      <c r="F300" s="144" t="s">
        <v>146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25">
      <c r="A301" s="187" t="s">
        <v>546</v>
      </c>
      <c r="B301" s="181" t="s">
        <v>46</v>
      </c>
      <c r="C301" s="181" t="str">
        <f>Organ12</f>
        <v>OC12</v>
      </c>
      <c r="D301" s="146" t="s">
        <v>548</v>
      </c>
      <c r="E301" s="146" t="str">
        <f>IFERROR(VLOOKUP(D301,Table2[],2,FALSE),"")</f>
        <v>Hektar</v>
      </c>
      <c r="F301" s="146" t="s">
        <v>303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5.75" thickBot="1" x14ac:dyDescent="0.3">
      <c r="A302" s="188" t="s">
        <v>546</v>
      </c>
      <c r="B302" s="182" t="s">
        <v>46</v>
      </c>
      <c r="C302" s="182" t="str">
        <f>Organ12</f>
        <v>OC12</v>
      </c>
      <c r="D302" s="148" t="s">
        <v>548</v>
      </c>
      <c r="E302" s="148" t="str">
        <f>IFERROR(VLOOKUP(D302,Table2[],2,FALSE),"")</f>
        <v>Hektar</v>
      </c>
      <c r="F302" s="202" t="s">
        <v>344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5.75" thickTop="1" x14ac:dyDescent="0.25">
      <c r="A303" s="186" t="s">
        <v>31</v>
      </c>
      <c r="B303" s="180" t="s">
        <v>45</v>
      </c>
      <c r="C303" s="180" t="str">
        <f>Jordbund1</f>
        <v>JB1-10</v>
      </c>
      <c r="D303" s="144" t="s">
        <v>359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25">
      <c r="A304" s="187" t="s">
        <v>31</v>
      </c>
      <c r="B304" s="181" t="s">
        <v>45</v>
      </c>
      <c r="C304" s="181" t="str">
        <f>Jordbund1</f>
        <v>JB1-10</v>
      </c>
      <c r="D304" s="146" t="s">
        <v>359</v>
      </c>
      <c r="E304" s="146" t="str">
        <f>IFERROR(VLOOKUP(D304,Table2[],2,FALSE),"")</f>
        <v>Hektar</v>
      </c>
      <c r="F304" s="146" t="s">
        <v>303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5.75" thickBot="1" x14ac:dyDescent="0.3">
      <c r="A305" s="188" t="s">
        <v>31</v>
      </c>
      <c r="B305" s="182" t="s">
        <v>45</v>
      </c>
      <c r="C305" s="182" t="str">
        <f>Jordbund1</f>
        <v>JB1-10</v>
      </c>
      <c r="D305" s="148" t="s">
        <v>359</v>
      </c>
      <c r="E305" s="148" t="str">
        <f>IFERROR(VLOOKUP(D305,Table2[],2,FALSE),"")</f>
        <v>Hektar</v>
      </c>
      <c r="F305" s="202" t="s">
        <v>344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5.75" thickTop="1" x14ac:dyDescent="0.25">
      <c r="A306" s="186" t="s">
        <v>31</v>
      </c>
      <c r="B306" s="180" t="s">
        <v>45</v>
      </c>
      <c r="C306" s="180" t="str">
        <f>Organ6</f>
        <v>OC6</v>
      </c>
      <c r="D306" s="144" t="s">
        <v>359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25">
      <c r="A307" s="187" t="s">
        <v>31</v>
      </c>
      <c r="B307" s="181" t="s">
        <v>45</v>
      </c>
      <c r="C307" s="181" t="str">
        <f>Organ6</f>
        <v>OC6</v>
      </c>
      <c r="D307" s="146" t="s">
        <v>359</v>
      </c>
      <c r="E307" s="146" t="str">
        <f>IFERROR(VLOOKUP(D307,Table2[],2,FALSE),"")</f>
        <v>Hektar</v>
      </c>
      <c r="F307" s="146" t="s">
        <v>303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5.75" thickBot="1" x14ac:dyDescent="0.3">
      <c r="A308" s="188" t="s">
        <v>31</v>
      </c>
      <c r="B308" s="182" t="s">
        <v>45</v>
      </c>
      <c r="C308" s="182" t="str">
        <f>Organ6</f>
        <v>OC6</v>
      </c>
      <c r="D308" s="148" t="s">
        <v>359</v>
      </c>
      <c r="E308" s="148" t="str">
        <f>IFERROR(VLOOKUP(D308,Table2[],2,FALSE),"")</f>
        <v>Hektar</v>
      </c>
      <c r="F308" s="202" t="s">
        <v>344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5.75" thickTop="1" x14ac:dyDescent="0.25">
      <c r="A309" s="186" t="s">
        <v>31</v>
      </c>
      <c r="B309" s="180" t="s">
        <v>45</v>
      </c>
      <c r="C309" s="180" t="str">
        <f>Organ12</f>
        <v>OC12</v>
      </c>
      <c r="D309" s="144" t="s">
        <v>359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25">
      <c r="A310" s="187" t="s">
        <v>31</v>
      </c>
      <c r="B310" s="181" t="s">
        <v>45</v>
      </c>
      <c r="C310" s="181" t="str">
        <f>Organ12</f>
        <v>OC12</v>
      </c>
      <c r="D310" s="146" t="s">
        <v>359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5.75" thickBot="1" x14ac:dyDescent="0.3">
      <c r="A311" s="188" t="s">
        <v>31</v>
      </c>
      <c r="B311" s="182" t="s">
        <v>45</v>
      </c>
      <c r="C311" s="182" t="str">
        <f>Organ12</f>
        <v>OC12</v>
      </c>
      <c r="D311" s="148" t="s">
        <v>359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6" t="s">
        <v>31</v>
      </c>
      <c r="B312" s="180" t="s">
        <v>46</v>
      </c>
      <c r="C312" s="180" t="str">
        <f>Jordbund1</f>
        <v>JB1-10</v>
      </c>
      <c r="D312" s="144" t="s">
        <v>359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25">
      <c r="A313" s="187" t="s">
        <v>31</v>
      </c>
      <c r="B313" s="181" t="s">
        <v>46</v>
      </c>
      <c r="C313" s="181" t="str">
        <f>Jordbund1</f>
        <v>JB1-10</v>
      </c>
      <c r="D313" s="146" t="s">
        <v>359</v>
      </c>
      <c r="E313" s="146" t="str">
        <f>IFERROR(VLOOKUP(D313,Table2[],2,FALSE),"")</f>
        <v>Hektar</v>
      </c>
      <c r="F313" s="146" t="s">
        <v>303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5.75" thickBot="1" x14ac:dyDescent="0.3">
      <c r="A314" s="188" t="s">
        <v>31</v>
      </c>
      <c r="B314" s="182" t="s">
        <v>46</v>
      </c>
      <c r="C314" s="182" t="str">
        <f>Jordbund1</f>
        <v>JB1-10</v>
      </c>
      <c r="D314" s="148" t="s">
        <v>359</v>
      </c>
      <c r="E314" s="148" t="str">
        <f>IFERROR(VLOOKUP(D314,Table2[],2,FALSE),"")</f>
        <v>Hektar</v>
      </c>
      <c r="F314" s="202" t="s">
        <v>344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5.75" thickTop="1" x14ac:dyDescent="0.25">
      <c r="A315" s="186" t="s">
        <v>31</v>
      </c>
      <c r="B315" s="180" t="s">
        <v>46</v>
      </c>
      <c r="C315" s="180" t="str">
        <f>Organ6</f>
        <v>OC6</v>
      </c>
      <c r="D315" s="144" t="s">
        <v>359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25">
      <c r="A316" s="187" t="s">
        <v>31</v>
      </c>
      <c r="B316" s="181" t="s">
        <v>46</v>
      </c>
      <c r="C316" s="181" t="str">
        <f>Organ6</f>
        <v>OC6</v>
      </c>
      <c r="D316" s="146" t="s">
        <v>359</v>
      </c>
      <c r="E316" s="146" t="str">
        <f>IFERROR(VLOOKUP(D316,Table2[],2,FALSE),"")</f>
        <v>Hektar</v>
      </c>
      <c r="F316" s="146" t="s">
        <v>303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5.75" thickBot="1" x14ac:dyDescent="0.3">
      <c r="A317" s="188" t="s">
        <v>31</v>
      </c>
      <c r="B317" s="182" t="s">
        <v>46</v>
      </c>
      <c r="C317" s="182" t="str">
        <f>Organ6</f>
        <v>OC6</v>
      </c>
      <c r="D317" s="148" t="s">
        <v>359</v>
      </c>
      <c r="E317" s="148" t="str">
        <f>IFERROR(VLOOKUP(D317,Table2[],2,FALSE),"")</f>
        <v>Hektar</v>
      </c>
      <c r="F317" s="202" t="s">
        <v>344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5.75" thickTop="1" x14ac:dyDescent="0.25">
      <c r="A318" s="186" t="s">
        <v>31</v>
      </c>
      <c r="B318" s="180" t="s">
        <v>46</v>
      </c>
      <c r="C318" s="180" t="str">
        <f>Organ12</f>
        <v>OC12</v>
      </c>
      <c r="D318" s="144" t="s">
        <v>359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25">
      <c r="A319" s="187" t="s">
        <v>31</v>
      </c>
      <c r="B319" s="181" t="s">
        <v>46</v>
      </c>
      <c r="C319" s="181" t="str">
        <f>Organ12</f>
        <v>OC12</v>
      </c>
      <c r="D319" s="146" t="s">
        <v>359</v>
      </c>
      <c r="E319" s="146" t="str">
        <f>IFERROR(VLOOKUP(D319,Table2[],2,FALSE),"")</f>
        <v>Hektar</v>
      </c>
      <c r="F319" s="146" t="s">
        <v>303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5.75" thickBot="1" x14ac:dyDescent="0.3">
      <c r="A320" s="188" t="s">
        <v>31</v>
      </c>
      <c r="B320" s="182" t="s">
        <v>46</v>
      </c>
      <c r="C320" s="182" t="str">
        <f>Organ12</f>
        <v>OC12</v>
      </c>
      <c r="D320" s="148" t="s">
        <v>359</v>
      </c>
      <c r="E320" s="148" t="str">
        <f>IFERROR(VLOOKUP(D320,Table2[],2,FALSE),"")</f>
        <v>Hektar</v>
      </c>
      <c r="F320" s="202" t="s">
        <v>344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5.75" thickTop="1" x14ac:dyDescent="0.25">
      <c r="A321" s="186" t="s">
        <v>305</v>
      </c>
      <c r="B321" s="180" t="s">
        <v>45</v>
      </c>
      <c r="C321" s="180" t="str">
        <f>Jordbund1</f>
        <v>JB1-10</v>
      </c>
      <c r="D321" s="144" t="s">
        <v>362</v>
      </c>
      <c r="E321" s="144" t="str">
        <f>IFERROR(VLOOKUP(D321,Table2[],2,FALSE),"")</f>
        <v>Hektar</v>
      </c>
      <c r="F321" s="144" t="s">
        <v>177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25">
      <c r="A322" s="187" t="s">
        <v>305</v>
      </c>
      <c r="B322" s="181" t="s">
        <v>45</v>
      </c>
      <c r="C322" s="181" t="str">
        <f>Jordbund1</f>
        <v>JB1-10</v>
      </c>
      <c r="D322" s="146" t="s">
        <v>362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25">
      <c r="A323" s="187" t="s">
        <v>305</v>
      </c>
      <c r="B323" s="181" t="s">
        <v>45</v>
      </c>
      <c r="C323" s="181" t="str">
        <f>Jordbund1</f>
        <v>JB1-10</v>
      </c>
      <c r="D323" s="146" t="s">
        <v>362</v>
      </c>
      <c r="E323" s="146" t="str">
        <f>IFERROR(VLOOKUP(D323,Table2[],2,FALSE),"")</f>
        <v>Hektar</v>
      </c>
      <c r="F323" s="146" t="s">
        <v>303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5.75" thickBot="1" x14ac:dyDescent="0.3">
      <c r="A324" s="188" t="s">
        <v>305</v>
      </c>
      <c r="B324" s="182" t="s">
        <v>45</v>
      </c>
      <c r="C324" s="182" t="str">
        <f>Jordbund1</f>
        <v>JB1-10</v>
      </c>
      <c r="D324" s="148" t="s">
        <v>362</v>
      </c>
      <c r="E324" s="148" t="str">
        <f>IFERROR(VLOOKUP(D324,Table2[],2,FALSE),"")</f>
        <v>Hektar</v>
      </c>
      <c r="F324" s="202" t="s">
        <v>344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5.75" thickTop="1" x14ac:dyDescent="0.25">
      <c r="A325" s="186" t="s">
        <v>305</v>
      </c>
      <c r="B325" s="180" t="s">
        <v>45</v>
      </c>
      <c r="C325" s="180" t="str">
        <f>Organ6</f>
        <v>OC6</v>
      </c>
      <c r="D325" s="144" t="s">
        <v>362</v>
      </c>
      <c r="E325" s="144" t="str">
        <f>IFERROR(VLOOKUP(D325,Table2[],2,FALSE),"")</f>
        <v>Hektar</v>
      </c>
      <c r="F325" s="144" t="s">
        <v>177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25">
      <c r="A326" s="187" t="s">
        <v>305</v>
      </c>
      <c r="B326" s="181" t="s">
        <v>45</v>
      </c>
      <c r="C326" s="181" t="str">
        <f>Organ6</f>
        <v>OC6</v>
      </c>
      <c r="D326" s="146" t="s">
        <v>362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25">
      <c r="A327" s="187" t="s">
        <v>305</v>
      </c>
      <c r="B327" s="181" t="s">
        <v>45</v>
      </c>
      <c r="C327" s="181" t="str">
        <f>Organ6</f>
        <v>OC6</v>
      </c>
      <c r="D327" s="146" t="s">
        <v>362</v>
      </c>
      <c r="E327" s="146" t="str">
        <f>IFERROR(VLOOKUP(D327,Table2[],2,FALSE),"")</f>
        <v>Hektar</v>
      </c>
      <c r="F327" s="146" t="s">
        <v>303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5.75" thickBot="1" x14ac:dyDescent="0.3">
      <c r="A328" s="188" t="s">
        <v>305</v>
      </c>
      <c r="B328" s="182" t="s">
        <v>45</v>
      </c>
      <c r="C328" s="182" t="str">
        <f>Organ6</f>
        <v>OC6</v>
      </c>
      <c r="D328" s="148" t="s">
        <v>362</v>
      </c>
      <c r="E328" s="148" t="str">
        <f>IFERROR(VLOOKUP(D328,Table2[],2,FALSE),"")</f>
        <v>Hektar</v>
      </c>
      <c r="F328" s="202" t="s">
        <v>344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5.75" thickTop="1" x14ac:dyDescent="0.25">
      <c r="A329" s="186" t="s">
        <v>305</v>
      </c>
      <c r="B329" s="180" t="s">
        <v>45</v>
      </c>
      <c r="C329" s="180" t="str">
        <f>Organ12</f>
        <v>OC12</v>
      </c>
      <c r="D329" s="144" t="s">
        <v>362</v>
      </c>
      <c r="E329" s="144" t="str">
        <f>IFERROR(VLOOKUP(D329,Table2[],2,FALSE),"")</f>
        <v>Hektar</v>
      </c>
      <c r="F329" s="144" t="s">
        <v>177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25">
      <c r="A330" s="187" t="s">
        <v>305</v>
      </c>
      <c r="B330" s="181" t="s">
        <v>45</v>
      </c>
      <c r="C330" s="181" t="str">
        <f>Organ12</f>
        <v>OC12</v>
      </c>
      <c r="D330" s="146" t="s">
        <v>362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25">
      <c r="A331" s="187" t="s">
        <v>305</v>
      </c>
      <c r="B331" s="181" t="s">
        <v>45</v>
      </c>
      <c r="C331" s="181" t="str">
        <f>Organ12</f>
        <v>OC12</v>
      </c>
      <c r="D331" s="146" t="s">
        <v>362</v>
      </c>
      <c r="E331" s="146" t="str">
        <f>IFERROR(VLOOKUP(D331,Table2[],2,FALSE),"")</f>
        <v>Hektar</v>
      </c>
      <c r="F331" s="146" t="s">
        <v>303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5.75" thickBot="1" x14ac:dyDescent="0.3">
      <c r="A332" s="188" t="s">
        <v>305</v>
      </c>
      <c r="B332" s="182" t="s">
        <v>45</v>
      </c>
      <c r="C332" s="182" t="str">
        <f>Organ12</f>
        <v>OC12</v>
      </c>
      <c r="D332" s="148" t="s">
        <v>362</v>
      </c>
      <c r="E332" s="148" t="str">
        <f>IFERROR(VLOOKUP(D332,Table2[],2,FALSE),"")</f>
        <v>Hektar</v>
      </c>
      <c r="F332" s="202" t="s">
        <v>344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5.75" thickTop="1" x14ac:dyDescent="0.25">
      <c r="A333" s="186" t="s">
        <v>305</v>
      </c>
      <c r="B333" s="180" t="s">
        <v>46</v>
      </c>
      <c r="C333" s="180" t="str">
        <f>Jordbund1</f>
        <v>JB1-10</v>
      </c>
      <c r="D333" s="144" t="s">
        <v>362</v>
      </c>
      <c r="E333" s="144" t="str">
        <f>IFERROR(VLOOKUP(D333,Table2[],2,FALSE),"")</f>
        <v>Hektar</v>
      </c>
      <c r="F333" s="144" t="s">
        <v>177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25">
      <c r="A334" s="187" t="s">
        <v>305</v>
      </c>
      <c r="B334" s="181" t="s">
        <v>46</v>
      </c>
      <c r="C334" s="181" t="str">
        <f>Jordbund1</f>
        <v>JB1-10</v>
      </c>
      <c r="D334" s="146" t="s">
        <v>362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25">
      <c r="A335" s="187" t="s">
        <v>305</v>
      </c>
      <c r="B335" s="181" t="s">
        <v>46</v>
      </c>
      <c r="C335" s="181" t="str">
        <f>Jordbund1</f>
        <v>JB1-10</v>
      </c>
      <c r="D335" s="146" t="s">
        <v>362</v>
      </c>
      <c r="E335" s="146" t="str">
        <f>IFERROR(VLOOKUP(D335,Table2[],2,FALSE),"")</f>
        <v>Hektar</v>
      </c>
      <c r="F335" s="146" t="s">
        <v>303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5.75" thickBot="1" x14ac:dyDescent="0.3">
      <c r="A336" s="188" t="s">
        <v>305</v>
      </c>
      <c r="B336" s="182" t="s">
        <v>46</v>
      </c>
      <c r="C336" s="182" t="str">
        <f>Jordbund1</f>
        <v>JB1-10</v>
      </c>
      <c r="D336" s="148" t="s">
        <v>362</v>
      </c>
      <c r="E336" s="148" t="str">
        <f>IFERROR(VLOOKUP(D336,Table2[],2,FALSE),"")</f>
        <v>Hektar</v>
      </c>
      <c r="F336" s="202" t="s">
        <v>344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5.75" thickTop="1" x14ac:dyDescent="0.25">
      <c r="A337" s="186" t="s">
        <v>305</v>
      </c>
      <c r="B337" s="180" t="s">
        <v>46</v>
      </c>
      <c r="C337" s="180" t="str">
        <f>Organ6</f>
        <v>OC6</v>
      </c>
      <c r="D337" s="144" t="s">
        <v>362</v>
      </c>
      <c r="E337" s="144" t="str">
        <f>IFERROR(VLOOKUP(D337,Table2[],2,FALSE),"")</f>
        <v>Hektar</v>
      </c>
      <c r="F337" s="144" t="s">
        <v>177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25">
      <c r="A338" s="187" t="s">
        <v>305</v>
      </c>
      <c r="B338" s="181" t="s">
        <v>46</v>
      </c>
      <c r="C338" s="181" t="str">
        <f>Organ6</f>
        <v>OC6</v>
      </c>
      <c r="D338" s="146" t="s">
        <v>362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25">
      <c r="A339" s="187" t="s">
        <v>305</v>
      </c>
      <c r="B339" s="181" t="s">
        <v>46</v>
      </c>
      <c r="C339" s="181" t="str">
        <f>Organ6</f>
        <v>OC6</v>
      </c>
      <c r="D339" s="146" t="s">
        <v>362</v>
      </c>
      <c r="E339" s="146" t="str">
        <f>IFERROR(VLOOKUP(D339,Table2[],2,FALSE),"")</f>
        <v>Hektar</v>
      </c>
      <c r="F339" s="146" t="s">
        <v>303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5.75" thickBot="1" x14ac:dyDescent="0.3">
      <c r="A340" s="188" t="s">
        <v>305</v>
      </c>
      <c r="B340" s="182" t="s">
        <v>46</v>
      </c>
      <c r="C340" s="182" t="str">
        <f>Organ6</f>
        <v>OC6</v>
      </c>
      <c r="D340" s="148" t="s">
        <v>362</v>
      </c>
      <c r="E340" s="148" t="str">
        <f>IFERROR(VLOOKUP(D340,Table2[],2,FALSE),"")</f>
        <v>Hektar</v>
      </c>
      <c r="F340" s="202" t="s">
        <v>344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5.75" thickTop="1" x14ac:dyDescent="0.25">
      <c r="A341" s="186" t="s">
        <v>305</v>
      </c>
      <c r="B341" s="180" t="s">
        <v>46</v>
      </c>
      <c r="C341" s="180" t="str">
        <f>Organ12</f>
        <v>OC12</v>
      </c>
      <c r="D341" s="144" t="s">
        <v>362</v>
      </c>
      <c r="E341" s="144" t="str">
        <f>IFERROR(VLOOKUP(D341,Table2[],2,FALSE),"")</f>
        <v>Hektar</v>
      </c>
      <c r="F341" s="144" t="s">
        <v>177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25">
      <c r="A342" s="187" t="s">
        <v>305</v>
      </c>
      <c r="B342" s="181" t="s">
        <v>46</v>
      </c>
      <c r="C342" s="181" t="str">
        <f>Organ12</f>
        <v>OC12</v>
      </c>
      <c r="D342" s="146" t="s">
        <v>362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25">
      <c r="A343" s="187" t="s">
        <v>305</v>
      </c>
      <c r="B343" s="181" t="s">
        <v>46</v>
      </c>
      <c r="C343" s="181" t="str">
        <f>Organ12</f>
        <v>OC12</v>
      </c>
      <c r="D343" s="146" t="s">
        <v>362</v>
      </c>
      <c r="E343" s="146" t="str">
        <f>IFERROR(VLOOKUP(D343,Table2[],2,FALSE),"")</f>
        <v>Hektar</v>
      </c>
      <c r="F343" s="146" t="s">
        <v>303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5.75" thickBot="1" x14ac:dyDescent="0.3">
      <c r="A344" s="188" t="s">
        <v>305</v>
      </c>
      <c r="B344" s="182" t="s">
        <v>46</v>
      </c>
      <c r="C344" s="182" t="str">
        <f>Organ12</f>
        <v>OC12</v>
      </c>
      <c r="D344" s="148" t="s">
        <v>362</v>
      </c>
      <c r="E344" s="148" t="str">
        <f>IFERROR(VLOOKUP(D344,Table2[],2,FALSE),"")</f>
        <v>Hektar</v>
      </c>
      <c r="F344" s="202" t="s">
        <v>344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5.75" thickTop="1" x14ac:dyDescent="0.25">
      <c r="A345" s="187" t="s">
        <v>306</v>
      </c>
      <c r="B345" s="181" t="s">
        <v>45</v>
      </c>
      <c r="C345" s="181" t="str">
        <f>Jordbund1</f>
        <v>JB1-10</v>
      </c>
      <c r="D345" s="146" t="s">
        <v>354</v>
      </c>
      <c r="E345" s="146" t="str">
        <f>IFERROR(VLOOKUP(D345,Table2[],2,FALSE),"")</f>
        <v>Hektar</v>
      </c>
      <c r="F345" s="146" t="s">
        <v>307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25">
      <c r="A346" s="187" t="s">
        <v>306</v>
      </c>
      <c r="B346" s="181" t="s">
        <v>45</v>
      </c>
      <c r="C346" s="181" t="str">
        <f>Jordbund1</f>
        <v>JB1-10</v>
      </c>
      <c r="D346" s="146" t="s">
        <v>354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25">
      <c r="A347" s="187" t="s">
        <v>306</v>
      </c>
      <c r="B347" s="181" t="s">
        <v>45</v>
      </c>
      <c r="C347" s="181" t="str">
        <f>Jordbund1</f>
        <v>JB1-10</v>
      </c>
      <c r="D347" s="146" t="s">
        <v>354</v>
      </c>
      <c r="E347" s="146" t="str">
        <f>IFERROR(VLOOKUP(D347,Table2[],2,FALSE),"")</f>
        <v>Hektar</v>
      </c>
      <c r="F347" s="146" t="s">
        <v>303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5.75" thickBot="1" x14ac:dyDescent="0.3">
      <c r="A348" s="188" t="s">
        <v>306</v>
      </c>
      <c r="B348" s="182" t="s">
        <v>45</v>
      </c>
      <c r="C348" s="182" t="str">
        <f>Jordbund1</f>
        <v>JB1-10</v>
      </c>
      <c r="D348" s="148" t="s">
        <v>354</v>
      </c>
      <c r="E348" s="148" t="str">
        <f>IFERROR(VLOOKUP(D348,Table2[],2,FALSE),"")</f>
        <v>Hektar</v>
      </c>
      <c r="F348" s="202" t="s">
        <v>344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5.75" thickTop="1" x14ac:dyDescent="0.25">
      <c r="A349" s="186" t="s">
        <v>306</v>
      </c>
      <c r="B349" s="180" t="s">
        <v>45</v>
      </c>
      <c r="C349" s="180" t="str">
        <f>Organ6</f>
        <v>OC6</v>
      </c>
      <c r="D349" s="144" t="s">
        <v>354</v>
      </c>
      <c r="E349" s="144" t="str">
        <f>IFERROR(VLOOKUP(D349,Table2[],2,FALSE),"")</f>
        <v>Hektar</v>
      </c>
      <c r="F349" s="144" t="s">
        <v>307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25">
      <c r="A350" s="187" t="s">
        <v>306</v>
      </c>
      <c r="B350" s="181" t="s">
        <v>45</v>
      </c>
      <c r="C350" s="181" t="str">
        <f>Organ6</f>
        <v>OC6</v>
      </c>
      <c r="D350" s="146" t="s">
        <v>354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25">
      <c r="A351" s="187" t="s">
        <v>306</v>
      </c>
      <c r="B351" s="181" t="s">
        <v>45</v>
      </c>
      <c r="C351" s="181" t="str">
        <f>Organ6</f>
        <v>OC6</v>
      </c>
      <c r="D351" s="146" t="s">
        <v>354</v>
      </c>
      <c r="E351" s="146" t="str">
        <f>IFERROR(VLOOKUP(D351,Table2[],2,FALSE),"")</f>
        <v>Hektar</v>
      </c>
      <c r="F351" s="146" t="s">
        <v>303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5.75" thickBot="1" x14ac:dyDescent="0.3">
      <c r="A352" s="188" t="s">
        <v>306</v>
      </c>
      <c r="B352" s="182" t="s">
        <v>45</v>
      </c>
      <c r="C352" s="182" t="str">
        <f>Organ6</f>
        <v>OC6</v>
      </c>
      <c r="D352" s="148" t="s">
        <v>354</v>
      </c>
      <c r="E352" s="148" t="str">
        <f>IFERROR(VLOOKUP(D352,Table2[],2,FALSE),"")</f>
        <v>Hektar</v>
      </c>
      <c r="F352" s="202" t="s">
        <v>344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5.75" thickTop="1" x14ac:dyDescent="0.25">
      <c r="A353" s="186" t="s">
        <v>306</v>
      </c>
      <c r="B353" s="180" t="s">
        <v>45</v>
      </c>
      <c r="C353" s="180" t="str">
        <f>Organ12</f>
        <v>OC12</v>
      </c>
      <c r="D353" s="144" t="s">
        <v>354</v>
      </c>
      <c r="E353" s="144" t="str">
        <f>IFERROR(VLOOKUP(D353,Table2[],2,FALSE),"")</f>
        <v>Hektar</v>
      </c>
      <c r="F353" s="144" t="s">
        <v>307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25">
      <c r="A354" s="187" t="s">
        <v>306</v>
      </c>
      <c r="B354" s="181" t="s">
        <v>45</v>
      </c>
      <c r="C354" s="181" t="str">
        <f>Organ12</f>
        <v>OC12</v>
      </c>
      <c r="D354" s="146" t="s">
        <v>354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25">
      <c r="A355" s="187" t="s">
        <v>306</v>
      </c>
      <c r="B355" s="181" t="s">
        <v>45</v>
      </c>
      <c r="C355" s="181" t="str">
        <f>Organ12</f>
        <v>OC12</v>
      </c>
      <c r="D355" s="146" t="s">
        <v>354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5.75" thickBot="1" x14ac:dyDescent="0.3">
      <c r="A356" s="188" t="s">
        <v>306</v>
      </c>
      <c r="B356" s="182" t="s">
        <v>45</v>
      </c>
      <c r="C356" s="182" t="str">
        <f>Organ12</f>
        <v>OC12</v>
      </c>
      <c r="D356" s="148" t="s">
        <v>354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5.75" thickTop="1" x14ac:dyDescent="0.25">
      <c r="A357" s="186" t="s">
        <v>306</v>
      </c>
      <c r="B357" s="180" t="s">
        <v>46</v>
      </c>
      <c r="C357" s="180" t="str">
        <f>Jordbund1</f>
        <v>JB1-10</v>
      </c>
      <c r="D357" s="144" t="s">
        <v>354</v>
      </c>
      <c r="E357" s="144" t="str">
        <f>IFERROR(VLOOKUP(D357,Table2[],2,FALSE),"")</f>
        <v>Hektar</v>
      </c>
      <c r="F357" s="144" t="s">
        <v>307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25">
      <c r="A358" s="187" t="s">
        <v>306</v>
      </c>
      <c r="B358" s="181" t="s">
        <v>46</v>
      </c>
      <c r="C358" s="181" t="str">
        <f>Jordbund1</f>
        <v>JB1-10</v>
      </c>
      <c r="D358" s="146" t="s">
        <v>354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25">
      <c r="A359" s="187" t="s">
        <v>306</v>
      </c>
      <c r="B359" s="181" t="s">
        <v>46</v>
      </c>
      <c r="C359" s="181" t="str">
        <f>Jordbund1</f>
        <v>JB1-10</v>
      </c>
      <c r="D359" s="146" t="s">
        <v>354</v>
      </c>
      <c r="E359" s="146" t="str">
        <f>IFERROR(VLOOKUP(D359,Table2[],2,FALSE),"")</f>
        <v>Hektar</v>
      </c>
      <c r="F359" s="146" t="s">
        <v>303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5.75" thickBot="1" x14ac:dyDescent="0.3">
      <c r="A360" s="188" t="s">
        <v>306</v>
      </c>
      <c r="B360" s="182" t="s">
        <v>46</v>
      </c>
      <c r="C360" s="182" t="str">
        <f>Jordbund1</f>
        <v>JB1-10</v>
      </c>
      <c r="D360" s="148" t="s">
        <v>354</v>
      </c>
      <c r="E360" s="148" t="str">
        <f>IFERROR(VLOOKUP(D360,Table2[],2,FALSE),"")</f>
        <v>Hektar</v>
      </c>
      <c r="F360" s="202" t="s">
        <v>344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5.75" thickTop="1" x14ac:dyDescent="0.25">
      <c r="A361" s="186" t="s">
        <v>306</v>
      </c>
      <c r="B361" s="180" t="s">
        <v>46</v>
      </c>
      <c r="C361" s="180" t="str">
        <f>Organ6</f>
        <v>OC6</v>
      </c>
      <c r="D361" s="144" t="s">
        <v>354</v>
      </c>
      <c r="E361" s="144" t="str">
        <f>IFERROR(VLOOKUP(D361,Table2[],2,FALSE),"")</f>
        <v>Hektar</v>
      </c>
      <c r="F361" s="144" t="s">
        <v>307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25">
      <c r="A362" s="187" t="s">
        <v>306</v>
      </c>
      <c r="B362" s="181" t="s">
        <v>46</v>
      </c>
      <c r="C362" s="181" t="str">
        <f>Organ6</f>
        <v>OC6</v>
      </c>
      <c r="D362" s="146" t="s">
        <v>354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25">
      <c r="A363" s="187" t="s">
        <v>306</v>
      </c>
      <c r="B363" s="181" t="s">
        <v>46</v>
      </c>
      <c r="C363" s="181" t="str">
        <f>Organ6</f>
        <v>OC6</v>
      </c>
      <c r="D363" s="146" t="s">
        <v>354</v>
      </c>
      <c r="E363" s="146" t="str">
        <f>IFERROR(VLOOKUP(D363,Table2[],2,FALSE),"")</f>
        <v>Hektar</v>
      </c>
      <c r="F363" s="146" t="s">
        <v>303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5.75" thickBot="1" x14ac:dyDescent="0.3">
      <c r="A364" s="188" t="s">
        <v>306</v>
      </c>
      <c r="B364" s="182" t="s">
        <v>46</v>
      </c>
      <c r="C364" s="182" t="str">
        <f>Organ6</f>
        <v>OC6</v>
      </c>
      <c r="D364" s="148" t="s">
        <v>354</v>
      </c>
      <c r="E364" s="148" t="str">
        <f>IFERROR(VLOOKUP(D364,Table2[],2,FALSE),"")</f>
        <v>Hektar</v>
      </c>
      <c r="F364" s="202" t="s">
        <v>344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5.75" thickTop="1" x14ac:dyDescent="0.25">
      <c r="A365" s="186" t="s">
        <v>306</v>
      </c>
      <c r="B365" s="180" t="s">
        <v>46</v>
      </c>
      <c r="C365" s="180" t="str">
        <f>Organ12</f>
        <v>OC12</v>
      </c>
      <c r="D365" s="144" t="s">
        <v>354</v>
      </c>
      <c r="E365" s="144" t="str">
        <f>IFERROR(VLOOKUP(D365,Table2[],2,FALSE),"")</f>
        <v>Hektar</v>
      </c>
      <c r="F365" s="144" t="s">
        <v>307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25">
      <c r="A366" s="187" t="s">
        <v>306</v>
      </c>
      <c r="B366" s="181" t="s">
        <v>46</v>
      </c>
      <c r="C366" s="181" t="str">
        <f>Organ12</f>
        <v>OC12</v>
      </c>
      <c r="D366" s="146" t="s">
        <v>354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25">
      <c r="A367" s="187" t="s">
        <v>306</v>
      </c>
      <c r="B367" s="181" t="s">
        <v>46</v>
      </c>
      <c r="C367" s="181" t="str">
        <f>Organ12</f>
        <v>OC12</v>
      </c>
      <c r="D367" s="146" t="s">
        <v>354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5.75" thickBot="1" x14ac:dyDescent="0.3">
      <c r="A368" s="188" t="s">
        <v>306</v>
      </c>
      <c r="B368" s="182" t="s">
        <v>46</v>
      </c>
      <c r="C368" s="182" t="str">
        <f>Organ12</f>
        <v>OC12</v>
      </c>
      <c r="D368" s="148" t="s">
        <v>354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5.75" thickTop="1" x14ac:dyDescent="0.25">
      <c r="A369" s="186" t="s">
        <v>550</v>
      </c>
      <c r="B369" s="180" t="s">
        <v>45</v>
      </c>
      <c r="C369" s="180" t="str">
        <f>Jordbund1</f>
        <v>JB1-10</v>
      </c>
      <c r="D369" s="144" t="s">
        <v>549</v>
      </c>
      <c r="E369" s="144" t="str">
        <f>IFERROR(VLOOKUP(D369,Table2[],2,FALSE),"")</f>
        <v>Hektar</v>
      </c>
      <c r="F369" s="144" t="s">
        <v>148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25">
      <c r="A370" s="187" t="s">
        <v>550</v>
      </c>
      <c r="B370" s="181" t="s">
        <v>45</v>
      </c>
      <c r="C370" s="181" t="str">
        <f>Jordbund1</f>
        <v>JB1-10</v>
      </c>
      <c r="D370" s="146" t="s">
        <v>549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5.75" thickBot="1" x14ac:dyDescent="0.3">
      <c r="A371" s="188" t="s">
        <v>550</v>
      </c>
      <c r="B371" s="182" t="s">
        <v>45</v>
      </c>
      <c r="C371" s="182" t="str">
        <f>Jordbund1</f>
        <v>JB1-10</v>
      </c>
      <c r="D371" s="148" t="s">
        <v>549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5.75" thickTop="1" x14ac:dyDescent="0.25">
      <c r="A372" s="186" t="s">
        <v>550</v>
      </c>
      <c r="B372" s="180" t="s">
        <v>45</v>
      </c>
      <c r="C372" s="180" t="str">
        <f>Organ6</f>
        <v>OC6</v>
      </c>
      <c r="D372" s="144" t="s">
        <v>549</v>
      </c>
      <c r="E372" s="144" t="str">
        <f>IFERROR(VLOOKUP(D372,Table2[],2,FALSE),"")</f>
        <v>Hektar</v>
      </c>
      <c r="F372" s="144" t="s">
        <v>148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25">
      <c r="A373" s="187" t="s">
        <v>550</v>
      </c>
      <c r="B373" s="181" t="s">
        <v>45</v>
      </c>
      <c r="C373" s="181" t="str">
        <f>Organ6</f>
        <v>OC6</v>
      </c>
      <c r="D373" s="146" t="s">
        <v>549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5.75" thickBot="1" x14ac:dyDescent="0.3">
      <c r="A374" s="188" t="s">
        <v>550</v>
      </c>
      <c r="B374" s="182" t="s">
        <v>45</v>
      </c>
      <c r="C374" s="182" t="str">
        <f>Organ6</f>
        <v>OC6</v>
      </c>
      <c r="D374" s="148" t="s">
        <v>549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5.75" thickTop="1" x14ac:dyDescent="0.25">
      <c r="A375" s="186" t="s">
        <v>550</v>
      </c>
      <c r="B375" s="180" t="s">
        <v>45</v>
      </c>
      <c r="C375" s="180" t="str">
        <f>Organ12</f>
        <v>OC12</v>
      </c>
      <c r="D375" s="144" t="s">
        <v>549</v>
      </c>
      <c r="E375" s="144" t="str">
        <f>IFERROR(VLOOKUP(D375,Table2[],2,FALSE),"")</f>
        <v>Hektar</v>
      </c>
      <c r="F375" s="144" t="s">
        <v>148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25">
      <c r="A376" s="187" t="s">
        <v>550</v>
      </c>
      <c r="B376" s="181" t="s">
        <v>45</v>
      </c>
      <c r="C376" s="181" t="str">
        <f>Organ12</f>
        <v>OC12</v>
      </c>
      <c r="D376" s="146" t="s">
        <v>549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5.75" thickBot="1" x14ac:dyDescent="0.3">
      <c r="A377" s="188" t="s">
        <v>550</v>
      </c>
      <c r="B377" s="182" t="s">
        <v>45</v>
      </c>
      <c r="C377" s="182" t="str">
        <f>Organ12</f>
        <v>OC12</v>
      </c>
      <c r="D377" s="148" t="s">
        <v>549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5.75" thickTop="1" x14ac:dyDescent="0.25">
      <c r="A378" s="186" t="s">
        <v>550</v>
      </c>
      <c r="B378" s="180" t="s">
        <v>46</v>
      </c>
      <c r="C378" s="180" t="str">
        <f>Jordbund1</f>
        <v>JB1-10</v>
      </c>
      <c r="D378" s="144" t="s">
        <v>549</v>
      </c>
      <c r="E378" s="144" t="str">
        <f>IFERROR(VLOOKUP(D378,Table2[],2,FALSE),"")</f>
        <v>Hektar</v>
      </c>
      <c r="F378" s="144" t="s">
        <v>148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25">
      <c r="A379" s="187" t="s">
        <v>550</v>
      </c>
      <c r="B379" s="181" t="s">
        <v>46</v>
      </c>
      <c r="C379" s="181" t="str">
        <f>Jordbund1</f>
        <v>JB1-10</v>
      </c>
      <c r="D379" s="146" t="s">
        <v>549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5.75" thickBot="1" x14ac:dyDescent="0.3">
      <c r="A380" s="188" t="s">
        <v>550</v>
      </c>
      <c r="B380" s="182" t="s">
        <v>46</v>
      </c>
      <c r="C380" s="182" t="str">
        <f>Jordbund1</f>
        <v>JB1-10</v>
      </c>
      <c r="D380" s="148" t="s">
        <v>549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5.75" thickTop="1" x14ac:dyDescent="0.25">
      <c r="A381" s="186" t="s">
        <v>550</v>
      </c>
      <c r="B381" s="180" t="s">
        <v>46</v>
      </c>
      <c r="C381" s="180" t="str">
        <f>Organ6</f>
        <v>OC6</v>
      </c>
      <c r="D381" s="144" t="s">
        <v>549</v>
      </c>
      <c r="E381" s="144" t="str">
        <f>IFERROR(VLOOKUP(D381,Table2[],2,FALSE),"")</f>
        <v>Hektar</v>
      </c>
      <c r="F381" s="144" t="s">
        <v>148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25">
      <c r="A382" s="187" t="s">
        <v>550</v>
      </c>
      <c r="B382" s="181" t="s">
        <v>46</v>
      </c>
      <c r="C382" s="181" t="str">
        <f>Organ6</f>
        <v>OC6</v>
      </c>
      <c r="D382" s="146" t="s">
        <v>549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5.75" thickBot="1" x14ac:dyDescent="0.3">
      <c r="A383" s="188" t="s">
        <v>550</v>
      </c>
      <c r="B383" s="182" t="s">
        <v>46</v>
      </c>
      <c r="C383" s="182" t="str">
        <f>Organ6</f>
        <v>OC6</v>
      </c>
      <c r="D383" s="148" t="s">
        <v>549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5.75" thickTop="1" x14ac:dyDescent="0.25">
      <c r="A384" s="186" t="s">
        <v>550</v>
      </c>
      <c r="B384" s="180" t="s">
        <v>46</v>
      </c>
      <c r="C384" s="180" t="str">
        <f>Organ12</f>
        <v>OC12</v>
      </c>
      <c r="D384" s="144" t="s">
        <v>549</v>
      </c>
      <c r="E384" s="144" t="str">
        <f>IFERROR(VLOOKUP(D384,Table2[],2,FALSE),"")</f>
        <v>Hektar</v>
      </c>
      <c r="F384" s="144" t="s">
        <v>148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25">
      <c r="A385" s="187" t="s">
        <v>550</v>
      </c>
      <c r="B385" s="181" t="s">
        <v>46</v>
      </c>
      <c r="C385" s="181" t="str">
        <f>Organ12</f>
        <v>OC12</v>
      </c>
      <c r="D385" s="146" t="s">
        <v>549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5.75" thickBot="1" x14ac:dyDescent="0.3">
      <c r="A386" s="188" t="s">
        <v>550</v>
      </c>
      <c r="B386" s="182" t="s">
        <v>46</v>
      </c>
      <c r="C386" s="182" t="str">
        <f>Organ12</f>
        <v>OC12</v>
      </c>
      <c r="D386" s="148" t="s">
        <v>549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5.75" thickTop="1" x14ac:dyDescent="0.25">
      <c r="A387" s="186" t="s">
        <v>32</v>
      </c>
      <c r="B387" s="180" t="s">
        <v>45</v>
      </c>
      <c r="C387" s="180" t="str">
        <f>Jordbund1</f>
        <v>JB1-10</v>
      </c>
      <c r="D387" s="144" t="s">
        <v>361</v>
      </c>
      <c r="E387" s="144" t="str">
        <f>IFERROR(VLOOKUP(D387,Table2[],2,FALSE),"")</f>
        <v>Hektar</v>
      </c>
      <c r="F387" s="144" t="s">
        <v>339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25">
      <c r="A388" s="187" t="s">
        <v>32</v>
      </c>
      <c r="B388" s="181" t="s">
        <v>45</v>
      </c>
      <c r="C388" s="181" t="str">
        <f>Jordbund1</f>
        <v>JB1-10</v>
      </c>
      <c r="D388" s="146" t="s">
        <v>361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5.75" thickBot="1" x14ac:dyDescent="0.3">
      <c r="A389" s="188" t="s">
        <v>32</v>
      </c>
      <c r="B389" s="182" t="s">
        <v>45</v>
      </c>
      <c r="C389" s="182" t="str">
        <f>Jordbund1</f>
        <v>JB1-10</v>
      </c>
      <c r="D389" s="148" t="s">
        <v>361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5.75" thickTop="1" x14ac:dyDescent="0.25">
      <c r="A390" s="186" t="s">
        <v>32</v>
      </c>
      <c r="B390" s="180" t="s">
        <v>45</v>
      </c>
      <c r="C390" s="180" t="str">
        <f>Organ6</f>
        <v>OC6</v>
      </c>
      <c r="D390" s="144" t="s">
        <v>361</v>
      </c>
      <c r="E390" s="144" t="str">
        <f>IFERROR(VLOOKUP(D390,Table2[],2,FALSE),"")</f>
        <v>Hektar</v>
      </c>
      <c r="F390" s="144" t="s">
        <v>339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25">
      <c r="A391" s="187" t="s">
        <v>32</v>
      </c>
      <c r="B391" s="181" t="s">
        <v>45</v>
      </c>
      <c r="C391" s="181" t="str">
        <f>Organ6</f>
        <v>OC6</v>
      </c>
      <c r="D391" s="146" t="s">
        <v>361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5.75" thickBot="1" x14ac:dyDescent="0.3">
      <c r="A392" s="188" t="s">
        <v>32</v>
      </c>
      <c r="B392" s="182" t="s">
        <v>45</v>
      </c>
      <c r="C392" s="182" t="str">
        <f>Organ6</f>
        <v>OC6</v>
      </c>
      <c r="D392" s="148" t="s">
        <v>361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5.75" thickTop="1" x14ac:dyDescent="0.25">
      <c r="A393" s="187" t="s">
        <v>32</v>
      </c>
      <c r="B393" s="181" t="s">
        <v>45</v>
      </c>
      <c r="C393" s="181" t="str">
        <f>Organ12</f>
        <v>OC12</v>
      </c>
      <c r="D393" s="146" t="s">
        <v>361</v>
      </c>
      <c r="E393" s="146" t="str">
        <f>IFERROR(VLOOKUP(D393,Table2[],2,FALSE),"")</f>
        <v>Hektar</v>
      </c>
      <c r="F393" s="146" t="s">
        <v>339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25">
      <c r="A394" s="187" t="s">
        <v>32</v>
      </c>
      <c r="B394" s="181" t="s">
        <v>45</v>
      </c>
      <c r="C394" s="181" t="str">
        <f>Organ12</f>
        <v>OC12</v>
      </c>
      <c r="D394" s="146" t="s">
        <v>361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5.75" thickBot="1" x14ac:dyDescent="0.3">
      <c r="A395" s="188" t="s">
        <v>32</v>
      </c>
      <c r="B395" s="182" t="s">
        <v>45</v>
      </c>
      <c r="C395" s="182" t="str">
        <f>Organ12</f>
        <v>OC12</v>
      </c>
      <c r="D395" s="148" t="s">
        <v>361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5.75" thickTop="1" x14ac:dyDescent="0.25">
      <c r="A396" s="186" t="s">
        <v>32</v>
      </c>
      <c r="B396" s="180" t="s">
        <v>46</v>
      </c>
      <c r="C396" s="180" t="str">
        <f>Jordbund1</f>
        <v>JB1-10</v>
      </c>
      <c r="D396" s="144" t="s">
        <v>361</v>
      </c>
      <c r="E396" s="144" t="str">
        <f>IFERROR(VLOOKUP(D396,Table2[],2,FALSE),"")</f>
        <v>Hektar</v>
      </c>
      <c r="F396" s="144" t="s">
        <v>339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25">
      <c r="A397" s="187" t="s">
        <v>32</v>
      </c>
      <c r="B397" s="181" t="s">
        <v>46</v>
      </c>
      <c r="C397" s="181" t="str">
        <f>Jordbund1</f>
        <v>JB1-10</v>
      </c>
      <c r="D397" s="146" t="s">
        <v>361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5.75" thickBot="1" x14ac:dyDescent="0.3">
      <c r="A398" s="188" t="s">
        <v>32</v>
      </c>
      <c r="B398" s="182" t="s">
        <v>46</v>
      </c>
      <c r="C398" s="182" t="str">
        <f>Jordbund1</f>
        <v>JB1-10</v>
      </c>
      <c r="D398" s="148" t="s">
        <v>361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5.75" thickTop="1" x14ac:dyDescent="0.25">
      <c r="A399" s="186" t="s">
        <v>32</v>
      </c>
      <c r="B399" s="180" t="s">
        <v>46</v>
      </c>
      <c r="C399" s="180" t="str">
        <f>Organ6</f>
        <v>OC6</v>
      </c>
      <c r="D399" s="144" t="s">
        <v>361</v>
      </c>
      <c r="E399" s="144" t="str">
        <f>IFERROR(VLOOKUP(D399,Table2[],2,FALSE),"")</f>
        <v>Hektar</v>
      </c>
      <c r="F399" s="144" t="s">
        <v>339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25">
      <c r="A400" s="187" t="s">
        <v>32</v>
      </c>
      <c r="B400" s="181" t="s">
        <v>46</v>
      </c>
      <c r="C400" s="181" t="str">
        <f>Organ6</f>
        <v>OC6</v>
      </c>
      <c r="D400" s="146" t="s">
        <v>361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5.75" thickBot="1" x14ac:dyDescent="0.3">
      <c r="A401" s="188" t="s">
        <v>32</v>
      </c>
      <c r="B401" s="182" t="s">
        <v>46</v>
      </c>
      <c r="C401" s="182" t="str">
        <f>Organ6</f>
        <v>OC6</v>
      </c>
      <c r="D401" s="148" t="s">
        <v>361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5.75" thickTop="1" x14ac:dyDescent="0.25">
      <c r="A402" s="186" t="s">
        <v>32</v>
      </c>
      <c r="B402" s="180" t="s">
        <v>46</v>
      </c>
      <c r="C402" s="180" t="str">
        <f>Organ12</f>
        <v>OC12</v>
      </c>
      <c r="D402" s="144" t="s">
        <v>361</v>
      </c>
      <c r="E402" s="144" t="str">
        <f>IFERROR(VLOOKUP(D402,Table2[],2,FALSE),"")</f>
        <v>Hektar</v>
      </c>
      <c r="F402" s="144" t="s">
        <v>339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25">
      <c r="A403" s="187" t="s">
        <v>32</v>
      </c>
      <c r="B403" s="181" t="s">
        <v>46</v>
      </c>
      <c r="C403" s="181" t="str">
        <f>Organ12</f>
        <v>OC12</v>
      </c>
      <c r="D403" s="146" t="s">
        <v>361</v>
      </c>
      <c r="E403" s="146" t="str">
        <f>IFERROR(VLOOKUP(D403,Table2[],2,FALSE),"")</f>
        <v>Hektar</v>
      </c>
      <c r="F403" s="146" t="s">
        <v>303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5.75" thickBot="1" x14ac:dyDescent="0.3">
      <c r="A404" s="188" t="s">
        <v>32</v>
      </c>
      <c r="B404" s="182" t="s">
        <v>46</v>
      </c>
      <c r="C404" s="182" t="str">
        <f>Organ12</f>
        <v>OC12</v>
      </c>
      <c r="D404" s="148" t="s">
        <v>361</v>
      </c>
      <c r="E404" s="148" t="str">
        <f>IFERROR(VLOOKUP(D404,Table2[],2,FALSE),"")</f>
        <v>Hektar</v>
      </c>
      <c r="F404" s="202" t="s">
        <v>344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5.75" thickTop="1" x14ac:dyDescent="0.25">
      <c r="A405" s="186" t="s">
        <v>61</v>
      </c>
      <c r="B405" s="180" t="s">
        <v>45</v>
      </c>
      <c r="C405" s="180" t="str">
        <f>Jordbund1</f>
        <v>JB1-10</v>
      </c>
      <c r="D405" s="144" t="s">
        <v>360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540</v>
      </c>
    </row>
    <row r="406" spans="1:11" s="146" customFormat="1" x14ac:dyDescent="0.25">
      <c r="A406" s="187" t="s">
        <v>61</v>
      </c>
      <c r="B406" s="181" t="s">
        <v>45</v>
      </c>
      <c r="C406" s="181" t="str">
        <f>Jordbund1</f>
        <v>JB1-10</v>
      </c>
      <c r="D406" s="146" t="s">
        <v>360</v>
      </c>
      <c r="E406" s="146" t="str">
        <f>IFERROR(VLOOKUP(D406,Table2[],2,FALSE),"")</f>
        <v>Hektar</v>
      </c>
      <c r="F406" s="146" t="s">
        <v>303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540</v>
      </c>
    </row>
    <row r="407" spans="1:11" s="146" customFormat="1" ht="15.75" thickBot="1" x14ac:dyDescent="0.3">
      <c r="A407" s="188" t="s">
        <v>61</v>
      </c>
      <c r="B407" s="182" t="s">
        <v>45</v>
      </c>
      <c r="C407" s="182" t="str">
        <f>Jordbund1</f>
        <v>JB1-10</v>
      </c>
      <c r="D407" s="148" t="s">
        <v>360</v>
      </c>
      <c r="E407" s="148" t="str">
        <f>IFERROR(VLOOKUP(D407,Table2[],2,FALSE),"")</f>
        <v>Hektar</v>
      </c>
      <c r="F407" s="202" t="s">
        <v>344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540</v>
      </c>
    </row>
    <row r="408" spans="1:11" s="146" customFormat="1" ht="15.75" thickTop="1" x14ac:dyDescent="0.25">
      <c r="A408" s="186" t="s">
        <v>61</v>
      </c>
      <c r="B408" s="180" t="s">
        <v>45</v>
      </c>
      <c r="C408" s="180" t="str">
        <f>Organ6</f>
        <v>OC6</v>
      </c>
      <c r="D408" s="144" t="s">
        <v>360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540</v>
      </c>
    </row>
    <row r="409" spans="1:11" s="146" customFormat="1" x14ac:dyDescent="0.25">
      <c r="A409" s="187" t="s">
        <v>61</v>
      </c>
      <c r="B409" s="181" t="s">
        <v>45</v>
      </c>
      <c r="C409" s="181" t="str">
        <f>Organ6</f>
        <v>OC6</v>
      </c>
      <c r="D409" s="146" t="s">
        <v>360</v>
      </c>
      <c r="E409" s="146" t="str">
        <f>IFERROR(VLOOKUP(D409,Table2[],2,FALSE),"")</f>
        <v>Hektar</v>
      </c>
      <c r="F409" s="146" t="s">
        <v>303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540</v>
      </c>
    </row>
    <row r="410" spans="1:11" s="146" customFormat="1" ht="15.75" thickBot="1" x14ac:dyDescent="0.3">
      <c r="A410" s="188" t="s">
        <v>61</v>
      </c>
      <c r="B410" s="182" t="s">
        <v>45</v>
      </c>
      <c r="C410" s="182" t="str">
        <f>Organ6</f>
        <v>OC6</v>
      </c>
      <c r="D410" s="148" t="s">
        <v>360</v>
      </c>
      <c r="E410" s="148" t="str">
        <f>IFERROR(VLOOKUP(D410,Table2[],2,FALSE),"")</f>
        <v>Hektar</v>
      </c>
      <c r="F410" s="202" t="s">
        <v>344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540</v>
      </c>
    </row>
    <row r="411" spans="1:11" s="146" customFormat="1" ht="15.75" thickTop="1" x14ac:dyDescent="0.25">
      <c r="A411" s="186" t="s">
        <v>61</v>
      </c>
      <c r="B411" s="180" t="s">
        <v>45</v>
      </c>
      <c r="C411" s="180" t="str">
        <f>Organ12</f>
        <v>OC12</v>
      </c>
      <c r="D411" s="144" t="s">
        <v>360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540</v>
      </c>
    </row>
    <row r="412" spans="1:11" s="146" customFormat="1" x14ac:dyDescent="0.25">
      <c r="A412" s="187" t="s">
        <v>61</v>
      </c>
      <c r="B412" s="181" t="s">
        <v>45</v>
      </c>
      <c r="C412" s="181" t="str">
        <f>Organ12</f>
        <v>OC12</v>
      </c>
      <c r="D412" s="146" t="s">
        <v>360</v>
      </c>
      <c r="E412" s="146" t="str">
        <f>IFERROR(VLOOKUP(D412,Table2[],2,FALSE),"")</f>
        <v>Hektar</v>
      </c>
      <c r="F412" s="146" t="s">
        <v>303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540</v>
      </c>
    </row>
    <row r="413" spans="1:11" s="146" customFormat="1" ht="15.75" thickBot="1" x14ac:dyDescent="0.3">
      <c r="A413" s="188" t="s">
        <v>61</v>
      </c>
      <c r="B413" s="182" t="s">
        <v>45</v>
      </c>
      <c r="C413" s="182" t="str">
        <f>Organ12</f>
        <v>OC12</v>
      </c>
      <c r="D413" s="148" t="s">
        <v>360</v>
      </c>
      <c r="E413" s="148" t="str">
        <f>IFERROR(VLOOKUP(D413,Table2[],2,FALSE),"")</f>
        <v>Hektar</v>
      </c>
      <c r="F413" s="202" t="s">
        <v>344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540</v>
      </c>
    </row>
    <row r="414" spans="1:11" s="146" customFormat="1" ht="15.75" thickTop="1" x14ac:dyDescent="0.25">
      <c r="A414" s="186" t="s">
        <v>61</v>
      </c>
      <c r="B414" s="180" t="s">
        <v>46</v>
      </c>
      <c r="C414" s="180" t="str">
        <f>Jordbund1</f>
        <v>JB1-10</v>
      </c>
      <c r="D414" s="144" t="s">
        <v>360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540</v>
      </c>
    </row>
    <row r="415" spans="1:11" s="146" customFormat="1" x14ac:dyDescent="0.25">
      <c r="A415" s="187" t="s">
        <v>61</v>
      </c>
      <c r="B415" s="181" t="s">
        <v>46</v>
      </c>
      <c r="C415" s="181" t="str">
        <f>Jordbund1</f>
        <v>JB1-10</v>
      </c>
      <c r="D415" s="146" t="s">
        <v>360</v>
      </c>
      <c r="E415" s="146" t="str">
        <f>IFERROR(VLOOKUP(D415,Table2[],2,FALSE),"")</f>
        <v>Hektar</v>
      </c>
      <c r="F415" s="146" t="s">
        <v>303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540</v>
      </c>
    </row>
    <row r="416" spans="1:11" s="146" customFormat="1" ht="15.75" thickBot="1" x14ac:dyDescent="0.3">
      <c r="A416" s="188" t="s">
        <v>61</v>
      </c>
      <c r="B416" s="182" t="s">
        <v>46</v>
      </c>
      <c r="C416" s="182" t="str">
        <f>Jordbund1</f>
        <v>JB1-10</v>
      </c>
      <c r="D416" s="148" t="s">
        <v>360</v>
      </c>
      <c r="E416" s="148" t="str">
        <f>IFERROR(VLOOKUP(D416,Table2[],2,FALSE),"")</f>
        <v>Hektar</v>
      </c>
      <c r="F416" s="202" t="s">
        <v>344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540</v>
      </c>
    </row>
    <row r="417" spans="1:14" s="146" customFormat="1" ht="15.75" thickTop="1" x14ac:dyDescent="0.25">
      <c r="A417" s="186" t="s">
        <v>61</v>
      </c>
      <c r="B417" s="180" t="s">
        <v>46</v>
      </c>
      <c r="C417" s="180" t="str">
        <f>Organ6</f>
        <v>OC6</v>
      </c>
      <c r="D417" s="144" t="s">
        <v>360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540</v>
      </c>
    </row>
    <row r="418" spans="1:14" s="146" customFormat="1" x14ac:dyDescent="0.25">
      <c r="A418" s="187" t="s">
        <v>61</v>
      </c>
      <c r="B418" s="181" t="s">
        <v>46</v>
      </c>
      <c r="C418" s="181" t="str">
        <f>Organ6</f>
        <v>OC6</v>
      </c>
      <c r="D418" s="146" t="s">
        <v>360</v>
      </c>
      <c r="E418" s="146" t="str">
        <f>IFERROR(VLOOKUP(D418,Table2[],2,FALSE),"")</f>
        <v>Hektar</v>
      </c>
      <c r="F418" s="146" t="s">
        <v>303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540</v>
      </c>
    </row>
    <row r="419" spans="1:14" s="146" customFormat="1" ht="15.75" thickBot="1" x14ac:dyDescent="0.3">
      <c r="A419" s="188" t="s">
        <v>61</v>
      </c>
      <c r="B419" s="182" t="s">
        <v>46</v>
      </c>
      <c r="C419" s="182" t="str">
        <f>Organ6</f>
        <v>OC6</v>
      </c>
      <c r="D419" s="148" t="s">
        <v>360</v>
      </c>
      <c r="E419" s="148" t="str">
        <f>IFERROR(VLOOKUP(D419,Table2[],2,FALSE),"")</f>
        <v>Hektar</v>
      </c>
      <c r="F419" s="202" t="s">
        <v>344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540</v>
      </c>
    </row>
    <row r="420" spans="1:14" s="146" customFormat="1" ht="15.75" thickTop="1" x14ac:dyDescent="0.25">
      <c r="A420" s="186" t="s">
        <v>61</v>
      </c>
      <c r="B420" s="180" t="s">
        <v>46</v>
      </c>
      <c r="C420" s="180" t="str">
        <f>Organ12</f>
        <v>OC12</v>
      </c>
      <c r="D420" s="144" t="s">
        <v>360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540</v>
      </c>
    </row>
    <row r="421" spans="1:14" s="146" customFormat="1" x14ac:dyDescent="0.25">
      <c r="A421" s="187" t="s">
        <v>61</v>
      </c>
      <c r="B421" s="181" t="s">
        <v>46</v>
      </c>
      <c r="C421" s="181" t="str">
        <f>Organ12</f>
        <v>OC12</v>
      </c>
      <c r="D421" s="146" t="s">
        <v>360</v>
      </c>
      <c r="E421" s="146" t="str">
        <f>IFERROR(VLOOKUP(D421,Table2[],2,FALSE),"")</f>
        <v>Hektar</v>
      </c>
      <c r="F421" s="146" t="s">
        <v>303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540</v>
      </c>
    </row>
    <row r="422" spans="1:14" s="146" customFormat="1" ht="15.75" thickBot="1" x14ac:dyDescent="0.3">
      <c r="A422" s="188" t="s">
        <v>61</v>
      </c>
      <c r="B422" s="182" t="s">
        <v>46</v>
      </c>
      <c r="C422" s="182" t="str">
        <f>Organ12</f>
        <v>OC12</v>
      </c>
      <c r="D422" s="148" t="s">
        <v>360</v>
      </c>
      <c r="E422" s="148" t="str">
        <f>IFERROR(VLOOKUP(D422,Table2[],2,FALSE),"")</f>
        <v>Hektar</v>
      </c>
      <c r="F422" s="202" t="s">
        <v>344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540</v>
      </c>
    </row>
    <row r="423" spans="1:14" ht="15.75" thickTop="1" x14ac:dyDescent="0.25">
      <c r="A423" s="187" t="s">
        <v>33</v>
      </c>
      <c r="B423" s="181"/>
      <c r="C423" s="181"/>
      <c r="D423" s="146" t="s">
        <v>553</v>
      </c>
      <c r="E423" s="146" t="str">
        <f>IFERROR(VLOOKUP(D423,Table2[],2,FALSE),"")</f>
        <v>m3</v>
      </c>
      <c r="F423" s="146" t="s">
        <v>308</v>
      </c>
      <c r="G423" s="146" t="str">
        <f>IFERROR(VLOOKUP(F423,Table2[],2,FALSE),"")</f>
        <v>m3</v>
      </c>
      <c r="H423" s="208">
        <v>0.48</v>
      </c>
      <c r="I423" s="208">
        <v>0.48</v>
      </c>
      <c r="J423" s="208">
        <v>0.48</v>
      </c>
      <c r="K423" s="147" t="s">
        <v>624</v>
      </c>
    </row>
    <row r="424" spans="1:14" s="146" customFormat="1" x14ac:dyDescent="0.25">
      <c r="A424" s="187" t="s">
        <v>33</v>
      </c>
      <c r="B424" s="181"/>
      <c r="C424" s="181"/>
      <c r="D424" s="146" t="s">
        <v>553</v>
      </c>
      <c r="E424" s="146" t="str">
        <f>IFERROR(VLOOKUP(D424,Table2[],2,FALSE),"")</f>
        <v>m3</v>
      </c>
      <c r="F424" s="150" t="s">
        <v>405</v>
      </c>
      <c r="G424" s="146" t="str">
        <f>IFERROR(VLOOKUP(F424,Table2[],2,FALSE),"")</f>
        <v>m3</v>
      </c>
      <c r="H424" s="208">
        <v>0.52</v>
      </c>
      <c r="I424" s="208">
        <v>0.52</v>
      </c>
      <c r="J424" s="208">
        <v>0.52</v>
      </c>
      <c r="K424" s="147" t="s">
        <v>624</v>
      </c>
    </row>
    <row r="425" spans="1:14" s="441" customFormat="1" ht="15.75" thickBot="1" x14ac:dyDescent="0.3">
      <c r="A425" s="187" t="s">
        <v>33</v>
      </c>
      <c r="B425" s="181"/>
      <c r="C425" s="181"/>
      <c r="D425" s="441" t="s">
        <v>905</v>
      </c>
      <c r="E425" s="441" t="str">
        <f>IFERROR(VLOOKUP(D425,Table2[],2,FALSE),"")</f>
        <v>t CO2-ækvivalenter</v>
      </c>
      <c r="F425" s="150" t="s">
        <v>344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5.75" thickTop="1" x14ac:dyDescent="0.25">
      <c r="A426" s="186" t="s">
        <v>34</v>
      </c>
      <c r="B426" s="183"/>
      <c r="C426" s="183"/>
      <c r="D426" s="144" t="s">
        <v>302</v>
      </c>
      <c r="E426" s="144" t="str">
        <f>IFERROR(VLOOKUP(D426,Table2[],2,FALSE),"")</f>
        <v>Ton</v>
      </c>
      <c r="F426" s="144" t="s">
        <v>309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762</v>
      </c>
    </row>
    <row r="427" spans="1:14" x14ac:dyDescent="0.25">
      <c r="A427" s="187" t="s">
        <v>34</v>
      </c>
      <c r="B427" s="185"/>
      <c r="C427" s="185"/>
      <c r="D427" s="146" t="s">
        <v>302</v>
      </c>
      <c r="E427" s="146" t="str">
        <f>IFERROR(VLOOKUP(D427,Table2[],2,FALSE),"")</f>
        <v>Ton</v>
      </c>
      <c r="F427" s="150" t="s">
        <v>502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423</v>
      </c>
    </row>
    <row r="428" spans="1:14" x14ac:dyDescent="0.25">
      <c r="A428" s="187" t="s">
        <v>34</v>
      </c>
      <c r="B428" s="185"/>
      <c r="C428" s="185"/>
      <c r="D428" s="146" t="s">
        <v>302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826</v>
      </c>
    </row>
    <row r="429" spans="1:14" ht="15.75" thickBot="1" x14ac:dyDescent="0.3">
      <c r="A429" s="187" t="s">
        <v>34</v>
      </c>
      <c r="B429" s="185"/>
      <c r="C429" s="185"/>
      <c r="D429" s="146" t="s">
        <v>302</v>
      </c>
      <c r="E429" s="146" t="str">
        <f>IFERROR(VLOOKUP(D429,Table2[],2,FALSE),"")</f>
        <v>Ton</v>
      </c>
      <c r="F429" s="146" t="s">
        <v>430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762</v>
      </c>
    </row>
    <row r="430" spans="1:14" ht="15.75" thickTop="1" x14ac:dyDescent="0.25">
      <c r="A430" s="186" t="s">
        <v>35</v>
      </c>
      <c r="B430" s="180"/>
      <c r="C430" s="180"/>
      <c r="D430" s="144" t="s">
        <v>300</v>
      </c>
      <c r="E430" s="144" t="str">
        <f>IFERROR(VLOOKUP(D430,Table2[],2,FALSE),"")</f>
        <v>Antal</v>
      </c>
      <c r="F430" s="144" t="s">
        <v>318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423</v>
      </c>
    </row>
    <row r="431" spans="1:14" x14ac:dyDescent="0.25">
      <c r="A431" s="187" t="s">
        <v>35</v>
      </c>
      <c r="B431" s="181"/>
      <c r="C431" s="181"/>
      <c r="D431" s="146" t="s">
        <v>300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510</v>
      </c>
    </row>
    <row r="432" spans="1:14" x14ac:dyDescent="0.25">
      <c r="A432" s="187" t="s">
        <v>35</v>
      </c>
      <c r="B432" s="181"/>
      <c r="C432" s="181"/>
      <c r="D432" s="146" t="s">
        <v>300</v>
      </c>
      <c r="E432" s="146" t="str">
        <f>IFERROR(VLOOKUP(D432,Table2[],2,FALSE),"")</f>
        <v>Antal</v>
      </c>
      <c r="F432" s="146" t="s">
        <v>424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423</v>
      </c>
      <c r="M432" t="s">
        <v>823</v>
      </c>
      <c r="N432">
        <v>1.1855</v>
      </c>
    </row>
    <row r="433" spans="1:11" x14ac:dyDescent="0.25">
      <c r="A433" s="187" t="s">
        <v>35</v>
      </c>
      <c r="B433" s="181"/>
      <c r="C433" s="181"/>
      <c r="D433" s="146" t="s">
        <v>300</v>
      </c>
      <c r="E433" s="146" t="str">
        <f>IFERROR(VLOOKUP(D433,Table2[],2,FALSE),"")</f>
        <v>Antal</v>
      </c>
      <c r="F433" s="146" t="s">
        <v>425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423</v>
      </c>
    </row>
    <row r="434" spans="1:11" x14ac:dyDescent="0.25">
      <c r="A434" s="187" t="s">
        <v>35</v>
      </c>
      <c r="B434" s="181"/>
      <c r="C434" s="181"/>
      <c r="D434" s="146" t="s">
        <v>301</v>
      </c>
      <c r="E434" s="146" t="str">
        <f>IFERROR(VLOOKUP(D434,Table2[],2,FALSE),"")</f>
        <v>Antal</v>
      </c>
      <c r="F434" s="146" t="s">
        <v>319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423</v>
      </c>
    </row>
    <row r="435" spans="1:11" x14ac:dyDescent="0.25">
      <c r="A435" s="187" t="s">
        <v>35</v>
      </c>
      <c r="B435" s="181"/>
      <c r="C435" s="181"/>
      <c r="D435" s="146" t="s">
        <v>301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510</v>
      </c>
    </row>
    <row r="436" spans="1:11" x14ac:dyDescent="0.25">
      <c r="A436" s="187" t="s">
        <v>35</v>
      </c>
      <c r="B436" s="181"/>
      <c r="C436" s="181"/>
      <c r="D436" s="146" t="s">
        <v>301</v>
      </c>
      <c r="E436" s="146" t="str">
        <f>IFERROR(VLOOKUP(D436,Table2[],2,FALSE),"")</f>
        <v>Antal</v>
      </c>
      <c r="F436" s="146" t="s">
        <v>424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423</v>
      </c>
    </row>
    <row r="437" spans="1:11" x14ac:dyDescent="0.25">
      <c r="A437" s="187" t="s">
        <v>35</v>
      </c>
      <c r="B437" s="181"/>
      <c r="C437" s="181"/>
      <c r="D437" s="146" t="s">
        <v>301</v>
      </c>
      <c r="E437" s="146" t="str">
        <f>IFERROR(VLOOKUP(D437,Table2[],2,FALSE),"")</f>
        <v>Antal</v>
      </c>
      <c r="F437" s="146" t="s">
        <v>425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423</v>
      </c>
    </row>
    <row r="438" spans="1:11" x14ac:dyDescent="0.25">
      <c r="A438" s="187" t="s">
        <v>35</v>
      </c>
      <c r="B438" s="181"/>
      <c r="C438" s="181"/>
      <c r="D438" s="146" t="s">
        <v>364</v>
      </c>
      <c r="E438" s="146" t="str">
        <f>IFERROR(VLOOKUP(D438,Table2[],2,FALSE),"")</f>
        <v>Antal</v>
      </c>
      <c r="F438" s="146" t="s">
        <v>365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423</v>
      </c>
    </row>
    <row r="439" spans="1:11" ht="15.75" thickBot="1" x14ac:dyDescent="0.3">
      <c r="A439" s="187" t="s">
        <v>35</v>
      </c>
      <c r="B439" s="181"/>
      <c r="C439" s="181"/>
      <c r="D439" s="150" t="s">
        <v>364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510</v>
      </c>
    </row>
    <row r="440" spans="1:11" ht="15.75" thickTop="1" x14ac:dyDescent="0.25">
      <c r="A440" s="186" t="s">
        <v>415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416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25">
      <c r="A441" s="187" t="s">
        <v>415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416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25">
      <c r="A442" s="187" t="s">
        <v>415</v>
      </c>
      <c r="B442" s="181"/>
      <c r="C442" s="181"/>
      <c r="D442" s="146" t="s">
        <v>188</v>
      </c>
      <c r="E442" s="146" t="str">
        <f>IFERROR(VLOOKUP(D442,Table2[],2,FALSE),"")</f>
        <v>Ton</v>
      </c>
      <c r="F442" s="146" t="s">
        <v>416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25">
      <c r="A443" s="187" t="s">
        <v>415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416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25">
      <c r="A444" s="187" t="s">
        <v>415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416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25">
      <c r="A445" s="187" t="s">
        <v>415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416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25">
      <c r="A446" s="187" t="s">
        <v>415</v>
      </c>
      <c r="B446" s="181"/>
      <c r="C446" s="181"/>
      <c r="D446" s="146" t="s">
        <v>720</v>
      </c>
      <c r="E446" s="146" t="str">
        <f>IFERROR(VLOOKUP(D446,Table2[],2,FALSE),"")</f>
        <v>Ton</v>
      </c>
      <c r="F446" s="146" t="s">
        <v>416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25">
      <c r="A447" s="187" t="s">
        <v>415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416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25">
      <c r="A448" s="187" t="s">
        <v>415</v>
      </c>
      <c r="B448" s="181"/>
      <c r="C448" s="181"/>
      <c r="D448" s="146" t="s">
        <v>311</v>
      </c>
      <c r="E448" s="146" t="str">
        <f>IFERROR(VLOOKUP(D448,Table2[],2,FALSE),"")</f>
        <v>Ton</v>
      </c>
      <c r="F448" s="146" t="s">
        <v>416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25">
      <c r="A449" s="187" t="s">
        <v>415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416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25">
      <c r="A450" s="187" t="s">
        <v>415</v>
      </c>
      <c r="B450" s="181"/>
      <c r="C450" s="181"/>
      <c r="D450" s="146" t="s">
        <v>430</v>
      </c>
      <c r="E450" s="146" t="str">
        <f>IFERROR(VLOOKUP(D450,Table2[],2,FALSE),"")</f>
        <v>Ton</v>
      </c>
      <c r="F450" s="146" t="s">
        <v>416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25">
      <c r="A451" s="187" t="s">
        <v>415</v>
      </c>
      <c r="B451" s="181"/>
      <c r="C451" s="181"/>
      <c r="D451" s="146" t="s">
        <v>657</v>
      </c>
      <c r="E451" s="146" t="str">
        <f>IFERROR(VLOOKUP(D451,Table2[],2,FALSE),"")</f>
        <v>Ton</v>
      </c>
      <c r="F451" s="146" t="s">
        <v>416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25">
      <c r="A452" s="187" t="s">
        <v>415</v>
      </c>
      <c r="B452" s="181"/>
      <c r="C452" s="181"/>
      <c r="D452" s="146" t="s">
        <v>655</v>
      </c>
      <c r="E452" s="146" t="str">
        <f>IFERROR(VLOOKUP(D452,Table2[],2,FALSE),"")</f>
        <v>Ton</v>
      </c>
      <c r="F452" s="146" t="s">
        <v>416</v>
      </c>
      <c r="G452" s="146" t="str">
        <f>IFERROR(VLOOKUP(F452,Table2[],2,FALSE),"")</f>
        <v>FE</v>
      </c>
      <c r="H452" s="201">
        <f>VLOOKUP('Processer - data'!$D452,Foder!$A$2:$C$16,3,FALSE)</f>
        <v>2750</v>
      </c>
      <c r="I452" s="201">
        <f>VLOOKUP('Processer - data'!$D452,Foder!$A$2:$C$16,3,FALSE)</f>
        <v>2750</v>
      </c>
      <c r="J452" s="201">
        <f>VLOOKUP('Processer - data'!$D452,Foder!$A$2:$C$16,3,FALSE)</f>
        <v>2750</v>
      </c>
      <c r="K452" s="147"/>
    </row>
    <row r="453" spans="1:15" x14ac:dyDescent="0.25">
      <c r="A453" s="187" t="s">
        <v>415</v>
      </c>
      <c r="B453" s="181"/>
      <c r="C453" s="181"/>
      <c r="D453" s="146" t="s">
        <v>424</v>
      </c>
      <c r="E453" s="146" t="str">
        <f>IFERROR(VLOOKUP(D453,Table2[],2,FALSE),"")</f>
        <v>Ton</v>
      </c>
      <c r="F453" s="146" t="s">
        <v>416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5.75" thickBot="1" x14ac:dyDescent="0.3">
      <c r="A454" s="188" t="s">
        <v>415</v>
      </c>
      <c r="B454" s="182"/>
      <c r="C454" s="182"/>
      <c r="D454" s="148" t="s">
        <v>497</v>
      </c>
      <c r="E454" s="148" t="str">
        <f>IFERROR(VLOOKUP(D454,Table2[],2,FALSE),"")</f>
        <v>Ton</v>
      </c>
      <c r="F454" s="148" t="s">
        <v>416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5.75" thickTop="1" x14ac:dyDescent="0.25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312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25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312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25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312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25">
      <c r="A458" s="187" t="s">
        <v>36</v>
      </c>
      <c r="B458" s="181"/>
      <c r="C458" s="181"/>
      <c r="D458" s="146" t="s">
        <v>498</v>
      </c>
      <c r="E458" s="146" t="str">
        <f>IFERROR(VLOOKUP(D458,Table2[],2,FALSE),"")</f>
        <v>Ton</v>
      </c>
      <c r="F458" s="146" t="s">
        <v>312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25">
      <c r="A459" s="187" t="s">
        <v>36</v>
      </c>
      <c r="B459" s="181"/>
      <c r="C459" s="181"/>
      <c r="D459" s="441" t="s">
        <v>498</v>
      </c>
      <c r="E459" s="441" t="str">
        <f>IFERROR(VLOOKUP(D459,Table2[],2,FALSE),"")</f>
        <v>Ton</v>
      </c>
      <c r="F459" s="441" t="s">
        <v>344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25">
      <c r="A460" s="187" t="s">
        <v>36</v>
      </c>
      <c r="B460" s="181"/>
      <c r="C460" s="181"/>
      <c r="D460" s="146" t="s">
        <v>499</v>
      </c>
      <c r="E460" s="146" t="str">
        <f>IFERROR(VLOOKUP(D460,Table2[],2,FALSE),"")</f>
        <v>Ton</v>
      </c>
      <c r="F460" s="146" t="s">
        <v>312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25">
      <c r="A461" s="187" t="s">
        <v>36</v>
      </c>
      <c r="B461" s="181"/>
      <c r="C461" s="181"/>
      <c r="D461" s="441" t="s">
        <v>499</v>
      </c>
      <c r="E461" s="441" t="str">
        <f>IFERROR(VLOOKUP(D461,Table2[],2,FALSE),"")</f>
        <v>Ton</v>
      </c>
      <c r="F461" s="441" t="s">
        <v>344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25">
      <c r="A462" s="187" t="s">
        <v>36</v>
      </c>
      <c r="B462" s="181"/>
      <c r="C462" s="181"/>
      <c r="D462" s="146" t="s">
        <v>500</v>
      </c>
      <c r="E462" s="146" t="str">
        <f>IFERROR(VLOOKUP(D462,Table2[],2,FALSE),"")</f>
        <v>Ton</v>
      </c>
      <c r="F462" s="146" t="s">
        <v>312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25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312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25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312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25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312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25">
      <c r="A466" s="187" t="s">
        <v>36</v>
      </c>
      <c r="B466" s="181"/>
      <c r="C466" s="181"/>
      <c r="D466" s="146" t="s">
        <v>322</v>
      </c>
      <c r="E466" s="146" t="str">
        <f>IFERROR(VLOOKUP(D466,Table2[],2,FALSE),"")</f>
        <v>Ton</v>
      </c>
      <c r="F466" s="146" t="s">
        <v>312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25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312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25">
      <c r="A468" s="187" t="s">
        <v>36</v>
      </c>
      <c r="B468" s="181"/>
      <c r="C468" s="181"/>
      <c r="D468" s="146" t="s">
        <v>311</v>
      </c>
      <c r="E468" s="146" t="str">
        <f>IFERROR(VLOOKUP(D468,Table2[],2,FALSE),"")</f>
        <v>Ton</v>
      </c>
      <c r="F468" s="146" t="s">
        <v>312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25">
      <c r="A469" s="187" t="s">
        <v>36</v>
      </c>
      <c r="B469" s="181"/>
      <c r="C469" s="181"/>
      <c r="D469" s="146" t="s">
        <v>310</v>
      </c>
      <c r="E469" s="146" t="str">
        <f>IFERROR(VLOOKUP(D469,Table2[],2,FALSE),"")</f>
        <v>Ton</v>
      </c>
      <c r="F469" s="146" t="s">
        <v>312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25">
      <c r="A470" s="187" t="s">
        <v>36</v>
      </c>
      <c r="B470" s="181"/>
      <c r="C470" s="181"/>
      <c r="D470" s="146" t="s">
        <v>527</v>
      </c>
      <c r="E470" s="146" t="str">
        <f>IFERROR(VLOOKUP(D470,Table2[],2,FALSE),"")</f>
        <v>Ton</v>
      </c>
      <c r="F470" s="146" t="s">
        <v>312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25">
      <c r="A471" s="187" t="s">
        <v>36</v>
      </c>
      <c r="B471" s="181"/>
      <c r="C471" s="181"/>
      <c r="D471" s="146" t="s">
        <v>661</v>
      </c>
      <c r="E471" s="146" t="str">
        <f>IFERROR(VLOOKUP(D471,Table2[],2,FALSE),"")</f>
        <v>PJ</v>
      </c>
      <c r="F471" s="146" t="s">
        <v>312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25">
      <c r="A472" s="187" t="s">
        <v>36</v>
      </c>
      <c r="B472" s="181"/>
      <c r="C472" s="181"/>
      <c r="D472" s="146" t="s">
        <v>519</v>
      </c>
      <c r="E472" s="146" t="str">
        <f>IFERROR(VLOOKUP(D472,Table2[],2,FALSE),"")</f>
        <v>Ton</v>
      </c>
      <c r="F472" s="146" t="s">
        <v>312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25">
      <c r="A473" s="187" t="s">
        <v>36</v>
      </c>
      <c r="B473" s="181"/>
      <c r="C473" s="181"/>
      <c r="D473" s="146" t="s">
        <v>502</v>
      </c>
      <c r="E473" s="146" t="str">
        <f>IFERROR(VLOOKUP(D473,Table2[],2,FALSE),"")</f>
        <v>Ton</v>
      </c>
      <c r="F473" s="146" t="s">
        <v>312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5.75" thickBot="1" x14ac:dyDescent="0.3">
      <c r="A474" s="187" t="s">
        <v>36</v>
      </c>
      <c r="B474" s="181"/>
      <c r="C474" s="181"/>
      <c r="D474" s="150" t="s">
        <v>352</v>
      </c>
      <c r="E474" s="146" t="str">
        <f>IFERROR(VLOOKUP(D474,Table2[],2,FALSE),"")</f>
        <v>Ton</v>
      </c>
      <c r="F474" s="146" t="s">
        <v>314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508</v>
      </c>
      <c r="O474" s="9"/>
    </row>
    <row r="475" spans="1:15" s="146" customFormat="1" ht="15.75" thickTop="1" x14ac:dyDescent="0.25">
      <c r="A475" s="186" t="s">
        <v>303</v>
      </c>
      <c r="B475" s="180"/>
      <c r="C475" s="180"/>
      <c r="D475" s="241" t="s">
        <v>498</v>
      </c>
      <c r="E475" s="241" t="str">
        <f>IFERROR(VLOOKUP(D475,Table2[],2,FALSE),"")</f>
        <v>Ton</v>
      </c>
      <c r="F475" s="144" t="s">
        <v>303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552</v>
      </c>
    </row>
    <row r="476" spans="1:15" s="146" customFormat="1" x14ac:dyDescent="0.25">
      <c r="A476" s="187" t="s">
        <v>303</v>
      </c>
      <c r="B476" s="181"/>
      <c r="C476" s="181"/>
      <c r="D476" s="150" t="s">
        <v>499</v>
      </c>
      <c r="E476" s="150" t="str">
        <f>IFERROR(VLOOKUP(D476,Table2[],2,FALSE),"")</f>
        <v>Ton</v>
      </c>
      <c r="F476" s="146" t="s">
        <v>303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552</v>
      </c>
    </row>
    <row r="477" spans="1:15" s="146" customFormat="1" x14ac:dyDescent="0.25">
      <c r="A477" s="187" t="s">
        <v>303</v>
      </c>
      <c r="B477" s="181"/>
      <c r="C477" s="181"/>
      <c r="D477" s="150" t="s">
        <v>500</v>
      </c>
      <c r="E477" s="150" t="str">
        <f>IFERROR(VLOOKUP(D477,Table2[],2,FALSE),"")</f>
        <v>Ton</v>
      </c>
      <c r="F477" s="146" t="s">
        <v>303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552</v>
      </c>
    </row>
    <row r="478" spans="1:15" s="146" customFormat="1" x14ac:dyDescent="0.25">
      <c r="A478" s="187" t="s">
        <v>303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303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552</v>
      </c>
    </row>
    <row r="479" spans="1:15" s="146" customFormat="1" x14ac:dyDescent="0.25">
      <c r="A479" s="187" t="s">
        <v>303</v>
      </c>
      <c r="B479" s="181"/>
      <c r="C479" s="181"/>
      <c r="D479" s="146" t="s">
        <v>314</v>
      </c>
      <c r="E479" s="146" t="str">
        <f>IFERROR(VLOOKUP(D479,Table2[],2,FALSE),"")</f>
        <v>Ton</v>
      </c>
      <c r="F479" s="146" t="s">
        <v>303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422</v>
      </c>
    </row>
    <row r="480" spans="1:15" s="146" customFormat="1" ht="15.75" thickBot="1" x14ac:dyDescent="0.3">
      <c r="A480" s="187" t="s">
        <v>303</v>
      </c>
      <c r="B480" s="181"/>
      <c r="C480" s="181"/>
      <c r="D480" s="146" t="s">
        <v>320</v>
      </c>
      <c r="E480" s="146" t="str">
        <f>IFERROR(VLOOKUP(D480,Table2[],2,FALSE),"")</f>
        <v>Ton</v>
      </c>
      <c r="F480" s="146" t="s">
        <v>303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421</v>
      </c>
    </row>
    <row r="481" spans="1:11" ht="15.75" thickTop="1" x14ac:dyDescent="0.25">
      <c r="A481" s="186" t="s">
        <v>408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409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25">
      <c r="A482" s="187" t="s">
        <v>408</v>
      </c>
      <c r="B482" s="181"/>
      <c r="C482" s="181"/>
      <c r="D482" s="150" t="s">
        <v>721</v>
      </c>
      <c r="E482" s="146" t="str">
        <f>IFERROR(VLOOKUP(D482,Table2[],2,FALSE),"")</f>
        <v>Ton</v>
      </c>
      <c r="F482" s="146" t="s">
        <v>409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25">
      <c r="A483" s="187" t="s">
        <v>408</v>
      </c>
      <c r="B483" s="181"/>
      <c r="C483" s="181"/>
      <c r="D483" s="150" t="s">
        <v>339</v>
      </c>
      <c r="E483" s="146" t="str">
        <f>IFERROR(VLOOKUP(D483,Table2[],2,FALSE),"")</f>
        <v>Ton</v>
      </c>
      <c r="F483" s="146" t="s">
        <v>409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25">
      <c r="A484" s="187" t="s">
        <v>408</v>
      </c>
      <c r="B484" s="181"/>
      <c r="C484" s="181"/>
      <c r="D484" s="146" t="s">
        <v>405</v>
      </c>
      <c r="E484" s="146" t="str">
        <f>IFERROR(VLOOKUP(D484,Table2[],2,FALSE),"")</f>
        <v>m3</v>
      </c>
      <c r="F484" s="146" t="s">
        <v>409</v>
      </c>
      <c r="G484" s="146" t="str">
        <f>IFERROR(VLOOKUP(F484,Table2[],2,FALSE),"")</f>
        <v>PJ</v>
      </c>
      <c r="H484" s="146">
        <f>VLOOKUP($D484,Energiindhold!$A$2:$C$10,3,FALSE)</f>
        <v>1.449356890077532E-5</v>
      </c>
      <c r="I484" s="146">
        <f>VLOOKUP($D484,Energiindhold!$A$2:$C$10,3,FALSE)</f>
        <v>1.449356890077532E-5</v>
      </c>
      <c r="J484" s="146">
        <f>VLOOKUP($D484,Energiindhold!$A$2:$C$10,3,FALSE)</f>
        <v>1.449356890077532E-5</v>
      </c>
      <c r="K484" s="147"/>
    </row>
    <row r="485" spans="1:11" x14ac:dyDescent="0.25">
      <c r="A485" s="187" t="s">
        <v>408</v>
      </c>
      <c r="B485" s="181"/>
      <c r="C485" s="181"/>
      <c r="D485" s="146" t="s">
        <v>527</v>
      </c>
      <c r="E485" s="146" t="str">
        <f>IFERROR(VLOOKUP(D485,Table2[],2,FALSE),"")</f>
        <v>Ton</v>
      </c>
      <c r="F485" s="146" t="s">
        <v>409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25">
      <c r="A486" s="187" t="s">
        <v>408</v>
      </c>
      <c r="B486" s="181"/>
      <c r="C486" s="181"/>
      <c r="D486" s="146" t="s">
        <v>322</v>
      </c>
      <c r="E486" s="146" t="str">
        <f>IFERROR(VLOOKUP(D486,Table2[],2,FALSE),"")</f>
        <v>Ton</v>
      </c>
      <c r="F486" s="146" t="s">
        <v>409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25">
      <c r="A487" s="187" t="s">
        <v>408</v>
      </c>
      <c r="B487" s="181"/>
      <c r="C487" s="181"/>
      <c r="D487" s="150" t="s">
        <v>890</v>
      </c>
      <c r="E487" s="441" t="str">
        <f>IFERROR(VLOOKUP(D487,Table2[],2,FALSE),"")</f>
        <v>Ton</v>
      </c>
      <c r="F487" s="441" t="s">
        <v>409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25">
      <c r="A488" s="187" t="s">
        <v>408</v>
      </c>
      <c r="B488" s="181"/>
      <c r="C488" s="181"/>
      <c r="D488" s="150" t="s">
        <v>878</v>
      </c>
      <c r="E488" s="441" t="str">
        <f>IFERROR(VLOOKUP(D488,Table2[],2,FALSE),"")</f>
        <v>Ton</v>
      </c>
      <c r="F488" s="441" t="s">
        <v>409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5.75" thickBot="1" x14ac:dyDescent="0.3">
      <c r="A489" s="188" t="s">
        <v>408</v>
      </c>
      <c r="B489" s="182"/>
      <c r="C489" s="182"/>
      <c r="D489" s="148" t="s">
        <v>312</v>
      </c>
      <c r="E489" s="148" t="str">
        <f>IFERROR(VLOOKUP(D489,Table2[],2,FALSE),"")</f>
        <v>Nm3 CH4</v>
      </c>
      <c r="F489" s="148" t="s">
        <v>409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5.75" thickTop="1" x14ac:dyDescent="0.25">
      <c r="A490" s="186" t="s">
        <v>656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655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25">
      <c r="A491" s="187" t="s">
        <v>656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657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5.75" thickBot="1" x14ac:dyDescent="0.3">
      <c r="A492" s="188" t="s">
        <v>656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661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5.75" thickTop="1" x14ac:dyDescent="0.25">
      <c r="A493" s="186" t="s">
        <v>722</v>
      </c>
      <c r="B493" s="180"/>
      <c r="C493" s="180"/>
      <c r="D493" s="144" t="s">
        <v>177</v>
      </c>
      <c r="E493" s="144" t="str">
        <f>IFERROR(VLOOKUP(D493,Table2[],2,FALSE),"")</f>
        <v>Ton</v>
      </c>
      <c r="F493" s="144" t="s">
        <v>720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497" si="16">I493</f>
        <v>0.5</v>
      </c>
      <c r="K493" s="145"/>
    </row>
    <row r="494" spans="1:11" ht="15.75" thickBot="1" x14ac:dyDescent="0.3">
      <c r="A494" s="188" t="s">
        <v>722</v>
      </c>
      <c r="B494" s="182"/>
      <c r="C494" s="182"/>
      <c r="D494" s="148" t="s">
        <v>177</v>
      </c>
      <c r="E494" s="148" t="str">
        <f>IFERROR(VLOOKUP(D494,Table2[],2,FALSE),"")</f>
        <v>Ton</v>
      </c>
      <c r="F494" s="148" t="s">
        <v>721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5.75" thickTop="1" x14ac:dyDescent="0.25">
      <c r="A495" s="186" t="s">
        <v>876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344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25">
      <c r="A496" s="187" t="s">
        <v>876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890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5.75" thickBot="1" x14ac:dyDescent="0.3">
      <c r="A497" s="188" t="s">
        <v>876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878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25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25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25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25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25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25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25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25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25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25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25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25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25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25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25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25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25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25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25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25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25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25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25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25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25">
      <c r="E44" t="s">
        <v>344</v>
      </c>
      <c r="F44" t="s">
        <v>345</v>
      </c>
      <c r="H44" s="456" t="b">
        <f>IF(COUNTIF('Processer - data'!$D:$F,Table2[[#This Row],[Råvare]])&gt;0,TRUE,FALSE)</f>
        <v>1</v>
      </c>
    </row>
    <row r="45" spans="1:8" x14ac:dyDescent="0.25">
      <c r="E45" s="456" t="s">
        <v>905</v>
      </c>
      <c r="F45" t="s">
        <v>345</v>
      </c>
      <c r="H45" s="213" t="b">
        <f>IF(COUNTIF('Processer - data'!$D:$F,Table2[[#This Row],[Råvare]])&gt;0,TRUE,FALSE)</f>
        <v>1</v>
      </c>
    </row>
    <row r="46" spans="1:8" x14ac:dyDescent="0.25">
      <c r="E46" s="441" t="s">
        <v>39</v>
      </c>
      <c r="F46" t="s">
        <v>317</v>
      </c>
      <c r="H46" t="b">
        <f>IF(COUNTIF('Processer - data'!$D:$F,Table2[[#This Row],[Råvare]])&gt;0,TRUE,FALSE)</f>
        <v>1</v>
      </c>
    </row>
    <row r="47" spans="1:8" x14ac:dyDescent="0.25">
      <c r="E47" t="s">
        <v>409</v>
      </c>
      <c r="F47" t="s">
        <v>410</v>
      </c>
      <c r="H47" s="456" t="b">
        <f>IF(COUNTIF('Processer - data'!$D:$F,Table2[[#This Row],[Råvare]])&gt;0,TRUE,FALSE)</f>
        <v>1</v>
      </c>
    </row>
    <row r="48" spans="1:8" x14ac:dyDescent="0.25">
      <c r="E48" t="s">
        <v>657</v>
      </c>
      <c r="F48" t="s">
        <v>317</v>
      </c>
      <c r="H48" s="213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316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25">
      <c r="E50" t="s">
        <v>500</v>
      </c>
      <c r="F50" t="s">
        <v>317</v>
      </c>
      <c r="H50" s="213" t="b">
        <f>IF(COUNTIF('Processer - data'!$D:$F,Table2[[#This Row],[Råvare]])&gt;0,TRUE,FALSE)</f>
        <v>1</v>
      </c>
    </row>
    <row r="51" spans="5:8" x14ac:dyDescent="0.25">
      <c r="E51" t="s">
        <v>365</v>
      </c>
      <c r="F51" t="s">
        <v>317</v>
      </c>
      <c r="H51" t="b">
        <f>IF(COUNTIF('Processer - data'!$D:$F,Table2[[#This Row],[Råvare]])&gt;0,TRUE,FALSE)</f>
        <v>1</v>
      </c>
    </row>
    <row r="52" spans="5:8" x14ac:dyDescent="0.25">
      <c r="E52" s="456" t="s">
        <v>416</v>
      </c>
      <c r="F52" t="s">
        <v>343</v>
      </c>
      <c r="H52" t="b">
        <f>IF(COUNTIF('Processer - data'!$D:$F,Table2[[#This Row],[Råvare]])&gt;0,TRUE,FALSE)</f>
        <v>1</v>
      </c>
    </row>
    <row r="53" spans="5:8" x14ac:dyDescent="0.25">
      <c r="E53" s="441" t="s">
        <v>307</v>
      </c>
      <c r="F53" t="s">
        <v>317</v>
      </c>
      <c r="H53" s="456" t="b">
        <f>IF(COUNTIF('Processer - data'!$D:$F,Table2[[#This Row],[Råvare]])&gt;0,TRUE,FALSE)</f>
        <v>1</v>
      </c>
    </row>
    <row r="54" spans="5:8" x14ac:dyDescent="0.25">
      <c r="E54" t="s">
        <v>153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25">
      <c r="E55" s="456" t="s">
        <v>519</v>
      </c>
      <c r="F55" t="s">
        <v>317</v>
      </c>
      <c r="H55" s="213" t="b">
        <f>IF(COUNTIF('Processer - data'!$D:$F,Table2[[#This Row],[Råvare]])&gt;0,TRUE,FALSE)</f>
        <v>1</v>
      </c>
    </row>
    <row r="56" spans="5:8" x14ac:dyDescent="0.25">
      <c r="E56" s="146" t="s">
        <v>303</v>
      </c>
      <c r="F56" t="s">
        <v>420</v>
      </c>
      <c r="H56" t="b">
        <f>IF(COUNTIF('Processer - data'!$D:$F,Table2[[#This Row],[Råvare]])&gt;0,TRUE,FALSE)</f>
        <v>1</v>
      </c>
    </row>
    <row r="57" spans="5:8" x14ac:dyDescent="0.25">
      <c r="E57" s="441" t="s">
        <v>13</v>
      </c>
      <c r="F57" t="s">
        <v>317</v>
      </c>
      <c r="H57" s="456" t="b">
        <f>IF(COUNTIF('Processer - data'!$D:$F,Table2[[#This Row],[Råvare]])&gt;0,TRUE,FALSE)</f>
        <v>1</v>
      </c>
    </row>
    <row r="58" spans="5:8" x14ac:dyDescent="0.25">
      <c r="E58" s="456" t="s">
        <v>655</v>
      </c>
      <c r="F58" t="s">
        <v>317</v>
      </c>
      <c r="H58" s="213" t="b">
        <f>IF(COUNTIF('Processer - data'!$D:$F,Table2[[#This Row],[Råvare]])&gt;0,TRUE,FALSE)</f>
        <v>1</v>
      </c>
    </row>
    <row r="59" spans="5:8" x14ac:dyDescent="0.25">
      <c r="E59" s="146" t="s">
        <v>12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41" t="s">
        <v>37</v>
      </c>
      <c r="F60" t="s">
        <v>317</v>
      </c>
      <c r="H60" s="456" t="b">
        <f>IF(COUNTIF('Processer - data'!$D:$F,Table2[[#This Row],[Råvare]])&gt;0,TRUE,FALSE)</f>
        <v>1</v>
      </c>
    </row>
    <row r="61" spans="5:8" x14ac:dyDescent="0.25">
      <c r="E61" t="s">
        <v>527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25">
      <c r="E62" s="456" t="s">
        <v>497</v>
      </c>
      <c r="F62" t="s">
        <v>317</v>
      </c>
      <c r="H62" s="213" t="b">
        <f>IF(COUNTIF('Processer - data'!$D:$F,Table2[[#This Row],[Råvare]])&gt;0,TRUE,FALSE)</f>
        <v>1</v>
      </c>
    </row>
    <row r="63" spans="5:8" x14ac:dyDescent="0.25">
      <c r="E63" s="441" t="s">
        <v>41</v>
      </c>
      <c r="F63" t="s">
        <v>317</v>
      </c>
      <c r="H63" s="456" t="b">
        <f>IF(COUNTIF('Processer - data'!$D:$F,Table2[[#This Row],[Råvare]])&gt;0,TRUE,FALSE)</f>
        <v>1</v>
      </c>
    </row>
    <row r="64" spans="5:8" x14ac:dyDescent="0.25">
      <c r="E64" s="456" t="s">
        <v>148</v>
      </c>
      <c r="F64" t="s">
        <v>317</v>
      </c>
      <c r="H64" s="213" t="b">
        <f>IF(COUNTIF('Processer - data'!$D:$F,Table2[[#This Row],[Råvare]])&gt;0,TRUE,FALSE)</f>
        <v>1</v>
      </c>
    </row>
    <row r="65" spans="5:8" x14ac:dyDescent="0.25">
      <c r="E65" s="146" t="s">
        <v>188</v>
      </c>
      <c r="F65" t="s">
        <v>317</v>
      </c>
      <c r="H65" t="b">
        <f>IF(COUNTIF('Processer - data'!$D:$F,Table2[[#This Row],[Råvare]])&gt;0,TRUE,FALSE)</f>
        <v>1</v>
      </c>
    </row>
    <row r="66" spans="5:8" x14ac:dyDescent="0.25">
      <c r="E66" s="146" t="s">
        <v>17</v>
      </c>
      <c r="F66" t="s">
        <v>316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s="146" t="s">
        <v>11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41" t="s">
        <v>320</v>
      </c>
      <c r="F68" t="s">
        <v>317</v>
      </c>
      <c r="H68" s="456" t="b">
        <f>IF(COUNTIF('Processer - data'!$D:$F,Table2[[#This Row],[Råvare]])&gt;0,TRUE,FALSE)</f>
        <v>1</v>
      </c>
    </row>
    <row r="69" spans="5:8" x14ac:dyDescent="0.25">
      <c r="E69" t="s">
        <v>499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25">
      <c r="E70" s="456" t="s">
        <v>430</v>
      </c>
      <c r="F70" t="s">
        <v>317</v>
      </c>
      <c r="H70" s="213" t="b">
        <f>IF(COUNTIF('Processer - data'!$D:$F,Table2[[#This Row],[Råvare]])&gt;0,TRUE,FALSE)</f>
        <v>1</v>
      </c>
    </row>
    <row r="71" spans="5:8" x14ac:dyDescent="0.25">
      <c r="E71" s="146" t="s">
        <v>15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309</v>
      </c>
      <c r="F72" t="s">
        <v>317</v>
      </c>
      <c r="H72" t="b">
        <f>IF(COUNTIF('Processer - data'!$D:$F,Table2[[#This Row],[Råvare]])&gt;0,TRUE,FALSE)</f>
        <v>1</v>
      </c>
    </row>
    <row r="73" spans="5:8" x14ac:dyDescent="0.25">
      <c r="E73" s="146" t="s">
        <v>298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s="146" t="s">
        <v>311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41" t="s">
        <v>319</v>
      </c>
      <c r="F75" t="s">
        <v>317</v>
      </c>
      <c r="H75" s="456" t="b">
        <f>IF(COUNTIF('Processer - data'!$D:$F,Table2[[#This Row],[Råvare]])&gt;0,TRUE,FALSE)</f>
        <v>1</v>
      </c>
    </row>
    <row r="76" spans="5:8" x14ac:dyDescent="0.25">
      <c r="E76" s="456" t="s">
        <v>146</v>
      </c>
      <c r="F76" t="s">
        <v>317</v>
      </c>
      <c r="H76" s="213" t="b">
        <f>IF(COUNTIF('Processer - data'!$D:$F,Table2[[#This Row],[Råvare]])&gt;0,TRUE,FALSE)</f>
        <v>1</v>
      </c>
    </row>
    <row r="77" spans="5:8" x14ac:dyDescent="0.25">
      <c r="E77" s="441" t="s">
        <v>339</v>
      </c>
      <c r="F77" t="s">
        <v>317</v>
      </c>
      <c r="H77" s="456" t="b">
        <f>IF(COUNTIF('Processer - data'!$D:$F,Table2[[#This Row],[Råvare]])&gt;0,TRUE,FALSE)</f>
        <v>1</v>
      </c>
    </row>
    <row r="78" spans="5:8" x14ac:dyDescent="0.25">
      <c r="E78" s="456" t="s">
        <v>878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25">
      <c r="E79" s="456" t="s">
        <v>890</v>
      </c>
      <c r="F79" t="s">
        <v>317</v>
      </c>
      <c r="H79" s="213" t="b">
        <f>IF(COUNTIF('Processer - data'!$D:$F,Table2[[#This Row],[Råvare]])&gt;0,TRUE,FALSE)</f>
        <v>1</v>
      </c>
    </row>
    <row r="80" spans="5:8" x14ac:dyDescent="0.25">
      <c r="E80" s="441" t="s">
        <v>302</v>
      </c>
      <c r="F80" t="s">
        <v>317</v>
      </c>
      <c r="H80" s="456" t="b">
        <f>IF(COUNTIF('Processer - data'!$D:$F,Table2[[#This Row],[Råvare]])&gt;0,TRUE,FALSE)</f>
        <v>1</v>
      </c>
    </row>
    <row r="81" spans="5:8" x14ac:dyDescent="0.25">
      <c r="E81" s="441" t="s">
        <v>177</v>
      </c>
      <c r="F81" t="s">
        <v>317</v>
      </c>
      <c r="H81" s="456" t="b">
        <f>IF(COUNTIF('Processer - data'!$D:$F,Table2[[#This Row],[Råvare]])&gt;0,TRUE,FALSE)</f>
        <v>1</v>
      </c>
    </row>
    <row r="82" spans="5:8" x14ac:dyDescent="0.25">
      <c r="E82" s="456" t="s">
        <v>720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25">
      <c r="E83" s="456" t="s">
        <v>721</v>
      </c>
      <c r="F83" t="s">
        <v>317</v>
      </c>
      <c r="H83" s="213" t="b">
        <f>IF(COUNTIF('Processer - data'!$D:$F,Table2[[#This Row],[Råvare]])&gt;0,TRUE,FALSE)</f>
        <v>1</v>
      </c>
    </row>
    <row r="84" spans="5:8" x14ac:dyDescent="0.25">
      <c r="E84" s="441" t="s">
        <v>42</v>
      </c>
      <c r="F84" t="s">
        <v>317</v>
      </c>
      <c r="H84" t="b">
        <f>IF(COUNTIF('Processer - data'!$D:$F,Table2[[#This Row],[Råvare]])&gt;0,TRUE,FALSE)</f>
        <v>1</v>
      </c>
    </row>
    <row r="85" spans="5:8" x14ac:dyDescent="0.25">
      <c r="E85" s="441" t="s">
        <v>364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41" t="s">
        <v>301</v>
      </c>
      <c r="F86" t="s">
        <v>316</v>
      </c>
      <c r="H86" t="b">
        <f>IF(COUNTIF('Processer - data'!$D:$F,Table2[[#This Row],[Råvare]])&gt;0,TRUE,FALSE)</f>
        <v>1</v>
      </c>
    </row>
    <row r="87" spans="5:8" x14ac:dyDescent="0.25">
      <c r="E87" s="456" t="s">
        <v>425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456" t="s">
        <v>424</v>
      </c>
      <c r="F88" t="s">
        <v>317</v>
      </c>
      <c r="H88" t="b">
        <f>IF(COUNTIF('Processer - data'!$D:$F,Table2[[#This Row],[Råvare]])&gt;0,TRUE,FALSE)</f>
        <v>1</v>
      </c>
    </row>
    <row r="89" spans="5:8" x14ac:dyDescent="0.25">
      <c r="E89" s="146" t="s">
        <v>300</v>
      </c>
      <c r="F89" t="s">
        <v>316</v>
      </c>
      <c r="H89" t="b">
        <f>IF(COUNTIF('Processer - data'!$D:$F,Table2[[#This Row],[Råvare]])&gt;0,TRUE,FALSE)</f>
        <v>1</v>
      </c>
    </row>
    <row r="90" spans="5:8" x14ac:dyDescent="0.25">
      <c r="E90" s="146" t="s">
        <v>502</v>
      </c>
      <c r="F90" t="s">
        <v>317</v>
      </c>
      <c r="H90" t="b">
        <f>IF(COUNTIF('Processer - data'!$D:$F,Table2[[#This Row],[Råvare]])&gt;0,TRUE,FALSE)</f>
        <v>1</v>
      </c>
    </row>
    <row r="91" spans="5:8" x14ac:dyDescent="0.25">
      <c r="E91" s="146" t="s">
        <v>16</v>
      </c>
      <c r="F91" t="s">
        <v>316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s="146" t="s">
        <v>498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1" t="s">
        <v>318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1" t="s">
        <v>310</v>
      </c>
      <c r="F94" t="s">
        <v>317</v>
      </c>
      <c r="H94" t="b">
        <f>IF(COUNTIF('Processer - data'!$D:$F,Table2[[#This Row],[Råvare]])&gt;0,TRUE,FALSE)</f>
        <v>1</v>
      </c>
    </row>
    <row r="95" spans="5:8" x14ac:dyDescent="0.25">
      <c r="E95" s="441" t="s">
        <v>299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s="456" t="s">
        <v>352</v>
      </c>
      <c r="F96" t="s">
        <v>317</v>
      </c>
      <c r="H96" t="b">
        <f>IF(COUNTIF('Processer - data'!$D:$F,Table2[[#This Row],[Råvare]])&gt;0,TRUE,FALSE)</f>
        <v>1</v>
      </c>
    </row>
    <row r="97" spans="5:8" x14ac:dyDescent="0.25">
      <c r="E97" s="456" t="s">
        <v>405</v>
      </c>
      <c r="F97" t="s">
        <v>625</v>
      </c>
      <c r="H97" s="456" t="b">
        <f>IF(COUNTIF('Processer - data'!$D:$F,Table2[[#This Row],[Råvare]])&gt;0,TRUE,FALSE)</f>
        <v>1</v>
      </c>
    </row>
    <row r="98" spans="5:8" x14ac:dyDescent="0.25">
      <c r="E98" s="441" t="s">
        <v>553</v>
      </c>
      <c r="F98" t="s">
        <v>625</v>
      </c>
      <c r="H98" s="456" t="b">
        <f>IF(COUNTIF('Processer - data'!$D:$F,Table2[[#This Row],[Råvare]])&gt;0,TRUE,FALSE)</f>
        <v>1</v>
      </c>
    </row>
    <row r="99" spans="5:8" x14ac:dyDescent="0.25">
      <c r="E99" s="441" t="s">
        <v>308</v>
      </c>
      <c r="F99" t="s">
        <v>625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666</v>
      </c>
    </row>
    <row r="2" spans="1:9" x14ac:dyDescent="0.25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25">
      <c r="A3" s="8" t="s">
        <v>440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660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661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667</v>
      </c>
    </row>
    <row r="9" spans="1:9" x14ac:dyDescent="0.25">
      <c r="A9" s="2" t="s">
        <v>779</v>
      </c>
    </row>
    <row r="10" spans="1:9" x14ac:dyDescent="0.25">
      <c r="A10" s="8" t="s">
        <v>761</v>
      </c>
      <c r="B10" s="8">
        <f>B11/B12</f>
        <v>0.30562345796166263</v>
      </c>
    </row>
    <row r="11" spans="1:9" x14ac:dyDescent="0.25">
      <c r="A11" s="8" t="s">
        <v>763</v>
      </c>
      <c r="B11" s="8">
        <f>(1582.7+27.63)*1000000</f>
        <v>1610330000.0000002</v>
      </c>
    </row>
    <row r="12" spans="1:9" x14ac:dyDescent="0.25">
      <c r="A12" s="8" t="s">
        <v>780</v>
      </c>
      <c r="B12" s="8">
        <f>4786000000+483000000</f>
        <v>5269000000</v>
      </c>
    </row>
    <row r="14" spans="1:9" x14ac:dyDescent="0.25">
      <c r="A14" s="2" t="s">
        <v>876</v>
      </c>
    </row>
    <row r="15" spans="1:9" x14ac:dyDescent="0.25">
      <c r="A15" s="478" t="s">
        <v>879</v>
      </c>
      <c r="B15" s="478">
        <f>H22</f>
        <v>-0.65266666666666662</v>
      </c>
      <c r="C15" s="478" t="s">
        <v>888</v>
      </c>
    </row>
    <row r="16" spans="1:9" x14ac:dyDescent="0.25">
      <c r="A16" s="478" t="s">
        <v>890</v>
      </c>
      <c r="B16" s="478">
        <f>B23/1000</f>
        <v>0.14000000000000001</v>
      </c>
      <c r="C16" s="478" t="s">
        <v>889</v>
      </c>
    </row>
    <row r="17" spans="1:12" x14ac:dyDescent="0.25">
      <c r="A17" s="478" t="s">
        <v>878</v>
      </c>
      <c r="B17" s="478">
        <f>B24/1000</f>
        <v>0.56000000000000005</v>
      </c>
      <c r="C17" s="478" t="s">
        <v>889</v>
      </c>
    </row>
    <row r="19" spans="1:12" ht="15.75" thickBot="1" x14ac:dyDescent="0.3">
      <c r="A19" s="456" t="s">
        <v>880</v>
      </c>
      <c r="B19" s="456"/>
      <c r="C19" s="456"/>
      <c r="D19" s="456"/>
      <c r="E19" s="456"/>
      <c r="F19" s="456"/>
      <c r="G19" s="456"/>
      <c r="H19" s="456" t="s">
        <v>893</v>
      </c>
      <c r="I19" s="456"/>
      <c r="J19" s="456"/>
      <c r="K19" s="456"/>
      <c r="L19" s="456"/>
    </row>
    <row r="20" spans="1:12" ht="15.75" thickBot="1" x14ac:dyDescent="0.3">
      <c r="A20" s="469"/>
      <c r="B20" s="469" t="s">
        <v>881</v>
      </c>
      <c r="C20" s="470"/>
      <c r="D20" s="469" t="s">
        <v>410</v>
      </c>
      <c r="E20" s="470"/>
      <c r="F20" s="159" t="s">
        <v>882</v>
      </c>
      <c r="G20" s="159"/>
      <c r="H20" s="480" t="s">
        <v>883</v>
      </c>
      <c r="I20" s="480" t="s">
        <v>814</v>
      </c>
      <c r="J20" s="480"/>
      <c r="K20" s="479" t="s">
        <v>884</v>
      </c>
      <c r="L20" s="479" t="s">
        <v>885</v>
      </c>
    </row>
    <row r="21" spans="1:12" x14ac:dyDescent="0.25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886</v>
      </c>
      <c r="L21" s="479">
        <v>12</v>
      </c>
    </row>
    <row r="22" spans="1:12" x14ac:dyDescent="0.25">
      <c r="A22" s="471" t="s">
        <v>344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887</v>
      </c>
      <c r="L22" s="479">
        <v>16</v>
      </c>
    </row>
    <row r="23" spans="1:12" x14ac:dyDescent="0.25">
      <c r="A23" s="471" t="s">
        <v>890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25">
      <c r="A24" s="471" t="s">
        <v>878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25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4" t="s">
        <v>789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790</v>
      </c>
      <c r="B3" s="410">
        <f>D23/C23</f>
        <v>0.77115679138975146</v>
      </c>
      <c r="C3" s="410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1" t="str">
        <f>Bebyg</f>
        <v>Bebyggelse &amp; infrastruktur</v>
      </c>
      <c r="B7" s="413">
        <f>SUM(D15:D17)/SUM($C15:$C17)</f>
        <v>0.69809884645309694</v>
      </c>
      <c r="C7" s="413">
        <f>SUM(E15:E17)/SUM($C15:$C17)</f>
        <v>0.30191806772436658</v>
      </c>
      <c r="D7" s="71"/>
      <c r="E7" s="71"/>
    </row>
    <row r="8" spans="1:5" x14ac:dyDescent="0.25">
      <c r="A8" s="411" t="str">
        <f>Afgrøder</f>
        <v>Landbrugsafgrøder</v>
      </c>
      <c r="B8" s="413">
        <f>D18/$C18</f>
        <v>0.77910074969845278</v>
      </c>
      <c r="C8" s="413">
        <f>E18/$C18</f>
        <v>0.22089925030154711</v>
      </c>
      <c r="D8" s="71"/>
      <c r="E8" s="71"/>
    </row>
    <row r="9" spans="1:5" x14ac:dyDescent="0.25">
      <c r="A9" s="411" t="str">
        <f>SkovAreal</f>
        <v>Skov</v>
      </c>
      <c r="B9" s="413">
        <f>D19/$C19</f>
        <v>0.77355804310298804</v>
      </c>
      <c r="C9" s="413">
        <f>E19/$C19</f>
        <v>0.22642416045274155</v>
      </c>
      <c r="D9" s="71"/>
      <c r="E9" s="71"/>
    </row>
    <row r="10" spans="1:5" x14ac:dyDescent="0.25">
      <c r="A10" s="411" t="str">
        <f>NaturAreal</f>
        <v>Natur</v>
      </c>
      <c r="B10" s="413">
        <f>SUM(D20:D21)/SUM($C20:$C21)</f>
        <v>0.82510044406851346</v>
      </c>
      <c r="C10" s="413">
        <f>SUM(E20:E21)/SUM($C20:$C21)</f>
        <v>0.17494184817086067</v>
      </c>
      <c r="D10" s="71"/>
      <c r="E10" s="71"/>
    </row>
    <row r="11" spans="1:5" ht="15.75" thickBot="1" x14ac:dyDescent="0.3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520" t="s">
        <v>58</v>
      </c>
      <c r="C10" s="520"/>
      <c r="D10" s="520"/>
      <c r="E10" s="520"/>
      <c r="F10" s="520"/>
      <c r="G10" s="521"/>
    </row>
    <row r="11" spans="1:7" x14ac:dyDescent="0.25">
      <c r="A11" s="37"/>
      <c r="B11" s="520" t="s">
        <v>65</v>
      </c>
      <c r="C11" s="520"/>
      <c r="D11" s="520"/>
      <c r="E11" s="520"/>
      <c r="F11" s="520"/>
      <c r="G11" s="521"/>
    </row>
    <row r="12" spans="1:7" ht="28.5" customHeight="1" x14ac:dyDescent="0.25">
      <c r="A12" s="38"/>
      <c r="B12" s="522" t="s">
        <v>59</v>
      </c>
      <c r="C12" s="522"/>
      <c r="D12" s="522"/>
      <c r="E12" s="522"/>
      <c r="F12" s="522"/>
      <c r="G12" s="523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16" t="s">
        <v>122</v>
      </c>
      <c r="B42" s="86" t="s">
        <v>121</v>
      </c>
      <c r="C42" s="518">
        <v>1.6</v>
      </c>
      <c r="D42" s="518">
        <v>1</v>
      </c>
      <c r="E42" s="518">
        <v>0.3</v>
      </c>
      <c r="F42" s="518">
        <v>0.3</v>
      </c>
      <c r="G42" s="518">
        <v>0</v>
      </c>
      <c r="H42" s="524">
        <v>5.9</v>
      </c>
      <c r="I42" s="526">
        <v>0</v>
      </c>
      <c r="J42" s="514">
        <v>12.2</v>
      </c>
    </row>
    <row r="43" spans="1:10" x14ac:dyDescent="0.25">
      <c r="A43" s="517"/>
      <c r="B43" s="84">
        <v>3.2</v>
      </c>
      <c r="C43" s="519"/>
      <c r="D43" s="519"/>
      <c r="E43" s="519"/>
      <c r="F43" s="519"/>
      <c r="G43" s="519"/>
      <c r="H43" s="525"/>
      <c r="I43" s="527"/>
      <c r="J43" s="515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1:9" x14ac:dyDescent="0.25">
      <c r="A1" s="73" t="s">
        <v>62</v>
      </c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25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25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79" t="s">
        <v>366</v>
      </c>
      <c r="C1" s="262"/>
      <c r="D1" s="262"/>
      <c r="E1" s="262"/>
      <c r="F1" s="262"/>
      <c r="G1" s="262"/>
      <c r="H1" s="262"/>
      <c r="I1" s="380"/>
      <c r="K1" s="379" t="s">
        <v>367</v>
      </c>
      <c r="L1" s="262"/>
      <c r="M1" s="262"/>
      <c r="N1" s="262"/>
      <c r="O1" s="262"/>
      <c r="P1" s="262"/>
      <c r="Q1" s="262"/>
      <c r="R1" s="380"/>
      <c r="T1" s="379" t="s">
        <v>897</v>
      </c>
      <c r="U1" s="262"/>
      <c r="V1" s="262"/>
      <c r="W1" s="262"/>
      <c r="X1" s="262"/>
      <c r="Y1" s="262"/>
      <c r="Z1" s="262"/>
      <c r="AA1" s="380"/>
    </row>
    <row r="2" spans="1:27" x14ac:dyDescent="0.25">
      <c r="B2" s="381" t="s">
        <v>62</v>
      </c>
      <c r="C2" s="146" t="s">
        <v>734</v>
      </c>
      <c r="D2" s="146"/>
      <c r="E2" s="146"/>
      <c r="F2" s="388"/>
      <c r="G2" s="388" t="s">
        <v>756</v>
      </c>
      <c r="H2" s="388"/>
      <c r="I2" s="389"/>
      <c r="K2" s="381" t="s">
        <v>62</v>
      </c>
      <c r="L2" s="146" t="s">
        <v>734</v>
      </c>
      <c r="M2" s="146"/>
      <c r="N2" s="146"/>
      <c r="O2" s="388"/>
      <c r="P2" s="388" t="s">
        <v>756</v>
      </c>
      <c r="Q2" s="388"/>
      <c r="R2" s="389"/>
      <c r="T2" s="381" t="s">
        <v>62</v>
      </c>
      <c r="U2" s="441" t="s">
        <v>734</v>
      </c>
      <c r="V2" s="441"/>
      <c r="W2" s="441"/>
      <c r="X2" s="388"/>
      <c r="Y2" s="388" t="s">
        <v>756</v>
      </c>
      <c r="Z2" s="388"/>
      <c r="AA2" s="389"/>
    </row>
    <row r="3" spans="1:27" x14ac:dyDescent="0.25">
      <c r="B3" s="381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778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25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25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25">
      <c r="A6" s="167" t="s">
        <v>177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177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177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177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25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25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25">
      <c r="A9" s="167" t="s">
        <v>188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188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188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188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25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25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25">
      <c r="A12" s="167" t="s">
        <v>153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153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153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153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25">
      <c r="A13" s="167" t="s">
        <v>146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146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146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146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25">
      <c r="A14" s="167" t="s">
        <v>307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307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307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307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25">
      <c r="A15" s="167" t="s">
        <v>148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148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148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148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25">
      <c r="A16" s="167" t="s">
        <v>339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339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339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339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5.75" thickBot="1" x14ac:dyDescent="0.3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25">
      <c r="B19" t="s">
        <v>732</v>
      </c>
      <c r="F19" t="s">
        <v>733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25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25">
      <c r="A23" t="s">
        <v>177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25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25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25">
      <c r="A26" t="s">
        <v>188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25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25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25">
      <c r="A29" t="s">
        <v>153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25">
      <c r="A30" t="s">
        <v>146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25">
      <c r="A31" t="s">
        <v>307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25">
      <c r="A32" t="s">
        <v>148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25">
      <c r="A33" t="s">
        <v>339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25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25">
      <c r="A36" t="s">
        <v>777</v>
      </c>
    </row>
    <row r="37" spans="1:10" x14ac:dyDescent="0.25">
      <c r="A37" s="350" t="s">
        <v>757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760</v>
      </c>
      <c r="H37" s="350" t="s">
        <v>735</v>
      </c>
    </row>
    <row r="38" spans="1:10" x14ac:dyDescent="0.25">
      <c r="A38" s="365" t="s">
        <v>758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759</v>
      </c>
    </row>
    <row r="39" spans="1:10" x14ac:dyDescent="0.25">
      <c r="A39" s="351" t="s">
        <v>736</v>
      </c>
      <c r="B39" s="456" t="s">
        <v>339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25">
      <c r="A40" s="351" t="s">
        <v>737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25">
      <c r="A41" s="351" t="s">
        <v>738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30" x14ac:dyDescent="0.25">
      <c r="A42" s="351" t="s">
        <v>739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25">
      <c r="A43" s="351" t="s">
        <v>740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25">
      <c r="A44" s="351" t="s">
        <v>741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25">
      <c r="A45" s="351" t="s">
        <v>742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25">
      <c r="A46" s="351" t="s">
        <v>188</v>
      </c>
      <c r="B46" s="456" t="s">
        <v>188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25">
      <c r="A47" s="351" t="s">
        <v>743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25">
      <c r="A48" s="351" t="s">
        <v>744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25">
      <c r="A49" s="351" t="s">
        <v>745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25">
      <c r="A50" s="351" t="s">
        <v>746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25">
      <c r="A51" s="351" t="s">
        <v>747</v>
      </c>
      <c r="B51" s="456" t="s">
        <v>339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25">
      <c r="A52" s="351" t="s">
        <v>748</v>
      </c>
      <c r="B52" s="456" t="s">
        <v>339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25">
      <c r="A53" s="351" t="s">
        <v>749</v>
      </c>
      <c r="B53" s="456" t="s">
        <v>339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ht="30" x14ac:dyDescent="0.25">
      <c r="A54" s="351" t="s">
        <v>750</v>
      </c>
      <c r="B54" s="456" t="s">
        <v>339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25">
      <c r="A55" s="351" t="s">
        <v>751</v>
      </c>
      <c r="B55" s="456" t="s">
        <v>339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25">
      <c r="A56" s="351" t="s">
        <v>752</v>
      </c>
      <c r="B56" s="456" t="s">
        <v>339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25">
      <c r="A57" s="351" t="s">
        <v>753</v>
      </c>
      <c r="B57" s="456" t="s">
        <v>177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25">
      <c r="A58" s="351" t="s">
        <v>754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25">
      <c r="A59" s="351" t="s">
        <v>187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25">
      <c r="A60" s="351" t="s">
        <v>755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25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25">
      <c r="E62" s="364"/>
    </row>
    <row r="63" spans="1:9" x14ac:dyDescent="0.25">
      <c r="B63" s="334"/>
      <c r="C63" s="334"/>
      <c r="D63" s="334"/>
      <c r="E63" s="334"/>
    </row>
    <row r="64" spans="1:9" x14ac:dyDescent="0.25">
      <c r="B64" s="334"/>
      <c r="C64" s="334"/>
      <c r="D64" s="334"/>
      <c r="E64" s="334"/>
    </row>
    <row r="65" spans="2:5" x14ac:dyDescent="0.25">
      <c r="B65" s="334"/>
      <c r="C65" s="334"/>
      <c r="D65" s="334"/>
      <c r="E65" s="334"/>
    </row>
    <row r="66" spans="2:5" x14ac:dyDescent="0.25">
      <c r="B66" s="334"/>
      <c r="C66" s="334"/>
      <c r="D66" s="334"/>
      <c r="E66" s="334"/>
    </row>
    <row r="67" spans="2:5" x14ac:dyDescent="0.25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C20" sqref="C20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2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2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2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2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2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2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2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2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2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2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2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2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2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3" t="s">
        <v>551</v>
      </c>
    </row>
    <row r="21" spans="1:13" x14ac:dyDescent="0.25">
      <c r="A21" s="234" t="s">
        <v>68</v>
      </c>
    </row>
    <row r="22" spans="1:13" x14ac:dyDescent="0.25">
      <c r="A22" s="228" t="s">
        <v>506</v>
      </c>
    </row>
    <row r="23" spans="1:13" x14ac:dyDescent="0.25">
      <c r="A23" s="239" t="s">
        <v>342</v>
      </c>
      <c r="B23" s="239" t="s">
        <v>507</v>
      </c>
    </row>
    <row r="24" spans="1:13" x14ac:dyDescent="0.25">
      <c r="A24" s="230" t="s">
        <v>422</v>
      </c>
    </row>
    <row r="25" spans="1:13" x14ac:dyDescent="0.25">
      <c r="A25" s="3" t="s">
        <v>521</v>
      </c>
    </row>
    <row r="26" spans="1:13" x14ac:dyDescent="0.25">
      <c r="A26" s="254" t="s">
        <v>522</v>
      </c>
    </row>
    <row r="27" spans="1:13" x14ac:dyDescent="0.25">
      <c r="A27" s="214"/>
    </row>
    <row r="28" spans="1:13" ht="15.75" thickBot="1" x14ac:dyDescent="0.3">
      <c r="A28" s="2" t="s">
        <v>432</v>
      </c>
      <c r="I28"/>
    </row>
    <row r="29" spans="1:13" x14ac:dyDescent="0.2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25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25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25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25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25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25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25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.75" thickBot="1" x14ac:dyDescent="0.3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25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25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.75" thickBot="1" x14ac:dyDescent="0.3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873</v>
      </c>
      <c r="B42" s="1" t="s">
        <v>872</v>
      </c>
      <c r="J42" s="444" t="s">
        <v>861</v>
      </c>
    </row>
    <row r="43" spans="1:10" ht="15.75" thickBot="1" x14ac:dyDescent="0.3">
      <c r="A43" s="438" t="s">
        <v>832</v>
      </c>
      <c r="B43" s="440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4" t="s">
        <v>874</v>
      </c>
      <c r="J43" s="445">
        <v>2019</v>
      </c>
    </row>
    <row r="44" spans="1:10" x14ac:dyDescent="0.25">
      <c r="A44" s="437" t="s">
        <v>833</v>
      </c>
      <c r="B44" s="439">
        <v>3767.3551588371374</v>
      </c>
      <c r="C44" s="1" t="s">
        <v>847</v>
      </c>
      <c r="F44" s="1">
        <v>2578370</v>
      </c>
      <c r="I44" s="448" t="s">
        <v>849</v>
      </c>
      <c r="J44" s="446">
        <v>27.011008109722574</v>
      </c>
    </row>
    <row r="45" spans="1:10" x14ac:dyDescent="0.25">
      <c r="A45" s="437" t="s">
        <v>834</v>
      </c>
      <c r="B45" s="439">
        <v>2952.39814048791</v>
      </c>
      <c r="C45" s="1" t="s">
        <v>830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850</v>
      </c>
      <c r="J45" s="446">
        <v>13.494661638352639</v>
      </c>
    </row>
    <row r="46" spans="1:10" x14ac:dyDescent="0.25">
      <c r="A46" s="437" t="s">
        <v>835</v>
      </c>
      <c r="B46" s="439" t="s">
        <v>836</v>
      </c>
      <c r="F46" s="1">
        <v>2578370</v>
      </c>
      <c r="I46" s="448" t="s">
        <v>851</v>
      </c>
      <c r="J46" s="446">
        <v>4.2965611392438922E-2</v>
      </c>
    </row>
    <row r="47" spans="1:10" x14ac:dyDescent="0.25">
      <c r="A47" s="437" t="s">
        <v>837</v>
      </c>
      <c r="B47" s="439">
        <v>4072.8452465785531</v>
      </c>
      <c r="C47" s="1" t="s">
        <v>829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852</v>
      </c>
      <c r="J47" s="454"/>
    </row>
    <row r="48" spans="1:10" x14ac:dyDescent="0.25">
      <c r="A48" s="437" t="s">
        <v>838</v>
      </c>
      <c r="B48" s="439" t="s">
        <v>836</v>
      </c>
      <c r="F48" s="1">
        <v>2578370</v>
      </c>
      <c r="I48" s="448" t="s">
        <v>853</v>
      </c>
      <c r="J48" s="446">
        <v>5.411826658030066E-3</v>
      </c>
    </row>
    <row r="49" spans="1:10" x14ac:dyDescent="0.25">
      <c r="A49" s="437" t="s">
        <v>839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854</v>
      </c>
      <c r="J49" s="446">
        <v>0.47525986757812505</v>
      </c>
    </row>
    <row r="50" spans="1:10" x14ac:dyDescent="0.25">
      <c r="A50" s="437" t="s">
        <v>840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855</v>
      </c>
      <c r="J50" s="446">
        <v>41.882892458812613</v>
      </c>
    </row>
    <row r="51" spans="1:10" x14ac:dyDescent="0.25">
      <c r="A51" s="437" t="s">
        <v>841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856</v>
      </c>
      <c r="J51" s="446">
        <v>0.58710980836771465</v>
      </c>
    </row>
    <row r="52" spans="1:10" x14ac:dyDescent="0.25">
      <c r="A52" s="437" t="s">
        <v>842</v>
      </c>
      <c r="B52" s="439">
        <v>2.871</v>
      </c>
      <c r="D52" s="1">
        <f t="shared" si="8"/>
        <v>1.1134941843102424E-6</v>
      </c>
      <c r="F52" s="1">
        <v>2578370</v>
      </c>
      <c r="I52" s="448" t="s">
        <v>857</v>
      </c>
      <c r="J52" s="446">
        <v>1.1986960661131167</v>
      </c>
    </row>
    <row r="53" spans="1:10" x14ac:dyDescent="0.25">
      <c r="A53" s="437" t="s">
        <v>843</v>
      </c>
      <c r="B53" s="439" t="s">
        <v>844</v>
      </c>
      <c r="F53" s="1">
        <v>2578370</v>
      </c>
      <c r="I53" s="448" t="s">
        <v>858</v>
      </c>
      <c r="J53" s="457">
        <v>2.5311427660799999E-3</v>
      </c>
    </row>
    <row r="54" spans="1:10" x14ac:dyDescent="0.25">
      <c r="A54" s="460" t="s">
        <v>845</v>
      </c>
      <c r="I54" s="448" t="s">
        <v>859</v>
      </c>
      <c r="J54" s="451">
        <v>3.2264792749629999E-4</v>
      </c>
    </row>
    <row r="55" spans="1:10" ht="15.75" thickBot="1" x14ac:dyDescent="0.3">
      <c r="A55" s="459" t="s">
        <v>846</v>
      </c>
      <c r="B55" s="461">
        <v>4586.0116630635248</v>
      </c>
      <c r="I55" s="442" t="s">
        <v>860</v>
      </c>
      <c r="J55" s="457">
        <v>1.4385168E-3</v>
      </c>
    </row>
    <row r="56" spans="1:10" ht="15.75" thickBot="1" x14ac:dyDescent="0.3">
      <c r="B56" s="265">
        <f>SUM(B44,B45,B47,B55)</f>
        <v>15378.610208967126</v>
      </c>
      <c r="I56" s="452" t="s">
        <v>111</v>
      </c>
      <c r="J56" s="443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871</v>
      </c>
      <c r="B62" s="1" t="s">
        <v>870</v>
      </c>
    </row>
    <row r="63" spans="1:10" ht="15.75" thickBot="1" x14ac:dyDescent="0.3">
      <c r="A63" s="464"/>
      <c r="B63" s="449">
        <v>2019</v>
      </c>
      <c r="C63" s="1" t="s">
        <v>869</v>
      </c>
    </row>
    <row r="64" spans="1:10" x14ac:dyDescent="0.25">
      <c r="A64" s="465" t="s">
        <v>864</v>
      </c>
      <c r="B64" s="462">
        <v>12.32</v>
      </c>
      <c r="C64" s="467">
        <f>1-B65/B64</f>
        <v>0.40827922077922074</v>
      </c>
    </row>
    <row r="65" spans="1:3" x14ac:dyDescent="0.25">
      <c r="A65" s="465" t="s">
        <v>865</v>
      </c>
      <c r="B65" s="462">
        <v>7.29</v>
      </c>
      <c r="C65" s="467"/>
    </row>
    <row r="66" spans="1:3" x14ac:dyDescent="0.25">
      <c r="A66" s="465" t="s">
        <v>866</v>
      </c>
      <c r="B66" s="462">
        <v>13.33</v>
      </c>
      <c r="C66" s="467">
        <f>1-B67/B66</f>
        <v>0.2235558889722431</v>
      </c>
    </row>
    <row r="67" spans="1:3" x14ac:dyDescent="0.25">
      <c r="A67" s="465" t="s">
        <v>867</v>
      </c>
      <c r="B67" s="462">
        <v>10.35</v>
      </c>
      <c r="C67" s="467"/>
    </row>
    <row r="68" spans="1:3" ht="15.75" thickBot="1" x14ac:dyDescent="0.3">
      <c r="A68" s="466" t="s">
        <v>868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2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2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25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2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2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2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25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25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25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347</v>
      </c>
    </row>
    <row r="11" spans="1:18" x14ac:dyDescent="0.2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484</v>
      </c>
    </row>
    <row r="12" spans="1:18" x14ac:dyDescent="0.25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484</v>
      </c>
    </row>
    <row r="13" spans="1:18" x14ac:dyDescent="0.25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5">
        <f t="shared" si="1"/>
        <v>0</v>
      </c>
      <c r="F13" s="267" t="s">
        <v>658</v>
      </c>
    </row>
    <row r="14" spans="1:18" x14ac:dyDescent="0.25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5">
        <v>0</v>
      </c>
      <c r="F14" s="267" t="s">
        <v>659</v>
      </c>
    </row>
    <row r="15" spans="1:18" x14ac:dyDescent="0.25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484</v>
      </c>
    </row>
    <row r="16" spans="1:18" x14ac:dyDescent="0.25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7.25" x14ac:dyDescent="0.3">
      <c r="A18" s="216" t="s">
        <v>441</v>
      </c>
    </row>
    <row r="19" spans="1:11" x14ac:dyDescent="0.25">
      <c r="A19" s="217" t="s">
        <v>107</v>
      </c>
      <c r="E19" t="s">
        <v>485</v>
      </c>
      <c r="H19" t="s">
        <v>486</v>
      </c>
    </row>
    <row r="20" spans="1:11" x14ac:dyDescent="0.25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25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25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25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25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25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25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25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25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25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2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25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25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25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25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25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25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25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25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25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25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25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25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25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25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25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25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25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25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25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25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25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25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25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25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25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25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25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25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25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25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25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25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2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15" x14ac:dyDescent="0.25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17" t="s">
        <v>791</v>
      </c>
    </row>
    <row r="3" spans="1:21" x14ac:dyDescent="0.25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25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25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25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5.75" thickBot="1" x14ac:dyDescent="0.3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874</v>
      </c>
      <c r="S7" s="1" t="s">
        <v>862</v>
      </c>
      <c r="U7" s="1" t="s">
        <v>875</v>
      </c>
    </row>
    <row r="8" spans="1:21" x14ac:dyDescent="0.25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849</v>
      </c>
      <c r="S8" s="455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850</v>
      </c>
      <c r="S9" s="455">
        <v>14.592057308217106</v>
      </c>
    </row>
    <row r="10" spans="1:21" x14ac:dyDescent="0.25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851</v>
      </c>
      <c r="S10" s="455">
        <v>0.19571412612000011</v>
      </c>
    </row>
    <row r="11" spans="1:21" x14ac:dyDescent="0.2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1" t="s">
        <v>653</v>
      </c>
      <c r="N11" s="266"/>
      <c r="R11" s="447" t="s">
        <v>853</v>
      </c>
      <c r="S11" s="455">
        <v>0.46338099649199982</v>
      </c>
    </row>
    <row r="12" spans="1:21" x14ac:dyDescent="0.25">
      <c r="K12" s="1">
        <v>2.1978</v>
      </c>
      <c r="R12" s="447" t="s">
        <v>854</v>
      </c>
      <c r="S12" s="455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1" t="s">
        <v>653</v>
      </c>
      <c r="O13" s="8"/>
      <c r="R13" s="447" t="s">
        <v>855</v>
      </c>
      <c r="S13" s="455">
        <v>3.4053242231492895</v>
      </c>
      <c r="U13" s="1">
        <f>S13*J5*25/1000/(F5*J5)</f>
        <v>5.6932519664996864E-2</v>
      </c>
    </row>
    <row r="14" spans="1:21" x14ac:dyDescent="0.25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47" t="s">
        <v>856</v>
      </c>
      <c r="S14" s="455">
        <v>2.5460227152417424E-2</v>
      </c>
    </row>
    <row r="15" spans="1:21" x14ac:dyDescent="0.25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47" t="s">
        <v>857</v>
      </c>
      <c r="S15" s="455">
        <v>0.48616573334049179</v>
      </c>
    </row>
    <row r="16" spans="1:21" x14ac:dyDescent="0.25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47" t="s">
        <v>858</v>
      </c>
      <c r="S16" s="455">
        <v>0.32571647999999997</v>
      </c>
    </row>
    <row r="17" spans="1:19" x14ac:dyDescent="0.25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859</v>
      </c>
      <c r="S17" s="455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0" t="s">
        <v>860</v>
      </c>
      <c r="S18" s="453">
        <v>1.3538981647058823E-3</v>
      </c>
    </row>
    <row r="19" spans="1:19" ht="17.25" x14ac:dyDescent="0.3">
      <c r="A19" s="534" t="s">
        <v>274</v>
      </c>
      <c r="B19" s="534"/>
      <c r="C19" s="534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5.75" thickBot="1" x14ac:dyDescent="0.3">
      <c r="A29" s="528" t="s">
        <v>267</v>
      </c>
      <c r="B29" s="528" t="s">
        <v>266</v>
      </c>
      <c r="C29" s="140"/>
      <c r="D29" s="140"/>
      <c r="E29" s="128" t="s">
        <v>265</v>
      </c>
      <c r="F29" s="140"/>
      <c r="G29" s="140"/>
      <c r="H29" s="530" t="s">
        <v>264</v>
      </c>
      <c r="I29" s="532" t="s">
        <v>263</v>
      </c>
      <c r="L29" s="217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29"/>
      <c r="B30" s="529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31"/>
      <c r="I30" s="533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0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F12" sqref="F12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92" t="s">
        <v>781</v>
      </c>
      <c r="B1" s="9"/>
    </row>
    <row r="2" spans="1:23" ht="18.75" x14ac:dyDescent="0.3">
      <c r="A2" s="395"/>
      <c r="B2" s="396"/>
      <c r="C2" s="538" t="s">
        <v>782</v>
      </c>
      <c r="D2" s="539"/>
      <c r="E2" s="539"/>
      <c r="F2" s="540"/>
      <c r="G2" s="267"/>
      <c r="H2" s="267"/>
      <c r="I2" s="267"/>
    </row>
    <row r="3" spans="1:23" x14ac:dyDescent="0.25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  <c r="R3" t="s">
        <v>904</v>
      </c>
      <c r="U3" s="173"/>
      <c r="W3" s="226">
        <v>5.0000000000000001E-3</v>
      </c>
    </row>
    <row r="4" spans="1:23" ht="14.25" customHeight="1" x14ac:dyDescent="0.25">
      <c r="A4" s="267" t="s">
        <v>555</v>
      </c>
      <c r="B4" s="267" t="s">
        <v>553</v>
      </c>
      <c r="C4" s="267"/>
      <c r="D4" s="267"/>
      <c r="E4" s="267"/>
      <c r="F4" s="267"/>
      <c r="G4" s="422">
        <f>H4</f>
        <v>6.8302753109928638</v>
      </c>
      <c r="H4" s="422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3" x14ac:dyDescent="0.25">
      <c r="A5" s="267" t="s">
        <v>555</v>
      </c>
      <c r="B5" s="267" t="s">
        <v>405</v>
      </c>
      <c r="C5" s="393"/>
      <c r="D5" s="393"/>
      <c r="E5" s="393"/>
      <c r="F5" s="393"/>
      <c r="G5" s="420">
        <f>(139+1763+205)/3826</f>
        <v>0.55070569785676948</v>
      </c>
      <c r="H5" s="422"/>
      <c r="I5" s="267"/>
      <c r="L5" t="s">
        <v>704</v>
      </c>
      <c r="M5" s="1" t="s">
        <v>614</v>
      </c>
      <c r="R5" s="456" t="s">
        <v>556</v>
      </c>
      <c r="S5" s="496">
        <f>SUMIFS(C$19:C$28,$A$19:$A$28,$R5,$B$19:$B$28,"Hugst")/SUMIF($A$6:$A$15,$R5,$H$6:$H$15)*$W$3</f>
        <v>0</v>
      </c>
      <c r="T5" s="496">
        <f t="shared" ref="T5:W5" si="0">SUMIFS(D$19:D$28,$A$19:$A$28,$R5,$B$19:$B$28,"Hugst")/SUMIF($A$6:$A$15,$R5,$H$6:$H$15)*$W$3</f>
        <v>0</v>
      </c>
      <c r="U5" s="496">
        <f t="shared" si="0"/>
        <v>0</v>
      </c>
      <c r="V5" s="496">
        <f t="shared" si="0"/>
        <v>3.2978723404255323E-3</v>
      </c>
      <c r="W5" s="496">
        <f t="shared" si="0"/>
        <v>1.7021276595744681E-3</v>
      </c>
    </row>
    <row r="6" spans="1:23" x14ac:dyDescent="0.25">
      <c r="A6" s="8" t="s">
        <v>556</v>
      </c>
      <c r="B6" s="267" t="s">
        <v>553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1.9091716555549518</v>
      </c>
      <c r="G6" s="253"/>
      <c r="H6" s="422">
        <f>(3.1+0+0.9)*M4</f>
        <v>4.4066292328986219</v>
      </c>
      <c r="I6" s="267" t="s">
        <v>629</v>
      </c>
      <c r="L6" t="s">
        <v>556</v>
      </c>
      <c r="M6" s="1" t="s">
        <v>615</v>
      </c>
      <c r="R6" s="456" t="s">
        <v>557</v>
      </c>
      <c r="S6" s="496">
        <f t="shared" ref="S6:S9" si="2">SUMIFS(C$19:C$28,$A$19:$A$28,$R6,$B$19:$B$28,"Hugst")/SUMIF($A$6:$A$15,$R6,$H$6:$H$15)*$W$3</f>
        <v>0</v>
      </c>
      <c r="T6" s="496">
        <f t="shared" ref="T6:T9" si="3">SUMIFS(D$19:D$28,$A$19:$A$28,$R6,$B$19:$B$28,"Hugst")/SUMIF($A$6:$A$15,$R6,$H$6:$H$15)*$W$3</f>
        <v>1.5254237288135591E-3</v>
      </c>
      <c r="U6" s="496">
        <f t="shared" ref="U6:U9" si="4">SUMIFS(E$19:E$28,$A$19:$A$28,$R6,$B$19:$B$28,"Hugst")/SUMIF($A$6:$A$15,$R6,$H$6:$H$15)*$W$3</f>
        <v>1.7372881355932205E-3</v>
      </c>
      <c r="V6" s="496">
        <f t="shared" ref="V6:V9" si="5">SUMIFS(F$19:F$28,$A$19:$A$28,$R6,$B$19:$B$28,"Hugst")/SUMIF($A$6:$A$15,$R6,$H$6:$H$15)*$W$3</f>
        <v>8.8983050847457623E-4</v>
      </c>
      <c r="W6" s="496">
        <f t="shared" ref="W6:W9" si="6">SUMIFS(G$19:G$28,$A$19:$A$28,$R6,$B$19:$B$28,"Hugst")/SUMIF($A$6:$A$15,$R6,$H$6:$H$15)*$W$3</f>
        <v>8.4745762711864404E-4</v>
      </c>
    </row>
    <row r="7" spans="1:23" x14ac:dyDescent="0.25">
      <c r="A7" s="8" t="s">
        <v>556</v>
      </c>
      <c r="B7" s="267" t="s">
        <v>405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0.99732847678243752</v>
      </c>
      <c r="G7" s="253"/>
      <c r="H7" s="422"/>
      <c r="I7" s="267"/>
      <c r="L7" t="s">
        <v>557</v>
      </c>
      <c r="M7" s="1" t="s">
        <v>616</v>
      </c>
      <c r="R7" s="456" t="s">
        <v>558</v>
      </c>
      <c r="S7" s="496">
        <f t="shared" si="2"/>
        <v>0</v>
      </c>
      <c r="T7" s="496">
        <f t="shared" si="3"/>
        <v>0</v>
      </c>
      <c r="U7" s="496">
        <f t="shared" si="4"/>
        <v>0</v>
      </c>
      <c r="V7" s="496">
        <f t="shared" si="5"/>
        <v>1.8181818181818182E-3</v>
      </c>
      <c r="W7" s="496">
        <f t="shared" si="6"/>
        <v>3.1818181818181819E-3</v>
      </c>
    </row>
    <row r="8" spans="1:23" x14ac:dyDescent="0.25">
      <c r="A8" s="8" t="s">
        <v>557</v>
      </c>
      <c r="B8" s="267" t="s">
        <v>553</v>
      </c>
      <c r="C8" s="297">
        <f>C21*(1-C22)</f>
        <v>0</v>
      </c>
      <c r="D8" s="297">
        <f t="shared" ref="D8:F14" si="8">D21*(1-D22)</f>
        <v>2.2854721106219968</v>
      </c>
      <c r="E8" s="297">
        <f t="shared" si="8"/>
        <v>2.4169774503204851</v>
      </c>
      <c r="F8" s="297">
        <f t="shared" si="8"/>
        <v>1.1109933871079152</v>
      </c>
      <c r="G8" s="253"/>
      <c r="H8" s="422">
        <f>(6.2+0.7+1.6)*M4</f>
        <v>9.3640871199095717</v>
      </c>
      <c r="I8" s="267" t="s">
        <v>627</v>
      </c>
      <c r="L8" t="s">
        <v>558</v>
      </c>
      <c r="M8" s="1" t="s">
        <v>620</v>
      </c>
      <c r="R8" s="456" t="s">
        <v>559</v>
      </c>
      <c r="S8" s="496">
        <f t="shared" si="2"/>
        <v>0</v>
      </c>
      <c r="T8" s="496">
        <f t="shared" si="3"/>
        <v>2.1951219512195124E-3</v>
      </c>
      <c r="U8" s="496">
        <f t="shared" si="4"/>
        <v>1.2195121951219512E-3</v>
      </c>
      <c r="V8" s="496">
        <f t="shared" si="5"/>
        <v>6.7073170731707312E-4</v>
      </c>
      <c r="W8" s="496">
        <f t="shared" si="6"/>
        <v>9.1463414634146336E-4</v>
      </c>
    </row>
    <row r="9" spans="1:23" x14ac:dyDescent="0.25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2"/>
      <c r="I9" s="267"/>
      <c r="L9" t="s">
        <v>559</v>
      </c>
      <c r="M9" s="1" t="s">
        <v>621</v>
      </c>
      <c r="R9" s="456" t="s">
        <v>560</v>
      </c>
      <c r="S9" s="496">
        <f t="shared" si="2"/>
        <v>0</v>
      </c>
      <c r="T9" s="496">
        <f t="shared" si="3"/>
        <v>0</v>
      </c>
      <c r="U9" s="496">
        <f t="shared" si="4"/>
        <v>3.3333333333333332E-4</v>
      </c>
      <c r="V9" s="496">
        <f t="shared" si="5"/>
        <v>2.6666666666666666E-3</v>
      </c>
      <c r="W9" s="496">
        <f t="shared" si="6"/>
        <v>2E-3</v>
      </c>
    </row>
    <row r="10" spans="1:23" x14ac:dyDescent="0.25">
      <c r="A10" s="8" t="s">
        <v>558</v>
      </c>
      <c r="B10" s="267" t="s">
        <v>553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1.3997528151560328</v>
      </c>
      <c r="G10" s="253"/>
      <c r="H10" s="422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23" x14ac:dyDescent="0.25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2"/>
      <c r="I11" s="267"/>
    </row>
    <row r="12" spans="1:23" x14ac:dyDescent="0.25">
      <c r="A12" s="8" t="s">
        <v>559</v>
      </c>
      <c r="B12" s="267" t="s">
        <v>553</v>
      </c>
      <c r="C12" s="297">
        <f>C25*(1-C26)</f>
        <v>0</v>
      </c>
      <c r="D12" s="297">
        <f t="shared" si="8"/>
        <v>0.5803853136012822</v>
      </c>
      <c r="E12" s="297">
        <f t="shared" si="8"/>
        <v>0.62472030283471314</v>
      </c>
      <c r="F12" s="297">
        <f t="shared" si="8"/>
        <v>0.51637222754231693</v>
      </c>
      <c r="G12" s="253"/>
      <c r="H12" s="422">
        <f>(4.4+0.1+0.9)*$M$4</f>
        <v>5.9489494644131398</v>
      </c>
      <c r="I12" s="267" t="s">
        <v>628</v>
      </c>
    </row>
    <row r="13" spans="1:23" x14ac:dyDescent="0.25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2"/>
      <c r="I13" s="267"/>
    </row>
    <row r="14" spans="1:23" x14ac:dyDescent="0.25">
      <c r="A14" s="8" t="s">
        <v>560</v>
      </c>
      <c r="B14" s="267" t="s">
        <v>553</v>
      </c>
      <c r="C14" s="297">
        <f>C27*(1-C28)</f>
        <v>0</v>
      </c>
      <c r="D14" s="297">
        <f t="shared" si="8"/>
        <v>0</v>
      </c>
      <c r="E14" s="297">
        <f t="shared" si="8"/>
        <v>0.17075688277482162</v>
      </c>
      <c r="F14" s="297">
        <f t="shared" si="8"/>
        <v>2.0529707955621812</v>
      </c>
      <c r="G14" s="423"/>
      <c r="H14" s="422">
        <f>(4.4+0.1+0.9)*$M$4</f>
        <v>5.9489494644131398</v>
      </c>
      <c r="I14" s="267" t="s">
        <v>628</v>
      </c>
    </row>
    <row r="15" spans="1:23" x14ac:dyDescent="0.25">
      <c r="A15" s="8" t="s">
        <v>560</v>
      </c>
      <c r="B15" s="267" t="s">
        <v>405</v>
      </c>
      <c r="C15" s="297">
        <f>C27*C28</f>
        <v>0</v>
      </c>
      <c r="D15" s="297">
        <f t="shared" ref="D15:F15" si="9">D27*D28</f>
        <v>0</v>
      </c>
      <c r="E15" s="297">
        <f t="shared" si="9"/>
        <v>0.22583974818605437</v>
      </c>
      <c r="F15" s="297">
        <f t="shared" si="9"/>
        <v>1.1198022521248263</v>
      </c>
      <c r="G15" s="394"/>
      <c r="H15" s="267"/>
      <c r="I15" s="267"/>
    </row>
    <row r="16" spans="1:23" x14ac:dyDescent="0.25">
      <c r="H16" s="206"/>
    </row>
    <row r="18" spans="1:15" x14ac:dyDescent="0.25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</row>
    <row r="19" spans="1:15" x14ac:dyDescent="0.25">
      <c r="A19" s="300" t="s">
        <v>556</v>
      </c>
      <c r="B19" s="300" t="s">
        <v>626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0" t="s">
        <v>556</v>
      </c>
      <c r="B20" s="300" t="s">
        <v>408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25">
      <c r="A21" s="300" t="s">
        <v>557</v>
      </c>
      <c r="B21" s="300" t="s">
        <v>626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</row>
    <row r="22" spans="1:15" x14ac:dyDescent="0.25">
      <c r="A22" s="300" t="s">
        <v>557</v>
      </c>
      <c r="B22" s="300" t="s">
        <v>408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557</v>
      </c>
      <c r="J22" s="300" t="s">
        <v>408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</row>
    <row r="23" spans="1:15" x14ac:dyDescent="0.25">
      <c r="A23" s="300" t="s">
        <v>558</v>
      </c>
      <c r="B23" s="300" t="s">
        <v>626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</row>
    <row r="24" spans="1:15" x14ac:dyDescent="0.25">
      <c r="A24" s="300" t="s">
        <v>558</v>
      </c>
      <c r="B24" s="300" t="s">
        <v>408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</row>
    <row r="25" spans="1:15" x14ac:dyDescent="0.25">
      <c r="A25" s="300" t="s">
        <v>559</v>
      </c>
      <c r="B25" s="300" t="s">
        <v>626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</row>
    <row r="26" spans="1:15" x14ac:dyDescent="0.25">
      <c r="A26" s="300" t="s">
        <v>559</v>
      </c>
      <c r="B26" s="300" t="s">
        <v>408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558</v>
      </c>
      <c r="J26" s="300" t="s">
        <v>631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</row>
    <row r="27" spans="1:15" x14ac:dyDescent="0.25">
      <c r="A27" s="300" t="s">
        <v>560</v>
      </c>
      <c r="B27" s="300" t="s">
        <v>626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0" t="s">
        <v>560</v>
      </c>
      <c r="B28" s="300" t="s">
        <v>408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</row>
    <row r="30" spans="1:15" x14ac:dyDescent="0.25">
      <c r="A30" t="s">
        <v>812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26" t="s">
        <v>796</v>
      </c>
      <c r="B32" s="427" t="s">
        <v>809</v>
      </c>
      <c r="C32" s="427" t="s">
        <v>804</v>
      </c>
      <c r="D32" s="427" t="s">
        <v>805</v>
      </c>
      <c r="E32" s="427" t="s">
        <v>810</v>
      </c>
      <c r="F32" s="427" t="s">
        <v>806</v>
      </c>
      <c r="G32" s="427" t="s">
        <v>807</v>
      </c>
      <c r="H32" s="427" t="s">
        <v>808</v>
      </c>
      <c r="I32" s="427" t="s">
        <v>797</v>
      </c>
      <c r="J32" s="427" t="s">
        <v>811</v>
      </c>
    </row>
    <row r="33" spans="1:10" ht="15.75" thickBot="1" x14ac:dyDescent="0.3">
      <c r="A33" s="535" t="s">
        <v>798</v>
      </c>
      <c r="B33" s="536"/>
      <c r="C33" s="428"/>
      <c r="D33" s="428"/>
      <c r="E33" s="537"/>
      <c r="F33" s="537"/>
      <c r="G33" s="428"/>
      <c r="H33" s="428"/>
      <c r="I33" s="428"/>
      <c r="J33" s="429"/>
    </row>
    <row r="34" spans="1:10" ht="15.75" thickBot="1" x14ac:dyDescent="0.3">
      <c r="A34" s="430" t="s">
        <v>799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</row>
    <row r="35" spans="1:10" ht="15.75" thickBot="1" x14ac:dyDescent="0.3">
      <c r="A35" s="430" t="s">
        <v>800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</row>
    <row r="36" spans="1:10" ht="15.75" thickBot="1" x14ac:dyDescent="0.3">
      <c r="A36" s="430" t="s">
        <v>801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</row>
    <row r="37" spans="1:10" ht="15.75" thickBot="1" x14ac:dyDescent="0.3">
      <c r="A37" s="535" t="s">
        <v>802</v>
      </c>
      <c r="B37" s="536"/>
      <c r="C37" s="428"/>
      <c r="D37" s="428"/>
      <c r="E37" s="537"/>
      <c r="F37" s="537"/>
      <c r="G37" s="428"/>
      <c r="H37" s="428"/>
      <c r="I37" s="428"/>
      <c r="J37" s="429"/>
    </row>
    <row r="38" spans="1:10" ht="15.75" thickBot="1" x14ac:dyDescent="0.3">
      <c r="A38" s="430" t="s">
        <v>799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</row>
    <row r="39" spans="1:10" ht="15.75" thickBot="1" x14ac:dyDescent="0.3">
      <c r="A39" s="430" t="s">
        <v>800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</row>
    <row r="40" spans="1:10" ht="15.75" thickBot="1" x14ac:dyDescent="0.3">
      <c r="A40" s="430" t="s">
        <v>801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</row>
    <row r="41" spans="1:10" ht="15.75" thickBot="1" x14ac:dyDescent="0.3">
      <c r="A41" s="535" t="s">
        <v>803</v>
      </c>
      <c r="B41" s="536"/>
      <c r="C41" s="428"/>
      <c r="D41" s="428"/>
      <c r="E41" s="537"/>
      <c r="F41" s="537"/>
      <c r="G41" s="428"/>
      <c r="H41" s="428"/>
      <c r="I41" s="428"/>
      <c r="J41" s="429"/>
    </row>
    <row r="42" spans="1:10" ht="15.75" thickBot="1" x14ac:dyDescent="0.3">
      <c r="A42" s="430" t="s">
        <v>799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</row>
    <row r="43" spans="1:10" ht="15.75" thickBot="1" x14ac:dyDescent="0.3">
      <c r="A43" s="430" t="s">
        <v>800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</row>
    <row r="44" spans="1:10" ht="15.75" thickBot="1" x14ac:dyDescent="0.3">
      <c r="A44" s="430" t="s">
        <v>801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</row>
    <row r="45" spans="1:10" ht="15.75" thickBot="1" x14ac:dyDescent="0.3">
      <c r="A45" s="535" t="s">
        <v>802</v>
      </c>
      <c r="B45" s="536"/>
      <c r="C45" s="428"/>
      <c r="D45" s="428"/>
      <c r="E45" s="537"/>
      <c r="F45" s="537"/>
      <c r="G45" s="428"/>
      <c r="H45" s="428"/>
      <c r="I45" s="428"/>
      <c r="J45" s="429"/>
    </row>
    <row r="46" spans="1:10" ht="15.75" thickBot="1" x14ac:dyDescent="0.3">
      <c r="A46" s="430" t="s">
        <v>799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</row>
    <row r="47" spans="1:10" ht="15.75" thickBot="1" x14ac:dyDescent="0.3">
      <c r="A47" s="430" t="s">
        <v>800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</row>
    <row r="48" spans="1:10" ht="15.75" thickBot="1" x14ac:dyDescent="0.3">
      <c r="A48" s="430" t="s">
        <v>801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25">
      <c r="A2" s="8" t="s">
        <v>614</v>
      </c>
      <c r="B2" s="267" t="s">
        <v>555</v>
      </c>
      <c r="C2" s="267" t="s">
        <v>618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25">
      <c r="A3" s="8"/>
      <c r="B3" s="267" t="s">
        <v>555</v>
      </c>
      <c r="C3" s="267" t="s">
        <v>619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906</v>
      </c>
      <c r="K3" s="417"/>
      <c r="N3" s="1"/>
    </row>
    <row r="4" spans="1:14" x14ac:dyDescent="0.25">
      <c r="A4" s="8" t="s">
        <v>615</v>
      </c>
      <c r="B4" s="8" t="s">
        <v>556</v>
      </c>
      <c r="C4" s="267" t="s">
        <v>618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25">
      <c r="A5" s="8"/>
      <c r="B5" s="8" t="s">
        <v>556</v>
      </c>
      <c r="C5" s="267" t="s">
        <v>619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25">
      <c r="A6" s="8" t="s">
        <v>616</v>
      </c>
      <c r="B6" s="8" t="s">
        <v>557</v>
      </c>
      <c r="C6" s="267" t="s">
        <v>618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25">
      <c r="A7" s="8"/>
      <c r="B7" s="8" t="s">
        <v>557</v>
      </c>
      <c r="C7" s="267" t="s">
        <v>619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25">
      <c r="A8" s="8" t="s">
        <v>620</v>
      </c>
      <c r="B8" s="8" t="s">
        <v>558</v>
      </c>
      <c r="C8" s="267" t="s">
        <v>618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25">
      <c r="A9" s="8"/>
      <c r="B9" s="8" t="s">
        <v>558</v>
      </c>
      <c r="C9" s="267" t="s">
        <v>619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25">
      <c r="A10" s="8" t="s">
        <v>621</v>
      </c>
      <c r="B10" s="8" t="s">
        <v>559</v>
      </c>
      <c r="C10" s="267" t="s">
        <v>618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25">
      <c r="A11" s="8"/>
      <c r="B11" s="8" t="s">
        <v>559</v>
      </c>
      <c r="C11" s="267" t="s">
        <v>619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25">
      <c r="A12" s="8" t="s">
        <v>622</v>
      </c>
      <c r="B12" s="8" t="s">
        <v>560</v>
      </c>
      <c r="C12" s="267" t="s">
        <v>618</v>
      </c>
      <c r="D12" s="508">
        <f>AVERAGE(B59,B62,B65)</f>
        <v>2.6666666666666665</v>
      </c>
      <c r="E12" s="508">
        <f t="shared" ref="E12:H12" si="17">AVERAGE(C59,C62,C65)</f>
        <v>2.6666666666666665</v>
      </c>
      <c r="F12" s="508">
        <f t="shared" si="17"/>
        <v>3.3333333333333335</v>
      </c>
      <c r="G12" s="508">
        <f t="shared" si="17"/>
        <v>4.333333333333333</v>
      </c>
      <c r="H12" s="508">
        <f t="shared" si="17"/>
        <v>5.333333333333333</v>
      </c>
      <c r="I12" s="508">
        <f>AVERAGE(F59,F62,F65)</f>
        <v>5.333333333333333</v>
      </c>
    </row>
    <row r="13" spans="1:14" x14ac:dyDescent="0.25">
      <c r="A13" s="267"/>
      <c r="B13" s="8" t="s">
        <v>560</v>
      </c>
      <c r="C13" s="267" t="s">
        <v>619</v>
      </c>
      <c r="D13" s="508">
        <f>AVERAGE(B60,B63,B66)</f>
        <v>0</v>
      </c>
      <c r="E13" s="508">
        <f t="shared" ref="E13" si="18">AVERAGE(C60,C63,C66)</f>
        <v>0</v>
      </c>
      <c r="F13" s="508">
        <f t="shared" ref="F13" si="19">AVERAGE(D60,D63,D66)</f>
        <v>0.33333333333333331</v>
      </c>
      <c r="G13" s="508">
        <f t="shared" ref="G13:H13" si="20">AVERAGE(E60,E63,E66)</f>
        <v>2.6666666666666665</v>
      </c>
      <c r="H13" s="508">
        <f t="shared" si="20"/>
        <v>2</v>
      </c>
      <c r="I13" s="508">
        <f t="shared" ref="I13" si="21">AVERAGE(F60,F63,F66)</f>
        <v>2</v>
      </c>
    </row>
    <row r="14" spans="1:14" ht="15.75" thickBot="1" x14ac:dyDescent="0.3"/>
    <row r="15" spans="1:14" ht="15.75" thickBot="1" x14ac:dyDescent="0.3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18"/>
    </row>
    <row r="16" spans="1:14" ht="15.75" thickBot="1" x14ac:dyDescent="0.3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5.75" thickBot="1" x14ac:dyDescent="0.3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5.75" thickBot="1" x14ac:dyDescent="0.3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5.75" thickBot="1" x14ac:dyDescent="0.3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5.75" thickBot="1" x14ac:dyDescent="0.3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5.75" thickBot="1" x14ac:dyDescent="0.3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5.75" thickBot="1" x14ac:dyDescent="0.3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5.75" thickBot="1" x14ac:dyDescent="0.3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5.75" thickBot="1" x14ac:dyDescent="0.3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5.75" thickBot="1" x14ac:dyDescent="0.3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5.75" thickBot="1" x14ac:dyDescent="0.3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5.75" thickBot="1" x14ac:dyDescent="0.3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26.25" thickBot="1" x14ac:dyDescent="0.3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5.75" thickBot="1" x14ac:dyDescent="0.3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5.75" thickBot="1" x14ac:dyDescent="0.3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26.25" thickBot="1" x14ac:dyDescent="0.3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5.75" thickBot="1" x14ac:dyDescent="0.3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5.75" thickBot="1" x14ac:dyDescent="0.3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26.25" thickBot="1" x14ac:dyDescent="0.3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5.75" thickBot="1" x14ac:dyDescent="0.3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5.75" thickBot="1" x14ac:dyDescent="0.3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26.25" thickBot="1" x14ac:dyDescent="0.3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5.75" thickBot="1" x14ac:dyDescent="0.3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5.75" thickBot="1" x14ac:dyDescent="0.3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26.25" thickBot="1" x14ac:dyDescent="0.3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5.75" thickBot="1" x14ac:dyDescent="0.3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5.75" thickBot="1" x14ac:dyDescent="0.3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26.25" thickBot="1" x14ac:dyDescent="0.3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5.75" thickBot="1" x14ac:dyDescent="0.3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5.75" thickBot="1" x14ac:dyDescent="0.3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6.25" thickBot="1" x14ac:dyDescent="0.3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5.75" thickBot="1" x14ac:dyDescent="0.3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19"/>
    </row>
    <row r="48" spans="1:8" ht="15.75" thickBot="1" x14ac:dyDescent="0.3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26.25" thickBot="1" x14ac:dyDescent="0.3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5.75" thickBot="1" x14ac:dyDescent="0.3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5.75" thickBot="1" x14ac:dyDescent="0.3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19"/>
    </row>
    <row r="52" spans="1:8" ht="26.25" thickBot="1" x14ac:dyDescent="0.3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5.75" thickBot="1" x14ac:dyDescent="0.3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5.75" thickBot="1" x14ac:dyDescent="0.3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6.25" thickBot="1" x14ac:dyDescent="0.3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5.75" thickBot="1" x14ac:dyDescent="0.3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5.75" thickBot="1" x14ac:dyDescent="0.3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26.25" thickBot="1" x14ac:dyDescent="0.3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5.75" thickBot="1" x14ac:dyDescent="0.3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5.75" thickBot="1" x14ac:dyDescent="0.3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26.25" thickBot="1" x14ac:dyDescent="0.3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5.75" thickBot="1" x14ac:dyDescent="0.3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5.75" thickBot="1" x14ac:dyDescent="0.3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6.25" thickBot="1" x14ac:dyDescent="0.3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5.75" thickBot="1" x14ac:dyDescent="0.3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5.75" thickBot="1" x14ac:dyDescent="0.3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26.25" thickBot="1" x14ac:dyDescent="0.3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5.75" thickBot="1" x14ac:dyDescent="0.3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5.75" thickBot="1" x14ac:dyDescent="0.3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6.25" thickBot="1" x14ac:dyDescent="0.3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5.75" thickBot="1" x14ac:dyDescent="0.3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5.75" thickBot="1" x14ac:dyDescent="0.3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6.25" thickBot="1" x14ac:dyDescent="0.3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5.75" thickBot="1" x14ac:dyDescent="0.3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5.75" thickBot="1" x14ac:dyDescent="0.3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5.75" thickBot="1" x14ac:dyDescent="0.3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5.75" thickBot="1" x14ac:dyDescent="0.3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5.75" thickBot="1" x14ac:dyDescent="0.3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26.25" thickBot="1" x14ac:dyDescent="0.3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5.75" thickBot="1" x14ac:dyDescent="0.3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5.75" thickBot="1" x14ac:dyDescent="0.3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7" t="s">
        <v>399</v>
      </c>
      <c r="B8" s="196"/>
      <c r="C8" s="196"/>
      <c r="D8" s="196"/>
    </row>
    <row r="9" spans="1:4" x14ac:dyDescent="0.25">
      <c r="A9" s="198" t="s">
        <v>369</v>
      </c>
      <c r="B9" s="196"/>
      <c r="C9" s="196"/>
      <c r="D9" s="196"/>
    </row>
    <row r="10" spans="1:4" x14ac:dyDescent="0.25">
      <c r="A10" s="196"/>
      <c r="B10" s="196"/>
      <c r="C10" s="196"/>
      <c r="D10" s="199" t="s">
        <v>57</v>
      </c>
    </row>
    <row r="11" spans="1:4" x14ac:dyDescent="0.25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25">
      <c r="A12" s="196"/>
      <c r="B12" s="196"/>
      <c r="C12" s="199" t="s">
        <v>55</v>
      </c>
      <c r="D12" s="200">
        <v>836738</v>
      </c>
    </row>
    <row r="13" spans="1:4" x14ac:dyDescent="0.25">
      <c r="A13" s="196"/>
      <c r="B13" s="196"/>
      <c r="C13" s="199" t="s">
        <v>54</v>
      </c>
      <c r="D13" s="200">
        <v>1223348</v>
      </c>
    </row>
    <row r="14" spans="1:4" x14ac:dyDescent="0.25">
      <c r="A14" s="196"/>
      <c r="B14" s="196"/>
      <c r="C14" s="199" t="s">
        <v>53</v>
      </c>
      <c r="D14" s="200">
        <v>1320678</v>
      </c>
    </row>
    <row r="15" spans="1:4" x14ac:dyDescent="0.25">
      <c r="A15" s="196"/>
      <c r="B15" s="196"/>
      <c r="C15" s="199" t="s">
        <v>50</v>
      </c>
      <c r="D15" s="200">
        <v>589755</v>
      </c>
    </row>
    <row r="19" spans="1:28" x14ac:dyDescent="0.2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2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2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2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2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2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25">
      <c r="A25" t="s">
        <v>401</v>
      </c>
    </row>
    <row r="28" spans="1:28" x14ac:dyDescent="0.25">
      <c r="A28" s="195" t="s">
        <v>398</v>
      </c>
    </row>
    <row r="29" spans="1:28" ht="17.25" x14ac:dyDescent="0.3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25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25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25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2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2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2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2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25" x14ac:dyDescent="0.25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714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25">
      <c r="A5" s="1"/>
      <c r="B5" s="326"/>
    </row>
    <row r="6" spans="1:14" x14ac:dyDescent="0.25">
      <c r="A6" s="1"/>
      <c r="B6" s="326"/>
    </row>
    <row r="8" spans="1:14" x14ac:dyDescent="0.25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25">
      <c r="A9" t="s">
        <v>697</v>
      </c>
      <c r="B9" s="336">
        <f>B8*B30*1000</f>
        <v>6905432.9016786581</v>
      </c>
      <c r="C9" t="s">
        <v>715</v>
      </c>
      <c r="F9" s="219">
        <v>140000</v>
      </c>
      <c r="G9" s="335">
        <f>140000/Biogasudbytte!C18</f>
        <v>2333333.3333333335</v>
      </c>
    </row>
    <row r="10" spans="1:14" x14ac:dyDescent="0.25">
      <c r="A10" t="s">
        <v>699</v>
      </c>
    </row>
    <row r="12" spans="1:14" ht="17.25" x14ac:dyDescent="0.3">
      <c r="A12" s="329" t="s">
        <v>678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25">
      <c r="A13" s="330" t="s">
        <v>107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25">
      <c r="A14" s="328"/>
      <c r="B14" s="328"/>
      <c r="C14" s="328"/>
      <c r="D14" s="331" t="s">
        <v>670</v>
      </c>
      <c r="E14" s="331" t="s">
        <v>671</v>
      </c>
      <c r="F14" s="331" t="s">
        <v>672</v>
      </c>
      <c r="G14" s="331" t="s">
        <v>673</v>
      </c>
      <c r="H14" s="331" t="s">
        <v>674</v>
      </c>
      <c r="I14" s="331" t="s">
        <v>675</v>
      </c>
      <c r="J14" s="331" t="s">
        <v>676</v>
      </c>
      <c r="K14" s="331" t="s">
        <v>677</v>
      </c>
      <c r="L14" s="331" t="s">
        <v>94</v>
      </c>
      <c r="M14" s="331" t="s">
        <v>269</v>
      </c>
      <c r="N14" s="331" t="s">
        <v>630</v>
      </c>
    </row>
    <row r="15" spans="1:14" x14ac:dyDescent="0.25">
      <c r="A15" s="331" t="s">
        <v>679</v>
      </c>
      <c r="B15" s="331" t="s">
        <v>109</v>
      </c>
      <c r="C15" s="331" t="s">
        <v>680</v>
      </c>
      <c r="D15" s="332" t="s">
        <v>140</v>
      </c>
      <c r="E15" s="332" t="s">
        <v>140</v>
      </c>
      <c r="F15" s="332" t="s">
        <v>140</v>
      </c>
      <c r="G15" s="332" t="s">
        <v>140</v>
      </c>
      <c r="H15" s="332" t="s">
        <v>140</v>
      </c>
      <c r="I15" s="332" t="s">
        <v>140</v>
      </c>
      <c r="J15" s="332" t="s">
        <v>140</v>
      </c>
      <c r="K15" s="332" t="s">
        <v>140</v>
      </c>
      <c r="L15" s="332" t="s">
        <v>140</v>
      </c>
      <c r="M15" s="333">
        <v>260427</v>
      </c>
      <c r="N15" s="334">
        <f>AVERAGEIF(D15:M15,"&gt;0")*1000</f>
        <v>260427000</v>
      </c>
    </row>
    <row r="16" spans="1:14" x14ac:dyDescent="0.25">
      <c r="A16" s="328"/>
      <c r="B16" s="328"/>
      <c r="C16" s="331" t="s">
        <v>681</v>
      </c>
      <c r="D16" s="332" t="s">
        <v>140</v>
      </c>
      <c r="E16" s="332" t="s">
        <v>140</v>
      </c>
      <c r="F16" s="332" t="s">
        <v>140</v>
      </c>
      <c r="G16" s="332" t="s">
        <v>140</v>
      </c>
      <c r="H16" s="332" t="s">
        <v>140</v>
      </c>
      <c r="I16" s="332" t="s">
        <v>140</v>
      </c>
      <c r="J16" s="332" t="s">
        <v>140</v>
      </c>
      <c r="K16" s="332" t="s">
        <v>140</v>
      </c>
      <c r="L16" s="332" t="s">
        <v>140</v>
      </c>
      <c r="M16" s="333">
        <v>871</v>
      </c>
      <c r="N16" s="334">
        <f t="shared" ref="N16:N20" si="0">AVERAGEIF(D16:M16,"&gt;0")*1000</f>
        <v>871000</v>
      </c>
    </row>
    <row r="17" spans="1:14" x14ac:dyDescent="0.25">
      <c r="A17" s="328"/>
      <c r="B17" s="328"/>
      <c r="C17" s="331" t="s">
        <v>682</v>
      </c>
      <c r="D17" s="332" t="s">
        <v>140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25">
      <c r="A18" s="328"/>
      <c r="B18" s="328"/>
      <c r="C18" s="331" t="s">
        <v>683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25">
      <c r="A19" s="328"/>
      <c r="B19" s="328"/>
      <c r="C19" s="331" t="s">
        <v>684</v>
      </c>
      <c r="D19" s="332" t="s">
        <v>140</v>
      </c>
      <c r="E19" s="333">
        <v>10931</v>
      </c>
      <c r="F19" s="332" t="s">
        <v>140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25">
      <c r="A20" s="328"/>
      <c r="B20" s="328"/>
      <c r="C20" s="331" t="s">
        <v>685</v>
      </c>
      <c r="D20" s="332" t="s">
        <v>140</v>
      </c>
      <c r="E20" s="332" t="s">
        <v>140</v>
      </c>
      <c r="F20" s="332" t="s">
        <v>140</v>
      </c>
      <c r="G20" s="332" t="s">
        <v>140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25">
      <c r="N21" s="334">
        <f>SUM(N15:N20)</f>
        <v>1356538780.5555556</v>
      </c>
    </row>
    <row r="24" spans="1:14" x14ac:dyDescent="0.25">
      <c r="A24" s="167" t="s">
        <v>687</v>
      </c>
      <c r="B24" t="s">
        <v>783</v>
      </c>
    </row>
    <row r="25" spans="1:14" x14ac:dyDescent="0.25">
      <c r="A25" t="s">
        <v>688</v>
      </c>
      <c r="B25">
        <v>30</v>
      </c>
      <c r="C25" t="s">
        <v>689</v>
      </c>
    </row>
    <row r="26" spans="1:14" x14ac:dyDescent="0.25">
      <c r="A26" t="s">
        <v>690</v>
      </c>
      <c r="B26">
        <v>4.3</v>
      </c>
      <c r="C26" t="s">
        <v>691</v>
      </c>
    </row>
    <row r="27" spans="1:14" x14ac:dyDescent="0.25">
      <c r="A27" t="s">
        <v>690</v>
      </c>
      <c r="B27">
        <f>B26/B25</f>
        <v>0.14333333333333334</v>
      </c>
      <c r="C27" t="s">
        <v>692</v>
      </c>
    </row>
    <row r="28" spans="1:14" x14ac:dyDescent="0.25">
      <c r="A28" t="s">
        <v>693</v>
      </c>
      <c r="B28">
        <f>B27*0.65</f>
        <v>9.3166666666666675E-2</v>
      </c>
      <c r="C28" t="s">
        <v>694</v>
      </c>
    </row>
    <row r="29" spans="1:14" x14ac:dyDescent="0.25">
      <c r="A29" s="167" t="s">
        <v>701</v>
      </c>
    </row>
    <row r="30" spans="1:14" x14ac:dyDescent="0.25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C3" sqref="C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25">
      <c r="A2" s="161" t="s">
        <v>713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5.75" thickBot="1" x14ac:dyDescent="0.3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3">
      <c r="A4" s="164" t="s">
        <v>828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41" t="s">
        <v>896</v>
      </c>
      <c r="F4" s="541"/>
      <c r="G4" s="541"/>
      <c r="H4" s="541"/>
      <c r="I4" s="541"/>
      <c r="J4" s="541"/>
      <c r="K4" s="541"/>
      <c r="L4" s="541"/>
      <c r="M4" s="541"/>
      <c r="N4" s="541"/>
    </row>
    <row r="5" spans="1:14" ht="14.65" customHeight="1" x14ac:dyDescent="0.25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41"/>
      <c r="F5" s="541"/>
      <c r="G5" s="541"/>
      <c r="H5" s="541"/>
      <c r="I5" s="541"/>
      <c r="J5" s="541"/>
      <c r="K5" s="541"/>
      <c r="L5" s="541"/>
      <c r="M5" s="541"/>
      <c r="N5" s="541"/>
    </row>
    <row r="6" spans="1:14" x14ac:dyDescent="0.25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41"/>
      <c r="F6" s="541"/>
      <c r="G6" s="541"/>
      <c r="H6" s="541"/>
      <c r="I6" s="541"/>
      <c r="J6" s="541"/>
      <c r="K6" s="541"/>
      <c r="L6" s="541"/>
      <c r="M6" s="541"/>
      <c r="N6" s="541"/>
    </row>
    <row r="7" spans="1:14" x14ac:dyDescent="0.25">
      <c r="A7" s="162" t="s">
        <v>825</v>
      </c>
      <c r="B7" s="163">
        <f ca="1">SUM(B4:B6)+E26+D26+C26</f>
        <v>2054836.3255185024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25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25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25">
      <c r="A10" t="s">
        <v>329</v>
      </c>
    </row>
    <row r="11" spans="1:14" x14ac:dyDescent="0.25">
      <c r="A11" s="166"/>
      <c r="K11" s="2"/>
      <c r="L11" s="2"/>
    </row>
    <row r="12" spans="1:14" ht="17.25" x14ac:dyDescent="0.3">
      <c r="A12" s="339" t="s">
        <v>323</v>
      </c>
      <c r="B12" s="338"/>
      <c r="C12" s="338"/>
      <c r="D12" s="338"/>
    </row>
    <row r="13" spans="1:14" x14ac:dyDescent="0.25">
      <c r="A13" s="340" t="s">
        <v>324</v>
      </c>
      <c r="B13" s="338"/>
      <c r="C13" s="338"/>
      <c r="D13" s="338"/>
    </row>
    <row r="14" spans="1:14" x14ac:dyDescent="0.25">
      <c r="A14" s="338"/>
      <c r="B14" s="338"/>
      <c r="C14" s="341" t="s">
        <v>325</v>
      </c>
      <c r="D14" s="341" t="s">
        <v>326</v>
      </c>
    </row>
    <row r="15" spans="1:14" x14ac:dyDescent="0.25">
      <c r="A15" s="341" t="s">
        <v>269</v>
      </c>
      <c r="B15" s="341" t="s">
        <v>710</v>
      </c>
      <c r="C15" s="342">
        <v>0</v>
      </c>
      <c r="D15" s="342">
        <v>0</v>
      </c>
    </row>
    <row r="16" spans="1:14" x14ac:dyDescent="0.25">
      <c r="A16" s="338"/>
      <c r="B16" s="341" t="s">
        <v>328</v>
      </c>
      <c r="C16" s="342">
        <v>793037</v>
      </c>
      <c r="D16" s="342">
        <v>189772</v>
      </c>
    </row>
    <row r="17" spans="1:5" x14ac:dyDescent="0.25">
      <c r="A17" s="338"/>
      <c r="B17" s="341" t="s">
        <v>711</v>
      </c>
      <c r="C17" s="342">
        <v>5534</v>
      </c>
      <c r="D17" s="342">
        <v>488981</v>
      </c>
    </row>
    <row r="18" spans="1:5" x14ac:dyDescent="0.25">
      <c r="A18" s="338"/>
      <c r="B18" s="341" t="s">
        <v>712</v>
      </c>
      <c r="C18" s="342">
        <v>130234</v>
      </c>
      <c r="D18" s="342">
        <v>222906</v>
      </c>
    </row>
    <row r="19" spans="1:5" s="456" customFormat="1" x14ac:dyDescent="0.25">
      <c r="A19" s="343"/>
      <c r="B19" s="346" t="s">
        <v>863</v>
      </c>
      <c r="C19" s="347">
        <v>0</v>
      </c>
      <c r="D19" s="347">
        <v>224372</v>
      </c>
    </row>
    <row r="20" spans="1:5" x14ac:dyDescent="0.25">
      <c r="E20">
        <f>SUM(C16:D18)</f>
        <v>1830464</v>
      </c>
    </row>
    <row r="21" spans="1:5" ht="17.25" x14ac:dyDescent="0.3">
      <c r="A21" s="344" t="s">
        <v>323</v>
      </c>
      <c r="B21" s="343"/>
      <c r="C21" s="343"/>
      <c r="D21" s="343"/>
    </row>
    <row r="22" spans="1:5" x14ac:dyDescent="0.25">
      <c r="A22" s="345" t="s">
        <v>324</v>
      </c>
      <c r="B22" s="343"/>
      <c r="C22" s="343"/>
      <c r="D22" s="343"/>
    </row>
    <row r="23" spans="1:5" x14ac:dyDescent="0.25">
      <c r="A23" s="343"/>
      <c r="B23" s="343"/>
      <c r="C23" s="346" t="s">
        <v>330</v>
      </c>
      <c r="D23" s="346" t="s">
        <v>331</v>
      </c>
      <c r="E23" t="s">
        <v>821</v>
      </c>
    </row>
    <row r="24" spans="1:5" x14ac:dyDescent="0.25">
      <c r="A24" s="346" t="s">
        <v>269</v>
      </c>
      <c r="B24" s="346" t="s">
        <v>710</v>
      </c>
      <c r="C24" s="347">
        <v>0</v>
      </c>
      <c r="D24" s="347">
        <v>0</v>
      </c>
    </row>
    <row r="25" spans="1:5" x14ac:dyDescent="0.25">
      <c r="A25" s="343"/>
      <c r="B25" s="346" t="s">
        <v>328</v>
      </c>
      <c r="C25" s="347">
        <v>1204</v>
      </c>
      <c r="D25" s="347">
        <v>9</v>
      </c>
      <c r="E25">
        <v>6392</v>
      </c>
    </row>
    <row r="26" spans="1:5" x14ac:dyDescent="0.25">
      <c r="A26" s="343"/>
      <c r="B26" s="346" t="s">
        <v>711</v>
      </c>
      <c r="C26" s="347">
        <v>73281</v>
      </c>
      <c r="D26" s="347">
        <v>17318</v>
      </c>
      <c r="E26">
        <v>267736</v>
      </c>
    </row>
    <row r="27" spans="1:5" x14ac:dyDescent="0.25">
      <c r="A27" s="343"/>
      <c r="B27" s="346" t="s">
        <v>712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0" t="s">
        <v>40</v>
      </c>
      <c r="B1" s="400" t="s">
        <v>654</v>
      </c>
      <c r="C1" s="400" t="s">
        <v>43</v>
      </c>
      <c r="E1" s="254" t="s">
        <v>523</v>
      </c>
    </row>
    <row r="2" spans="1:10" customFormat="1" x14ac:dyDescent="0.25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25">
      <c r="A3" s="400" t="s">
        <v>13</v>
      </c>
      <c r="B3" s="398">
        <v>51.25</v>
      </c>
      <c r="C3" s="399">
        <v>0.28000000000000003</v>
      </c>
    </row>
    <row r="4" spans="1:10" x14ac:dyDescent="0.25">
      <c r="A4" s="400" t="s">
        <v>498</v>
      </c>
      <c r="B4" s="422">
        <v>12</v>
      </c>
      <c r="C4" s="433">
        <v>0.05</v>
      </c>
    </row>
    <row r="5" spans="1:10" x14ac:dyDescent="0.25">
      <c r="A5" s="400" t="s">
        <v>499</v>
      </c>
      <c r="B5" s="422">
        <v>14.1</v>
      </c>
      <c r="C5" s="433">
        <v>7.5999999999999998E-2</v>
      </c>
    </row>
    <row r="6" spans="1:10" x14ac:dyDescent="0.25">
      <c r="A6" s="400" t="s">
        <v>500</v>
      </c>
      <c r="B6" s="422">
        <v>13.1</v>
      </c>
      <c r="C6" s="433">
        <v>6.3E-2</v>
      </c>
    </row>
    <row r="7" spans="1:10" x14ac:dyDescent="0.25">
      <c r="A7" s="400" t="s">
        <v>39</v>
      </c>
      <c r="B7" s="422">
        <v>60</v>
      </c>
      <c r="C7" s="433">
        <v>0.3</v>
      </c>
    </row>
    <row r="8" spans="1:10" x14ac:dyDescent="0.25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25">
      <c r="A9" s="400" t="s">
        <v>42</v>
      </c>
      <c r="B9" s="398">
        <v>75.599999999999994</v>
      </c>
      <c r="C9" s="399">
        <v>0.2</v>
      </c>
    </row>
    <row r="10" spans="1:10" x14ac:dyDescent="0.25">
      <c r="A10" s="400" t="s">
        <v>322</v>
      </c>
      <c r="B10" s="398">
        <v>94.9</v>
      </c>
      <c r="C10" s="399">
        <v>0.28000000000000003</v>
      </c>
    </row>
    <row r="11" spans="1:10" x14ac:dyDescent="0.25">
      <c r="A11" s="400" t="s">
        <v>41</v>
      </c>
      <c r="B11" s="398">
        <v>120.7</v>
      </c>
      <c r="C11" s="399">
        <v>0.42</v>
      </c>
      <c r="F11" s="162"/>
    </row>
    <row r="12" spans="1:10" x14ac:dyDescent="0.25">
      <c r="A12" s="400" t="s">
        <v>311</v>
      </c>
      <c r="B12" s="422">
        <v>25</v>
      </c>
      <c r="C12" s="433">
        <v>0.15</v>
      </c>
    </row>
    <row r="13" spans="1:10" x14ac:dyDescent="0.25">
      <c r="A13" s="400" t="s">
        <v>310</v>
      </c>
      <c r="B13" s="422">
        <v>25</v>
      </c>
      <c r="C13" s="433">
        <v>0.15</v>
      </c>
      <c r="I13" s="432"/>
      <c r="J13" s="162"/>
    </row>
    <row r="14" spans="1:10" x14ac:dyDescent="0.25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25">
      <c r="A15" s="400" t="s">
        <v>527</v>
      </c>
      <c r="B15" s="398">
        <v>47.3</v>
      </c>
      <c r="C15" s="399">
        <v>0.3</v>
      </c>
      <c r="I15" s="432"/>
      <c r="J15" s="162"/>
    </row>
    <row r="16" spans="1:10" x14ac:dyDescent="0.25">
      <c r="A16" s="400" t="s">
        <v>661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25">
      <c r="A17" s="400" t="s">
        <v>519</v>
      </c>
      <c r="B17" s="422">
        <v>423.36</v>
      </c>
      <c r="C17" s="433">
        <v>0.9</v>
      </c>
    </row>
    <row r="18" spans="1:12" x14ac:dyDescent="0.25">
      <c r="A18" s="400" t="s">
        <v>502</v>
      </c>
      <c r="B18" s="422">
        <v>13.9</v>
      </c>
      <c r="C18" s="433">
        <v>0.06</v>
      </c>
    </row>
    <row r="19" spans="1:12" x14ac:dyDescent="0.25">
      <c r="D19" s="173"/>
    </row>
    <row r="20" spans="1:12" x14ac:dyDescent="0.25">
      <c r="A20" s="146"/>
      <c r="B20" s="173"/>
      <c r="C20" s="173"/>
      <c r="D20" s="173"/>
    </row>
    <row r="21" spans="1:12" x14ac:dyDescent="0.25">
      <c r="A21" s="146"/>
      <c r="B21" s="173"/>
      <c r="C21" s="173"/>
      <c r="D21" s="173"/>
      <c r="H21" s="150"/>
      <c r="I21" s="162"/>
      <c r="J21" s="162"/>
    </row>
    <row r="22" spans="1:12" x14ac:dyDescent="0.25">
      <c r="A22" s="146"/>
      <c r="B22" s="173"/>
      <c r="C22" s="173"/>
      <c r="D22" s="173"/>
    </row>
    <row r="23" spans="1:12" x14ac:dyDescent="0.25">
      <c r="A23" s="146"/>
      <c r="B23" s="173"/>
      <c r="C23" s="173"/>
      <c r="D23" s="173"/>
    </row>
    <row r="24" spans="1:12" x14ac:dyDescent="0.25">
      <c r="A24" s="146"/>
      <c r="B24" s="173"/>
      <c r="C24" s="173"/>
      <c r="D24" s="173"/>
    </row>
    <row r="25" spans="1:12" x14ac:dyDescent="0.25">
      <c r="A25" s="146"/>
      <c r="B25" s="173"/>
      <c r="C25" s="173"/>
      <c r="D25" s="173"/>
      <c r="K25" s="441"/>
      <c r="L25" s="441"/>
    </row>
    <row r="26" spans="1:12" x14ac:dyDescent="0.25">
      <c r="A26" s="146"/>
      <c r="B26" s="173"/>
      <c r="C26" s="173"/>
      <c r="D26" s="173"/>
      <c r="I26" s="162"/>
      <c r="J26" s="162"/>
      <c r="K26" s="441"/>
      <c r="L26" s="441"/>
    </row>
    <row r="27" spans="1:12" x14ac:dyDescent="0.25">
      <c r="A27" s="146"/>
      <c r="B27" s="173"/>
      <c r="C27" s="173"/>
      <c r="D27" s="173"/>
    </row>
    <row r="28" spans="1:12" x14ac:dyDescent="0.25">
      <c r="A28" s="146"/>
      <c r="B28" s="173"/>
      <c r="C28" s="173"/>
      <c r="D28" s="173"/>
    </row>
    <row r="29" spans="1:12" x14ac:dyDescent="0.25">
      <c r="A29" s="146"/>
      <c r="B29" s="173"/>
      <c r="C29" s="173"/>
      <c r="D29" s="173"/>
    </row>
    <row r="30" spans="1:12" x14ac:dyDescent="0.2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67"/>
      <c r="B1" s="267" t="s">
        <v>315</v>
      </c>
      <c r="C1" s="267" t="s">
        <v>898</v>
      </c>
      <c r="D1" s="267"/>
      <c r="E1" t="s">
        <v>899</v>
      </c>
    </row>
    <row r="2" spans="1:10" ht="15" customHeight="1" x14ac:dyDescent="0.25">
      <c r="A2" s="267" t="s">
        <v>37</v>
      </c>
      <c r="B2" s="267" t="s">
        <v>411</v>
      </c>
      <c r="C2" s="245">
        <f>D27</f>
        <v>1.0335806339134365E-5</v>
      </c>
      <c r="D2" s="489" t="s">
        <v>725</v>
      </c>
      <c r="E2">
        <v>14.5</v>
      </c>
    </row>
    <row r="3" spans="1:10" ht="45.75" customHeight="1" x14ac:dyDescent="0.25">
      <c r="A3" s="267" t="s">
        <v>721</v>
      </c>
      <c r="B3" s="267" t="s">
        <v>411</v>
      </c>
      <c r="C3" s="267">
        <f>35*10^-6</f>
        <v>3.4999999999999997E-5</v>
      </c>
      <c r="D3" s="490" t="s">
        <v>413</v>
      </c>
      <c r="E3">
        <v>37.200000000000003</v>
      </c>
    </row>
    <row r="4" spans="1:10" ht="45" x14ac:dyDescent="0.25">
      <c r="A4" s="267" t="s">
        <v>339</v>
      </c>
      <c r="B4" s="267" t="s">
        <v>411</v>
      </c>
      <c r="C4" s="267">
        <f>18.4*10^-6</f>
        <v>1.8399999999999997E-5</v>
      </c>
      <c r="D4" s="491" t="s">
        <v>518</v>
      </c>
    </row>
    <row r="5" spans="1:10" ht="15" customHeight="1" x14ac:dyDescent="0.25">
      <c r="A5" s="267" t="s">
        <v>405</v>
      </c>
      <c r="B5" s="267" t="s">
        <v>412</v>
      </c>
      <c r="C5" s="486">
        <f>D19</f>
        <v>1.449356890077532E-5</v>
      </c>
      <c r="D5" s="492" t="s">
        <v>726</v>
      </c>
      <c r="E5" s="485" t="s">
        <v>900</v>
      </c>
    </row>
    <row r="6" spans="1:10" ht="15" customHeight="1" x14ac:dyDescent="0.25">
      <c r="A6" s="267" t="s">
        <v>527</v>
      </c>
      <c r="B6" s="267" t="s">
        <v>411</v>
      </c>
      <c r="C6" s="486">
        <f>D24</f>
        <v>1.7852220520673815E-5</v>
      </c>
      <c r="D6" s="492" t="s">
        <v>725</v>
      </c>
      <c r="E6" t="s">
        <v>901</v>
      </c>
    </row>
    <row r="7" spans="1:10" ht="15" customHeight="1" x14ac:dyDescent="0.25">
      <c r="A7" s="267" t="s">
        <v>322</v>
      </c>
      <c r="B7" s="267" t="s">
        <v>411</v>
      </c>
      <c r="C7" s="486">
        <f>D24</f>
        <v>1.7852220520673815E-5</v>
      </c>
      <c r="D7" s="492" t="s">
        <v>725</v>
      </c>
      <c r="E7" t="s">
        <v>902</v>
      </c>
    </row>
    <row r="8" spans="1:10" s="456" customFormat="1" x14ac:dyDescent="0.25">
      <c r="A8" s="471" t="s">
        <v>890</v>
      </c>
      <c r="B8" s="471" t="s">
        <v>411</v>
      </c>
      <c r="C8" s="488">
        <f>'Procesdata (baggrund)'!I23</f>
        <v>3.326857142857142E-5</v>
      </c>
      <c r="D8" s="479" t="s">
        <v>891</v>
      </c>
    </row>
    <row r="9" spans="1:10" s="456" customFormat="1" x14ac:dyDescent="0.25">
      <c r="A9" s="471" t="s">
        <v>878</v>
      </c>
      <c r="B9" s="471" t="s">
        <v>411</v>
      </c>
      <c r="C9" s="487">
        <f>'Procesdata (baggrund)'!I24</f>
        <v>8.9614285714285689E-6</v>
      </c>
      <c r="D9" s="479" t="s">
        <v>891</v>
      </c>
    </row>
    <row r="10" spans="1:10" x14ac:dyDescent="0.25">
      <c r="A10" s="267" t="s">
        <v>312</v>
      </c>
      <c r="B10" s="267" t="s">
        <v>412</v>
      </c>
      <c r="C10" s="267">
        <f>35.9*10^-9</f>
        <v>3.5900000000000004E-8</v>
      </c>
      <c r="D10" s="402" t="s">
        <v>414</v>
      </c>
    </row>
    <row r="13" spans="1:10" x14ac:dyDescent="0.25">
      <c r="A13" s="267"/>
      <c r="B13" s="267" t="s">
        <v>705</v>
      </c>
      <c r="C13" s="267" t="s">
        <v>706</v>
      </c>
      <c r="D13" s="267" t="s">
        <v>815</v>
      </c>
    </row>
    <row r="14" spans="1:10" x14ac:dyDescent="0.25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25">
      <c r="A15" s="267" t="s">
        <v>707</v>
      </c>
      <c r="B15" s="267">
        <v>1763000</v>
      </c>
      <c r="C15" s="267">
        <v>21.187000000000001</v>
      </c>
      <c r="D15" s="267"/>
      <c r="J15" s="337"/>
    </row>
    <row r="16" spans="1:10" x14ac:dyDescent="0.25">
      <c r="A16" s="267" t="s">
        <v>708</v>
      </c>
      <c r="B16" s="267">
        <v>205000</v>
      </c>
      <c r="C16" s="267">
        <v>1.988</v>
      </c>
      <c r="D16" s="267"/>
      <c r="F16" s="456"/>
    </row>
    <row r="17" spans="1:8" x14ac:dyDescent="0.25">
      <c r="A17" s="267" t="s">
        <v>709</v>
      </c>
      <c r="B17" s="267">
        <f>1643000*'Processer - data'!H424</f>
        <v>854360</v>
      </c>
      <c r="C17" s="267">
        <v>8.9450000000000003</v>
      </c>
      <c r="D17" s="267"/>
      <c r="F17" s="456"/>
    </row>
    <row r="18" spans="1:8" x14ac:dyDescent="0.25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25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25">
      <c r="H20" s="334"/>
    </row>
    <row r="21" spans="1:8" x14ac:dyDescent="0.25">
      <c r="A21" s="267" t="s">
        <v>817</v>
      </c>
      <c r="B21" s="267" t="s">
        <v>723</v>
      </c>
      <c r="C21" s="267" t="s">
        <v>724</v>
      </c>
      <c r="D21" s="267"/>
    </row>
    <row r="22" spans="1:8" x14ac:dyDescent="0.25">
      <c r="A22" s="267" t="s">
        <v>816</v>
      </c>
      <c r="B22" s="267">
        <v>633738</v>
      </c>
      <c r="C22" s="267"/>
      <c r="D22" s="267"/>
    </row>
    <row r="23" spans="1:8" x14ac:dyDescent="0.25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25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25">
      <c r="A26" s="267"/>
      <c r="B26" s="267" t="s">
        <v>728</v>
      </c>
      <c r="C26" s="267" t="s">
        <v>724</v>
      </c>
      <c r="D26" s="267"/>
      <c r="E26" s="267"/>
    </row>
    <row r="27" spans="1:8" x14ac:dyDescent="0.25">
      <c r="A27" s="267" t="s">
        <v>727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25">
      <c r="A28" s="267" t="s">
        <v>729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A20" sqref="A20:XFD2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25">
      <c r="A3" s="322" t="s">
        <v>322</v>
      </c>
      <c r="B3">
        <f>IFERROR(VLOOKUP(A3,Biogasudbytte!$A$2:$C$18,3,FALSE),VLOOKUP(A3,$I$2:$J$8,2,FALSE))</f>
        <v>0.28000000000000003</v>
      </c>
      <c r="I3" s="323" t="s">
        <v>188</v>
      </c>
      <c r="J3" s="173">
        <v>0.25</v>
      </c>
    </row>
    <row r="4" spans="1:11" x14ac:dyDescent="0.25">
      <c r="A4" s="323" t="s">
        <v>661</v>
      </c>
      <c r="B4">
        <f>IFERROR(VLOOKUP(A4,Biogasudbytte!$A$2:$C$18,3,FALSE),VLOOKUP(A4,$I$2:$J$8,2,FALSE))</f>
        <v>4.2763387558472386E-2</v>
      </c>
      <c r="I4" s="322" t="s">
        <v>339</v>
      </c>
      <c r="J4">
        <f>AVERAGE(0.46,0.37)</f>
        <v>0.41500000000000004</v>
      </c>
      <c r="K4" t="s">
        <v>718</v>
      </c>
    </row>
    <row r="5" spans="1:11" x14ac:dyDescent="0.25">
      <c r="A5" s="322" t="s">
        <v>39</v>
      </c>
      <c r="B5">
        <f>IFERROR(VLOOKUP(A5,Biogasudbytte!$A$2:$C$18,3,FALSE),VLOOKUP(A5,$I$2:$J$8,2,FALSE))</f>
        <v>0.3</v>
      </c>
      <c r="I5" s="323" t="s">
        <v>177</v>
      </c>
      <c r="J5">
        <v>0.91</v>
      </c>
      <c r="K5" t="s">
        <v>717</v>
      </c>
    </row>
    <row r="6" spans="1:11" x14ac:dyDescent="0.25">
      <c r="A6" s="323" t="s">
        <v>500</v>
      </c>
      <c r="B6">
        <f>IFERROR(VLOOKUP(A6,Biogasudbytte!$A$2:$C$18,3,FALSE),VLOOKUP(A6,$I$2:$J$8,2,FALSE))</f>
        <v>6.3E-2</v>
      </c>
      <c r="I6" s="323" t="s">
        <v>720</v>
      </c>
      <c r="J6">
        <v>0.91</v>
      </c>
      <c r="K6" t="s">
        <v>717</v>
      </c>
    </row>
    <row r="7" spans="1:11" x14ac:dyDescent="0.25">
      <c r="A7" s="322" t="s">
        <v>519</v>
      </c>
      <c r="B7">
        <f>IFERROR(VLOOKUP(A7,Biogasudbytte!$A$2:$C$18,3,FALSE),VLOOKUP(A7,$I$2:$J$8,2,FALSE))</f>
        <v>0.9</v>
      </c>
      <c r="I7" s="323" t="s">
        <v>721</v>
      </c>
      <c r="J7">
        <v>0.91</v>
      </c>
      <c r="K7" t="s">
        <v>717</v>
      </c>
    </row>
    <row r="8" spans="1:11" x14ac:dyDescent="0.25">
      <c r="A8" s="323" t="s">
        <v>13</v>
      </c>
      <c r="B8">
        <f>IFERROR(VLOOKUP(A8,Biogasudbytte!$A$2:$C$18,3,FALSE),VLOOKUP(A8,$I$2:$J$8,2,FALSE))</f>
        <v>0.28000000000000003</v>
      </c>
      <c r="I8" s="323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25">
      <c r="A9" s="322" t="s">
        <v>37</v>
      </c>
      <c r="B9">
        <f>IFERROR(VLOOKUP(A9,Biogasudbytte!$A$2:$C$18,3,FALSE),VLOOKUP(A9,$I$2:$J$8,2,FALSE))</f>
        <v>0.85</v>
      </c>
    </row>
    <row r="10" spans="1:11" x14ac:dyDescent="0.25">
      <c r="A10" s="323" t="s">
        <v>527</v>
      </c>
      <c r="B10">
        <f>IFERROR(VLOOKUP(A10,Biogasudbytte!$A$2:$C$18,3,FALSE),VLOOKUP(A10,$I$2:$J$8,2,FALSE))</f>
        <v>0.3</v>
      </c>
    </row>
    <row r="11" spans="1:11" x14ac:dyDescent="0.25">
      <c r="A11" s="322" t="s">
        <v>41</v>
      </c>
      <c r="B11">
        <f>IFERROR(VLOOKUP(A11,Biogasudbytte!$A$2:$C$18,3,FALSE),VLOOKUP(A11,$I$2:$J$8,2,FALSE))</f>
        <v>0.42</v>
      </c>
    </row>
    <row r="12" spans="1:11" x14ac:dyDescent="0.25">
      <c r="A12" s="323" t="s">
        <v>188</v>
      </c>
      <c r="B12">
        <f>IFERROR(VLOOKUP(A12,Biogasudbytte!$A$2:$C$18,3,FALSE),VLOOKUP(A12,$I$2:$J$8,2,FALSE))</f>
        <v>0.25</v>
      </c>
    </row>
    <row r="13" spans="1:11" x14ac:dyDescent="0.25">
      <c r="A13" s="322" t="s">
        <v>11</v>
      </c>
      <c r="B13">
        <f>IFERROR(VLOOKUP(A13,Biogasudbytte!$A$2:$C$18,3,FALSE),VLOOKUP(A13,$I$2:$J$8,2,FALSE))</f>
        <v>0.31</v>
      </c>
    </row>
    <row r="14" spans="1:11" x14ac:dyDescent="0.25">
      <c r="A14" s="323" t="s">
        <v>499</v>
      </c>
      <c r="B14">
        <f>IFERROR(VLOOKUP(A14,Biogasudbytte!$A$2:$C$18,3,FALSE),VLOOKUP(A14,$I$2:$J$8,2,FALSE))</f>
        <v>7.5999999999999998E-2</v>
      </c>
    </row>
    <row r="15" spans="1:11" x14ac:dyDescent="0.25">
      <c r="A15" s="322" t="s">
        <v>15</v>
      </c>
      <c r="B15">
        <f>IFERROR(VLOOKUP(A15,Biogasudbytte!$A$2:$C$18,3,FALSE),VLOOKUP(A15,$I$2:$J$8,2,FALSE))</f>
        <v>0.3</v>
      </c>
    </row>
    <row r="16" spans="1:11" x14ac:dyDescent="0.25">
      <c r="A16" s="323" t="s">
        <v>311</v>
      </c>
      <c r="B16">
        <f>IFERROR(VLOOKUP(A16,Biogasudbytte!$A$2:$C$18,3,FALSE),VLOOKUP(A16,$I$2:$J$8,2,FALSE))</f>
        <v>0.15</v>
      </c>
    </row>
    <row r="17" spans="1:2" x14ac:dyDescent="0.25">
      <c r="A17" s="322" t="s">
        <v>339</v>
      </c>
      <c r="B17">
        <f>IFERROR(VLOOKUP(A17,Biogasudbytte!$A$2:$C$18,3,FALSE),VLOOKUP(A17,$I$2:$J$8,2,FALSE))</f>
        <v>0.41500000000000004</v>
      </c>
    </row>
    <row r="18" spans="1:2" x14ac:dyDescent="0.25">
      <c r="A18" s="323" t="s">
        <v>177</v>
      </c>
      <c r="B18">
        <f>IFERROR(VLOOKUP(A18,Biogasudbytte!$A$2:$C$18,3,FALSE),VLOOKUP(A18,$I$2:$J$8,2,FALSE))</f>
        <v>0.91</v>
      </c>
    </row>
    <row r="19" spans="1:2" x14ac:dyDescent="0.25">
      <c r="A19" s="323" t="s">
        <v>720</v>
      </c>
      <c r="B19">
        <f>IFERROR(VLOOKUP(A19,Biogasudbytte!$A$2:$C$18,3,FALSE),VLOOKUP(A19,$I$2:$J$8,2,FALSE))</f>
        <v>0.91</v>
      </c>
    </row>
    <row r="20" spans="1:2" x14ac:dyDescent="0.25">
      <c r="A20" s="322" t="s">
        <v>42</v>
      </c>
      <c r="B20">
        <f>IFERROR(VLOOKUP(A20,Biogasudbytte!$A$2:$C$18,3,FALSE),VLOOKUP(A20,$I$2:$J$8,2,FALSE))</f>
        <v>0.2</v>
      </c>
    </row>
    <row r="21" spans="1:2" x14ac:dyDescent="0.25">
      <c r="A21" s="322" t="s">
        <v>502</v>
      </c>
      <c r="B21">
        <f>IFERROR(VLOOKUP(A21,Biogasudbytte!$A$2:$C$18,3,FALSE),VLOOKUP(A21,$I$2:$J$8,2,FALSE))</f>
        <v>0.06</v>
      </c>
    </row>
    <row r="22" spans="1:2" x14ac:dyDescent="0.25">
      <c r="A22" s="323" t="s">
        <v>498</v>
      </c>
      <c r="B22">
        <f>IFERROR(VLOOKUP(A22,Biogasudbytte!$A$2:$C$18,3,FALSE),VLOOKUP(A22,$I$2:$J$8,2,FALSE))</f>
        <v>0.05</v>
      </c>
    </row>
    <row r="23" spans="1:2" x14ac:dyDescent="0.25">
      <c r="A23" s="322" t="s">
        <v>310</v>
      </c>
      <c r="B23">
        <f>IFERROR(VLOOKUP(A23,Biogasudbytte!$A$2:$C$18,3,FALSE),VLOOKUP(A23,$I$2:$J$8,2,FALSE))</f>
        <v>0.15</v>
      </c>
    </row>
    <row r="24" spans="1:2" x14ac:dyDescent="0.25">
      <c r="A24" s="323" t="s">
        <v>405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2021-09-21T14:50:40Z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774159729480743</vt:r8>
  </property>
</Properties>
</file>