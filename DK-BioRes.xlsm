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DC557E37-4BEC-4DCC-B683-06B90BDDA9D7}" xr6:coauthVersionLast="47" xr6:coauthVersionMax="47" xr10:uidLastSave="{00000000-0000-0000-0000-000000000000}"/>
  <bookViews>
    <workbookView xWindow="-120" yWindow="-120" windowWidth="29040" windowHeight="1572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  <sheet name="kcal" sheetId="39" r:id="rId20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7" i="24" l="1"/>
  <c r="I7" i="24"/>
  <c r="D7" i="24" s="1"/>
  <c r="C7" i="24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38" i="39"/>
  <c r="C39" i="39"/>
  <c r="C40" i="39"/>
  <c r="C41" i="39"/>
  <c r="C42" i="39"/>
  <c r="C43" i="39"/>
  <c r="C44" i="39"/>
  <c r="C45" i="39"/>
  <c r="C46" i="39"/>
  <c r="C47" i="39"/>
  <c r="C48" i="39"/>
  <c r="C49" i="39"/>
  <c r="C2" i="39"/>
  <c r="J4" i="39"/>
  <c r="J20" i="39"/>
  <c r="J17" i="39"/>
  <c r="K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4" i="39"/>
  <c r="K21" i="39" l="1"/>
  <c r="K20" i="39"/>
  <c r="K17" i="39"/>
  <c r="K13" i="39"/>
  <c r="K12" i="39"/>
  <c r="K11" i="39"/>
  <c r="J21" i="39"/>
  <c r="J13" i="39"/>
  <c r="J12" i="39"/>
  <c r="J11" i="39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B2" i="18" a="1"/>
  <c r="W3" i="34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13" i="24"/>
  <c r="C66" i="9"/>
  <c r="I459" i="20" s="1"/>
  <c r="C64" i="9"/>
  <c r="E461" i="20"/>
  <c r="G461" i="20"/>
  <c r="E459" i="20"/>
  <c r="G459" i="20"/>
  <c r="G9" i="8"/>
  <c r="B9" i="8"/>
  <c r="C6" i="18"/>
  <c r="D6" i="18"/>
  <c r="B6" i="18"/>
  <c r="J459" i="20" l="1"/>
  <c r="H45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M15" i="24"/>
  <c r="I8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J4" i="32"/>
  <c r="J3" i="32"/>
  <c r="H5" i="20"/>
  <c r="N7" i="24" l="1"/>
  <c r="C7" i="2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J123" i="20"/>
  <c r="J115" i="20"/>
  <c r="C16" i="24"/>
  <c r="C14" i="24"/>
  <c r="I140" i="20"/>
  <c r="J140" i="20"/>
  <c r="H140" i="20"/>
  <c r="I132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J116" i="20" l="1"/>
  <c r="H116" i="20"/>
  <c r="C8" i="2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U8" i="24" s="1"/>
  <c r="G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J461" i="20" l="1"/>
  <c r="I461" i="20"/>
  <c r="H461" i="20"/>
  <c r="F6" i="34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<sst xmlns="http://schemas.openxmlformats.org/spreadsheetml/2006/main" count="3875" uniqueCount="949">
  <si>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</si>
  <si>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</si>
  <si>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</si>
  <si>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</si>
  <si>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</si>
  <si>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</si>
  <si>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</si>
  <si>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</si>
  <si>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</si>
  <si>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</si>
  <si>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</si>
  <si>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</si>
  <si>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</si>
  <si>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</si>
  <si>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</si>
  <si>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</si>
  <si>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</si>
  <si>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</si>
  <si>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</si>
  <si>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</si>
  <si>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</si>
  <si>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</si>
  <si>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</si>
  <si>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</si>
  <si>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</si>
  <si>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</si>
  <si>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</si>
  <si>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</si>
  <si>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</si>
  <si>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</si>
  <si>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</si>
  <si>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</si>
  <si>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</si>
  <si>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</si>
  <si>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</si>
  <si>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</si>
  <si>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</si>
  <si>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</si>
  <si>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</si>
  <si>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</si>
  <si>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</si>
  <si>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</si>
  <si>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</si>
  <si>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</si>
  <si>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</si>
  <si>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</si>
  <si>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</si>
  <si>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</si>
  <si>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</si>
  <si>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</si>
  <si>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</si>
  <si>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</si>
  <si>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</si>
  <si>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</si>
  <si>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</si>
  <si>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</si>
  <si>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</si>
  <si>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</si>
  <si>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</si>
  <si>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</si>
  <si>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</si>
  <si>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</si>
  <si>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</si>
  <si>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</si>
  <si>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</si>
  <si>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</si>
  <si>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</si>
  <si>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</si>
  <si>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</si>
  <si>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</si>
  <si>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</si>
  <si>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</si>
  <si>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</si>
  <si>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</si>
  <si>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</si>
  <si>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</si>
  <si>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</si>
  <si>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</si>
  <si>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</si>
  <si>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</si>
  <si>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</si>
  <si>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</si>
  <si>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</si>
  <si>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</si>
  <si>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</si>
  <si>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</si>
  <si>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</si>
  <si>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</si>
  <si>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</si>
  <si>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</si>
  <si>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</si>
  <si>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</si>
  <si>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</si>
  <si>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</si>
  <si>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</si>
  <si>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</si>
  <si>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</si>
  <si>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</si>
  <si>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</si>
  <si>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</si>
  <si>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</si>
  <si>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</si>
  <si>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</si>
  <si>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</si>
  <si>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</si>
  <si>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</si>
  <si>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</si>
  <si>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</si>
  <si>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</si>
  <si>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</si>
  <si>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</si>
  <si>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</si>
  <si>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</si>
  <si>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</si>
  <si>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</si>
  <si>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</si>
  <si>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</si>
  <si>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</si>
  <si>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</si>
  <si>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</si>
  <si>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</si>
  <si>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</si>
  <si>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</si>
  <si>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</si>
  <si>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</si>
  <si>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</si>
  <si>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</si>
  <si>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</si>
  <si>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</si>
  <si>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</si>
  <si>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</si>
  <si>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</si>
  <si>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</si>
  <si>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</si>
  <si>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</si>
  <si>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</si>
  <si>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</si>
  <si>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</si>
  <si>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</si>
  <si>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</si>
  <si>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</si>
  <si>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</si>
  <si>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</si>
  <si>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</si>
  <si>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</si>
  <si>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</si>
  <si>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</si>
  <si>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</si>
  <si>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</si>
  <si>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</si>
  <si>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</si>
  <si>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</si>
  <si>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</si>
  <si>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</si>
  <si>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</si>
  <si>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</si>
  <si>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</si>
  <si>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</si>
  <si>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</si>
  <si>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</si>
  <si>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</si>
  <si>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</si>
  <si>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</si>
  <si>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</si>
  <si>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</si>
  <si>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</si>
  <si>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</si>
  <si>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</si>
  <si>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</si>
  <si>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</si>
  <si>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</si>
  <si>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</si>
  <si>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</si>
  <si>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</si>
  <si>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</si>
  <si>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</si>
  <si>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</si>
  <si>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</si>
  <si>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</si>
  <si>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</si>
  <si>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</si>
  <si>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</si>
  <si>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</si>
  <si>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</si>
  <si>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</si>
  <si>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</si>
  <si>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</si>
  <si>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</si>
  <si>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</si>
  <si>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</si>
  <si>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</si>
  <si>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</si>
  <si>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</si>
  <si>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</si>
  <si>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</si>
  <si>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</si>
  <si>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</si>
  <si>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</si>
  <si>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</si>
  <si>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</si>
  <si>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</si>
  <si>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</si>
  <si>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</si>
  <si>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</si>
  <si>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</si>
  <si>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</si>
  <si>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</si>
  <si>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</si>
  <si>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</si>
  <si>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</si>
  <si>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</si>
  <si>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</si>
  <si>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</si>
  <si>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</si>
  <si>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</si>
  <si>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</si>
  <si>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</si>
  <si>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</si>
  <si>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</si>
  <si>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</si>
  <si>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</si>
  <si>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</si>
  <si>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</si>
  <si>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</si>
  <si>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</si>
  <si>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</si>
  <si>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</si>
  <si>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</si>
  <si>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</si>
  <si>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</si>
  <si>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</si>
  <si>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</si>
  <si>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</si>
  <si>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</si>
  <si>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</si>
  <si>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</si>
  <si>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</si>
  <si>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</si>
  <si>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</si>
  <si>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</si>
  <si>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</si>
  <si>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</si>
  <si>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</si>
  <si>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</si>
  <si>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</si>
  <si>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</si>
  <si>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</si>
  <si>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</si>
  <si>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</si>
  <si>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</si>
  <si>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</si>
  <si>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</si>
  <si>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</si>
  <si>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</si>
  <si>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</si>
  <si>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</si>
  <si>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</si>
  <si>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</si>
  <si>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</si>
  <si>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</si>
  <si>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</si>
  <si>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</si>
  <si>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</si>
  <si>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</si>
  <si>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</si>
  <si>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</si>
  <si>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</si>
  <si>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</si>
  <si>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</si>
  <si>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</si>
  <si>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</si>
  <si>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</si>
  <si>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</si>
  <si>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</si>
  <si>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</si>
  <si>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</si>
  <si>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</si>
  <si>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</si>
  <si>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</si>
  <si>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</si>
  <si>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</si>
  <si>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</si>
  <si>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</si>
  <si>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</si>
  <si>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</si>
  <si>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</si>
  <si>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</si>
  <si>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</si>
  <si>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</si>
  <si>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</si>
  <si>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</si>
  <si>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</si>
  <si>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</si>
  <si>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</si>
  <si>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</si>
  <si>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</si>
  <si>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</si>
  <si>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</si>
  <si>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</si>
  <si>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</si>
  <si>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</si>
  <si>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</si>
  <si>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</si>
  <si>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</si>
  <si>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</si>
  <si>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</si>
  <si>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</si>
  <si>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</si>
  <si>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</si>
  <si>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</si>
  <si>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</si>
  <si>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</si>
  <si>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</si>
  <si>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</si>
  <si>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</si>
  <si>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</si>
  <si>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</si>
  <si>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</si>
  <si>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</si>
  <si>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</si>
  <si>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</si>
  <si>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</si>
  <si>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</si>
  <si>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</si>
  <si>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</si>
  <si>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</si>
  <si>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</si>
  <si>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</si>
  <si>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</si>
  <si>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</si>
  <si>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</si>
  <si>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</si>
  <si>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</si>
  <si>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</si>
  <si>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</si>
  <si>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</si>
  <si>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</si>
  <si>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</si>
  <si>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</si>
  <si>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</si>
  <si>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</si>
  <si>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</si>
  <si>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</si>
  <si>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</si>
  <si>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</si>
  <si>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</si>
  <si>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</si>
  <si>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</si>
  <si>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</si>
  <si>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</si>
  <si>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</si>
  <si>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</si>
  <si>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</si>
  <si>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</si>
  <si>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</si>
  <si>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</si>
  <si>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</si>
  <si>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</si>
  <si>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</si>
  <si>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</si>
  <si>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</si>
  <si>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</si>
  <si>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</si>
  <si>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</si>
  <si>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</si>
  <si>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</si>
  <si>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</si>
  <si>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</si>
  <si>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</si>
  <si>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</si>
  <si>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</si>
  <si>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</si>
  <si>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</si>
  <si>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</si>
  <si>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</si>
  <si>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</si>
  <si>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</si>
  <si>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</si>
  <si>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</si>
  <si>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</si>
  <si>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</si>
  <si>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</si>
  <si>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</si>
  <si>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</si>
  <si>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</si>
  <si>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</si>
  <si>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</si>
  <si>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</si>
  <si>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</si>
  <si>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</si>
  <si>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</si>
  <si>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</si>
  <si>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</si>
  <si>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</si>
  <si>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</si>
  <si>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</si>
  <si>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</si>
  <si>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</si>
  <si>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</si>
  <si>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</si>
  <si>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</si>
  <si>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</si>
  <si>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</si>
  <si>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</si>
  <si>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</si>
  <si>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</si>
  <si>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</si>
  <si>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</si>
  <si>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</si>
  <si>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</si>
  <si>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</si>
  <si>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</si>
  <si>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</si>
  <si>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</si>
  <si>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</si>
  <si>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</si>
  <si>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</si>
  <si>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</si>
  <si>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</si>
  <si>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</si>
  <si>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</si>
  <si>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</si>
  <si>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</si>
  <si>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</si>
  <si>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</si>
  <si>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</si>
  <si>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</si>
  <si>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</si>
  <si>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</si>
  <si>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</si>
  <si>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</si>
  <si>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</si>
  <si>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</si>
  <si>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</si>
  <si>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</si>
  <si>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</si>
  <si>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</si>
  <si>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</si>
  <si>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</si>
  <si>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</si>
  <si>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</si>
  <si>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</si>
  <si>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</si>
  <si>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</si>
  <si>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</si>
  <si>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</si>
  <si>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</si>
  <si>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</si>
  <si>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</si>
  <si>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</si>
  <si>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</si>
  <si>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</si>
  <si>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</si>
  <si>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</si>
  <si>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</si>
  <si>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</si>
  <si>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</si>
  <si>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</si>
  <si>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</si>
  <si>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</si>
  <si>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</si>
  <si>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</si>
  <si>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</si>
  <si>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</si>
  <si>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</si>
  <si>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</si>
  <si>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</si>
  <si>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</si>
  <si>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</si>
  <si>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</si>
  <si>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</si>
  <si>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</si>
  <si>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</si>
  <si>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</si>
  <si>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</si>
  <si>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</si>
  <si>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</si>
  <si>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</si>
  <si>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</si>
  <si>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</si>
  <si>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</si>
  <si>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</si>
  <si>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</si>
  <si>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</si>
  <si>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</si>
  <si>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</si>
  <si>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</si>
  <si>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</si>
  <si>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</si>
  <si>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</si>
  <si>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</si>
  <si>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</si>
  <si>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</si>
  <si>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</si>
  <si>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</si>
  <si>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</si>
  <si>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</si>
  <si>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</si>
  <si>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</si>
  <si>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</si>
  <si>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</si>
  <si>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</si>
  <si>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</si>
  <si>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</si>
  <si>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</si>
  <si>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</si>
  <si>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</si>
  <si>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</si>
  <si>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</si>
  <si>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</si>
  <si>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</si>
  <si>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</si>
  <si>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</si>
  <si>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</si>
  <si>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</si>
  <si>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</si>
  <si>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</si>
  <si>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</si>
  <si>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</si>
  <si>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</si>
  <si>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</si>
  <si>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</si>
  <si>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</si>
  <si>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</si>
  <si>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</si>
  <si>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</si>
  <si>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</si>
  <si>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</si>
  <si>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</si>
  <si>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</si>
  <si>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</si>
  <si>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</si>
  <si>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</si>
  <si>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</si>
  <si>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</si>
  <si>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</si>
  <si>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</si>
  <si>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</si>
  <si>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</si>
  <si>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</si>
  <si>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</si>
  <si>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</si>
  <si>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</si>
  <si>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</si>
  <si>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</si>
  <si>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</si>
  <si>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</si>
  <si>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</si>
  <si>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</si>
  <si>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</si>
  <si>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</si>
  <si>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</si>
  <si>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</si>
  <si>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</si>
  <si>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</si>
  <si>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</si>
  <si>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</si>
  <si>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</si>
  <si>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</si>
  <si>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</si>
  <si>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</si>
  <si>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</si>
  <si>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</si>
  <si>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</si>
  <si>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</si>
  <si>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</si>
  <si>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</si>
  <si>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</si>
  <si>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</si>
  <si>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</si>
  <si>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</si>
  <si>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</si>
  <si>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</si>
  <si>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</si>
  <si>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</si>
  <si>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</si>
  <si>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</si>
  <si>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</si>
  <si>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</si>
  <si>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</si>
  <si>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</si>
  <si>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</si>
  <si>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</si>
  <si>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</si>
  <si>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</si>
  <si>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</si>
  <si>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</si>
  <si>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</si>
  <si>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</si>
  <si>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</si>
  <si>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</si>
  <si>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</si>
  <si>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</si>
  <si>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</si>
  <si>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</si>
  <si>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</si>
  <si>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</si>
  <si>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</si>
  <si>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</si>
  <si>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</si>
  <si>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</si>
  <si>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</si>
  <si>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</si>
  <si>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</si>
  <si>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</si>
  <si>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</si>
  <si>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</si>
  <si>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</si>
  <si>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</si>
  <si>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</si>
  <si>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</si>
  <si>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</si>
  <si>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</si>
  <si>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</si>
  <si>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</si>
  <si>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</si>
  <si>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</si>
  <si>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</si>
  <si>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</si>
  <si>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</si>
  <si>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</si>
  <si>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</si>
  <si>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</si>
  <si>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</si>
  <si>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</si>
  <si>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</si>
  <si>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</si>
  <si>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</si>
  <si>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</si>
  <si>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</si>
  <si>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</si>
  <si>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</si>
  <si>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</si>
  <si>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</si>
  <si>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</si>
  <si>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</si>
  <si>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</si>
  <si>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</si>
  <si>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</si>
  <si>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</si>
  <si>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</si>
  <si>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</si>
  <si>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</si>
  <si>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</si>
  <si>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</si>
  <si>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</si>
  <si>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</si>
  <si>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</si>
  <si>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</si>
  <si>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</si>
  <si>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</si>
  <si>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</si>
  <si>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</si>
  <si>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</si>
  <si>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</si>
  <si>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</si>
  <si>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</si>
  <si>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</si>
  <si>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</si>
  <si>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</si>
  <si>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</si>
  <si>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</si>
  <si>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</si>
  <si>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</si>
  <si>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</si>
  <si>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</si>
  <si>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</si>
  <si>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</si>
  <si>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</si>
  <si>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</si>
  <si>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</si>
  <si>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</si>
  <si>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</si>
  <si>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</si>
  <si>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</si>
  <si>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</si>
  <si>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</si>
  <si>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</si>
  <si>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</si>
  <si>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</si>
  <si>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</si>
  <si>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</si>
  <si>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</si>
  <si>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</si>
  <si>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</si>
  <si>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</si>
  <si>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</si>
  <si>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</si>
  <si>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</si>
  <si>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</si>
  <si>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</si>
  <si>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</si>
  <si>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</si>
  <si>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</si>
  <si>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</si>
  <si>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</si>
  <si>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</si>
  <si>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</si>
  <si>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</si>
  <si>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</si>
  <si>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</si>
  <si>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</si>
  <si>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</si>
  <si>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</si>
  <si>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</si>
  <si>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</si>
  <si>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</si>
  <si>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</si>
  <si>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</si>
  <si>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</si>
  <si>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</si>
  <si>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</si>
  <si>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</si>
  <si>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</si>
  <si>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</si>
  <si>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</si>
  <si>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</si>
  <si>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</si>
  <si>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</si>
  <si>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</si>
  <si>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</si>
  <si>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</si>
  <si>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</si>
  <si>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</si>
  <si>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</si>
  <si>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</si>
  <si>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</si>
  <si>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</si>
  <si>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</si>
  <si>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</si>
  <si>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</si>
  <si>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</si>
  <si>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</si>
  <si>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</si>
  <si>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</si>
  <si>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</si>
  <si>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</si>
  <si>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</si>
  <si>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</si>
  <si>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</si>
  <si>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</si>
  <si>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</si>
  <si>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</si>
  <si>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</si>
  <si>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</si>
  <si>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</si>
  <si>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</si>
  <si>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</si>
  <si>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</si>
  <si>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</si>
  <si>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</si>
  <si>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</si>
  <si>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</si>
  <si>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</si>
  <si>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</si>
  <si>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</si>
  <si>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</si>
  <si>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</si>
  <si>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</si>
  <si>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</si>
  <si>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</si>
  <si>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</si>
  <si>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</si>
  <si>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</si>
  <si>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</si>
  <si>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</si>
  <si>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</si>
  <si>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</si>
  <si>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</si>
  <si>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</si>
  <si>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</si>
  <si>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</si>
  <si>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</si>
  <si>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</si>
  <si>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</si>
  <si>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</si>
  <si>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</si>
  <si>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</si>
  <si>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</si>
  <si>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</si>
  <si>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</si>
  <si>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</si>
  <si>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</si>
  <si>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</si>
  <si>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</si>
  <si>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</si>
  <si>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</si>
  <si>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</si>
  <si>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</si>
  <si>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</si>
  <si>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</si>
  <si>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</si>
  <si>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</si>
  <si>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</si>
  <si>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</si>
  <si>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</si>
  <si>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</si>
  <si>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</si>
  <si>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</si>
  <si>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</si>
  <si>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</si>
  <si>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</si>
  <si>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</si>
  <si>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</si>
  <si>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</si>
  <si>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</si>
  <si>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</si>
  <si>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</si>
  <si>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</si>
  <si>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</si>
  <si>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</si>
  <si>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</si>
  <si>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</si>
  <si>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</si>
  <si>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</si>
  <si>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</si>
  <si>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</si>
  <si>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</si>
  <si>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</si>
  <si>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</si>
  <si>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</si>
  <si>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</si>
  <si>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</si>
  <si>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</si>
  <si>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</si>
  <si>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</si>
  <si>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</si>
  <si>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</si>
  <si>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</si>
  <si>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</si>
  <si>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</si>
  <si>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</si>
  <si>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</si>
  <si>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</si>
  <si>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</si>
  <si>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</si>
  <si>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</si>
  <si>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</si>
  <si>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</si>
  <si>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</si>
  <si>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</si>
  <si>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</si>
  <si>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</si>
  <si>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</si>
  <si>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</si>
  <si>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</si>
  <si>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</si>
  <si>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</si>
  <si>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</si>
  <si>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</si>
  <si>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</si>
  <si>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</si>
  <si>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</si>
  <si>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</si>
  <si>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</si>
  <si>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</si>
  <si>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</si>
  <si>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</si>
  <si>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</si>
  <si>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</si>
  <si>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</si>
  <si>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</si>
  <si>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</si>
  <si>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</si>
  <si>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</si>
  <si>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</si>
  <si>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</si>
  <si>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</si>
  <si>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</si>
  <si>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</si>
  <si>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</si>
  <si>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</si>
  <si>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</si>
  <si>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</si>
  <si>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</si>
  <si>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</si>
  <si>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</si>
  <si>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</si>
  <si>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</si>
  <si>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</si>
  <si>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</si>
  <si>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</si>
  <si>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</si>
  <si>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</si>
  <si>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</si>
  <si>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</si>
  <si>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</si>
  <si>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</si>
  <si>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</si>
  <si>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</si>
  <si>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</si>
  <si>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</si>
  <si>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</si>
  <si>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</si>
  <si>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</si>
  <si>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</si>
  <si>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Fødevaredata (http://frida.fooddata.dk), version 5.0, 2023
Fødevareinstituttet, Danmarks Tekniske Universitet</t>
  </si>
  <si>
    <t>Fødevaregruppe</t>
  </si>
  <si>
    <t>Friske bælgplanter</t>
  </si>
  <si>
    <t>Friske æg (kun hele æg)</t>
  </si>
  <si>
    <t>Høns og kylling (kun "rå")</t>
  </si>
  <si>
    <t>Fedtrige frø</t>
  </si>
  <si>
    <t>Kernefrugt (her valgt æble og pære)</t>
  </si>
  <si>
    <t>Rod- og knoldgrøntsager + Blad- og stængelgrøntsager</t>
  </si>
  <si>
    <t>Rod- og knoldgrøntsager (kun kartoffel + rå)</t>
  </si>
  <si>
    <t>Korn og gryn (Havregryn, hvedekim, hvedegryn)</t>
  </si>
  <si>
    <t>Frugt-grøntsager (majskolbe rå)</t>
  </si>
  <si>
    <t>Usyrnede mækeprodukter (sødmælk konventionel, sødmælk økologisk)</t>
  </si>
  <si>
    <t>Bløddyr og produkter heraf (musling rå)</t>
  </si>
  <si>
    <t>(antaget lig med grøntsager)</t>
  </si>
  <si>
    <t>Antaget lig med mejeriprodukter</t>
  </si>
  <si>
    <t>(søgt på rapsolie)</t>
  </si>
  <si>
    <t>(majroe + kålrabi)</t>
  </si>
  <si>
    <t>(søgt på tang)</t>
  </si>
  <si>
    <t>Svinekød (Gris)</t>
  </si>
  <si>
    <t>Scenarie_Fremtidsbillede1</t>
  </si>
  <si>
    <r>
      <rPr>
        <sz val="8"/>
        <rFont val="Calibri"/>
        <family val="2"/>
      </rPr>
      <t xml:space="preserve">Cereals –
</t>
    </r>
    <r>
      <rPr>
        <sz val="8"/>
        <rFont val="Calibri"/>
        <family val="2"/>
      </rPr>
      <t>excl. beer</t>
    </r>
  </si>
  <si>
    <r>
      <rPr>
        <sz val="8"/>
        <rFont val="Calibri"/>
        <family val="2"/>
      </rPr>
      <t xml:space="preserve">Starchy
</t>
    </r>
    <r>
      <rPr>
        <sz val="8"/>
        <rFont val="Calibri"/>
        <family val="2"/>
      </rPr>
      <t>roots</t>
    </r>
  </si>
  <si>
    <r>
      <rPr>
        <sz val="8"/>
        <rFont val="Calibri"/>
        <family val="2"/>
      </rPr>
      <t>Sugar crops</t>
    </r>
  </si>
  <si>
    <r>
      <rPr>
        <sz val="8"/>
        <rFont val="Calibri"/>
        <family val="2"/>
      </rPr>
      <t xml:space="preserve">Sugar &amp;
</t>
    </r>
    <r>
      <rPr>
        <sz val="8"/>
        <rFont val="Calibri"/>
        <family val="2"/>
      </rPr>
      <t>sweeteners</t>
    </r>
  </si>
  <si>
    <r>
      <rPr>
        <sz val="8"/>
        <rFont val="Calibri"/>
        <family val="2"/>
      </rPr>
      <t>Pulses</t>
    </r>
  </si>
  <si>
    <r>
      <rPr>
        <sz val="8"/>
        <rFont val="Calibri"/>
        <family val="2"/>
      </rPr>
      <t>Treenuts</t>
    </r>
  </si>
  <si>
    <r>
      <rPr>
        <sz val="8"/>
        <rFont val="Calibri"/>
        <family val="2"/>
      </rPr>
      <t>Oilcrops</t>
    </r>
  </si>
  <si>
    <r>
      <rPr>
        <sz val="8"/>
        <rFont val="Calibri"/>
        <family val="2"/>
      </rPr>
      <t xml:space="preserve">Vegetable
</t>
    </r>
    <r>
      <rPr>
        <sz val="8"/>
        <rFont val="Calibri"/>
        <family val="2"/>
      </rPr>
      <t>oils</t>
    </r>
  </si>
  <si>
    <r>
      <rPr>
        <sz val="8"/>
        <rFont val="Calibri"/>
        <family val="2"/>
      </rPr>
      <t>Vegetables</t>
    </r>
  </si>
  <si>
    <r>
      <rPr>
        <sz val="8"/>
        <rFont val="Calibri"/>
        <family val="2"/>
      </rPr>
      <t xml:space="preserve">Fruits – excl.
</t>
    </r>
    <r>
      <rPr>
        <sz val="8"/>
        <rFont val="Calibri"/>
        <family val="2"/>
      </rPr>
      <t>wine</t>
    </r>
  </si>
  <si>
    <r>
      <rPr>
        <sz val="8"/>
        <rFont val="Calibri"/>
        <family val="2"/>
      </rPr>
      <t>Stimulants</t>
    </r>
  </si>
  <si>
    <r>
      <rPr>
        <sz val="8"/>
        <rFont val="Calibri"/>
        <family val="2"/>
      </rPr>
      <t>Spices</t>
    </r>
  </si>
  <si>
    <r>
      <rPr>
        <sz val="8"/>
        <rFont val="Calibri"/>
        <family val="2"/>
      </rPr>
      <t xml:space="preserve">Alcoholic
</t>
    </r>
    <r>
      <rPr>
        <sz val="8"/>
        <rFont val="Calibri"/>
        <family val="2"/>
      </rPr>
      <t>beverages</t>
    </r>
  </si>
  <si>
    <r>
      <rPr>
        <sz val="8"/>
        <rFont val="Calibri"/>
        <family val="2"/>
      </rPr>
      <t>Meat</t>
    </r>
  </si>
  <si>
    <r>
      <rPr>
        <sz val="8"/>
        <rFont val="Calibri"/>
        <family val="2"/>
      </rPr>
      <t>Offals</t>
    </r>
  </si>
  <si>
    <r>
      <rPr>
        <sz val="8"/>
        <rFont val="Calibri"/>
        <family val="2"/>
      </rPr>
      <t>Animal fats</t>
    </r>
  </si>
  <si>
    <r>
      <rPr>
        <sz val="8"/>
        <rFont val="Calibri"/>
        <family val="2"/>
      </rPr>
      <t>Eggs</t>
    </r>
  </si>
  <si>
    <r>
      <rPr>
        <sz val="8"/>
        <rFont val="Calibri"/>
        <family val="2"/>
      </rPr>
      <t xml:space="preserve">Milk – excl.
</t>
    </r>
    <r>
      <rPr>
        <sz val="8"/>
        <rFont val="Calibri"/>
        <family val="2"/>
      </rPr>
      <t>butter</t>
    </r>
  </si>
  <si>
    <r>
      <rPr>
        <sz val="8"/>
        <rFont val="Calibri"/>
        <family val="2"/>
      </rPr>
      <t xml:space="preserve">Fish,
</t>
    </r>
    <r>
      <rPr>
        <sz val="8"/>
        <rFont val="Calibri"/>
        <family val="2"/>
      </rPr>
      <t>seafood</t>
    </r>
  </si>
  <si>
    <r>
      <rPr>
        <sz val="8"/>
        <rFont val="Calibri"/>
        <family val="2"/>
      </rPr>
      <t xml:space="preserve">Aquatic
</t>
    </r>
    <r>
      <rPr>
        <sz val="8"/>
        <rFont val="Calibri"/>
        <family val="2"/>
      </rPr>
      <t>prod, other</t>
    </r>
  </si>
  <si>
    <r>
      <rPr>
        <sz val="8"/>
        <rFont val="Calibri"/>
        <family val="2"/>
      </rPr>
      <t>Miscellan.</t>
    </r>
  </si>
  <si>
    <t>FAO crop</t>
  </si>
  <si>
    <t>BioRes crop</t>
  </si>
  <si>
    <t>BioRes/FAO</t>
  </si>
  <si>
    <t>kcal/100 g (Nuværende værdi)</t>
  </si>
  <si>
    <t>kcal/100 g (Oprindelig værdi)</t>
  </si>
  <si>
    <t>Sammenligning af Kcal/100g værdier med FAO-tal</t>
  </si>
  <si>
    <t xml:space="preserve">Kcal/100g from FAO - udregninger fra </t>
  </si>
  <si>
    <t>Sammenlignet med udregninger på baggrund af tabel 1 i:</t>
  </si>
  <si>
    <t>Schou, J. S., Elleby, C., &amp; Lind, K. M. H., (2016). Hvor mange mennesker kan dansk landbrugs fødevareproduktion brødføde?, 7 s., IFRO Udredning Nr. 2016/30</t>
  </si>
  <si>
    <t>BioRes number</t>
  </si>
  <si>
    <t>Adjust</t>
  </si>
  <si>
    <t>https://static-curis.ku.dk/portal/files/209323723/IFRO_Udredning_2016_30.pdf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</si>
</sst>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9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8"/>
      <name val="Calibri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7" fillId="0" borderId="0" xfId="3" applyBorder="1"/>
    <xf numFmtId="0" fontId="0" fillId="0" borderId="0" xfId="0" applyAlignment="1">
      <alignment vertical="top"/>
    </xf>
    <xf numFmtId="0" fontId="0" fillId="0" borderId="91" xfId="0" applyBorder="1" applyAlignment="1">
      <alignment horizontal="left" vertical="top" wrapText="1" indent="1"/>
    </xf>
    <xf numFmtId="0" fontId="89" fillId="0" borderId="91" xfId="0" applyFont="1" applyBorder="1" applyAlignment="1">
      <alignment horizontal="left" vertical="center" wrapText="1" indent="1"/>
    </xf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ic-curis.ku.dk/portal/files/209323723/IFRO_Udredning_2016_3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55" t="s">
        <v>0</v>
      </c>
      <c r="B1" s="455"/>
    </row>
    <row r="2" spans="1:5" ht="30" customHeight="1" x14ac:dyDescent="0.25">
      <c r="A2" s="454" t="s">
        <v>766</v>
      </c>
      <c r="B2" s="454"/>
    </row>
    <row r="3" spans="1:5" x14ac:dyDescent="0.25">
      <c r="A3" s="457" t="s">
        <v>6</v>
      </c>
      <c r="B3" s="457"/>
    </row>
    <row r="4" spans="1:5" ht="28.9" customHeight="1" x14ac:dyDescent="0.25">
      <c r="A4" s="454" t="s">
        <v>884</v>
      </c>
      <c r="B4" s="454"/>
    </row>
    <row r="5" spans="1:5" x14ac:dyDescent="0.25">
      <c r="A5" s="456" t="s">
        <v>765</v>
      </c>
      <c r="B5" s="456"/>
    </row>
    <row r="6" spans="1:5" x14ac:dyDescent="0.25">
      <c r="B6" s="434" t="s">
        <v>892</v>
      </c>
    </row>
    <row r="7" spans="1:5" x14ac:dyDescent="0.25">
      <c r="A7" s="2" t="s">
        <v>1</v>
      </c>
      <c r="B7" s="3" t="s">
        <v>915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54" t="s">
        <v>5</v>
      </c>
      <c r="B9" s="454"/>
    </row>
    <row r="10" spans="1:5" ht="15.75" thickTop="1" x14ac:dyDescent="0.25">
      <c r="A10" s="327" t="s">
        <v>754</v>
      </c>
      <c r="B10" s="328" t="s">
        <v>287</v>
      </c>
      <c r="D10" s="357" t="s">
        <v>269</v>
      </c>
      <c r="E10" s="358"/>
    </row>
    <row r="11" spans="1:5" x14ac:dyDescent="0.25">
      <c r="A11" s="329" t="s">
        <v>278</v>
      </c>
      <c r="B11" s="330" t="s">
        <v>755</v>
      </c>
      <c r="D11" s="359" t="s">
        <v>776</v>
      </c>
      <c r="E11" s="360" t="s">
        <v>270</v>
      </c>
    </row>
    <row r="12" spans="1:5" x14ac:dyDescent="0.25">
      <c r="A12" s="329"/>
      <c r="B12" s="330" t="s">
        <v>4</v>
      </c>
      <c r="D12" s="359" t="s">
        <v>271</v>
      </c>
      <c r="E12" s="360" t="s">
        <v>272</v>
      </c>
    </row>
    <row r="13" spans="1:5" x14ac:dyDescent="0.25">
      <c r="A13" s="331" t="s">
        <v>671</v>
      </c>
      <c r="B13" s="330" t="s">
        <v>756</v>
      </c>
      <c r="D13" s="359" t="s">
        <v>273</v>
      </c>
      <c r="E13" s="360" t="s">
        <v>274</v>
      </c>
    </row>
    <row r="14" spans="1:5" x14ac:dyDescent="0.25">
      <c r="A14" s="329" t="s">
        <v>279</v>
      </c>
      <c r="B14" s="330" t="s">
        <v>757</v>
      </c>
      <c r="D14" s="359"/>
      <c r="E14" s="360"/>
    </row>
    <row r="15" spans="1:5" x14ac:dyDescent="0.25">
      <c r="A15" s="329"/>
      <c r="B15" s="330"/>
      <c r="D15" s="361" t="s">
        <v>275</v>
      </c>
      <c r="E15" s="360"/>
    </row>
    <row r="16" spans="1:5" x14ac:dyDescent="0.25">
      <c r="A16" s="331" t="s">
        <v>758</v>
      </c>
      <c r="B16" s="332" t="s">
        <v>759</v>
      </c>
      <c r="D16" s="359" t="s">
        <v>276</v>
      </c>
      <c r="E16" s="360"/>
    </row>
    <row r="17" spans="1:5" x14ac:dyDescent="0.25">
      <c r="A17" s="329" t="s">
        <v>760</v>
      </c>
      <c r="B17" s="330" t="s">
        <v>761</v>
      </c>
      <c r="D17" s="359" t="s">
        <v>82</v>
      </c>
      <c r="E17" s="360"/>
    </row>
    <row r="18" spans="1:5" x14ac:dyDescent="0.25">
      <c r="A18" s="329"/>
      <c r="B18" s="330"/>
      <c r="D18" s="359" t="s">
        <v>77</v>
      </c>
      <c r="E18" s="360"/>
    </row>
    <row r="19" spans="1:5" x14ac:dyDescent="0.25">
      <c r="A19" s="331" t="s">
        <v>528</v>
      </c>
      <c r="B19" s="332" t="s">
        <v>36</v>
      </c>
      <c r="D19" s="359" t="s">
        <v>277</v>
      </c>
      <c r="E19" s="360"/>
    </row>
    <row r="20" spans="1:5" x14ac:dyDescent="0.25">
      <c r="A20" s="329" t="s">
        <v>280</v>
      </c>
      <c r="B20" s="330" t="s">
        <v>762</v>
      </c>
      <c r="D20" s="359" t="s">
        <v>70</v>
      </c>
      <c r="E20" s="360"/>
    </row>
    <row r="21" spans="1:5" x14ac:dyDescent="0.25">
      <c r="A21" s="329" t="s">
        <v>281</v>
      </c>
      <c r="B21" s="330"/>
      <c r="D21" s="359"/>
      <c r="E21" s="360"/>
    </row>
    <row r="22" spans="1:5" x14ac:dyDescent="0.25">
      <c r="A22" s="329" t="s">
        <v>282</v>
      </c>
      <c r="B22" s="330"/>
      <c r="D22" s="361" t="s">
        <v>775</v>
      </c>
      <c r="E22" s="360"/>
    </row>
    <row r="23" spans="1:5" x14ac:dyDescent="0.25">
      <c r="A23" s="329" t="s">
        <v>283</v>
      </c>
      <c r="B23" s="330"/>
      <c r="D23" s="359">
        <v>2019</v>
      </c>
      <c r="E23" s="360"/>
    </row>
    <row r="24" spans="1:5" x14ac:dyDescent="0.25">
      <c r="A24" s="329" t="s">
        <v>763</v>
      </c>
      <c r="B24" s="330"/>
      <c r="D24" s="359">
        <v>2030</v>
      </c>
      <c r="E24" s="360"/>
    </row>
    <row r="25" spans="1:5" ht="15.75" thickBot="1" x14ac:dyDescent="0.3">
      <c r="A25" s="329" t="s">
        <v>764</v>
      </c>
      <c r="B25" s="330"/>
      <c r="D25" s="362">
        <v>2050</v>
      </c>
      <c r="E25" s="363"/>
    </row>
    <row r="26" spans="1:5" ht="15.75" thickTop="1" x14ac:dyDescent="0.25">
      <c r="A26" s="329" t="s">
        <v>284</v>
      </c>
      <c r="B26" s="330"/>
    </row>
    <row r="27" spans="1:5" x14ac:dyDescent="0.25">
      <c r="A27" s="329"/>
      <c r="B27" s="330"/>
    </row>
    <row r="28" spans="1:5" x14ac:dyDescent="0.25">
      <c r="A28" s="331" t="s">
        <v>808</v>
      </c>
      <c r="B28" s="330"/>
    </row>
    <row r="29" spans="1:5" ht="15.75" thickBot="1" x14ac:dyDescent="0.3">
      <c r="A29" s="333" t="s">
        <v>3</v>
      </c>
      <c r="B29" s="334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3" activePane="bottomRight" state="frozen"/>
      <selection activeCell="E2" sqref="E2:E66"/>
      <selection pane="topRight" activeCell="E2" sqref="E2:E66"/>
      <selection pane="bottomLeft" activeCell="E2" sqref="E2:E66"/>
      <selection pane="bottomRight" activeCell="J114" sqref="J114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0"/>
      <c r="B1" s="151"/>
      <c r="C1" s="151"/>
      <c r="D1" s="151"/>
      <c r="E1" s="151"/>
      <c r="F1" s="151"/>
      <c r="G1" s="151"/>
      <c r="H1" s="458" t="s">
        <v>311</v>
      </c>
      <c r="I1" s="458"/>
      <c r="J1" s="458"/>
      <c r="K1" s="152"/>
    </row>
    <row r="2" spans="1:11" ht="15.75" thickBot="1" x14ac:dyDescent="0.3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5.75" thickBot="1" x14ac:dyDescent="0.3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 x14ac:dyDescent="0.25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 t="e">
        <f ca="1">Affald!B4/Befolkningstal!B$4</f>
        <v>#REF!</v>
      </c>
      <c r="I4" s="241" t="e">
        <f ca="1">Affald!C4/Befolkningstal!C$4</f>
        <v>#REF!</v>
      </c>
      <c r="J4" s="241" t="e">
        <f ca="1">Affald!D4/Befolkningstal!D$4</f>
        <v>#REF!</v>
      </c>
      <c r="K4" s="242"/>
    </row>
    <row r="5" spans="1:11" x14ac:dyDescent="0.25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5.75" thickBot="1" x14ac:dyDescent="0.3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5.75" thickTop="1" x14ac:dyDescent="0.25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721</v>
      </c>
    </row>
    <row r="8" spans="1:11" ht="15.75" thickBot="1" x14ac:dyDescent="0.3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 t="shared" ref="I8:J8" si="0">-162*I7/1000</f>
        <v>-0.32337536856430027</v>
      </c>
      <c r="J8" s="163">
        <f t="shared" si="0"/>
        <v>-0.32337536856430027</v>
      </c>
      <c r="K8" t="s">
        <v>393</v>
      </c>
    </row>
    <row r="9" spans="1:11" ht="15.75" thickTop="1" x14ac:dyDescent="0.25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4.5*5</f>
        <v>22.5</v>
      </c>
      <c r="J9" s="143">
        <f>4.5*5</f>
        <v>22.5</v>
      </c>
      <c r="K9" s="144" t="s">
        <v>720</v>
      </c>
    </row>
    <row r="10" spans="1:11" ht="15.75" thickBot="1" x14ac:dyDescent="0.3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5.75" thickTop="1" x14ac:dyDescent="0.25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 x14ac:dyDescent="0.25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 x14ac:dyDescent="0.25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5.75" thickBot="1" x14ac:dyDescent="0.3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894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 x14ac:dyDescent="0.25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 x14ac:dyDescent="0.25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 x14ac:dyDescent="0.25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 x14ac:dyDescent="0.25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894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 x14ac:dyDescent="0.25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 x14ac:dyDescent="0.25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 x14ac:dyDescent="0.25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 x14ac:dyDescent="0.25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894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 x14ac:dyDescent="0.25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 x14ac:dyDescent="0.25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 x14ac:dyDescent="0.25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 x14ac:dyDescent="0.25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894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 x14ac:dyDescent="0.25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 x14ac:dyDescent="0.25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 x14ac:dyDescent="0.25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5.75" thickBot="1" x14ac:dyDescent="0.3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894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 x14ac:dyDescent="0.25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 x14ac:dyDescent="0.25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 x14ac:dyDescent="0.25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 x14ac:dyDescent="0.25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894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 x14ac:dyDescent="0.25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 x14ac:dyDescent="0.25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 x14ac:dyDescent="0.25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 x14ac:dyDescent="0.25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894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 x14ac:dyDescent="0.25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 x14ac:dyDescent="0.25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 x14ac:dyDescent="0.25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 x14ac:dyDescent="0.25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894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 x14ac:dyDescent="0.25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 x14ac:dyDescent="0.25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 x14ac:dyDescent="0.25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5.75" thickBot="1" x14ac:dyDescent="0.3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894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 x14ac:dyDescent="0.25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 x14ac:dyDescent="0.25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 x14ac:dyDescent="0.25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 x14ac:dyDescent="0.25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894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 x14ac:dyDescent="0.25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 x14ac:dyDescent="0.25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 x14ac:dyDescent="0.25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 x14ac:dyDescent="0.25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894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 x14ac:dyDescent="0.25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 x14ac:dyDescent="0.25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 x14ac:dyDescent="0.25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 x14ac:dyDescent="0.25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894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 x14ac:dyDescent="0.25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 x14ac:dyDescent="0.25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 x14ac:dyDescent="0.25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5.75" thickBot="1" x14ac:dyDescent="0.3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894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 x14ac:dyDescent="0.25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 x14ac:dyDescent="0.25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 x14ac:dyDescent="0.25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 x14ac:dyDescent="0.25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894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 x14ac:dyDescent="0.25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 x14ac:dyDescent="0.25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 x14ac:dyDescent="0.25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 x14ac:dyDescent="0.25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894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 x14ac:dyDescent="0.25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 x14ac:dyDescent="0.25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 x14ac:dyDescent="0.25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 x14ac:dyDescent="0.25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894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 x14ac:dyDescent="0.25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 x14ac:dyDescent="0.25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 x14ac:dyDescent="0.25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5.75" thickBot="1" x14ac:dyDescent="0.3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894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 x14ac:dyDescent="0.25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 x14ac:dyDescent="0.25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 x14ac:dyDescent="0.25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-2.6666666666666665</v>
      </c>
      <c r="I81" s="290">
        <f>-VLOOKUP($C81,'Kulstofoptag, skov'!$B$2:$I$13,MATCH(VALUE(RIGHT('Processer - data'!$D81,2)),'Kulstofoptag, skov'!$B$1:$I$1,0),FALSE)</f>
        <v>-2.6666666666666665</v>
      </c>
      <c r="J81" s="290">
        <f>-VLOOKUP($C81,'Kulstofoptag, skov'!$B$2:$I$13,MATCH(VALUE(RIGHT('Processer - data'!$D81,2)),'Kulstofoptag, skov'!$B$1:$I$1,0),FALSE)</f>
        <v>-2.6666666666666665</v>
      </c>
      <c r="K81" s="338"/>
    </row>
    <row r="82" spans="1:11" x14ac:dyDescent="0.25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894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 x14ac:dyDescent="0.25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 x14ac:dyDescent="0.25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 x14ac:dyDescent="0.25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-2.6666666666666665</v>
      </c>
      <c r="I85" s="290">
        <f>-VLOOKUP($C85,'Kulstofoptag, skov'!$B$2:$I$13,MATCH(VALUE(RIGHT('Processer - data'!$D85,2)),'Kulstofoptag, skov'!$B$1:$I$1,0),FALSE)</f>
        <v>-2.6666666666666665</v>
      </c>
      <c r="J85" s="290">
        <f>-VLOOKUP($C85,'Kulstofoptag, skov'!$B$2:$I$13,MATCH(VALUE(RIGHT('Processer - data'!$D85,2)),'Kulstofoptag, skov'!$B$1:$I$1,0),FALSE)</f>
        <v>-2.6666666666666665</v>
      </c>
      <c r="K85" s="338"/>
    </row>
    <row r="86" spans="1:11" x14ac:dyDescent="0.25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894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 x14ac:dyDescent="0.25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38"/>
    </row>
    <row r="88" spans="1:11" x14ac:dyDescent="0.25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38"/>
    </row>
    <row r="89" spans="1:11" x14ac:dyDescent="0.25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-3.3333333333333335</v>
      </c>
      <c r="I89" s="290">
        <f>-VLOOKUP($C89,'Kulstofoptag, skov'!$B$2:$I$13,MATCH(VALUE(RIGHT('Processer - data'!$D89,2)),'Kulstofoptag, skov'!$B$1:$I$1,0),FALSE)</f>
        <v>-3.3333333333333335</v>
      </c>
      <c r="J89" s="290">
        <f>-VLOOKUP($C89,'Kulstofoptag, skov'!$B$2:$I$13,MATCH(VALUE(RIGHT('Processer - data'!$D89,2)),'Kulstofoptag, skov'!$B$1:$I$1,0),FALSE)</f>
        <v>-3.3333333333333335</v>
      </c>
      <c r="K89" s="338"/>
    </row>
    <row r="90" spans="1:11" x14ac:dyDescent="0.25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894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290">
        <f>H90</f>
        <v>-0.14351851851851852</v>
      </c>
      <c r="J90" s="290">
        <f>I90</f>
        <v>-0.14351851851851852</v>
      </c>
      <c r="K90" s="338"/>
    </row>
    <row r="91" spans="1:11" x14ac:dyDescent="0.25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38"/>
    </row>
    <row r="92" spans="1:11" x14ac:dyDescent="0.25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38"/>
    </row>
    <row r="93" spans="1:11" x14ac:dyDescent="0.25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-4.333333333333333</v>
      </c>
      <c r="I93" s="290">
        <f>-VLOOKUP($C93,'Kulstofoptag, skov'!$B$2:$I$13,MATCH(VALUE(RIGHT('Processer - data'!$D93,2)),'Kulstofoptag, skov'!$B$1:$I$1,0),FALSE)</f>
        <v>-4.333333333333333</v>
      </c>
      <c r="J93" s="290">
        <f>-VLOOKUP($C93,'Kulstofoptag, skov'!$B$2:$I$13,MATCH(VALUE(RIGHT('Processer - data'!$D93,2)),'Kulstofoptag, skov'!$B$1:$I$1,0),FALSE)</f>
        <v>-4.333333333333333</v>
      </c>
      <c r="K93" s="338"/>
    </row>
    <row r="94" spans="1:11" ht="15.75" thickBot="1" x14ac:dyDescent="0.3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894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443">
        <f>H94</f>
        <v>-1.725490196078431</v>
      </c>
      <c r="J94" s="443">
        <f>I94</f>
        <v>-1.725490196078431</v>
      </c>
      <c r="K94" s="444"/>
    </row>
    <row r="95" spans="1:11" x14ac:dyDescent="0.25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 x14ac:dyDescent="0.25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 x14ac:dyDescent="0.25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 x14ac:dyDescent="0.25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 x14ac:dyDescent="0.25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 x14ac:dyDescent="0.25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5.75" thickBot="1" x14ac:dyDescent="0.3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0.11202449132751124</v>
      </c>
      <c r="I101" s="447">
        <f>Dyrehold!$M$5</f>
        <v>0.11202449132751124</v>
      </c>
      <c r="J101" s="447">
        <f>Dyrehold!$M$5</f>
        <v>0.11202449132751124</v>
      </c>
      <c r="K101" s="444"/>
    </row>
    <row r="102" spans="1:11" x14ac:dyDescent="0.25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 x14ac:dyDescent="0.25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 x14ac:dyDescent="0.25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 x14ac:dyDescent="0.25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 x14ac:dyDescent="0.25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 x14ac:dyDescent="0.25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5.75" thickBot="1" x14ac:dyDescent="0.3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0.12322694046026236</v>
      </c>
      <c r="I108" s="170">
        <f>Dyrehold!$M$6</f>
        <v>0.12322694046026236</v>
      </c>
      <c r="J108" s="170">
        <f>Dyrehold!$M$6</f>
        <v>0.12322694046026236</v>
      </c>
      <c r="K108" s="145"/>
    </row>
    <row r="109" spans="1:11" ht="15.75" thickTop="1" x14ac:dyDescent="0.25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 x14ac:dyDescent="0.25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 x14ac:dyDescent="0.25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 x14ac:dyDescent="0.25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 x14ac:dyDescent="0.25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 x14ac:dyDescent="0.25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 x14ac:dyDescent="0.25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5.75" thickBot="1" x14ac:dyDescent="0.3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2.831717934524296</v>
      </c>
      <c r="I116" s="170">
        <f>Dyrehold!$M$7</f>
        <v>2.831717934524296</v>
      </c>
      <c r="J116" s="170">
        <f>Dyrehold!$M$7</f>
        <v>2.831717934524296</v>
      </c>
      <c r="K116" s="147"/>
    </row>
    <row r="117" spans="1:11" ht="15.75" thickTop="1" x14ac:dyDescent="0.25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 x14ac:dyDescent="0.25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 x14ac:dyDescent="0.25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 x14ac:dyDescent="0.25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 x14ac:dyDescent="0.25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 x14ac:dyDescent="0.25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 x14ac:dyDescent="0.25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5.75" thickBot="1" x14ac:dyDescent="0.3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2.3680201988872902</v>
      </c>
      <c r="I124" s="170">
        <f>Dyrehold!$M$8</f>
        <v>2.3680201988872902</v>
      </c>
      <c r="J124" s="170">
        <f>Dyrehold!$M$8</f>
        <v>2.3680201988872902</v>
      </c>
      <c r="K124" s="145"/>
    </row>
    <row r="125" spans="1:11" ht="15.75" thickTop="1" x14ac:dyDescent="0.25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 x14ac:dyDescent="0.25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 x14ac:dyDescent="0.25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 x14ac:dyDescent="0.25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 x14ac:dyDescent="0.25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 x14ac:dyDescent="0.25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 x14ac:dyDescent="0.25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5.75" thickBot="1" x14ac:dyDescent="0.3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7.1358057718871957E-4</v>
      </c>
      <c r="I132" s="170">
        <f>Dyrehold!$M$9</f>
        <v>7.1358057718871957E-4</v>
      </c>
      <c r="J132" s="170">
        <f>Dyrehold!$M$9</f>
        <v>7.1358057718871957E-4</v>
      </c>
      <c r="K132" s="147"/>
    </row>
    <row r="133" spans="1:11" ht="15.75" thickTop="1" x14ac:dyDescent="0.25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 x14ac:dyDescent="0.25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 x14ac:dyDescent="0.25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 x14ac:dyDescent="0.25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 x14ac:dyDescent="0.25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 x14ac:dyDescent="0.25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 x14ac:dyDescent="0.25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5.75" thickBot="1" x14ac:dyDescent="0.3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7.8493863490759156E-4</v>
      </c>
      <c r="I140" s="170">
        <f>Dyrehold!$M$10</f>
        <v>7.8493863490759156E-4</v>
      </c>
      <c r="J140" s="170">
        <f>Dyrehold!$M$10</f>
        <v>7.8493863490759156E-4</v>
      </c>
      <c r="K140" s="145"/>
    </row>
    <row r="141" spans="1:11" ht="15.75" thickTop="1" x14ac:dyDescent="0.25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 x14ac:dyDescent="0.25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 x14ac:dyDescent="0.25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5.75" thickBot="1" x14ac:dyDescent="0.3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5.75" thickTop="1" x14ac:dyDescent="0.25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 x14ac:dyDescent="0.25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 x14ac:dyDescent="0.25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5.75" thickBot="1" x14ac:dyDescent="0.3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5.75" thickTop="1" x14ac:dyDescent="0.25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 x14ac:dyDescent="0.25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 x14ac:dyDescent="0.25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5.75" thickBot="1" x14ac:dyDescent="0.3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5.75" thickTop="1" x14ac:dyDescent="0.25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 x14ac:dyDescent="0.25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 x14ac:dyDescent="0.25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5.75" thickBot="1" x14ac:dyDescent="0.3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5.75" thickTop="1" x14ac:dyDescent="0.25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 x14ac:dyDescent="0.25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 x14ac:dyDescent="0.25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5.75" thickBot="1" x14ac:dyDescent="0.3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5.75" thickTop="1" x14ac:dyDescent="0.25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 x14ac:dyDescent="0.25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 x14ac:dyDescent="0.25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5.75" thickBot="1" x14ac:dyDescent="0.3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5.75" thickTop="1" x14ac:dyDescent="0.25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 x14ac:dyDescent="0.25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5.75" thickBot="1" x14ac:dyDescent="0.3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5.75" thickTop="1" x14ac:dyDescent="0.25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 x14ac:dyDescent="0.25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5.75" thickBot="1" x14ac:dyDescent="0.3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5.75" thickTop="1" x14ac:dyDescent="0.25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 x14ac:dyDescent="0.25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5.75" thickBot="1" x14ac:dyDescent="0.3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5.75" thickTop="1" x14ac:dyDescent="0.25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 x14ac:dyDescent="0.25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5.75" thickBot="1" x14ac:dyDescent="0.3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5.75" thickTop="1" x14ac:dyDescent="0.25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 x14ac:dyDescent="0.25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5.75" thickBot="1" x14ac:dyDescent="0.3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5.75" thickTop="1" x14ac:dyDescent="0.25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 x14ac:dyDescent="0.25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5.75" thickBot="1" x14ac:dyDescent="0.3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5.75" thickTop="1" x14ac:dyDescent="0.25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 x14ac:dyDescent="0.25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5.75" thickBot="1" x14ac:dyDescent="0.3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5.75" thickTop="1" x14ac:dyDescent="0.25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 x14ac:dyDescent="0.25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5.75" thickBot="1" x14ac:dyDescent="0.3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5.75" thickTop="1" x14ac:dyDescent="0.25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 x14ac:dyDescent="0.25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5.75" thickBot="1" x14ac:dyDescent="0.3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5.75" thickTop="1" x14ac:dyDescent="0.25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 x14ac:dyDescent="0.25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5.75" thickBot="1" x14ac:dyDescent="0.3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5.75" thickTop="1" x14ac:dyDescent="0.25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 x14ac:dyDescent="0.25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5.75" thickBot="1" x14ac:dyDescent="0.3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5.75" thickTop="1" x14ac:dyDescent="0.25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 x14ac:dyDescent="0.25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5.75" thickBot="1" x14ac:dyDescent="0.3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5.75" thickTop="1" x14ac:dyDescent="0.25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 x14ac:dyDescent="0.25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5.75" thickBot="1" x14ac:dyDescent="0.3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5.75" thickTop="1" x14ac:dyDescent="0.25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 x14ac:dyDescent="0.25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5.75" thickBot="1" x14ac:dyDescent="0.3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5.75" thickTop="1" x14ac:dyDescent="0.25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 x14ac:dyDescent="0.25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5.75" thickBot="1" x14ac:dyDescent="0.3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5.75" thickTop="1" x14ac:dyDescent="0.25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 x14ac:dyDescent="0.25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5.75" thickBot="1" x14ac:dyDescent="0.3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5.75" thickTop="1" x14ac:dyDescent="0.25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 x14ac:dyDescent="0.25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5.75" thickBot="1" x14ac:dyDescent="0.3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5.75" thickTop="1" x14ac:dyDescent="0.25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 x14ac:dyDescent="0.25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5.75" thickBot="1" x14ac:dyDescent="0.3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5.75" thickTop="1" x14ac:dyDescent="0.25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 x14ac:dyDescent="0.25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5.75" thickBot="1" x14ac:dyDescent="0.3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5.75" thickTop="1" x14ac:dyDescent="0.25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 x14ac:dyDescent="0.25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5.75" thickBot="1" x14ac:dyDescent="0.3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5.75" thickTop="1" x14ac:dyDescent="0.25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 x14ac:dyDescent="0.25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 x14ac:dyDescent="0.25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5.75" thickBot="1" x14ac:dyDescent="0.3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5.75" thickTop="1" x14ac:dyDescent="0.25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 x14ac:dyDescent="0.25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 x14ac:dyDescent="0.25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5.75" thickBot="1" x14ac:dyDescent="0.3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5.75" thickTop="1" x14ac:dyDescent="0.25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 x14ac:dyDescent="0.25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 x14ac:dyDescent="0.25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5.75" thickBot="1" x14ac:dyDescent="0.3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5.75" thickTop="1" x14ac:dyDescent="0.25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 x14ac:dyDescent="0.25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 x14ac:dyDescent="0.25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5.75" thickBot="1" x14ac:dyDescent="0.3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5.75" thickTop="1" x14ac:dyDescent="0.25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 x14ac:dyDescent="0.25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 x14ac:dyDescent="0.25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5.75" thickBot="1" x14ac:dyDescent="0.3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5.75" thickTop="1" x14ac:dyDescent="0.25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 x14ac:dyDescent="0.25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 x14ac:dyDescent="0.25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5.75" thickBot="1" x14ac:dyDescent="0.3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5.75" thickTop="1" x14ac:dyDescent="0.25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 x14ac:dyDescent="0.25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5.75" thickBot="1" x14ac:dyDescent="0.3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5.75" thickTop="1" x14ac:dyDescent="0.25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 x14ac:dyDescent="0.25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5.75" thickBot="1" x14ac:dyDescent="0.3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5.75" thickTop="1" x14ac:dyDescent="0.25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 x14ac:dyDescent="0.25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5.75" thickBot="1" x14ac:dyDescent="0.3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5.75" thickTop="1" x14ac:dyDescent="0.25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 x14ac:dyDescent="0.25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5.75" thickBot="1" x14ac:dyDescent="0.3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5.75" thickTop="1" x14ac:dyDescent="0.25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 x14ac:dyDescent="0.25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5.75" thickBot="1" x14ac:dyDescent="0.3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5.75" thickTop="1" x14ac:dyDescent="0.25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 x14ac:dyDescent="0.25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5.75" thickBot="1" x14ac:dyDescent="0.3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5.75" thickTop="1" x14ac:dyDescent="0.25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 x14ac:dyDescent="0.25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5.75" thickBot="1" x14ac:dyDescent="0.3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5.75" thickTop="1" x14ac:dyDescent="0.25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 x14ac:dyDescent="0.25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5.75" thickBot="1" x14ac:dyDescent="0.3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5.75" thickTop="1" x14ac:dyDescent="0.25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 x14ac:dyDescent="0.25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5.75" thickBot="1" x14ac:dyDescent="0.3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5.75" thickTop="1" x14ac:dyDescent="0.25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 x14ac:dyDescent="0.25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5.75" thickBot="1" x14ac:dyDescent="0.3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5.75" thickTop="1" x14ac:dyDescent="0.25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 x14ac:dyDescent="0.25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5.75" thickBot="1" x14ac:dyDescent="0.3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5.75" thickTop="1" x14ac:dyDescent="0.25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 x14ac:dyDescent="0.25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5.75" thickBot="1" x14ac:dyDescent="0.3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5.75" thickTop="1" x14ac:dyDescent="0.25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 x14ac:dyDescent="0.25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5.75" thickBot="1" x14ac:dyDescent="0.3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5.75" thickTop="1" x14ac:dyDescent="0.25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 x14ac:dyDescent="0.25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5.75" thickBot="1" x14ac:dyDescent="0.3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5.75" thickTop="1" x14ac:dyDescent="0.25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 x14ac:dyDescent="0.25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5.75" thickBot="1" x14ac:dyDescent="0.3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5.75" thickTop="1" x14ac:dyDescent="0.25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 x14ac:dyDescent="0.25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5.75" thickBot="1" x14ac:dyDescent="0.3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5.75" thickTop="1" x14ac:dyDescent="0.25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 x14ac:dyDescent="0.25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5.75" thickBot="1" x14ac:dyDescent="0.3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5.75" thickTop="1" x14ac:dyDescent="0.25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 x14ac:dyDescent="0.25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5.75" thickBot="1" x14ac:dyDescent="0.3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5.75" thickTop="1" x14ac:dyDescent="0.25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 x14ac:dyDescent="0.25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5.75" thickBot="1" x14ac:dyDescent="0.3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5.75" thickTop="1" x14ac:dyDescent="0.25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 x14ac:dyDescent="0.25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5.75" thickBot="1" x14ac:dyDescent="0.3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5.75" thickTop="1" x14ac:dyDescent="0.25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 x14ac:dyDescent="0.25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5.75" thickBot="1" x14ac:dyDescent="0.3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5.75" thickTop="1" x14ac:dyDescent="0.25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 x14ac:dyDescent="0.25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5.75" thickBot="1" x14ac:dyDescent="0.3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5.75" thickTop="1" x14ac:dyDescent="0.25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 x14ac:dyDescent="0.25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5.75" thickBot="1" x14ac:dyDescent="0.3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5.75" thickTop="1" x14ac:dyDescent="0.25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 x14ac:dyDescent="0.25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5.75" thickBot="1" x14ac:dyDescent="0.3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5.75" thickTop="1" x14ac:dyDescent="0.25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 x14ac:dyDescent="0.25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 x14ac:dyDescent="0.25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5.75" thickBot="1" x14ac:dyDescent="0.3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5.75" thickTop="1" x14ac:dyDescent="0.25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 x14ac:dyDescent="0.25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 x14ac:dyDescent="0.25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5.75" thickBot="1" x14ac:dyDescent="0.3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5.75" thickTop="1" x14ac:dyDescent="0.25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 x14ac:dyDescent="0.25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 x14ac:dyDescent="0.25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5.75" thickBot="1" x14ac:dyDescent="0.3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5.75" thickTop="1" x14ac:dyDescent="0.25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 x14ac:dyDescent="0.25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 x14ac:dyDescent="0.25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5.75" thickBot="1" x14ac:dyDescent="0.3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5.75" thickTop="1" x14ac:dyDescent="0.25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 x14ac:dyDescent="0.25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 x14ac:dyDescent="0.25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5.75" thickBot="1" x14ac:dyDescent="0.3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5.75" thickTop="1" x14ac:dyDescent="0.25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 x14ac:dyDescent="0.25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 x14ac:dyDescent="0.25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5.75" thickBot="1" x14ac:dyDescent="0.3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5.75" thickTop="1" x14ac:dyDescent="0.25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 x14ac:dyDescent="0.25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 x14ac:dyDescent="0.25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5.75" thickBot="1" x14ac:dyDescent="0.3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5.75" thickTop="1" x14ac:dyDescent="0.25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 x14ac:dyDescent="0.25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 x14ac:dyDescent="0.25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5.75" thickBot="1" x14ac:dyDescent="0.3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5.75" thickTop="1" x14ac:dyDescent="0.25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 x14ac:dyDescent="0.25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 x14ac:dyDescent="0.25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5.75" thickBot="1" x14ac:dyDescent="0.3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5.75" thickTop="1" x14ac:dyDescent="0.25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 x14ac:dyDescent="0.25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 x14ac:dyDescent="0.25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5.75" thickBot="1" x14ac:dyDescent="0.3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5.75" thickTop="1" x14ac:dyDescent="0.25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 x14ac:dyDescent="0.25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 x14ac:dyDescent="0.25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5.75" thickBot="1" x14ac:dyDescent="0.3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5.75" thickTop="1" x14ac:dyDescent="0.25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 x14ac:dyDescent="0.25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 x14ac:dyDescent="0.25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5.75" thickBot="1" x14ac:dyDescent="0.3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5.75" thickTop="1" x14ac:dyDescent="0.25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 x14ac:dyDescent="0.25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5.75" thickBot="1" x14ac:dyDescent="0.3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5.75" thickTop="1" x14ac:dyDescent="0.25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 x14ac:dyDescent="0.25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5.75" thickBot="1" x14ac:dyDescent="0.3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5.75" thickTop="1" x14ac:dyDescent="0.25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 x14ac:dyDescent="0.25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5.75" thickBot="1" x14ac:dyDescent="0.3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5.75" thickTop="1" x14ac:dyDescent="0.25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 x14ac:dyDescent="0.25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5.75" thickBot="1" x14ac:dyDescent="0.3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5.75" thickTop="1" x14ac:dyDescent="0.25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 x14ac:dyDescent="0.25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5.75" thickBot="1" x14ac:dyDescent="0.3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5.75" thickTop="1" x14ac:dyDescent="0.25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 x14ac:dyDescent="0.25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5.75" thickBot="1" x14ac:dyDescent="0.3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5.75" thickTop="1" x14ac:dyDescent="0.25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 x14ac:dyDescent="0.25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5.75" thickBot="1" x14ac:dyDescent="0.3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5.75" thickTop="1" x14ac:dyDescent="0.25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 x14ac:dyDescent="0.25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5.75" thickBot="1" x14ac:dyDescent="0.3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5.75" thickTop="1" x14ac:dyDescent="0.25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 x14ac:dyDescent="0.25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5.75" thickBot="1" x14ac:dyDescent="0.3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5.75" thickTop="1" x14ac:dyDescent="0.25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 x14ac:dyDescent="0.25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5.75" thickBot="1" x14ac:dyDescent="0.3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5.75" thickTop="1" x14ac:dyDescent="0.25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 x14ac:dyDescent="0.25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5.75" thickBot="1" x14ac:dyDescent="0.3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5.75" thickTop="1" x14ac:dyDescent="0.25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 x14ac:dyDescent="0.25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5.75" thickBot="1" x14ac:dyDescent="0.3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5.75" thickTop="1" x14ac:dyDescent="0.25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 x14ac:dyDescent="0.25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5.75" thickBot="1" x14ac:dyDescent="0.3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5.75" thickTop="1" x14ac:dyDescent="0.25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 x14ac:dyDescent="0.25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5.75" thickBot="1" x14ac:dyDescent="0.3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5.75" thickTop="1" x14ac:dyDescent="0.25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 x14ac:dyDescent="0.25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5.75" thickBot="1" x14ac:dyDescent="0.3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5.75" thickTop="1" x14ac:dyDescent="0.25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 x14ac:dyDescent="0.25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5.75" thickBot="1" x14ac:dyDescent="0.3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5.75" thickTop="1" x14ac:dyDescent="0.25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 x14ac:dyDescent="0.25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5.75" thickBot="1" x14ac:dyDescent="0.3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5.75" thickTop="1" x14ac:dyDescent="0.25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 x14ac:dyDescent="0.25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5.75" thickBot="1" x14ac:dyDescent="0.3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5.75" thickTop="1" x14ac:dyDescent="0.25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 x14ac:dyDescent="0.25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5.75" thickBot="1" x14ac:dyDescent="0.3">
      <c r="A425" s="180" t="s">
        <v>33</v>
      </c>
      <c r="B425" s="174"/>
      <c r="C425" s="174"/>
      <c r="D425" t="s">
        <v>894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f>H423</f>
        <v>0.48</v>
      </c>
      <c r="I425" s="193">
        <f t="shared" ref="I425:J425" si="1">I423</f>
        <v>0.48</v>
      </c>
      <c r="J425" s="193">
        <f t="shared" si="1"/>
        <v>0.48</v>
      </c>
      <c r="K425" s="145"/>
    </row>
    <row r="426" spans="1:14" ht="15.75" thickTop="1" x14ac:dyDescent="0.25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752</v>
      </c>
    </row>
    <row r="427" spans="1:14" x14ac:dyDescent="0.25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 x14ac:dyDescent="0.25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 t="shared" ref="I428:J428" si="2">0.003285</f>
        <v>3.2850000000000002E-3</v>
      </c>
      <c r="J428" s="389">
        <f t="shared" si="2"/>
        <v>3.2850000000000002E-3</v>
      </c>
      <c r="K428" s="145" t="s">
        <v>816</v>
      </c>
    </row>
    <row r="429" spans="1:14" ht="15.75" thickBot="1" x14ac:dyDescent="0.3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752</v>
      </c>
    </row>
    <row r="430" spans="1:14" ht="15.75" thickTop="1" x14ac:dyDescent="0.25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 t="shared" ref="I430:J430" si="3">1770.5/18356</f>
        <v>9.6453475702767494E-2</v>
      </c>
      <c r="J430" s="195">
        <f t="shared" si="3"/>
        <v>9.6453475702767494E-2</v>
      </c>
      <c r="K430" s="144" t="s">
        <v>413</v>
      </c>
    </row>
    <row r="431" spans="1:14" x14ac:dyDescent="0.25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 t="shared" ref="I431:J431" si="4">21.2/18356*1.6</f>
        <v>1.8478971453475702E-3</v>
      </c>
      <c r="J431" s="197">
        <f t="shared" si="4"/>
        <v>1.8478971453475702E-3</v>
      </c>
      <c r="K431" s="145" t="s">
        <v>500</v>
      </c>
    </row>
    <row r="432" spans="1:14" x14ac:dyDescent="0.25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 t="shared" ref="I432:J432" si="5">(90.5+67.4)/18356</f>
        <v>8.602091959032469E-3</v>
      </c>
      <c r="J432" s="197">
        <f t="shared" si="5"/>
        <v>8.602091959032469E-3</v>
      </c>
      <c r="K432" s="145" t="s">
        <v>413</v>
      </c>
      <c r="M432" t="s">
        <v>813</v>
      </c>
      <c r="N432">
        <v>1.1855</v>
      </c>
    </row>
    <row r="433" spans="1:11" x14ac:dyDescent="0.25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 t="shared" ref="I433:J433" si="6">(151.6+4.2)/18356</f>
        <v>8.4876879494443225E-3</v>
      </c>
      <c r="J433" s="197">
        <f t="shared" si="6"/>
        <v>8.4876879494443225E-3</v>
      </c>
      <c r="K433" s="145" t="s">
        <v>413</v>
      </c>
    </row>
    <row r="434" spans="1:11" x14ac:dyDescent="0.25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 t="shared" ref="I434:J434" si="7">123400/495000</f>
        <v>0.24929292929292929</v>
      </c>
      <c r="J434" s="196">
        <f t="shared" si="7"/>
        <v>0.24929292929292929</v>
      </c>
      <c r="K434" s="145" t="s">
        <v>413</v>
      </c>
    </row>
    <row r="435" spans="1:11" x14ac:dyDescent="0.25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 x14ac:dyDescent="0.25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 t="shared" ref="I436:J436" si="8">7.9/495</f>
        <v>1.5959595959595962E-2</v>
      </c>
      <c r="J436" s="196">
        <f t="shared" si="8"/>
        <v>1.5959595959595962E-2</v>
      </c>
      <c r="K436" s="145" t="s">
        <v>413</v>
      </c>
    </row>
    <row r="437" spans="1:11" x14ac:dyDescent="0.25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 t="shared" ref="I437:J437" si="9">(39.5+19.8+4.4+0.1+17.4)/495</f>
        <v>0.16404040404040401</v>
      </c>
      <c r="J437" s="196">
        <f t="shared" si="9"/>
        <v>0.16404040404040401</v>
      </c>
      <c r="K437" s="145" t="s">
        <v>413</v>
      </c>
    </row>
    <row r="438" spans="1:11" x14ac:dyDescent="0.25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 t="shared" ref="I438:J438" si="10">192000/101500000*(1-0.0023)</f>
        <v>1.8872748768472907E-3</v>
      </c>
      <c r="J438" s="197">
        <f t="shared" si="10"/>
        <v>1.8872748768472907E-3</v>
      </c>
      <c r="K438" s="145" t="s">
        <v>413</v>
      </c>
    </row>
    <row r="439" spans="1:11" ht="15.75" thickBot="1" x14ac:dyDescent="0.3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 t="shared" ref="I439:J439" si="11">192000/101500000*(0.0023)*1.6</f>
        <v>6.9611822660098529E-6</v>
      </c>
      <c r="J439" s="199">
        <f t="shared" si="11"/>
        <v>6.9611822660098529E-6</v>
      </c>
      <c r="K439" s="145" t="s">
        <v>500</v>
      </c>
    </row>
    <row r="440" spans="1:11" ht="15.75" thickTop="1" x14ac:dyDescent="0.25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 x14ac:dyDescent="0.25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 x14ac:dyDescent="0.25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 x14ac:dyDescent="0.25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 x14ac:dyDescent="0.25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 x14ac:dyDescent="0.25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 x14ac:dyDescent="0.25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 x14ac:dyDescent="0.25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 x14ac:dyDescent="0.25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 x14ac:dyDescent="0.25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 x14ac:dyDescent="0.25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 x14ac:dyDescent="0.25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 x14ac:dyDescent="0.25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2750</v>
      </c>
      <c r="I452" s="187">
        <f>VLOOKUP('Processer - data'!$D452,Foder!$A$2:$C$16,3,FALSE)</f>
        <v>2750</v>
      </c>
      <c r="J452" s="187">
        <f>VLOOKUP('Processer - data'!$D452,Foder!$A$2:$C$16,3,FALSE)</f>
        <v>2750</v>
      </c>
      <c r="K452" s="145"/>
    </row>
    <row r="453" spans="1:15" x14ac:dyDescent="0.25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5.75" thickBot="1" x14ac:dyDescent="0.3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5.75" thickTop="1" x14ac:dyDescent="0.25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 x14ac:dyDescent="0.25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 x14ac:dyDescent="0.25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 x14ac:dyDescent="0.25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 x14ac:dyDescent="0.25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f>-Dyrehold!$U$13*Afgrødedata!$C$66</f>
        <v>-1.2727600045138086E-2</v>
      </c>
      <c r="I459" s="412">
        <f>-Dyrehold!$U$13*Afgrødedata!$C$66</f>
        <v>-1.2727600045138086E-2</v>
      </c>
      <c r="J459" s="412">
        <f>-Dyrehold!$U$13*Afgrødedata!$C$66</f>
        <v>-1.2727600045138086E-2</v>
      </c>
      <c r="K459" s="145"/>
      <c r="O459" s="9"/>
    </row>
    <row r="460" spans="1:15" x14ac:dyDescent="0.25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 x14ac:dyDescent="0.25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f>-Dyrehold!$U$8*Afgrødedata!$C$64</f>
        <v>-2.942635474487016E-2</v>
      </c>
      <c r="I461" s="412">
        <f>-Dyrehold!$U$8*Afgrødedata!$C$64</f>
        <v>-2.942635474487016E-2</v>
      </c>
      <c r="J461" s="412">
        <f>-Dyrehold!$U$8*Afgrødedata!$C$64</f>
        <v>-2.942635474487016E-2</v>
      </c>
      <c r="K461" s="145"/>
      <c r="O461" s="9"/>
    </row>
    <row r="462" spans="1:15" x14ac:dyDescent="0.25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 x14ac:dyDescent="0.25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 x14ac:dyDescent="0.25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 x14ac:dyDescent="0.25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 x14ac:dyDescent="0.25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 x14ac:dyDescent="0.25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 x14ac:dyDescent="0.25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 x14ac:dyDescent="0.25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 x14ac:dyDescent="0.25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 x14ac:dyDescent="0.25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 x14ac:dyDescent="0.25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 x14ac:dyDescent="0.25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5.75" thickBot="1" x14ac:dyDescent="0.3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5.75" thickTop="1" x14ac:dyDescent="0.25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>H475</f>
        <v>5.3</v>
      </c>
      <c r="J475" s="222">
        <f>I475</f>
        <v>5.3</v>
      </c>
      <c r="K475" s="144" t="s">
        <v>542</v>
      </c>
    </row>
    <row r="476" spans="1:15" x14ac:dyDescent="0.25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ref="I476:I479" si="12">H476</f>
        <v>8</v>
      </c>
      <c r="J476" s="223">
        <f>I476</f>
        <v>8</v>
      </c>
      <c r="K476" s="145" t="s">
        <v>542</v>
      </c>
    </row>
    <row r="477" spans="1:15" x14ac:dyDescent="0.25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12"/>
        <v>7</v>
      </c>
      <c r="J477" s="223">
        <f>I477</f>
        <v>7</v>
      </c>
      <c r="K477" s="145" t="s">
        <v>542</v>
      </c>
    </row>
    <row r="478" spans="1:15" x14ac:dyDescent="0.25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12"/>
        <v>14</v>
      </c>
      <c r="J478" s="223">
        <f>I478</f>
        <v>14</v>
      </c>
      <c r="K478" s="145" t="s">
        <v>542</v>
      </c>
    </row>
    <row r="479" spans="1:15" x14ac:dyDescent="0.25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12"/>
        <v>7</v>
      </c>
      <c r="J479" s="194">
        <f>I479</f>
        <v>7</v>
      </c>
      <c r="K479" s="145" t="s">
        <v>412</v>
      </c>
    </row>
    <row r="480" spans="1:15" ht="15.75" thickBot="1" x14ac:dyDescent="0.3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ref="I480" si="13">H480</f>
        <v>160</v>
      </c>
      <c r="J480" s="194">
        <f>I480</f>
        <v>160</v>
      </c>
      <c r="K480" s="145" t="s">
        <v>411</v>
      </c>
    </row>
    <row r="481" spans="1:11" ht="15.75" thickTop="1" x14ac:dyDescent="0.25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 x14ac:dyDescent="0.25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 x14ac:dyDescent="0.25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 x14ac:dyDescent="0.25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 x14ac:dyDescent="0.25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 x14ac:dyDescent="0.25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 x14ac:dyDescent="0.25">
      <c r="A487" s="180" t="s">
        <v>398</v>
      </c>
      <c r="B487" s="174"/>
      <c r="C487" s="174"/>
      <c r="D487" t="s">
        <v>880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 x14ac:dyDescent="0.25">
      <c r="A488" s="180" t="s">
        <v>398</v>
      </c>
      <c r="B488" s="174"/>
      <c r="C488" s="174"/>
      <c r="D488" t="s">
        <v>868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5.75" thickBot="1" x14ac:dyDescent="0.3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5.75" thickTop="1" x14ac:dyDescent="0.25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4">H490</f>
        <v>0.16717139181723129</v>
      </c>
      <c r="J490" s="169">
        <f t="shared" si="14"/>
        <v>0.16717139181723129</v>
      </c>
      <c r="K490" s="144"/>
    </row>
    <row r="491" spans="1:11" x14ac:dyDescent="0.25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4"/>
        <v>0.34417639491782914</v>
      </c>
      <c r="J491" s="163">
        <f t="shared" si="14"/>
        <v>0.34417639491782914</v>
      </c>
      <c r="K491" s="145"/>
    </row>
    <row r="492" spans="1:11" ht="15.75" thickBot="1" x14ac:dyDescent="0.3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4"/>
        <v>0.48865221326493952</v>
      </c>
      <c r="J492" s="170">
        <f t="shared" si="14"/>
        <v>0.48865221326493952</v>
      </c>
      <c r="K492" s="147"/>
    </row>
    <row r="493" spans="1:11" ht="15.75" thickTop="1" x14ac:dyDescent="0.25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I497" si="15">H493</f>
        <v>0.5</v>
      </c>
      <c r="J493" s="169">
        <f t="shared" ref="J493:J497" si="16">I493</f>
        <v>0.5</v>
      </c>
      <c r="K493" s="144"/>
    </row>
    <row r="494" spans="1:11" ht="15.75" thickBot="1" x14ac:dyDescent="0.3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15"/>
        <v>0.32</v>
      </c>
      <c r="J494" s="170">
        <f t="shared" si="16"/>
        <v>0.32</v>
      </c>
      <c r="K494" s="147"/>
    </row>
    <row r="495" spans="1:11" ht="15.75" thickTop="1" x14ac:dyDescent="0.25">
      <c r="A495" s="179" t="s">
        <v>866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15"/>
        <v>-0.65266666666666662</v>
      </c>
      <c r="J495" s="169">
        <f t="shared" si="16"/>
        <v>-0.65266666666666662</v>
      </c>
      <c r="K495" s="144"/>
    </row>
    <row r="496" spans="1:11" x14ac:dyDescent="0.25">
      <c r="A496" s="180" t="s">
        <v>866</v>
      </c>
      <c r="B496" s="174"/>
      <c r="C496" s="174"/>
      <c r="D496" t="s">
        <v>37</v>
      </c>
      <c r="E496" t="str">
        <f>IFERROR(VLOOKUP(D496,Table2[],2,FALSE),"")</f>
        <v>Ton</v>
      </c>
      <c r="F496" t="s">
        <v>880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15"/>
        <v>0.14000000000000001</v>
      </c>
      <c r="J496" s="163">
        <f t="shared" si="16"/>
        <v>0.14000000000000001</v>
      </c>
      <c r="K496" s="145"/>
    </row>
    <row r="497" spans="1:11" ht="15.75" thickBot="1" x14ac:dyDescent="0.3">
      <c r="A497" s="181" t="s">
        <v>866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868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15"/>
        <v>0.56000000000000005</v>
      </c>
      <c r="J497" s="170">
        <f t="shared" si="16"/>
        <v>0.56000000000000005</v>
      </c>
      <c r="K497" s="147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328</v>
      </c>
      <c r="B1" t="s">
        <v>778</v>
      </c>
      <c r="E1" t="s">
        <v>777</v>
      </c>
      <c r="F1" t="s">
        <v>305</v>
      </c>
      <c r="G1" t="s">
        <v>392</v>
      </c>
      <c r="H1" t="s">
        <v>416</v>
      </c>
    </row>
    <row r="2" spans="1:8" x14ac:dyDescent="0.25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 x14ac:dyDescent="0.25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 x14ac:dyDescent="0.25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 x14ac:dyDescent="0.25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 x14ac:dyDescent="0.25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 x14ac:dyDescent="0.25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 x14ac:dyDescent="0.25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 x14ac:dyDescent="0.25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 x14ac:dyDescent="0.25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 x14ac:dyDescent="0.25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 x14ac:dyDescent="0.25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 x14ac:dyDescent="0.25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 x14ac:dyDescent="0.25">
      <c r="A25" s="166" t="s">
        <v>866</v>
      </c>
      <c r="B25" s="166" t="s">
        <v>867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 x14ac:dyDescent="0.25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 x14ac:dyDescent="0.25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 x14ac:dyDescent="0.25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 x14ac:dyDescent="0.25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 x14ac:dyDescent="0.25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 x14ac:dyDescent="0.25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 x14ac:dyDescent="0.25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 x14ac:dyDescent="0.25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 x14ac:dyDescent="0.25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 x14ac:dyDescent="0.25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 x14ac:dyDescent="0.25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 x14ac:dyDescent="0.25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 x14ac:dyDescent="0.25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 x14ac:dyDescent="0.25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 x14ac:dyDescent="0.25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 x14ac:dyDescent="0.25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 x14ac:dyDescent="0.25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 x14ac:dyDescent="0.25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 x14ac:dyDescent="0.25">
      <c r="E45" t="s">
        <v>894</v>
      </c>
      <c r="F45" t="s">
        <v>335</v>
      </c>
      <c r="H45" t="b">
        <f>IF(COUNTIF('Processer - data'!$D:$F,Table2[[#This Row],[Råvare]])&gt;0,TRUE,FALSE)</f>
        <v>1</v>
      </c>
    </row>
    <row r="46" spans="1:8" x14ac:dyDescent="0.25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 x14ac:dyDescent="0.25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 x14ac:dyDescent="0.25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 x14ac:dyDescent="0.25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 x14ac:dyDescent="0.25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 x14ac:dyDescent="0.25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 x14ac:dyDescent="0.25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 x14ac:dyDescent="0.25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 x14ac:dyDescent="0.25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 x14ac:dyDescent="0.25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 x14ac:dyDescent="0.25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 x14ac:dyDescent="0.25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 x14ac:dyDescent="0.25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 x14ac:dyDescent="0.25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 x14ac:dyDescent="0.25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 x14ac:dyDescent="0.25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 x14ac:dyDescent="0.25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 x14ac:dyDescent="0.25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 x14ac:dyDescent="0.25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 x14ac:dyDescent="0.25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 x14ac:dyDescent="0.25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 x14ac:dyDescent="0.25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 x14ac:dyDescent="0.25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 x14ac:dyDescent="0.25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 x14ac:dyDescent="0.25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 x14ac:dyDescent="0.25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 x14ac:dyDescent="0.25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 x14ac:dyDescent="0.25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 x14ac:dyDescent="0.25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 x14ac:dyDescent="0.25">
      <c r="E78" t="s">
        <v>868</v>
      </c>
      <c r="F78" t="s">
        <v>307</v>
      </c>
      <c r="H78" t="b">
        <f>IF(COUNTIF('Processer - data'!$D:$F,Table2[[#This Row],[Råvare]])&gt;0,TRUE,FALSE)</f>
        <v>1</v>
      </c>
    </row>
    <row r="79" spans="5:8" x14ac:dyDescent="0.25">
      <c r="E79" t="s">
        <v>880</v>
      </c>
      <c r="F79" t="s">
        <v>307</v>
      </c>
      <c r="H79" t="b">
        <f>IF(COUNTIF('Processer - data'!$D:$F,Table2[[#This Row],[Råvare]])&gt;0,TRUE,FALSE)</f>
        <v>1</v>
      </c>
    </row>
    <row r="80" spans="5:8" x14ac:dyDescent="0.25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 x14ac:dyDescent="0.25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 x14ac:dyDescent="0.25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 x14ac:dyDescent="0.25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 x14ac:dyDescent="0.25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 x14ac:dyDescent="0.25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 x14ac:dyDescent="0.25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 x14ac:dyDescent="0.25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 x14ac:dyDescent="0.25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 x14ac:dyDescent="0.25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 x14ac:dyDescent="0.25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 x14ac:dyDescent="0.25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 x14ac:dyDescent="0.25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 x14ac:dyDescent="0.25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 x14ac:dyDescent="0.25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 x14ac:dyDescent="0.25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 x14ac:dyDescent="0.25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 x14ac:dyDescent="0.25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656</v>
      </c>
    </row>
    <row r="2" spans="1:9" x14ac:dyDescent="0.25">
      <c r="A2" s="7"/>
      <c r="B2" s="7"/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803</v>
      </c>
    </row>
    <row r="3" spans="1:9" x14ac:dyDescent="0.25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</row>
    <row r="4" spans="1:9" x14ac:dyDescent="0.25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</row>
    <row r="5" spans="1:9" x14ac:dyDescent="0.25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</row>
    <row r="6" spans="1:9" x14ac:dyDescent="0.25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</row>
    <row r="7" spans="1:9" x14ac:dyDescent="0.25">
      <c r="A7" s="1" t="s">
        <v>67</v>
      </c>
      <c r="B7" s="1" t="s">
        <v>657</v>
      </c>
    </row>
    <row r="9" spans="1:9" x14ac:dyDescent="0.25">
      <c r="A9" s="2" t="s">
        <v>769</v>
      </c>
    </row>
    <row r="10" spans="1:9" x14ac:dyDescent="0.25">
      <c r="A10" s="7" t="s">
        <v>751</v>
      </c>
      <c r="B10" s="7">
        <f>B11/B12</f>
        <v>0.30562345796166263</v>
      </c>
    </row>
    <row r="11" spans="1:9" x14ac:dyDescent="0.25">
      <c r="A11" s="7" t="s">
        <v>753</v>
      </c>
      <c r="B11" s="7">
        <f>(1582.7+27.63)*1000000</f>
        <v>1610330000.0000002</v>
      </c>
    </row>
    <row r="12" spans="1:9" x14ac:dyDescent="0.25">
      <c r="A12" s="7" t="s">
        <v>770</v>
      </c>
      <c r="B12" s="7">
        <f>4786000000+483000000</f>
        <v>5269000000</v>
      </c>
    </row>
    <row r="14" spans="1:9" x14ac:dyDescent="0.25">
      <c r="A14" s="2" t="s">
        <v>866</v>
      </c>
    </row>
    <row r="15" spans="1:9" x14ac:dyDescent="0.25">
      <c r="A15" s="422" t="s">
        <v>869</v>
      </c>
      <c r="B15" s="422">
        <f>H22</f>
        <v>-0.65266666666666662</v>
      </c>
      <c r="C15" s="422" t="s">
        <v>878</v>
      </c>
    </row>
    <row r="16" spans="1:9" x14ac:dyDescent="0.25">
      <c r="A16" s="422" t="s">
        <v>880</v>
      </c>
      <c r="B16" s="422">
        <f>B23/1000</f>
        <v>0.14000000000000001</v>
      </c>
      <c r="C16" s="422" t="s">
        <v>879</v>
      </c>
    </row>
    <row r="17" spans="1:12" x14ac:dyDescent="0.25">
      <c r="A17" s="422" t="s">
        <v>868</v>
      </c>
      <c r="B17" s="422">
        <f>B24/1000</f>
        <v>0.56000000000000005</v>
      </c>
      <c r="C17" s="422" t="s">
        <v>879</v>
      </c>
    </row>
    <row r="19" spans="1:12" ht="15.75" thickBot="1" x14ac:dyDescent="0.3">
      <c r="A19" t="s">
        <v>870</v>
      </c>
      <c r="B19"/>
      <c r="C19"/>
      <c r="D19"/>
      <c r="E19"/>
      <c r="F19"/>
      <c r="G19"/>
      <c r="H19" t="s">
        <v>883</v>
      </c>
      <c r="I19"/>
      <c r="J19"/>
      <c r="K19"/>
      <c r="L19"/>
    </row>
    <row r="20" spans="1:12" ht="15.75" thickBot="1" x14ac:dyDescent="0.3">
      <c r="A20" s="413"/>
      <c r="B20" s="413" t="s">
        <v>871</v>
      </c>
      <c r="C20" s="414"/>
      <c r="D20" s="413" t="s">
        <v>400</v>
      </c>
      <c r="E20" s="414"/>
      <c r="F20" s="156" t="s">
        <v>872</v>
      </c>
      <c r="G20" s="156"/>
      <c r="H20" s="423" t="s">
        <v>873</v>
      </c>
      <c r="I20" s="423" t="s">
        <v>804</v>
      </c>
      <c r="J20" s="423"/>
      <c r="K20" s="415" t="s">
        <v>874</v>
      </c>
      <c r="L20" s="415" t="s">
        <v>875</v>
      </c>
    </row>
    <row r="21" spans="1:12" x14ac:dyDescent="0.25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876</v>
      </c>
      <c r="L21" s="415">
        <v>12</v>
      </c>
    </row>
    <row r="22" spans="1:12" x14ac:dyDescent="0.25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877</v>
      </c>
      <c r="L22" s="415">
        <v>16</v>
      </c>
    </row>
    <row r="23" spans="1:12" x14ac:dyDescent="0.25">
      <c r="A23" s="415" t="s">
        <v>880</v>
      </c>
      <c r="B23" s="415">
        <v>140</v>
      </c>
      <c r="C23" s="419">
        <v>0.14000000000000001</v>
      </c>
      <c r="D23" s="415">
        <f t="shared" ref="D23:D24" si="0"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 t="shared" ref="I23:I24" si="1">D23/(B23/1000)</f>
        <v>3.326857142857142E-5</v>
      </c>
      <c r="J23" s="423"/>
      <c r="K23" s="415"/>
      <c r="L23" s="415"/>
    </row>
    <row r="24" spans="1:12" x14ac:dyDescent="0.25">
      <c r="A24" s="415" t="s">
        <v>868</v>
      </c>
      <c r="B24" s="415">
        <v>560</v>
      </c>
      <c r="C24" s="419">
        <v>0.56000000000000005</v>
      </c>
      <c r="D24" s="415">
        <f t="shared" si="0"/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 t="shared" si="1"/>
        <v>8.9614285714285689E-6</v>
      </c>
      <c r="J24" s="423"/>
      <c r="K24" s="415"/>
      <c r="L24" s="415"/>
    </row>
    <row r="25" spans="1:12" x14ac:dyDescent="0.25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 x14ac:dyDescent="0.25"/>
  <cols>
    <col min="1" max="1" width="29.42578125" style="46" customWidth="1"/>
    <col min="2" max="2" width="27.85546875" style="46" customWidth="1"/>
    <col min="3" max="3" width="50.28515625" style="46" customWidth="1"/>
    <col min="4" max="4" width="21.28515625" style="46" customWidth="1"/>
    <col min="5" max="5" width="13" style="46" customWidth="1"/>
    <col min="6" max="6" width="15.28515625" style="46" customWidth="1"/>
    <col min="7" max="8" width="8.85546875" style="46" customWidth="1"/>
    <col min="9" max="9" width="13.42578125" style="46" customWidth="1"/>
    <col min="10" max="10" width="17.140625" style="46" customWidth="1"/>
    <col min="11" max="16384" width="9.140625" style="46"/>
  </cols>
  <sheetData>
    <row r="1" spans="1:5" ht="18.75" x14ac:dyDescent="0.3">
      <c r="A1" s="368" t="s">
        <v>779</v>
      </c>
    </row>
    <row r="2" spans="1:5" x14ac:dyDescent="0.25">
      <c r="A2" s="40"/>
      <c r="B2" s="40" t="s">
        <v>51</v>
      </c>
      <c r="C2" s="40" t="s">
        <v>52</v>
      </c>
    </row>
    <row r="3" spans="1:5" x14ac:dyDescent="0.25">
      <c r="A3" s="40" t="s">
        <v>780</v>
      </c>
      <c r="B3" s="364">
        <f>D23/C23</f>
        <v>0.77115679138975135</v>
      </c>
      <c r="C3" s="364">
        <f>E23/C23</f>
        <v>0.22884320861024854</v>
      </c>
    </row>
    <row r="6" spans="1:5" x14ac:dyDescent="0.25">
      <c r="A6" s="71"/>
      <c r="B6" s="5" t="s">
        <v>51</v>
      </c>
      <c r="C6" s="5" t="s">
        <v>52</v>
      </c>
      <c r="D6" s="70"/>
      <c r="E6" s="70"/>
    </row>
    <row r="7" spans="1:5" x14ac:dyDescent="0.25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 x14ac:dyDescent="0.25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 x14ac:dyDescent="0.25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 x14ac:dyDescent="0.25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5.75" thickBot="1" x14ac:dyDescent="0.3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 x14ac:dyDescent="0.25">
      <c r="A12" s="71"/>
      <c r="B12" s="70"/>
      <c r="C12" s="70"/>
      <c r="D12" s="70"/>
      <c r="E12" s="70"/>
    </row>
    <row r="13" spans="1:5" x14ac:dyDescent="0.25">
      <c r="A13" s="1"/>
      <c r="B13" s="1"/>
      <c r="C13" s="1"/>
      <c r="D13" s="1"/>
      <c r="E13" s="1"/>
    </row>
    <row r="14" spans="1:5" x14ac:dyDescent="0.25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 x14ac:dyDescent="0.25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 x14ac:dyDescent="0.25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 x14ac:dyDescent="0.25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 x14ac:dyDescent="0.25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 x14ac:dyDescent="0.25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 x14ac:dyDescent="0.25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 x14ac:dyDescent="0.25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 x14ac:dyDescent="0.25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 x14ac:dyDescent="0.25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5.75" thickBot="1" x14ac:dyDescent="0.3"/>
    <row r="25" spans="1:12" s="63" customFormat="1" ht="17.25" x14ac:dyDescent="0.3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 x14ac:dyDescent="0.25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 x14ac:dyDescent="0.25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 x14ac:dyDescent="0.25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 x14ac:dyDescent="0.25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 x14ac:dyDescent="0.25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 x14ac:dyDescent="0.25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 x14ac:dyDescent="0.25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 x14ac:dyDescent="0.25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 x14ac:dyDescent="0.25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 x14ac:dyDescent="0.25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 x14ac:dyDescent="0.25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 x14ac:dyDescent="0.25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 x14ac:dyDescent="0.25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 x14ac:dyDescent="0.25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 x14ac:dyDescent="0.25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 x14ac:dyDescent="0.25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 x14ac:dyDescent="0.25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 x14ac:dyDescent="0.25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 x14ac:dyDescent="0.25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 x14ac:dyDescent="0.25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 x14ac:dyDescent="0.25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 x14ac:dyDescent="0.25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 x14ac:dyDescent="0.25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 x14ac:dyDescent="0.25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 x14ac:dyDescent="0.25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 x14ac:dyDescent="0.25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5.75" thickBot="1" x14ac:dyDescent="0.3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5" sqref="C5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0"/>
      <c r="B1" s="11"/>
      <c r="C1" s="11"/>
      <c r="D1" s="11"/>
      <c r="E1" s="11"/>
      <c r="F1" s="12"/>
      <c r="G1" s="13"/>
    </row>
    <row r="2" spans="1:7" x14ac:dyDescent="0.25">
      <c r="A2" s="14"/>
      <c r="B2" s="15" t="s">
        <v>47</v>
      </c>
      <c r="C2" s="15" t="s">
        <v>48</v>
      </c>
      <c r="D2" s="15" t="s">
        <v>49</v>
      </c>
      <c r="G2" s="16"/>
    </row>
    <row r="3" spans="1:7" x14ac:dyDescent="0.25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 x14ac:dyDescent="0.25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 x14ac:dyDescent="0.25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 x14ac:dyDescent="0.25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5.75" thickBot="1" x14ac:dyDescent="0.3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 x14ac:dyDescent="0.25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 x14ac:dyDescent="0.25">
      <c r="A9" s="30"/>
      <c r="B9" s="31"/>
      <c r="C9" s="31"/>
      <c r="D9" s="32"/>
      <c r="E9" s="33"/>
      <c r="F9" s="33"/>
      <c r="G9" s="34"/>
    </row>
    <row r="10" spans="1:7" x14ac:dyDescent="0.25">
      <c r="A10" s="35"/>
      <c r="B10" s="459" t="s">
        <v>58</v>
      </c>
      <c r="C10" s="459"/>
      <c r="D10" s="459"/>
      <c r="E10" s="459"/>
      <c r="F10" s="459"/>
      <c r="G10" s="460"/>
    </row>
    <row r="11" spans="1:7" x14ac:dyDescent="0.25">
      <c r="A11" s="36"/>
      <c r="B11" s="459" t="s">
        <v>65</v>
      </c>
      <c r="C11" s="459"/>
      <c r="D11" s="459"/>
      <c r="E11" s="459"/>
      <c r="F11" s="459"/>
      <c r="G11" s="460"/>
    </row>
    <row r="12" spans="1:7" ht="28.5" customHeight="1" x14ac:dyDescent="0.25">
      <c r="A12" s="37"/>
      <c r="B12" s="461" t="s">
        <v>59</v>
      </c>
      <c r="C12" s="461"/>
      <c r="D12" s="461"/>
      <c r="E12" s="461"/>
      <c r="F12" s="461"/>
      <c r="G12" s="462"/>
    </row>
    <row r="13" spans="1:7" x14ac:dyDescent="0.25">
      <c r="A13" s="39"/>
      <c r="G13" s="16"/>
    </row>
    <row r="14" spans="1:7" x14ac:dyDescent="0.25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 x14ac:dyDescent="0.25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 x14ac:dyDescent="0.25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 x14ac:dyDescent="0.25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5.75" thickBot="1" x14ac:dyDescent="0.3">
      <c r="A18" s="42"/>
      <c r="B18" s="43"/>
      <c r="C18" s="43"/>
      <c r="D18" s="43"/>
      <c r="E18" s="43"/>
      <c r="F18" s="43"/>
      <c r="G18" s="44"/>
    </row>
    <row r="21" spans="1:10" ht="15.75" thickBot="1" x14ac:dyDescent="0.3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 x14ac:dyDescent="0.25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6.5" thickBot="1" x14ac:dyDescent="0.3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2.5" x14ac:dyDescent="0.25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 x14ac:dyDescent="0.25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 x14ac:dyDescent="0.25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 x14ac:dyDescent="0.25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5.75" thickBot="1" x14ac:dyDescent="0.3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5.75" thickBot="1" x14ac:dyDescent="0.3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3.75" x14ac:dyDescent="0.25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 x14ac:dyDescent="0.25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 x14ac:dyDescent="0.25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 x14ac:dyDescent="0.25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5.75" thickBot="1" x14ac:dyDescent="0.3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5.75" thickBot="1" x14ac:dyDescent="0.3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3.75" x14ac:dyDescent="0.25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 x14ac:dyDescent="0.25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 x14ac:dyDescent="0.25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 x14ac:dyDescent="0.25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5.75" thickBot="1" x14ac:dyDescent="0.3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5.75" thickBot="1" x14ac:dyDescent="0.3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 x14ac:dyDescent="0.25">
      <c r="A42" s="469" t="s">
        <v>112</v>
      </c>
      <c r="B42" s="85" t="s">
        <v>111</v>
      </c>
      <c r="C42" s="471">
        <v>1.6</v>
      </c>
      <c r="D42" s="471">
        <v>1</v>
      </c>
      <c r="E42" s="471">
        <v>0.3</v>
      </c>
      <c r="F42" s="471">
        <v>0.3</v>
      </c>
      <c r="G42" s="471">
        <v>0</v>
      </c>
      <c r="H42" s="463">
        <v>5.9</v>
      </c>
      <c r="I42" s="465">
        <v>0</v>
      </c>
      <c r="J42" s="467">
        <v>12.2</v>
      </c>
    </row>
    <row r="43" spans="1:10" x14ac:dyDescent="0.25">
      <c r="A43" s="470"/>
      <c r="B43" s="83">
        <v>3.2</v>
      </c>
      <c r="C43" s="472"/>
      <c r="D43" s="472"/>
      <c r="E43" s="472"/>
      <c r="F43" s="472"/>
      <c r="G43" s="472"/>
      <c r="H43" s="464"/>
      <c r="I43" s="466"/>
      <c r="J43" s="468"/>
    </row>
    <row r="44" spans="1:10" x14ac:dyDescent="0.25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 x14ac:dyDescent="0.25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 x14ac:dyDescent="0.25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5.75" thickBot="1" x14ac:dyDescent="0.3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5.75" thickBot="1" x14ac:dyDescent="0.3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3.75" x14ac:dyDescent="0.25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 x14ac:dyDescent="0.25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 x14ac:dyDescent="0.25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 x14ac:dyDescent="0.25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5.75" thickBot="1" x14ac:dyDescent="0.3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5.75" thickBot="1" x14ac:dyDescent="0.3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3.75" x14ac:dyDescent="0.25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 x14ac:dyDescent="0.25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 x14ac:dyDescent="0.25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 x14ac:dyDescent="0.25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5.75" thickBot="1" x14ac:dyDescent="0.3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5.75" thickBot="1" x14ac:dyDescent="0.3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33.75" x14ac:dyDescent="0.25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 x14ac:dyDescent="0.25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 x14ac:dyDescent="0.25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 x14ac:dyDescent="0.25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5.75" thickBot="1" x14ac:dyDescent="0.3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5.75" thickBot="1" x14ac:dyDescent="0.3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2.5" x14ac:dyDescent="0.25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 x14ac:dyDescent="0.25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 x14ac:dyDescent="0.25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 x14ac:dyDescent="0.25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6.5" thickBot="1" x14ac:dyDescent="0.3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5.75" thickBot="1" x14ac:dyDescent="0.3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2" customWidth="1"/>
    <col min="2" max="2" width="19.5703125" style="72" customWidth="1"/>
    <col min="3" max="3" width="25.7109375" style="72" customWidth="1"/>
    <col min="4" max="4" width="21.28515625" style="72" customWidth="1"/>
    <col min="5" max="5" width="13.28515625" style="72" customWidth="1"/>
    <col min="6" max="6" width="21.28515625" style="72" customWidth="1"/>
    <col min="7" max="7" width="17.28515625" style="72" customWidth="1"/>
    <col min="8" max="8" width="20.42578125" style="72" customWidth="1"/>
    <col min="9" max="9" width="19.85546875" style="72" customWidth="1"/>
    <col min="10" max="10" width="20" style="72" customWidth="1"/>
    <col min="11" max="16384" width="8.85546875" style="72"/>
  </cols>
  <sheetData>
    <row r="1" spans="1:9" x14ac:dyDescent="0.25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 x14ac:dyDescent="0.25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 x14ac:dyDescent="0.25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 x14ac:dyDescent="0.25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 x14ac:dyDescent="0.25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 x14ac:dyDescent="0.25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 x14ac:dyDescent="0.25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 x14ac:dyDescent="0.25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 x14ac:dyDescent="0.25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 x14ac:dyDescent="0.25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 x14ac:dyDescent="0.25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 x14ac:dyDescent="0.25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 x14ac:dyDescent="0.25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 x14ac:dyDescent="0.25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 x14ac:dyDescent="0.25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 x14ac:dyDescent="0.25">
      <c r="B16" s="72" t="s">
        <v>47</v>
      </c>
      <c r="D16" s="72">
        <f>SUM(D2:D15)</f>
        <v>2639353</v>
      </c>
    </row>
    <row r="17" spans="1:16" ht="17.25" x14ac:dyDescent="0.3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 x14ac:dyDescent="0.25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 x14ac:dyDescent="0.25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 x14ac:dyDescent="0.25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 x14ac:dyDescent="0.25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 x14ac:dyDescent="0.25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 x14ac:dyDescent="0.25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 x14ac:dyDescent="0.25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 x14ac:dyDescent="0.25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 x14ac:dyDescent="0.25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 x14ac:dyDescent="0.25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 x14ac:dyDescent="0.25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 x14ac:dyDescent="0.25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 x14ac:dyDescent="0.25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 x14ac:dyDescent="0.25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 x14ac:dyDescent="0.25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 x14ac:dyDescent="0.25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 x14ac:dyDescent="0.25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 x14ac:dyDescent="0.25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 x14ac:dyDescent="0.25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 x14ac:dyDescent="0.25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 x14ac:dyDescent="0.25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 x14ac:dyDescent="0.25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 x14ac:dyDescent="0.25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 x14ac:dyDescent="0.25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 x14ac:dyDescent="0.25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 x14ac:dyDescent="0.25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 x14ac:dyDescent="0.25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 x14ac:dyDescent="0.25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 x14ac:dyDescent="0.25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 x14ac:dyDescent="0.25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 x14ac:dyDescent="0.25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 x14ac:dyDescent="0.25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 x14ac:dyDescent="0.25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 x14ac:dyDescent="0.25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 x14ac:dyDescent="0.25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 x14ac:dyDescent="0.25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 x14ac:dyDescent="0.25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 x14ac:dyDescent="0.25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 x14ac:dyDescent="0.25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 x14ac:dyDescent="0.25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 x14ac:dyDescent="0.25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 x14ac:dyDescent="0.25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 x14ac:dyDescent="0.25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 x14ac:dyDescent="0.25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 x14ac:dyDescent="0.25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 x14ac:dyDescent="0.25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 x14ac:dyDescent="0.25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 x14ac:dyDescent="0.25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 x14ac:dyDescent="0.25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 x14ac:dyDescent="0.25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 x14ac:dyDescent="0.25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 x14ac:dyDescent="0.25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 x14ac:dyDescent="0.25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 x14ac:dyDescent="0.25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 x14ac:dyDescent="0.25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 x14ac:dyDescent="0.25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 x14ac:dyDescent="0.25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 x14ac:dyDescent="0.25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 x14ac:dyDescent="0.25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 x14ac:dyDescent="0.25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 x14ac:dyDescent="0.25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886</v>
      </c>
      <c r="U1" s="240"/>
      <c r="V1" s="240"/>
      <c r="W1" s="240"/>
      <c r="X1" s="240"/>
      <c r="Y1" s="240"/>
      <c r="Z1" s="240"/>
      <c r="AA1" s="336"/>
    </row>
    <row r="2" spans="1:27" x14ac:dyDescent="0.25">
      <c r="B2" s="337" t="s">
        <v>62</v>
      </c>
      <c r="C2" t="s">
        <v>724</v>
      </c>
      <c r="F2" s="162"/>
      <c r="G2" s="162" t="s">
        <v>746</v>
      </c>
      <c r="H2" s="162"/>
      <c r="I2" s="344"/>
      <c r="K2" s="337" t="s">
        <v>62</v>
      </c>
      <c r="L2" t="s">
        <v>724</v>
      </c>
      <c r="O2" s="162"/>
      <c r="P2" s="162" t="s">
        <v>746</v>
      </c>
      <c r="Q2" s="162"/>
      <c r="R2" s="344"/>
      <c r="T2" s="337" t="s">
        <v>62</v>
      </c>
      <c r="U2" t="s">
        <v>724</v>
      </c>
      <c r="X2" s="162"/>
      <c r="Y2" s="162" t="s">
        <v>746</v>
      </c>
      <c r="Z2" s="162"/>
      <c r="AA2" s="344"/>
    </row>
    <row r="3" spans="1:27" x14ac:dyDescent="0.25">
      <c r="B3" s="337" t="s">
        <v>768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768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768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 x14ac:dyDescent="0.25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 t="shared" ref="U4:W4" si="6">SUM(C4,L4)</f>
        <v>1325250.4726813775</v>
      </c>
      <c r="V4">
        <f t="shared" si="6"/>
        <v>30981.331745759828</v>
      </c>
      <c r="W4">
        <f t="shared" si="6"/>
        <v>15097.195572862413</v>
      </c>
      <c r="X4" s="162" t="s">
        <v>11</v>
      </c>
      <c r="Y4" s="326">
        <f>U4/SUM(U$4:U$17)</f>
        <v>0.53753334285647836</v>
      </c>
      <c r="Z4" s="326">
        <f t="shared" ref="Z4:AA4" si="7">V4/SUM(V$4:V$17)</f>
        <v>0.3103851136120081</v>
      </c>
      <c r="AA4" s="339">
        <f t="shared" si="7"/>
        <v>0.20372190135299265</v>
      </c>
    </row>
    <row r="5" spans="1:27" x14ac:dyDescent="0.25">
      <c r="A5" s="162" t="s">
        <v>14</v>
      </c>
      <c r="B5" s="337">
        <f>SUM(Afgrødefordeling!G3:I3)</f>
        <v>72039</v>
      </c>
      <c r="C5">
        <f t="shared" ref="C5:C17" si="8">$B5*F22</f>
        <v>69368.365239349441</v>
      </c>
      <c r="D5">
        <f t="shared" ref="D5:D17" si="9">$B5*G22</f>
        <v>2012.0664181985262</v>
      </c>
      <c r="E5">
        <f t="shared" si="0"/>
        <v>658.56834245203004</v>
      </c>
      <c r="F5" s="162" t="s">
        <v>14</v>
      </c>
      <c r="G5" s="326">
        <f t="shared" ref="G5:G17" si="10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11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2">SUM(B5,K5)</f>
        <v>79310</v>
      </c>
      <c r="U5">
        <f t="shared" ref="U5:U17" si="13">SUM(C5,L5)</f>
        <v>76369.814227471288</v>
      </c>
      <c r="V5">
        <f t="shared" ref="V5:V17" si="14">SUM(D5,M5)</f>
        <v>2215.1471789908956</v>
      </c>
      <c r="W5">
        <f t="shared" ref="W5:W17" si="15">SUM(E5,N5)</f>
        <v>725.03859353781286</v>
      </c>
      <c r="X5" s="162" t="s">
        <v>14</v>
      </c>
      <c r="Y5" s="326">
        <f t="shared" ref="Y5:Y17" si="16">U5/SUM(U$4:U$17)</f>
        <v>3.0976273829928767E-2</v>
      </c>
      <c r="Z5" s="326">
        <f t="shared" ref="Z5:Z17" si="17">V5/SUM(V$4:V$17)</f>
        <v>2.2192354881984948E-2</v>
      </c>
      <c r="AA5" s="339">
        <f t="shared" ref="AA5:AA17" si="18">W5/SUM(W$4:W$17)</f>
        <v>9.7836873157640305E-3</v>
      </c>
    </row>
    <row r="6" spans="1:27" x14ac:dyDescent="0.25">
      <c r="A6" s="162" t="s">
        <v>167</v>
      </c>
      <c r="B6" s="337">
        <f>SUM(Afgrødefordeling!G4:I4)</f>
        <v>119660</v>
      </c>
      <c r="C6">
        <f t="shared" si="8"/>
        <v>116652.69730542703</v>
      </c>
      <c r="D6">
        <f t="shared" si="9"/>
        <v>2154.4865125770075</v>
      </c>
      <c r="E6">
        <f t="shared" si="0"/>
        <v>852.8161819959488</v>
      </c>
      <c r="F6" s="162" t="s">
        <v>167</v>
      </c>
      <c r="G6" s="326">
        <f t="shared" si="10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11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2"/>
        <v>165218</v>
      </c>
      <c r="U6">
        <f t="shared" si="13"/>
        <v>161065.73076556949</v>
      </c>
      <c r="V6">
        <f t="shared" si="14"/>
        <v>2974.7614293410334</v>
      </c>
      <c r="W6">
        <f t="shared" si="15"/>
        <v>1177.5078050894758</v>
      </c>
      <c r="X6" s="162" t="s">
        <v>167</v>
      </c>
      <c r="Y6" s="326">
        <f t="shared" si="16"/>
        <v>6.5329688585482673E-2</v>
      </c>
      <c r="Z6" s="326">
        <f t="shared" si="17"/>
        <v>2.9802516941222323E-2</v>
      </c>
      <c r="AA6" s="339">
        <f t="shared" si="18"/>
        <v>1.5889317175039771E-2</v>
      </c>
    </row>
    <row r="7" spans="1:27" x14ac:dyDescent="0.25">
      <c r="A7" s="162" t="s">
        <v>13</v>
      </c>
      <c r="B7" s="337">
        <f>SUM(Afgrødefordeling!G5:I5)</f>
        <v>261971</v>
      </c>
      <c r="C7">
        <f t="shared" si="8"/>
        <v>222420.00470920876</v>
      </c>
      <c r="D7">
        <f t="shared" si="9"/>
        <v>19882.362025663842</v>
      </c>
      <c r="E7">
        <f t="shared" si="0"/>
        <v>19668.633265127406</v>
      </c>
      <c r="F7" s="162" t="s">
        <v>13</v>
      </c>
      <c r="G7" s="326">
        <f t="shared" si="10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11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2"/>
        <v>293751</v>
      </c>
      <c r="U7">
        <f t="shared" si="13"/>
        <v>249402.02848152956</v>
      </c>
      <c r="V7">
        <f t="shared" si="14"/>
        <v>22294.313979031187</v>
      </c>
      <c r="W7">
        <f t="shared" si="15"/>
        <v>22054.657539439253</v>
      </c>
      <c r="X7" s="162" t="s">
        <v>13</v>
      </c>
      <c r="Y7" s="326">
        <f t="shared" si="16"/>
        <v>0.10115967422642448</v>
      </c>
      <c r="Z7" s="326">
        <f t="shared" si="17"/>
        <v>0.22335460702816423</v>
      </c>
      <c r="AA7" s="339">
        <f t="shared" si="18"/>
        <v>0.29760605179547317</v>
      </c>
    </row>
    <row r="8" spans="1:27" x14ac:dyDescent="0.25">
      <c r="A8" s="162" t="s">
        <v>12</v>
      </c>
      <c r="B8" s="337">
        <f>SUM(Afgrødefordeling!G6:I6)</f>
        <v>8723</v>
      </c>
      <c r="C8">
        <f t="shared" si="8"/>
        <v>8607.1483465005567</v>
      </c>
      <c r="D8">
        <f t="shared" si="9"/>
        <v>92.990555049124993</v>
      </c>
      <c r="E8">
        <f t="shared" si="0"/>
        <v>22.861098450319325</v>
      </c>
      <c r="F8" s="162" t="s">
        <v>12</v>
      </c>
      <c r="G8" s="326">
        <f t="shared" si="10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11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2"/>
        <v>13008</v>
      </c>
      <c r="U8">
        <f t="shared" si="13"/>
        <v>12835.238529322392</v>
      </c>
      <c r="V8">
        <f t="shared" si="14"/>
        <v>138.67031297478138</v>
      </c>
      <c r="W8">
        <f t="shared" si="15"/>
        <v>34.091157702826294</v>
      </c>
      <c r="X8" s="162" t="s">
        <v>12</v>
      </c>
      <c r="Y8" s="326">
        <f t="shared" si="16"/>
        <v>5.2060865589185204E-3</v>
      </c>
      <c r="Z8" s="326">
        <f t="shared" si="17"/>
        <v>1.3892624500617522E-3</v>
      </c>
      <c r="AA8" s="339">
        <f t="shared" si="18"/>
        <v>4.600268594935945E-4</v>
      </c>
    </row>
    <row r="9" spans="1:27" x14ac:dyDescent="0.25">
      <c r="A9" s="162" t="s">
        <v>178</v>
      </c>
      <c r="B9" s="337">
        <f>SUM(Afgrødefordeling!G7:I7)</f>
        <v>53952</v>
      </c>
      <c r="C9">
        <f t="shared" si="8"/>
        <v>51273.875513650157</v>
      </c>
      <c r="D9">
        <f t="shared" si="9"/>
        <v>1468.0798414882997</v>
      </c>
      <c r="E9">
        <f t="shared" si="0"/>
        <v>1210.0446448615455</v>
      </c>
      <c r="F9" s="162" t="s">
        <v>178</v>
      </c>
      <c r="G9" s="326">
        <f t="shared" si="10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11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2"/>
        <v>56806</v>
      </c>
      <c r="U9">
        <f t="shared" si="13"/>
        <v>53986.205746374755</v>
      </c>
      <c r="V9">
        <f t="shared" si="14"/>
        <v>1545.7396106832807</v>
      </c>
      <c r="W9">
        <f t="shared" si="15"/>
        <v>1274.054642941966</v>
      </c>
      <c r="X9" s="162" t="s">
        <v>178</v>
      </c>
      <c r="Y9" s="326">
        <f t="shared" si="16"/>
        <v>2.189728375215861E-2</v>
      </c>
      <c r="Z9" s="326">
        <f t="shared" si="17"/>
        <v>1.5485924511368826E-2</v>
      </c>
      <c r="AA9" s="339">
        <f t="shared" si="18"/>
        <v>1.7192122406779854E-2</v>
      </c>
    </row>
    <row r="10" spans="1:27" x14ac:dyDescent="0.25">
      <c r="A10" s="162" t="s">
        <v>42</v>
      </c>
      <c r="B10" s="337">
        <f>SUM(Afgrødefordeling!G8:I8)</f>
        <v>5057</v>
      </c>
      <c r="C10">
        <f t="shared" si="8"/>
        <v>5005.3989577717884</v>
      </c>
      <c r="D10">
        <f t="shared" si="9"/>
        <v>38.515543575920923</v>
      </c>
      <c r="E10">
        <f t="shared" si="0"/>
        <v>13.085498652291111</v>
      </c>
      <c r="F10" s="162" t="s">
        <v>42</v>
      </c>
      <c r="G10" s="326">
        <f t="shared" si="10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11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2"/>
        <v>33544</v>
      </c>
      <c r="U10">
        <f t="shared" si="13"/>
        <v>33201.720909530726</v>
      </c>
      <c r="V10">
        <f t="shared" si="14"/>
        <v>255.48059990324134</v>
      </c>
      <c r="W10">
        <f t="shared" si="15"/>
        <v>86.798490566037771</v>
      </c>
      <c r="X10" s="162" t="s">
        <v>42</v>
      </c>
      <c r="Y10" s="326">
        <f t="shared" si="16"/>
        <v>1.3466912404096722E-2</v>
      </c>
      <c r="Z10" s="326">
        <f t="shared" si="17"/>
        <v>2.5595211877063469E-3</v>
      </c>
      <c r="AA10" s="339">
        <f t="shared" si="18"/>
        <v>1.1712608111448329E-3</v>
      </c>
    </row>
    <row r="11" spans="1:27" x14ac:dyDescent="0.25">
      <c r="A11" s="162" t="s">
        <v>15</v>
      </c>
      <c r="B11" s="337">
        <f>SUM(Afgrødefordeling!G9:I9)</f>
        <v>178007</v>
      </c>
      <c r="C11">
        <f t="shared" si="8"/>
        <v>171407.91225809458</v>
      </c>
      <c r="D11">
        <f t="shared" si="9"/>
        <v>4971.7778828726805</v>
      </c>
      <c r="E11">
        <f t="shared" si="0"/>
        <v>1627.3098590327256</v>
      </c>
      <c r="F11" s="162" t="s">
        <v>15</v>
      </c>
      <c r="G11" s="326">
        <f t="shared" si="10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11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2"/>
        <v>186289</v>
      </c>
      <c r="U11">
        <f t="shared" si="13"/>
        <v>179382.88138471061</v>
      </c>
      <c r="V11">
        <f t="shared" si="14"/>
        <v>5203.0961143239801</v>
      </c>
      <c r="W11">
        <f t="shared" si="15"/>
        <v>1703.0225009653971</v>
      </c>
      <c r="X11" s="162" t="s">
        <v>15</v>
      </c>
      <c r="Y11" s="326">
        <f t="shared" si="16"/>
        <v>7.2759287296729286E-2</v>
      </c>
      <c r="Z11" s="326">
        <f t="shared" si="17"/>
        <v>5.2126990273737149E-2</v>
      </c>
      <c r="AA11" s="339">
        <f t="shared" si="18"/>
        <v>2.2980624465595331E-2</v>
      </c>
    </row>
    <row r="12" spans="1:27" x14ac:dyDescent="0.25">
      <c r="A12" s="162" t="s">
        <v>143</v>
      </c>
      <c r="B12" s="337">
        <f>SUM(Afgrødefordeling!G10:I10)</f>
        <v>3281</v>
      </c>
      <c r="C12">
        <f t="shared" si="8"/>
        <v>3149.6677342606863</v>
      </c>
      <c r="D12">
        <f t="shared" si="9"/>
        <v>84.698510248354609</v>
      </c>
      <c r="E12">
        <f t="shared" si="0"/>
        <v>46.633755490958848</v>
      </c>
      <c r="F12" s="162" t="s">
        <v>143</v>
      </c>
      <c r="G12" s="326">
        <f t="shared" si="10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11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2"/>
        <v>5214</v>
      </c>
      <c r="U12">
        <f t="shared" si="13"/>
        <v>5005.2933759327088</v>
      </c>
      <c r="V12">
        <f t="shared" si="14"/>
        <v>134.59860787409963</v>
      </c>
      <c r="W12">
        <f t="shared" si="15"/>
        <v>74.108016193190934</v>
      </c>
      <c r="X12" s="162" t="s">
        <v>143</v>
      </c>
      <c r="Y12" s="326">
        <f t="shared" si="16"/>
        <v>2.0301913757470973E-3</v>
      </c>
      <c r="Z12" s="326">
        <f t="shared" si="17"/>
        <v>1.3484702510484653E-3</v>
      </c>
      <c r="AA12" s="339">
        <f t="shared" si="18"/>
        <v>1.0000152605503254E-3</v>
      </c>
    </row>
    <row r="13" spans="1:27" x14ac:dyDescent="0.25">
      <c r="A13" s="162" t="s">
        <v>136</v>
      </c>
      <c r="B13" s="337">
        <f>SUM(Afgrødefordeling!G11:I11)</f>
        <v>58027.442472384268</v>
      </c>
      <c r="C13">
        <f t="shared" si="8"/>
        <v>55704.71297072139</v>
      </c>
      <c r="D13">
        <f t="shared" si="9"/>
        <v>1497.9695004367711</v>
      </c>
      <c r="E13">
        <f t="shared" si="0"/>
        <v>824.76000122610435</v>
      </c>
      <c r="F13" s="162" t="s">
        <v>136</v>
      </c>
      <c r="G13" s="326">
        <f t="shared" si="10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11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2"/>
        <v>71830</v>
      </c>
      <c r="U13">
        <f t="shared" si="13"/>
        <v>68954.78005240632</v>
      </c>
      <c r="V13">
        <f t="shared" si="14"/>
        <v>1854.2803996157609</v>
      </c>
      <c r="W13">
        <f t="shared" si="15"/>
        <v>1020.9395479779257</v>
      </c>
      <c r="X13" s="162" t="s">
        <v>136</v>
      </c>
      <c r="Y13" s="326">
        <f t="shared" si="16"/>
        <v>2.7968670218625629E-2</v>
      </c>
      <c r="Z13" s="326">
        <f t="shared" si="17"/>
        <v>1.8577026876258396E-2</v>
      </c>
      <c r="AA13" s="339">
        <f t="shared" si="18"/>
        <v>1.3776581543024526E-2</v>
      </c>
    </row>
    <row r="14" spans="1:27" x14ac:dyDescent="0.25">
      <c r="A14" s="162" t="s">
        <v>297</v>
      </c>
      <c r="B14" s="337">
        <f>SUM(Afgrødefordeling!G12:I12)</f>
        <v>64918</v>
      </c>
      <c r="C14">
        <f t="shared" si="8"/>
        <v>58596.458946278646</v>
      </c>
      <c r="D14">
        <f t="shared" si="9"/>
        <v>3697.4304770356175</v>
      </c>
      <c r="E14">
        <f t="shared" si="0"/>
        <v>2624.1105766857345</v>
      </c>
      <c r="F14" s="162" t="s">
        <v>297</v>
      </c>
      <c r="G14" s="326">
        <f t="shared" si="10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11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2"/>
        <v>110336</v>
      </c>
      <c r="U14">
        <f t="shared" si="13"/>
        <v>99591.775690819195</v>
      </c>
      <c r="V14">
        <f t="shared" si="14"/>
        <v>6284.2307081888212</v>
      </c>
      <c r="W14">
        <f t="shared" si="15"/>
        <v>4459.9936009919775</v>
      </c>
      <c r="X14" s="162" t="s">
        <v>297</v>
      </c>
      <c r="Y14" s="326">
        <f t="shared" si="16"/>
        <v>4.0395307311065158E-2</v>
      </c>
      <c r="Z14" s="326">
        <f t="shared" si="17"/>
        <v>6.2958289796312947E-2</v>
      </c>
      <c r="AA14" s="339">
        <f t="shared" si="18"/>
        <v>6.0183255362306794E-2</v>
      </c>
    </row>
    <row r="15" spans="1:27" x14ac:dyDescent="0.25">
      <c r="A15" s="162" t="s">
        <v>138</v>
      </c>
      <c r="B15" s="337">
        <f>SUM(Afgrødefordeling!G13:I13)</f>
        <v>16456</v>
      </c>
      <c r="C15">
        <f t="shared" si="8"/>
        <v>15797.297237120956</v>
      </c>
      <c r="D15">
        <f t="shared" si="9"/>
        <v>424.80910839589251</v>
      </c>
      <c r="E15">
        <f t="shared" si="0"/>
        <v>233.8936544831511</v>
      </c>
      <c r="F15" s="162" t="s">
        <v>138</v>
      </c>
      <c r="G15" s="326">
        <f t="shared" si="10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11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2"/>
        <v>19485</v>
      </c>
      <c r="U15">
        <f t="shared" si="13"/>
        <v>18705.052057930348</v>
      </c>
      <c r="V15">
        <f t="shared" si="14"/>
        <v>503.00227741212723</v>
      </c>
      <c r="W15">
        <f t="shared" si="15"/>
        <v>276.94566465752303</v>
      </c>
      <c r="X15" s="162" t="s">
        <v>138</v>
      </c>
      <c r="Y15" s="326">
        <f t="shared" si="16"/>
        <v>7.5869349743828522E-3</v>
      </c>
      <c r="Z15" s="326">
        <f t="shared" si="17"/>
        <v>5.0393062603911291E-3</v>
      </c>
      <c r="AA15" s="339">
        <f t="shared" si="18"/>
        <v>3.7371111146572858E-3</v>
      </c>
    </row>
    <row r="16" spans="1:27" x14ac:dyDescent="0.25">
      <c r="A16" s="162" t="s">
        <v>329</v>
      </c>
      <c r="B16" s="337">
        <f>SUM(Afgrødefordeling!G14:I14)</f>
        <v>7060.5575276157379</v>
      </c>
      <c r="C16">
        <f t="shared" si="8"/>
        <v>5810.7527780874962</v>
      </c>
      <c r="D16">
        <f t="shared" si="9"/>
        <v>697.69320083554544</v>
      </c>
      <c r="E16">
        <f t="shared" si="0"/>
        <v>552.11154869269581</v>
      </c>
      <c r="F16" s="162" t="s">
        <v>329</v>
      </c>
      <c r="G16" s="326">
        <f t="shared" si="10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11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2"/>
        <v>8740</v>
      </c>
      <c r="U16">
        <f t="shared" si="13"/>
        <v>7192.9134607071901</v>
      </c>
      <c r="V16">
        <f t="shared" si="14"/>
        <v>863.64830984697483</v>
      </c>
      <c r="W16">
        <f t="shared" si="15"/>
        <v>683.43822944583485</v>
      </c>
      <c r="X16" s="162" t="s">
        <v>329</v>
      </c>
      <c r="Y16" s="326">
        <f t="shared" si="16"/>
        <v>2.9175094799916215E-3</v>
      </c>
      <c r="Z16" s="326">
        <f t="shared" si="17"/>
        <v>8.6524227225758237E-3</v>
      </c>
      <c r="AA16" s="339">
        <f t="shared" si="18"/>
        <v>9.2223310540071532E-3</v>
      </c>
    </row>
    <row r="17" spans="1:27" ht="15.75" thickBot="1" x14ac:dyDescent="0.3">
      <c r="A17" s="162" t="s">
        <v>61</v>
      </c>
      <c r="B17" s="340">
        <f>SUM(Afgrødefordeling!G15:I15)</f>
        <v>180200</v>
      </c>
      <c r="C17" s="341">
        <f t="shared" si="8"/>
        <v>140059.66485275724</v>
      </c>
      <c r="D17" s="341">
        <f t="shared" si="9"/>
        <v>19720.343681186703</v>
      </c>
      <c r="E17" s="341">
        <f t="shared" si="0"/>
        <v>20419.991466056061</v>
      </c>
      <c r="F17" s="345" t="s">
        <v>61</v>
      </c>
      <c r="G17" s="342">
        <f t="shared" si="10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11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2"/>
        <v>224492</v>
      </c>
      <c r="U17" s="341">
        <f t="shared" si="13"/>
        <v>174485.4288686192</v>
      </c>
      <c r="V17" s="341">
        <f t="shared" si="14"/>
        <v>24567.477212413793</v>
      </c>
      <c r="W17" s="341">
        <f t="shared" si="15"/>
        <v>25439.093918967021</v>
      </c>
      <c r="X17" s="345" t="s">
        <v>61</v>
      </c>
      <c r="Y17" s="342">
        <f t="shared" si="16"/>
        <v>7.0772837129970206E-2</v>
      </c>
      <c r="Z17" s="342">
        <f t="shared" si="17"/>
        <v>0.24612819320715937</v>
      </c>
      <c r="AA17" s="343">
        <f t="shared" si="18"/>
        <v>0.34327571348317099</v>
      </c>
    </row>
    <row r="19" spans="1:27" x14ac:dyDescent="0.25">
      <c r="B19" t="s">
        <v>722</v>
      </c>
      <c r="F19" t="s">
        <v>723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9">B21/$E21</f>
        <v>0.96639863423101069</v>
      </c>
      <c r="G21" s="9">
        <f t="shared" ref="G21:G34" si="20">C21/$E21</f>
        <v>2.259219468541818E-2</v>
      </c>
      <c r="H21" s="9">
        <f t="shared" ref="H21:H34" si="21">D21/$E21</f>
        <v>1.1009171083571056E-2</v>
      </c>
    </row>
    <row r="22" spans="1:27" x14ac:dyDescent="0.25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2">SUM(B22:D22)</f>
        <v>191699.52537600129</v>
      </c>
      <c r="F22" s="9">
        <f t="shared" si="19"/>
        <v>0.96292793125042597</v>
      </c>
      <c r="G22" s="9">
        <f t="shared" si="20"/>
        <v>2.7930238040485379E-2</v>
      </c>
      <c r="H22" s="9">
        <f t="shared" si="21"/>
        <v>9.1418307090885501E-3</v>
      </c>
    </row>
    <row r="23" spans="1:27" x14ac:dyDescent="0.25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2"/>
        <v>165044.44057599935</v>
      </c>
      <c r="F23" s="9">
        <f t="shared" si="19"/>
        <v>0.97486793669920635</v>
      </c>
      <c r="G23" s="9">
        <f t="shared" si="20"/>
        <v>1.8005068632600766E-2</v>
      </c>
      <c r="H23" s="9">
        <f t="shared" si="21"/>
        <v>7.126994668192786E-3</v>
      </c>
    </row>
    <row r="24" spans="1:27" x14ac:dyDescent="0.25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2"/>
        <v>411644.52249599021</v>
      </c>
      <c r="F24" s="9">
        <f t="shared" si="19"/>
        <v>0.8490252917659159</v>
      </c>
      <c r="G24" s="9">
        <f t="shared" si="20"/>
        <v>7.5895278582987585E-2</v>
      </c>
      <c r="H24" s="9">
        <f t="shared" si="21"/>
        <v>7.5079429651096513E-2</v>
      </c>
    </row>
    <row r="25" spans="1:27" x14ac:dyDescent="0.25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2"/>
        <v>14598.770687999815</v>
      </c>
      <c r="F25" s="9">
        <f t="shared" si="19"/>
        <v>0.98671882912995024</v>
      </c>
      <c r="G25" s="9">
        <f t="shared" si="20"/>
        <v>1.0660386913805456E-2</v>
      </c>
      <c r="H25" s="9">
        <f t="shared" si="21"/>
        <v>2.6207839562443339E-3</v>
      </c>
    </row>
    <row r="26" spans="1:27" x14ac:dyDescent="0.25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2"/>
        <v>56809.778688000195</v>
      </c>
      <c r="F26" s="9">
        <f t="shared" si="19"/>
        <v>0.95036097852999246</v>
      </c>
      <c r="G26" s="9">
        <f t="shared" si="20"/>
        <v>2.7210851154513268E-2</v>
      </c>
      <c r="H26" s="9">
        <f t="shared" si="21"/>
        <v>2.2428170315494246E-2</v>
      </c>
    </row>
    <row r="27" spans="1:27" x14ac:dyDescent="0.25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2"/>
        <v>33429.177599999981</v>
      </c>
      <c r="F27" s="9">
        <f t="shared" si="19"/>
        <v>0.98979611583385174</v>
      </c>
      <c r="G27" s="9">
        <f t="shared" si="20"/>
        <v>7.6162830879811984E-3</v>
      </c>
      <c r="H27" s="9">
        <f t="shared" si="21"/>
        <v>2.587601078167117E-3</v>
      </c>
    </row>
    <row r="28" spans="1:27" x14ac:dyDescent="0.25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2"/>
        <v>191699.52537600129</v>
      </c>
      <c r="F28" s="9">
        <f t="shared" si="19"/>
        <v>0.96292793125042597</v>
      </c>
      <c r="G28" s="9">
        <f t="shared" si="20"/>
        <v>2.7930238040485379E-2</v>
      </c>
      <c r="H28" s="9">
        <f t="shared" si="21"/>
        <v>9.1418307090885501E-3</v>
      </c>
    </row>
    <row r="29" spans="1:27" x14ac:dyDescent="0.25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2"/>
        <v>236090.90406399991</v>
      </c>
      <c r="F29" s="9">
        <f t="shared" si="19"/>
        <v>0.95997187877497303</v>
      </c>
      <c r="G29" s="9">
        <f t="shared" si="20"/>
        <v>2.5814846159205915E-2</v>
      </c>
      <c r="H29" s="9">
        <f t="shared" si="21"/>
        <v>1.4213275065821044E-2</v>
      </c>
    </row>
    <row r="30" spans="1:27" x14ac:dyDescent="0.25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2"/>
        <v>236090.90406399991</v>
      </c>
      <c r="F30" s="9">
        <f t="shared" si="19"/>
        <v>0.95997187877497303</v>
      </c>
      <c r="G30" s="9">
        <f t="shared" si="20"/>
        <v>2.5814846159205915E-2</v>
      </c>
      <c r="H30" s="9">
        <f t="shared" si="21"/>
        <v>1.4213275065821044E-2</v>
      </c>
    </row>
    <row r="31" spans="1:27" x14ac:dyDescent="0.25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2"/>
        <v>262271.0630399973</v>
      </c>
      <c r="F31" s="9">
        <f t="shared" si="19"/>
        <v>0.90262267701221</v>
      </c>
      <c r="G31" s="9">
        <f t="shared" si="20"/>
        <v>5.695539722473917E-2</v>
      </c>
      <c r="H31" s="9">
        <f t="shared" si="21"/>
        <v>4.0421925763050842E-2</v>
      </c>
    </row>
    <row r="32" spans="1:27" x14ac:dyDescent="0.25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2"/>
        <v>236090.90406399991</v>
      </c>
      <c r="F32" s="9">
        <f t="shared" si="19"/>
        <v>0.95997187877497303</v>
      </c>
      <c r="G32" s="9">
        <f t="shared" si="20"/>
        <v>2.5814846159205915E-2</v>
      </c>
      <c r="H32" s="9">
        <f t="shared" si="21"/>
        <v>1.4213275065821044E-2</v>
      </c>
    </row>
    <row r="33" spans="1:10" x14ac:dyDescent="0.25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2"/>
        <v>8551.8069760000271</v>
      </c>
      <c r="F33" s="9">
        <f t="shared" si="19"/>
        <v>0.82298781014956401</v>
      </c>
      <c r="G33" s="9">
        <f t="shared" si="20"/>
        <v>9.8815596092331218E-2</v>
      </c>
      <c r="H33" s="9">
        <f t="shared" si="21"/>
        <v>7.8196593758104671E-2</v>
      </c>
    </row>
    <row r="34" spans="1:10" x14ac:dyDescent="0.25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2"/>
        <v>170235.44729598946</v>
      </c>
      <c r="F34" s="9">
        <f t="shared" si="19"/>
        <v>0.77724564291208242</v>
      </c>
      <c r="G34" s="9">
        <f t="shared" si="20"/>
        <v>0.10943586948494287</v>
      </c>
      <c r="H34" s="9">
        <f t="shared" si="21"/>
        <v>0.1133184876029748</v>
      </c>
    </row>
    <row r="36" spans="1:10" x14ac:dyDescent="0.25">
      <c r="A36" t="s">
        <v>767</v>
      </c>
    </row>
    <row r="37" spans="1:10" x14ac:dyDescent="0.25">
      <c r="A37" s="307" t="s">
        <v>747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750</v>
      </c>
      <c r="H37" s="307" t="s">
        <v>725</v>
      </c>
    </row>
    <row r="38" spans="1:10" x14ac:dyDescent="0.25">
      <c r="A38" s="322" t="s">
        <v>748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3">E38+F38</f>
        <v>9450.2753279999997</v>
      </c>
      <c r="I38" s="9"/>
      <c r="J38" t="s">
        <v>749</v>
      </c>
    </row>
    <row r="39" spans="1:10" x14ac:dyDescent="0.25">
      <c r="A39" s="308" t="s">
        <v>726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4">SUM(C39:F39)</f>
        <v>20.793600000000005</v>
      </c>
      <c r="H39" s="311">
        <f t="shared" si="23"/>
        <v>3.6042240000000003</v>
      </c>
      <c r="I39" s="9"/>
    </row>
    <row r="40" spans="1:10" x14ac:dyDescent="0.25">
      <c r="A40" s="308" t="s">
        <v>727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4"/>
        <v>80.124672000000032</v>
      </c>
      <c r="H40" s="311">
        <f t="shared" si="23"/>
        <v>3.789056</v>
      </c>
      <c r="I40" s="9"/>
    </row>
    <row r="41" spans="1:10" x14ac:dyDescent="0.25">
      <c r="A41" s="308" t="s">
        <v>728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4"/>
        <v>4412.4019199999993</v>
      </c>
      <c r="H41" s="311">
        <f t="shared" si="23"/>
        <v>102.30451199999996</v>
      </c>
      <c r="I41" s="9"/>
    </row>
    <row r="42" spans="1:10" ht="30" x14ac:dyDescent="0.25">
      <c r="A42" s="308" t="s">
        <v>729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4"/>
        <v>262271.0630399973</v>
      </c>
      <c r="H42" s="312">
        <f t="shared" si="23"/>
        <v>25539.254015996852</v>
      </c>
      <c r="I42" s="9"/>
    </row>
    <row r="43" spans="1:10" x14ac:dyDescent="0.25">
      <c r="A43" s="308" t="s">
        <v>730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4"/>
        <v>170235.44729598946</v>
      </c>
      <c r="H43" s="314">
        <f t="shared" si="23"/>
        <v>37920.687615992225</v>
      </c>
      <c r="I43" s="9"/>
    </row>
    <row r="44" spans="1:10" x14ac:dyDescent="0.25">
      <c r="A44" s="308" t="s">
        <v>731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4"/>
        <v>149288.34431999284</v>
      </c>
      <c r="H44" s="311">
        <f t="shared" si="23"/>
        <v>36603.389951994141</v>
      </c>
      <c r="I44" s="9"/>
    </row>
    <row r="45" spans="1:10" x14ac:dyDescent="0.25">
      <c r="A45" s="308" t="s">
        <v>732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4"/>
        <v>14598.770687999815</v>
      </c>
      <c r="H45" s="311">
        <f t="shared" si="23"/>
        <v>193.88876799999986</v>
      </c>
      <c r="I45" s="9"/>
    </row>
    <row r="46" spans="1:10" x14ac:dyDescent="0.25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4"/>
        <v>56809.778688000195</v>
      </c>
      <c r="H46" s="311">
        <f t="shared" si="23"/>
        <v>2819.9818240000168</v>
      </c>
      <c r="I46" s="9"/>
    </row>
    <row r="47" spans="1:10" x14ac:dyDescent="0.25">
      <c r="A47" s="308" t="s">
        <v>733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4"/>
        <v>811052.15001599386</v>
      </c>
      <c r="H47" s="316">
        <f t="shared" si="23"/>
        <v>23711.450367996731</v>
      </c>
      <c r="I47" s="9"/>
    </row>
    <row r="48" spans="1:10" x14ac:dyDescent="0.25">
      <c r="A48" s="308" t="s">
        <v>734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4"/>
        <v>554608.28544000408</v>
      </c>
      <c r="H48" s="316">
        <f t="shared" si="23"/>
        <v>22176.605439997376</v>
      </c>
      <c r="I48" s="9"/>
    </row>
    <row r="49" spans="1:9" x14ac:dyDescent="0.25">
      <c r="A49" s="308" t="s">
        <v>735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4"/>
        <v>108.31155200000001</v>
      </c>
      <c r="H49" s="311">
        <f t="shared" si="23"/>
        <v>11.829248000000003</v>
      </c>
      <c r="I49" s="9"/>
    </row>
    <row r="50" spans="1:9" x14ac:dyDescent="0.25">
      <c r="A50" s="308" t="s">
        <v>736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4"/>
        <v>191699.52537600129</v>
      </c>
      <c r="H50" s="316">
        <f t="shared" si="23"/>
        <v>7106.6979839998112</v>
      </c>
      <c r="I50" s="9"/>
    </row>
    <row r="51" spans="1:9" x14ac:dyDescent="0.25">
      <c r="A51" s="308" t="s">
        <v>737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4"/>
        <v>119.03180800000001</v>
      </c>
      <c r="H51" s="311">
        <f t="shared" si="23"/>
        <v>41.12512000000001</v>
      </c>
      <c r="I51" s="9"/>
    </row>
    <row r="52" spans="1:9" x14ac:dyDescent="0.25">
      <c r="A52" s="308" t="s">
        <v>738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4"/>
        <v>2105.8833920000029</v>
      </c>
      <c r="H52" s="311">
        <f t="shared" si="23"/>
        <v>542.29708799999958</v>
      </c>
      <c r="I52" s="9"/>
    </row>
    <row r="53" spans="1:9" x14ac:dyDescent="0.25">
      <c r="A53" s="308" t="s">
        <v>739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4"/>
        <v>1061.6750079999997</v>
      </c>
      <c r="H53" s="311">
        <f t="shared" si="23"/>
        <v>137.23775999999992</v>
      </c>
      <c r="I53" s="9"/>
    </row>
    <row r="54" spans="1:9" ht="30" x14ac:dyDescent="0.25">
      <c r="A54" s="308" t="s">
        <v>740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4"/>
        <v>0.55449599999999999</v>
      </c>
      <c r="H54" s="311">
        <f t="shared" si="23"/>
        <v>9.2415999999999998E-2</v>
      </c>
      <c r="I54" s="9"/>
    </row>
    <row r="55" spans="1:9" x14ac:dyDescent="0.25">
      <c r="A55" s="308" t="s">
        <v>741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4"/>
        <v>2900.5685760000119</v>
      </c>
      <c r="H55" s="311">
        <f t="shared" si="23"/>
        <v>592.38655999999969</v>
      </c>
      <c r="I55" s="9"/>
    </row>
    <row r="56" spans="1:9" x14ac:dyDescent="0.25">
      <c r="A56" s="308" t="s">
        <v>742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4"/>
        <v>2343.3000960000131</v>
      </c>
      <c r="H56" s="311">
        <f t="shared" si="23"/>
        <v>197.03091199999977</v>
      </c>
      <c r="I56" s="9"/>
    </row>
    <row r="57" spans="1:9" x14ac:dyDescent="0.25">
      <c r="A57" s="308" t="s">
        <v>743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4"/>
        <v>165044.44057599935</v>
      </c>
      <c r="H57" s="316">
        <f t="shared" si="23"/>
        <v>4147.9073280000757</v>
      </c>
      <c r="I57" s="9"/>
    </row>
    <row r="58" spans="1:9" x14ac:dyDescent="0.25">
      <c r="A58" s="308" t="s">
        <v>744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4"/>
        <v>4.9904639999999993</v>
      </c>
      <c r="H58" s="311">
        <f t="shared" si="23"/>
        <v>1.478656</v>
      </c>
      <c r="I58" s="9"/>
    </row>
    <row r="59" spans="1:9" x14ac:dyDescent="0.25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4"/>
        <v>29016.775679999984</v>
      </c>
      <c r="H59" s="311">
        <f t="shared" si="23"/>
        <v>238.8029439999998</v>
      </c>
      <c r="I59" s="9"/>
    </row>
    <row r="60" spans="1:9" x14ac:dyDescent="0.25">
      <c r="A60" s="308" t="s">
        <v>745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4"/>
        <v>64.598784000000009</v>
      </c>
      <c r="H60" s="311">
        <f t="shared" si="23"/>
        <v>15.895552000000004</v>
      </c>
      <c r="I60" s="9"/>
    </row>
    <row r="61" spans="1:9" x14ac:dyDescent="0.25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4"/>
        <v>2653937.7195519782</v>
      </c>
      <c r="H61" s="319">
        <f t="shared" si="23"/>
        <v>171558.01267197719</v>
      </c>
      <c r="I61" s="320"/>
    </row>
    <row r="62" spans="1:9" x14ac:dyDescent="0.25">
      <c r="E62" s="321"/>
    </row>
    <row r="63" spans="1:9" x14ac:dyDescent="0.25">
      <c r="B63" s="301"/>
      <c r="C63" s="301"/>
      <c r="D63" s="301"/>
      <c r="E63" s="301"/>
    </row>
    <row r="64" spans="1:9" x14ac:dyDescent="0.25">
      <c r="B64" s="301"/>
      <c r="C64" s="301"/>
      <c r="D64" s="301"/>
      <c r="E64" s="301"/>
    </row>
    <row r="65" spans="2:5" x14ac:dyDescent="0.25">
      <c r="B65" s="301"/>
      <c r="C65" s="301"/>
      <c r="D65" s="301"/>
      <c r="E65" s="301"/>
    </row>
    <row r="66" spans="2:5" x14ac:dyDescent="0.25">
      <c r="B66" s="301"/>
      <c r="C66" s="301"/>
      <c r="D66" s="301"/>
      <c r="E66" s="301"/>
    </row>
    <row r="67" spans="2:5" x14ac:dyDescent="0.25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G18" sqref="G18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 x14ac:dyDescent="0.25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2"/>
        <v>15.99169436748546</v>
      </c>
      <c r="L5" s="273">
        <f t="shared" si="2"/>
        <v>40.951694367485452</v>
      </c>
      <c r="M5" s="243"/>
    </row>
    <row r="6" spans="1:15" x14ac:dyDescent="0.25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3">AVERAGE(G6,I6)</f>
        <v>0</v>
      </c>
      <c r="I6" s="231">
        <v>0</v>
      </c>
      <c r="J6" s="273">
        <f t="shared" si="2"/>
        <v>2.2736943674854606</v>
      </c>
      <c r="K6" s="273">
        <f t="shared" si="2"/>
        <v>15.99169436748546</v>
      </c>
      <c r="L6" s="273">
        <f t="shared" si="2"/>
        <v>40.951694367485452</v>
      </c>
    </row>
    <row r="7" spans="1:15" x14ac:dyDescent="0.25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3"/>
        <v>145</v>
      </c>
      <c r="I7" s="231">
        <v>115</v>
      </c>
      <c r="J7" s="273">
        <f t="shared" si="2"/>
        <v>2.2736943674854606</v>
      </c>
      <c r="K7" s="273">
        <f t="shared" si="2"/>
        <v>15.99169436748546</v>
      </c>
      <c r="L7" s="273">
        <f t="shared" si="2"/>
        <v>40.951694367485452</v>
      </c>
      <c r="M7" s="7" t="s">
        <v>499</v>
      </c>
      <c r="N7" s="7"/>
      <c r="O7" s="7"/>
    </row>
    <row r="8" spans="1:15" x14ac:dyDescent="0.25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3"/>
        <v>130</v>
      </c>
      <c r="I8" s="231">
        <v>105</v>
      </c>
      <c r="J8" s="273">
        <f t="shared" si="2"/>
        <v>2.2736943674854606</v>
      </c>
      <c r="K8" s="273">
        <f t="shared" si="2"/>
        <v>15.99169436748546</v>
      </c>
      <c r="L8" s="273">
        <f t="shared" si="2"/>
        <v>40.951694367485452</v>
      </c>
      <c r="M8" s="7" t="s">
        <v>515</v>
      </c>
      <c r="N8" s="7" t="s">
        <v>293</v>
      </c>
      <c r="O8" s="7" t="s">
        <v>516</v>
      </c>
    </row>
    <row r="9" spans="1:15" x14ac:dyDescent="0.25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3"/>
        <v>195</v>
      </c>
      <c r="I9" s="231">
        <v>190</v>
      </c>
      <c r="J9" s="273">
        <f t="shared" si="2"/>
        <v>2.2736943674854606</v>
      </c>
      <c r="K9" s="273">
        <f t="shared" si="2"/>
        <v>15.99169436748546</v>
      </c>
      <c r="L9" s="273">
        <f t="shared" si="2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 x14ac:dyDescent="0.25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3"/>
        <v>120</v>
      </c>
      <c r="I10" s="231">
        <v>90</v>
      </c>
      <c r="J10" s="273">
        <f t="shared" si="2"/>
        <v>2.2736943674854606</v>
      </c>
      <c r="K10" s="273">
        <f t="shared" si="2"/>
        <v>15.99169436748546</v>
      </c>
      <c r="L10" s="273">
        <f t="shared" si="2"/>
        <v>40.951694367485452</v>
      </c>
    </row>
    <row r="11" spans="1:15" x14ac:dyDescent="0.25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3"/>
        <v>105</v>
      </c>
      <c r="I11" s="231">
        <v>75</v>
      </c>
      <c r="J11" s="273">
        <f t="shared" si="2"/>
        <v>2.2736943674854606</v>
      </c>
      <c r="K11" s="273">
        <f t="shared" si="2"/>
        <v>15.99169436748546</v>
      </c>
      <c r="L11" s="273">
        <f t="shared" si="2"/>
        <v>40.951694367485452</v>
      </c>
    </row>
    <row r="12" spans="1:15" x14ac:dyDescent="0.25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3"/>
        <v>130</v>
      </c>
      <c r="I12" s="231">
        <v>100</v>
      </c>
      <c r="J12" s="273">
        <f t="shared" si="2"/>
        <v>2.2736943674854606</v>
      </c>
      <c r="K12" s="273">
        <f t="shared" si="2"/>
        <v>15.99169436748546</v>
      </c>
      <c r="L12" s="273">
        <f t="shared" si="2"/>
        <v>40.951694367485452</v>
      </c>
    </row>
    <row r="13" spans="1:15" x14ac:dyDescent="0.25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3"/>
        <v>140</v>
      </c>
      <c r="I13" s="231">
        <v>140</v>
      </c>
      <c r="J13" s="273">
        <f t="shared" si="2"/>
        <v>1.9656943674854606</v>
      </c>
      <c r="K13" s="273">
        <f t="shared" si="2"/>
        <v>10.661694367485461</v>
      </c>
      <c r="L13" s="273">
        <f t="shared" si="2"/>
        <v>28.501694367485467</v>
      </c>
    </row>
    <row r="14" spans="1:15" x14ac:dyDescent="0.25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3"/>
        <v>125</v>
      </c>
      <c r="I14" s="232">
        <f>AVERAGE(I5,I7:I13,I15:I18)</f>
        <v>107.91666666666667</v>
      </c>
      <c r="J14" s="273">
        <f t="shared" si="2"/>
        <v>2.2736943674854606</v>
      </c>
      <c r="K14" s="273">
        <f t="shared" si="2"/>
        <v>15.99169436748546</v>
      </c>
      <c r="L14" s="273">
        <f t="shared" si="2"/>
        <v>40.951694367485452</v>
      </c>
    </row>
    <row r="15" spans="1:15" x14ac:dyDescent="0.25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3"/>
        <v>135</v>
      </c>
      <c r="I15" s="231">
        <v>120</v>
      </c>
      <c r="J15" s="273">
        <f t="shared" si="2"/>
        <v>2.2736943674854606</v>
      </c>
      <c r="K15" s="273">
        <f t="shared" si="2"/>
        <v>15.99169436748546</v>
      </c>
      <c r="L15" s="273">
        <f t="shared" si="2"/>
        <v>40.951694367485452</v>
      </c>
    </row>
    <row r="16" spans="1:15" x14ac:dyDescent="0.25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3"/>
        <v>100</v>
      </c>
      <c r="I16" s="231">
        <v>90</v>
      </c>
      <c r="J16" s="273">
        <f t="shared" si="2"/>
        <v>1.9656943674854606</v>
      </c>
      <c r="K16" s="273">
        <f t="shared" si="2"/>
        <v>10.661694367485461</v>
      </c>
      <c r="L16" s="273">
        <f t="shared" si="2"/>
        <v>28.501694367485467</v>
      </c>
    </row>
    <row r="17" spans="1:13" x14ac:dyDescent="0.25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3"/>
        <v>120</v>
      </c>
      <c r="I17" s="231">
        <v>120</v>
      </c>
      <c r="J17" s="273">
        <f t="shared" si="2"/>
        <v>1.9656943674854606</v>
      </c>
      <c r="K17" s="273">
        <f t="shared" si="2"/>
        <v>10.661694367485461</v>
      </c>
      <c r="L17" s="273">
        <f t="shared" si="2"/>
        <v>28.501694367485467</v>
      </c>
    </row>
    <row r="18" spans="1:13" x14ac:dyDescent="0.25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3"/>
        <v>50</v>
      </c>
      <c r="I18" s="231">
        <v>50</v>
      </c>
      <c r="J18" s="273">
        <f t="shared" si="2"/>
        <v>1.9656943674854606</v>
      </c>
      <c r="K18" s="273">
        <f t="shared" si="2"/>
        <v>10.661694367485461</v>
      </c>
      <c r="L18" s="273">
        <f t="shared" si="2"/>
        <v>28.501694367485467</v>
      </c>
      <c r="M18" s="243"/>
    </row>
    <row r="20" spans="1:13" x14ac:dyDescent="0.25">
      <c r="A20" s="214" t="s">
        <v>541</v>
      </c>
    </row>
    <row r="21" spans="1:13" x14ac:dyDescent="0.25">
      <c r="A21" s="215" t="s">
        <v>68</v>
      </c>
    </row>
    <row r="22" spans="1:13" x14ac:dyDescent="0.25">
      <c r="A22" s="209" t="s">
        <v>496</v>
      </c>
    </row>
    <row r="23" spans="1:13" x14ac:dyDescent="0.25">
      <c r="A23" s="220" t="s">
        <v>332</v>
      </c>
      <c r="B23" s="220" t="s">
        <v>497</v>
      </c>
    </row>
    <row r="24" spans="1:13" x14ac:dyDescent="0.25">
      <c r="A24" s="211" t="s">
        <v>412</v>
      </c>
    </row>
    <row r="25" spans="1:13" x14ac:dyDescent="0.25">
      <c r="A25" s="3" t="s">
        <v>511</v>
      </c>
    </row>
    <row r="26" spans="1:13" x14ac:dyDescent="0.25">
      <c r="A26" s="234" t="s">
        <v>512</v>
      </c>
    </row>
    <row r="27" spans="1:13" x14ac:dyDescent="0.25">
      <c r="A27" s="198"/>
    </row>
    <row r="28" spans="1:13" ht="15.75" thickBot="1" x14ac:dyDescent="0.3">
      <c r="A28" s="2" t="s">
        <v>422</v>
      </c>
      <c r="I28"/>
    </row>
    <row r="29" spans="1:13" x14ac:dyDescent="0.25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 x14ac:dyDescent="0.25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 x14ac:dyDescent="0.25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 x14ac:dyDescent="0.25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 x14ac:dyDescent="0.25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 x14ac:dyDescent="0.25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 x14ac:dyDescent="0.25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 x14ac:dyDescent="0.25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5.75" thickBot="1" x14ac:dyDescent="0.3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 t="shared" ref="G37:H37" si="4">IF(E37&lt;&gt;0,E37*E37/C37,0)</f>
        <v>0.40000000000000008</v>
      </c>
      <c r="H37" s="272">
        <f t="shared" si="4"/>
        <v>0.40000000000000008</v>
      </c>
      <c r="I37" s="1" t="s">
        <v>531</v>
      </c>
    </row>
    <row r="38" spans="1:10" x14ac:dyDescent="0.25">
      <c r="A38" s="256" t="s">
        <v>427</v>
      </c>
      <c r="B38" s="257" t="s">
        <v>426</v>
      </c>
      <c r="C38" s="258">
        <f>SUM(C31:C32)</f>
        <v>34.97</v>
      </c>
      <c r="D38" s="258">
        <f t="shared" ref="D38:H38" si="5">SUM(D31:D32)</f>
        <v>24</v>
      </c>
      <c r="E38" s="258">
        <f t="shared" si="5"/>
        <v>13.879999999999999</v>
      </c>
      <c r="F38" s="258">
        <f t="shared" si="5"/>
        <v>8.6000000000000014</v>
      </c>
      <c r="G38" s="258">
        <f t="shared" si="5"/>
        <v>0.5</v>
      </c>
      <c r="H38" s="259">
        <f t="shared" si="5"/>
        <v>0</v>
      </c>
    </row>
    <row r="39" spans="1:10" x14ac:dyDescent="0.25">
      <c r="A39" s="249" t="s">
        <v>528</v>
      </c>
      <c r="B39" s="250" t="s">
        <v>426</v>
      </c>
      <c r="C39" s="210">
        <f>SUM(C33:C36)</f>
        <v>4.8100000000000005</v>
      </c>
      <c r="D39" s="210">
        <f t="shared" ref="D39:H39" si="6">SUM(D33:D36)</f>
        <v>3.3299999999999996</v>
      </c>
      <c r="E39" s="210">
        <f t="shared" si="6"/>
        <v>0.94000000000000006</v>
      </c>
      <c r="F39" s="210">
        <f t="shared" si="6"/>
        <v>0.89</v>
      </c>
      <c r="G39" s="210">
        <f t="shared" si="6"/>
        <v>0.60199999999999998</v>
      </c>
      <c r="H39" s="251">
        <f t="shared" si="6"/>
        <v>0.79400000000000004</v>
      </c>
    </row>
    <row r="40" spans="1:10" ht="15.75" thickBot="1" x14ac:dyDescent="0.3">
      <c r="A40" s="252" t="s">
        <v>529</v>
      </c>
      <c r="B40" s="253" t="s">
        <v>426</v>
      </c>
      <c r="C40" s="254">
        <f>C37</f>
        <v>0.4</v>
      </c>
      <c r="D40" s="254">
        <f t="shared" ref="D40:H40" si="7">D37</f>
        <v>0.4</v>
      </c>
      <c r="E40" s="254">
        <f t="shared" si="7"/>
        <v>0.4</v>
      </c>
      <c r="F40" s="254">
        <f t="shared" si="7"/>
        <v>0.4</v>
      </c>
      <c r="G40" s="254">
        <f t="shared" si="7"/>
        <v>0.40000000000000008</v>
      </c>
      <c r="H40" s="255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863</v>
      </c>
      <c r="B42" s="1" t="s">
        <v>862</v>
      </c>
      <c r="J42" s="341" t="s">
        <v>851</v>
      </c>
    </row>
    <row r="43" spans="1:10" ht="15.75" thickBot="1" x14ac:dyDescent="0.3">
      <c r="A43" s="391" t="s">
        <v>822</v>
      </c>
      <c r="B43" s="393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341" t="s">
        <v>864</v>
      </c>
      <c r="J43" s="396">
        <v>2019</v>
      </c>
    </row>
    <row r="44" spans="1:10" x14ac:dyDescent="0.25">
      <c r="A44" s="390" t="s">
        <v>823</v>
      </c>
      <c r="B44" s="392">
        <v>3767.3551588371374</v>
      </c>
      <c r="C44" s="1" t="s">
        <v>837</v>
      </c>
      <c r="F44" s="1">
        <v>2578370</v>
      </c>
      <c r="I44" s="398" t="s">
        <v>839</v>
      </c>
      <c r="J44" s="397">
        <v>27.011008109722574</v>
      </c>
    </row>
    <row r="45" spans="1:10" x14ac:dyDescent="0.25">
      <c r="A45" s="390" t="s">
        <v>824</v>
      </c>
      <c r="B45" s="392">
        <v>2952.39814048791</v>
      </c>
      <c r="C45" s="1" t="s">
        <v>820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840</v>
      </c>
      <c r="J45" s="397">
        <v>13.494661638352639</v>
      </c>
    </row>
    <row r="46" spans="1:10" x14ac:dyDescent="0.25">
      <c r="A46" s="390" t="s">
        <v>825</v>
      </c>
      <c r="B46" s="392" t="s">
        <v>826</v>
      </c>
      <c r="F46" s="1">
        <v>2578370</v>
      </c>
      <c r="I46" s="398" t="s">
        <v>841</v>
      </c>
      <c r="J46" s="397">
        <v>4.2965611392438922E-2</v>
      </c>
    </row>
    <row r="47" spans="1:10" x14ac:dyDescent="0.25">
      <c r="A47" s="390" t="s">
        <v>827</v>
      </c>
      <c r="B47" s="392">
        <v>4072.8452465785531</v>
      </c>
      <c r="C47" s="1" t="s">
        <v>819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842</v>
      </c>
      <c r="J47" s="402"/>
    </row>
    <row r="48" spans="1:10" x14ac:dyDescent="0.25">
      <c r="A48" s="390" t="s">
        <v>828</v>
      </c>
      <c r="B48" s="392" t="s">
        <v>826</v>
      </c>
      <c r="F48" s="1">
        <v>2578370</v>
      </c>
      <c r="I48" s="398" t="s">
        <v>843</v>
      </c>
      <c r="J48" s="397">
        <v>5.411826658030066E-3</v>
      </c>
    </row>
    <row r="49" spans="1:10" x14ac:dyDescent="0.25">
      <c r="A49" s="390" t="s">
        <v>829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844</v>
      </c>
      <c r="J49" s="397">
        <v>0.47525986757812505</v>
      </c>
    </row>
    <row r="50" spans="1:10" x14ac:dyDescent="0.25">
      <c r="A50" s="390" t="s">
        <v>830</v>
      </c>
      <c r="B50" s="392">
        <v>239.91601891630901</v>
      </c>
      <c r="D50" s="1">
        <f t="shared" ref="D50:D52" si="8">B50/F50</f>
        <v>9.3049492088532299E-5</v>
      </c>
      <c r="F50" s="1">
        <v>2578370</v>
      </c>
      <c r="I50" s="398" t="s">
        <v>845</v>
      </c>
      <c r="J50" s="397">
        <v>41.882892458812613</v>
      </c>
    </row>
    <row r="51" spans="1:10" x14ac:dyDescent="0.25">
      <c r="A51" s="390" t="s">
        <v>831</v>
      </c>
      <c r="B51" s="392">
        <v>1.39333333333333</v>
      </c>
      <c r="D51" s="1">
        <f t="shared" si="8"/>
        <v>5.4039309072527606E-7</v>
      </c>
      <c r="F51" s="1">
        <v>2578370</v>
      </c>
      <c r="I51" s="398" t="s">
        <v>846</v>
      </c>
      <c r="J51" s="397">
        <v>0.58710980836771465</v>
      </c>
    </row>
    <row r="52" spans="1:10" x14ac:dyDescent="0.25">
      <c r="A52" s="390" t="s">
        <v>832</v>
      </c>
      <c r="B52" s="392">
        <v>2.871</v>
      </c>
      <c r="D52" s="1">
        <f t="shared" si="8"/>
        <v>1.1134941843102424E-6</v>
      </c>
      <c r="F52" s="1">
        <v>2578370</v>
      </c>
      <c r="I52" s="398" t="s">
        <v>847</v>
      </c>
      <c r="J52" s="397">
        <v>1.1986960661131167</v>
      </c>
    </row>
    <row r="53" spans="1:10" x14ac:dyDescent="0.25">
      <c r="A53" s="390" t="s">
        <v>833</v>
      </c>
      <c r="B53" s="392" t="s">
        <v>834</v>
      </c>
      <c r="F53" s="1">
        <v>2578370</v>
      </c>
      <c r="I53" s="398" t="s">
        <v>848</v>
      </c>
      <c r="J53" s="403">
        <v>2.5311427660799999E-3</v>
      </c>
    </row>
    <row r="54" spans="1:10" x14ac:dyDescent="0.25">
      <c r="A54" s="405" t="s">
        <v>835</v>
      </c>
      <c r="I54" s="398" t="s">
        <v>849</v>
      </c>
      <c r="J54" s="399">
        <v>3.2264792749629999E-4</v>
      </c>
    </row>
    <row r="55" spans="1:10" ht="15.75" thickBot="1" x14ac:dyDescent="0.3">
      <c r="A55" s="390" t="s">
        <v>836</v>
      </c>
      <c r="B55" s="392">
        <v>4586.0116630635248</v>
      </c>
      <c r="I55" s="394" t="s">
        <v>850</v>
      </c>
      <c r="J55" s="403">
        <v>1.4385168E-3</v>
      </c>
    </row>
    <row r="56" spans="1:10" ht="15.75" thickBot="1" x14ac:dyDescent="0.3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861</v>
      </c>
      <c r="B62" s="1" t="s">
        <v>860</v>
      </c>
    </row>
    <row r="63" spans="1:10" ht="15.75" thickBot="1" x14ac:dyDescent="0.3">
      <c r="A63" s="408"/>
      <c r="B63" s="396">
        <v>2019</v>
      </c>
      <c r="C63" s="1" t="s">
        <v>859</v>
      </c>
    </row>
    <row r="64" spans="1:10" x14ac:dyDescent="0.25">
      <c r="A64" s="409" t="s">
        <v>854</v>
      </c>
      <c r="B64" s="406">
        <v>12.32</v>
      </c>
      <c r="C64" s="411">
        <f>1-B65/B64</f>
        <v>0.40827922077922074</v>
      </c>
    </row>
    <row r="65" spans="1:3" x14ac:dyDescent="0.25">
      <c r="A65" s="409" t="s">
        <v>855</v>
      </c>
      <c r="B65" s="406">
        <v>7.29</v>
      </c>
      <c r="C65" s="411"/>
    </row>
    <row r="66" spans="1:3" x14ac:dyDescent="0.25">
      <c r="A66" s="409" t="s">
        <v>856</v>
      </c>
      <c r="B66" s="406">
        <v>13.33</v>
      </c>
      <c r="C66" s="411">
        <f>1-B67/B66</f>
        <v>0.2235558889722431</v>
      </c>
    </row>
    <row r="67" spans="1:3" x14ac:dyDescent="0.25">
      <c r="A67" s="409" t="s">
        <v>857</v>
      </c>
      <c r="B67" s="406">
        <v>10.35</v>
      </c>
      <c r="C67" s="411"/>
    </row>
    <row r="68" spans="1:3" ht="15.75" thickBot="1" x14ac:dyDescent="0.3">
      <c r="A68" s="410" t="s">
        <v>858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 x14ac:dyDescent="0.25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 x14ac:dyDescent="0.25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 x14ac:dyDescent="0.25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 x14ac:dyDescent="0.25">
      <c r="A5" s="244" t="s">
        <v>14</v>
      </c>
      <c r="B5" s="244">
        <f>SUMIF($D$23:$D$63,A5,$E$23:$E$63)/SUMIF($D$23:$D$63,A5,$F$23:$F$63)</f>
        <v>1.0833333333333333</v>
      </c>
      <c r="C5" s="244">
        <f t="shared" si="0"/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 x14ac:dyDescent="0.25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 x14ac:dyDescent="0.25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 x14ac:dyDescent="0.25">
      <c r="A8" s="244" t="s">
        <v>710</v>
      </c>
      <c r="B8" s="244">
        <f>SUMIF($D$23:$D$63,A8,$E$23:$E$63)/SUMIF($D$23:$D$63,A8,$F$23:$F$63)</f>
        <v>1.00836820083682</v>
      </c>
      <c r="C8" s="244">
        <f t="shared" ref="C8" si="3">B8*1000</f>
        <v>1008.3682008368201</v>
      </c>
      <c r="D8" s="244">
        <f t="shared" ref="D8" si="4"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 x14ac:dyDescent="0.25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 x14ac:dyDescent="0.25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 x14ac:dyDescent="0.25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 x14ac:dyDescent="0.25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 x14ac:dyDescent="0.25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 x14ac:dyDescent="0.25">
      <c r="A14" s="244" t="s">
        <v>645</v>
      </c>
      <c r="B14" s="244">
        <f>'Procesdata (baggrund)'!G3</f>
        <v>0.19800000000000001</v>
      </c>
      <c r="C14" s="244">
        <f>C15</f>
        <v>2750</v>
      </c>
      <c r="D14" s="244">
        <v>0</v>
      </c>
      <c r="E14" s="369">
        <v>0</v>
      </c>
      <c r="F14" s="244" t="s">
        <v>649</v>
      </c>
    </row>
    <row r="15" spans="1:18" x14ac:dyDescent="0.25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 x14ac:dyDescent="0.25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7.25" x14ac:dyDescent="0.3">
      <c r="A18" s="200" t="s">
        <v>431</v>
      </c>
    </row>
    <row r="19" spans="1:11" x14ac:dyDescent="0.25">
      <c r="A19" s="201" t="s">
        <v>97</v>
      </c>
      <c r="E19" t="s">
        <v>475</v>
      </c>
      <c r="H19" t="s">
        <v>476</v>
      </c>
    </row>
    <row r="20" spans="1:11" x14ac:dyDescent="0.25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 x14ac:dyDescent="0.25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5">IFERROR(E21/F21,"")</f>
        <v/>
      </c>
      <c r="H21" s="184"/>
      <c r="I21" s="184">
        <v>4007</v>
      </c>
      <c r="J21" s="276" t="s">
        <v>130</v>
      </c>
      <c r="K21" s="203" t="str">
        <f t="shared" ref="K21:K63" si="6">IFERROR(I21/J21,"")</f>
        <v/>
      </c>
    </row>
    <row r="22" spans="1:11" x14ac:dyDescent="0.25">
      <c r="C22" s="202" t="s">
        <v>436</v>
      </c>
      <c r="D22" s="202"/>
      <c r="E22" s="184">
        <v>6444</v>
      </c>
      <c r="F22" s="184" t="s">
        <v>130</v>
      </c>
      <c r="G22" s="184" t="str">
        <f t="shared" si="5"/>
        <v/>
      </c>
      <c r="H22" s="184"/>
      <c r="I22" s="184">
        <v>3759</v>
      </c>
      <c r="J22" s="276" t="s">
        <v>130</v>
      </c>
      <c r="K22" s="203" t="str">
        <f t="shared" si="6"/>
        <v/>
      </c>
    </row>
    <row r="23" spans="1:11" x14ac:dyDescent="0.25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5"/>
        <v>0.98197573656845749</v>
      </c>
      <c r="H23" s="72" t="s">
        <v>487</v>
      </c>
      <c r="I23" s="184">
        <v>1036</v>
      </c>
      <c r="J23" s="278">
        <v>1011</v>
      </c>
      <c r="K23" s="203">
        <f t="shared" si="6"/>
        <v>1.0247279920870425</v>
      </c>
    </row>
    <row r="24" spans="1:11" x14ac:dyDescent="0.25">
      <c r="C24" s="204" t="s">
        <v>438</v>
      </c>
      <c r="D24" s="204"/>
      <c r="E24" s="279">
        <v>2591</v>
      </c>
      <c r="F24" s="279">
        <v>2530</v>
      </c>
      <c r="G24" s="279">
        <f t="shared" si="5"/>
        <v>1.024110671936759</v>
      </c>
      <c r="H24" s="279"/>
      <c r="I24" s="279">
        <v>247</v>
      </c>
      <c r="J24" s="278">
        <v>241</v>
      </c>
      <c r="K24" s="203">
        <f t="shared" si="6"/>
        <v>1.0248962655601659</v>
      </c>
    </row>
    <row r="25" spans="1:11" x14ac:dyDescent="0.25">
      <c r="C25" s="204" t="s">
        <v>189</v>
      </c>
      <c r="D25" s="204"/>
      <c r="E25" s="279">
        <v>379</v>
      </c>
      <c r="F25" s="279">
        <v>379</v>
      </c>
      <c r="G25" s="279">
        <f t="shared" si="5"/>
        <v>1</v>
      </c>
      <c r="H25" s="279"/>
      <c r="I25" s="279">
        <v>61</v>
      </c>
      <c r="J25" s="278">
        <v>61</v>
      </c>
      <c r="K25" s="203">
        <f t="shared" si="6"/>
        <v>1</v>
      </c>
    </row>
    <row r="26" spans="1:11" x14ac:dyDescent="0.25">
      <c r="C26" s="204" t="s">
        <v>439</v>
      </c>
      <c r="D26" s="204"/>
      <c r="E26" s="279">
        <v>2475</v>
      </c>
      <c r="F26" s="279">
        <v>2591</v>
      </c>
      <c r="G26" s="279">
        <f t="shared" si="5"/>
        <v>0.95522964106522579</v>
      </c>
      <c r="H26" s="279"/>
      <c r="I26" s="279">
        <v>85</v>
      </c>
      <c r="J26" s="278">
        <v>89</v>
      </c>
      <c r="K26" s="203">
        <f t="shared" si="6"/>
        <v>0.9550561797752809</v>
      </c>
    </row>
    <row r="27" spans="1:11" x14ac:dyDescent="0.25">
      <c r="C27" s="204" t="s">
        <v>440</v>
      </c>
      <c r="D27" s="204"/>
      <c r="E27" s="279">
        <v>187</v>
      </c>
      <c r="F27" s="279">
        <v>236</v>
      </c>
      <c r="G27" s="279">
        <f t="shared" si="5"/>
        <v>0.7923728813559322</v>
      </c>
      <c r="H27" s="279"/>
      <c r="I27" s="279">
        <v>7</v>
      </c>
      <c r="J27" s="278">
        <v>9</v>
      </c>
      <c r="K27" s="203">
        <f t="shared" si="6"/>
        <v>0.77777777777777779</v>
      </c>
    </row>
    <row r="28" spans="1:11" x14ac:dyDescent="0.25">
      <c r="C28" s="204" t="s">
        <v>441</v>
      </c>
      <c r="D28" s="204"/>
      <c r="E28" s="279">
        <v>33</v>
      </c>
      <c r="F28" s="279">
        <v>33</v>
      </c>
      <c r="G28" s="279">
        <f t="shared" si="5"/>
        <v>1</v>
      </c>
      <c r="H28" s="279"/>
      <c r="I28" s="279">
        <v>14</v>
      </c>
      <c r="J28" s="278">
        <v>14</v>
      </c>
      <c r="K28" s="203">
        <f t="shared" si="6"/>
        <v>1</v>
      </c>
    </row>
    <row r="29" spans="1:11" x14ac:dyDescent="0.25">
      <c r="C29" s="204" t="s">
        <v>442</v>
      </c>
      <c r="D29" s="204"/>
      <c r="E29" s="279">
        <v>2</v>
      </c>
      <c r="F29" s="279">
        <v>1</v>
      </c>
      <c r="G29" s="279">
        <f t="shared" si="5"/>
        <v>2</v>
      </c>
      <c r="H29" s="279"/>
      <c r="I29" s="279">
        <v>621</v>
      </c>
      <c r="J29" s="278">
        <v>596</v>
      </c>
      <c r="K29" s="203">
        <f t="shared" si="6"/>
        <v>1.0419463087248322</v>
      </c>
    </row>
    <row r="30" spans="1:11" x14ac:dyDescent="0.25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5"/>
        <v>1.0833333333333333</v>
      </c>
      <c r="H30" s="72" t="s">
        <v>487</v>
      </c>
      <c r="I30" s="184">
        <v>8</v>
      </c>
      <c r="J30" s="278">
        <v>8</v>
      </c>
      <c r="K30" s="203">
        <f t="shared" si="6"/>
        <v>1</v>
      </c>
    </row>
    <row r="31" spans="1:11" x14ac:dyDescent="0.25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5"/>
        <v>0.87096774193548387</v>
      </c>
      <c r="H31" s="72" t="s">
        <v>487</v>
      </c>
      <c r="I31" s="184">
        <v>107</v>
      </c>
      <c r="J31" s="278">
        <v>114</v>
      </c>
      <c r="K31" s="203">
        <f t="shared" si="6"/>
        <v>0.93859649122807021</v>
      </c>
    </row>
    <row r="32" spans="1:11" x14ac:dyDescent="0.25">
      <c r="C32" s="204" t="s">
        <v>444</v>
      </c>
      <c r="D32" s="204"/>
      <c r="E32" s="279">
        <v>23</v>
      </c>
      <c r="F32" s="279">
        <v>27</v>
      </c>
      <c r="G32" s="279">
        <f t="shared" si="5"/>
        <v>0.85185185185185186</v>
      </c>
      <c r="H32" s="279"/>
      <c r="I32" s="279">
        <v>56</v>
      </c>
      <c r="J32" s="278">
        <v>64</v>
      </c>
      <c r="K32" s="203">
        <f t="shared" si="6"/>
        <v>0.875</v>
      </c>
    </row>
    <row r="33" spans="3:11" x14ac:dyDescent="0.25">
      <c r="C33" s="204" t="s">
        <v>445</v>
      </c>
      <c r="D33" s="204"/>
      <c r="E33" s="279">
        <v>4</v>
      </c>
      <c r="F33" s="279">
        <v>4</v>
      </c>
      <c r="G33" s="279">
        <f t="shared" si="5"/>
        <v>1</v>
      </c>
      <c r="H33" s="279"/>
      <c r="I33" s="279">
        <v>51</v>
      </c>
      <c r="J33" s="278">
        <v>50</v>
      </c>
      <c r="K33" s="203">
        <f t="shared" si="6"/>
        <v>1.02</v>
      </c>
    </row>
    <row r="34" spans="3:11" x14ac:dyDescent="0.25">
      <c r="C34" s="202" t="s">
        <v>446</v>
      </c>
      <c r="D34" s="202"/>
      <c r="E34" s="277">
        <v>275</v>
      </c>
      <c r="F34" s="184">
        <v>274</v>
      </c>
      <c r="G34" s="184">
        <f t="shared" si="5"/>
        <v>1.0036496350364963</v>
      </c>
      <c r="H34" s="72" t="s">
        <v>487</v>
      </c>
      <c r="I34" s="184">
        <v>2331</v>
      </c>
      <c r="J34" s="278">
        <v>2034</v>
      </c>
      <c r="K34" s="203">
        <f t="shared" si="6"/>
        <v>1.1460176991150441</v>
      </c>
    </row>
    <row r="35" spans="3:11" x14ac:dyDescent="0.25">
      <c r="C35" s="204" t="s">
        <v>447</v>
      </c>
      <c r="D35" s="204"/>
      <c r="E35" s="279">
        <v>0</v>
      </c>
      <c r="F35" s="279">
        <v>0</v>
      </c>
      <c r="G35" s="279" t="str">
        <f t="shared" si="5"/>
        <v/>
      </c>
      <c r="H35" s="279"/>
      <c r="I35" s="279">
        <v>284</v>
      </c>
      <c r="J35" s="278">
        <v>289</v>
      </c>
      <c r="K35" s="203">
        <f t="shared" si="6"/>
        <v>0.98269896193771622</v>
      </c>
    </row>
    <row r="36" spans="3:11" x14ac:dyDescent="0.25">
      <c r="C36" s="204" t="s">
        <v>448</v>
      </c>
      <c r="D36" s="204"/>
      <c r="E36" s="279">
        <v>0</v>
      </c>
      <c r="F36" s="279">
        <v>0</v>
      </c>
      <c r="G36" s="279" t="str">
        <f t="shared" si="5"/>
        <v/>
      </c>
      <c r="H36" s="279"/>
      <c r="I36" s="279">
        <v>1758</v>
      </c>
      <c r="J36" s="278">
        <v>1457</v>
      </c>
      <c r="K36" s="203">
        <f t="shared" si="6"/>
        <v>1.2065888812628689</v>
      </c>
    </row>
    <row r="37" spans="3:11" x14ac:dyDescent="0.25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5"/>
        <v>1.00836820083682</v>
      </c>
      <c r="H37" s="279"/>
      <c r="I37" s="279">
        <v>256</v>
      </c>
      <c r="J37" s="278">
        <v>254</v>
      </c>
      <c r="K37" s="203">
        <f t="shared" si="6"/>
        <v>1.0078740157480315</v>
      </c>
    </row>
    <row r="38" spans="3:11" x14ac:dyDescent="0.25">
      <c r="C38" s="204" t="s">
        <v>450</v>
      </c>
      <c r="D38" s="204"/>
      <c r="E38" s="279">
        <v>34</v>
      </c>
      <c r="F38" s="279">
        <v>35</v>
      </c>
      <c r="G38" s="279">
        <f t="shared" si="5"/>
        <v>0.97142857142857142</v>
      </c>
      <c r="H38" s="279"/>
      <c r="I38" s="279">
        <v>32</v>
      </c>
      <c r="J38" s="278">
        <v>34</v>
      </c>
      <c r="K38" s="203">
        <f t="shared" si="6"/>
        <v>0.94117647058823528</v>
      </c>
    </row>
    <row r="39" spans="3:11" x14ac:dyDescent="0.25">
      <c r="C39" s="202" t="s">
        <v>451</v>
      </c>
      <c r="D39" s="202"/>
      <c r="E39" s="184">
        <v>0</v>
      </c>
      <c r="F39" s="184">
        <v>0</v>
      </c>
      <c r="G39" s="184" t="str">
        <f t="shared" si="5"/>
        <v/>
      </c>
      <c r="H39" s="72" t="s">
        <v>487</v>
      </c>
      <c r="I39" s="184">
        <v>1</v>
      </c>
      <c r="J39" s="278">
        <v>1</v>
      </c>
      <c r="K39" s="203">
        <f t="shared" si="6"/>
        <v>1</v>
      </c>
    </row>
    <row r="40" spans="3:11" x14ac:dyDescent="0.25">
      <c r="C40" s="202" t="s">
        <v>452</v>
      </c>
      <c r="D40" s="202"/>
      <c r="E40" s="280">
        <v>55</v>
      </c>
      <c r="F40" s="184">
        <v>113</v>
      </c>
      <c r="G40" s="184">
        <f t="shared" si="5"/>
        <v>0.48672566371681414</v>
      </c>
      <c r="H40" s="72" t="s">
        <v>487</v>
      </c>
      <c r="I40" s="184">
        <v>33</v>
      </c>
      <c r="J40" s="278">
        <v>178</v>
      </c>
      <c r="K40" s="203">
        <f t="shared" si="6"/>
        <v>0.1853932584269663</v>
      </c>
    </row>
    <row r="41" spans="3:11" x14ac:dyDescent="0.25">
      <c r="C41" s="204" t="s">
        <v>453</v>
      </c>
      <c r="D41" s="204"/>
      <c r="E41" s="279">
        <v>55</v>
      </c>
      <c r="F41" s="279">
        <v>113</v>
      </c>
      <c r="G41" s="279">
        <f t="shared" si="5"/>
        <v>0.48672566371681414</v>
      </c>
      <c r="H41" s="279"/>
      <c r="I41" s="279">
        <v>5</v>
      </c>
      <c r="J41" s="278">
        <v>148</v>
      </c>
      <c r="K41" s="203">
        <f t="shared" si="6"/>
        <v>3.3783783783783786E-2</v>
      </c>
    </row>
    <row r="42" spans="3:11" x14ac:dyDescent="0.25">
      <c r="C42" s="204" t="s">
        <v>454</v>
      </c>
      <c r="D42" s="204"/>
      <c r="E42" s="279">
        <v>0</v>
      </c>
      <c r="F42" s="279">
        <v>0</v>
      </c>
      <c r="G42" s="279" t="str">
        <f t="shared" si="5"/>
        <v/>
      </c>
      <c r="H42" s="279"/>
      <c r="I42" s="279">
        <v>28</v>
      </c>
      <c r="J42" s="278">
        <v>30</v>
      </c>
      <c r="K42" s="203">
        <f t="shared" si="6"/>
        <v>0.93333333333333335</v>
      </c>
    </row>
    <row r="43" spans="3:11" x14ac:dyDescent="0.25">
      <c r="C43" s="205" t="s">
        <v>455</v>
      </c>
      <c r="D43" s="205"/>
      <c r="E43" s="281">
        <v>58</v>
      </c>
      <c r="F43" s="281">
        <v>120</v>
      </c>
      <c r="G43" s="281">
        <f t="shared" si="5"/>
        <v>0.48333333333333334</v>
      </c>
      <c r="H43" s="72" t="s">
        <v>487</v>
      </c>
      <c r="I43" s="281">
        <v>159</v>
      </c>
      <c r="J43" s="278">
        <v>248</v>
      </c>
      <c r="K43" s="203">
        <f t="shared" si="6"/>
        <v>0.6411290322580645</v>
      </c>
    </row>
    <row r="44" spans="3:11" x14ac:dyDescent="0.25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5"/>
        <v/>
      </c>
      <c r="H44" s="283"/>
      <c r="I44" s="283" t="s">
        <v>130</v>
      </c>
      <c r="J44" s="276" t="s">
        <v>130</v>
      </c>
      <c r="K44" s="203" t="str">
        <f t="shared" si="6"/>
        <v/>
      </c>
    </row>
    <row r="45" spans="3:11" x14ac:dyDescent="0.25">
      <c r="C45" s="202" t="s">
        <v>457</v>
      </c>
      <c r="D45" s="202"/>
      <c r="E45" s="277">
        <v>58</v>
      </c>
      <c r="F45" s="184">
        <v>120</v>
      </c>
      <c r="G45" s="184">
        <f t="shared" si="5"/>
        <v>0.48333333333333334</v>
      </c>
      <c r="H45" s="184"/>
      <c r="I45" s="184">
        <v>159</v>
      </c>
      <c r="J45" s="278">
        <v>248</v>
      </c>
      <c r="K45" s="203">
        <f t="shared" si="6"/>
        <v>0.6411290322580645</v>
      </c>
    </row>
    <row r="46" spans="3:11" x14ac:dyDescent="0.25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5"/>
        <v>9.6335697399527187E-2</v>
      </c>
      <c r="H46" s="72" t="s">
        <v>487</v>
      </c>
      <c r="I46" s="184">
        <v>5</v>
      </c>
      <c r="J46" s="278">
        <v>4</v>
      </c>
      <c r="K46" s="203">
        <f t="shared" si="6"/>
        <v>1.25</v>
      </c>
    </row>
    <row r="47" spans="3:11" x14ac:dyDescent="0.25">
      <c r="C47" s="204" t="s">
        <v>459</v>
      </c>
      <c r="D47" s="204"/>
      <c r="E47" s="279">
        <v>18</v>
      </c>
      <c r="F47" s="279">
        <v>75</v>
      </c>
      <c r="G47" s="279">
        <f t="shared" si="5"/>
        <v>0.24</v>
      </c>
      <c r="H47" s="279"/>
      <c r="I47" s="279">
        <v>0</v>
      </c>
      <c r="J47" s="278">
        <v>0</v>
      </c>
      <c r="K47" s="203" t="str">
        <f t="shared" si="6"/>
        <v/>
      </c>
    </row>
    <row r="48" spans="3:11" x14ac:dyDescent="0.25">
      <c r="C48" s="204" t="s">
        <v>460</v>
      </c>
      <c r="D48" s="204"/>
      <c r="E48" s="279">
        <v>42</v>
      </c>
      <c r="F48" s="279">
        <v>34</v>
      </c>
      <c r="G48" s="279">
        <f t="shared" si="5"/>
        <v>1.2352941176470589</v>
      </c>
      <c r="H48" s="279"/>
      <c r="I48" s="279">
        <v>5</v>
      </c>
      <c r="J48" s="278">
        <v>4</v>
      </c>
      <c r="K48" s="203">
        <f t="shared" si="6"/>
        <v>1.25</v>
      </c>
    </row>
    <row r="49" spans="3:11" x14ac:dyDescent="0.25">
      <c r="C49" s="204" t="s">
        <v>461</v>
      </c>
      <c r="D49" s="204"/>
      <c r="E49" s="279">
        <v>103</v>
      </c>
      <c r="F49" s="279">
        <v>1583</v>
      </c>
      <c r="G49" s="279">
        <f t="shared" si="5"/>
        <v>6.5066329753632343E-2</v>
      </c>
      <c r="H49" s="279"/>
      <c r="I49" s="279">
        <v>0</v>
      </c>
      <c r="J49" s="278">
        <v>0</v>
      </c>
      <c r="K49" s="203" t="str">
        <f t="shared" si="6"/>
        <v/>
      </c>
    </row>
    <row r="50" spans="3:11" x14ac:dyDescent="0.25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5"/>
        <v>2.75</v>
      </c>
      <c r="H50" s="72" t="s">
        <v>487</v>
      </c>
      <c r="I50" s="184">
        <v>79</v>
      </c>
      <c r="J50" s="278">
        <v>28</v>
      </c>
      <c r="K50" s="203">
        <f t="shared" si="6"/>
        <v>2.8214285714285716</v>
      </c>
    </row>
    <row r="51" spans="3:11" x14ac:dyDescent="0.25">
      <c r="C51" s="202" t="s">
        <v>463</v>
      </c>
      <c r="D51" s="202"/>
      <c r="E51" s="184">
        <v>4464</v>
      </c>
      <c r="F51" s="184" t="s">
        <v>130</v>
      </c>
      <c r="G51" s="184" t="str">
        <f t="shared" si="5"/>
        <v/>
      </c>
      <c r="H51" s="184"/>
      <c r="I51" s="184">
        <v>247</v>
      </c>
      <c r="J51" s="276" t="s">
        <v>130</v>
      </c>
      <c r="K51" s="203" t="str">
        <f t="shared" si="6"/>
        <v/>
      </c>
    </row>
    <row r="52" spans="3:11" x14ac:dyDescent="0.25">
      <c r="C52" s="206" t="s">
        <v>175</v>
      </c>
      <c r="D52" s="206"/>
      <c r="E52" s="284">
        <v>143</v>
      </c>
      <c r="F52" s="284">
        <v>939</v>
      </c>
      <c r="G52" s="284">
        <f t="shared" si="5"/>
        <v>0.15228966986155484</v>
      </c>
      <c r="H52" s="284"/>
      <c r="I52" s="284">
        <v>247</v>
      </c>
      <c r="J52" s="278">
        <v>1764</v>
      </c>
      <c r="K52" s="203">
        <f t="shared" si="6"/>
        <v>0.14002267573696145</v>
      </c>
    </row>
    <row r="53" spans="3:11" x14ac:dyDescent="0.25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5"/>
        <v/>
      </c>
      <c r="H53" s="184"/>
      <c r="I53" s="184">
        <v>0</v>
      </c>
      <c r="J53" s="278">
        <v>0</v>
      </c>
      <c r="K53" s="203" t="str">
        <f t="shared" si="6"/>
        <v/>
      </c>
    </row>
    <row r="54" spans="3:11" x14ac:dyDescent="0.25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5"/>
        <v>0.14265335235378032</v>
      </c>
      <c r="H54" s="72" t="s">
        <v>487</v>
      </c>
      <c r="I54" s="184">
        <v>247</v>
      </c>
      <c r="J54" s="278">
        <v>1764</v>
      </c>
      <c r="K54" s="203">
        <f t="shared" si="6"/>
        <v>0.14002267573696145</v>
      </c>
    </row>
    <row r="55" spans="3:11" x14ac:dyDescent="0.25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5"/>
        <v>0.18067226890756302</v>
      </c>
      <c r="H55" s="184"/>
      <c r="I55" s="184">
        <v>0</v>
      </c>
      <c r="J55" s="278">
        <v>0</v>
      </c>
      <c r="K55" s="203" t="str">
        <f t="shared" si="6"/>
        <v/>
      </c>
    </row>
    <row r="56" spans="3:11" x14ac:dyDescent="0.25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5"/>
        <v/>
      </c>
      <c r="H56" s="283"/>
      <c r="I56" s="283" t="s">
        <v>130</v>
      </c>
      <c r="J56" s="276" t="s">
        <v>130</v>
      </c>
      <c r="K56" s="203" t="str">
        <f t="shared" si="6"/>
        <v/>
      </c>
    </row>
    <row r="57" spans="3:11" x14ac:dyDescent="0.25">
      <c r="C57" s="206" t="s">
        <v>467</v>
      </c>
      <c r="D57" s="206"/>
      <c r="E57" s="284">
        <v>4157</v>
      </c>
      <c r="F57" s="284">
        <v>20738</v>
      </c>
      <c r="G57" s="284">
        <f t="shared" si="5"/>
        <v>0.20045327418265985</v>
      </c>
      <c r="H57" s="284"/>
      <c r="I57" s="284">
        <v>0</v>
      </c>
      <c r="J57" s="278">
        <v>0</v>
      </c>
      <c r="K57" s="203" t="str">
        <f t="shared" si="6"/>
        <v/>
      </c>
    </row>
    <row r="58" spans="3:11" x14ac:dyDescent="0.25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5"/>
        <v>0.26492478226444971</v>
      </c>
      <c r="H58" s="184"/>
      <c r="I58" s="184">
        <v>0</v>
      </c>
      <c r="J58" s="278">
        <v>0</v>
      </c>
      <c r="K58" s="203" t="str">
        <f t="shared" si="6"/>
        <v/>
      </c>
    </row>
    <row r="59" spans="3:11" x14ac:dyDescent="0.25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5"/>
        <v>0.27952755905511811</v>
      </c>
      <c r="H59" s="184"/>
      <c r="I59" s="184">
        <v>0</v>
      </c>
      <c r="J59" s="278">
        <v>0</v>
      </c>
      <c r="K59" s="203" t="str">
        <f t="shared" si="6"/>
        <v/>
      </c>
    </row>
    <row r="60" spans="3:11" x14ac:dyDescent="0.25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5"/>
        <v>0.16991755479589785</v>
      </c>
      <c r="H60" s="184"/>
      <c r="I60" s="184">
        <v>0</v>
      </c>
      <c r="J60" s="278">
        <v>0</v>
      </c>
      <c r="K60" s="203" t="str">
        <f t="shared" si="6"/>
        <v/>
      </c>
    </row>
    <row r="61" spans="3:11" x14ac:dyDescent="0.25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5"/>
        <v>0.15943339361060879</v>
      </c>
      <c r="H61" s="184"/>
      <c r="I61" s="184">
        <v>0</v>
      </c>
      <c r="J61" s="278">
        <v>0</v>
      </c>
      <c r="K61" s="203" t="str">
        <f t="shared" si="6"/>
        <v/>
      </c>
    </row>
    <row r="62" spans="3:11" x14ac:dyDescent="0.25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5"/>
        <v>0.13350125944584382</v>
      </c>
      <c r="H62" s="184"/>
      <c r="I62" s="184">
        <v>0</v>
      </c>
      <c r="J62" s="278">
        <v>0</v>
      </c>
      <c r="K62" s="203" t="str">
        <f t="shared" si="6"/>
        <v/>
      </c>
    </row>
    <row r="63" spans="3:11" x14ac:dyDescent="0.25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5"/>
        <v>0.19003476245654694</v>
      </c>
      <c r="H63" s="184"/>
      <c r="I63" s="184">
        <v>0</v>
      </c>
      <c r="J63" s="278">
        <v>0</v>
      </c>
      <c r="K63" s="203" t="str">
        <f t="shared" si="6"/>
        <v/>
      </c>
    </row>
    <row r="65" spans="1:1" ht="315" x14ac:dyDescent="0.25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16" sqref="M16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2" t="s">
        <v>265</v>
      </c>
    </row>
    <row r="2" spans="1:21" x14ac:dyDescent="0.25">
      <c r="A2" s="371" t="s">
        <v>781</v>
      </c>
    </row>
    <row r="3" spans="1:21" x14ac:dyDescent="0.25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809</v>
      </c>
    </row>
    <row r="4" spans="1:21" x14ac:dyDescent="0.25">
      <c r="A4" s="7" t="s">
        <v>305</v>
      </c>
      <c r="B4" s="7"/>
      <c r="C4" s="7" t="s">
        <v>782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783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810</v>
      </c>
    </row>
    <row r="5" spans="1:21" x14ac:dyDescent="0.25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>N5*25/1000</f>
        <v>0.11202449132751124</v>
      </c>
      <c r="N5" s="243">
        <f>1.07565542995116+S13</f>
        <v>4.4809796531004498</v>
      </c>
      <c r="O5" s="1" t="s">
        <v>628</v>
      </c>
    </row>
    <row r="6" spans="1:21" x14ac:dyDescent="0.25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 t="shared" ref="M6:M10" si="0">N6*25/1000</f>
        <v>0.12322694046026236</v>
      </c>
      <c r="N6" s="243">
        <f>N5*O4</f>
        <v>4.9290776184104947</v>
      </c>
      <c r="O6" s="1" t="s">
        <v>628</v>
      </c>
    </row>
    <row r="7" spans="1:21" ht="15.75" thickBot="1" x14ac:dyDescent="0.3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 t="shared" si="0"/>
        <v>2.831717934524296</v>
      </c>
      <c r="N7" s="243">
        <f>((N14+S8)*M14+(N15+S9)*M15)/J7</f>
        <v>113.26871738097185</v>
      </c>
      <c r="R7" s="341" t="s">
        <v>864</v>
      </c>
      <c r="S7" s="1" t="s">
        <v>852</v>
      </c>
      <c r="U7" s="1" t="s">
        <v>865</v>
      </c>
    </row>
    <row r="8" spans="1:21" x14ac:dyDescent="0.25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 t="shared" si="0"/>
        <v>2.3680201988872902</v>
      </c>
      <c r="N8" s="243">
        <f>(N14*M14+N15*M15)/J7*O4</f>
        <v>94.720807955491594</v>
      </c>
      <c r="R8" s="398" t="s">
        <v>839</v>
      </c>
      <c r="S8" s="397">
        <v>47.66881225916778</v>
      </c>
      <c r="U8" s="1">
        <f>((S8)*M14+(S9)*M15)*25/1000/(F7*I7+F8*I8)</f>
        <v>7.2074093530179004E-2</v>
      </c>
    </row>
    <row r="9" spans="1:21" ht="22.5" x14ac:dyDescent="0.25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 t="shared" si="0"/>
        <v>7.1358057718871957E-4</v>
      </c>
      <c r="N9" s="243">
        <f>0.00308299593513136+S14</f>
        <v>2.8543223087548784E-2</v>
      </c>
      <c r="R9" s="398" t="s">
        <v>840</v>
      </c>
      <c r="S9" s="397">
        <v>14.592057308217106</v>
      </c>
    </row>
    <row r="10" spans="1:21" x14ac:dyDescent="0.25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 t="shared" si="0"/>
        <v>7.8493863490759156E-4</v>
      </c>
      <c r="N10" s="243">
        <f>N9*O4</f>
        <v>3.1397545396303662E-2</v>
      </c>
      <c r="R10" s="398" t="s">
        <v>841</v>
      </c>
      <c r="S10" s="397">
        <v>0.19571412612000011</v>
      </c>
    </row>
    <row r="11" spans="1:21" x14ac:dyDescent="0.25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294" t="s">
        <v>643</v>
      </c>
      <c r="R11" s="398" t="s">
        <v>843</v>
      </c>
      <c r="S11" s="397">
        <v>0.46338099649199982</v>
      </c>
    </row>
    <row r="12" spans="1:21" x14ac:dyDescent="0.25">
      <c r="K12" s="1">
        <v>2.1978</v>
      </c>
      <c r="R12" s="398" t="s">
        <v>844</v>
      </c>
      <c r="S12" s="397">
        <v>2.7157706718750001</v>
      </c>
    </row>
    <row r="13" spans="1:21" x14ac:dyDescent="0.25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845</v>
      </c>
      <c r="S13" s="397">
        <v>3.4053242231492895</v>
      </c>
      <c r="U13" s="1">
        <f>S13*J5*25/1000/(F5*J5)</f>
        <v>5.6932519664996864E-2</v>
      </c>
    </row>
    <row r="14" spans="1:21" x14ac:dyDescent="0.25">
      <c r="A14" s="7" t="s">
        <v>356</v>
      </c>
      <c r="B14" s="7" t="s">
        <v>45</v>
      </c>
      <c r="C14" s="225">
        <f>SUM(D24:D26)-C15</f>
        <v>1184629</v>
      </c>
      <c r="D14" s="225">
        <f t="shared" ref="D14:E14" si="1">SUM(E24:E26)-D15</f>
        <v>10266966</v>
      </c>
      <c r="E14" s="225">
        <f t="shared" si="1"/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846</v>
      </c>
      <c r="S14" s="397">
        <v>2.5460227152417424E-2</v>
      </c>
    </row>
    <row r="15" spans="1:21" x14ac:dyDescent="0.25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847</v>
      </c>
      <c r="S15" s="397">
        <v>0.48616573334049179</v>
      </c>
    </row>
    <row r="16" spans="1:21" x14ac:dyDescent="0.25">
      <c r="A16" s="7" t="s">
        <v>357</v>
      </c>
      <c r="B16" s="7" t="s">
        <v>45</v>
      </c>
      <c r="C16" s="225">
        <f>SUM(D22:D23)-C17</f>
        <v>82455</v>
      </c>
      <c r="D16" s="225">
        <f t="shared" ref="D16:E16" si="2">SUM(E22:E23)-D17</f>
        <v>1541102</v>
      </c>
      <c r="E16" s="225">
        <f t="shared" si="2"/>
        <v>1570560</v>
      </c>
      <c r="G16" s="7" t="s">
        <v>67</v>
      </c>
      <c r="H16" s="7" t="s">
        <v>324</v>
      </c>
      <c r="R16" s="398" t="s">
        <v>848</v>
      </c>
      <c r="S16" s="397">
        <v>0.32571647999999997</v>
      </c>
    </row>
    <row r="17" spans="1:19" x14ac:dyDescent="0.25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849</v>
      </c>
      <c r="S17" s="397">
        <v>3.432424760598936</v>
      </c>
    </row>
    <row r="18" spans="1:19" ht="15.75" thickBot="1" x14ac:dyDescent="0.3">
      <c r="R18" s="394" t="s">
        <v>850</v>
      </c>
      <c r="S18" s="401">
        <v>1.3538981647058823E-3</v>
      </c>
    </row>
    <row r="19" spans="1:19" ht="17.25" x14ac:dyDescent="0.3">
      <c r="A19" s="479" t="s">
        <v>264</v>
      </c>
      <c r="B19" s="479"/>
      <c r="C19" s="479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 x14ac:dyDescent="0.25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 t="shared" si="3"/>
        <v>6032794</v>
      </c>
      <c r="N23" s="203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 x14ac:dyDescent="0.25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5.75" thickBot="1" x14ac:dyDescent="0.3">
      <c r="A29" s="473" t="s">
        <v>257</v>
      </c>
      <c r="B29" s="473" t="s">
        <v>256</v>
      </c>
      <c r="C29" s="139"/>
      <c r="D29" s="139"/>
      <c r="E29" s="127" t="s">
        <v>255</v>
      </c>
      <c r="F29" s="139"/>
      <c r="G29" s="139"/>
      <c r="H29" s="475" t="s">
        <v>254</v>
      </c>
      <c r="I29" s="477" t="s">
        <v>253</v>
      </c>
      <c r="L29" s="201" t="s">
        <v>97</v>
      </c>
      <c r="M29"/>
      <c r="N29"/>
      <c r="O29"/>
      <c r="P29"/>
      <c r="Q29"/>
      <c r="R29"/>
      <c r="S29"/>
    </row>
    <row r="30" spans="1:19" ht="15.75" thickBot="1" x14ac:dyDescent="0.3">
      <c r="A30" s="474"/>
      <c r="B30" s="474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6"/>
      <c r="I30" s="478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3.25" thickBot="1" x14ac:dyDescent="0.3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3.25" thickBot="1" x14ac:dyDescent="0.3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3.25" thickBot="1" x14ac:dyDescent="0.3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3.25" thickBot="1" x14ac:dyDescent="0.3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5.75" thickBot="1" x14ac:dyDescent="0.3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3.25" thickBot="1" x14ac:dyDescent="0.3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3.25" thickBot="1" x14ac:dyDescent="0.3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23.25" thickBot="1" x14ac:dyDescent="0.3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23.25" thickBot="1" x14ac:dyDescent="0.3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23.25" thickBot="1" x14ac:dyDescent="0.3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3.25" thickBot="1" x14ac:dyDescent="0.3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5.75" thickBot="1" x14ac:dyDescent="0.3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23.25" thickBot="1" x14ac:dyDescent="0.3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5.75" thickBot="1" x14ac:dyDescent="0.3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5.75" thickBot="1" x14ac:dyDescent="0.3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5.75" thickBot="1" x14ac:dyDescent="0.3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3.25" thickBot="1" x14ac:dyDescent="0.3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3.25" thickBot="1" x14ac:dyDescent="0.3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 x14ac:dyDescent="0.25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5.75" thickBot="1" x14ac:dyDescent="0.3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23.25" thickBot="1" x14ac:dyDescent="0.3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5.75" thickBot="1" x14ac:dyDescent="0.3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3.25" thickBot="1" x14ac:dyDescent="0.3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23.25" thickBot="1" x14ac:dyDescent="0.3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23.25" thickBot="1" x14ac:dyDescent="0.3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5.75" thickBot="1" x14ac:dyDescent="0.3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34.5" thickBot="1" x14ac:dyDescent="0.3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34.5" thickBot="1" x14ac:dyDescent="0.3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3.25" thickBot="1" x14ac:dyDescent="0.3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5.75" thickBot="1" x14ac:dyDescent="0.3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3.25" thickBot="1" x14ac:dyDescent="0.3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3.25" thickBot="1" x14ac:dyDescent="0.3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5.75" thickBot="1" x14ac:dyDescent="0.3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3.25" thickBot="1" x14ac:dyDescent="0.3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3.25" thickBot="1" x14ac:dyDescent="0.3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3.25" thickBot="1" x14ac:dyDescent="0.3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3.25" thickBot="1" x14ac:dyDescent="0.3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3.25" thickBot="1" x14ac:dyDescent="0.3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3.25" thickBot="1" x14ac:dyDescent="0.3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3.25" thickBot="1" x14ac:dyDescent="0.3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3.25" thickBot="1" x14ac:dyDescent="0.3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3.25" thickBot="1" x14ac:dyDescent="0.3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5.75" thickBot="1" x14ac:dyDescent="0.3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23.25" thickBot="1" x14ac:dyDescent="0.3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5.75" thickBot="1" x14ac:dyDescent="0.3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3.25" thickBot="1" x14ac:dyDescent="0.3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3.25" thickBot="1" x14ac:dyDescent="0.3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23.25" thickBot="1" x14ac:dyDescent="0.3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57" thickBot="1" x14ac:dyDescent="0.3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3.25" thickBot="1" x14ac:dyDescent="0.3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5.75" thickBot="1" x14ac:dyDescent="0.3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5.75" thickBot="1" x14ac:dyDescent="0.3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47" t="s">
        <v>771</v>
      </c>
      <c r="B1" s="8"/>
    </row>
    <row r="2" spans="1:23" ht="18.75" x14ac:dyDescent="0.3">
      <c r="A2" s="350"/>
      <c r="B2" s="351"/>
      <c r="C2" s="483" t="s">
        <v>772</v>
      </c>
      <c r="D2" s="484"/>
      <c r="E2" s="484"/>
      <c r="F2" s="485"/>
      <c r="G2" s="244"/>
      <c r="H2" s="244"/>
      <c r="I2" s="244"/>
    </row>
    <row r="3" spans="1:23" x14ac:dyDescent="0.25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785</v>
      </c>
      <c r="L3" t="s">
        <v>692</v>
      </c>
      <c r="M3" t="s">
        <v>693</v>
      </c>
      <c r="R3" t="s">
        <v>893</v>
      </c>
      <c r="U3" s="163"/>
      <c r="W3" s="449" t="e" cm="1">
        <f t="array" aca="1" ref="W3" ca="1">INDIRECT("["&amp;Overblik!$B$7&amp;".xlsm]Skovbrug!C9")</f>
        <v>#REF!</v>
      </c>
    </row>
    <row r="4" spans="1:23" ht="14.25" customHeight="1" x14ac:dyDescent="0.25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 x14ac:dyDescent="0.25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 t="e">
        <f ca="1">SUMIFS(C$19:C$28,$A$19:$A$28,$R5,$B$19:$B$28,"Hugst")/SUMIF($A$6:$A$15,$R5,$H$6:$H$15)*$W$3</f>
        <v>#REF!</v>
      </c>
      <c r="T5" s="437" t="e">
        <f t="shared" ref="T5:W5" ca="1" si="0">SUMIFS(D$19:D$28,$A$19:$A$28,$R5,$B$19:$B$28,"Hugst")/SUMIF($A$6:$A$15,$R5,$H$6:$H$15)*$W$3</f>
        <v>#REF!</v>
      </c>
      <c r="U5" s="437" t="e">
        <f t="shared" ca="1" si="0"/>
        <v>#REF!</v>
      </c>
      <c r="V5" s="437" t="e">
        <f t="shared" ca="1" si="0"/>
        <v>#REF!</v>
      </c>
      <c r="W5" s="437" t="e">
        <f t="shared" ca="1" si="0"/>
        <v>#REF!</v>
      </c>
    </row>
    <row r="6" spans="1:23" x14ac:dyDescent="0.25">
      <c r="A6" s="7" t="s">
        <v>546</v>
      </c>
      <c r="B6" s="244" t="s">
        <v>543</v>
      </c>
      <c r="C6" s="273">
        <f>C19*(1-C20)</f>
        <v>0</v>
      </c>
      <c r="D6" s="273">
        <f t="shared" ref="D6:E6" si="1">D19*(1-D20)</f>
        <v>0</v>
      </c>
      <c r="E6" s="273">
        <f t="shared" si="1"/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 t="e">
        <f t="shared" ref="S6:S9" ca="1" si="2">SUMIFS(C$19:C$28,$A$19:$A$28,$R6,$B$19:$B$28,"Hugst")/SUMIF($A$6:$A$15,$R6,$H$6:$H$15)*$W$3</f>
        <v>#REF!</v>
      </c>
      <c r="T6" s="437" t="e">
        <f t="shared" ref="T6:T9" ca="1" si="3">SUMIFS(D$19:D$28,$A$19:$A$28,$R6,$B$19:$B$28,"Hugst")/SUMIF($A$6:$A$15,$R6,$H$6:$H$15)*$W$3</f>
        <v>#REF!</v>
      </c>
      <c r="U6" s="437" t="e">
        <f t="shared" ref="U6:U9" ca="1" si="4">SUMIFS(E$19:E$28,$A$19:$A$28,$R6,$B$19:$B$28,"Hugst")/SUMIF($A$6:$A$15,$R6,$H$6:$H$15)*$W$3</f>
        <v>#REF!</v>
      </c>
      <c r="V6" s="437" t="e">
        <f t="shared" ref="V6:V9" ca="1" si="5">SUMIFS(F$19:F$28,$A$19:$A$28,$R6,$B$19:$B$28,"Hugst")/SUMIF($A$6:$A$15,$R6,$H$6:$H$15)*$W$3</f>
        <v>#REF!</v>
      </c>
      <c r="W6" s="437" t="e">
        <f t="shared" ref="W6:W9" ca="1" si="6">SUMIFS(G$19:G$28,$A$19:$A$28,$R6,$B$19:$B$28,"Hugst")/SUMIF($A$6:$A$15,$R6,$H$6:$H$15)*$W$3</f>
        <v>#REF!</v>
      </c>
    </row>
    <row r="7" spans="1:23" x14ac:dyDescent="0.25">
      <c r="A7" s="7" t="s">
        <v>546</v>
      </c>
      <c r="B7" s="244" t="s">
        <v>395</v>
      </c>
      <c r="C7" s="273">
        <f>C19*C20</f>
        <v>0</v>
      </c>
      <c r="D7" s="273">
        <f t="shared" ref="D7:F7" si="7">D19*D20</f>
        <v>0</v>
      </c>
      <c r="E7" s="273">
        <f t="shared" si="7"/>
        <v>0</v>
      </c>
      <c r="F7" s="273">
        <f t="shared" si="7"/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 t="e">
        <f t="shared" ca="1" si="2"/>
        <v>#REF!</v>
      </c>
      <c r="T7" s="437" t="e">
        <f t="shared" ca="1" si="3"/>
        <v>#REF!</v>
      </c>
      <c r="U7" s="437" t="e">
        <f t="shared" ca="1" si="4"/>
        <v>#REF!</v>
      </c>
      <c r="V7" s="437" t="e">
        <f t="shared" ca="1" si="5"/>
        <v>#REF!</v>
      </c>
      <c r="W7" s="437" t="e">
        <f t="shared" ca="1" si="6"/>
        <v>#REF!</v>
      </c>
    </row>
    <row r="8" spans="1:23" x14ac:dyDescent="0.25">
      <c r="A8" s="7" t="s">
        <v>547</v>
      </c>
      <c r="B8" s="244" t="s">
        <v>543</v>
      </c>
      <c r="C8" s="273">
        <f>C21*(1-C22)</f>
        <v>0</v>
      </c>
      <c r="D8" s="273">
        <f t="shared" ref="D8:F14" si="8">D21*(1-D22)</f>
        <v>2.2834402547600621</v>
      </c>
      <c r="E8" s="273">
        <f t="shared" si="8"/>
        <v>2.4148286821172875</v>
      </c>
      <c r="F8" s="273">
        <f t="shared" si="8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 t="e">
        <f t="shared" ca="1" si="2"/>
        <v>#REF!</v>
      </c>
      <c r="T8" s="437" t="e">
        <f t="shared" ca="1" si="3"/>
        <v>#REF!</v>
      </c>
      <c r="U8" s="437" t="e">
        <f t="shared" ca="1" si="4"/>
        <v>#REF!</v>
      </c>
      <c r="V8" s="437" t="e">
        <f t="shared" ca="1" si="5"/>
        <v>#REF!</v>
      </c>
      <c r="W8" s="437" t="e">
        <f t="shared" ca="1" si="6"/>
        <v>#REF!</v>
      </c>
    </row>
    <row r="9" spans="1:23" x14ac:dyDescent="0.25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 t="e">
        <f t="shared" ca="1" si="2"/>
        <v>#REF!</v>
      </c>
      <c r="T9" s="437" t="e">
        <f t="shared" ca="1" si="3"/>
        <v>#REF!</v>
      </c>
      <c r="U9" s="437" t="e">
        <f t="shared" ca="1" si="4"/>
        <v>#REF!</v>
      </c>
      <c r="V9" s="437" t="e">
        <f t="shared" ca="1" si="5"/>
        <v>#REF!</v>
      </c>
      <c r="W9" s="437" t="e">
        <f t="shared" ca="1" si="6"/>
        <v>#REF!</v>
      </c>
    </row>
    <row r="10" spans="1:23" x14ac:dyDescent="0.25">
      <c r="A10" s="7" t="s">
        <v>548</v>
      </c>
      <c r="B10" s="244" t="s">
        <v>543</v>
      </c>
      <c r="C10" s="273">
        <f>C23*(1-C24)</f>
        <v>0</v>
      </c>
      <c r="D10" s="273">
        <f t="shared" si="8"/>
        <v>0</v>
      </c>
      <c r="E10" s="273">
        <f t="shared" si="8"/>
        <v>0</v>
      </c>
      <c r="F10" s="273">
        <f t="shared" si="8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 x14ac:dyDescent="0.25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 x14ac:dyDescent="0.25">
      <c r="A12" s="7" t="s">
        <v>549</v>
      </c>
      <c r="B12" s="244" t="s">
        <v>543</v>
      </c>
      <c r="C12" s="273">
        <f>C25*(1-C26)</f>
        <v>0</v>
      </c>
      <c r="D12" s="273">
        <f t="shared" si="8"/>
        <v>0.5798693329878496</v>
      </c>
      <c r="E12" s="273">
        <f t="shared" si="8"/>
        <v>0.62416490703553229</v>
      </c>
      <c r="F12" s="273">
        <f t="shared" si="8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 x14ac:dyDescent="0.25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 x14ac:dyDescent="0.25">
      <c r="A14" s="7" t="s">
        <v>550</v>
      </c>
      <c r="B14" s="244" t="s">
        <v>543</v>
      </c>
      <c r="C14" s="273">
        <f>C27*(1-C28)</f>
        <v>0</v>
      </c>
      <c r="D14" s="273">
        <f t="shared" si="8"/>
        <v>0</v>
      </c>
      <c r="E14" s="273">
        <f t="shared" si="8"/>
        <v>0.17060507458971214</v>
      </c>
      <c r="F14" s="273">
        <f t="shared" si="8"/>
        <v>2.051145640608</v>
      </c>
      <c r="G14" s="377"/>
      <c r="H14" s="376">
        <f>(4.4+0.1+0.9)*$M$4</f>
        <v>5.9436606631254554</v>
      </c>
      <c r="I14" s="244" t="s">
        <v>618</v>
      </c>
    </row>
    <row r="15" spans="1:23" x14ac:dyDescent="0.25">
      <c r="A15" s="7" t="s">
        <v>550</v>
      </c>
      <c r="B15" s="244" t="s">
        <v>395</v>
      </c>
      <c r="C15" s="273">
        <f>C27*C28</f>
        <v>0</v>
      </c>
      <c r="D15" s="273">
        <f t="shared" ref="D15:F15" si="9">D27*D28</f>
        <v>0</v>
      </c>
      <c r="E15" s="273">
        <f t="shared" si="9"/>
        <v>0.22563896961865154</v>
      </c>
      <c r="F15" s="273">
        <f t="shared" si="9"/>
        <v>1.1188067130589092</v>
      </c>
      <c r="G15" s="349"/>
      <c r="H15" s="244"/>
      <c r="I15" s="244"/>
    </row>
    <row r="16" spans="1:23" x14ac:dyDescent="0.25">
      <c r="H16" s="191"/>
    </row>
    <row r="18" spans="1:15" x14ac:dyDescent="0.25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 x14ac:dyDescent="0.25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 x14ac:dyDescent="0.25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 x14ac:dyDescent="0.25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 x14ac:dyDescent="0.25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>AVERAGE(AVERAGEIF($B$31:$J$31,K$20,$B39:$J39),AVERAGEIF($B$31:$J$31,K$20,$B47:$J47))/100</f>
        <v>0.75</v>
      </c>
      <c r="L22" s="379">
        <f t="shared" ref="L22:O22" si="10">AVERAGE(AVERAGEIF($B$31:$J$31,L$20,$B39:$J39),AVERAGEIF($B$31:$J$31,L$20,$B47:$J47))/100</f>
        <v>0.15</v>
      </c>
      <c r="M22" s="379">
        <f t="shared" si="10"/>
        <v>0.22500000000000001</v>
      </c>
      <c r="N22" s="379">
        <f t="shared" si="10"/>
        <v>0.3</v>
      </c>
      <c r="O22" s="379">
        <f t="shared" si="10"/>
        <v>0.4</v>
      </c>
    </row>
    <row r="23" spans="1:15" x14ac:dyDescent="0.25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>AVERAGE(AVERAGEIF($B$31:$J$31,K$20,$B40:$J40),AVERAGEIF($B$31:$J$31,K$20,$B48:$J48))/100</f>
        <v>0.125</v>
      </c>
      <c r="L23" s="379">
        <f t="shared" ref="L23:O23" si="11">AVERAGE(AVERAGEIF($B$31:$J$31,L$20,$B40:$J40),AVERAGEIF($B$31:$J$31,L$20,$B48:$J48))/100</f>
        <v>0.25</v>
      </c>
      <c r="M23" s="379">
        <f t="shared" si="11"/>
        <v>0.125</v>
      </c>
      <c r="N23" s="379">
        <f t="shared" si="11"/>
        <v>0.1</v>
      </c>
      <c r="O23" s="379">
        <f t="shared" si="11"/>
        <v>0.1</v>
      </c>
    </row>
    <row r="24" spans="1:15" x14ac:dyDescent="0.25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 x14ac:dyDescent="0.25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12">AVERAGE(AVERAGEIF($B$31:$J$31,L$20,$B35:$J35),AVERAGEIF($B$31:$J$31,L$20,$B43:$J43))/100</f>
        <v>0.7</v>
      </c>
      <c r="M25" s="379">
        <f t="shared" si="12"/>
        <v>0.51249999999999996</v>
      </c>
      <c r="N25" s="379">
        <f t="shared" si="12"/>
        <v>0.3</v>
      </c>
      <c r="O25" s="379">
        <f t="shared" si="12"/>
        <v>0.36249999999999999</v>
      </c>
    </row>
    <row r="26" spans="1:15" x14ac:dyDescent="0.25">
      <c r="A26" s="244" t="s">
        <v>549</v>
      </c>
      <c r="B26" s="244" t="s">
        <v>398</v>
      </c>
      <c r="C26" s="379">
        <f>C24</f>
        <v>1</v>
      </c>
      <c r="D26" s="379">
        <f t="shared" ref="D26:G26" si="13">D24</f>
        <v>0.77777777777777768</v>
      </c>
      <c r="E26" s="379">
        <f t="shared" si="13"/>
        <v>0.56944444444444442</v>
      </c>
      <c r="F26" s="379">
        <f t="shared" si="13"/>
        <v>0.35294117647058826</v>
      </c>
      <c r="G26" s="379">
        <f t="shared" si="13"/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12"/>
        <v>0.1</v>
      </c>
      <c r="M26" s="379">
        <f t="shared" si="12"/>
        <v>0.1</v>
      </c>
      <c r="N26" s="379">
        <f t="shared" si="12"/>
        <v>0.15</v>
      </c>
      <c r="O26" s="379">
        <f t="shared" si="12"/>
        <v>0.15</v>
      </c>
    </row>
    <row r="27" spans="1:15" x14ac:dyDescent="0.25">
      <c r="A27" s="244" t="s">
        <v>550</v>
      </c>
      <c r="B27" s="244" t="s">
        <v>616</v>
      </c>
      <c r="C27" s="378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378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378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73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73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 x14ac:dyDescent="0.25">
      <c r="A28" s="244" t="s">
        <v>550</v>
      </c>
      <c r="B28" s="244" t="s">
        <v>398</v>
      </c>
      <c r="C28" s="379">
        <f>C24</f>
        <v>1</v>
      </c>
      <c r="D28" s="379">
        <f t="shared" ref="D28:G28" si="14">D24</f>
        <v>0.77777777777777768</v>
      </c>
      <c r="E28" s="379">
        <f t="shared" si="14"/>
        <v>0.56944444444444442</v>
      </c>
      <c r="F28" s="379">
        <f t="shared" si="14"/>
        <v>0.35294117647058826</v>
      </c>
      <c r="G28" s="379">
        <f t="shared" si="14"/>
        <v>0.42647058823529416</v>
      </c>
    </row>
    <row r="30" spans="1:15" x14ac:dyDescent="0.25">
      <c r="A30" t="s">
        <v>802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380" t="s">
        <v>786</v>
      </c>
      <c r="B32" s="381" t="s">
        <v>799</v>
      </c>
      <c r="C32" s="381" t="s">
        <v>794</v>
      </c>
      <c r="D32" s="381" t="s">
        <v>795</v>
      </c>
      <c r="E32" s="381" t="s">
        <v>800</v>
      </c>
      <c r="F32" s="381" t="s">
        <v>796</v>
      </c>
      <c r="G32" s="381" t="s">
        <v>797</v>
      </c>
      <c r="H32" s="381" t="s">
        <v>798</v>
      </c>
      <c r="I32" s="381" t="s">
        <v>787</v>
      </c>
      <c r="J32" s="381" t="s">
        <v>801</v>
      </c>
    </row>
    <row r="33" spans="1:10" ht="15.75" thickBot="1" x14ac:dyDescent="0.3">
      <c r="A33" s="480" t="s">
        <v>788</v>
      </c>
      <c r="B33" s="481"/>
      <c r="C33" s="382"/>
      <c r="D33" s="382"/>
      <c r="E33" s="482"/>
      <c r="F33" s="482"/>
      <c r="G33" s="382"/>
      <c r="H33" s="382"/>
      <c r="I33" s="382"/>
      <c r="J33" s="383"/>
    </row>
    <row r="34" spans="1:10" ht="15.75" thickBot="1" x14ac:dyDescent="0.3">
      <c r="A34" s="384" t="s">
        <v>789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5.75" thickBot="1" x14ac:dyDescent="0.3">
      <c r="A35" s="384" t="s">
        <v>790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5.75" thickBot="1" x14ac:dyDescent="0.3">
      <c r="A36" s="384" t="s">
        <v>791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5.75" thickBot="1" x14ac:dyDescent="0.3">
      <c r="A37" s="480" t="s">
        <v>792</v>
      </c>
      <c r="B37" s="481"/>
      <c r="C37" s="382"/>
      <c r="D37" s="382"/>
      <c r="E37" s="482"/>
      <c r="F37" s="482"/>
      <c r="G37" s="382"/>
      <c r="H37" s="382"/>
      <c r="I37" s="382"/>
      <c r="J37" s="383"/>
    </row>
    <row r="38" spans="1:10" ht="15.75" thickBot="1" x14ac:dyDescent="0.3">
      <c r="A38" s="384" t="s">
        <v>789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5.75" thickBot="1" x14ac:dyDescent="0.3">
      <c r="A39" s="384" t="s">
        <v>790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5.75" thickBot="1" x14ac:dyDescent="0.3">
      <c r="A40" s="384" t="s">
        <v>791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5.75" thickBot="1" x14ac:dyDescent="0.3">
      <c r="A41" s="480" t="s">
        <v>793</v>
      </c>
      <c r="B41" s="481"/>
      <c r="C41" s="382"/>
      <c r="D41" s="382"/>
      <c r="E41" s="482"/>
      <c r="F41" s="482"/>
      <c r="G41" s="382"/>
      <c r="H41" s="382"/>
      <c r="I41" s="382"/>
      <c r="J41" s="383"/>
    </row>
    <row r="42" spans="1:10" ht="15.75" thickBot="1" x14ac:dyDescent="0.3">
      <c r="A42" s="384" t="s">
        <v>789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5.75" thickBot="1" x14ac:dyDescent="0.3">
      <c r="A43" s="384" t="s">
        <v>790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5.75" thickBot="1" x14ac:dyDescent="0.3">
      <c r="A44" s="384" t="s">
        <v>791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5.75" thickBot="1" x14ac:dyDescent="0.3">
      <c r="A45" s="480" t="s">
        <v>792</v>
      </c>
      <c r="B45" s="481"/>
      <c r="C45" s="382"/>
      <c r="D45" s="382"/>
      <c r="E45" s="482"/>
      <c r="F45" s="482"/>
      <c r="G45" s="382"/>
      <c r="H45" s="382"/>
      <c r="I45" s="382"/>
      <c r="J45" s="383"/>
    </row>
    <row r="46" spans="1:10" ht="15.75" thickBot="1" x14ac:dyDescent="0.3">
      <c r="A46" s="384" t="s">
        <v>789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5.75" thickBot="1" x14ac:dyDescent="0.3">
      <c r="A47" s="384" t="s">
        <v>790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5.75" thickBot="1" x14ac:dyDescent="0.3">
      <c r="A48" s="384" t="s">
        <v>791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 x14ac:dyDescent="0.25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 t="shared" ref="E2:G2" si="0">C74</f>
        <v>1</v>
      </c>
      <c r="F2" s="225">
        <f t="shared" si="0"/>
        <v>1</v>
      </c>
      <c r="G2" s="225">
        <f t="shared" si="0"/>
        <v>1</v>
      </c>
      <c r="H2" s="225">
        <f t="shared" ref="H2" si="1">F74</f>
        <v>1</v>
      </c>
      <c r="I2" s="225">
        <f>F74</f>
        <v>1</v>
      </c>
    </row>
    <row r="3" spans="1:14" x14ac:dyDescent="0.25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895</v>
      </c>
      <c r="K3" s="371"/>
      <c r="N3" s="1"/>
    </row>
    <row r="4" spans="1:14" x14ac:dyDescent="0.25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2">AVERAGE(C32,C29)</f>
        <v>5.5</v>
      </c>
      <c r="F4" s="225">
        <f t="shared" si="2"/>
        <v>14</v>
      </c>
      <c r="G4" s="225">
        <f t="shared" si="2"/>
        <v>14.5</v>
      </c>
      <c r="H4" s="225">
        <f t="shared" ref="H4" si="3">AVERAGE(F32,F29)</f>
        <v>5.5</v>
      </c>
      <c r="I4" s="225">
        <f>AVERAGE(F32,F29)</f>
        <v>5.5</v>
      </c>
      <c r="N4" s="1"/>
    </row>
    <row r="5" spans="1:14" x14ac:dyDescent="0.25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2"/>
        <v>0</v>
      </c>
      <c r="F5" s="225">
        <f t="shared" si="2"/>
        <v>0</v>
      </c>
      <c r="G5" s="225">
        <f t="shared" si="2"/>
        <v>15.5</v>
      </c>
      <c r="H5" s="225">
        <f t="shared" ref="H5" si="4">AVERAGE(F33,F30)</f>
        <v>8</v>
      </c>
      <c r="I5" s="225">
        <f>AVERAGE(F33,F30)</f>
        <v>8</v>
      </c>
      <c r="N5" s="1"/>
    </row>
    <row r="6" spans="1:14" x14ac:dyDescent="0.25">
      <c r="A6" s="7" t="s">
        <v>606</v>
      </c>
      <c r="B6" s="7" t="s">
        <v>547</v>
      </c>
      <c r="C6" s="244" t="s">
        <v>608</v>
      </c>
      <c r="D6" s="225">
        <f>AVERAGE(B47,B50)</f>
        <v>12.5</v>
      </c>
      <c r="E6" s="225">
        <f t="shared" ref="E6:H6" si="5">AVERAGE(C47,C50)</f>
        <v>16</v>
      </c>
      <c r="F6" s="225">
        <f t="shared" si="5"/>
        <v>0.5</v>
      </c>
      <c r="G6" s="225">
        <f t="shared" si="5"/>
        <v>12.5</v>
      </c>
      <c r="H6" s="225">
        <f t="shared" si="5"/>
        <v>6</v>
      </c>
      <c r="I6" s="225">
        <f>AVERAGE(F47,F50)</f>
        <v>6</v>
      </c>
      <c r="N6" s="1"/>
    </row>
    <row r="7" spans="1:14" x14ac:dyDescent="0.25">
      <c r="A7" s="7"/>
      <c r="B7" s="7" t="s">
        <v>547</v>
      </c>
      <c r="C7" s="244" t="s">
        <v>609</v>
      </c>
      <c r="D7" s="225">
        <f>AVERAGE(B48,B51)</f>
        <v>0</v>
      </c>
      <c r="E7" s="225">
        <f t="shared" ref="E7:H7" si="6">AVERAGE(C48,C51)</f>
        <v>18</v>
      </c>
      <c r="F7" s="225">
        <f t="shared" si="6"/>
        <v>20.5</v>
      </c>
      <c r="G7" s="225">
        <f t="shared" si="6"/>
        <v>10.5</v>
      </c>
      <c r="H7" s="225">
        <f t="shared" si="6"/>
        <v>10</v>
      </c>
      <c r="I7" s="225">
        <f>AVERAGE(F48,F51)</f>
        <v>10</v>
      </c>
      <c r="N7" s="1"/>
    </row>
    <row r="8" spans="1:14" x14ac:dyDescent="0.25">
      <c r="A8" s="7" t="s">
        <v>610</v>
      </c>
      <c r="B8" s="7" t="s">
        <v>548</v>
      </c>
      <c r="C8" s="244" t="s">
        <v>608</v>
      </c>
      <c r="D8" s="225">
        <f>AVERAGE(B23,B26,B20,B17)</f>
        <v>2.5</v>
      </c>
      <c r="E8" s="225">
        <f t="shared" ref="E8:H8" si="7">AVERAGE(C23,C26,C20,C17)</f>
        <v>4.25</v>
      </c>
      <c r="F8" s="225">
        <f t="shared" si="7"/>
        <v>13.75</v>
      </c>
      <c r="G8" s="225">
        <f t="shared" si="7"/>
        <v>13.25</v>
      </c>
      <c r="H8" s="225">
        <f t="shared" si="7"/>
        <v>5.25</v>
      </c>
      <c r="I8" s="225">
        <f>AVERAGE(F23,F26,F20,F17)</f>
        <v>5.25</v>
      </c>
      <c r="N8" s="1"/>
    </row>
    <row r="9" spans="1:14" x14ac:dyDescent="0.25">
      <c r="A9" s="7"/>
      <c r="B9" s="7" t="s">
        <v>548</v>
      </c>
      <c r="C9" s="244" t="s">
        <v>609</v>
      </c>
      <c r="D9" s="225">
        <f>AVERAGE(B24,B27,B21,B18)</f>
        <v>0</v>
      </c>
      <c r="E9" s="225">
        <f t="shared" ref="E9" si="8">AVERAGE(C24,C27,C21,C18)</f>
        <v>0</v>
      </c>
      <c r="F9" s="225">
        <f t="shared" ref="F9" si="9">AVERAGE(D24,D27,D21,D18)</f>
        <v>0</v>
      </c>
      <c r="G9" s="225">
        <f t="shared" ref="G9:H9" si="10">AVERAGE(E24,E27,E21,E18)</f>
        <v>4</v>
      </c>
      <c r="H9" s="225">
        <f t="shared" si="10"/>
        <v>7</v>
      </c>
      <c r="I9" s="225">
        <f t="shared" ref="I9" si="11">AVERAGE(F24,F27,F21,F18)</f>
        <v>7</v>
      </c>
    </row>
    <row r="10" spans="1:14" x14ac:dyDescent="0.25">
      <c r="A10" s="7" t="s">
        <v>611</v>
      </c>
      <c r="B10" s="7" t="s">
        <v>549</v>
      </c>
      <c r="C10" s="244" t="s">
        <v>608</v>
      </c>
      <c r="D10" s="225">
        <f>AVERAGE(B41,B44)</f>
        <v>9.5</v>
      </c>
      <c r="E10" s="225">
        <f t="shared" ref="E10:H10" si="12">AVERAGE(C41,C44)</f>
        <v>8</v>
      </c>
      <c r="F10" s="225">
        <f t="shared" si="12"/>
        <v>4.5</v>
      </c>
      <c r="G10" s="225">
        <f t="shared" si="12"/>
        <v>13</v>
      </c>
      <c r="H10" s="225">
        <f t="shared" si="12"/>
        <v>5.5</v>
      </c>
      <c r="I10" s="225">
        <f>AVERAGE(F41,F44)</f>
        <v>5.5</v>
      </c>
    </row>
    <row r="11" spans="1:14" x14ac:dyDescent="0.25">
      <c r="A11" s="7"/>
      <c r="B11" s="7" t="s">
        <v>549</v>
      </c>
      <c r="C11" s="244" t="s">
        <v>609</v>
      </c>
      <c r="D11" s="225">
        <f>AVERAGE(B42,B45)</f>
        <v>0</v>
      </c>
      <c r="E11" s="225">
        <f t="shared" ref="E11" si="13">AVERAGE(C42,C45)</f>
        <v>18</v>
      </c>
      <c r="F11" s="225">
        <f t="shared" ref="F11" si="14">AVERAGE(D42,D45)</f>
        <v>10</v>
      </c>
      <c r="G11" s="225">
        <f t="shared" ref="G11:H11" si="15">AVERAGE(E42,E45)</f>
        <v>5.5</v>
      </c>
      <c r="H11" s="225">
        <f t="shared" si="15"/>
        <v>7.5</v>
      </c>
      <c r="I11" s="225">
        <f t="shared" ref="I11" si="16">AVERAGE(F42,F45)</f>
        <v>7.5</v>
      </c>
    </row>
    <row r="12" spans="1:14" x14ac:dyDescent="0.25">
      <c r="A12" s="7" t="s">
        <v>612</v>
      </c>
      <c r="B12" s="7" t="s">
        <v>550</v>
      </c>
      <c r="C12" s="244" t="s">
        <v>608</v>
      </c>
      <c r="D12" s="448">
        <f>AVERAGE(B59,B62,B65)</f>
        <v>2.6666666666666665</v>
      </c>
      <c r="E12" s="448">
        <f t="shared" ref="E12:H12" si="17">AVERAGE(C59,C62,C65)</f>
        <v>2.6666666666666665</v>
      </c>
      <c r="F12" s="448">
        <f t="shared" si="17"/>
        <v>3.3333333333333335</v>
      </c>
      <c r="G12" s="448">
        <f t="shared" si="17"/>
        <v>4.333333333333333</v>
      </c>
      <c r="H12" s="448">
        <f t="shared" si="17"/>
        <v>5.333333333333333</v>
      </c>
      <c r="I12" s="448">
        <f>AVERAGE(F59,F62,F65)</f>
        <v>5.333333333333333</v>
      </c>
    </row>
    <row r="13" spans="1:14" x14ac:dyDescent="0.25">
      <c r="A13" s="244"/>
      <c r="B13" s="7" t="s">
        <v>550</v>
      </c>
      <c r="C13" s="244" t="s">
        <v>609</v>
      </c>
      <c r="D13" s="448">
        <f>AVERAGE(B60,B63,B66)</f>
        <v>0</v>
      </c>
      <c r="E13" s="448">
        <f t="shared" ref="E13" si="18">AVERAGE(C60,C63,C66)</f>
        <v>0</v>
      </c>
      <c r="F13" s="448">
        <f t="shared" ref="F13" si="19">AVERAGE(D60,D63,D66)</f>
        <v>0.33333333333333331</v>
      </c>
      <c r="G13" s="448">
        <f t="shared" ref="G13:H13" si="20">AVERAGE(E60,E63,E66)</f>
        <v>2.6666666666666665</v>
      </c>
      <c r="H13" s="448">
        <f t="shared" si="20"/>
        <v>2</v>
      </c>
      <c r="I13" s="44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5.75" thickBot="1" x14ac:dyDescent="0.3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5.75" thickBot="1" x14ac:dyDescent="0.3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5.75" thickBot="1" x14ac:dyDescent="0.3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5.75" thickBot="1" x14ac:dyDescent="0.3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5.75" thickBot="1" x14ac:dyDescent="0.3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5.75" thickBot="1" x14ac:dyDescent="0.3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5.75" thickBot="1" x14ac:dyDescent="0.3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5.75" thickBot="1" x14ac:dyDescent="0.3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5.75" thickBot="1" x14ac:dyDescent="0.3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5.75" thickBot="1" x14ac:dyDescent="0.3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5.75" thickBot="1" x14ac:dyDescent="0.3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5.75" thickBot="1" x14ac:dyDescent="0.3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26.25" thickBot="1" x14ac:dyDescent="0.3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5.75" thickBot="1" x14ac:dyDescent="0.3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5.75" thickBot="1" x14ac:dyDescent="0.3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26.25" thickBot="1" x14ac:dyDescent="0.3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5.75" thickBot="1" x14ac:dyDescent="0.3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5.75" thickBot="1" x14ac:dyDescent="0.3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26.25" thickBot="1" x14ac:dyDescent="0.3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5.75" thickBot="1" x14ac:dyDescent="0.3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5.75" thickBot="1" x14ac:dyDescent="0.3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26.25" thickBot="1" x14ac:dyDescent="0.3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5.75" thickBot="1" x14ac:dyDescent="0.3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5.75" thickBot="1" x14ac:dyDescent="0.3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26.25" thickBot="1" x14ac:dyDescent="0.3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5.75" thickBot="1" x14ac:dyDescent="0.3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5.75" thickBot="1" x14ac:dyDescent="0.3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26.25" thickBot="1" x14ac:dyDescent="0.3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5.75" thickBot="1" x14ac:dyDescent="0.3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5.75" thickBot="1" x14ac:dyDescent="0.3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6.25" thickBot="1" x14ac:dyDescent="0.3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5.75" thickBot="1" x14ac:dyDescent="0.3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5.75" thickBot="1" x14ac:dyDescent="0.3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26.25" thickBot="1" x14ac:dyDescent="0.3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5.75" thickBot="1" x14ac:dyDescent="0.3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5.75" thickBot="1" x14ac:dyDescent="0.3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6.25" thickBot="1" x14ac:dyDescent="0.3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5.75" thickBot="1" x14ac:dyDescent="0.3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5.75" thickBot="1" x14ac:dyDescent="0.3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6.25" thickBot="1" x14ac:dyDescent="0.3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5.75" thickBot="1" x14ac:dyDescent="0.3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5.75" thickBot="1" x14ac:dyDescent="0.3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26.25" thickBot="1" x14ac:dyDescent="0.3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5.75" thickBot="1" x14ac:dyDescent="0.3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5.75" thickBot="1" x14ac:dyDescent="0.3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26.25" thickBot="1" x14ac:dyDescent="0.3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5.75" thickBot="1" x14ac:dyDescent="0.3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5.75" thickBot="1" x14ac:dyDescent="0.3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6.25" thickBot="1" x14ac:dyDescent="0.3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5.75" thickBot="1" x14ac:dyDescent="0.3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5.75" thickBot="1" x14ac:dyDescent="0.3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26.25" thickBot="1" x14ac:dyDescent="0.3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5.75" thickBot="1" x14ac:dyDescent="0.3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5.75" thickBot="1" x14ac:dyDescent="0.3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6.25" thickBot="1" x14ac:dyDescent="0.3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5.75" thickBot="1" x14ac:dyDescent="0.3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5.75" thickBot="1" x14ac:dyDescent="0.3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6.25" thickBot="1" x14ac:dyDescent="0.3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5.75" thickBot="1" x14ac:dyDescent="0.3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5.75" thickBot="1" x14ac:dyDescent="0.3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5.75" thickBot="1" x14ac:dyDescent="0.3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5.75" thickBot="1" x14ac:dyDescent="0.3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5.75" thickBot="1" x14ac:dyDescent="0.3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26.25" thickBot="1" x14ac:dyDescent="0.3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5.75" thickBot="1" x14ac:dyDescent="0.3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5.75" thickBot="1" x14ac:dyDescent="0.3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82" t="s">
        <v>389</v>
      </c>
      <c r="B8" s="72"/>
      <c r="C8" s="72"/>
      <c r="D8" s="72"/>
    </row>
    <row r="9" spans="1:4" x14ac:dyDescent="0.25">
      <c r="A9" s="183" t="s">
        <v>359</v>
      </c>
      <c r="B9" s="72"/>
      <c r="C9" s="72"/>
      <c r="D9" s="72"/>
    </row>
    <row r="10" spans="1:4" x14ac:dyDescent="0.25">
      <c r="A10" s="72"/>
      <c r="B10" s="72"/>
      <c r="C10" s="72"/>
      <c r="D10" s="118" t="s">
        <v>57</v>
      </c>
    </row>
    <row r="11" spans="1:4" x14ac:dyDescent="0.25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 x14ac:dyDescent="0.25">
      <c r="A12" s="72"/>
      <c r="B12" s="72"/>
      <c r="C12" s="118" t="s">
        <v>55</v>
      </c>
      <c r="D12" s="184">
        <v>836738</v>
      </c>
    </row>
    <row r="13" spans="1:4" x14ac:dyDescent="0.25">
      <c r="A13" s="72"/>
      <c r="B13" s="72"/>
      <c r="C13" s="118" t="s">
        <v>54</v>
      </c>
      <c r="D13" s="184">
        <v>1223348</v>
      </c>
    </row>
    <row r="14" spans="1:4" x14ac:dyDescent="0.25">
      <c r="A14" s="72"/>
      <c r="B14" s="72"/>
      <c r="C14" s="118" t="s">
        <v>53</v>
      </c>
      <c r="D14" s="184">
        <v>1320678</v>
      </c>
    </row>
    <row r="15" spans="1:4" x14ac:dyDescent="0.25">
      <c r="A15" s="72"/>
      <c r="B15" s="72"/>
      <c r="C15" s="118" t="s">
        <v>50</v>
      </c>
      <c r="D15" s="184">
        <v>589755</v>
      </c>
    </row>
    <row r="19" spans="1:28" x14ac:dyDescent="0.25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 x14ac:dyDescent="0.25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 x14ac:dyDescent="0.25">
      <c r="A21" s="118" t="s">
        <v>55</v>
      </c>
      <c r="B21" s="184">
        <f t="shared" ref="B21:B24" si="1">AB33+AB33-AA33</f>
        <v>875096</v>
      </c>
      <c r="C21" s="184">
        <f t="shared" ref="C21:C24" si="2">B21+B21-AB33</f>
        <v>875572</v>
      </c>
      <c r="D21" s="184">
        <f t="shared" ref="D21:D24" si="3">C21+C21-B21</f>
        <v>876048</v>
      </c>
      <c r="E21" s="184">
        <f t="shared" si="0"/>
        <v>876524</v>
      </c>
      <c r="F21" s="184">
        <f t="shared" si="0"/>
        <v>877000</v>
      </c>
    </row>
    <row r="22" spans="1:28" x14ac:dyDescent="0.25">
      <c r="A22" s="118" t="s">
        <v>54</v>
      </c>
      <c r="B22" s="184">
        <f t="shared" si="1"/>
        <v>1269966</v>
      </c>
      <c r="C22" s="184">
        <f t="shared" si="2"/>
        <v>1270625</v>
      </c>
      <c r="D22" s="184">
        <f t="shared" si="3"/>
        <v>1271284</v>
      </c>
      <c r="E22" s="184">
        <f t="shared" si="0"/>
        <v>1271943</v>
      </c>
      <c r="F22" s="184">
        <f t="shared" si="0"/>
        <v>1272602</v>
      </c>
    </row>
    <row r="23" spans="1:28" x14ac:dyDescent="0.25">
      <c r="A23" s="118" t="s">
        <v>53</v>
      </c>
      <c r="B23" s="184">
        <f t="shared" si="1"/>
        <v>1474294</v>
      </c>
      <c r="C23" s="184">
        <f t="shared" si="2"/>
        <v>1477863</v>
      </c>
      <c r="D23" s="184">
        <f t="shared" si="3"/>
        <v>1481432</v>
      </c>
      <c r="E23" s="184">
        <f t="shared" si="0"/>
        <v>1485001</v>
      </c>
      <c r="F23" s="184">
        <f t="shared" si="0"/>
        <v>1488570</v>
      </c>
    </row>
    <row r="24" spans="1:28" x14ac:dyDescent="0.25">
      <c r="A24" s="118" t="s">
        <v>50</v>
      </c>
      <c r="B24" s="184">
        <f t="shared" si="1"/>
        <v>603918</v>
      </c>
      <c r="C24" s="184">
        <f t="shared" si="2"/>
        <v>603935</v>
      </c>
      <c r="D24" s="184">
        <f t="shared" si="3"/>
        <v>603952</v>
      </c>
      <c r="E24" s="184">
        <f t="shared" si="0"/>
        <v>603969</v>
      </c>
      <c r="F24" s="184">
        <f t="shared" si="0"/>
        <v>603986</v>
      </c>
    </row>
    <row r="25" spans="1:28" x14ac:dyDescent="0.25">
      <c r="A25" t="s">
        <v>391</v>
      </c>
    </row>
    <row r="28" spans="1:28" x14ac:dyDescent="0.25">
      <c r="A28" s="186" t="s">
        <v>388</v>
      </c>
    </row>
    <row r="29" spans="1:28" ht="17.25" x14ac:dyDescent="0.3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 x14ac:dyDescent="0.25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 x14ac:dyDescent="0.25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 x14ac:dyDescent="0.25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 x14ac:dyDescent="0.25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 x14ac:dyDescent="0.25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 x14ac:dyDescent="0.25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 x14ac:dyDescent="0.25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25" x14ac:dyDescent="0.25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774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 x14ac:dyDescent="0.25">
      <c r="A5" s="1"/>
      <c r="B5" s="299"/>
    </row>
    <row r="6" spans="1:14" x14ac:dyDescent="0.25">
      <c r="A6" s="1"/>
      <c r="B6" s="299"/>
    </row>
    <row r="8" spans="1:14" x14ac:dyDescent="0.25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 x14ac:dyDescent="0.25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 x14ac:dyDescent="0.25">
      <c r="A10" t="s">
        <v>689</v>
      </c>
    </row>
    <row r="12" spans="1:14" ht="17.25" x14ac:dyDescent="0.3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 x14ac:dyDescent="0.25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 x14ac:dyDescent="0.25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 x14ac:dyDescent="0.25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>AVERAGEIF(D15:M15,"&gt;0")*1000</f>
        <v>260427000</v>
      </c>
    </row>
    <row r="16" spans="1:14" x14ac:dyDescent="0.25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ref="N16:N20" si="0">AVERAGEIF(D16:M16,"&gt;0")*1000</f>
        <v>871000</v>
      </c>
    </row>
    <row r="17" spans="1:14" x14ac:dyDescent="0.25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 x14ac:dyDescent="0.25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 x14ac:dyDescent="0.25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 x14ac:dyDescent="0.25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 x14ac:dyDescent="0.25">
      <c r="N21" s="301">
        <f>SUM(N15:N20)</f>
        <v>1356538780.5555556</v>
      </c>
    </row>
    <row r="24" spans="1:14" x14ac:dyDescent="0.25">
      <c r="A24" s="162" t="s">
        <v>677</v>
      </c>
      <c r="B24" t="s">
        <v>773</v>
      </c>
    </row>
    <row r="25" spans="1:14" x14ac:dyDescent="0.25">
      <c r="A25" t="s">
        <v>678</v>
      </c>
      <c r="B25">
        <v>30</v>
      </c>
      <c r="C25" t="s">
        <v>679</v>
      </c>
    </row>
    <row r="26" spans="1:14" x14ac:dyDescent="0.25">
      <c r="A26" t="s">
        <v>680</v>
      </c>
      <c r="B26">
        <v>4.3</v>
      </c>
      <c r="C26" t="s">
        <v>681</v>
      </c>
    </row>
    <row r="27" spans="1:14" x14ac:dyDescent="0.25">
      <c r="A27" t="s">
        <v>680</v>
      </c>
      <c r="B27">
        <f>B26/B25</f>
        <v>0.14333333333333334</v>
      </c>
      <c r="C27" t="s">
        <v>682</v>
      </c>
    </row>
    <row r="28" spans="1:14" x14ac:dyDescent="0.25">
      <c r="A28" t="s">
        <v>683</v>
      </c>
      <c r="B28">
        <f>B27*0.65</f>
        <v>9.3166666666666675E-2</v>
      </c>
      <c r="C28" t="s">
        <v>684</v>
      </c>
    </row>
    <row r="29" spans="1:14" x14ac:dyDescent="0.25">
      <c r="A29" s="162" t="s">
        <v>691</v>
      </c>
    </row>
    <row r="30" spans="1:14" x14ac:dyDescent="0.25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 x14ac:dyDescent="0.25">
      <c r="A2" s="158" t="s">
        <v>703</v>
      </c>
      <c r="B2" s="22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2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2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9"/>
      <c r="H2" s="8"/>
    </row>
    <row r="3" spans="1:14" ht="15.75" thickBot="1" x14ac:dyDescent="0.3">
      <c r="A3" s="227" t="s">
        <v>814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 x14ac:dyDescent="0.3">
      <c r="A4" s="160" t="s">
        <v>818</v>
      </c>
      <c r="B4" s="161" t="e">
        <f ca="1">B3-$C$18+B2</f>
        <v>#REF!</v>
      </c>
      <c r="C4" s="161" t="e">
        <f ca="1">C3-$C$18+C2</f>
        <v>#REF!</v>
      </c>
      <c r="D4" s="161" t="e">
        <f ca="1">D3-$C$18+D2</f>
        <v>#REF!</v>
      </c>
      <c r="E4" s="486" t="s">
        <v>885</v>
      </c>
      <c r="F4" s="486"/>
      <c r="G4" s="486"/>
      <c r="H4" s="486"/>
      <c r="I4" s="486"/>
      <c r="J4" s="486"/>
      <c r="K4" s="486"/>
      <c r="L4" s="486"/>
      <c r="M4" s="486"/>
      <c r="N4" s="486"/>
    </row>
    <row r="5" spans="1:14" ht="14.65" customHeight="1" x14ac:dyDescent="0.25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6"/>
      <c r="F5" s="486"/>
      <c r="G5" s="486"/>
      <c r="H5" s="486"/>
      <c r="I5" s="486"/>
      <c r="J5" s="486"/>
      <c r="K5" s="486"/>
      <c r="L5" s="486"/>
      <c r="M5" s="486"/>
      <c r="N5" s="486"/>
    </row>
    <row r="6" spans="1:14" x14ac:dyDescent="0.25">
      <c r="A6" s="8" t="s">
        <v>812</v>
      </c>
      <c r="B6" s="159">
        <f>$D$17+$D$19-SUM($C$26:$E$26)</f>
        <v>355018</v>
      </c>
      <c r="C6" s="159">
        <f t="shared" ref="C6:D6" si="0">$D$17+$D$19-SUM($C$26:$E$26)</f>
        <v>355018</v>
      </c>
      <c r="D6" s="159">
        <f t="shared" si="0"/>
        <v>355018</v>
      </c>
      <c r="E6" s="486"/>
      <c r="F6" s="486"/>
      <c r="G6" s="486"/>
      <c r="H6" s="486"/>
      <c r="I6" s="486"/>
      <c r="J6" s="486"/>
      <c r="K6" s="486"/>
      <c r="L6" s="486"/>
      <c r="M6" s="486"/>
      <c r="N6" s="486"/>
    </row>
    <row r="7" spans="1:14" x14ac:dyDescent="0.25">
      <c r="A7" s="8" t="s">
        <v>815</v>
      </c>
      <c r="B7" s="159" t="e">
        <f ca="1">SUM(B4:B6)+E26+D26+C26</f>
        <v>#REF!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 x14ac:dyDescent="0.25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 x14ac:dyDescent="0.25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 x14ac:dyDescent="0.25">
      <c r="A10" t="s">
        <v>319</v>
      </c>
    </row>
    <row r="11" spans="1:14" x14ac:dyDescent="0.25">
      <c r="A11" s="72"/>
      <c r="K11" s="2"/>
      <c r="L11" s="2"/>
    </row>
    <row r="12" spans="1:14" ht="17.25" x14ac:dyDescent="0.3">
      <c r="A12" s="182" t="s">
        <v>313</v>
      </c>
      <c r="B12" s="72"/>
      <c r="C12" s="72"/>
      <c r="D12" s="72"/>
    </row>
    <row r="13" spans="1:14" x14ac:dyDescent="0.25">
      <c r="A13" s="183" t="s">
        <v>314</v>
      </c>
      <c r="B13" s="72"/>
      <c r="C13" s="72"/>
      <c r="D13" s="72"/>
    </row>
    <row r="14" spans="1:14" x14ac:dyDescent="0.25">
      <c r="A14" s="72"/>
      <c r="B14" s="72"/>
      <c r="C14" s="118" t="s">
        <v>315</v>
      </c>
      <c r="D14" s="118" t="s">
        <v>316</v>
      </c>
    </row>
    <row r="15" spans="1:14" x14ac:dyDescent="0.25">
      <c r="A15" s="118" t="s">
        <v>259</v>
      </c>
      <c r="B15" s="118" t="s">
        <v>700</v>
      </c>
      <c r="C15" s="184">
        <v>0</v>
      </c>
      <c r="D15" s="184">
        <v>0</v>
      </c>
    </row>
    <row r="16" spans="1:14" x14ac:dyDescent="0.25">
      <c r="A16" s="72"/>
      <c r="B16" s="118" t="s">
        <v>318</v>
      </c>
      <c r="C16" s="184">
        <v>793037</v>
      </c>
      <c r="D16" s="184">
        <v>189772</v>
      </c>
    </row>
    <row r="17" spans="1:5" x14ac:dyDescent="0.25">
      <c r="A17" s="72"/>
      <c r="B17" s="118" t="s">
        <v>701</v>
      </c>
      <c r="C17" s="184">
        <v>5534</v>
      </c>
      <c r="D17" s="184">
        <v>488981</v>
      </c>
    </row>
    <row r="18" spans="1:5" x14ac:dyDescent="0.25">
      <c r="A18" s="72"/>
      <c r="B18" s="118" t="s">
        <v>702</v>
      </c>
      <c r="C18" s="184">
        <v>130234</v>
      </c>
      <c r="D18" s="184">
        <v>222906</v>
      </c>
    </row>
    <row r="19" spans="1:5" x14ac:dyDescent="0.25">
      <c r="A19" s="72"/>
      <c r="B19" s="118" t="s">
        <v>853</v>
      </c>
      <c r="C19" s="184">
        <v>0</v>
      </c>
      <c r="D19" s="184">
        <v>224372</v>
      </c>
    </row>
    <row r="20" spans="1:5" x14ac:dyDescent="0.25">
      <c r="E20">
        <f>SUM(C16:D18)</f>
        <v>1830464</v>
      </c>
    </row>
    <row r="21" spans="1:5" ht="17.25" x14ac:dyDescent="0.3">
      <c r="A21" s="182" t="s">
        <v>313</v>
      </c>
      <c r="B21" s="72"/>
      <c r="C21" s="72"/>
      <c r="D21" s="72"/>
    </row>
    <row r="22" spans="1:5" x14ac:dyDescent="0.25">
      <c r="A22" s="183" t="s">
        <v>314</v>
      </c>
      <c r="B22" s="72"/>
      <c r="C22" s="72"/>
      <c r="D22" s="72"/>
    </row>
    <row r="23" spans="1:5" x14ac:dyDescent="0.25">
      <c r="A23" s="72"/>
      <c r="B23" s="72"/>
      <c r="C23" s="118" t="s">
        <v>320</v>
      </c>
      <c r="D23" s="118" t="s">
        <v>321</v>
      </c>
      <c r="E23" t="s">
        <v>811</v>
      </c>
    </row>
    <row r="24" spans="1:5" x14ac:dyDescent="0.25">
      <c r="A24" s="118" t="s">
        <v>259</v>
      </c>
      <c r="B24" s="118" t="s">
        <v>700</v>
      </c>
      <c r="C24" s="184">
        <v>0</v>
      </c>
      <c r="D24" s="184">
        <v>0</v>
      </c>
    </row>
    <row r="25" spans="1:5" x14ac:dyDescent="0.25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 x14ac:dyDescent="0.25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 x14ac:dyDescent="0.25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</cols>
  <sheetData>
    <row r="1" spans="1:10" x14ac:dyDescent="0.25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 x14ac:dyDescent="0.25">
      <c r="A2" s="354" t="s">
        <v>37</v>
      </c>
      <c r="B2" s="376">
        <v>160.6</v>
      </c>
      <c r="C2" s="386">
        <v>0.85</v>
      </c>
      <c r="E2" s="235" t="s">
        <v>44</v>
      </c>
    </row>
    <row r="3" spans="1:10" x14ac:dyDescent="0.25">
      <c r="A3" s="354" t="s">
        <v>13</v>
      </c>
      <c r="B3" s="352">
        <v>51.25</v>
      </c>
      <c r="C3" s="353">
        <v>0.28000000000000003</v>
      </c>
    </row>
    <row r="4" spans="1:10" x14ac:dyDescent="0.25">
      <c r="A4" s="354" t="s">
        <v>488</v>
      </c>
      <c r="B4" s="376">
        <v>12</v>
      </c>
      <c r="C4" s="386">
        <v>0.05</v>
      </c>
    </row>
    <row r="5" spans="1:10" x14ac:dyDescent="0.25">
      <c r="A5" s="354" t="s">
        <v>489</v>
      </c>
      <c r="B5" s="376">
        <v>14.1</v>
      </c>
      <c r="C5" s="386">
        <v>7.5999999999999998E-2</v>
      </c>
    </row>
    <row r="6" spans="1:10" x14ac:dyDescent="0.25">
      <c r="A6" s="354" t="s">
        <v>490</v>
      </c>
      <c r="B6" s="376">
        <v>13.1</v>
      </c>
      <c r="C6" s="386">
        <v>6.3E-2</v>
      </c>
    </row>
    <row r="7" spans="1:10" x14ac:dyDescent="0.25">
      <c r="A7" s="354" t="s">
        <v>39</v>
      </c>
      <c r="B7" s="376">
        <v>60</v>
      </c>
      <c r="C7" s="386">
        <v>0.3</v>
      </c>
    </row>
    <row r="8" spans="1:10" x14ac:dyDescent="0.25">
      <c r="A8" s="354" t="s">
        <v>15</v>
      </c>
      <c r="B8" s="352">
        <v>100</v>
      </c>
      <c r="C8" s="353">
        <v>0.3</v>
      </c>
      <c r="I8" s="8"/>
      <c r="J8" s="8"/>
    </row>
    <row r="9" spans="1:10" x14ac:dyDescent="0.25">
      <c r="A9" s="354" t="s">
        <v>42</v>
      </c>
      <c r="B9" s="352">
        <v>75.599999999999994</v>
      </c>
      <c r="C9" s="353">
        <v>0.2</v>
      </c>
    </row>
    <row r="10" spans="1:10" x14ac:dyDescent="0.25">
      <c r="A10" s="354" t="s">
        <v>312</v>
      </c>
      <c r="B10" s="352">
        <v>94.9</v>
      </c>
      <c r="C10" s="353">
        <v>0.28000000000000003</v>
      </c>
    </row>
    <row r="11" spans="1:10" x14ac:dyDescent="0.25">
      <c r="A11" s="354" t="s">
        <v>41</v>
      </c>
      <c r="B11" s="352">
        <v>120.7</v>
      </c>
      <c r="C11" s="353">
        <v>0.42</v>
      </c>
      <c r="F11" s="8"/>
    </row>
    <row r="12" spans="1:10" x14ac:dyDescent="0.25">
      <c r="A12" s="354" t="s">
        <v>301</v>
      </c>
      <c r="B12" s="376">
        <v>25</v>
      </c>
      <c r="C12" s="386">
        <v>0.15</v>
      </c>
    </row>
    <row r="13" spans="1:10" x14ac:dyDescent="0.25">
      <c r="A13" s="354" t="s">
        <v>300</v>
      </c>
      <c r="B13" s="376">
        <v>25</v>
      </c>
      <c r="C13" s="386">
        <v>0.15</v>
      </c>
      <c r="I13" s="208"/>
      <c r="J13" s="8"/>
    </row>
    <row r="14" spans="1:10" x14ac:dyDescent="0.25">
      <c r="A14" s="354" t="s">
        <v>11</v>
      </c>
      <c r="B14" s="376">
        <v>95.4</v>
      </c>
      <c r="C14" s="386">
        <v>0.31</v>
      </c>
      <c r="I14" s="208"/>
      <c r="J14" s="8"/>
    </row>
    <row r="15" spans="1:10" x14ac:dyDescent="0.25">
      <c r="A15" s="354" t="s">
        <v>517</v>
      </c>
      <c r="B15" s="352">
        <v>47.3</v>
      </c>
      <c r="C15" s="353">
        <v>0.3</v>
      </c>
      <c r="I15" s="208"/>
      <c r="J15" s="8"/>
    </row>
    <row r="16" spans="1:10" x14ac:dyDescent="0.25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 x14ac:dyDescent="0.25">
      <c r="A17" s="354" t="s">
        <v>509</v>
      </c>
      <c r="B17" s="376">
        <v>423.36</v>
      </c>
      <c r="C17" s="386">
        <v>0.9</v>
      </c>
    </row>
    <row r="18" spans="1:10" x14ac:dyDescent="0.25">
      <c r="A18" s="354" t="s">
        <v>492</v>
      </c>
      <c r="B18" s="376">
        <v>13.9</v>
      </c>
      <c r="C18" s="386">
        <v>0.06</v>
      </c>
    </row>
    <row r="19" spans="1:10" x14ac:dyDescent="0.25">
      <c r="D19" s="163"/>
    </row>
    <row r="20" spans="1:10" x14ac:dyDescent="0.25">
      <c r="B20" s="163"/>
      <c r="C20" s="163"/>
      <c r="D20" s="163"/>
    </row>
    <row r="21" spans="1:10" x14ac:dyDescent="0.25">
      <c r="B21" s="163"/>
      <c r="C21" s="163"/>
      <c r="D21" s="163"/>
      <c r="I21" s="8"/>
      <c r="J21" s="8"/>
    </row>
    <row r="22" spans="1:10" x14ac:dyDescent="0.25">
      <c r="B22" s="163"/>
      <c r="C22" s="163"/>
      <c r="D22" s="163"/>
    </row>
    <row r="23" spans="1:10" x14ac:dyDescent="0.25">
      <c r="B23" s="163"/>
      <c r="C23" s="163"/>
      <c r="D23" s="163"/>
    </row>
    <row r="24" spans="1:10" x14ac:dyDescent="0.25">
      <c r="B24" s="163"/>
      <c r="C24" s="163"/>
      <c r="D24" s="163"/>
    </row>
    <row r="25" spans="1:10" x14ac:dyDescent="0.25">
      <c r="B25" s="163"/>
      <c r="C25" s="163"/>
      <c r="D25" s="163"/>
    </row>
    <row r="26" spans="1:10" x14ac:dyDescent="0.25">
      <c r="B26" s="163"/>
      <c r="C26" s="163"/>
      <c r="D26" s="163"/>
      <c r="I26" s="8"/>
      <c r="J26" s="8"/>
    </row>
    <row r="27" spans="1:10" x14ac:dyDescent="0.25">
      <c r="B27" s="163"/>
      <c r="C27" s="163"/>
      <c r="D27" s="163"/>
    </row>
    <row r="28" spans="1:10" x14ac:dyDescent="0.25">
      <c r="B28" s="163"/>
      <c r="C28" s="163"/>
      <c r="D28" s="163"/>
    </row>
    <row r="29" spans="1:10" x14ac:dyDescent="0.25">
      <c r="B29" s="163"/>
      <c r="C29" s="163"/>
      <c r="D29" s="163"/>
    </row>
    <row r="30" spans="1:10" x14ac:dyDescent="0.25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44"/>
      <c r="B1" s="244" t="s">
        <v>305</v>
      </c>
      <c r="C1" s="244" t="s">
        <v>887</v>
      </c>
      <c r="D1" s="244"/>
      <c r="E1" t="s">
        <v>888</v>
      </c>
    </row>
    <row r="2" spans="1:10" ht="15" customHeight="1" x14ac:dyDescent="0.25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 x14ac:dyDescent="0.25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5" x14ac:dyDescent="0.25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 x14ac:dyDescent="0.25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889</v>
      </c>
    </row>
    <row r="6" spans="1:10" ht="15" customHeight="1" x14ac:dyDescent="0.25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890</v>
      </c>
    </row>
    <row r="7" spans="1:10" ht="15" customHeight="1" x14ac:dyDescent="0.25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891</v>
      </c>
    </row>
    <row r="8" spans="1:10" x14ac:dyDescent="0.25">
      <c r="A8" s="415" t="s">
        <v>880</v>
      </c>
      <c r="B8" s="415" t="s">
        <v>401</v>
      </c>
      <c r="C8" s="430">
        <f>'Procesdata (baggrund)'!I23</f>
        <v>3.326857142857142E-5</v>
      </c>
      <c r="D8" s="415" t="s">
        <v>881</v>
      </c>
    </row>
    <row r="9" spans="1:10" x14ac:dyDescent="0.25">
      <c r="A9" s="415" t="s">
        <v>868</v>
      </c>
      <c r="B9" s="415" t="s">
        <v>401</v>
      </c>
      <c r="C9" s="429">
        <f>'Procesdata (baggrund)'!I24</f>
        <v>8.9614285714285689E-6</v>
      </c>
      <c r="D9" s="415" t="s">
        <v>881</v>
      </c>
    </row>
    <row r="10" spans="1:10" x14ac:dyDescent="0.25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 x14ac:dyDescent="0.25">
      <c r="A13" s="244"/>
      <c r="B13" s="244" t="s">
        <v>695</v>
      </c>
      <c r="C13" s="244" t="s">
        <v>696</v>
      </c>
      <c r="D13" s="244" t="s">
        <v>805</v>
      </c>
    </row>
    <row r="14" spans="1:10" x14ac:dyDescent="0.25">
      <c r="A14" s="244" t="s">
        <v>623</v>
      </c>
      <c r="B14" s="244">
        <v>139000</v>
      </c>
      <c r="C14" s="244">
        <v>14.757999999999999</v>
      </c>
      <c r="D14" s="244"/>
    </row>
    <row r="15" spans="1:10" x14ac:dyDescent="0.25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 x14ac:dyDescent="0.25">
      <c r="A16" s="244" t="s">
        <v>698</v>
      </c>
      <c r="B16" s="244">
        <v>205000</v>
      </c>
      <c r="C16" s="244">
        <v>1.988</v>
      </c>
      <c r="D16" s="244"/>
    </row>
    <row r="17" spans="1:8" x14ac:dyDescent="0.25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 x14ac:dyDescent="0.25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 x14ac:dyDescent="0.25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 x14ac:dyDescent="0.25">
      <c r="H20" s="301"/>
    </row>
    <row r="21" spans="1:8" x14ac:dyDescent="0.25">
      <c r="A21" s="244" t="s">
        <v>807</v>
      </c>
      <c r="B21" s="244" t="s">
        <v>713</v>
      </c>
      <c r="C21" s="244" t="s">
        <v>714</v>
      </c>
      <c r="D21" s="244"/>
    </row>
    <row r="22" spans="1:8" x14ac:dyDescent="0.25">
      <c r="A22" s="244" t="s">
        <v>806</v>
      </c>
      <c r="B22" s="244">
        <v>633738</v>
      </c>
      <c r="C22" s="244"/>
      <c r="D22" s="244"/>
    </row>
    <row r="23" spans="1:8" x14ac:dyDescent="0.25">
      <c r="A23" s="244" t="s">
        <v>706</v>
      </c>
      <c r="B23" s="244">
        <f>SUM(Affald!C15:D18)-SUM(Affald!C26:D27)</f>
        <v>1678538</v>
      </c>
      <c r="C23" s="244"/>
      <c r="D23" s="244"/>
    </row>
    <row r="24" spans="1:8" x14ac:dyDescent="0.25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 x14ac:dyDescent="0.25">
      <c r="A26" s="244"/>
      <c r="B26" s="244" t="s">
        <v>718</v>
      </c>
      <c r="C26" s="244" t="s">
        <v>714</v>
      </c>
      <c r="D26" s="244"/>
      <c r="E26" s="244"/>
    </row>
    <row r="27" spans="1:8" x14ac:dyDescent="0.25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 x14ac:dyDescent="0.25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 x14ac:dyDescent="0.25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 x14ac:dyDescent="0.25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 x14ac:dyDescent="0.25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 x14ac:dyDescent="0.25">
      <c r="A6" s="296" t="s">
        <v>490</v>
      </c>
      <c r="B6">
        <f>IFERROR(VLOOKUP(A6,Biogasudbytte!$A$2:$C$18,3,FALSE),VLOOKUP(A6,$I$2:$J$8,2,FALSE))</f>
        <v>6.3E-2</v>
      </c>
      <c r="I6" s="296" t="s">
        <v>710</v>
      </c>
      <c r="J6">
        <v>0.91</v>
      </c>
      <c r="K6" t="s">
        <v>707</v>
      </c>
    </row>
    <row r="7" spans="1:11" x14ac:dyDescent="0.25">
      <c r="A7" s="295" t="s">
        <v>509</v>
      </c>
      <c r="B7">
        <f>IFERROR(VLOOKUP(A7,Biogasudbytte!$A$2:$C$18,3,FALSE),VLOOKUP(A7,$I$2:$J$8,2,FALSE))</f>
        <v>0.9</v>
      </c>
      <c r="I7" s="296" t="s">
        <v>711</v>
      </c>
      <c r="J7">
        <v>0.91</v>
      </c>
      <c r="K7" t="s">
        <v>707</v>
      </c>
    </row>
    <row r="8" spans="1:11" x14ac:dyDescent="0.25">
      <c r="A8" s="296" t="s">
        <v>13</v>
      </c>
      <c r="B8">
        <f>IFERROR(VLOOKUP(A8,Biogasudbytte!$A$2:$C$18,3,FALSE),VLOOKUP(A8,$I$2:$J$8,2,FALSE))</f>
        <v>0.28000000000000003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 x14ac:dyDescent="0.25">
      <c r="A9" s="295" t="s">
        <v>37</v>
      </c>
      <c r="B9">
        <f>IFERROR(VLOOKUP(A9,Biogasudbytte!$A$2:$C$18,3,FALSE),VLOOKUP(A9,$I$2:$J$8,2,FALSE))</f>
        <v>0.85</v>
      </c>
    </row>
    <row r="10" spans="1:11" x14ac:dyDescent="0.25">
      <c r="A10" s="296" t="s">
        <v>517</v>
      </c>
      <c r="B10">
        <f>IFERROR(VLOOKUP(A10,Biogasudbytte!$A$2:$C$18,3,FALSE),VLOOKUP(A10,$I$2:$J$8,2,FALSE))</f>
        <v>0.3</v>
      </c>
    </row>
    <row r="11" spans="1:11" x14ac:dyDescent="0.25">
      <c r="A11" s="295" t="s">
        <v>41</v>
      </c>
      <c r="B11">
        <f>IFERROR(VLOOKUP(A11,Biogasudbytte!$A$2:$C$18,3,FALSE),VLOOKUP(A11,$I$2:$J$8,2,FALSE))</f>
        <v>0.42</v>
      </c>
    </row>
    <row r="12" spans="1:11" x14ac:dyDescent="0.25">
      <c r="A12" s="296" t="s">
        <v>178</v>
      </c>
      <c r="B12">
        <f>IFERROR(VLOOKUP(A12,Biogasudbytte!$A$2:$C$18,3,FALSE),VLOOKUP(A12,$I$2:$J$8,2,FALSE))</f>
        <v>0.25</v>
      </c>
    </row>
    <row r="13" spans="1:11" x14ac:dyDescent="0.25">
      <c r="A13" s="295" t="s">
        <v>11</v>
      </c>
      <c r="B13">
        <f>IFERROR(VLOOKUP(A13,Biogasudbytte!$A$2:$C$18,3,FALSE),VLOOKUP(A13,$I$2:$J$8,2,FALSE))</f>
        <v>0.31</v>
      </c>
    </row>
    <row r="14" spans="1:11" x14ac:dyDescent="0.25">
      <c r="A14" s="296" t="s">
        <v>489</v>
      </c>
      <c r="B14">
        <f>IFERROR(VLOOKUP(A14,Biogasudbytte!$A$2:$C$18,3,FALSE),VLOOKUP(A14,$I$2:$J$8,2,FALSE))</f>
        <v>7.5999999999999998E-2</v>
      </c>
    </row>
    <row r="15" spans="1:11" x14ac:dyDescent="0.25">
      <c r="A15" s="295" t="s">
        <v>15</v>
      </c>
      <c r="B15">
        <f>IFERROR(VLOOKUP(A15,Biogasudbytte!$A$2:$C$18,3,FALSE),VLOOKUP(A15,$I$2:$J$8,2,FALSE))</f>
        <v>0.3</v>
      </c>
    </row>
    <row r="16" spans="1:11" x14ac:dyDescent="0.25">
      <c r="A16" s="296" t="s">
        <v>301</v>
      </c>
      <c r="B16">
        <f>IFERROR(VLOOKUP(A16,Biogasudbytte!$A$2:$C$18,3,FALSE),VLOOKUP(A16,$I$2:$J$8,2,FALSE))</f>
        <v>0.15</v>
      </c>
    </row>
    <row r="17" spans="1:2" x14ac:dyDescent="0.25">
      <c r="A17" s="295" t="s">
        <v>329</v>
      </c>
      <c r="B17">
        <f>IFERROR(VLOOKUP(A17,Biogasudbytte!$A$2:$C$18,3,FALSE),VLOOKUP(A17,$I$2:$J$8,2,FALSE))</f>
        <v>0.41500000000000004</v>
      </c>
    </row>
    <row r="18" spans="1:2" x14ac:dyDescent="0.25">
      <c r="A18" s="296" t="s">
        <v>167</v>
      </c>
      <c r="B18">
        <f>IFERROR(VLOOKUP(A18,Biogasudbytte!$A$2:$C$18,3,FALSE),VLOOKUP(A18,$I$2:$J$8,2,FALSE))</f>
        <v>0.91</v>
      </c>
    </row>
    <row r="19" spans="1:2" x14ac:dyDescent="0.25">
      <c r="A19" s="296" t="s">
        <v>710</v>
      </c>
      <c r="B19">
        <f>IFERROR(VLOOKUP(A19,Biogasudbytte!$A$2:$C$18,3,FALSE),VLOOKUP(A19,$I$2:$J$8,2,FALSE))</f>
        <v>0.91</v>
      </c>
    </row>
    <row r="20" spans="1:2" x14ac:dyDescent="0.25">
      <c r="A20" s="295" t="s">
        <v>42</v>
      </c>
      <c r="B20">
        <f>IFERROR(VLOOKUP(A20,Biogasudbytte!$A$2:$C$18,3,FALSE),VLOOKUP(A20,$I$2:$J$8,2,FALSE))</f>
        <v>0.2</v>
      </c>
    </row>
    <row r="21" spans="1:2" x14ac:dyDescent="0.25">
      <c r="A21" s="295" t="s">
        <v>492</v>
      </c>
      <c r="B21">
        <f>IFERROR(VLOOKUP(A21,Biogasudbytte!$A$2:$C$18,3,FALSE),VLOOKUP(A21,$I$2:$J$8,2,FALSE))</f>
        <v>0.06</v>
      </c>
    </row>
    <row r="22" spans="1:2" x14ac:dyDescent="0.25">
      <c r="A22" s="296" t="s">
        <v>488</v>
      </c>
      <c r="B22">
        <f>IFERROR(VLOOKUP(A22,Biogasudbytte!$A$2:$C$18,3,FALSE),VLOOKUP(A22,$I$2:$J$8,2,FALSE))</f>
        <v>0.05</v>
      </c>
    </row>
    <row r="23" spans="1:2" x14ac:dyDescent="0.25">
      <c r="A23" s="295" t="s">
        <v>300</v>
      </c>
      <c r="B23">
        <f>IFERROR(VLOOKUP(A23,Biogasudbytte!$A$2:$C$18,3,FALSE),VLOOKUP(A23,$I$2:$J$8,2,FALSE))</f>
        <v>0.15</v>
      </c>
    </row>
    <row r="24" spans="1:2" x14ac:dyDescent="0.25">
      <c r="A24" s="296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7B-D00D-4EF6-B821-CBB6A307E4EA}">
  <sheetPr>
    <tabColor theme="5" tint="0.59999389629810485"/>
  </sheetPr>
  <dimension ref="A1:O49"/>
  <sheetViews>
    <sheetView workbookViewId="0">
      <selection activeCell="D24" sqref="D24"/>
    </sheetView>
  </sheetViews>
  <sheetFormatPr defaultRowHeight="15" x14ac:dyDescent="0.25"/>
  <cols>
    <col min="1" max="1" width="18" bestFit="1" customWidth="1"/>
    <col min="2" max="2" width="57.42578125" bestFit="1" customWidth="1"/>
    <col min="3" max="3" width="28.28515625" bestFit="1" customWidth="1"/>
    <col min="4" max="4" width="25.7109375" bestFit="1" customWidth="1"/>
    <col min="7" max="7" width="18.5703125" bestFit="1" customWidth="1"/>
    <col min="8" max="8" width="10.5703125" bestFit="1" customWidth="1"/>
    <col min="9" max="9" width="18.5703125" bestFit="1" customWidth="1"/>
    <col min="10" max="10" width="23.140625" bestFit="1" customWidth="1"/>
    <col min="11" max="11" width="14.5703125" bestFit="1" customWidth="1"/>
  </cols>
  <sheetData>
    <row r="1" spans="1:15" x14ac:dyDescent="0.25">
      <c r="B1" t="s">
        <v>897</v>
      </c>
      <c r="C1" t="s">
        <v>940</v>
      </c>
      <c r="D1" t="s">
        <v>941</v>
      </c>
      <c r="H1" s="487" t="s">
        <v>942</v>
      </c>
      <c r="I1" s="487"/>
      <c r="J1" s="487"/>
      <c r="K1" s="487"/>
      <c r="L1" s="487"/>
      <c r="N1" t="s">
        <v>325</v>
      </c>
      <c r="O1" s="451" t="s">
        <v>896</v>
      </c>
    </row>
    <row r="2" spans="1:15" x14ac:dyDescent="0.25">
      <c r="A2" s="450" t="s">
        <v>303</v>
      </c>
      <c r="B2" t="s">
        <v>899</v>
      </c>
      <c r="C2">
        <f>IF(D2&lt;&gt;"",D2*IFERROR(IF(VLOOKUP(A2,$J$4:$M$24,4,FALSE)=1,VLOOKUP(A2,$J$4:$M$24,3,FALSE),1),1),0)</f>
        <v>138</v>
      </c>
      <c r="D2">
        <v>138</v>
      </c>
      <c r="H2" s="487"/>
      <c r="I2" s="487"/>
      <c r="J2" s="487"/>
      <c r="K2" s="487"/>
      <c r="L2" s="487"/>
      <c r="N2" t="s">
        <v>944</v>
      </c>
    </row>
    <row r="3" spans="1:15" x14ac:dyDescent="0.25">
      <c r="A3" s="450" t="s">
        <v>14</v>
      </c>
      <c r="B3" t="s">
        <v>898</v>
      </c>
      <c r="C3">
        <f t="shared" ref="C3:C49" si="0">IF(D3&lt;&gt;"",D3*IFERROR(IF(VLOOKUP(A3,$J$4:$M$24,4,FALSE)=1,VLOOKUP(A3,$J$4:$M$24,3,FALSE),1),1),0)</f>
        <v>694.5</v>
      </c>
      <c r="D3">
        <v>694.5</v>
      </c>
      <c r="H3" t="s">
        <v>937</v>
      </c>
      <c r="I3" t="s">
        <v>943</v>
      </c>
      <c r="J3" t="s">
        <v>938</v>
      </c>
      <c r="K3" t="s">
        <v>946</v>
      </c>
      <c r="L3" t="s">
        <v>939</v>
      </c>
      <c r="M3" t="s">
        <v>947</v>
      </c>
      <c r="N3" t="s">
        <v>945</v>
      </c>
    </row>
    <row r="4" spans="1:15" ht="22.5" x14ac:dyDescent="0.25">
      <c r="A4" s="450" t="s">
        <v>312</v>
      </c>
      <c r="B4" t="s">
        <v>607</v>
      </c>
      <c r="C4">
        <f t="shared" si="0"/>
        <v>0</v>
      </c>
      <c r="H4" s="452" t="s">
        <v>916</v>
      </c>
      <c r="I4" s="163">
        <v>232.41388774529983</v>
      </c>
      <c r="J4" t="str">
        <f>A24</f>
        <v>Korn</v>
      </c>
      <c r="K4">
        <f>D24</f>
        <v>366</v>
      </c>
      <c r="L4">
        <f>IF(K4="","",I4/K4)</f>
        <v>0.63501062225491756</v>
      </c>
      <c r="M4">
        <v>1</v>
      </c>
      <c r="N4" s="191" t="s">
        <v>948</v>
      </c>
    </row>
    <row r="5" spans="1:15" ht="22.5" x14ac:dyDescent="0.25">
      <c r="A5" s="450" t="s">
        <v>302</v>
      </c>
      <c r="B5" t="s">
        <v>607</v>
      </c>
      <c r="C5">
        <f t="shared" si="0"/>
        <v>0</v>
      </c>
      <c r="H5" s="452" t="s">
        <v>917</v>
      </c>
      <c r="I5" s="163">
        <v>63.817687998642</v>
      </c>
      <c r="L5" t="str">
        <f t="shared" ref="L5:L24" si="1">IF(K5="","",I5/K5)</f>
        <v/>
      </c>
    </row>
    <row r="6" spans="1:15" x14ac:dyDescent="0.25">
      <c r="A6" s="450" t="s">
        <v>304</v>
      </c>
      <c r="B6" t="s">
        <v>607</v>
      </c>
      <c r="C6">
        <f t="shared" si="0"/>
        <v>0</v>
      </c>
      <c r="H6" s="453" t="s">
        <v>918</v>
      </c>
      <c r="I6" s="163"/>
      <c r="L6" t="str">
        <f t="shared" si="1"/>
        <v/>
      </c>
    </row>
    <row r="7" spans="1:15" ht="22.5" x14ac:dyDescent="0.25">
      <c r="A7" s="450" t="s">
        <v>651</v>
      </c>
      <c r="B7" t="s">
        <v>607</v>
      </c>
      <c r="C7">
        <f t="shared" si="0"/>
        <v>0</v>
      </c>
      <c r="H7" s="452" t="s">
        <v>919</v>
      </c>
      <c r="I7" s="163">
        <v>320.25894187779437</v>
      </c>
      <c r="L7" t="str">
        <f t="shared" si="1"/>
        <v/>
      </c>
    </row>
    <row r="8" spans="1:15" x14ac:dyDescent="0.25">
      <c r="A8" t="s">
        <v>39</v>
      </c>
      <c r="B8" t="s">
        <v>607</v>
      </c>
      <c r="C8">
        <f t="shared" si="0"/>
        <v>0</v>
      </c>
      <c r="H8" s="453" t="s">
        <v>920</v>
      </c>
      <c r="I8" s="163">
        <v>337.96296296296293</v>
      </c>
      <c r="L8" t="str">
        <f t="shared" si="1"/>
        <v/>
      </c>
    </row>
    <row r="9" spans="1:15" x14ac:dyDescent="0.25">
      <c r="A9" t="s">
        <v>647</v>
      </c>
      <c r="B9" t="s">
        <v>607</v>
      </c>
      <c r="C9">
        <f t="shared" si="0"/>
        <v>0</v>
      </c>
      <c r="H9" s="453" t="s">
        <v>921</v>
      </c>
      <c r="I9" s="163">
        <v>283.88888888888886</v>
      </c>
      <c r="L9" t="str">
        <f t="shared" si="1"/>
        <v/>
      </c>
    </row>
    <row r="10" spans="1:15" x14ac:dyDescent="0.25">
      <c r="A10" t="s">
        <v>490</v>
      </c>
      <c r="B10" t="s">
        <v>607</v>
      </c>
      <c r="C10">
        <f t="shared" si="0"/>
        <v>0</v>
      </c>
      <c r="H10" s="453" t="s">
        <v>922</v>
      </c>
      <c r="I10" s="163">
        <v>218.37606837606842</v>
      </c>
      <c r="L10" t="str">
        <f t="shared" si="1"/>
        <v/>
      </c>
    </row>
    <row r="11" spans="1:15" ht="22.5" x14ac:dyDescent="0.25">
      <c r="A11" t="s">
        <v>355</v>
      </c>
      <c r="B11" t="s">
        <v>900</v>
      </c>
      <c r="C11">
        <f t="shared" si="0"/>
        <v>152</v>
      </c>
      <c r="D11">
        <v>152</v>
      </c>
      <c r="H11" s="452" t="s">
        <v>923</v>
      </c>
      <c r="I11" s="163">
        <v>864.6176911544228</v>
      </c>
      <c r="J11" t="str">
        <f>A39</f>
        <v>Rapsolie</v>
      </c>
      <c r="K11">
        <f>D39</f>
        <v>900</v>
      </c>
      <c r="L11">
        <f t="shared" si="1"/>
        <v>0.96068632350491423</v>
      </c>
    </row>
    <row r="12" spans="1:15" x14ac:dyDescent="0.25">
      <c r="A12" t="s">
        <v>297</v>
      </c>
      <c r="B12" t="s">
        <v>901</v>
      </c>
      <c r="C12">
        <f t="shared" si="0"/>
        <v>559</v>
      </c>
      <c r="D12">
        <v>559</v>
      </c>
      <c r="H12" s="453" t="s">
        <v>924</v>
      </c>
      <c r="I12" s="163">
        <v>26.348323929638234</v>
      </c>
      <c r="J12" t="str">
        <f>A17</f>
        <v>Grøntsager</v>
      </c>
      <c r="K12">
        <f>D17</f>
        <v>39</v>
      </c>
      <c r="L12">
        <f t="shared" si="1"/>
        <v>0.67559804947790347</v>
      </c>
    </row>
    <row r="13" spans="1:15" ht="22.5" x14ac:dyDescent="0.25">
      <c r="A13" t="s">
        <v>143</v>
      </c>
      <c r="B13" t="s">
        <v>902</v>
      </c>
      <c r="C13">
        <f t="shared" si="0"/>
        <v>52</v>
      </c>
      <c r="D13">
        <v>52</v>
      </c>
      <c r="H13" s="452" t="s">
        <v>925</v>
      </c>
      <c r="I13" s="163">
        <v>47.845084409136049</v>
      </c>
      <c r="J13" t="str">
        <f>A13</f>
        <v>Frugt</v>
      </c>
      <c r="K13">
        <f>D13</f>
        <v>52</v>
      </c>
      <c r="L13">
        <f t="shared" si="1"/>
        <v>0.92009777709877016</v>
      </c>
    </row>
    <row r="14" spans="1:15" x14ac:dyDescent="0.25">
      <c r="A14" s="450" t="s">
        <v>509</v>
      </c>
      <c r="B14" t="s">
        <v>607</v>
      </c>
      <c r="C14">
        <f t="shared" si="0"/>
        <v>0</v>
      </c>
      <c r="H14" s="453" t="s">
        <v>926</v>
      </c>
      <c r="I14" s="163">
        <v>145.48042704626334</v>
      </c>
      <c r="L14" t="str">
        <f t="shared" si="1"/>
        <v/>
      </c>
    </row>
    <row r="15" spans="1:15" x14ac:dyDescent="0.25">
      <c r="A15" s="450" t="s">
        <v>13</v>
      </c>
      <c r="C15">
        <f t="shared" si="0"/>
        <v>17</v>
      </c>
      <c r="D15">
        <v>17</v>
      </c>
      <c r="H15" s="453" t="s">
        <v>927</v>
      </c>
      <c r="I15" s="163">
        <v>304.16666666666663</v>
      </c>
      <c r="L15" t="str">
        <f t="shared" si="1"/>
        <v/>
      </c>
    </row>
    <row r="16" spans="1:15" ht="22.5" x14ac:dyDescent="0.25">
      <c r="A16" s="450" t="s">
        <v>645</v>
      </c>
      <c r="B16" t="s">
        <v>607</v>
      </c>
      <c r="C16">
        <f t="shared" si="0"/>
        <v>0</v>
      </c>
      <c r="H16" s="452" t="s">
        <v>928</v>
      </c>
      <c r="I16" s="163">
        <v>61.901005718793137</v>
      </c>
      <c r="L16" t="str">
        <f t="shared" si="1"/>
        <v/>
      </c>
    </row>
    <row r="17" spans="1:12" x14ac:dyDescent="0.25">
      <c r="A17" s="450" t="s">
        <v>12</v>
      </c>
      <c r="B17" t="s">
        <v>903</v>
      </c>
      <c r="C17">
        <f t="shared" si="0"/>
        <v>39</v>
      </c>
      <c r="D17">
        <v>39</v>
      </c>
      <c r="H17" s="453" t="s">
        <v>929</v>
      </c>
      <c r="I17" s="163">
        <v>168.04788213627995</v>
      </c>
      <c r="J17" t="str">
        <f>A45</f>
        <v>Svinekød</v>
      </c>
      <c r="K17">
        <f>D45</f>
        <v>195</v>
      </c>
      <c r="L17">
        <f t="shared" si="1"/>
        <v>0.86178401095528179</v>
      </c>
    </row>
    <row r="18" spans="1:12" x14ac:dyDescent="0.25">
      <c r="A18" s="450" t="s">
        <v>37</v>
      </c>
      <c r="B18" t="s">
        <v>607</v>
      </c>
      <c r="C18">
        <f t="shared" si="0"/>
        <v>0</v>
      </c>
      <c r="H18" s="453" t="s">
        <v>930</v>
      </c>
      <c r="I18" s="163">
        <v>123.2810615199035</v>
      </c>
      <c r="L18" t="str">
        <f t="shared" si="1"/>
        <v/>
      </c>
    </row>
    <row r="19" spans="1:12" x14ac:dyDescent="0.25">
      <c r="A19" s="450" t="s">
        <v>517</v>
      </c>
      <c r="B19" t="s">
        <v>607</v>
      </c>
      <c r="C19">
        <f t="shared" si="0"/>
        <v>0</v>
      </c>
      <c r="H19" s="453" t="s">
        <v>931</v>
      </c>
      <c r="I19" s="163">
        <v>566.18110236220468</v>
      </c>
      <c r="L19" t="str">
        <f t="shared" si="1"/>
        <v/>
      </c>
    </row>
    <row r="20" spans="1:12" x14ac:dyDescent="0.25">
      <c r="A20" t="s">
        <v>487</v>
      </c>
      <c r="B20" t="s">
        <v>607</v>
      </c>
      <c r="C20">
        <f t="shared" si="0"/>
        <v>57</v>
      </c>
      <c r="D20">
        <v>57</v>
      </c>
      <c r="H20" s="453" t="s">
        <v>932</v>
      </c>
      <c r="I20" s="163">
        <v>154.19432709716355</v>
      </c>
      <c r="J20" t="str">
        <f>A2</f>
        <v>Æg</v>
      </c>
      <c r="K20">
        <f>D2</f>
        <v>138</v>
      </c>
      <c r="L20">
        <f t="shared" si="1"/>
        <v>1.1173501963562575</v>
      </c>
    </row>
    <row r="21" spans="1:12" ht="22.5" x14ac:dyDescent="0.25">
      <c r="A21" s="450" t="s">
        <v>41</v>
      </c>
      <c r="B21" t="s">
        <v>607</v>
      </c>
      <c r="C21">
        <f t="shared" si="0"/>
        <v>0</v>
      </c>
      <c r="H21" s="452" t="s">
        <v>933</v>
      </c>
      <c r="I21" s="163">
        <v>43.175229038617651</v>
      </c>
      <c r="J21" t="str">
        <f>A36</f>
        <v>Råmælk</v>
      </c>
      <c r="K21">
        <f>D36</f>
        <v>63</v>
      </c>
      <c r="L21">
        <f t="shared" si="1"/>
        <v>0.68532109585107381</v>
      </c>
    </row>
    <row r="22" spans="1:12" ht="22.5" x14ac:dyDescent="0.25">
      <c r="A22" s="450" t="s">
        <v>138</v>
      </c>
      <c r="B22" t="s">
        <v>607</v>
      </c>
      <c r="C22">
        <f t="shared" si="0"/>
        <v>0</v>
      </c>
      <c r="H22" s="452" t="s">
        <v>934</v>
      </c>
      <c r="I22" s="163">
        <v>115.54640069384216</v>
      </c>
      <c r="L22" t="str">
        <f t="shared" si="1"/>
        <v/>
      </c>
    </row>
    <row r="23" spans="1:12" ht="22.5" x14ac:dyDescent="0.25">
      <c r="A23" s="450" t="s">
        <v>178</v>
      </c>
      <c r="B23" t="s">
        <v>904</v>
      </c>
      <c r="C23">
        <f t="shared" si="0"/>
        <v>78</v>
      </c>
      <c r="D23">
        <v>78</v>
      </c>
      <c r="H23" s="452" t="s">
        <v>935</v>
      </c>
      <c r="I23" s="163">
        <v>0</v>
      </c>
      <c r="L23" t="str">
        <f t="shared" si="1"/>
        <v/>
      </c>
    </row>
    <row r="24" spans="1:12" x14ac:dyDescent="0.25">
      <c r="A24" s="450" t="s">
        <v>11</v>
      </c>
      <c r="B24" t="s">
        <v>905</v>
      </c>
      <c r="C24">
        <f t="shared" si="0"/>
        <v>232.41388774529983</v>
      </c>
      <c r="D24">
        <v>366</v>
      </c>
      <c r="H24" s="453" t="s">
        <v>936</v>
      </c>
      <c r="I24" s="163">
        <v>0</v>
      </c>
      <c r="L24" t="str">
        <f t="shared" si="1"/>
        <v/>
      </c>
    </row>
    <row r="25" spans="1:12" x14ac:dyDescent="0.25">
      <c r="A25" s="450" t="s">
        <v>310</v>
      </c>
      <c r="B25" t="s">
        <v>607</v>
      </c>
      <c r="C25">
        <f t="shared" si="0"/>
        <v>0</v>
      </c>
    </row>
    <row r="26" spans="1:12" x14ac:dyDescent="0.25">
      <c r="A26" s="450" t="s">
        <v>489</v>
      </c>
      <c r="B26" t="s">
        <v>607</v>
      </c>
      <c r="C26">
        <f t="shared" si="0"/>
        <v>0</v>
      </c>
    </row>
    <row r="27" spans="1:12" x14ac:dyDescent="0.25">
      <c r="A27" s="450" t="s">
        <v>420</v>
      </c>
      <c r="B27" t="s">
        <v>607</v>
      </c>
      <c r="C27">
        <f t="shared" si="0"/>
        <v>0</v>
      </c>
    </row>
    <row r="28" spans="1:12" x14ac:dyDescent="0.25">
      <c r="A28" t="s">
        <v>15</v>
      </c>
      <c r="B28" t="s">
        <v>906</v>
      </c>
      <c r="C28">
        <f t="shared" si="0"/>
        <v>91</v>
      </c>
      <c r="D28">
        <v>91</v>
      </c>
    </row>
    <row r="29" spans="1:12" x14ac:dyDescent="0.25">
      <c r="A29" s="450" t="s">
        <v>299</v>
      </c>
      <c r="B29" t="s">
        <v>907</v>
      </c>
      <c r="C29">
        <f t="shared" si="0"/>
        <v>63</v>
      </c>
      <c r="D29">
        <v>63</v>
      </c>
    </row>
    <row r="30" spans="1:12" x14ac:dyDescent="0.25">
      <c r="A30" s="450" t="s">
        <v>301</v>
      </c>
      <c r="B30" t="s">
        <v>908</v>
      </c>
      <c r="C30">
        <f t="shared" si="0"/>
        <v>83</v>
      </c>
      <c r="D30">
        <v>83</v>
      </c>
    </row>
    <row r="31" spans="1:12" x14ac:dyDescent="0.25">
      <c r="A31" s="450" t="s">
        <v>309</v>
      </c>
      <c r="B31" t="s">
        <v>309</v>
      </c>
      <c r="C31">
        <f t="shared" si="0"/>
        <v>195</v>
      </c>
      <c r="D31">
        <v>195</v>
      </c>
    </row>
    <row r="32" spans="1:12" x14ac:dyDescent="0.25">
      <c r="A32" s="450" t="s">
        <v>136</v>
      </c>
      <c r="B32" t="s">
        <v>909</v>
      </c>
      <c r="C32">
        <f t="shared" si="0"/>
        <v>39</v>
      </c>
      <c r="D32">
        <v>39</v>
      </c>
    </row>
    <row r="33" spans="1:4" x14ac:dyDescent="0.25">
      <c r="A33" s="450" t="s">
        <v>329</v>
      </c>
      <c r="B33" t="s">
        <v>607</v>
      </c>
      <c r="C33">
        <f t="shared" si="0"/>
        <v>0</v>
      </c>
    </row>
    <row r="34" spans="1:4" x14ac:dyDescent="0.25">
      <c r="A34" s="450" t="s">
        <v>868</v>
      </c>
      <c r="B34" t="s">
        <v>607</v>
      </c>
      <c r="C34">
        <f t="shared" si="0"/>
        <v>0</v>
      </c>
    </row>
    <row r="35" spans="1:4" x14ac:dyDescent="0.25">
      <c r="A35" s="450" t="s">
        <v>880</v>
      </c>
      <c r="B35" t="s">
        <v>607</v>
      </c>
      <c r="C35">
        <f t="shared" si="0"/>
        <v>0</v>
      </c>
    </row>
    <row r="36" spans="1:4" x14ac:dyDescent="0.25">
      <c r="A36" s="450" t="s">
        <v>292</v>
      </c>
      <c r="B36" t="s">
        <v>910</v>
      </c>
      <c r="C36">
        <f t="shared" si="0"/>
        <v>63</v>
      </c>
      <c r="D36">
        <v>63</v>
      </c>
    </row>
    <row r="37" spans="1:4" x14ac:dyDescent="0.25">
      <c r="A37" t="s">
        <v>167</v>
      </c>
      <c r="C37">
        <f t="shared" si="0"/>
        <v>0</v>
      </c>
    </row>
    <row r="38" spans="1:4" x14ac:dyDescent="0.25">
      <c r="A38" t="s">
        <v>710</v>
      </c>
      <c r="C38">
        <f t="shared" si="0"/>
        <v>0</v>
      </c>
    </row>
    <row r="39" spans="1:4" x14ac:dyDescent="0.25">
      <c r="A39" t="s">
        <v>711</v>
      </c>
      <c r="B39" t="s">
        <v>911</v>
      </c>
      <c r="C39">
        <f t="shared" si="0"/>
        <v>900</v>
      </c>
      <c r="D39">
        <v>900</v>
      </c>
    </row>
    <row r="40" spans="1:4" x14ac:dyDescent="0.25">
      <c r="A40" t="s">
        <v>42</v>
      </c>
      <c r="B40" t="s">
        <v>912</v>
      </c>
      <c r="C40">
        <f t="shared" si="0"/>
        <v>30</v>
      </c>
      <c r="D40">
        <v>30</v>
      </c>
    </row>
    <row r="41" spans="1:4" x14ac:dyDescent="0.25">
      <c r="A41" t="s">
        <v>415</v>
      </c>
      <c r="B41" t="s">
        <v>607</v>
      </c>
      <c r="C41">
        <f t="shared" si="0"/>
        <v>0</v>
      </c>
    </row>
    <row r="42" spans="1:4" x14ac:dyDescent="0.25">
      <c r="A42" t="s">
        <v>414</v>
      </c>
      <c r="B42" t="s">
        <v>607</v>
      </c>
      <c r="C42">
        <f t="shared" si="0"/>
        <v>0</v>
      </c>
    </row>
    <row r="43" spans="1:4" x14ac:dyDescent="0.25">
      <c r="A43" s="450" t="s">
        <v>492</v>
      </c>
      <c r="B43" t="s">
        <v>607</v>
      </c>
      <c r="C43">
        <f t="shared" si="0"/>
        <v>0</v>
      </c>
    </row>
    <row r="44" spans="1:4" x14ac:dyDescent="0.25">
      <c r="A44" s="450" t="s">
        <v>488</v>
      </c>
      <c r="B44" t="s">
        <v>607</v>
      </c>
      <c r="C44">
        <f t="shared" si="0"/>
        <v>0</v>
      </c>
    </row>
    <row r="45" spans="1:4" x14ac:dyDescent="0.25">
      <c r="A45" s="450" t="s">
        <v>308</v>
      </c>
      <c r="B45" t="s">
        <v>914</v>
      </c>
      <c r="C45">
        <f t="shared" si="0"/>
        <v>195</v>
      </c>
      <c r="D45">
        <v>195</v>
      </c>
    </row>
    <row r="46" spans="1:4" x14ac:dyDescent="0.25">
      <c r="A46" s="450" t="s">
        <v>300</v>
      </c>
      <c r="B46" t="s">
        <v>913</v>
      </c>
      <c r="C46">
        <f t="shared" si="0"/>
        <v>40.799999999999997</v>
      </c>
      <c r="D46">
        <v>40.799999999999997</v>
      </c>
    </row>
    <row r="47" spans="1:4" x14ac:dyDescent="0.25">
      <c r="A47" s="450" t="s">
        <v>342</v>
      </c>
      <c r="B47" t="s">
        <v>607</v>
      </c>
      <c r="C47">
        <f t="shared" si="0"/>
        <v>0</v>
      </c>
    </row>
    <row r="48" spans="1:4" x14ac:dyDescent="0.25">
      <c r="A48" s="450" t="s">
        <v>395</v>
      </c>
      <c r="B48" t="s">
        <v>607</v>
      </c>
      <c r="C48">
        <f t="shared" si="0"/>
        <v>0</v>
      </c>
    </row>
    <row r="49" spans="1:3" x14ac:dyDescent="0.25">
      <c r="A49" s="450" t="s">
        <v>298</v>
      </c>
      <c r="B49" t="s">
        <v>607</v>
      </c>
      <c r="C49">
        <f t="shared" si="0"/>
        <v>0</v>
      </c>
    </row>
  </sheetData>
  <mergeCells count="1">
    <mergeCell ref="H1:L2"/>
  </mergeCells>
  <hyperlinks>
    <hyperlink ref="N4" r:id="rId1" xr:uid="{2A0B688D-7EE7-467E-ACC2-71E6C85F5696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kcal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2023-12-05T14:52:35Z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