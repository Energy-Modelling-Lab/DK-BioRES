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AE6252FC-B748-4F19-8B82-C6ACF18FE250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7" i="18"/>
  <c r="D7" i="18"/>
  <c r="B7" i="18"/>
  <c r="B2" i="18" a="1"/>
  <c r="C3" i="18" a="1"/>
  <c r="D3" i="18" a="1"/>
  <c r="D2" i="18" a="1"/>
  <c r="C2" i="18" a="1"/>
  <c r="B3" i="18" a="1"/>
  <c r="D3" i="18" l="1"/>
  <c r="C3" i="18"/>
  <c r="B3" i="18"/>
  <c r="D2" i="18"/>
  <c r="C2" i="18"/>
  <c r="B2" i="18"/>
  <c r="J437" i="20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6" i="18"/>
  <c r="D1" i="18"/>
  <c r="C1" i="18"/>
  <c r="B1" i="18"/>
  <c r="I406" i="20"/>
  <c r="J406" i="20"/>
  <c r="H406" i="20"/>
  <c r="E406" i="20"/>
  <c r="G406" i="20"/>
  <c r="E21" i="18"/>
  <c r="C4" i="18"/>
  <c r="D4" i="18"/>
  <c r="B4" i="18"/>
  <c r="H417" i="20"/>
  <c r="H413" i="20"/>
  <c r="H409" i="20"/>
  <c r="E6" i="20"/>
  <c r="G6" i="20"/>
  <c r="B5" i="18" l="1"/>
  <c r="B8" i="18" s="1"/>
  <c r="D5" i="18" l="1"/>
  <c r="C5" i="18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6" i="18"/>
  <c r="D6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<sst xmlns="http://schemas.openxmlformats.org/spreadsheetml/2006/main" count="3634" uniqueCount="899">
  <si>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</si>
  <si>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</si>
  <si>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</si>
  <si>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</si>
  <si>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</si>
  <si>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</si>
  <si>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</si>
  <si>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</si>
  <si>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</si>
  <si>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</si>
  <si>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</si>
  <si>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</si>
  <si>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</si>
  <si>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</si>
  <si>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</si>
  <si>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</si>
  <si>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</si>
  <si>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</si>
  <si>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</si>
  <si>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</si>
  <si>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</si>
  <si>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</si>
  <si>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</si>
  <si>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</si>
  <si>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</si>
  <si>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</si>
  <si>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</si>
  <si>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</si>
  <si>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</si>
  <si>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</si>
  <si>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</si>
  <si>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</si>
  <si>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</si>
  <si>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</si>
  <si>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</si>
  <si>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</si>
  <si>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</si>
  <si>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</si>
  <si>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</si>
  <si>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</si>
  <si>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</si>
  <si>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</si>
  <si>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</si>
  <si>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</si>
  <si>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</si>
  <si>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</si>
  <si>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</si>
  <si>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</si>
  <si>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</si>
  <si>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</si>
  <si>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</si>
  <si>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</si>
  <si>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</si>
  <si>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</si>
  <si>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</si>
  <si>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</si>
  <si>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</si>
  <si>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</si>
  <si>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</si>
  <si>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</si>
  <si>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</si>
  <si>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</si>
  <si>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</si>
  <si>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</si>
  <si>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</si>
  <si>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</si>
  <si>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</si>
  <si>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</si>
  <si>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</si>
  <si>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</si>
  <si>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</si>
  <si>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</si>
  <si>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</si>
  <si>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</si>
  <si>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</si>
  <si>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</si>
  <si>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</si>
  <si>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</si>
  <si>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</si>
  <si>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</si>
  <si>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</si>
  <si>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</si>
  <si>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</si>
  <si>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</si>
  <si>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</si>
  <si>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</si>
  <si>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</si>
  <si>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</si>
  <si>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</si>
  <si>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</si>
  <si>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</si>
  <si>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</si>
  <si>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</si>
  <si>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</si>
  <si>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</si>
  <si>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</si>
  <si>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</si>
  <si>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</si>
  <si>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</si>
  <si>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</si>
  <si>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</si>
  <si>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</si>
  <si>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</si>
  <si>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</si>
  <si>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</si>
  <si>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</si>
  <si>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</si>
  <si>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</si>
  <si>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</si>
  <si>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</si>
  <si>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</si>
  <si>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</si>
  <si>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</si>
  <si>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</si>
  <si>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</si>
  <si>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</si>
  <si>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</si>
  <si>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</si>
  <si>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</si>
  <si>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</si>
  <si>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</si>
  <si>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</si>
  <si>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</si>
  <si>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</si>
  <si>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</si>
  <si>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</si>
  <si>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</si>
  <si>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</si>
  <si>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</si>
  <si>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</si>
  <si>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</si>
  <si>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</si>
  <si>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</si>
  <si>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</si>
  <si>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</si>
  <si>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</si>
  <si>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</si>
  <si>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</si>
  <si>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</si>
  <si>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</si>
  <si>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</si>
  <si>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</si>
  <si>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</si>
  <si>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</si>
  <si>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</si>
  <si>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</si>
  <si>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</si>
  <si>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</si>
  <si>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</si>
  <si>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</si>
  <si>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</si>
  <si>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</si>
  <si>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</si>
  <si>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</si>
  <si>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</si>
  <si>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</si>
  <si>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</si>
  <si>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</si>
  <si>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</si>
  <si>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</si>
  <si>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</si>
  <si>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</si>
  <si>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</si>
  <si>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</si>
  <si>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</si>
  <si>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</si>
  <si>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</si>
  <si>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</si>
  <si>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</si>
  <si>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</si>
  <si>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</si>
  <si>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</si>
  <si>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</si>
  <si>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</si>
  <si>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</si>
  <si>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</si>
  <si>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</si>
  <si>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</si>
  <si>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</si>
  <si>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</si>
  <si>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</si>
  <si>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</si>
  <si>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</si>
  <si>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</si>
  <si>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</si>
  <si>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</si>
  <si>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</si>
  <si>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</si>
  <si>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</si>
  <si>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</si>
  <si>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</si>
  <si>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</si>
  <si>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</si>
  <si>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</si>
  <si>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</si>
  <si>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</si>
  <si>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</si>
  <si>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</si>
  <si>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</si>
  <si>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</si>
  <si>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</si>
  <si>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</si>
  <si>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</si>
  <si>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</si>
  <si>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</si>
  <si>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</si>
  <si>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</si>
  <si>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</si>
  <si>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</si>
  <si>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</si>
  <si>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</si>
  <si>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</si>
  <si>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</si>
  <si>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</si>
  <si>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</si>
  <si>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</si>
  <si>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</si>
  <si>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</si>
  <si>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</si>
  <si>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</si>
  <si>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</si>
  <si>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</si>
  <si>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</si>
  <si>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</si>
  <si>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</si>
  <si>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</si>
  <si>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</si>
  <si>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</si>
  <si>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</si>
  <si>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</si>
  <si>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</si>
  <si>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</si>
  <si>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</si>
  <si>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</si>
  <si>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</si>
  <si>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</si>
  <si>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</si>
  <si>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</si>
  <si>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</si>
  <si>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</si>
  <si>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</si>
  <si>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</si>
  <si>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</si>
  <si>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</si>
  <si>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</si>
  <si>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</si>
  <si>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</si>
  <si>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</si>
  <si>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</si>
  <si>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</si>
  <si>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</si>
  <si>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</si>
  <si>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</si>
  <si>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</si>
  <si>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</si>
  <si>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</si>
  <si>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</si>
  <si>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</si>
  <si>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</si>
  <si>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</si>
  <si>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</si>
  <si>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</si>
  <si>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</si>
  <si>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</si>
  <si>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</si>
  <si>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</si>
  <si>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</si>
  <si>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</si>
  <si>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</si>
  <si>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</si>
  <si>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</si>
  <si>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</si>
  <si>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</si>
  <si>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</si>
  <si>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</si>
  <si>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</si>
  <si>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</si>
  <si>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</si>
  <si>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</si>
  <si>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</si>
  <si>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</si>
  <si>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</si>
  <si>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</si>
  <si>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</si>
  <si>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</si>
  <si>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</si>
  <si>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</si>
  <si>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</si>
  <si>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</si>
  <si>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</si>
  <si>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</si>
  <si>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</si>
  <si>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</si>
  <si>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</si>
  <si>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</si>
  <si>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</si>
  <si>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</si>
  <si>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</si>
  <si>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</si>
  <si>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</si>
  <si>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</si>
  <si>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</si>
  <si>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</si>
  <si>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</si>
  <si>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</si>
  <si>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</si>
  <si>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</si>
  <si>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</si>
  <si>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</si>
  <si>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</si>
  <si>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</si>
  <si>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</si>
  <si>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</si>
  <si>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</si>
  <si>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</si>
  <si>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</si>
  <si>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</si>
  <si>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</si>
  <si>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</si>
  <si>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</si>
  <si>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</si>
  <si>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</si>
  <si>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</si>
  <si>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</si>
  <si>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</si>
  <si>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</si>
  <si>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</si>
  <si>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</si>
  <si>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</si>
  <si>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</si>
  <si>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Undgåeligt madaffald servicesektor</t>
  </si>
  <si>
    <t>Ton/år, kilde: ”Food Waste in the Danish Food Service Sector”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</si>
  <si>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</si>
  <si>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</si>
  <si>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</si>
  <si>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</si>
  <si>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</si>
  <si>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</si>
  <si>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</si>
  <si>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</si>
  <si>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</si>
  <si>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</si>
  <si>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</si>
  <si>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</si>
  <si>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</si>
  <si>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</si>
  <si>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</si>
  <si>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</si>
  <si>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</si>
  <si>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</si>
  <si>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</si>
  <si>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</si>
  <si>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</si>
  <si>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</si>
  <si>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</si>
  <si>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</si>
  <si>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</si>
  <si>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</si>
  <si>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</si>
  <si>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</si>
  <si>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</si>
  <si>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</si>
  <si>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</si>
  <si>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</si>
  <si>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</si>
  <si>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</si>
  <si>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</si>
  <si>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</si>
  <si>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</si>
  <si>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</si>
  <si>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</si>
  <si>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</si>
  <si>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</si>
  <si>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</si>
  <si>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</si>
  <si>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</si>
  <si>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</si>
  <si>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</si>
  <si>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</si>
  <si>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</si>
  <si>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</si>
  <si>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</si>
  <si>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</si>
  <si>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</si>
  <si>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</si>
  <si>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</si>
  <si>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</si>
  <si>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</si>
  <si>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</si>
  <si>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</si>
  <si>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</si>
  <si>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</si>
  <si>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</si>
  <si>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</si>
  <si>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</si>
  <si>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</si>
  <si>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</si>
  <si>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</si>
  <si>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</si>
  <si>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</si>
  <si>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</si>
  <si>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</si>
  <si>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</si>
  <si>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</si>
  <si>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</si>
  <si>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</si>
  <si>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</si>
  <si>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</si>
  <si>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</si>
  <si>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</si>
  <si>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</si>
  <si>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</si>
  <si>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</si>
  <si>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</si>
  <si>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</si>
  <si>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</si>
  <si>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</si>
  <si>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</si>
  <si>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</si>
  <si>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</si>
  <si>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</si>
  <si>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</si>
  <si>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</si>
  <si>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</si>
  <si>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</si>
  <si>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</si>
  <si>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</si>
  <si>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</si>
  <si>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</si>
  <si>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</si>
  <si>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</si>
  <si>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</si>
  <si>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</si>
  <si>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</si>
  <si>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</si>
  <si>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</si>
  <si>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</si>
  <si>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</si>
  <si>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</si>
  <si>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</si>
  <si>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</si>
  <si>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</si>
  <si>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</si>
  <si>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</si>
  <si>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</si>
  <si>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</si>
  <si>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</si>
  <si>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</si>
  <si>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</si>
  <si>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</si>
  <si>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</si>
  <si>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</si>
  <si>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</si>
  <si>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</si>
  <si>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</si>
  <si>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</si>
  <si>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</si>
  <si>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</si>
  <si>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</si>
  <si>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</si>
  <si>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</si>
  <si>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</si>
  <si>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</si>
  <si>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</si>
  <si>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</si>
  <si>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</si>
  <si>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</si>
  <si>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</si>
  <si>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</si>
  <si>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</si>
  <si>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</si>
  <si>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</si>
  <si>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</si>
  <si>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</si>
  <si>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</si>
  <si>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</si>
  <si>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</si>
  <si>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</si>
  <si>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</si>
  <si>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</si>
  <si>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</si>
  <si>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</si>
  <si>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</si>
  <si>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</si>
  <si>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</si>
  <si>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</si>
  <si>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</si>
  <si>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</si>
  <si>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</si>
  <si>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</si>
  <si>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</si>
  <si>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</si>
  <si>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</si>
  <si>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</si>
  <si>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</si>
  <si>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</si>
  <si>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</si>
  <si>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</si>
  <si>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</si>
  <si>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</si>
  <si>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</si>
  <si>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</si>
  <si>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</si>
  <si>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</si>
  <si>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</si>
  <si>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</si>
  <si>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</si>
  <si>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</si>
  <si>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</si>
  <si>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</si>
  <si>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</si>
  <si>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</si>
  <si>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</si>
  <si>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</si>
  <si>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</si>
  <si>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</si>
  <si>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</si>
  <si>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</si>
  <si>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</si>
  <si>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</si>
  <si>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</si>
  <si>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</si>
  <si>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</si>
  <si>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</si>
  <si>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</si>
  <si>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</si>
  <si>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</si>
  <si>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</si>
  <si>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</si>
  <si>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</si>
  <si>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</si>
  <si>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</si>
  <si>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</si>
  <si>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</si>
  <si>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</si>
  <si>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</si>
  <si>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</si>
  <si>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</si>
  <si>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</si>
  <si>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</si>
  <si>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</si>
  <si>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</si>
  <si>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</si>
  <si>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</si>
  <si>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</si>
  <si>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</si>
  <si>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</si>
  <si>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</si>
  <si>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</si>
  <si>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</si>
  <si>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</si>
  <si>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</si>
  <si>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</si>
  <si>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</si>
  <si>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</si>
  <si>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</si>
  <si>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</si>
  <si>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</si>
  <si>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</si>
  <si>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</si>
  <si>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</si>
  <si>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</si>
  <si>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</si>
  <si>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</si>
  <si>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</si>
  <si>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</si>
  <si>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</si>
  <si>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</si>
  <si>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</si>
  <si>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</si>
  <si>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</si>
  <si>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</si>
  <si>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</si>
  <si>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</si>
  <si>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</si>
  <si>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</si>
  <si>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</si>
  <si>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</si>
  <si>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</si>
  <si>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</si>
  <si>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</si>
  <si>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</si>
  <si>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</si>
  <si>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</si>
  <si>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</si>
  <si>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</si>
  <si>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</si>
  <si>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</si>
  <si>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</si>
  <si>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</si>
  <si>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</si>
  <si>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</si>
  <si>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</si>
  <si>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</si>
  <si>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</si>
  <si>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</si>
  <si>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</si>
  <si>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</si>
  <si>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</si>
  <si>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</si>
  <si>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</si>
  <si>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</si>
  <si>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</si>
  <si>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</si>
  <si>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</si>
  <si>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</si>
  <si>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</si>
  <si>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</si>
  <si>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</si>
  <si>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</si>
  <si>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</si>
  <si>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</si>
  <si>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</si>
  <si>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</si>
  <si>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</si>
  <si>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</si>
  <si>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</si>
  <si>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</si>
  <si>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</si>
  <si>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</si>
  <si>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</si>
  <si>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</si>
  <si>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</si>
  <si>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</si>
  <si>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</si>
  <si>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</si>
  <si>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</si>
  <si>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</si>
  <si>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</si>
  <si>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</si>
  <si>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</si>
  <si>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</si>
  <si>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</si>
  <si>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</si>
  <si>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</si>
  <si>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</si>
  <si>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</si>
  <si>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</si>
  <si>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</si>
  <si>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</si>
  <si>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</si>
  <si>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</si>
  <si>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</si>
  <si>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</si>
  <si>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</si>
  <si>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</si>
  <si>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</si>
  <si>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</si>
  <si>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</si>
  <si>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</si>
  <si>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</si>
  <si>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</si>
  <si>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</si>
  <si>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</si>
  <si>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</si>
  <si>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</si>
  <si>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</si>
  <si>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</si>
  <si>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</si>
  <si>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</si>
  <si>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</si>
  <si>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</si>
  <si>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</si>
  <si>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</si>
  <si>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</si>
  <si>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</si>
  <si>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</si>
  <si>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</si>
  <si>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</si>
  <si>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</si>
  <si>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</si>
  <si>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</si>
  <si>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</si>
  <si>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</si>
  <si>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</si>
  <si>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</si>
  <si>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</si>
  <si>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</si>
  <si>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</si>
  <si>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</si>
  <si>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</si>
  <si>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</si>
  <si>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</si>
  <si>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</si>
  <si>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</si>
  <si>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</si>
  <si>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</si>
  <si>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</si>
  <si>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</si>
  <si>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</si>
  <si>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</si>
  <si>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</si>
  <si>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</si>
  <si>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</si>
  <si>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</si>
  <si>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</si>
  <si>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</si>
  <si>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</si>
  <si>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</si>
  <si>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</si>
  <si>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</si>
  <si>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</si>
  <si>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</si>
  <si>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</si>
  <si>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</si>
  <si>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</si>
  <si>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</si>
  <si>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</si>
  <si>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</si>
  <si>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</si>
  <si>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</si>
  <si>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</si>
  <si>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</si>
  <si>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</si>
  <si>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</si>
  <si>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</si>
  <si>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</si>
  <si>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</si>
  <si>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</si>
  <si>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</si>
  <si>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</si>
  <si>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</si>
  <si>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</si>
  <si>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</si>
  <si>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</si>
  <si>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</si>
  <si>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</si>
  <si>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</si>
  <si>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</si>
  <si>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</si>
  <si>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</si>
  <si>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</si>
  <si>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</si>
  <si>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</si>
  <si>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</si>
  <si>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</si>
  <si>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</si>
  <si>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</si>
  <si>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</si>
  <si>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</si>
  <si>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</si>
  <si>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</si>
  <si>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</si>
  <si>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</si>
  <si>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</si>
  <si>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</si>
  <si>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</si>
  <si>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</si>
  <si>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</si>
  <si>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</si>
  <si>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</si>
  <si>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</si>
  <si>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</si>
  <si>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</si>
  <si>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</si>
  <si>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</si>
  <si>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</si>
  <si>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</si>
  <si>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</si>
  <si>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</si>
  <si>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</si>
  <si>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</si>
  <si>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</si>
  <si>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</si>
  <si>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</si>
  <si>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</si>
  <si>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</si>
  <si>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</si>
  <si>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</si>
  <si>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</si>
  <si>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</si>
  <si>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</si>
  <si>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</si>
  <si>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</si>
  <si>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</si>
  <si>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</si>
  <si>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</si>
  <si>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</si>
  <si>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</si>
  <si>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</si>
  <si>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</si>
  <si>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</si>
  <si>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</si>
  <si>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</si>
  <si>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</si>
  <si>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</si>
  <si>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</si>
  <si>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</si>
  <si>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</si>
  <si>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</si>
  <si>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</si>
  <si>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</si>
  <si>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</si>
  <si>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</si>
  <si>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</si>
  <si>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</si>
  <si>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</si>
  <si>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</si>
  <si>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</si>
  <si>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</si>
  <si>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</si>
  <si>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</si>
  <si>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</si>
  <si>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</si>
  <si>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</si>
  <si>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</si>
  <si>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</si>
  <si>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</si>
  <si>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</si>
  <si>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</si>
  <si>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</si>
  <si>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</si>
  <si>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</si>
  <si>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</si>
  <si>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</si>
  <si>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</si>
  <si>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</si>
  <si>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</si>
  <si>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</si>
  <si>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</si>
  <si>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</si>
  <si>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</si>
  <si>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</si>
  <si>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</si>
  <si>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</si>
  <si>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</si>
  <si>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</si>
  <si>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Her trækkes den organiske affald fra 2018 ud, og den udregnede lægges til. Sidst trækkes den undgåelige madaffald fra servicesektoren fra.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</si>
  <si>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</si>
  <si>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</si>
  <si>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</si>
  <si>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</si>
  <si>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</si>
  <si>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</si>
  <si>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</si>
  <si>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</si>
  <si>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</si>
  <si>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</si>
  <si>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</si>
  <si>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</si>
  <si>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</si>
  <si>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</si>
  <si>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</si>
  <si>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</si>
  <si>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</si>
  <si>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</si>
  <si>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</si>
  <si>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</si>
  <si>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</si>
  <si>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</si>
  <si>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</si>
  <si>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</si>
  <si>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</si>
  <si>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</si>
  <si>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</si>
  <si>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</si>
  <si>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</si>
  <si>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</si>
  <si>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</si>
  <si>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</si>
  <si>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</si>
  <si>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</si>
  <si>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</si>
  <si>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</si>
  <si>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</si>
  <si>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</si>
  <si>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</si>
  <si>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</si>
  <si>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</si>
  <si>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</si>
  <si>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</si>
  <si>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</si>
  <si>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</si>
  <si>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</si>
  <si>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</si>
  <si>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</si>
  <si>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</si>
  <si>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</si>
  <si>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</si>
  <si>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</si>
  <si>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</si>
  <si>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</si>
  <si>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</si>
  <si>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</si>
  <si>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</si>
  <si>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</si>
  <si>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</si>
  <si>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</si>
  <si>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</si>
  <si>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</si>
  <si>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</si>
  <si>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</si>
  <si>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</si>
  <si>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</si>
  <si>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</si>
  <si>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</si>
  <si>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</si>
  <si>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</si>
  <si>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Biomassescenarie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</si>
</sst>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0" fontId="0" fillId="0" borderId="44" xfId="0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2" xfId="0" applyNumberFormat="1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A9" sqref="A9:B9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2" t="s">
        <v>0</v>
      </c>
      <c r="B1" s="492"/>
    </row>
    <row r="2" spans="1:5" ht="30" customHeight="1" x14ac:dyDescent="0.25">
      <c r="A2" s="491" t="s">
        <v>778</v>
      </c>
      <c r="B2" s="491"/>
    </row>
    <row r="3" spans="1:5" x14ac:dyDescent="0.25">
      <c r="A3" s="494" t="s">
        <v>6</v>
      </c>
      <c r="B3" s="494"/>
    </row>
    <row r="4" spans="1:5" ht="28.9" customHeight="1" x14ac:dyDescent="0.25">
      <c r="A4" s="491" t="s">
        <v>897</v>
      </c>
      <c r="B4" s="491"/>
    </row>
    <row r="5" spans="1:5" x14ac:dyDescent="0.25">
      <c r="A5" s="493" t="s">
        <v>777</v>
      </c>
      <c r="B5" s="493"/>
    </row>
    <row r="7" spans="1:5" x14ac:dyDescent="0.25">
      <c r="A7" s="2" t="s">
        <v>1</v>
      </c>
      <c r="B7" s="3" t="s">
        <v>898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91" t="s">
        <v>5</v>
      </c>
      <c r="B9" s="491"/>
    </row>
    <row r="10" spans="1:5" ht="15.75" thickTop="1" x14ac:dyDescent="0.25">
      <c r="A10" s="375" t="s">
        <v>766</v>
      </c>
      <c r="B10" s="376" t="s">
        <v>297</v>
      </c>
      <c r="D10" s="408" t="s">
        <v>279</v>
      </c>
      <c r="E10" s="409"/>
    </row>
    <row r="11" spans="1:5" x14ac:dyDescent="0.25">
      <c r="A11" s="377" t="s">
        <v>288</v>
      </c>
      <c r="B11" s="378" t="s">
        <v>767</v>
      </c>
      <c r="D11" s="410" t="s">
        <v>788</v>
      </c>
      <c r="E11" s="411" t="s">
        <v>280</v>
      </c>
    </row>
    <row r="12" spans="1:5" x14ac:dyDescent="0.25">
      <c r="A12" s="377"/>
      <c r="B12" s="378" t="s">
        <v>4</v>
      </c>
      <c r="D12" s="410" t="s">
        <v>281</v>
      </c>
      <c r="E12" s="411" t="s">
        <v>282</v>
      </c>
    </row>
    <row r="13" spans="1:5" x14ac:dyDescent="0.25">
      <c r="A13" s="379" t="s">
        <v>683</v>
      </c>
      <c r="B13" s="378" t="s">
        <v>768</v>
      </c>
      <c r="D13" s="410" t="s">
        <v>283</v>
      </c>
      <c r="E13" s="411" t="s">
        <v>284</v>
      </c>
    </row>
    <row r="14" spans="1:5" x14ac:dyDescent="0.25">
      <c r="A14" s="377" t="s">
        <v>289</v>
      </c>
      <c r="B14" s="378" t="s">
        <v>769</v>
      </c>
      <c r="D14" s="410"/>
      <c r="E14" s="411"/>
    </row>
    <row r="15" spans="1:5" x14ac:dyDescent="0.25">
      <c r="A15" s="377"/>
      <c r="B15" s="378"/>
      <c r="D15" s="412" t="s">
        <v>285</v>
      </c>
      <c r="E15" s="411"/>
    </row>
    <row r="16" spans="1:5" x14ac:dyDescent="0.25">
      <c r="A16" s="379" t="s">
        <v>770</v>
      </c>
      <c r="B16" s="380" t="s">
        <v>771</v>
      </c>
      <c r="D16" s="410" t="s">
        <v>286</v>
      </c>
      <c r="E16" s="411"/>
    </row>
    <row r="17" spans="1:5" x14ac:dyDescent="0.25">
      <c r="A17" s="377" t="s">
        <v>772</v>
      </c>
      <c r="B17" s="378" t="s">
        <v>773</v>
      </c>
      <c r="D17" s="410" t="s">
        <v>82</v>
      </c>
      <c r="E17" s="411"/>
    </row>
    <row r="18" spans="1:5" x14ac:dyDescent="0.25">
      <c r="A18" s="377"/>
      <c r="B18" s="378"/>
      <c r="D18" s="410" t="s">
        <v>77</v>
      </c>
      <c r="E18" s="411"/>
    </row>
    <row r="19" spans="1:5" x14ac:dyDescent="0.25">
      <c r="A19" s="379" t="s">
        <v>540</v>
      </c>
      <c r="B19" s="380" t="s">
        <v>36</v>
      </c>
      <c r="D19" s="410" t="s">
        <v>287</v>
      </c>
      <c r="E19" s="411"/>
    </row>
    <row r="20" spans="1:5" x14ac:dyDescent="0.25">
      <c r="A20" s="377" t="s">
        <v>290</v>
      </c>
      <c r="B20" s="378" t="s">
        <v>774</v>
      </c>
      <c r="D20" s="410" t="s">
        <v>70</v>
      </c>
      <c r="E20" s="411"/>
    </row>
    <row r="21" spans="1:5" x14ac:dyDescent="0.25">
      <c r="A21" s="377" t="s">
        <v>291</v>
      </c>
      <c r="B21" s="378"/>
      <c r="D21" s="410"/>
      <c r="E21" s="411"/>
    </row>
    <row r="22" spans="1:5" x14ac:dyDescent="0.25">
      <c r="A22" s="377" t="s">
        <v>292</v>
      </c>
      <c r="B22" s="378"/>
      <c r="D22" s="412" t="s">
        <v>787</v>
      </c>
      <c r="E22" s="411"/>
    </row>
    <row r="23" spans="1:5" x14ac:dyDescent="0.25">
      <c r="A23" s="377" t="s">
        <v>293</v>
      </c>
      <c r="B23" s="378"/>
      <c r="D23" s="410">
        <v>2019</v>
      </c>
      <c r="E23" s="411"/>
    </row>
    <row r="24" spans="1:5" x14ac:dyDescent="0.25">
      <c r="A24" s="377" t="s">
        <v>775</v>
      </c>
      <c r="B24" s="378"/>
      <c r="D24" s="410">
        <v>2030</v>
      </c>
      <c r="E24" s="411"/>
    </row>
    <row r="25" spans="1:5" ht="15.75" thickBot="1" x14ac:dyDescent="0.3">
      <c r="A25" s="377" t="s">
        <v>776</v>
      </c>
      <c r="B25" s="378"/>
      <c r="D25" s="413">
        <v>2050</v>
      </c>
      <c r="E25" s="414"/>
    </row>
    <row r="26" spans="1:5" ht="15.75" thickTop="1" x14ac:dyDescent="0.25">
      <c r="A26" s="377" t="s">
        <v>294</v>
      </c>
      <c r="B26" s="378"/>
    </row>
    <row r="27" spans="1:5" x14ac:dyDescent="0.25">
      <c r="A27" s="377"/>
      <c r="B27" s="378"/>
    </row>
    <row r="28" spans="1:5" x14ac:dyDescent="0.25">
      <c r="A28" s="379" t="s">
        <v>820</v>
      </c>
      <c r="B28" s="378"/>
    </row>
    <row r="29" spans="1:5" ht="15.75" thickBot="1" x14ac:dyDescent="0.3">
      <c r="A29" s="381" t="s">
        <v>3</v>
      </c>
      <c r="B29" s="382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5" t="s">
        <v>321</v>
      </c>
      <c r="I1" s="495"/>
      <c r="J1" s="495"/>
      <c r="K1" s="155"/>
    </row>
    <row r="2" spans="1:11" ht="15.75" thickBot="1" x14ac:dyDescent="0.3">
      <c r="A2" s="156" t="s">
        <v>20</v>
      </c>
      <c r="B2" s="151" t="s">
        <v>342</v>
      </c>
      <c r="C2" s="151" t="s">
        <v>348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9"/>
      <c r="C3" s="179"/>
      <c r="D3" s="159" t="s">
        <v>297</v>
      </c>
      <c r="E3" s="159" t="str">
        <f>IFERROR(VLOOKUP(D3,Table2[],2,FALSE),"")</f>
        <v>Antal</v>
      </c>
      <c r="F3" s="159" t="s">
        <v>504</v>
      </c>
      <c r="G3" s="159" t="str">
        <f>IFERROR(VLOOKUP(F3,Table2[],2,FALSE),"")</f>
        <v>Ton</v>
      </c>
      <c r="H3" s="175">
        <f>'Produktion af spildevand'!B4</f>
        <v>1.1893449129763534</v>
      </c>
      <c r="I3" s="175">
        <f>'Produktion af spildevand'!C4</f>
        <v>1.1893449129763534</v>
      </c>
      <c r="J3" s="175">
        <f>'Produktion af spildevand'!D4</f>
        <v>1.1893449129763534</v>
      </c>
      <c r="K3" s="331"/>
    </row>
    <row r="4" spans="1:11" x14ac:dyDescent="0.25">
      <c r="A4" s="262" t="s">
        <v>22</v>
      </c>
      <c r="B4" s="263"/>
      <c r="C4" s="263"/>
      <c r="D4" s="264" t="s">
        <v>297</v>
      </c>
      <c r="E4" s="264" t="str">
        <f>IFERROR(VLOOKUP(D4,Table2[],2,FALSE),"")</f>
        <v>Antal</v>
      </c>
      <c r="F4" s="264" t="s">
        <v>322</v>
      </c>
      <c r="G4" s="264" t="str">
        <f>IFERROR(VLOOKUP(F4,Table2[],2,FALSE),"")</f>
        <v>Ton</v>
      </c>
      <c r="H4" s="265" t="e">
        <f ca="1">Affald!B5/Befolkningstal!B$4</f>
        <v>#REF!</v>
      </c>
      <c r="I4" s="265" t="e">
        <f ca="1">Affald!C5/Befolkningstal!C$4</f>
        <v>#REF!</v>
      </c>
      <c r="J4" s="265" t="e">
        <f ca="1">Affald!D5/Befolkningstal!D$4</f>
        <v>#REF!</v>
      </c>
      <c r="K4" s="266"/>
    </row>
    <row r="5" spans="1:11" x14ac:dyDescent="0.25">
      <c r="A5" s="439" t="s">
        <v>22</v>
      </c>
      <c r="B5" s="186"/>
      <c r="C5" s="186"/>
      <c r="D5" s="146" t="s">
        <v>297</v>
      </c>
      <c r="E5" s="146" t="str">
        <f>IFERROR(VLOOKUP(D5,Table2[],2,FALSE),"")</f>
        <v>Antal</v>
      </c>
      <c r="F5" s="146" t="s">
        <v>529</v>
      </c>
      <c r="G5" s="146" t="str">
        <f>IFERROR(VLOOKUP(F5,Table2[],2,FALSE),"")</f>
        <v>Ton</v>
      </c>
      <c r="H5" s="169">
        <f>Affald!B6/Befolkningstal!B$4</f>
        <v>0.1692723542782128</v>
      </c>
      <c r="I5" s="169">
        <f>Affald!C6/Befolkningstal!C$4</f>
        <v>0.16262827253720452</v>
      </c>
      <c r="J5" s="169">
        <f>Affald!D6/Befolkningstal!D$4</f>
        <v>0.15597543266598424</v>
      </c>
      <c r="K5" s="147"/>
    </row>
    <row r="6" spans="1:11" ht="15.75" thickBot="1" x14ac:dyDescent="0.3">
      <c r="A6" s="152" t="s">
        <v>22</v>
      </c>
      <c r="B6" s="180"/>
      <c r="C6" s="180"/>
      <c r="D6" s="203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8">
        <f>Affald!B7/Befolkningstal!B$4</f>
        <v>6.1145891695276039E-2</v>
      </c>
      <c r="I6" s="178">
        <f>Affald!C7/Befolkningstal!C$4</f>
        <v>5.8745864211269205E-2</v>
      </c>
      <c r="J6" s="178">
        <f>Affald!D7/Befolkningstal!D$4</f>
        <v>5.6342673046555734E-2</v>
      </c>
      <c r="K6" s="149"/>
    </row>
    <row r="7" spans="1:11" ht="15.75" thickTop="1" x14ac:dyDescent="0.25">
      <c r="A7" s="187" t="s">
        <v>23</v>
      </c>
      <c r="B7" s="184"/>
      <c r="C7" s="184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7">
        <f>8801/4409</f>
        <v>1.9961442503969153</v>
      </c>
      <c r="I7" s="177">
        <f>8801/4409</f>
        <v>1.9961442503969153</v>
      </c>
      <c r="J7" s="177">
        <f>8801/4409</f>
        <v>1.9961442503969153</v>
      </c>
      <c r="K7" s="352" t="s">
        <v>733</v>
      </c>
    </row>
    <row r="8" spans="1:11" ht="15.75" thickBot="1" x14ac:dyDescent="0.3">
      <c r="A8" s="188" t="s">
        <v>23</v>
      </c>
      <c r="B8" s="186"/>
      <c r="C8" s="186"/>
      <c r="D8" t="s">
        <v>298</v>
      </c>
      <c r="E8" s="146" t="str">
        <f>IFERROR(VLOOKUP(D8,Table2[],2,FALSE),"")</f>
        <v>Hektar</v>
      </c>
      <c r="F8" s="146" t="s">
        <v>346</v>
      </c>
      <c r="G8" s="146" t="str">
        <f>IFERROR(VLOOKUP(F8,Table2[],2,FALSE),"")</f>
        <v>t CO2-ækvivalenter</v>
      </c>
      <c r="H8" s="169">
        <f>-162*H7/1000</f>
        <v>-0.32337536856430027</v>
      </c>
      <c r="I8" s="169">
        <f t="shared" ref="I8:J8" si="0">-162*I7/1000</f>
        <v>-0.32337536856430027</v>
      </c>
      <c r="J8" s="169">
        <f t="shared" si="0"/>
        <v>-0.32337536856430027</v>
      </c>
      <c r="K8" s="228" t="s">
        <v>405</v>
      </c>
    </row>
    <row r="9" spans="1:11" ht="15.75" thickTop="1" x14ac:dyDescent="0.25">
      <c r="A9" s="187" t="s">
        <v>24</v>
      </c>
      <c r="B9" s="184"/>
      <c r="C9" s="184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732</v>
      </c>
    </row>
    <row r="10" spans="1:11" ht="15.75" thickBot="1" x14ac:dyDescent="0.3">
      <c r="A10" s="188" t="s">
        <v>24</v>
      </c>
      <c r="B10" s="186"/>
      <c r="C10" s="186"/>
      <c r="D10" s="146" t="s">
        <v>299</v>
      </c>
      <c r="E10" s="146" t="str">
        <f>IFERROR(VLOOKUP(D10,Table2[],2,FALSE),"")</f>
        <v>Hektar</v>
      </c>
      <c r="F10" s="146" t="s">
        <v>346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406</v>
      </c>
    </row>
    <row r="11" spans="1:11" ht="15.75" thickTop="1" x14ac:dyDescent="0.25">
      <c r="A11" s="187" t="s">
        <v>556</v>
      </c>
      <c r="B11" s="184"/>
      <c r="C11" s="184" t="s">
        <v>557</v>
      </c>
      <c r="D11" s="144" t="s">
        <v>583</v>
      </c>
      <c r="E11" s="144" t="str">
        <f>IFERROR(VLOOKUP(D11,Table2[],2,FALSE),"")</f>
        <v>Hektar</v>
      </c>
      <c r="F11" s="144" t="s">
        <v>555</v>
      </c>
      <c r="G11" s="144" t="str">
        <f>IFERROR(VLOOKUP(F11,Table2[],2,FALSE),"")</f>
        <v>m3</v>
      </c>
      <c r="H11" s="177">
        <f>Hugst!$G$4*(1-Hugst!$G$5)</f>
        <v>3.0688037792986753</v>
      </c>
      <c r="I11" s="177">
        <f>Hugst!$G$4*(1-Hugst!$G$5)</f>
        <v>3.0688037792986753</v>
      </c>
      <c r="J11" s="177">
        <f>Hugst!$G$4*(1-Hugst!$G$5)</f>
        <v>3.0688037792986753</v>
      </c>
      <c r="K11" s="145"/>
    </row>
    <row r="12" spans="1:11" x14ac:dyDescent="0.25">
      <c r="A12" s="188" t="s">
        <v>556</v>
      </c>
      <c r="B12" s="186"/>
      <c r="C12" s="186" t="s">
        <v>557</v>
      </c>
      <c r="D12" s="146" t="s">
        <v>583</v>
      </c>
      <c r="E12" s="146" t="str">
        <f>IFERROR(VLOOKUP(D12,Table2[],2,FALSE),"")</f>
        <v>Hektar</v>
      </c>
      <c r="F12" s="150" t="s">
        <v>407</v>
      </c>
      <c r="G12" s="146" t="str">
        <f>IFERROR(VLOOKUP(F12,Table2[],2,FALSE),"")</f>
        <v>m3</v>
      </c>
      <c r="H12" s="169">
        <f>Hugst!$G$4*Hugst!$G$5</f>
        <v>3.7614715316941885</v>
      </c>
      <c r="I12" s="169">
        <f>Hugst!$G$4*Hugst!$G$5</f>
        <v>3.7614715316941885</v>
      </c>
      <c r="J12" s="169">
        <f>Hugst!$G$4*Hugst!$G$5</f>
        <v>3.7614715316941885</v>
      </c>
      <c r="K12" s="147"/>
    </row>
    <row r="13" spans="1:11" ht="15.75" thickBot="1" x14ac:dyDescent="0.3">
      <c r="A13" s="188" t="s">
        <v>556</v>
      </c>
      <c r="B13" s="186"/>
      <c r="C13" s="186" t="s">
        <v>557</v>
      </c>
      <c r="D13" s="146" t="s">
        <v>583</v>
      </c>
      <c r="E13" s="146" t="str">
        <f>IFERROR(VLOOKUP(D13,Table2[],2,FALSE),"")</f>
        <v>Hektar</v>
      </c>
      <c r="F13" s="146" t="s">
        <v>346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7" t="s">
        <v>556</v>
      </c>
      <c r="B14" s="184"/>
      <c r="C14" s="184" t="s">
        <v>558</v>
      </c>
      <c r="D14" s="144" t="s">
        <v>563</v>
      </c>
      <c r="E14" s="144" t="str">
        <f>IFERROR(VLOOKUP(D14,Table2[],2,FALSE),"")</f>
        <v>Hektar</v>
      </c>
      <c r="F14" s="144" t="s">
        <v>555</v>
      </c>
      <c r="G14" s="144" t="str">
        <f>IFERROR(VLOOKUP(F14,Table2[],2,FALSE),"")</f>
        <v>m3</v>
      </c>
      <c r="H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8" t="s">
        <v>556</v>
      </c>
      <c r="B15" s="186"/>
      <c r="C15" s="186" t="s">
        <v>558</v>
      </c>
      <c r="D15" s="146" t="s">
        <v>563</v>
      </c>
      <c r="E15" s="146" t="str">
        <f>IFERROR(VLOOKUP(D15,Table2[],2,FALSE),"")</f>
        <v>Hektar</v>
      </c>
      <c r="F15" s="150" t="s">
        <v>407</v>
      </c>
      <c r="G15" s="146" t="str">
        <f>IFERROR(VLOOKUP(F15,Table2[],2,FALSE),"")</f>
        <v>m3</v>
      </c>
      <c r="H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8" t="s">
        <v>556</v>
      </c>
      <c r="B16" s="186"/>
      <c r="C16" s="186" t="s">
        <v>558</v>
      </c>
      <c r="D16" s="146" t="s">
        <v>563</v>
      </c>
      <c r="E16" s="146" t="str">
        <f>IFERROR(VLOOKUP(D16,Table2[],2,FALSE),"")</f>
        <v>Hektar</v>
      </c>
      <c r="F16" s="146" t="s">
        <v>346</v>
      </c>
      <c r="G16" s="146" t="str">
        <f>IFERROR(VLOOKUP(F16,Table2[],2,FALSE),"")</f>
        <v>t CO2-ækvivalenter</v>
      </c>
      <c r="H16" s="319">
        <f>-VLOOKUP($C16,'Kulstofoptag, skov'!$B$2:$I$13,MATCH(VALUE(RIGHT('Processer - data'!$D16,2)),'Kulstofoptag, skov'!$B$1:$I$1,0),FALSE)</f>
        <v>-2.5</v>
      </c>
      <c r="I16" s="319">
        <f>-VLOOKUP($C16,'Kulstofoptag, skov'!$B$2:$I$13,MATCH(VALUE(RIGHT('Processer - data'!$D16,2)),'Kulstofoptag, skov'!$B$1:$I$1,0),FALSE)</f>
        <v>-2.5</v>
      </c>
      <c r="J16" s="319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8" t="s">
        <v>556</v>
      </c>
      <c r="B17" s="186"/>
      <c r="C17" s="186" t="s">
        <v>558</v>
      </c>
      <c r="D17" s="146" t="s">
        <v>564</v>
      </c>
      <c r="E17" s="146" t="str">
        <f>IFERROR(VLOOKUP(D17,Table2[],2,FALSE),"")</f>
        <v>Hektar</v>
      </c>
      <c r="F17" s="146" t="s">
        <v>555</v>
      </c>
      <c r="G17" s="146" t="str">
        <f>IFERROR(VLOOKUP(F17,Table2[],2,FALSE),"")</f>
        <v>m3</v>
      </c>
      <c r="H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8" t="s">
        <v>556</v>
      </c>
      <c r="B18" s="186"/>
      <c r="C18" s="186" t="s">
        <v>558</v>
      </c>
      <c r="D18" s="146" t="s">
        <v>564</v>
      </c>
      <c r="E18" s="146" t="str">
        <f>IFERROR(VLOOKUP(D18,Table2[],2,FALSE),"")</f>
        <v>Hektar</v>
      </c>
      <c r="F18" s="146" t="s">
        <v>407</v>
      </c>
      <c r="G18" s="146" t="str">
        <f>IFERROR(VLOOKUP(F18,Table2[],2,FALSE),"")</f>
        <v>m3</v>
      </c>
      <c r="H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8" t="s">
        <v>556</v>
      </c>
      <c r="B19" s="186"/>
      <c r="C19" s="186" t="s">
        <v>558</v>
      </c>
      <c r="D19" s="146" t="s">
        <v>564</v>
      </c>
      <c r="E19" s="146" t="str">
        <f>IFERROR(VLOOKUP(D19,Table2[],2,FALSE),"")</f>
        <v>Hektar</v>
      </c>
      <c r="F19" s="146" t="s">
        <v>346</v>
      </c>
      <c r="G19" s="146" t="str">
        <f>IFERROR(VLOOKUP(F19,Table2[],2,FALSE),"")</f>
        <v>t CO2-ækvivalenter</v>
      </c>
      <c r="H19" s="319">
        <f>-VLOOKUP($C19,'Kulstofoptag, skov'!$B$2:$I$13,MATCH(VALUE(RIGHT('Processer - data'!$D19,2)),'Kulstofoptag, skov'!$B$1:$I$1,0),FALSE)</f>
        <v>-5.5</v>
      </c>
      <c r="I19" s="319">
        <f>-VLOOKUP($C19,'Kulstofoptag, skov'!$B$2:$I$13,MATCH(VALUE(RIGHT('Processer - data'!$D19,2)),'Kulstofoptag, skov'!$B$1:$I$1,0),FALSE)</f>
        <v>-5.5</v>
      </c>
      <c r="J19" s="319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8" t="s">
        <v>556</v>
      </c>
      <c r="B20" s="186"/>
      <c r="C20" s="186" t="s">
        <v>558</v>
      </c>
      <c r="D20" s="146" t="s">
        <v>565</v>
      </c>
      <c r="E20" s="146" t="str">
        <f>IFERROR(VLOOKUP(D20,Table2[],2,FALSE),"")</f>
        <v>Hektar</v>
      </c>
      <c r="F20" s="146" t="s">
        <v>555</v>
      </c>
      <c r="G20" s="146" t="str">
        <f>IFERROR(VLOOKUP(F20,Table2[],2,FALSE),"")</f>
        <v>m3</v>
      </c>
      <c r="H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8" t="s">
        <v>556</v>
      </c>
      <c r="B21" s="186"/>
      <c r="C21" s="186" t="s">
        <v>558</v>
      </c>
      <c r="D21" s="146" t="s">
        <v>565</v>
      </c>
      <c r="E21" s="146" t="str">
        <f>IFERROR(VLOOKUP(D21,Table2[],2,FALSE),"")</f>
        <v>Hektar</v>
      </c>
      <c r="F21" s="146" t="s">
        <v>407</v>
      </c>
      <c r="G21" s="146" t="str">
        <f>IFERROR(VLOOKUP(F21,Table2[],2,FALSE),"")</f>
        <v>m3</v>
      </c>
      <c r="H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8" t="s">
        <v>556</v>
      </c>
      <c r="B22" s="186"/>
      <c r="C22" s="186" t="s">
        <v>558</v>
      </c>
      <c r="D22" s="146" t="s">
        <v>565</v>
      </c>
      <c r="E22" s="146" t="str">
        <f>IFERROR(VLOOKUP(D22,Table2[],2,FALSE),"")</f>
        <v>Hektar</v>
      </c>
      <c r="F22" s="146" t="s">
        <v>346</v>
      </c>
      <c r="G22" s="146" t="str">
        <f>IFERROR(VLOOKUP(F22,Table2[],2,FALSE),"")</f>
        <v>t CO2-ækvivalenter</v>
      </c>
      <c r="H22" s="319">
        <f>-VLOOKUP($C22,'Kulstofoptag, skov'!$B$2:$I$13,MATCH(VALUE(RIGHT('Processer - data'!$D22,2)),'Kulstofoptag, skov'!$B$1:$I$1,0),FALSE)</f>
        <v>-14</v>
      </c>
      <c r="I22" s="319">
        <f>-VLOOKUP($C22,'Kulstofoptag, skov'!$B$2:$I$13,MATCH(VALUE(RIGHT('Processer - data'!$D22,2)),'Kulstofoptag, skov'!$B$1:$I$1,0),FALSE)</f>
        <v>-14</v>
      </c>
      <c r="J22" s="319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8" t="s">
        <v>556</v>
      </c>
      <c r="B23" s="186"/>
      <c r="C23" s="186" t="s">
        <v>558</v>
      </c>
      <c r="D23" s="146" t="s">
        <v>566</v>
      </c>
      <c r="E23" s="146" t="str">
        <f>IFERROR(VLOOKUP(D23,Table2[],2,FALSE),"")</f>
        <v>Hektar</v>
      </c>
      <c r="F23" s="146" t="s">
        <v>555</v>
      </c>
      <c r="G23" s="146" t="str">
        <f>IFERROR(VLOOKUP(F23,Table2[],2,FALSE),"")</f>
        <v>m3</v>
      </c>
      <c r="H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8" t="s">
        <v>556</v>
      </c>
      <c r="B24" s="186"/>
      <c r="C24" s="186" t="s">
        <v>558</v>
      </c>
      <c r="D24" s="146" t="s">
        <v>566</v>
      </c>
      <c r="E24" s="146" t="str">
        <f>IFERROR(VLOOKUP(D24,Table2[],2,FALSE),"")</f>
        <v>Hektar</v>
      </c>
      <c r="F24" s="146" t="s">
        <v>407</v>
      </c>
      <c r="G24" s="146" t="str">
        <f>IFERROR(VLOOKUP(F24,Table2[],2,FALSE),"")</f>
        <v>m3</v>
      </c>
      <c r="H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8" t="s">
        <v>556</v>
      </c>
      <c r="B25" s="186"/>
      <c r="C25" s="186" t="s">
        <v>558</v>
      </c>
      <c r="D25" s="146" t="s">
        <v>566</v>
      </c>
      <c r="E25" s="146" t="str">
        <f>IFERROR(VLOOKUP(D25,Table2[],2,FALSE),"")</f>
        <v>Hektar</v>
      </c>
      <c r="F25" s="146" t="s">
        <v>346</v>
      </c>
      <c r="G25" s="146" t="str">
        <f>IFERROR(VLOOKUP(F25,Table2[],2,FALSE),"")</f>
        <v>t CO2-ækvivalenter</v>
      </c>
      <c r="H25" s="321">
        <f>-VLOOKUP($C25,'Kulstofoptag, skov'!$B$2:$I$13,MATCH(VALUE(RIGHT('Processer - data'!$D25,2)),'Kulstofoptag, skov'!$B$1:$I$1,0),FALSE)</f>
        <v>-14.5</v>
      </c>
      <c r="I25" s="321">
        <f>-VLOOKUP($C25,'Kulstofoptag, skov'!$B$2:$I$13,MATCH(VALUE(RIGHT('Processer - data'!$D25,2)),'Kulstofoptag, skov'!$B$1:$I$1,0),FALSE)</f>
        <v>-14.5</v>
      </c>
      <c r="J25" s="321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7" t="s">
        <v>556</v>
      </c>
      <c r="B26" s="184"/>
      <c r="C26" s="184" t="s">
        <v>559</v>
      </c>
      <c r="D26" s="144" t="s">
        <v>567</v>
      </c>
      <c r="E26" s="144" t="str">
        <f>IFERROR(VLOOKUP(D26,Table2[],2,FALSE),"")</f>
        <v>Hektar</v>
      </c>
      <c r="F26" s="144" t="s">
        <v>555</v>
      </c>
      <c r="G26" s="144" t="str">
        <f>IFERROR(VLOOKUP(F26,Table2[],2,FALSE),"")</f>
        <v>m3</v>
      </c>
      <c r="H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8" t="s">
        <v>556</v>
      </c>
      <c r="B27" s="186"/>
      <c r="C27" s="186" t="s">
        <v>559</v>
      </c>
      <c r="D27" s="146" t="s">
        <v>567</v>
      </c>
      <c r="E27" s="146" t="str">
        <f>IFERROR(VLOOKUP(D27,Table2[],2,FALSE),"")</f>
        <v>Hektar</v>
      </c>
      <c r="F27" s="150" t="s">
        <v>407</v>
      </c>
      <c r="G27" s="146" t="str">
        <f>IFERROR(VLOOKUP(F27,Table2[],2,FALSE),"")</f>
        <v>m3</v>
      </c>
      <c r="H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8" t="s">
        <v>556</v>
      </c>
      <c r="B28" s="186"/>
      <c r="C28" s="186" t="s">
        <v>559</v>
      </c>
      <c r="D28" s="146" t="s">
        <v>567</v>
      </c>
      <c r="E28" s="146" t="str">
        <f>IFERROR(VLOOKUP(D28,Table2[],2,FALSE),"")</f>
        <v>Hektar</v>
      </c>
      <c r="F28" s="146" t="s">
        <v>346</v>
      </c>
      <c r="G28" s="146" t="str">
        <f>IFERROR(VLOOKUP(F28,Table2[],2,FALSE),"")</f>
        <v>t CO2-ækvivalenter</v>
      </c>
      <c r="H28" s="319">
        <f>-VLOOKUP($C28,'Kulstofoptag, skov'!$B$2:$I$13,MATCH(VALUE(RIGHT('Processer - data'!$D28,2)),'Kulstofoptag, skov'!$B$1:$I$1,0),FALSE)</f>
        <v>-12.5</v>
      </c>
      <c r="I28" s="319">
        <f>-VLOOKUP($C28,'Kulstofoptag, skov'!$B$2:$I$13,MATCH(VALUE(RIGHT('Processer - data'!$D28,2)),'Kulstofoptag, skov'!$B$1:$I$1,0),FALSE)</f>
        <v>-12.5</v>
      </c>
      <c r="J28" s="319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8" t="s">
        <v>556</v>
      </c>
      <c r="B29" s="186"/>
      <c r="C29" s="186" t="s">
        <v>559</v>
      </c>
      <c r="D29" s="146" t="s">
        <v>568</v>
      </c>
      <c r="E29" s="146" t="str">
        <f>IFERROR(VLOOKUP(D29,Table2[],2,FALSE),"")</f>
        <v>Hektar</v>
      </c>
      <c r="F29" s="146" t="s">
        <v>555</v>
      </c>
      <c r="G29" s="146" t="str">
        <f>IFERROR(VLOOKUP(F29,Table2[],2,FALSE),"")</f>
        <v>m3</v>
      </c>
      <c r="H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8" t="s">
        <v>556</v>
      </c>
      <c r="B30" s="186"/>
      <c r="C30" s="186" t="s">
        <v>559</v>
      </c>
      <c r="D30" s="146" t="s">
        <v>568</v>
      </c>
      <c r="E30" s="146" t="str">
        <f>IFERROR(VLOOKUP(D30,Table2[],2,FALSE),"")</f>
        <v>Hektar</v>
      </c>
      <c r="F30" s="146" t="s">
        <v>407</v>
      </c>
      <c r="G30" s="146" t="str">
        <f>IFERROR(VLOOKUP(F30,Table2[],2,FALSE),"")</f>
        <v>m3</v>
      </c>
      <c r="H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8" t="s">
        <v>556</v>
      </c>
      <c r="B31" s="186"/>
      <c r="C31" s="186" t="s">
        <v>559</v>
      </c>
      <c r="D31" s="146" t="s">
        <v>568</v>
      </c>
      <c r="E31" s="146" t="str">
        <f>IFERROR(VLOOKUP(D31,Table2[],2,FALSE),"")</f>
        <v>Hektar</v>
      </c>
      <c r="F31" s="146" t="s">
        <v>346</v>
      </c>
      <c r="G31" s="146" t="str">
        <f>IFERROR(VLOOKUP(F31,Table2[],2,FALSE),"")</f>
        <v>t CO2-ækvivalenter</v>
      </c>
      <c r="H31" s="319">
        <f>-VLOOKUP($C31,'Kulstofoptag, skov'!$B$2:$I$13,MATCH(VALUE(RIGHT('Processer - data'!$D31,2)),'Kulstofoptag, skov'!$B$1:$I$1,0),FALSE)</f>
        <v>-16</v>
      </c>
      <c r="I31" s="319">
        <f>-VLOOKUP($C31,'Kulstofoptag, skov'!$B$2:$I$13,MATCH(VALUE(RIGHT('Processer - data'!$D31,2)),'Kulstofoptag, skov'!$B$1:$I$1,0),FALSE)</f>
        <v>-16</v>
      </c>
      <c r="J31" s="319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8" t="s">
        <v>556</v>
      </c>
      <c r="B32" s="186"/>
      <c r="C32" s="186" t="s">
        <v>559</v>
      </c>
      <c r="D32" s="146" t="s">
        <v>569</v>
      </c>
      <c r="E32" s="146" t="str">
        <f>IFERROR(VLOOKUP(D32,Table2[],2,FALSE),"")</f>
        <v>Hektar</v>
      </c>
      <c r="F32" s="146" t="s">
        <v>555</v>
      </c>
      <c r="G32" s="146" t="str">
        <f>IFERROR(VLOOKUP(F32,Table2[],2,FALSE),"")</f>
        <v>m3</v>
      </c>
      <c r="H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8" t="s">
        <v>556</v>
      </c>
      <c r="B33" s="186"/>
      <c r="C33" s="186" t="s">
        <v>559</v>
      </c>
      <c r="D33" s="146" t="s">
        <v>569</v>
      </c>
      <c r="E33" s="146" t="str">
        <f>IFERROR(VLOOKUP(D33,Table2[],2,FALSE),"")</f>
        <v>Hektar</v>
      </c>
      <c r="F33" s="146" t="s">
        <v>407</v>
      </c>
      <c r="G33" s="146" t="str">
        <f>IFERROR(VLOOKUP(F33,Table2[],2,FALSE),"")</f>
        <v>m3</v>
      </c>
      <c r="H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8" t="s">
        <v>556</v>
      </c>
      <c r="B34" s="186"/>
      <c r="C34" s="186" t="s">
        <v>559</v>
      </c>
      <c r="D34" s="146" t="s">
        <v>569</v>
      </c>
      <c r="E34" s="146" t="str">
        <f>IFERROR(VLOOKUP(D34,Table2[],2,FALSE),"")</f>
        <v>Hektar</v>
      </c>
      <c r="F34" s="146" t="s">
        <v>346</v>
      </c>
      <c r="G34" s="146" t="str">
        <f>IFERROR(VLOOKUP(F34,Table2[],2,FALSE),"")</f>
        <v>t CO2-ækvivalenter</v>
      </c>
      <c r="H34" s="319">
        <f>-VLOOKUP($C34,'Kulstofoptag, skov'!$B$2:$I$13,MATCH(VALUE(RIGHT('Processer - data'!$D34,2)),'Kulstofoptag, skov'!$B$1:$I$1,0),FALSE)</f>
        <v>-0.5</v>
      </c>
      <c r="I34" s="319">
        <f>-VLOOKUP($C34,'Kulstofoptag, skov'!$B$2:$I$13,MATCH(VALUE(RIGHT('Processer - data'!$D34,2)),'Kulstofoptag, skov'!$B$1:$I$1,0),FALSE)</f>
        <v>-0.5</v>
      </c>
      <c r="J34" s="319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8" t="s">
        <v>556</v>
      </c>
      <c r="B35" s="186"/>
      <c r="C35" s="186" t="s">
        <v>559</v>
      </c>
      <c r="D35" s="146" t="s">
        <v>570</v>
      </c>
      <c r="E35" s="146" t="str">
        <f>IFERROR(VLOOKUP(D35,Table2[],2,FALSE),"")</f>
        <v>Hektar</v>
      </c>
      <c r="F35" s="146" t="s">
        <v>555</v>
      </c>
      <c r="G35" s="146" t="str">
        <f>IFERROR(VLOOKUP(F35,Table2[],2,FALSE),"")</f>
        <v>m3</v>
      </c>
      <c r="H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8" t="s">
        <v>556</v>
      </c>
      <c r="B36" s="186"/>
      <c r="C36" s="186" t="s">
        <v>559</v>
      </c>
      <c r="D36" s="146" t="s">
        <v>570</v>
      </c>
      <c r="E36" s="146" t="str">
        <f>IFERROR(VLOOKUP(D36,Table2[],2,FALSE),"")</f>
        <v>Hektar</v>
      </c>
      <c r="F36" s="146" t="s">
        <v>407</v>
      </c>
      <c r="G36" s="146" t="str">
        <f>IFERROR(VLOOKUP(F36,Table2[],2,FALSE),"")</f>
        <v>m3</v>
      </c>
      <c r="H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8" t="s">
        <v>556</v>
      </c>
      <c r="B37" s="186"/>
      <c r="C37" s="186" t="s">
        <v>559</v>
      </c>
      <c r="D37" s="146" t="s">
        <v>570</v>
      </c>
      <c r="E37" s="146" t="str">
        <f>IFERROR(VLOOKUP(D37,Table2[],2,FALSE),"")</f>
        <v>Hektar</v>
      </c>
      <c r="F37" s="146" t="s">
        <v>346</v>
      </c>
      <c r="G37" s="146" t="str">
        <f>IFERROR(VLOOKUP(F37,Table2[],2,FALSE),"")</f>
        <v>t CO2-ækvivalenter</v>
      </c>
      <c r="H37" s="321">
        <f>-VLOOKUP($C37,'Kulstofoptag, skov'!$B$2:$I$13,MATCH(VALUE(RIGHT('Processer - data'!$D37,2)),'Kulstofoptag, skov'!$B$1:$I$1,0),FALSE)</f>
        <v>-12.5</v>
      </c>
      <c r="I37" s="321">
        <f>-VLOOKUP($C37,'Kulstofoptag, skov'!$B$2:$I$13,MATCH(VALUE(RIGHT('Processer - data'!$D37,2)),'Kulstofoptag, skov'!$B$1:$I$1,0),FALSE)</f>
        <v>-12.5</v>
      </c>
      <c r="J37" s="321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7" t="s">
        <v>556</v>
      </c>
      <c r="B38" s="184"/>
      <c r="C38" s="184" t="s">
        <v>560</v>
      </c>
      <c r="D38" s="144" t="s">
        <v>571</v>
      </c>
      <c r="E38" s="144" t="str">
        <f>IFERROR(VLOOKUP(D38,Table2[],2,FALSE),"")</f>
        <v>Hektar</v>
      </c>
      <c r="F38" s="144" t="s">
        <v>555</v>
      </c>
      <c r="G38" s="144" t="str">
        <f>IFERROR(VLOOKUP(F38,Table2[],2,FALSE),"")</f>
        <v>m3</v>
      </c>
      <c r="H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8" t="s">
        <v>556</v>
      </c>
      <c r="B39" s="186"/>
      <c r="C39" s="186" t="s">
        <v>560</v>
      </c>
      <c r="D39" s="146" t="s">
        <v>571</v>
      </c>
      <c r="E39" s="146" t="str">
        <f>IFERROR(VLOOKUP(D39,Table2[],2,FALSE),"")</f>
        <v>Hektar</v>
      </c>
      <c r="F39" s="150" t="s">
        <v>407</v>
      </c>
      <c r="G39" s="146" t="str">
        <f>IFERROR(VLOOKUP(F39,Table2[],2,FALSE),"")</f>
        <v>m3</v>
      </c>
      <c r="H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8" t="s">
        <v>556</v>
      </c>
      <c r="B40" s="186"/>
      <c r="C40" s="186" t="s">
        <v>560</v>
      </c>
      <c r="D40" s="146" t="s">
        <v>571</v>
      </c>
      <c r="E40" s="146" t="str">
        <f>IFERROR(VLOOKUP(D40,Table2[],2,FALSE),"")</f>
        <v>Hektar</v>
      </c>
      <c r="F40" s="146" t="s">
        <v>346</v>
      </c>
      <c r="G40" s="146" t="str">
        <f>IFERROR(VLOOKUP(F40,Table2[],2,FALSE),"")</f>
        <v>t CO2-ækvivalenter</v>
      </c>
      <c r="H40" s="319">
        <f>-VLOOKUP($C40,'Kulstofoptag, skov'!$B$2:$I$13,MATCH(VALUE(RIGHT('Processer - data'!$D40,2)),'Kulstofoptag, skov'!$B$1:$I$1,0),FALSE)</f>
        <v>-2.5</v>
      </c>
      <c r="I40" s="319">
        <f>-VLOOKUP($C40,'Kulstofoptag, skov'!$B$2:$I$13,MATCH(VALUE(RIGHT('Processer - data'!$D40,2)),'Kulstofoptag, skov'!$B$1:$I$1,0),FALSE)</f>
        <v>-2.5</v>
      </c>
      <c r="J40" s="319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8" t="s">
        <v>556</v>
      </c>
      <c r="B41" s="186"/>
      <c r="C41" s="186" t="s">
        <v>560</v>
      </c>
      <c r="D41" s="146" t="s">
        <v>572</v>
      </c>
      <c r="E41" s="146" t="str">
        <f>IFERROR(VLOOKUP(D41,Table2[],2,FALSE),"")</f>
        <v>Hektar</v>
      </c>
      <c r="F41" s="146" t="s">
        <v>555</v>
      </c>
      <c r="G41" s="146" t="str">
        <f>IFERROR(VLOOKUP(F41,Table2[],2,FALSE),"")</f>
        <v>m3</v>
      </c>
      <c r="H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8" t="s">
        <v>556</v>
      </c>
      <c r="B42" s="186"/>
      <c r="C42" s="186" t="s">
        <v>560</v>
      </c>
      <c r="D42" s="146" t="s">
        <v>572</v>
      </c>
      <c r="E42" s="146" t="str">
        <f>IFERROR(VLOOKUP(D42,Table2[],2,FALSE),"")</f>
        <v>Hektar</v>
      </c>
      <c r="F42" s="146" t="s">
        <v>407</v>
      </c>
      <c r="G42" s="146" t="str">
        <f>IFERROR(VLOOKUP(F42,Table2[],2,FALSE),"")</f>
        <v>m3</v>
      </c>
      <c r="H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8" t="s">
        <v>556</v>
      </c>
      <c r="B43" s="186"/>
      <c r="C43" s="186" t="s">
        <v>560</v>
      </c>
      <c r="D43" s="146" t="s">
        <v>572</v>
      </c>
      <c r="E43" s="146" t="str">
        <f>IFERROR(VLOOKUP(D43,Table2[],2,FALSE),"")</f>
        <v>Hektar</v>
      </c>
      <c r="F43" s="146" t="s">
        <v>346</v>
      </c>
      <c r="G43" s="146" t="str">
        <f>IFERROR(VLOOKUP(F43,Table2[],2,FALSE),"")</f>
        <v>t CO2-ækvivalenter</v>
      </c>
      <c r="H43" s="319">
        <f>-VLOOKUP($C43,'Kulstofoptag, skov'!$B$2:$I$13,MATCH(VALUE(RIGHT('Processer - data'!$D43,2)),'Kulstofoptag, skov'!$B$1:$I$1,0),FALSE)</f>
        <v>-4.25</v>
      </c>
      <c r="I43" s="319">
        <f>-VLOOKUP($C43,'Kulstofoptag, skov'!$B$2:$I$13,MATCH(VALUE(RIGHT('Processer - data'!$D43,2)),'Kulstofoptag, skov'!$B$1:$I$1,0),FALSE)</f>
        <v>-4.25</v>
      </c>
      <c r="J43" s="319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8" t="s">
        <v>556</v>
      </c>
      <c r="B44" s="186"/>
      <c r="C44" s="186" t="s">
        <v>560</v>
      </c>
      <c r="D44" s="146" t="s">
        <v>573</v>
      </c>
      <c r="E44" s="146" t="str">
        <f>IFERROR(VLOOKUP(D44,Table2[],2,FALSE),"")</f>
        <v>Hektar</v>
      </c>
      <c r="F44" s="146" t="s">
        <v>555</v>
      </c>
      <c r="G44" s="146" t="str">
        <f>IFERROR(VLOOKUP(F44,Table2[],2,FALSE),"")</f>
        <v>m3</v>
      </c>
      <c r="H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8" t="s">
        <v>556</v>
      </c>
      <c r="B45" s="186"/>
      <c r="C45" s="186" t="s">
        <v>560</v>
      </c>
      <c r="D45" s="146" t="s">
        <v>573</v>
      </c>
      <c r="E45" s="146" t="str">
        <f>IFERROR(VLOOKUP(D45,Table2[],2,FALSE),"")</f>
        <v>Hektar</v>
      </c>
      <c r="F45" s="146" t="s">
        <v>407</v>
      </c>
      <c r="G45" s="146" t="str">
        <f>IFERROR(VLOOKUP(F45,Table2[],2,FALSE),"")</f>
        <v>m3</v>
      </c>
      <c r="H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8" t="s">
        <v>556</v>
      </c>
      <c r="B46" s="186"/>
      <c r="C46" s="186" t="s">
        <v>560</v>
      </c>
      <c r="D46" s="146" t="s">
        <v>573</v>
      </c>
      <c r="E46" s="146" t="str">
        <f>IFERROR(VLOOKUP(D46,Table2[],2,FALSE),"")</f>
        <v>Hektar</v>
      </c>
      <c r="F46" s="146" t="s">
        <v>346</v>
      </c>
      <c r="G46" s="146" t="str">
        <f>IFERROR(VLOOKUP(F46,Table2[],2,FALSE),"")</f>
        <v>t CO2-ækvivalenter</v>
      </c>
      <c r="H46" s="319">
        <f>-VLOOKUP($C46,'Kulstofoptag, skov'!$B$2:$I$13,MATCH(VALUE(RIGHT('Processer - data'!$D46,2)),'Kulstofoptag, skov'!$B$1:$I$1,0),FALSE)</f>
        <v>-13.75</v>
      </c>
      <c r="I46" s="319">
        <f>-VLOOKUP($C46,'Kulstofoptag, skov'!$B$2:$I$13,MATCH(VALUE(RIGHT('Processer - data'!$D46,2)),'Kulstofoptag, skov'!$B$1:$I$1,0),FALSE)</f>
        <v>-13.75</v>
      </c>
      <c r="J46" s="319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8" t="s">
        <v>556</v>
      </c>
      <c r="B47" s="186"/>
      <c r="C47" s="186" t="s">
        <v>560</v>
      </c>
      <c r="D47" s="146" t="s">
        <v>574</v>
      </c>
      <c r="E47" s="146" t="str">
        <f>IFERROR(VLOOKUP(D47,Table2[],2,FALSE),"")</f>
        <v>Hektar</v>
      </c>
      <c r="F47" s="146" t="s">
        <v>555</v>
      </c>
      <c r="G47" s="146" t="str">
        <f>IFERROR(VLOOKUP(F47,Table2[],2,FALSE),"")</f>
        <v>m3</v>
      </c>
      <c r="H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8" t="s">
        <v>556</v>
      </c>
      <c r="B48" s="186"/>
      <c r="C48" s="186" t="s">
        <v>560</v>
      </c>
      <c r="D48" s="146" t="s">
        <v>574</v>
      </c>
      <c r="E48" s="146" t="str">
        <f>IFERROR(VLOOKUP(D48,Table2[],2,FALSE),"")</f>
        <v>Hektar</v>
      </c>
      <c r="F48" s="146" t="s">
        <v>407</v>
      </c>
      <c r="G48" s="146" t="str">
        <f>IFERROR(VLOOKUP(F48,Table2[],2,FALSE),"")</f>
        <v>m3</v>
      </c>
      <c r="H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8" t="s">
        <v>556</v>
      </c>
      <c r="B49" s="186"/>
      <c r="C49" s="186" t="s">
        <v>560</v>
      </c>
      <c r="D49" s="146" t="s">
        <v>574</v>
      </c>
      <c r="E49" s="146" t="str">
        <f>IFERROR(VLOOKUP(D49,Table2[],2,FALSE),"")</f>
        <v>Hektar</v>
      </c>
      <c r="F49" s="146" t="s">
        <v>346</v>
      </c>
      <c r="G49" s="146" t="str">
        <f>IFERROR(VLOOKUP(F49,Table2[],2,FALSE),"")</f>
        <v>t CO2-ækvivalenter</v>
      </c>
      <c r="H49" s="321">
        <f>-VLOOKUP($C49,'Kulstofoptag, skov'!$B$2:$I$13,MATCH(VALUE(RIGHT('Processer - data'!$D49,2)),'Kulstofoptag, skov'!$B$1:$I$1,0),FALSE)</f>
        <v>-13.25</v>
      </c>
      <c r="I49" s="321">
        <f>-VLOOKUP($C49,'Kulstofoptag, skov'!$B$2:$I$13,MATCH(VALUE(RIGHT('Processer - data'!$D49,2)),'Kulstofoptag, skov'!$B$1:$I$1,0),FALSE)</f>
        <v>-13.25</v>
      </c>
      <c r="J49" s="321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7" t="s">
        <v>556</v>
      </c>
      <c r="B50" s="184"/>
      <c r="C50" s="184" t="s">
        <v>561</v>
      </c>
      <c r="D50" s="144" t="s">
        <v>575</v>
      </c>
      <c r="E50" s="144" t="str">
        <f>IFERROR(VLOOKUP(D50,Table2[],2,FALSE),"")</f>
        <v>Hektar</v>
      </c>
      <c r="F50" s="144" t="s">
        <v>555</v>
      </c>
      <c r="G50" s="144" t="str">
        <f>IFERROR(VLOOKUP(F50,Table2[],2,FALSE),"")</f>
        <v>m3</v>
      </c>
      <c r="H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8" t="s">
        <v>556</v>
      </c>
      <c r="B51" s="186"/>
      <c r="C51" s="186" t="s">
        <v>561</v>
      </c>
      <c r="D51" s="146" t="s">
        <v>575</v>
      </c>
      <c r="E51" s="146" t="str">
        <f>IFERROR(VLOOKUP(D51,Table2[],2,FALSE),"")</f>
        <v>Hektar</v>
      </c>
      <c r="F51" s="150" t="s">
        <v>407</v>
      </c>
      <c r="G51" s="146" t="str">
        <f>IFERROR(VLOOKUP(F51,Table2[],2,FALSE),"")</f>
        <v>m3</v>
      </c>
      <c r="H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8" t="s">
        <v>556</v>
      </c>
      <c r="B52" s="186"/>
      <c r="C52" s="186" t="s">
        <v>561</v>
      </c>
      <c r="D52" s="146" t="s">
        <v>575</v>
      </c>
      <c r="E52" s="146" t="str">
        <f>IFERROR(VLOOKUP(D52,Table2[],2,FALSE),"")</f>
        <v>Hektar</v>
      </c>
      <c r="F52" s="146" t="s">
        <v>346</v>
      </c>
      <c r="G52" s="146" t="str">
        <f>IFERROR(VLOOKUP(F52,Table2[],2,FALSE),"")</f>
        <v>t CO2-ækvivalenter</v>
      </c>
      <c r="H52" s="319">
        <f>-VLOOKUP($C52,'Kulstofoptag, skov'!$B$2:$I$13,MATCH(VALUE(RIGHT('Processer - data'!$D52,2)),'Kulstofoptag, skov'!$B$1:$I$1,0),FALSE)</f>
        <v>-9.5</v>
      </c>
      <c r="I52" s="319">
        <f>-VLOOKUP($C52,'Kulstofoptag, skov'!$B$2:$I$13,MATCH(VALUE(RIGHT('Processer - data'!$D52,2)),'Kulstofoptag, skov'!$B$1:$I$1,0),FALSE)</f>
        <v>-9.5</v>
      </c>
      <c r="J52" s="319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8" t="s">
        <v>556</v>
      </c>
      <c r="B53" s="186"/>
      <c r="C53" s="186" t="s">
        <v>561</v>
      </c>
      <c r="D53" s="146" t="s">
        <v>576</v>
      </c>
      <c r="E53" s="146" t="str">
        <f>IFERROR(VLOOKUP(D53,Table2[],2,FALSE),"")</f>
        <v>Hektar</v>
      </c>
      <c r="F53" s="146" t="s">
        <v>555</v>
      </c>
      <c r="G53" s="146" t="str">
        <f>IFERROR(VLOOKUP(F53,Table2[],2,FALSE),"")</f>
        <v>m3</v>
      </c>
      <c r="H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8" t="s">
        <v>556</v>
      </c>
      <c r="B54" s="186"/>
      <c r="C54" s="186" t="s">
        <v>561</v>
      </c>
      <c r="D54" s="146" t="s">
        <v>576</v>
      </c>
      <c r="E54" s="146" t="str">
        <f>IFERROR(VLOOKUP(D54,Table2[],2,FALSE),"")</f>
        <v>Hektar</v>
      </c>
      <c r="F54" s="146" t="s">
        <v>407</v>
      </c>
      <c r="G54" s="146" t="str">
        <f>IFERROR(VLOOKUP(F54,Table2[],2,FALSE),"")</f>
        <v>m3</v>
      </c>
      <c r="H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8" t="s">
        <v>556</v>
      </c>
      <c r="B55" s="186"/>
      <c r="C55" s="186" t="s">
        <v>561</v>
      </c>
      <c r="D55" s="146" t="s">
        <v>576</v>
      </c>
      <c r="E55" s="146" t="str">
        <f>IFERROR(VLOOKUP(D55,Table2[],2,FALSE),"")</f>
        <v>Hektar</v>
      </c>
      <c r="F55" s="146" t="s">
        <v>346</v>
      </c>
      <c r="G55" s="146" t="str">
        <f>IFERROR(VLOOKUP(F55,Table2[],2,FALSE),"")</f>
        <v>t CO2-ækvivalenter</v>
      </c>
      <c r="H55" s="319">
        <f>-VLOOKUP($C55,'Kulstofoptag, skov'!$B$2:$I$13,MATCH(VALUE(RIGHT('Processer - data'!$D55,2)),'Kulstofoptag, skov'!$B$1:$I$1,0),FALSE)</f>
        <v>-8</v>
      </c>
      <c r="I55" s="319">
        <f>-VLOOKUP($C55,'Kulstofoptag, skov'!$B$2:$I$13,MATCH(VALUE(RIGHT('Processer - data'!$D55,2)),'Kulstofoptag, skov'!$B$1:$I$1,0),FALSE)</f>
        <v>-8</v>
      </c>
      <c r="J55" s="319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8" t="s">
        <v>556</v>
      </c>
      <c r="B56" s="186"/>
      <c r="C56" s="186" t="s">
        <v>561</v>
      </c>
      <c r="D56" s="146" t="s">
        <v>577</v>
      </c>
      <c r="E56" s="146" t="str">
        <f>IFERROR(VLOOKUP(D56,Table2[],2,FALSE),"")</f>
        <v>Hektar</v>
      </c>
      <c r="F56" s="146" t="s">
        <v>555</v>
      </c>
      <c r="G56" s="146" t="str">
        <f>IFERROR(VLOOKUP(F56,Table2[],2,FALSE),"")</f>
        <v>m3</v>
      </c>
      <c r="H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8" t="s">
        <v>556</v>
      </c>
      <c r="B57" s="186"/>
      <c r="C57" s="186" t="s">
        <v>561</v>
      </c>
      <c r="D57" s="146" t="s">
        <v>577</v>
      </c>
      <c r="E57" s="146" t="str">
        <f>IFERROR(VLOOKUP(D57,Table2[],2,FALSE),"")</f>
        <v>Hektar</v>
      </c>
      <c r="F57" s="146" t="s">
        <v>407</v>
      </c>
      <c r="G57" s="146" t="str">
        <f>IFERROR(VLOOKUP(F57,Table2[],2,FALSE),"")</f>
        <v>m3</v>
      </c>
      <c r="H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8" t="s">
        <v>556</v>
      </c>
      <c r="B58" s="186"/>
      <c r="C58" s="186" t="s">
        <v>561</v>
      </c>
      <c r="D58" s="146" t="s">
        <v>577</v>
      </c>
      <c r="E58" s="146" t="str">
        <f>IFERROR(VLOOKUP(D58,Table2[],2,FALSE),"")</f>
        <v>Hektar</v>
      </c>
      <c r="F58" s="146" t="s">
        <v>346</v>
      </c>
      <c r="G58" s="146" t="str">
        <f>IFERROR(VLOOKUP(F58,Table2[],2,FALSE),"")</f>
        <v>t CO2-ækvivalenter</v>
      </c>
      <c r="H58" s="319">
        <f>-VLOOKUP($C58,'Kulstofoptag, skov'!$B$2:$I$13,MATCH(VALUE(RIGHT('Processer - data'!$D58,2)),'Kulstofoptag, skov'!$B$1:$I$1,0),FALSE)</f>
        <v>-4.5</v>
      </c>
      <c r="I58" s="319">
        <f>-VLOOKUP($C58,'Kulstofoptag, skov'!$B$2:$I$13,MATCH(VALUE(RIGHT('Processer - data'!$D58,2)),'Kulstofoptag, skov'!$B$1:$I$1,0),FALSE)</f>
        <v>-4.5</v>
      </c>
      <c r="J58" s="319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8" t="s">
        <v>556</v>
      </c>
      <c r="B59" s="186"/>
      <c r="C59" s="186" t="s">
        <v>561</v>
      </c>
      <c r="D59" s="146" t="s">
        <v>578</v>
      </c>
      <c r="E59" s="146" t="str">
        <f>IFERROR(VLOOKUP(D59,Table2[],2,FALSE),"")</f>
        <v>Hektar</v>
      </c>
      <c r="F59" s="146" t="s">
        <v>555</v>
      </c>
      <c r="G59" s="146" t="str">
        <f>IFERROR(VLOOKUP(F59,Table2[],2,FALSE),"")</f>
        <v>m3</v>
      </c>
      <c r="H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8" t="s">
        <v>556</v>
      </c>
      <c r="B60" s="186"/>
      <c r="C60" s="186" t="s">
        <v>561</v>
      </c>
      <c r="D60" s="146" t="s">
        <v>578</v>
      </c>
      <c r="E60" s="146" t="str">
        <f>IFERROR(VLOOKUP(D60,Table2[],2,FALSE),"")</f>
        <v>Hektar</v>
      </c>
      <c r="F60" s="146" t="s">
        <v>407</v>
      </c>
      <c r="G60" s="146" t="str">
        <f>IFERROR(VLOOKUP(F60,Table2[],2,FALSE),"")</f>
        <v>m3</v>
      </c>
      <c r="H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8" t="s">
        <v>556</v>
      </c>
      <c r="B61" s="186"/>
      <c r="C61" s="186" t="s">
        <v>561</v>
      </c>
      <c r="D61" s="146" t="s">
        <v>578</v>
      </c>
      <c r="E61" s="146" t="str">
        <f>IFERROR(VLOOKUP(D61,Table2[],2,FALSE),"")</f>
        <v>Hektar</v>
      </c>
      <c r="F61" s="146" t="s">
        <v>346</v>
      </c>
      <c r="G61" s="146" t="str">
        <f>IFERROR(VLOOKUP(F61,Table2[],2,FALSE),"")</f>
        <v>t CO2-ækvivalenter</v>
      </c>
      <c r="H61" s="321">
        <f>-VLOOKUP($C61,'Kulstofoptag, skov'!$B$2:$I$13,MATCH(VALUE(RIGHT('Processer - data'!$D61,2)),'Kulstofoptag, skov'!$B$1:$I$1,0),FALSE)</f>
        <v>-13</v>
      </c>
      <c r="I61" s="321">
        <f>-VLOOKUP($C61,'Kulstofoptag, skov'!$B$2:$I$13,MATCH(VALUE(RIGHT('Processer - data'!$D61,2)),'Kulstofoptag, skov'!$B$1:$I$1,0),FALSE)</f>
        <v>-13</v>
      </c>
      <c r="J61" s="321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7" t="s">
        <v>556</v>
      </c>
      <c r="B62" s="184"/>
      <c r="C62" s="184" t="s">
        <v>562</v>
      </c>
      <c r="D62" s="144" t="s">
        <v>579</v>
      </c>
      <c r="E62" s="144" t="str">
        <f>IFERROR(VLOOKUP(D62,Table2[],2,FALSE),"")</f>
        <v>Hektar</v>
      </c>
      <c r="F62" s="144" t="s">
        <v>555</v>
      </c>
      <c r="G62" s="144" t="str">
        <f>IFERROR(VLOOKUP(F62,Table2[],2,FALSE),"")</f>
        <v>m3</v>
      </c>
      <c r="H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8" t="s">
        <v>556</v>
      </c>
      <c r="B63" s="186"/>
      <c r="C63" s="186" t="s">
        <v>562</v>
      </c>
      <c r="D63" s="146" t="s">
        <v>579</v>
      </c>
      <c r="E63" s="146" t="str">
        <f>IFERROR(VLOOKUP(D63,Table2[],2,FALSE),"")</f>
        <v>Hektar</v>
      </c>
      <c r="F63" s="150" t="s">
        <v>407</v>
      </c>
      <c r="G63" s="146" t="str">
        <f>IFERROR(VLOOKUP(F63,Table2[],2,FALSE),"")</f>
        <v>m3</v>
      </c>
      <c r="H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8" t="s">
        <v>556</v>
      </c>
      <c r="B64" s="186"/>
      <c r="C64" s="186" t="s">
        <v>562</v>
      </c>
      <c r="D64" s="146" t="s">
        <v>579</v>
      </c>
      <c r="E64" s="146" t="str">
        <f>IFERROR(VLOOKUP(D64,Table2[],2,FALSE),"")</f>
        <v>Hektar</v>
      </c>
      <c r="F64" s="146" t="s">
        <v>346</v>
      </c>
      <c r="G64" s="146" t="str">
        <f>IFERROR(VLOOKUP(F64,Table2[],2,FALSE),"")</f>
        <v>t CO2-ækvivalenter</v>
      </c>
      <c r="H64" s="319">
        <f>-VLOOKUP($C64,'Kulstofoptag, skov'!$B$2:$I$13,MATCH(VALUE(RIGHT('Processer - data'!$D64,2)),'Kulstofoptag, skov'!$B$1:$I$1,0),FALSE)</f>
        <v>-2.6666666666666665</v>
      </c>
      <c r="I64" s="319">
        <f>-VLOOKUP($C64,'Kulstofoptag, skov'!$B$2:$I$13,MATCH(VALUE(RIGHT('Processer - data'!$D64,2)),'Kulstofoptag, skov'!$B$1:$I$1,0),FALSE)</f>
        <v>-2.6666666666666665</v>
      </c>
      <c r="J64" s="319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8" t="s">
        <v>556</v>
      </c>
      <c r="B65" s="186"/>
      <c r="C65" s="186" t="s">
        <v>562</v>
      </c>
      <c r="D65" s="146" t="s">
        <v>580</v>
      </c>
      <c r="E65" s="146" t="str">
        <f>IFERROR(VLOOKUP(D65,Table2[],2,FALSE),"")</f>
        <v>Hektar</v>
      </c>
      <c r="F65" s="146" t="s">
        <v>555</v>
      </c>
      <c r="G65" s="146" t="str">
        <f>IFERROR(VLOOKUP(F65,Table2[],2,FALSE),"")</f>
        <v>m3</v>
      </c>
      <c r="H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8" t="s">
        <v>556</v>
      </c>
      <c r="B66" s="186"/>
      <c r="C66" s="186" t="s">
        <v>562</v>
      </c>
      <c r="D66" s="146" t="s">
        <v>580</v>
      </c>
      <c r="E66" s="146" t="str">
        <f>IFERROR(VLOOKUP(D66,Table2[],2,FALSE),"")</f>
        <v>Hektar</v>
      </c>
      <c r="F66" s="146" t="s">
        <v>407</v>
      </c>
      <c r="G66" s="146" t="str">
        <f>IFERROR(VLOOKUP(F66,Table2[],2,FALSE),"")</f>
        <v>m3</v>
      </c>
      <c r="H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8" t="s">
        <v>556</v>
      </c>
      <c r="B67" s="186"/>
      <c r="C67" s="186" t="s">
        <v>562</v>
      </c>
      <c r="D67" s="146" t="s">
        <v>580</v>
      </c>
      <c r="E67" s="146" t="str">
        <f>IFERROR(VLOOKUP(D67,Table2[],2,FALSE),"")</f>
        <v>Hektar</v>
      </c>
      <c r="F67" s="146" t="s">
        <v>346</v>
      </c>
      <c r="G67" s="146" t="str">
        <f>IFERROR(VLOOKUP(F67,Table2[],2,FALSE),"")</f>
        <v>t CO2-ækvivalenter</v>
      </c>
      <c r="H67" s="319">
        <f>-VLOOKUP($C67,'Kulstofoptag, skov'!$B$2:$I$13,MATCH(VALUE(RIGHT('Processer - data'!$D67,2)),'Kulstofoptag, skov'!$B$1:$I$1,0),FALSE)</f>
        <v>-2.6666666666666665</v>
      </c>
      <c r="I67" s="319">
        <f>-VLOOKUP($C67,'Kulstofoptag, skov'!$B$2:$I$13,MATCH(VALUE(RIGHT('Processer - data'!$D67,2)),'Kulstofoptag, skov'!$B$1:$I$1,0),FALSE)</f>
        <v>-2.6666666666666665</v>
      </c>
      <c r="J67" s="319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8" t="s">
        <v>556</v>
      </c>
      <c r="B68" s="186"/>
      <c r="C68" s="186" t="s">
        <v>562</v>
      </c>
      <c r="D68" s="146" t="s">
        <v>581</v>
      </c>
      <c r="E68" s="146" t="str">
        <f>IFERROR(VLOOKUP(D68,Table2[],2,FALSE),"")</f>
        <v>Hektar</v>
      </c>
      <c r="F68" s="146" t="s">
        <v>555</v>
      </c>
      <c r="G68" s="146" t="str">
        <f>IFERROR(VLOOKUP(F68,Table2[],2,FALSE),"")</f>
        <v>m3</v>
      </c>
      <c r="H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8" t="s">
        <v>556</v>
      </c>
      <c r="B69" s="186"/>
      <c r="C69" s="186" t="s">
        <v>562</v>
      </c>
      <c r="D69" s="146" t="s">
        <v>581</v>
      </c>
      <c r="E69" s="146" t="str">
        <f>IFERROR(VLOOKUP(D69,Table2[],2,FALSE),"")</f>
        <v>Hektar</v>
      </c>
      <c r="F69" s="146" t="s">
        <v>407</v>
      </c>
      <c r="G69" s="146" t="str">
        <f>IFERROR(VLOOKUP(F69,Table2[],2,FALSE),"")</f>
        <v>m3</v>
      </c>
      <c r="H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8" t="s">
        <v>556</v>
      </c>
      <c r="B70" s="186"/>
      <c r="C70" s="186" t="s">
        <v>562</v>
      </c>
      <c r="D70" s="146" t="s">
        <v>581</v>
      </c>
      <c r="E70" s="146" t="str">
        <f>IFERROR(VLOOKUP(D70,Table2[],2,FALSE),"")</f>
        <v>Hektar</v>
      </c>
      <c r="F70" s="146" t="s">
        <v>346</v>
      </c>
      <c r="G70" s="146" t="str">
        <f>IFERROR(VLOOKUP(F70,Table2[],2,FALSE),"")</f>
        <v>t CO2-ækvivalenter</v>
      </c>
      <c r="H70" s="319">
        <f>-VLOOKUP($C70,'Kulstofoptag, skov'!$B$2:$I$13,MATCH(VALUE(RIGHT('Processer - data'!$D70,2)),'Kulstofoptag, skov'!$B$1:$I$1,0),FALSE)</f>
        <v>-3.3333333333333335</v>
      </c>
      <c r="I70" s="319">
        <f>-VLOOKUP($C70,'Kulstofoptag, skov'!$B$2:$I$13,MATCH(VALUE(RIGHT('Processer - data'!$D70,2)),'Kulstofoptag, skov'!$B$1:$I$1,0),FALSE)</f>
        <v>-3.3333333333333335</v>
      </c>
      <c r="J70" s="319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8" t="s">
        <v>556</v>
      </c>
      <c r="B71" s="186"/>
      <c r="C71" s="186" t="s">
        <v>562</v>
      </c>
      <c r="D71" s="146" t="s">
        <v>582</v>
      </c>
      <c r="E71" s="146" t="str">
        <f>IFERROR(VLOOKUP(D71,Table2[],2,FALSE),"")</f>
        <v>Hektar</v>
      </c>
      <c r="F71" s="146" t="s">
        <v>555</v>
      </c>
      <c r="G71" s="146" t="str">
        <f>IFERROR(VLOOKUP(F71,Table2[],2,FALSE),"")</f>
        <v>m3</v>
      </c>
      <c r="H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8" t="s">
        <v>556</v>
      </c>
      <c r="B72" s="186"/>
      <c r="C72" s="186" t="s">
        <v>562</v>
      </c>
      <c r="D72" s="146" t="s">
        <v>582</v>
      </c>
      <c r="E72" s="146" t="str">
        <f>IFERROR(VLOOKUP(D72,Table2[],2,FALSE),"")</f>
        <v>Hektar</v>
      </c>
      <c r="F72" s="146" t="s">
        <v>407</v>
      </c>
      <c r="G72" s="146" t="str">
        <f>IFERROR(VLOOKUP(F72,Table2[],2,FALSE),"")</f>
        <v>m3</v>
      </c>
      <c r="H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8" t="s">
        <v>556</v>
      </c>
      <c r="B73" s="186"/>
      <c r="C73" s="186" t="s">
        <v>562</v>
      </c>
      <c r="D73" s="146" t="s">
        <v>582</v>
      </c>
      <c r="E73" s="146" t="str">
        <f>IFERROR(VLOOKUP(D73,Table2[],2,FALSE),"")</f>
        <v>Hektar</v>
      </c>
      <c r="F73" s="146" t="s">
        <v>346</v>
      </c>
      <c r="G73" s="146" t="str">
        <f>IFERROR(VLOOKUP(F73,Table2[],2,FALSE),"")</f>
        <v>t CO2-ækvivalenter</v>
      </c>
      <c r="H73" s="321">
        <f>-VLOOKUP($C73,'Kulstofoptag, skov'!$B$2:$I$13,MATCH(VALUE(RIGHT('Processer - data'!$D73,2)),'Kulstofoptag, skov'!$B$1:$I$1,0),FALSE)</f>
        <v>-4.333333333333333</v>
      </c>
      <c r="I73" s="321">
        <f>-VLOOKUP($C73,'Kulstofoptag, skov'!$B$2:$I$13,MATCH(VALUE(RIGHT('Processer - data'!$D73,2)),'Kulstofoptag, skov'!$B$1:$I$1,0),FALSE)</f>
        <v>-4.333333333333333</v>
      </c>
      <c r="J73" s="321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7" t="s">
        <v>351</v>
      </c>
      <c r="B74" s="181" t="s">
        <v>45</v>
      </c>
      <c r="C74" s="181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9">
        <f>Dyrehold!$H$5</f>
        <v>1.3861685078371839</v>
      </c>
      <c r="I74" s="169">
        <f>Dyrehold!$H$5</f>
        <v>1.3861685078371839</v>
      </c>
      <c r="J74" s="169">
        <f>Dyrehold!$H$5</f>
        <v>1.3861685078371839</v>
      </c>
      <c r="K74" s="145"/>
    </row>
    <row r="75" spans="1:11" x14ac:dyDescent="0.25">
      <c r="A75" s="188" t="s">
        <v>351</v>
      </c>
      <c r="B75" s="182" t="s">
        <v>45</v>
      </c>
      <c r="C75" s="182"/>
      <c r="D75" s="146" t="s">
        <v>16</v>
      </c>
      <c r="E75" s="146" t="str">
        <f>IFERROR(VLOOKUP(D75,Table2[],2,FALSE),"")</f>
        <v>Antal</v>
      </c>
      <c r="F75" s="146" t="s">
        <v>500</v>
      </c>
      <c r="G75" s="146" t="str">
        <f>IFERROR(VLOOKUP(F75,Table2[],2,FALSE),"")</f>
        <v>Ton</v>
      </c>
      <c r="H75" s="169">
        <f>Dyrehold!$F$5</f>
        <v>1.4953335295833323</v>
      </c>
      <c r="I75" s="169">
        <f>Dyrehold!$F$5</f>
        <v>1.4953335295833323</v>
      </c>
      <c r="J75" s="169">
        <f>Dyrehold!$F$5</f>
        <v>1.4953335295833323</v>
      </c>
      <c r="K75" s="147"/>
    </row>
    <row r="76" spans="1:11" x14ac:dyDescent="0.25">
      <c r="A76" s="188" t="s">
        <v>351</v>
      </c>
      <c r="B76" s="182" t="s">
        <v>45</v>
      </c>
      <c r="C76" s="182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9">
        <f>Dyrehold!$G$5</f>
        <v>0.19169096925932338</v>
      </c>
      <c r="I76" s="169">
        <f>Dyrehold!$G$5</f>
        <v>0.19169096925932338</v>
      </c>
      <c r="J76" s="169">
        <f>Dyrehold!$G$5</f>
        <v>0.19169096925932338</v>
      </c>
      <c r="K76" s="147"/>
    </row>
    <row r="77" spans="1:11" x14ac:dyDescent="0.25">
      <c r="A77" s="188" t="s">
        <v>351</v>
      </c>
      <c r="B77" s="182" t="s">
        <v>45</v>
      </c>
      <c r="C77" s="182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9">
        <f>Dyrehold!$K$5</f>
        <v>1.5668203052737979E-2</v>
      </c>
      <c r="I77" s="169">
        <f>Dyrehold!$K$5</f>
        <v>1.5668203052737979E-2</v>
      </c>
      <c r="J77" s="169">
        <f>Dyrehold!$K$5</f>
        <v>1.5668203052737979E-2</v>
      </c>
      <c r="K77" s="147"/>
    </row>
    <row r="78" spans="1:11" x14ac:dyDescent="0.25">
      <c r="A78" s="188" t="s">
        <v>351</v>
      </c>
      <c r="B78" s="182" t="s">
        <v>45</v>
      </c>
      <c r="C78" s="182"/>
      <c r="D78" s="146" t="s">
        <v>16</v>
      </c>
      <c r="E78" s="146" t="str">
        <f>IFERROR(VLOOKUP(D78,Table2[],2,FALSE),"")</f>
        <v>Antal</v>
      </c>
      <c r="F78" s="146" t="s">
        <v>418</v>
      </c>
      <c r="G78" s="146" t="str">
        <f>IFERROR(VLOOKUP(F78,Table2[],2,FALSE),"")</f>
        <v>FE</v>
      </c>
      <c r="H78" s="202">
        <f>-Dyrehold!$C$5</f>
        <v>-855.47</v>
      </c>
      <c r="I78" s="202">
        <f>-Dyrehold!$C$5</f>
        <v>-855.47</v>
      </c>
      <c r="J78" s="202">
        <f>-Dyrehold!$C$5</f>
        <v>-855.47</v>
      </c>
      <c r="K78" s="147"/>
    </row>
    <row r="79" spans="1:11" x14ac:dyDescent="0.25">
      <c r="A79" s="188" t="s">
        <v>351</v>
      </c>
      <c r="B79" s="182" t="s">
        <v>45</v>
      </c>
      <c r="C79" s="182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9">
        <f>-Dyrehold!$L$5</f>
        <v>-6.5699999999999995E-2</v>
      </c>
      <c r="I79" s="169">
        <f>-Dyrehold!$L$5</f>
        <v>-6.5699999999999995E-2</v>
      </c>
      <c r="J79" s="169">
        <f>-Dyrehold!$L$5</f>
        <v>-6.5699999999999995E-2</v>
      </c>
      <c r="K79" s="147"/>
    </row>
    <row r="80" spans="1:11" ht="15.75" thickBot="1" x14ac:dyDescent="0.3">
      <c r="A80" s="189" t="s">
        <v>351</v>
      </c>
      <c r="B80" s="183" t="s">
        <v>45</v>
      </c>
      <c r="C80" s="183"/>
      <c r="D80" s="148" t="s">
        <v>16</v>
      </c>
      <c r="E80" s="148" t="str">
        <f>IFERROR(VLOOKUP(D80,Table2[],2,FALSE),"")</f>
        <v>Antal</v>
      </c>
      <c r="F80" s="203" t="s">
        <v>346</v>
      </c>
      <c r="G80" s="148" t="str">
        <f>IFERROR(VLOOKUP(F80,Table2[],2,FALSE),"")</f>
        <v>t CO2-ækvivalenter</v>
      </c>
      <c r="H80" s="178">
        <f>Dyrehold!$M$5</f>
        <v>0.11202449132751124</v>
      </c>
      <c r="I80" s="178">
        <f>Dyrehold!$M$5</f>
        <v>0.11202449132751124</v>
      </c>
      <c r="J80" s="178">
        <f>Dyrehold!$M$5</f>
        <v>0.11202449132751124</v>
      </c>
      <c r="K80" s="149"/>
    </row>
    <row r="81" spans="1:11" ht="15.75" thickTop="1" x14ac:dyDescent="0.25">
      <c r="A81" s="188" t="s">
        <v>351</v>
      </c>
      <c r="B81" s="182" t="s">
        <v>46</v>
      </c>
      <c r="C81" s="182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9">
        <f>Dyrehold!$H$6</f>
        <v>0.47263527552126194</v>
      </c>
      <c r="I81" s="169">
        <f>Dyrehold!$H$6</f>
        <v>0.47263527552126194</v>
      </c>
      <c r="J81" s="169">
        <f>Dyrehold!$H$6</f>
        <v>0.47263527552126194</v>
      </c>
      <c r="K81" s="147"/>
    </row>
    <row r="82" spans="1:11" x14ac:dyDescent="0.25">
      <c r="A82" s="188" t="s">
        <v>351</v>
      </c>
      <c r="B82" s="182" t="s">
        <v>46</v>
      </c>
      <c r="C82" s="182"/>
      <c r="D82" s="146" t="s">
        <v>16</v>
      </c>
      <c r="E82" s="146" t="str">
        <f>IFERROR(VLOOKUP(D82,Table2[],2,FALSE),"")</f>
        <v>Antal</v>
      </c>
      <c r="F82" s="146" t="s">
        <v>500</v>
      </c>
      <c r="G82" s="146" t="str">
        <f>IFERROR(VLOOKUP(F82,Table2[],2,FALSE),"")</f>
        <v>Ton</v>
      </c>
      <c r="H82" s="169">
        <f>Dyrehold!$F$6</f>
        <v>0</v>
      </c>
      <c r="I82" s="169">
        <f>Dyrehold!$F$6</f>
        <v>0</v>
      </c>
      <c r="J82" s="169">
        <f>Dyrehold!$F$6</f>
        <v>0</v>
      </c>
      <c r="K82" s="147"/>
    </row>
    <row r="83" spans="1:11" x14ac:dyDescent="0.25">
      <c r="A83" s="188" t="s">
        <v>351</v>
      </c>
      <c r="B83" s="182" t="s">
        <v>46</v>
      </c>
      <c r="C83" s="182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9">
        <f>Dyrehold!$G$6</f>
        <v>0.51229925609666671</v>
      </c>
      <c r="I83" s="169">
        <f>Dyrehold!$G$6</f>
        <v>0.51229925609666671</v>
      </c>
      <c r="J83" s="169">
        <f>Dyrehold!$G$6</f>
        <v>0.51229925609666671</v>
      </c>
      <c r="K83" s="147"/>
    </row>
    <row r="84" spans="1:11" x14ac:dyDescent="0.25">
      <c r="A84" s="188" t="s">
        <v>351</v>
      </c>
      <c r="B84" s="182" t="s">
        <v>46</v>
      </c>
      <c r="C84" s="182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9">
        <f>Dyrehold!$K$6</f>
        <v>1.5668203052737979E-2</v>
      </c>
      <c r="I84" s="169">
        <f>Dyrehold!$K$6</f>
        <v>1.5668203052737979E-2</v>
      </c>
      <c r="J84" s="169">
        <f>Dyrehold!$K$6</f>
        <v>1.5668203052737979E-2</v>
      </c>
      <c r="K84" s="147"/>
    </row>
    <row r="85" spans="1:11" x14ac:dyDescent="0.25">
      <c r="A85" s="188" t="s">
        <v>351</v>
      </c>
      <c r="B85" s="182" t="s">
        <v>46</v>
      </c>
      <c r="C85" s="182"/>
      <c r="D85" s="146" t="s">
        <v>16</v>
      </c>
      <c r="E85" s="146" t="str">
        <f>IFERROR(VLOOKUP(D85,Table2[],2,FALSE),"")</f>
        <v>Antal</v>
      </c>
      <c r="F85" s="146" t="s">
        <v>418</v>
      </c>
      <c r="G85" s="146" t="str">
        <f>IFERROR(VLOOKUP(F85,Table2[],2,FALSE),"")</f>
        <v>FE</v>
      </c>
      <c r="H85" s="202">
        <f>-Dyrehold!$C$6</f>
        <v>-855.47</v>
      </c>
      <c r="I85" s="202">
        <f>-Dyrehold!$C$6</f>
        <v>-855.47</v>
      </c>
      <c r="J85" s="202">
        <f>-Dyrehold!$C$6</f>
        <v>-855.47</v>
      </c>
      <c r="K85" s="147"/>
    </row>
    <row r="86" spans="1:11" x14ac:dyDescent="0.25">
      <c r="A86" s="188" t="s">
        <v>351</v>
      </c>
      <c r="B86" s="182" t="s">
        <v>46</v>
      </c>
      <c r="C86" s="182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9">
        <f>-Dyrehold!$L$6</f>
        <v>-5.7750000000000003E-2</v>
      </c>
      <c r="I86" s="169">
        <f>-Dyrehold!$L$6</f>
        <v>-5.7750000000000003E-2</v>
      </c>
      <c r="J86" s="169">
        <f>-Dyrehold!$L$6</f>
        <v>-5.7750000000000003E-2</v>
      </c>
      <c r="K86" s="147"/>
    </row>
    <row r="87" spans="1:11" ht="15.75" thickBot="1" x14ac:dyDescent="0.3">
      <c r="A87" s="188" t="s">
        <v>351</v>
      </c>
      <c r="B87" s="182" t="s">
        <v>46</v>
      </c>
      <c r="C87" s="182"/>
      <c r="D87" s="146" t="s">
        <v>16</v>
      </c>
      <c r="E87" s="146" t="str">
        <f>IFERROR(VLOOKUP(D87,Table2[],2,FALSE),"")</f>
        <v>Antal</v>
      </c>
      <c r="F87" s="150" t="s">
        <v>346</v>
      </c>
      <c r="G87" s="146" t="str">
        <f>IFERROR(VLOOKUP(F87,Table2[],2,FALSE),"")</f>
        <v>t CO2-ækvivalenter</v>
      </c>
      <c r="H87" s="178">
        <f>Dyrehold!$M$6</f>
        <v>0.12322694046026236</v>
      </c>
      <c r="I87" s="178">
        <f>Dyrehold!$M$6</f>
        <v>0.12322694046026236</v>
      </c>
      <c r="J87" s="178">
        <f>Dyrehold!$M$6</f>
        <v>0.12322694046026236</v>
      </c>
      <c r="K87" s="147"/>
    </row>
    <row r="88" spans="1:11" ht="15.75" thickTop="1" x14ac:dyDescent="0.25">
      <c r="A88" s="187" t="s">
        <v>353</v>
      </c>
      <c r="B88" s="181" t="s">
        <v>45</v>
      </c>
      <c r="C88" s="181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7">
        <f>Dyrehold!$H$7</f>
        <v>0.34772753819004898</v>
      </c>
      <c r="I88" s="177">
        <f>Dyrehold!$H$7</f>
        <v>0.34772753819004898</v>
      </c>
      <c r="J88" s="177">
        <f>Dyrehold!$H$7</f>
        <v>0.34772753819004898</v>
      </c>
      <c r="K88" s="145"/>
    </row>
    <row r="89" spans="1:11" x14ac:dyDescent="0.25">
      <c r="A89" s="188" t="s">
        <v>353</v>
      </c>
      <c r="B89" s="182" t="s">
        <v>45</v>
      </c>
      <c r="C89" s="182"/>
      <c r="D89" s="146" t="s">
        <v>17</v>
      </c>
      <c r="E89" s="146" t="str">
        <f>IFERROR(VLOOKUP(D89,Table2[],2,FALSE),"")</f>
        <v>Antal</v>
      </c>
      <c r="F89" s="146" t="s">
        <v>501</v>
      </c>
      <c r="G89" s="146" t="str">
        <f>IFERROR(VLOOKUP(F89,Table2[],2,FALSE),"")</f>
        <v>Ton</v>
      </c>
      <c r="H89" s="169">
        <f>Dyrehold!$F$7</f>
        <v>10.090491238149957</v>
      </c>
      <c r="I89" s="169">
        <f>Dyrehold!$F$7</f>
        <v>10.090491238149957</v>
      </c>
      <c r="J89" s="169">
        <f>Dyrehold!$F$7</f>
        <v>10.090491238149957</v>
      </c>
      <c r="K89" s="147"/>
    </row>
    <row r="90" spans="1:11" x14ac:dyDescent="0.25">
      <c r="A90" s="188" t="s">
        <v>353</v>
      </c>
      <c r="B90" s="182" t="s">
        <v>45</v>
      </c>
      <c r="C90" s="182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9">
        <f>Dyrehold!$G$7</f>
        <v>0.19774537441874415</v>
      </c>
      <c r="I90" s="169">
        <f>Dyrehold!$G$7</f>
        <v>0.19774537441874415</v>
      </c>
      <c r="J90" s="169">
        <f>Dyrehold!$G$7</f>
        <v>0.19774537441874415</v>
      </c>
      <c r="K90" s="147"/>
    </row>
    <row r="91" spans="1:11" x14ac:dyDescent="0.25">
      <c r="A91" s="188" t="s">
        <v>353</v>
      </c>
      <c r="B91" s="182" t="s">
        <v>45</v>
      </c>
      <c r="C91" s="182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9">
        <f>Dyrehold!$D$7</f>
        <v>3.7771765723503732</v>
      </c>
      <c r="I91" s="169">
        <f>Dyrehold!$D$7</f>
        <v>3.7771765723503732</v>
      </c>
      <c r="J91" s="169">
        <f>Dyrehold!$D$7</f>
        <v>3.7771765723503732</v>
      </c>
      <c r="K91" s="147"/>
    </row>
    <row r="92" spans="1:11" x14ac:dyDescent="0.25">
      <c r="A92" s="188" t="s">
        <v>353</v>
      </c>
      <c r="B92" s="182" t="s">
        <v>45</v>
      </c>
      <c r="C92" s="182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9">
        <f>Dyrehold!$K$7</f>
        <v>4.3029625219252375E-2</v>
      </c>
      <c r="I92" s="169">
        <f>Dyrehold!$K$7</f>
        <v>4.3029625219252375E-2</v>
      </c>
      <c r="J92" s="169">
        <f>Dyrehold!$K$7</f>
        <v>4.3029625219252375E-2</v>
      </c>
      <c r="K92" s="147"/>
    </row>
    <row r="93" spans="1:11" x14ac:dyDescent="0.25">
      <c r="A93" s="188" t="s">
        <v>353</v>
      </c>
      <c r="B93" s="182" t="s">
        <v>45</v>
      </c>
      <c r="C93" s="182"/>
      <c r="D93" s="146" t="s">
        <v>17</v>
      </c>
      <c r="E93" s="146" t="str">
        <f>IFERROR(VLOOKUP(D93,Table2[],2,FALSE),"")</f>
        <v>Antal</v>
      </c>
      <c r="F93" s="146" t="s">
        <v>418</v>
      </c>
      <c r="G93" s="146" t="str">
        <f>IFERROR(VLOOKUP(F93,Table2[],2,FALSE),"")</f>
        <v>FE</v>
      </c>
      <c r="H93" s="202">
        <f>-Dyrehold!$C$7</f>
        <v>-2618</v>
      </c>
      <c r="I93" s="202">
        <f>-Dyrehold!$C$7</f>
        <v>-2618</v>
      </c>
      <c r="J93" s="202">
        <f>-Dyrehold!$C$7</f>
        <v>-2618</v>
      </c>
      <c r="K93" s="147"/>
    </row>
    <row r="94" spans="1:11" x14ac:dyDescent="0.25">
      <c r="A94" s="188" t="s">
        <v>353</v>
      </c>
      <c r="B94" s="182" t="s">
        <v>45</v>
      </c>
      <c r="C94" s="182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6">
        <f>-Dyrehold!$L$7</f>
        <v>-1.095E-2</v>
      </c>
      <c r="I94" s="176">
        <f>-Dyrehold!$L$7</f>
        <v>-1.095E-2</v>
      </c>
      <c r="J94" s="176">
        <f>-Dyrehold!$L$7</f>
        <v>-1.095E-2</v>
      </c>
      <c r="K94" s="147"/>
    </row>
    <row r="95" spans="1:11" ht="15.75" thickBot="1" x14ac:dyDescent="0.3">
      <c r="A95" s="189" t="s">
        <v>353</v>
      </c>
      <c r="B95" s="183" t="s">
        <v>45</v>
      </c>
      <c r="C95" s="183"/>
      <c r="D95" s="148" t="s">
        <v>17</v>
      </c>
      <c r="E95" s="148" t="str">
        <f>IFERROR(VLOOKUP(D95,Table2[],2,FALSE),"")</f>
        <v>Antal</v>
      </c>
      <c r="F95" s="203" t="s">
        <v>346</v>
      </c>
      <c r="G95" s="148" t="str">
        <f>IFERROR(VLOOKUP(F95,Table2[],2,FALSE),"")</f>
        <v>t CO2-ækvivalenter</v>
      </c>
      <c r="H95" s="178">
        <f>Dyrehold!$M$7</f>
        <v>2.831717934524296</v>
      </c>
      <c r="I95" s="178">
        <f>Dyrehold!$M$7</f>
        <v>2.831717934524296</v>
      </c>
      <c r="J95" s="178">
        <f>Dyrehold!$M$7</f>
        <v>2.831717934524296</v>
      </c>
      <c r="K95" s="149"/>
    </row>
    <row r="96" spans="1:11" ht="15.75" thickTop="1" x14ac:dyDescent="0.25">
      <c r="A96" s="188" t="s">
        <v>353</v>
      </c>
      <c r="B96" s="182" t="s">
        <v>46</v>
      </c>
      <c r="C96" s="182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9">
        <f>Dyrehold!$H$8</f>
        <v>0.10430224472694208</v>
      </c>
      <c r="I96" s="169">
        <f>Dyrehold!$H$8</f>
        <v>0.10430224472694208</v>
      </c>
      <c r="J96" s="169">
        <f>Dyrehold!$H$8</f>
        <v>0.10430224472694208</v>
      </c>
      <c r="K96" s="147"/>
    </row>
    <row r="97" spans="1:11" x14ac:dyDescent="0.25">
      <c r="A97" s="188" t="s">
        <v>353</v>
      </c>
      <c r="B97" s="182" t="s">
        <v>46</v>
      </c>
      <c r="C97" s="182"/>
      <c r="D97" s="146" t="s">
        <v>17</v>
      </c>
      <c r="E97" s="146" t="str">
        <f>IFERROR(VLOOKUP(D97,Table2[],2,FALSE),"")</f>
        <v>Antal</v>
      </c>
      <c r="F97" s="146" t="s">
        <v>501</v>
      </c>
      <c r="G97" s="146" t="str">
        <f>IFERROR(VLOOKUP(F97,Table2[],2,FALSE),"")</f>
        <v>Ton</v>
      </c>
      <c r="H97" s="169">
        <f>Dyrehold!$F$8</f>
        <v>5.636332840052062</v>
      </c>
      <c r="I97" s="169">
        <f>Dyrehold!$F$8</f>
        <v>5.636332840052062</v>
      </c>
      <c r="J97" s="169">
        <f>Dyrehold!$F$8</f>
        <v>5.636332840052062</v>
      </c>
      <c r="K97" s="147"/>
    </row>
    <row r="98" spans="1:11" x14ac:dyDescent="0.25">
      <c r="A98" s="188" t="s">
        <v>353</v>
      </c>
      <c r="B98" s="182" t="s">
        <v>46</v>
      </c>
      <c r="C98" s="182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9">
        <f>Dyrehold!$G$8</f>
        <v>4.6534847647404926E-2</v>
      </c>
      <c r="I98" s="169">
        <f>Dyrehold!$G$8</f>
        <v>4.6534847647404926E-2</v>
      </c>
      <c r="J98" s="169">
        <f>Dyrehold!$G$8</f>
        <v>4.6534847647404926E-2</v>
      </c>
      <c r="K98" s="147"/>
    </row>
    <row r="99" spans="1:11" x14ac:dyDescent="0.25">
      <c r="A99" s="188" t="s">
        <v>353</v>
      </c>
      <c r="B99" s="182" t="s">
        <v>46</v>
      </c>
      <c r="C99" s="182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9">
        <f>Dyrehold!$D$8</f>
        <v>2.1529053078253426</v>
      </c>
      <c r="I99" s="169">
        <f>Dyrehold!$D$8</f>
        <v>2.1529053078253426</v>
      </c>
      <c r="J99" s="169">
        <f>Dyrehold!$D$8</f>
        <v>2.1529053078253426</v>
      </c>
      <c r="K99" s="147"/>
    </row>
    <row r="100" spans="1:11" x14ac:dyDescent="0.25">
      <c r="A100" s="188" t="s">
        <v>353</v>
      </c>
      <c r="B100" s="182" t="s">
        <v>46</v>
      </c>
      <c r="C100" s="182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9">
        <f>Dyrehold!$K$8</f>
        <v>4.3029625219252375E-2</v>
      </c>
      <c r="I100" s="169">
        <f>Dyrehold!$K$8</f>
        <v>4.3029625219252375E-2</v>
      </c>
      <c r="J100" s="169">
        <f>Dyrehold!$K$8</f>
        <v>4.3029625219252375E-2</v>
      </c>
      <c r="K100" s="147"/>
    </row>
    <row r="101" spans="1:11" x14ac:dyDescent="0.25">
      <c r="A101" s="188" t="s">
        <v>353</v>
      </c>
      <c r="B101" s="182" t="s">
        <v>46</v>
      </c>
      <c r="C101" s="182"/>
      <c r="D101" s="146" t="s">
        <v>17</v>
      </c>
      <c r="E101" s="146" t="str">
        <f>IFERROR(VLOOKUP(D101,Table2[],2,FALSE),"")</f>
        <v>Antal</v>
      </c>
      <c r="F101" s="146" t="s">
        <v>418</v>
      </c>
      <c r="G101" s="146" t="str">
        <f>IFERROR(VLOOKUP(F101,Table2[],2,FALSE),"")</f>
        <v>FE</v>
      </c>
      <c r="H101" s="202">
        <f>-Dyrehold!$C$8</f>
        <v>-2618</v>
      </c>
      <c r="I101" s="202">
        <f>-Dyrehold!$C$8</f>
        <v>-2618</v>
      </c>
      <c r="J101" s="202">
        <f>-Dyrehold!$C$8</f>
        <v>-2618</v>
      </c>
      <c r="K101" s="147"/>
    </row>
    <row r="102" spans="1:11" x14ac:dyDescent="0.25">
      <c r="A102" s="188" t="s">
        <v>353</v>
      </c>
      <c r="B102" s="182" t="s">
        <v>46</v>
      </c>
      <c r="C102" s="182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9">
        <f>-Dyrehold!$L$8</f>
        <v>-1.32E-2</v>
      </c>
      <c r="I102" s="169">
        <f>-Dyrehold!$L$8</f>
        <v>-1.32E-2</v>
      </c>
      <c r="J102" s="169">
        <f>-Dyrehold!$L$8</f>
        <v>-1.32E-2</v>
      </c>
      <c r="K102" s="147"/>
    </row>
    <row r="103" spans="1:11" ht="15.75" thickBot="1" x14ac:dyDescent="0.3">
      <c r="A103" s="188" t="s">
        <v>353</v>
      </c>
      <c r="B103" s="182" t="s">
        <v>46</v>
      </c>
      <c r="C103" s="182"/>
      <c r="D103" s="146" t="s">
        <v>17</v>
      </c>
      <c r="E103" s="146" t="str">
        <f>IFERROR(VLOOKUP(D103,Table2[],2,FALSE),"")</f>
        <v>Antal</v>
      </c>
      <c r="F103" s="150" t="s">
        <v>346</v>
      </c>
      <c r="G103" s="146" t="str">
        <f>IFERROR(VLOOKUP(F103,Table2[],2,FALSE),"")</f>
        <v>t CO2-ækvivalenter</v>
      </c>
      <c r="H103" s="178">
        <f>Dyrehold!$M$8</f>
        <v>2.3680201988872902</v>
      </c>
      <c r="I103" s="178">
        <f>Dyrehold!$M$8</f>
        <v>2.3680201988872902</v>
      </c>
      <c r="J103" s="178">
        <f>Dyrehold!$M$8</f>
        <v>2.3680201988872902</v>
      </c>
      <c r="K103" s="147"/>
    </row>
    <row r="104" spans="1:11" ht="15.75" thickTop="1" x14ac:dyDescent="0.25">
      <c r="A104" s="187" t="s">
        <v>352</v>
      </c>
      <c r="B104" s="181" t="s">
        <v>45</v>
      </c>
      <c r="C104" s="181"/>
      <c r="D104" s="144" t="s">
        <v>18</v>
      </c>
      <c r="E104" s="144" t="str">
        <f>IFERROR(VLOOKUP(D104,Table2[],2,FALSE),"")</f>
        <v>Antal</v>
      </c>
      <c r="F104" s="144" t="s">
        <v>366</v>
      </c>
      <c r="G104" s="144" t="str">
        <f>IFERROR(VLOOKUP(F104,Table2[],2,FALSE),"")</f>
        <v>Antal</v>
      </c>
      <c r="H104" s="177">
        <f>Dyrehold!$H$9</f>
        <v>5.3363578103053619</v>
      </c>
      <c r="I104" s="177">
        <f>Dyrehold!$H$9</f>
        <v>5.3363578103053619</v>
      </c>
      <c r="J104" s="177">
        <f>Dyrehold!$H$9</f>
        <v>5.3363578103053619</v>
      </c>
      <c r="K104" s="145"/>
    </row>
    <row r="105" spans="1:11" x14ac:dyDescent="0.25">
      <c r="A105" s="188" t="s">
        <v>352</v>
      </c>
      <c r="B105" s="182" t="s">
        <v>45</v>
      </c>
      <c r="C105" s="182"/>
      <c r="D105" s="146" t="s">
        <v>18</v>
      </c>
      <c r="E105" s="146" t="str">
        <f>IFERROR(VLOOKUP(D105,Table2[],2,FALSE),"")</f>
        <v>Antal</v>
      </c>
      <c r="F105" s="150" t="s">
        <v>502</v>
      </c>
      <c r="G105" s="146" t="str">
        <f>IFERROR(VLOOKUP(F105,Table2[],2,FALSE),"")</f>
        <v>Ton</v>
      </c>
      <c r="H105" s="176">
        <f>Dyrehold!$F$9</f>
        <v>3.3965332371824528E-4</v>
      </c>
      <c r="I105" s="176">
        <f>Dyrehold!$F$9</f>
        <v>3.3965332371824528E-4</v>
      </c>
      <c r="J105" s="176">
        <f>Dyrehold!$F$9</f>
        <v>3.3965332371824528E-4</v>
      </c>
      <c r="K105" s="147"/>
    </row>
    <row r="106" spans="1:11" x14ac:dyDescent="0.25">
      <c r="A106" s="188" t="s">
        <v>352</v>
      </c>
      <c r="B106" s="182" t="s">
        <v>45</v>
      </c>
      <c r="C106" s="182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9">
        <f>Dyrehold!$G$9</f>
        <v>7.5279568763122248E-3</v>
      </c>
      <c r="I106" s="169">
        <f>Dyrehold!$G$9</f>
        <v>7.5279568763122248E-3</v>
      </c>
      <c r="J106" s="169">
        <f>Dyrehold!$G$9</f>
        <v>7.5279568763122248E-3</v>
      </c>
      <c r="K106" s="147"/>
    </row>
    <row r="107" spans="1:11" x14ac:dyDescent="0.25">
      <c r="A107" s="188" t="s">
        <v>352</v>
      </c>
      <c r="B107" s="182" t="s">
        <v>45</v>
      </c>
      <c r="C107" s="182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4">
        <f>Dyrehold!$E$9</f>
        <v>1.1120887382109748E-2</v>
      </c>
      <c r="I107" s="204">
        <f>Dyrehold!$E$9</f>
        <v>1.1120887382109748E-2</v>
      </c>
      <c r="J107" s="204">
        <f>Dyrehold!$E$9</f>
        <v>1.1120887382109748E-2</v>
      </c>
      <c r="K107" s="147"/>
    </row>
    <row r="108" spans="1:11" x14ac:dyDescent="0.25">
      <c r="A108" s="188" t="s">
        <v>352</v>
      </c>
      <c r="B108" s="182" t="s">
        <v>45</v>
      </c>
      <c r="C108" s="182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4">
        <f>Dyrehold!$K$9</f>
        <v>4.6967971777477953E-4</v>
      </c>
      <c r="I108" s="204">
        <f>Dyrehold!$K$9</f>
        <v>4.6967971777477953E-4</v>
      </c>
      <c r="J108" s="204">
        <f>Dyrehold!$K$9</f>
        <v>4.6967971777477953E-4</v>
      </c>
      <c r="K108" s="147"/>
    </row>
    <row r="109" spans="1:11" x14ac:dyDescent="0.25">
      <c r="A109" s="188" t="s">
        <v>352</v>
      </c>
      <c r="B109" s="182" t="s">
        <v>45</v>
      </c>
      <c r="C109" s="182"/>
      <c r="D109" s="146" t="s">
        <v>18</v>
      </c>
      <c r="E109" s="146" t="str">
        <f>IFERROR(VLOOKUP(D109,Table2[],2,FALSE),"")</f>
        <v>Antal</v>
      </c>
      <c r="F109" s="146" t="s">
        <v>418</v>
      </c>
      <c r="G109" s="146" t="str">
        <f>IFERROR(VLOOKUP(F109,Table2[],2,FALSE),"")</f>
        <v>FE</v>
      </c>
      <c r="H109" s="202">
        <f>-Dyrehold!$C$9</f>
        <v>-18.48</v>
      </c>
      <c r="I109" s="202">
        <f>-Dyrehold!$C$9</f>
        <v>-18.48</v>
      </c>
      <c r="J109" s="202">
        <f>-Dyrehold!$C$9</f>
        <v>-18.48</v>
      </c>
      <c r="K109" s="147"/>
    </row>
    <row r="110" spans="1:11" x14ac:dyDescent="0.25">
      <c r="A110" s="188" t="s">
        <v>352</v>
      </c>
      <c r="B110" s="182" t="s">
        <v>45</v>
      </c>
      <c r="C110" s="182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9">
        <f>-Dyrehold!$L$9</f>
        <v>-4.3799999999999997E-4</v>
      </c>
      <c r="I110" s="169">
        <f>-Dyrehold!$L$9</f>
        <v>-4.3799999999999997E-4</v>
      </c>
      <c r="J110" s="169">
        <f>-Dyrehold!$L$9</f>
        <v>-4.3799999999999997E-4</v>
      </c>
      <c r="K110" s="147"/>
    </row>
    <row r="111" spans="1:11" ht="15.75" thickBot="1" x14ac:dyDescent="0.3">
      <c r="A111" s="189" t="s">
        <v>352</v>
      </c>
      <c r="B111" s="183" t="s">
        <v>45</v>
      </c>
      <c r="C111" s="183"/>
      <c r="D111" s="148" t="s">
        <v>18</v>
      </c>
      <c r="E111" s="148" t="str">
        <f>IFERROR(VLOOKUP(D111,Table2[],2,FALSE),"")</f>
        <v>Antal</v>
      </c>
      <c r="F111" s="203" t="s">
        <v>346</v>
      </c>
      <c r="G111" s="148" t="str">
        <f>IFERROR(VLOOKUP(F111,Table2[],2,FALSE),"")</f>
        <v>t CO2-ækvivalenter</v>
      </c>
      <c r="H111" s="178">
        <f>Dyrehold!$M$9</f>
        <v>7.1358057718871957E-4</v>
      </c>
      <c r="I111" s="178">
        <f>Dyrehold!$M$9</f>
        <v>7.1358057718871957E-4</v>
      </c>
      <c r="J111" s="178">
        <f>Dyrehold!$M$9</f>
        <v>7.1358057718871957E-4</v>
      </c>
      <c r="K111" s="149"/>
    </row>
    <row r="112" spans="1:11" ht="15.75" thickTop="1" x14ac:dyDescent="0.25">
      <c r="A112" s="188" t="s">
        <v>352</v>
      </c>
      <c r="B112" s="182" t="s">
        <v>46</v>
      </c>
      <c r="C112" s="182"/>
      <c r="D112" s="146" t="s">
        <v>18</v>
      </c>
      <c r="E112" s="146" t="str">
        <f>IFERROR(VLOOKUP(D112,Table2[],2,FALSE),"")</f>
        <v>Antal</v>
      </c>
      <c r="F112" s="146" t="s">
        <v>366</v>
      </c>
      <c r="G112" s="146" t="str">
        <f>IFERROR(VLOOKUP(F112,Table2[],2,FALSE),"")</f>
        <v>Antal</v>
      </c>
      <c r="H112" s="169">
        <f>Dyrehold!$H$10</f>
        <v>0.37369537669419861</v>
      </c>
      <c r="I112" s="169">
        <f>Dyrehold!$H$10</f>
        <v>0.37369537669419861</v>
      </c>
      <c r="J112" s="169">
        <f>Dyrehold!$H$10</f>
        <v>0.37369537669419861</v>
      </c>
      <c r="K112" s="147"/>
    </row>
    <row r="113" spans="1:11" x14ac:dyDescent="0.25">
      <c r="A113" s="188" t="s">
        <v>352</v>
      </c>
      <c r="B113" s="182" t="s">
        <v>46</v>
      </c>
      <c r="C113" s="182"/>
      <c r="D113" s="146" t="s">
        <v>18</v>
      </c>
      <c r="E113" s="146" t="str">
        <f>IFERROR(VLOOKUP(D113,Table2[],2,FALSE),"")</f>
        <v>Antal</v>
      </c>
      <c r="F113" s="150" t="s">
        <v>502</v>
      </c>
      <c r="G113" s="146" t="str">
        <f>IFERROR(VLOOKUP(F113,Table2[],2,FALSE),"")</f>
        <v>Ton</v>
      </c>
      <c r="H113" s="169">
        <f>Dyrehold!$F$10</f>
        <v>6.6023396673266124E-4</v>
      </c>
      <c r="I113" s="169">
        <f>Dyrehold!$F$10</f>
        <v>6.6023396673266124E-4</v>
      </c>
      <c r="J113" s="169">
        <f>Dyrehold!$F$10</f>
        <v>6.6023396673266124E-4</v>
      </c>
      <c r="K113" s="147"/>
    </row>
    <row r="114" spans="1:11" x14ac:dyDescent="0.25">
      <c r="A114" s="188" t="s">
        <v>352</v>
      </c>
      <c r="B114" s="182" t="s">
        <v>46</v>
      </c>
      <c r="C114" s="182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6">
        <f>Dyrehold!$G$10</f>
        <v>2.4860457648070043E-3</v>
      </c>
      <c r="I114" s="176">
        <f>Dyrehold!$G$10</f>
        <v>2.4860457648070043E-3</v>
      </c>
      <c r="J114" s="176">
        <f>Dyrehold!$G$10</f>
        <v>2.4860457648070043E-3</v>
      </c>
      <c r="K114" s="147"/>
    </row>
    <row r="115" spans="1:11" x14ac:dyDescent="0.25">
      <c r="A115" s="188" t="s">
        <v>352</v>
      </c>
      <c r="B115" s="182" t="s">
        <v>46</v>
      </c>
      <c r="C115" s="182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4">
        <f>Dyrehold!$E$10</f>
        <v>4.5769564887054442E-3</v>
      </c>
      <c r="I115" s="204">
        <f>Dyrehold!$E$10</f>
        <v>4.5769564887054442E-3</v>
      </c>
      <c r="J115" s="204">
        <f>Dyrehold!$E$10</f>
        <v>4.5769564887054442E-3</v>
      </c>
      <c r="K115" s="147"/>
    </row>
    <row r="116" spans="1:11" x14ac:dyDescent="0.25">
      <c r="A116" s="188" t="s">
        <v>352</v>
      </c>
      <c r="B116" s="182" t="s">
        <v>46</v>
      </c>
      <c r="C116" s="182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4">
        <f>Dyrehold!$K$10</f>
        <v>4.6967971777477953E-4</v>
      </c>
      <c r="I116" s="204">
        <f>Dyrehold!$K$10</f>
        <v>4.6967971777477953E-4</v>
      </c>
      <c r="J116" s="204">
        <f>Dyrehold!$K$10</f>
        <v>4.6967971777477953E-4</v>
      </c>
      <c r="K116" s="147"/>
    </row>
    <row r="117" spans="1:11" x14ac:dyDescent="0.25">
      <c r="A117" s="188" t="s">
        <v>352</v>
      </c>
      <c r="B117" s="182" t="s">
        <v>46</v>
      </c>
      <c r="C117" s="182"/>
      <c r="D117" s="146" t="s">
        <v>18</v>
      </c>
      <c r="E117" s="146" t="str">
        <f>IFERROR(VLOOKUP(D117,Table2[],2,FALSE),"")</f>
        <v>Antal</v>
      </c>
      <c r="F117" s="146" t="s">
        <v>418</v>
      </c>
      <c r="G117" s="146" t="str">
        <f>IFERROR(VLOOKUP(F117,Table2[],2,FALSE),"")</f>
        <v>FE</v>
      </c>
      <c r="H117" s="202">
        <f>-Dyrehold!$C$10</f>
        <v>-18.48</v>
      </c>
      <c r="I117" s="202">
        <f>-Dyrehold!$C$10</f>
        <v>-18.48</v>
      </c>
      <c r="J117" s="202">
        <f>-Dyrehold!$C$10</f>
        <v>-18.48</v>
      </c>
      <c r="K117" s="147"/>
    </row>
    <row r="118" spans="1:11" x14ac:dyDescent="0.25">
      <c r="A118" s="188" t="s">
        <v>352</v>
      </c>
      <c r="B118" s="182" t="s">
        <v>46</v>
      </c>
      <c r="C118" s="182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9">
        <f>-Dyrehold!$L$10</f>
        <v>-8.25E-4</v>
      </c>
      <c r="I118" s="169">
        <f>-Dyrehold!$L$10</f>
        <v>-8.25E-4</v>
      </c>
      <c r="J118" s="169">
        <f>-Dyrehold!$L$10</f>
        <v>-8.25E-4</v>
      </c>
      <c r="K118" s="147"/>
    </row>
    <row r="119" spans="1:11" ht="15.75" thickBot="1" x14ac:dyDescent="0.3">
      <c r="A119" s="188" t="s">
        <v>352</v>
      </c>
      <c r="B119" s="182" t="s">
        <v>46</v>
      </c>
      <c r="C119" s="182"/>
      <c r="D119" t="s">
        <v>18</v>
      </c>
      <c r="E119" t="str">
        <f>IFERROR(VLOOKUP(D119,Table2[],2,FALSE),"")</f>
        <v>Antal</v>
      </c>
      <c r="F119" s="150" t="s">
        <v>346</v>
      </c>
      <c r="G119" s="146" t="str">
        <f>IFERROR(VLOOKUP(F119,Table2[],2,FALSE),"")</f>
        <v>t CO2-ækvivalenter</v>
      </c>
      <c r="H119" s="178">
        <f>Dyrehold!$M$10</f>
        <v>7.8493863490759156E-4</v>
      </c>
      <c r="I119" s="178">
        <f>Dyrehold!$M$10</f>
        <v>7.8493863490759156E-4</v>
      </c>
      <c r="J119" s="178">
        <f>Dyrehold!$M$10</f>
        <v>7.8493863490759156E-4</v>
      </c>
      <c r="K119" s="147"/>
    </row>
    <row r="120" spans="1:11" ht="15.75" thickTop="1" x14ac:dyDescent="0.25">
      <c r="A120" s="187" t="s">
        <v>25</v>
      </c>
      <c r="B120" s="181" t="s">
        <v>45</v>
      </c>
      <c r="C120" s="181" t="str">
        <f>Jordbund1</f>
        <v>JB1-10</v>
      </c>
      <c r="D120" s="144" t="s">
        <v>360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8" t="s">
        <v>25</v>
      </c>
      <c r="B121" s="182" t="s">
        <v>45</v>
      </c>
      <c r="C121" s="182" t="str">
        <f>Jordbund1</f>
        <v>JB1-10</v>
      </c>
      <c r="D121" s="146" t="s">
        <v>360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8" t="s">
        <v>25</v>
      </c>
      <c r="B122" s="182" t="s">
        <v>45</v>
      </c>
      <c r="C122" s="182" t="str">
        <f>Jordbund1</f>
        <v>JB1-10</v>
      </c>
      <c r="D122" s="146" t="s">
        <v>360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8" t="s">
        <v>25</v>
      </c>
      <c r="B123" s="182" t="s">
        <v>45</v>
      </c>
      <c r="C123" s="182" t="str">
        <f>Jordbund1</f>
        <v>JB1-10</v>
      </c>
      <c r="D123" s="146" t="s">
        <v>360</v>
      </c>
      <c r="E123" s="146" t="str">
        <f>IFERROR(VLOOKUP(D123,Table2[],2,FALSE),"")</f>
        <v>Hektar</v>
      </c>
      <c r="F123" s="150" t="s">
        <v>346</v>
      </c>
      <c r="G123" s="146" t="str">
        <f>IFERROR(VLOOKUP(F123,Table2[],2,FALSE),"")</f>
        <v>t CO2-ækvivalenter</v>
      </c>
      <c r="H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7" t="s">
        <v>25</v>
      </c>
      <c r="B124" s="181" t="s">
        <v>45</v>
      </c>
      <c r="C124" s="181" t="str">
        <f>Organ6</f>
        <v>OC6</v>
      </c>
      <c r="D124" s="144" t="s">
        <v>360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8" t="s">
        <v>25</v>
      </c>
      <c r="B125" s="182" t="s">
        <v>45</v>
      </c>
      <c r="C125" s="182" t="str">
        <f>Organ6</f>
        <v>OC6</v>
      </c>
      <c r="D125" s="146" t="s">
        <v>360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8" t="s">
        <v>25</v>
      </c>
      <c r="B126" s="182" t="s">
        <v>45</v>
      </c>
      <c r="C126" s="182" t="str">
        <f>Organ6</f>
        <v>OC6</v>
      </c>
      <c r="D126" s="146" t="s">
        <v>360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8" t="s">
        <v>25</v>
      </c>
      <c r="B127" s="182" t="s">
        <v>45</v>
      </c>
      <c r="C127" s="182" t="str">
        <f>Organ6</f>
        <v>OC6</v>
      </c>
      <c r="D127" s="146" t="s">
        <v>360</v>
      </c>
      <c r="E127" s="146" t="str">
        <f>IFERROR(VLOOKUP(D127,Table2[],2,FALSE),"")</f>
        <v>Hektar</v>
      </c>
      <c r="F127" s="150" t="s">
        <v>346</v>
      </c>
      <c r="G127" s="146" t="str">
        <f>IFERROR(VLOOKUP(F127,Table2[],2,FALSE),"")</f>
        <v>t CO2-ækvivalenter</v>
      </c>
      <c r="H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7" t="s">
        <v>25</v>
      </c>
      <c r="B128" s="181" t="s">
        <v>45</v>
      </c>
      <c r="C128" s="181" t="str">
        <f>Organ12</f>
        <v>OC12</v>
      </c>
      <c r="D128" s="144" t="s">
        <v>360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8" t="s">
        <v>25</v>
      </c>
      <c r="B129" s="182" t="s">
        <v>45</v>
      </c>
      <c r="C129" s="182" t="str">
        <f>Organ12</f>
        <v>OC12</v>
      </c>
      <c r="D129" s="146" t="s">
        <v>360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8" t="s">
        <v>25</v>
      </c>
      <c r="B130" s="182" t="s">
        <v>45</v>
      </c>
      <c r="C130" s="182" t="str">
        <f>Organ12</f>
        <v>OC12</v>
      </c>
      <c r="D130" s="146" t="s">
        <v>360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8" t="s">
        <v>25</v>
      </c>
      <c r="B131" s="182" t="s">
        <v>45</v>
      </c>
      <c r="C131" s="182" t="str">
        <f>Organ12</f>
        <v>OC12</v>
      </c>
      <c r="D131" s="146" t="s">
        <v>360</v>
      </c>
      <c r="E131" s="146" t="str">
        <f>IFERROR(VLOOKUP(D131,Table2[],2,FALSE),"")</f>
        <v>Hektar</v>
      </c>
      <c r="F131" s="150" t="s">
        <v>346</v>
      </c>
      <c r="G131" s="146" t="str">
        <f>IFERROR(VLOOKUP(F131,Table2[],2,FALSE),"")</f>
        <v>t CO2-ækvivalenter</v>
      </c>
      <c r="H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7" t="s">
        <v>25</v>
      </c>
      <c r="B132" s="181" t="s">
        <v>46</v>
      </c>
      <c r="C132" s="181" t="str">
        <f>Jordbund1</f>
        <v>JB1-10</v>
      </c>
      <c r="D132" s="144" t="s">
        <v>360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8" t="s">
        <v>25</v>
      </c>
      <c r="B133" s="182" t="s">
        <v>46</v>
      </c>
      <c r="C133" s="182" t="str">
        <f>Jordbund1</f>
        <v>JB1-10</v>
      </c>
      <c r="D133" s="146" t="s">
        <v>360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8" t="s">
        <v>25</v>
      </c>
      <c r="B134" s="182" t="s">
        <v>46</v>
      </c>
      <c r="C134" s="182" t="str">
        <f>Jordbund1</f>
        <v>JB1-10</v>
      </c>
      <c r="D134" s="146" t="s">
        <v>360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9" t="s">
        <v>25</v>
      </c>
      <c r="B135" s="183" t="s">
        <v>46</v>
      </c>
      <c r="C135" s="183" t="str">
        <f>Jordbund1</f>
        <v>JB1-10</v>
      </c>
      <c r="D135" s="148" t="s">
        <v>360</v>
      </c>
      <c r="E135" s="148" t="str">
        <f>IFERROR(VLOOKUP(D135,Table2[],2,FALSE),"")</f>
        <v>Hektar</v>
      </c>
      <c r="F135" s="203" t="s">
        <v>346</v>
      </c>
      <c r="G135" s="148" t="str">
        <f>IFERROR(VLOOKUP(F135,Table2[],2,FALSE),"")</f>
        <v>t CO2-ækvivalenter</v>
      </c>
      <c r="H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7" t="s">
        <v>25</v>
      </c>
      <c r="B136" s="181" t="s">
        <v>46</v>
      </c>
      <c r="C136" s="181" t="str">
        <f>Organ6</f>
        <v>OC6</v>
      </c>
      <c r="D136" s="144" t="s">
        <v>360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8" t="s">
        <v>25</v>
      </c>
      <c r="B137" s="182" t="s">
        <v>46</v>
      </c>
      <c r="C137" s="182" t="str">
        <f>Organ6</f>
        <v>OC6</v>
      </c>
      <c r="D137" s="146" t="s">
        <v>360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8" t="s">
        <v>25</v>
      </c>
      <c r="B138" s="182" t="s">
        <v>46</v>
      </c>
      <c r="C138" s="182" t="str">
        <f>Organ6</f>
        <v>OC6</v>
      </c>
      <c r="D138" s="146" t="s">
        <v>360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9" t="s">
        <v>25</v>
      </c>
      <c r="B139" s="183" t="s">
        <v>46</v>
      </c>
      <c r="C139" s="183" t="str">
        <f>Organ6</f>
        <v>OC6</v>
      </c>
      <c r="D139" s="148" t="s">
        <v>360</v>
      </c>
      <c r="E139" s="148" t="str">
        <f>IFERROR(VLOOKUP(D139,Table2[],2,FALSE),"")</f>
        <v>Hektar</v>
      </c>
      <c r="F139" s="203" t="s">
        <v>346</v>
      </c>
      <c r="G139" s="148" t="str">
        <f>IFERROR(VLOOKUP(F139,Table2[],2,FALSE),"")</f>
        <v>t CO2-ækvivalenter</v>
      </c>
      <c r="H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7" t="s">
        <v>25</v>
      </c>
      <c r="B140" s="181" t="s">
        <v>46</v>
      </c>
      <c r="C140" s="181" t="str">
        <f>Organ12</f>
        <v>OC12</v>
      </c>
      <c r="D140" s="144" t="s">
        <v>360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8" t="s">
        <v>25</v>
      </c>
      <c r="B141" s="182" t="s">
        <v>46</v>
      </c>
      <c r="C141" s="182" t="str">
        <f>Organ12</f>
        <v>OC12</v>
      </c>
      <c r="D141" s="146" t="s">
        <v>360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8" t="s">
        <v>25</v>
      </c>
      <c r="B142" s="182" t="s">
        <v>46</v>
      </c>
      <c r="C142" s="182" t="str">
        <f>Organ12</f>
        <v>OC12</v>
      </c>
      <c r="D142" s="146" t="s">
        <v>360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9" t="s">
        <v>25</v>
      </c>
      <c r="B143" s="183" t="s">
        <v>46</v>
      </c>
      <c r="C143" s="183" t="str">
        <f>Organ12</f>
        <v>OC12</v>
      </c>
      <c r="D143" s="148" t="s">
        <v>360</v>
      </c>
      <c r="E143" s="148" t="str">
        <f>IFERROR(VLOOKUP(D143,Table2[],2,FALSE),"")</f>
        <v>Hektar</v>
      </c>
      <c r="F143" s="203" t="s">
        <v>346</v>
      </c>
      <c r="G143" s="148" t="str">
        <f>IFERROR(VLOOKUP(F143,Table2[],2,FALSE),"")</f>
        <v>t CO2-ækvivalenter</v>
      </c>
      <c r="H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7" t="s">
        <v>26</v>
      </c>
      <c r="B144" s="181" t="s">
        <v>45</v>
      </c>
      <c r="C144" s="181" t="str">
        <f>Jordbund1</f>
        <v>JB1-10</v>
      </c>
      <c r="D144" s="242" t="s">
        <v>358</v>
      </c>
      <c r="E144" s="242" t="str">
        <f>IFERROR(VLOOKUP(D144,Table2[],2,FALSE),"")</f>
        <v>Hektar</v>
      </c>
      <c r="F144" s="242" t="s">
        <v>12</v>
      </c>
      <c r="G144" s="242" t="str">
        <f>IFERROR(VLOOKUP(F144,Table2[],2,FALSE),"")</f>
        <v>Ton</v>
      </c>
      <c r="H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8" t="s">
        <v>26</v>
      </c>
      <c r="B145" s="182" t="s">
        <v>45</v>
      </c>
      <c r="C145" s="182" t="str">
        <f>Jordbund1</f>
        <v>JB1-10</v>
      </c>
      <c r="D145" s="150" t="s">
        <v>358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9" t="s">
        <v>26</v>
      </c>
      <c r="B146" s="183" t="s">
        <v>45</v>
      </c>
      <c r="C146" s="183" t="str">
        <f>Jordbund1</f>
        <v>JB1-10</v>
      </c>
      <c r="D146" s="203" t="s">
        <v>358</v>
      </c>
      <c r="E146" s="203" t="str">
        <f>IFERROR(VLOOKUP(D146,Table2[],2,FALSE),"")</f>
        <v>Hektar</v>
      </c>
      <c r="F146" s="203" t="s">
        <v>346</v>
      </c>
      <c r="G146" s="203" t="str">
        <f>IFERROR(VLOOKUP(F146,Table2[],2,FALSE),"")</f>
        <v>t CO2-ækvivalenter</v>
      </c>
      <c r="H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7" t="s">
        <v>26</v>
      </c>
      <c r="B147" s="181" t="s">
        <v>45</v>
      </c>
      <c r="C147" s="181" t="str">
        <f>Organ6</f>
        <v>OC6</v>
      </c>
      <c r="D147" s="242" t="s">
        <v>358</v>
      </c>
      <c r="E147" s="242" t="str">
        <f>IFERROR(VLOOKUP(D147,Table2[],2,FALSE),"")</f>
        <v>Hektar</v>
      </c>
      <c r="F147" s="242" t="s">
        <v>12</v>
      </c>
      <c r="G147" s="242" t="str">
        <f>IFERROR(VLOOKUP(F147,Table2[],2,FALSE),"")</f>
        <v>Ton</v>
      </c>
      <c r="H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8" t="s">
        <v>26</v>
      </c>
      <c r="B148" s="182" t="s">
        <v>45</v>
      </c>
      <c r="C148" s="182" t="str">
        <f>Organ6</f>
        <v>OC6</v>
      </c>
      <c r="D148" s="150" t="s">
        <v>358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9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9" t="s">
        <v>26</v>
      </c>
      <c r="B149" s="183" t="s">
        <v>45</v>
      </c>
      <c r="C149" s="183" t="str">
        <f>Organ6</f>
        <v>OC6</v>
      </c>
      <c r="D149" s="203" t="s">
        <v>358</v>
      </c>
      <c r="E149" s="203" t="str">
        <f>IFERROR(VLOOKUP(D149,Table2[],2,FALSE),"")</f>
        <v>Hektar</v>
      </c>
      <c r="F149" s="203" t="s">
        <v>346</v>
      </c>
      <c r="G149" s="203" t="str">
        <f>IFERROR(VLOOKUP(F149,Table2[],2,FALSE),"")</f>
        <v>t CO2-ækvivalenter</v>
      </c>
      <c r="H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7" t="s">
        <v>26</v>
      </c>
      <c r="B150" s="181" t="s">
        <v>45</v>
      </c>
      <c r="C150" s="181" t="str">
        <f>Organ12</f>
        <v>OC12</v>
      </c>
      <c r="D150" s="242" t="s">
        <v>358</v>
      </c>
      <c r="E150" s="242" t="str">
        <f>IFERROR(VLOOKUP(D150,Table2[],2,FALSE),"")</f>
        <v>Hektar</v>
      </c>
      <c r="F150" s="242" t="s">
        <v>12</v>
      </c>
      <c r="G150" s="242" t="str">
        <f>IFERROR(VLOOKUP(F150,Table2[],2,FALSE),"")</f>
        <v>Ton</v>
      </c>
      <c r="H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8" t="s">
        <v>26</v>
      </c>
      <c r="B151" s="182" t="s">
        <v>45</v>
      </c>
      <c r="C151" s="182" t="str">
        <f>Organ12</f>
        <v>OC12</v>
      </c>
      <c r="D151" s="150" t="s">
        <v>358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9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9" t="s">
        <v>26</v>
      </c>
      <c r="B152" s="183" t="s">
        <v>45</v>
      </c>
      <c r="C152" s="183" t="str">
        <f>Organ12</f>
        <v>OC12</v>
      </c>
      <c r="D152" s="203" t="s">
        <v>358</v>
      </c>
      <c r="E152" s="203" t="str">
        <f>IFERROR(VLOOKUP(D152,Table2[],2,FALSE),"")</f>
        <v>Hektar</v>
      </c>
      <c r="F152" s="203" t="s">
        <v>346</v>
      </c>
      <c r="G152" s="203" t="str">
        <f>IFERROR(VLOOKUP(F152,Table2[],2,FALSE),"")</f>
        <v>t CO2-ækvivalenter</v>
      </c>
      <c r="H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7" t="s">
        <v>26</v>
      </c>
      <c r="B153" s="181" t="s">
        <v>46</v>
      </c>
      <c r="C153" s="181" t="str">
        <f>Jordbund1</f>
        <v>JB1-10</v>
      </c>
      <c r="D153" s="242" t="s">
        <v>358</v>
      </c>
      <c r="E153" s="242" t="str">
        <f>IFERROR(VLOOKUP(D153,Table2[],2,FALSE),"")</f>
        <v>Hektar</v>
      </c>
      <c r="F153" s="242" t="s">
        <v>12</v>
      </c>
      <c r="G153" s="242" t="str">
        <f>IFERROR(VLOOKUP(F153,Table2[],2,FALSE),"")</f>
        <v>Ton</v>
      </c>
      <c r="H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8" t="s">
        <v>26</v>
      </c>
      <c r="B154" s="182" t="s">
        <v>46</v>
      </c>
      <c r="C154" s="182" t="str">
        <f>Jordbund1</f>
        <v>JB1-10</v>
      </c>
      <c r="D154" s="150" t="s">
        <v>358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9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9" t="s">
        <v>26</v>
      </c>
      <c r="B155" s="183" t="s">
        <v>46</v>
      </c>
      <c r="C155" s="183" t="str">
        <f>Jordbund1</f>
        <v>JB1-10</v>
      </c>
      <c r="D155" s="203" t="s">
        <v>358</v>
      </c>
      <c r="E155" s="203" t="str">
        <f>IFERROR(VLOOKUP(D155,Table2[],2,FALSE),"")</f>
        <v>Hektar</v>
      </c>
      <c r="F155" s="203" t="s">
        <v>346</v>
      </c>
      <c r="G155" s="203" t="str">
        <f>IFERROR(VLOOKUP(F155,Table2[],2,FALSE),"")</f>
        <v>t CO2-ækvivalenter</v>
      </c>
      <c r="H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7" t="s">
        <v>26</v>
      </c>
      <c r="B156" s="181" t="s">
        <v>46</v>
      </c>
      <c r="C156" s="181" t="str">
        <f>Organ6</f>
        <v>OC6</v>
      </c>
      <c r="D156" s="242" t="s">
        <v>358</v>
      </c>
      <c r="E156" s="242" t="str">
        <f>IFERROR(VLOOKUP(D156,Table2[],2,FALSE),"")</f>
        <v>Hektar</v>
      </c>
      <c r="F156" s="242" t="s">
        <v>12</v>
      </c>
      <c r="G156" s="242" t="str">
        <f>IFERROR(VLOOKUP(F156,Table2[],2,FALSE),"")</f>
        <v>Ton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8" t="s">
        <v>26</v>
      </c>
      <c r="B157" s="182" t="s">
        <v>46</v>
      </c>
      <c r="C157" s="182" t="str">
        <f>Organ6</f>
        <v>OC6</v>
      </c>
      <c r="D157" s="150" t="s">
        <v>358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9" t="s">
        <v>26</v>
      </c>
      <c r="B158" s="183" t="s">
        <v>46</v>
      </c>
      <c r="C158" s="183" t="str">
        <f>Organ6</f>
        <v>OC6</v>
      </c>
      <c r="D158" s="203" t="s">
        <v>358</v>
      </c>
      <c r="E158" s="203" t="str">
        <f>IFERROR(VLOOKUP(D158,Table2[],2,FALSE),"")</f>
        <v>Hektar</v>
      </c>
      <c r="F158" s="203" t="s">
        <v>346</v>
      </c>
      <c r="G158" s="203" t="str">
        <f>IFERROR(VLOOKUP(F158,Table2[],2,FALSE),"")</f>
        <v>t CO2-ækvivalenter</v>
      </c>
      <c r="H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7" t="s">
        <v>26</v>
      </c>
      <c r="B159" s="181" t="s">
        <v>46</v>
      </c>
      <c r="C159" s="181" t="str">
        <f>Organ12</f>
        <v>OC12</v>
      </c>
      <c r="D159" s="242" t="s">
        <v>358</v>
      </c>
      <c r="E159" s="242" t="str">
        <f>IFERROR(VLOOKUP(D159,Table2[],2,FALSE),"")</f>
        <v>Hektar</v>
      </c>
      <c r="F159" s="242" t="s">
        <v>12</v>
      </c>
      <c r="G159" s="242" t="str">
        <f>IFERROR(VLOOKUP(F159,Table2[],2,FALSE),"")</f>
        <v>Ton</v>
      </c>
      <c r="H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8" t="s">
        <v>26</v>
      </c>
      <c r="B160" s="182" t="s">
        <v>46</v>
      </c>
      <c r="C160" s="182" t="str">
        <f>Organ12</f>
        <v>OC12</v>
      </c>
      <c r="D160" s="150" t="s">
        <v>358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9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9" t="s">
        <v>26</v>
      </c>
      <c r="B161" s="183" t="s">
        <v>46</v>
      </c>
      <c r="C161" s="183" t="str">
        <f>Organ12</f>
        <v>OC12</v>
      </c>
      <c r="D161" s="203" t="s">
        <v>358</v>
      </c>
      <c r="E161" s="203" t="str">
        <f>IFERROR(VLOOKUP(D161,Table2[],2,FALSE),"")</f>
        <v>Hektar</v>
      </c>
      <c r="F161" s="203" t="s">
        <v>346</v>
      </c>
      <c r="G161" s="203" t="str">
        <f>IFERROR(VLOOKUP(F161,Table2[],2,FALSE),"")</f>
        <v>t CO2-ækvivalenter</v>
      </c>
      <c r="H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8" t="s">
        <v>27</v>
      </c>
      <c r="B162" s="182" t="s">
        <v>45</v>
      </c>
      <c r="C162" s="182"/>
      <c r="D162" s="150" t="s">
        <v>358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8" t="s">
        <v>27</v>
      </c>
      <c r="B163" s="182" t="s">
        <v>45</v>
      </c>
      <c r="C163" s="182"/>
      <c r="D163" s="150" t="s">
        <v>358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8" t="s">
        <v>27</v>
      </c>
      <c r="B164" s="182" t="s">
        <v>45</v>
      </c>
      <c r="C164" s="182"/>
      <c r="D164" s="150" t="s">
        <v>358</v>
      </c>
      <c r="E164" s="150" t="str">
        <f>IFERROR(VLOOKUP(D164,Table2[],2,FALSE),"")</f>
        <v>Hektar</v>
      </c>
      <c r="F164" s="150" t="s">
        <v>346</v>
      </c>
      <c r="G164" s="150" t="str">
        <f>IFERROR(VLOOKUP(F164,Table2[],2,FALSE),"")</f>
        <v>t CO2-ækvivalenter</v>
      </c>
      <c r="H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7" t="s">
        <v>27</v>
      </c>
      <c r="B165" s="181" t="s">
        <v>46</v>
      </c>
      <c r="C165" s="181"/>
      <c r="D165" s="242" t="s">
        <v>358</v>
      </c>
      <c r="E165" s="242" t="str">
        <f>IFERROR(VLOOKUP(D165,Table2[],2,FALSE),"")</f>
        <v>Hektar</v>
      </c>
      <c r="F165" s="242" t="s">
        <v>12</v>
      </c>
      <c r="G165" s="242" t="str">
        <f>IFERROR(VLOOKUP(F165,Table2[],2,FALSE),"")</f>
        <v>Ton</v>
      </c>
      <c r="H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8" t="s">
        <v>27</v>
      </c>
      <c r="B166" s="182" t="s">
        <v>46</v>
      </c>
      <c r="C166" s="182"/>
      <c r="D166" s="150" t="s">
        <v>358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9" t="s">
        <v>27</v>
      </c>
      <c r="B167" s="183" t="s">
        <v>46</v>
      </c>
      <c r="C167" s="183"/>
      <c r="D167" s="148" t="s">
        <v>358</v>
      </c>
      <c r="E167" s="148" t="str">
        <f>IFERROR(VLOOKUP(D167,Table2[],2,FALSE),"")</f>
        <v>Hektar</v>
      </c>
      <c r="F167" s="203" t="s">
        <v>346</v>
      </c>
      <c r="G167" s="148" t="str">
        <f>IFERROR(VLOOKUP(F167,Table2[],2,FALSE),"")</f>
        <v>t CO2-ækvivalenter</v>
      </c>
      <c r="H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7" t="s">
        <v>304</v>
      </c>
      <c r="B168" s="181" t="s">
        <v>45</v>
      </c>
      <c r="C168" s="181" t="str">
        <f>Jordbund1</f>
        <v>JB1-10</v>
      </c>
      <c r="D168" s="144" t="s">
        <v>359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8" t="s">
        <v>304</v>
      </c>
      <c r="B169" s="182" t="s">
        <v>45</v>
      </c>
      <c r="C169" s="182" t="str">
        <f>Jordbund1</f>
        <v>JB1-10</v>
      </c>
      <c r="D169" s="146" t="s">
        <v>359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9" t="s">
        <v>304</v>
      </c>
      <c r="B170" s="183" t="s">
        <v>45</v>
      </c>
      <c r="C170" s="183" t="str">
        <f>Jordbund1</f>
        <v>JB1-10</v>
      </c>
      <c r="D170" s="148" t="s">
        <v>359</v>
      </c>
      <c r="E170" s="148" t="str">
        <f>IFERROR(VLOOKUP(D170,Table2[],2,FALSE),"")</f>
        <v>Hektar</v>
      </c>
      <c r="F170" s="203" t="s">
        <v>346</v>
      </c>
      <c r="G170" s="148" t="str">
        <f>IFERROR(VLOOKUP(F170,Table2[],2,FALSE),"")</f>
        <v>t CO2-ækvivalenter</v>
      </c>
      <c r="H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8" t="s">
        <v>304</v>
      </c>
      <c r="B171" s="182" t="s">
        <v>45</v>
      </c>
      <c r="C171" s="182" t="str">
        <f>Organ6</f>
        <v>OC6</v>
      </c>
      <c r="D171" s="146" t="s">
        <v>359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8" t="s">
        <v>304</v>
      </c>
      <c r="B172" s="182" t="s">
        <v>45</v>
      </c>
      <c r="C172" s="182" t="str">
        <f>Organ6</f>
        <v>OC6</v>
      </c>
      <c r="D172" s="146" t="s">
        <v>359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9" t="s">
        <v>304</v>
      </c>
      <c r="B173" s="183" t="s">
        <v>45</v>
      </c>
      <c r="C173" s="183" t="str">
        <f>Organ6</f>
        <v>OC6</v>
      </c>
      <c r="D173" s="148" t="s">
        <v>359</v>
      </c>
      <c r="E173" s="148" t="str">
        <f>IFERROR(VLOOKUP(D173,Table2[],2,FALSE),"")</f>
        <v>Hektar</v>
      </c>
      <c r="F173" s="203" t="s">
        <v>346</v>
      </c>
      <c r="G173" s="148" t="str">
        <f>IFERROR(VLOOKUP(F173,Table2[],2,FALSE),"")</f>
        <v>t CO2-ækvivalenter</v>
      </c>
      <c r="H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7" t="s">
        <v>304</v>
      </c>
      <c r="B174" s="181" t="s">
        <v>45</v>
      </c>
      <c r="C174" s="181" t="str">
        <f>Organ12</f>
        <v>OC12</v>
      </c>
      <c r="D174" s="144" t="s">
        <v>359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8" t="s">
        <v>304</v>
      </c>
      <c r="B175" s="182" t="s">
        <v>45</v>
      </c>
      <c r="C175" s="182" t="str">
        <f>Organ12</f>
        <v>OC12</v>
      </c>
      <c r="D175" s="146" t="s">
        <v>359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9" t="s">
        <v>304</v>
      </c>
      <c r="B176" s="183" t="s">
        <v>45</v>
      </c>
      <c r="C176" s="183" t="str">
        <f>Organ12</f>
        <v>OC12</v>
      </c>
      <c r="D176" s="148" t="s">
        <v>359</v>
      </c>
      <c r="E176" s="148" t="str">
        <f>IFERROR(VLOOKUP(D176,Table2[],2,FALSE),"")</f>
        <v>Hektar</v>
      </c>
      <c r="F176" s="203" t="s">
        <v>346</v>
      </c>
      <c r="G176" s="148" t="str">
        <f>IFERROR(VLOOKUP(F176,Table2[],2,FALSE),"")</f>
        <v>t CO2-ækvivalenter</v>
      </c>
      <c r="H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7" t="s">
        <v>304</v>
      </c>
      <c r="B177" s="181" t="s">
        <v>46</v>
      </c>
      <c r="C177" s="181" t="str">
        <f>Jordbund1</f>
        <v>JB1-10</v>
      </c>
      <c r="D177" s="144" t="s">
        <v>359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8" t="s">
        <v>304</v>
      </c>
      <c r="B178" s="182" t="s">
        <v>46</v>
      </c>
      <c r="C178" s="182" t="str">
        <f>Jordbund1</f>
        <v>JB1-10</v>
      </c>
      <c r="D178" s="146" t="s">
        <v>359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9" t="s">
        <v>304</v>
      </c>
      <c r="B179" s="183" t="s">
        <v>46</v>
      </c>
      <c r="C179" s="183" t="str">
        <f>Jordbund1</f>
        <v>JB1-10</v>
      </c>
      <c r="D179" s="148" t="s">
        <v>359</v>
      </c>
      <c r="E179" s="148" t="str">
        <f>IFERROR(VLOOKUP(D179,Table2[],2,FALSE),"")</f>
        <v>Hektar</v>
      </c>
      <c r="F179" s="203" t="s">
        <v>346</v>
      </c>
      <c r="G179" s="148" t="str">
        <f>IFERROR(VLOOKUP(F179,Table2[],2,FALSE),"")</f>
        <v>t CO2-ækvivalenter</v>
      </c>
      <c r="H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7" t="s">
        <v>304</v>
      </c>
      <c r="B180" s="181" t="s">
        <v>46</v>
      </c>
      <c r="C180" s="181" t="str">
        <f>Organ6</f>
        <v>OC6</v>
      </c>
      <c r="D180" s="144" t="s">
        <v>359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8" t="s">
        <v>304</v>
      </c>
      <c r="B181" s="182" t="s">
        <v>46</v>
      </c>
      <c r="C181" s="182" t="str">
        <f>Organ6</f>
        <v>OC6</v>
      </c>
      <c r="D181" s="146" t="s">
        <v>359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9" t="s">
        <v>304</v>
      </c>
      <c r="B182" s="183" t="s">
        <v>46</v>
      </c>
      <c r="C182" s="183" t="str">
        <f>Organ6</f>
        <v>OC6</v>
      </c>
      <c r="D182" s="148" t="s">
        <v>359</v>
      </c>
      <c r="E182" s="148" t="str">
        <f>IFERROR(VLOOKUP(D182,Table2[],2,FALSE),"")</f>
        <v>Hektar</v>
      </c>
      <c r="F182" s="203" t="s">
        <v>346</v>
      </c>
      <c r="G182" s="148" t="str">
        <f>IFERROR(VLOOKUP(F182,Table2[],2,FALSE),"")</f>
        <v>t CO2-ækvivalenter</v>
      </c>
      <c r="H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7" t="s">
        <v>304</v>
      </c>
      <c r="B183" s="181" t="s">
        <v>46</v>
      </c>
      <c r="C183" s="181" t="str">
        <f>Organ12</f>
        <v>OC12</v>
      </c>
      <c r="D183" s="144" t="s">
        <v>359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8" t="s">
        <v>304</v>
      </c>
      <c r="B184" s="182" t="s">
        <v>46</v>
      </c>
      <c r="C184" s="182" t="str">
        <f>Organ12</f>
        <v>OC12</v>
      </c>
      <c r="D184" s="146" t="s">
        <v>359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9" t="s">
        <v>304</v>
      </c>
      <c r="B185" s="183" t="s">
        <v>46</v>
      </c>
      <c r="C185" s="183" t="str">
        <f>Organ12</f>
        <v>OC12</v>
      </c>
      <c r="D185" s="148" t="s">
        <v>359</v>
      </c>
      <c r="E185" s="148" t="str">
        <f>IFERROR(VLOOKUP(D185,Table2[],2,FALSE),"")</f>
        <v>Hektar</v>
      </c>
      <c r="F185" s="203" t="s">
        <v>346</v>
      </c>
      <c r="G185" s="148" t="str">
        <f>IFERROR(VLOOKUP(F185,Table2[],2,FALSE),"")</f>
        <v>t CO2-ækvivalenter</v>
      </c>
      <c r="H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7" t="s">
        <v>28</v>
      </c>
      <c r="B186" s="181" t="s">
        <v>45</v>
      </c>
      <c r="C186" s="181" t="str">
        <f>Jordbund1</f>
        <v>JB1-10</v>
      </c>
      <c r="D186" s="144" t="s">
        <v>357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8" t="s">
        <v>28</v>
      </c>
      <c r="B187" s="182" t="s">
        <v>45</v>
      </c>
      <c r="C187" s="182" t="str">
        <f>Jordbund1</f>
        <v>JB1-10</v>
      </c>
      <c r="D187" s="146" t="s">
        <v>357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9" t="s">
        <v>28</v>
      </c>
      <c r="B188" s="183" t="s">
        <v>45</v>
      </c>
      <c r="C188" s="183" t="str">
        <f>Jordbund1</f>
        <v>JB1-10</v>
      </c>
      <c r="D188" s="148" t="s">
        <v>357</v>
      </c>
      <c r="E188" s="148" t="str">
        <f>IFERROR(VLOOKUP(D188,Table2[],2,FALSE),"")</f>
        <v>Hektar</v>
      </c>
      <c r="F188" s="203" t="s">
        <v>346</v>
      </c>
      <c r="G188" s="148" t="str">
        <f>IFERROR(VLOOKUP(F188,Table2[],2,FALSE),"")</f>
        <v>t CO2-ækvivalenter</v>
      </c>
      <c r="H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7" t="s">
        <v>28</v>
      </c>
      <c r="B189" s="181" t="s">
        <v>45</v>
      </c>
      <c r="C189" s="181" t="str">
        <f>Organ6</f>
        <v>OC6</v>
      </c>
      <c r="D189" s="144" t="s">
        <v>357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8" t="s">
        <v>28</v>
      </c>
      <c r="B190" s="182" t="s">
        <v>45</v>
      </c>
      <c r="C190" s="182" t="str">
        <f>Organ6</f>
        <v>OC6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9" t="s">
        <v>28</v>
      </c>
      <c r="B191" s="183" t="s">
        <v>45</v>
      </c>
      <c r="C191" s="183" t="str">
        <f>Organ6</f>
        <v>OC6</v>
      </c>
      <c r="D191" s="148" t="s">
        <v>357</v>
      </c>
      <c r="E191" s="148" t="str">
        <f>IFERROR(VLOOKUP(D191,Table2[],2,FALSE),"")</f>
        <v>Hektar</v>
      </c>
      <c r="F191" s="203" t="s">
        <v>346</v>
      </c>
      <c r="G191" s="148" t="str">
        <f>IFERROR(VLOOKUP(F191,Table2[],2,FALSE),"")</f>
        <v>t CO2-ækvivalenter</v>
      </c>
      <c r="H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7" t="s">
        <v>28</v>
      </c>
      <c r="B192" s="181" t="s">
        <v>45</v>
      </c>
      <c r="C192" s="181" t="str">
        <f>Organ12</f>
        <v>OC12</v>
      </c>
      <c r="D192" s="144" t="s">
        <v>357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8" t="s">
        <v>28</v>
      </c>
      <c r="B193" s="182" t="s">
        <v>45</v>
      </c>
      <c r="C193" s="182" t="str">
        <f>Organ12</f>
        <v>OC12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9" t="s">
        <v>28</v>
      </c>
      <c r="B194" s="183" t="s">
        <v>45</v>
      </c>
      <c r="C194" s="183" t="str">
        <f>Organ12</f>
        <v>OC12</v>
      </c>
      <c r="D194" s="148" t="s">
        <v>357</v>
      </c>
      <c r="E194" s="148" t="str">
        <f>IFERROR(VLOOKUP(D194,Table2[],2,FALSE),"")</f>
        <v>Hektar</v>
      </c>
      <c r="F194" s="203" t="s">
        <v>346</v>
      </c>
      <c r="G194" s="148" t="str">
        <f>IFERROR(VLOOKUP(F194,Table2[],2,FALSE),"")</f>
        <v>t CO2-ækvivalenter</v>
      </c>
      <c r="H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7" t="s">
        <v>28</v>
      </c>
      <c r="B195" s="181" t="s">
        <v>46</v>
      </c>
      <c r="C195" s="181" t="str">
        <f>Jordbund1</f>
        <v>JB1-10</v>
      </c>
      <c r="D195" s="144" t="s">
        <v>357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8" t="s">
        <v>28</v>
      </c>
      <c r="B196" s="182" t="s">
        <v>46</v>
      </c>
      <c r="C196" s="182" t="str">
        <f>Jordbund1</f>
        <v>JB1-10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9" t="s">
        <v>28</v>
      </c>
      <c r="B197" s="183" t="s">
        <v>46</v>
      </c>
      <c r="C197" s="183" t="str">
        <f>Jordbund1</f>
        <v>JB1-10</v>
      </c>
      <c r="D197" s="148" t="s">
        <v>357</v>
      </c>
      <c r="E197" s="148" t="str">
        <f>IFERROR(VLOOKUP(D197,Table2[],2,FALSE),"")</f>
        <v>Hektar</v>
      </c>
      <c r="F197" s="203" t="s">
        <v>346</v>
      </c>
      <c r="G197" s="148" t="str">
        <f>IFERROR(VLOOKUP(F197,Table2[],2,FALSE),"")</f>
        <v>t CO2-ækvivalenter</v>
      </c>
      <c r="H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7" t="s">
        <v>28</v>
      </c>
      <c r="B198" s="181" t="s">
        <v>46</v>
      </c>
      <c r="C198" s="181" t="str">
        <f>Organ6</f>
        <v>OC6</v>
      </c>
      <c r="D198" s="144" t="s">
        <v>357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8" t="s">
        <v>28</v>
      </c>
      <c r="B199" s="182" t="s">
        <v>46</v>
      </c>
      <c r="C199" s="182" t="str">
        <f>Organ6</f>
        <v>OC6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9" t="s">
        <v>28</v>
      </c>
      <c r="B200" s="183" t="s">
        <v>46</v>
      </c>
      <c r="C200" s="183" t="str">
        <f>Organ6</f>
        <v>OC6</v>
      </c>
      <c r="D200" s="148" t="s">
        <v>357</v>
      </c>
      <c r="E200" s="148" t="str">
        <f>IFERROR(VLOOKUP(D200,Table2[],2,FALSE),"")</f>
        <v>Hektar</v>
      </c>
      <c r="F200" s="203" t="s">
        <v>346</v>
      </c>
      <c r="G200" s="148" t="str">
        <f>IFERROR(VLOOKUP(F200,Table2[],2,FALSE),"")</f>
        <v>t CO2-ækvivalenter</v>
      </c>
      <c r="H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7" t="s">
        <v>28</v>
      </c>
      <c r="B201" s="181" t="s">
        <v>46</v>
      </c>
      <c r="C201" s="181" t="str">
        <f>Organ12</f>
        <v>OC12</v>
      </c>
      <c r="D201" s="144" t="s">
        <v>357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8" t="s">
        <v>28</v>
      </c>
      <c r="B202" s="182" t="s">
        <v>46</v>
      </c>
      <c r="C202" s="182" t="str">
        <f>Organ12</f>
        <v>OC12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9" t="s">
        <v>28</v>
      </c>
      <c r="B203" s="183" t="s">
        <v>46</v>
      </c>
      <c r="C203" s="183" t="str">
        <f>Organ12</f>
        <v>OC12</v>
      </c>
      <c r="D203" s="148" t="s">
        <v>357</v>
      </c>
      <c r="E203" s="148" t="str">
        <f>IFERROR(VLOOKUP(D203,Table2[],2,FALSE),"")</f>
        <v>Hektar</v>
      </c>
      <c r="F203" s="203" t="s">
        <v>346</v>
      </c>
      <c r="G203" s="148" t="str">
        <f>IFERROR(VLOOKUP(F203,Table2[],2,FALSE),"")</f>
        <v>t CO2-ækvivalenter</v>
      </c>
      <c r="H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7" t="s">
        <v>29</v>
      </c>
      <c r="B204" s="181" t="s">
        <v>45</v>
      </c>
      <c r="C204" s="181" t="str">
        <f>Jordbund1</f>
        <v>JB1-10</v>
      </c>
      <c r="D204" s="144" t="s">
        <v>355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8" t="s">
        <v>29</v>
      </c>
      <c r="B205" s="182" t="s">
        <v>45</v>
      </c>
      <c r="C205" s="182" t="str">
        <f>Jordbund1</f>
        <v>JB1-10</v>
      </c>
      <c r="D205" s="146" t="s">
        <v>355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8" t="s">
        <v>29</v>
      </c>
      <c r="B206" s="182" t="s">
        <v>45</v>
      </c>
      <c r="C206" s="182" t="str">
        <f>Jordbund1</f>
        <v>JB1-10</v>
      </c>
      <c r="D206" s="146" t="s">
        <v>355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9" t="s">
        <v>29</v>
      </c>
      <c r="B207" s="183" t="s">
        <v>45</v>
      </c>
      <c r="C207" s="183" t="str">
        <f>Jordbund1</f>
        <v>JB1-10</v>
      </c>
      <c r="D207" s="148" t="s">
        <v>355</v>
      </c>
      <c r="E207" s="148" t="str">
        <f>IFERROR(VLOOKUP(D207,Table2[],2,FALSE),"")</f>
        <v>Hektar</v>
      </c>
      <c r="F207" s="203" t="s">
        <v>346</v>
      </c>
      <c r="G207" s="148" t="str">
        <f>IFERROR(VLOOKUP(F207,Table2[],2,FALSE),"")</f>
        <v>t CO2-ækvivalenter</v>
      </c>
      <c r="H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7" t="s">
        <v>29</v>
      </c>
      <c r="B208" s="181" t="s">
        <v>45</v>
      </c>
      <c r="C208" s="181" t="str">
        <f>Organ6</f>
        <v>OC6</v>
      </c>
      <c r="D208" s="144" t="s">
        <v>355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8" t="s">
        <v>29</v>
      </c>
      <c r="B209" s="182" t="s">
        <v>45</v>
      </c>
      <c r="C209" s="182" t="str">
        <f>Organ6</f>
        <v>OC6</v>
      </c>
      <c r="D209" s="146" t="s">
        <v>355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8" t="s">
        <v>29</v>
      </c>
      <c r="B210" s="182" t="s">
        <v>45</v>
      </c>
      <c r="C210" s="182" t="str">
        <f>Organ6</f>
        <v>OC6</v>
      </c>
      <c r="D210" s="146" t="s">
        <v>355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9" t="s">
        <v>29</v>
      </c>
      <c r="B211" s="183" t="s">
        <v>45</v>
      </c>
      <c r="C211" s="183" t="str">
        <f>Organ6</f>
        <v>OC6</v>
      </c>
      <c r="D211" s="148" t="s">
        <v>355</v>
      </c>
      <c r="E211" s="148" t="str">
        <f>IFERROR(VLOOKUP(D211,Table2[],2,FALSE),"")</f>
        <v>Hektar</v>
      </c>
      <c r="F211" s="203" t="s">
        <v>346</v>
      </c>
      <c r="G211" s="148" t="str">
        <f>IFERROR(VLOOKUP(F211,Table2[],2,FALSE),"")</f>
        <v>t CO2-ækvivalenter</v>
      </c>
      <c r="H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7" t="s">
        <v>29</v>
      </c>
      <c r="B212" s="181" t="s">
        <v>45</v>
      </c>
      <c r="C212" s="181" t="str">
        <f>Organ12</f>
        <v>OC12</v>
      </c>
      <c r="D212" s="144" t="s">
        <v>355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8" t="s">
        <v>29</v>
      </c>
      <c r="B213" s="182" t="s">
        <v>45</v>
      </c>
      <c r="C213" s="182" t="str">
        <f>Organ12</f>
        <v>OC12</v>
      </c>
      <c r="D213" s="146" t="s">
        <v>355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8" t="s">
        <v>29</v>
      </c>
      <c r="B214" s="182" t="s">
        <v>45</v>
      </c>
      <c r="C214" s="182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9" t="s">
        <v>29</v>
      </c>
      <c r="B215" s="183" t="s">
        <v>45</v>
      </c>
      <c r="C215" s="183" t="str">
        <f>Organ12</f>
        <v>OC12</v>
      </c>
      <c r="D215" s="148" t="s">
        <v>355</v>
      </c>
      <c r="E215" s="148" t="str">
        <f>IFERROR(VLOOKUP(D215,Table2[],2,FALSE),"")</f>
        <v>Hektar</v>
      </c>
      <c r="F215" s="203" t="s">
        <v>346</v>
      </c>
      <c r="G215" s="148" t="str">
        <f>IFERROR(VLOOKUP(F215,Table2[],2,FALSE),"")</f>
        <v>t CO2-ækvivalenter</v>
      </c>
      <c r="H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7" t="s">
        <v>29</v>
      </c>
      <c r="B216" s="181" t="s">
        <v>46</v>
      </c>
      <c r="C216" s="181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8" t="s">
        <v>29</v>
      </c>
      <c r="B217" s="182" t="s">
        <v>46</v>
      </c>
      <c r="C217" s="182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8" t="s">
        <v>29</v>
      </c>
      <c r="B218" s="182" t="s">
        <v>46</v>
      </c>
      <c r="C218" s="182" t="str">
        <f>Jordbund1</f>
        <v>JB1-10</v>
      </c>
      <c r="D218" s="146" t="s">
        <v>355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9" t="s">
        <v>29</v>
      </c>
      <c r="B219" s="183" t="s">
        <v>46</v>
      </c>
      <c r="C219" s="183" t="str">
        <f>Jordbund1</f>
        <v>JB1-10</v>
      </c>
      <c r="D219" s="148" t="s">
        <v>355</v>
      </c>
      <c r="E219" s="148" t="str">
        <f>IFERROR(VLOOKUP(D219,Table2[],2,FALSE),"")</f>
        <v>Hektar</v>
      </c>
      <c r="F219" s="203" t="s">
        <v>346</v>
      </c>
      <c r="G219" s="148" t="str">
        <f>IFERROR(VLOOKUP(F219,Table2[],2,FALSE),"")</f>
        <v>t CO2-ækvivalenter</v>
      </c>
      <c r="H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7" t="s">
        <v>29</v>
      </c>
      <c r="B220" s="181" t="s">
        <v>46</v>
      </c>
      <c r="C220" s="181" t="str">
        <f>Organ6</f>
        <v>OC6</v>
      </c>
      <c r="D220" s="144" t="s">
        <v>355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8" t="s">
        <v>29</v>
      </c>
      <c r="B221" s="182" t="s">
        <v>46</v>
      </c>
      <c r="C221" s="182" t="str">
        <f>Organ6</f>
        <v>OC6</v>
      </c>
      <c r="D221" s="146" t="s">
        <v>355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8" t="s">
        <v>29</v>
      </c>
      <c r="B222" s="182" t="s">
        <v>46</v>
      </c>
      <c r="C222" s="182" t="str">
        <f>Organ6</f>
        <v>OC6</v>
      </c>
      <c r="D222" s="146" t="s">
        <v>355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9" t="s">
        <v>29</v>
      </c>
      <c r="B223" s="183" t="s">
        <v>46</v>
      </c>
      <c r="C223" s="183" t="str">
        <f>Organ6</f>
        <v>OC6</v>
      </c>
      <c r="D223" s="148" t="s">
        <v>355</v>
      </c>
      <c r="E223" s="148" t="str">
        <f>IFERROR(VLOOKUP(D223,Table2[],2,FALSE),"")</f>
        <v>Hektar</v>
      </c>
      <c r="F223" s="203" t="s">
        <v>346</v>
      </c>
      <c r="G223" s="148" t="str">
        <f>IFERROR(VLOOKUP(F223,Table2[],2,FALSE),"")</f>
        <v>t CO2-ækvivalenter</v>
      </c>
      <c r="H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7" t="s">
        <v>29</v>
      </c>
      <c r="B224" s="181" t="s">
        <v>46</v>
      </c>
      <c r="C224" s="181" t="str">
        <f>Organ12</f>
        <v>OC12</v>
      </c>
      <c r="D224" s="144" t="s">
        <v>355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8" t="s">
        <v>29</v>
      </c>
      <c r="B225" s="182" t="s">
        <v>46</v>
      </c>
      <c r="C225" s="182" t="str">
        <f>Organ12</f>
        <v>OC12</v>
      </c>
      <c r="D225" s="146" t="s">
        <v>355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8" t="s">
        <v>29</v>
      </c>
      <c r="B226" s="182" t="s">
        <v>46</v>
      </c>
      <c r="C226" s="182" t="str">
        <f>Organ12</f>
        <v>OC12</v>
      </c>
      <c r="D226" s="146" t="s">
        <v>355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9" t="s">
        <v>29</v>
      </c>
      <c r="B227" s="183" t="s">
        <v>46</v>
      </c>
      <c r="C227" s="183" t="str">
        <f>Organ12</f>
        <v>OC12</v>
      </c>
      <c r="D227" s="148" t="s">
        <v>355</v>
      </c>
      <c r="E227" s="148" t="str">
        <f>IFERROR(VLOOKUP(D227,Table2[],2,FALSE),"")</f>
        <v>Hektar</v>
      </c>
      <c r="F227" s="203" t="s">
        <v>346</v>
      </c>
      <c r="G227" s="148" t="str">
        <f>IFERROR(VLOOKUP(F227,Table2[],2,FALSE),"")</f>
        <v>t CO2-ækvivalenter</v>
      </c>
      <c r="H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8" t="s">
        <v>30</v>
      </c>
      <c r="B228" s="182" t="s">
        <v>45</v>
      </c>
      <c r="C228" s="182" t="str">
        <f>Jordbund1</f>
        <v>JB1-10</v>
      </c>
      <c r="D228" s="146" t="s">
        <v>365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8" t="s">
        <v>30</v>
      </c>
      <c r="B229" s="182" t="s">
        <v>45</v>
      </c>
      <c r="C229" s="182" t="str">
        <f>Jordbund1</f>
        <v>JB1-10</v>
      </c>
      <c r="D229" s="146" t="s">
        <v>365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9" t="s">
        <v>30</v>
      </c>
      <c r="B230" s="183" t="s">
        <v>45</v>
      </c>
      <c r="C230" s="183" t="str">
        <f>Jordbund1</f>
        <v>JB1-10</v>
      </c>
      <c r="D230" s="148" t="s">
        <v>365</v>
      </c>
      <c r="E230" s="148" t="str">
        <f>IFERROR(VLOOKUP(D230,Table2[],2,FALSE),"")</f>
        <v>Hektar</v>
      </c>
      <c r="F230" s="203" t="s">
        <v>346</v>
      </c>
      <c r="G230" s="148" t="str">
        <f>IFERROR(VLOOKUP(F230,Table2[],2,FALSE),"")</f>
        <v>t CO2-ækvivalenter</v>
      </c>
      <c r="H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7" t="s">
        <v>30</v>
      </c>
      <c r="B231" s="181" t="s">
        <v>45</v>
      </c>
      <c r="C231" s="181" t="str">
        <f>Organ6</f>
        <v>OC6</v>
      </c>
      <c r="D231" s="144" t="s">
        <v>365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8" t="s">
        <v>30</v>
      </c>
      <c r="B232" s="182" t="s">
        <v>45</v>
      </c>
      <c r="C232" s="182" t="str">
        <f>Organ6</f>
        <v>OC6</v>
      </c>
      <c r="D232" s="146" t="s">
        <v>365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9" t="s">
        <v>30</v>
      </c>
      <c r="B233" s="183" t="s">
        <v>45</v>
      </c>
      <c r="C233" s="183" t="str">
        <f>Organ6</f>
        <v>OC6</v>
      </c>
      <c r="D233" s="148" t="s">
        <v>365</v>
      </c>
      <c r="E233" s="148" t="str">
        <f>IFERROR(VLOOKUP(D233,Table2[],2,FALSE),"")</f>
        <v>Hektar</v>
      </c>
      <c r="F233" s="203" t="s">
        <v>346</v>
      </c>
      <c r="G233" s="148" t="str">
        <f>IFERROR(VLOOKUP(F233,Table2[],2,FALSE),"")</f>
        <v>t CO2-ækvivalenter</v>
      </c>
      <c r="H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7" t="s">
        <v>30</v>
      </c>
      <c r="B234" s="181" t="s">
        <v>45</v>
      </c>
      <c r="C234" s="181" t="str">
        <f>Organ12</f>
        <v>OC12</v>
      </c>
      <c r="D234" s="144" t="s">
        <v>365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8" t="s">
        <v>30</v>
      </c>
      <c r="B235" s="182" t="s">
        <v>45</v>
      </c>
      <c r="C235" s="182" t="str">
        <f>Organ12</f>
        <v>OC12</v>
      </c>
      <c r="D235" s="146" t="s">
        <v>365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9" t="s">
        <v>30</v>
      </c>
      <c r="B236" s="183" t="s">
        <v>45</v>
      </c>
      <c r="C236" s="183" t="str">
        <f>Organ12</f>
        <v>OC12</v>
      </c>
      <c r="D236" s="148" t="s">
        <v>365</v>
      </c>
      <c r="E236" s="148" t="str">
        <f>IFERROR(VLOOKUP(D236,Table2[],2,FALSE),"")</f>
        <v>Hektar</v>
      </c>
      <c r="F236" s="203" t="s">
        <v>346</v>
      </c>
      <c r="G236" s="148" t="str">
        <f>IFERROR(VLOOKUP(F236,Table2[],2,FALSE),"")</f>
        <v>t CO2-ækvivalenter</v>
      </c>
      <c r="H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7" t="s">
        <v>30</v>
      </c>
      <c r="B237" s="181" t="s">
        <v>46</v>
      </c>
      <c r="C237" s="181" t="str">
        <f>Jordbund1</f>
        <v>JB1-10</v>
      </c>
      <c r="D237" s="144" t="s">
        <v>365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8" t="s">
        <v>30</v>
      </c>
      <c r="B238" s="182" t="s">
        <v>46</v>
      </c>
      <c r="C238" s="182" t="str">
        <f>Jordbund1</f>
        <v>JB1-10</v>
      </c>
      <c r="D238" s="146" t="s">
        <v>365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9" t="s">
        <v>30</v>
      </c>
      <c r="B239" s="183" t="s">
        <v>46</v>
      </c>
      <c r="C239" s="183" t="str">
        <f>Jordbund1</f>
        <v>JB1-10</v>
      </c>
      <c r="D239" s="148" t="s">
        <v>365</v>
      </c>
      <c r="E239" s="148" t="str">
        <f>IFERROR(VLOOKUP(D239,Table2[],2,FALSE),"")</f>
        <v>Hektar</v>
      </c>
      <c r="F239" s="203" t="s">
        <v>346</v>
      </c>
      <c r="G239" s="148" t="str">
        <f>IFERROR(VLOOKUP(F239,Table2[],2,FALSE),"")</f>
        <v>t CO2-ækvivalenter</v>
      </c>
      <c r="H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7" t="s">
        <v>30</v>
      </c>
      <c r="B240" s="181" t="s">
        <v>46</v>
      </c>
      <c r="C240" s="181" t="str">
        <f>Organ6</f>
        <v>OC6</v>
      </c>
      <c r="D240" s="144" t="s">
        <v>365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8" t="s">
        <v>30</v>
      </c>
      <c r="B241" s="182" t="s">
        <v>46</v>
      </c>
      <c r="C241" s="182" t="str">
        <f>Organ6</f>
        <v>OC6</v>
      </c>
      <c r="D241" s="146" t="s">
        <v>365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9" t="s">
        <v>30</v>
      </c>
      <c r="B242" s="183" t="s">
        <v>46</v>
      </c>
      <c r="C242" s="183" t="str">
        <f>Organ6</f>
        <v>OC6</v>
      </c>
      <c r="D242" s="148" t="s">
        <v>365</v>
      </c>
      <c r="E242" s="148" t="str">
        <f>IFERROR(VLOOKUP(D242,Table2[],2,FALSE),"")</f>
        <v>Hektar</v>
      </c>
      <c r="F242" s="203" t="s">
        <v>346</v>
      </c>
      <c r="G242" s="148" t="str">
        <f>IFERROR(VLOOKUP(F242,Table2[],2,FALSE),"")</f>
        <v>t CO2-ækvivalenter</v>
      </c>
      <c r="H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7" t="s">
        <v>30</v>
      </c>
      <c r="B243" s="181" t="s">
        <v>46</v>
      </c>
      <c r="C243" s="181" t="str">
        <f>Organ12</f>
        <v>OC12</v>
      </c>
      <c r="D243" s="144" t="s">
        <v>365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8" t="s">
        <v>30</v>
      </c>
      <c r="B244" s="182" t="s">
        <v>46</v>
      </c>
      <c r="C244" s="182" t="str">
        <f>Organ12</f>
        <v>OC12</v>
      </c>
      <c r="D244" s="146" t="s">
        <v>365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9" t="s">
        <v>30</v>
      </c>
      <c r="B245" s="183" t="s">
        <v>46</v>
      </c>
      <c r="C245" s="183" t="str">
        <f>Organ12</f>
        <v>OC12</v>
      </c>
      <c r="D245" s="148" t="s">
        <v>365</v>
      </c>
      <c r="E245" s="148" t="str">
        <f>IFERROR(VLOOKUP(D245,Table2[],2,FALSE),"")</f>
        <v>Hektar</v>
      </c>
      <c r="F245" s="203" t="s">
        <v>346</v>
      </c>
      <c r="G245" s="148" t="str">
        <f>IFERROR(VLOOKUP(F245,Table2[],2,FALSE),"")</f>
        <v>t CO2-ækvivalenter</v>
      </c>
      <c r="H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7" t="s">
        <v>547</v>
      </c>
      <c r="B246" s="181" t="s">
        <v>45</v>
      </c>
      <c r="C246" s="181" t="str">
        <f>Jordbund1</f>
        <v>JB1-10</v>
      </c>
      <c r="D246" s="144" t="s">
        <v>549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8" t="s">
        <v>547</v>
      </c>
      <c r="B247" s="182" t="s">
        <v>45</v>
      </c>
      <c r="C247" s="182" t="str">
        <f>Jordbund1</f>
        <v>JB1-10</v>
      </c>
      <c r="D247" s="146" t="s">
        <v>549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9" t="s">
        <v>547</v>
      </c>
      <c r="B248" s="183" t="s">
        <v>45</v>
      </c>
      <c r="C248" s="183" t="str">
        <f>Jordbund1</f>
        <v>JB1-10</v>
      </c>
      <c r="D248" s="148" t="s">
        <v>549</v>
      </c>
      <c r="E248" s="148" t="str">
        <f>IFERROR(VLOOKUP(D248,Table2[],2,FALSE),"")</f>
        <v>Hektar</v>
      </c>
      <c r="F248" s="203" t="s">
        <v>346</v>
      </c>
      <c r="G248" s="148" t="str">
        <f>IFERROR(VLOOKUP(F248,Table2[],2,FALSE),"")</f>
        <v>t CO2-ækvivalenter</v>
      </c>
      <c r="H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7" t="s">
        <v>547</v>
      </c>
      <c r="B249" s="181" t="s">
        <v>45</v>
      </c>
      <c r="C249" s="181" t="str">
        <f>Organ6</f>
        <v>OC6</v>
      </c>
      <c r="D249" s="144" t="s">
        <v>549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8" t="s">
        <v>547</v>
      </c>
      <c r="B250" s="182" t="s">
        <v>45</v>
      </c>
      <c r="C250" s="182" t="str">
        <f>Organ6</f>
        <v>OC6</v>
      </c>
      <c r="D250" s="146" t="s">
        <v>549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9" t="s">
        <v>547</v>
      </c>
      <c r="B251" s="183" t="s">
        <v>45</v>
      </c>
      <c r="C251" s="183" t="str">
        <f>Organ6</f>
        <v>OC6</v>
      </c>
      <c r="D251" s="148" t="s">
        <v>549</v>
      </c>
      <c r="E251" s="148" t="str">
        <f>IFERROR(VLOOKUP(D251,Table2[],2,FALSE),"")</f>
        <v>Hektar</v>
      </c>
      <c r="F251" s="203" t="s">
        <v>346</v>
      </c>
      <c r="G251" s="148" t="str">
        <f>IFERROR(VLOOKUP(F251,Table2[],2,FALSE),"")</f>
        <v>t CO2-ækvivalenter</v>
      </c>
      <c r="H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7" t="s">
        <v>547</v>
      </c>
      <c r="B252" s="181" t="s">
        <v>45</v>
      </c>
      <c r="C252" s="181" t="str">
        <f>Organ12</f>
        <v>OC12</v>
      </c>
      <c r="D252" s="144" t="s">
        <v>549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8" t="s">
        <v>547</v>
      </c>
      <c r="B253" s="182" t="s">
        <v>45</v>
      </c>
      <c r="C253" s="182" t="str">
        <f>Organ12</f>
        <v>OC12</v>
      </c>
      <c r="D253" s="146" t="s">
        <v>549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9" t="s">
        <v>547</v>
      </c>
      <c r="B254" s="183" t="s">
        <v>45</v>
      </c>
      <c r="C254" s="183" t="str">
        <f>Organ12</f>
        <v>OC12</v>
      </c>
      <c r="D254" s="148" t="s">
        <v>549</v>
      </c>
      <c r="E254" s="148" t="str">
        <f>IFERROR(VLOOKUP(D254,Table2[],2,FALSE),"")</f>
        <v>Hektar</v>
      </c>
      <c r="F254" s="203" t="s">
        <v>346</v>
      </c>
      <c r="G254" s="148" t="str">
        <f>IFERROR(VLOOKUP(F254,Table2[],2,FALSE),"")</f>
        <v>t CO2-ækvivalenter</v>
      </c>
      <c r="H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7" t="s">
        <v>547</v>
      </c>
      <c r="B255" s="181" t="s">
        <v>46</v>
      </c>
      <c r="C255" s="181" t="str">
        <f>Jordbund1</f>
        <v>JB1-10</v>
      </c>
      <c r="D255" s="144" t="s">
        <v>549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8" t="s">
        <v>547</v>
      </c>
      <c r="B256" s="182" t="s">
        <v>46</v>
      </c>
      <c r="C256" s="182" t="str">
        <f>Jordbund1</f>
        <v>JB1-10</v>
      </c>
      <c r="D256" s="146" t="s">
        <v>549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9" t="s">
        <v>547</v>
      </c>
      <c r="B257" s="183" t="s">
        <v>46</v>
      </c>
      <c r="C257" s="183" t="str">
        <f>Jordbund1</f>
        <v>JB1-10</v>
      </c>
      <c r="D257" s="148" t="s">
        <v>549</v>
      </c>
      <c r="E257" s="148" t="str">
        <f>IFERROR(VLOOKUP(D257,Table2[],2,FALSE),"")</f>
        <v>Hektar</v>
      </c>
      <c r="F257" s="203" t="s">
        <v>346</v>
      </c>
      <c r="G257" s="148" t="str">
        <f>IFERROR(VLOOKUP(F257,Table2[],2,FALSE),"")</f>
        <v>t CO2-ækvivalenter</v>
      </c>
      <c r="H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7" t="s">
        <v>547</v>
      </c>
      <c r="B258" s="181" t="s">
        <v>46</v>
      </c>
      <c r="C258" s="181" t="str">
        <f>Organ6</f>
        <v>OC6</v>
      </c>
      <c r="D258" s="144" t="s">
        <v>549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8" t="s">
        <v>547</v>
      </c>
      <c r="B259" s="182" t="s">
        <v>46</v>
      </c>
      <c r="C259" s="182" t="str">
        <f>Organ6</f>
        <v>OC6</v>
      </c>
      <c r="D259" s="146" t="s">
        <v>549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9" t="s">
        <v>547</v>
      </c>
      <c r="B260" s="183" t="s">
        <v>46</v>
      </c>
      <c r="C260" s="183" t="str">
        <f>Organ6</f>
        <v>OC6</v>
      </c>
      <c r="D260" s="148" t="s">
        <v>549</v>
      </c>
      <c r="E260" s="148" t="str">
        <f>IFERROR(VLOOKUP(D260,Table2[],2,FALSE),"")</f>
        <v>Hektar</v>
      </c>
      <c r="F260" s="203" t="s">
        <v>346</v>
      </c>
      <c r="G260" s="148" t="str">
        <f>IFERROR(VLOOKUP(F260,Table2[],2,FALSE),"")</f>
        <v>t CO2-ækvivalenter</v>
      </c>
      <c r="H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7" t="s">
        <v>547</v>
      </c>
      <c r="B261" s="181" t="s">
        <v>46</v>
      </c>
      <c r="C261" s="181" t="str">
        <f>Organ12</f>
        <v>OC12</v>
      </c>
      <c r="D261" s="144" t="s">
        <v>549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8" t="s">
        <v>547</v>
      </c>
      <c r="B262" s="182" t="s">
        <v>46</v>
      </c>
      <c r="C262" s="182" t="str">
        <f>Organ12</f>
        <v>OC12</v>
      </c>
      <c r="D262" s="146" t="s">
        <v>549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9" t="s">
        <v>547</v>
      </c>
      <c r="B263" s="183" t="s">
        <v>46</v>
      </c>
      <c r="C263" s="183" t="str">
        <f>Organ12</f>
        <v>OC12</v>
      </c>
      <c r="D263" s="148" t="s">
        <v>549</v>
      </c>
      <c r="E263" s="148" t="str">
        <f>IFERROR(VLOOKUP(D263,Table2[],2,FALSE),"")</f>
        <v>Hektar</v>
      </c>
      <c r="F263" s="203" t="s">
        <v>346</v>
      </c>
      <c r="G263" s="148" t="str">
        <f>IFERROR(VLOOKUP(F263,Table2[],2,FALSE),"")</f>
        <v>t CO2-ækvivalenter</v>
      </c>
      <c r="H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7" t="s">
        <v>548</v>
      </c>
      <c r="B264" s="181" t="s">
        <v>45</v>
      </c>
      <c r="C264" s="181" t="str">
        <f>Jordbund1</f>
        <v>JB1-10</v>
      </c>
      <c r="D264" s="144" t="s">
        <v>550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8" t="s">
        <v>548</v>
      </c>
      <c r="B265" s="182" t="s">
        <v>45</v>
      </c>
      <c r="C265" s="182" t="str">
        <f>Jordbund1</f>
        <v>JB1-10</v>
      </c>
      <c r="D265" s="146" t="s">
        <v>550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9" t="s">
        <v>548</v>
      </c>
      <c r="B266" s="183" t="s">
        <v>45</v>
      </c>
      <c r="C266" s="183" t="str">
        <f>Jordbund1</f>
        <v>JB1-10</v>
      </c>
      <c r="D266" s="148" t="s">
        <v>550</v>
      </c>
      <c r="E266" s="148" t="str">
        <f>IFERROR(VLOOKUP(D266,Table2[],2,FALSE),"")</f>
        <v>Hektar</v>
      </c>
      <c r="F266" s="203" t="s">
        <v>346</v>
      </c>
      <c r="G266" s="148" t="str">
        <f>IFERROR(VLOOKUP(F266,Table2[],2,FALSE),"")</f>
        <v>t CO2-ækvivalenter</v>
      </c>
      <c r="H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7" t="s">
        <v>548</v>
      </c>
      <c r="B267" s="181" t="s">
        <v>45</v>
      </c>
      <c r="C267" s="181" t="str">
        <f>Organ6</f>
        <v>OC6</v>
      </c>
      <c r="D267" s="144" t="s">
        <v>550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8" t="s">
        <v>548</v>
      </c>
      <c r="B268" s="182" t="s">
        <v>45</v>
      </c>
      <c r="C268" s="182" t="str">
        <f>Organ6</f>
        <v>OC6</v>
      </c>
      <c r="D268" s="146" t="s">
        <v>550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9" t="s">
        <v>548</v>
      </c>
      <c r="B269" s="183" t="s">
        <v>45</v>
      </c>
      <c r="C269" s="183" t="str">
        <f>Organ6</f>
        <v>OC6</v>
      </c>
      <c r="D269" s="148" t="s">
        <v>550</v>
      </c>
      <c r="E269" s="148" t="str">
        <f>IFERROR(VLOOKUP(D269,Table2[],2,FALSE),"")</f>
        <v>Hektar</v>
      </c>
      <c r="F269" s="203" t="s">
        <v>346</v>
      </c>
      <c r="G269" s="148" t="str">
        <f>IFERROR(VLOOKUP(F269,Table2[],2,FALSE),"")</f>
        <v>t CO2-ækvivalenter</v>
      </c>
      <c r="H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7" t="s">
        <v>548</v>
      </c>
      <c r="B270" s="181" t="s">
        <v>45</v>
      </c>
      <c r="C270" s="181" t="str">
        <f>Organ12</f>
        <v>OC12</v>
      </c>
      <c r="D270" s="144" t="s">
        <v>550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8" t="s">
        <v>548</v>
      </c>
      <c r="B271" s="182" t="s">
        <v>45</v>
      </c>
      <c r="C271" s="182" t="str">
        <f>Organ12</f>
        <v>OC12</v>
      </c>
      <c r="D271" s="146" t="s">
        <v>550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9" t="s">
        <v>548</v>
      </c>
      <c r="B272" s="183" t="s">
        <v>45</v>
      </c>
      <c r="C272" s="183" t="str">
        <f>Organ12</f>
        <v>OC12</v>
      </c>
      <c r="D272" s="148" t="s">
        <v>550</v>
      </c>
      <c r="E272" s="148" t="str">
        <f>IFERROR(VLOOKUP(D272,Table2[],2,FALSE),"")</f>
        <v>Hektar</v>
      </c>
      <c r="F272" s="203" t="s">
        <v>346</v>
      </c>
      <c r="G272" s="148" t="str">
        <f>IFERROR(VLOOKUP(F272,Table2[],2,FALSE),"")</f>
        <v>t CO2-ækvivalenter</v>
      </c>
      <c r="H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7" t="s">
        <v>548</v>
      </c>
      <c r="B273" s="181" t="s">
        <v>46</v>
      </c>
      <c r="C273" s="181" t="str">
        <f>Jordbund1</f>
        <v>JB1-10</v>
      </c>
      <c r="D273" s="144" t="s">
        <v>550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8" t="s">
        <v>548</v>
      </c>
      <c r="B274" s="182" t="s">
        <v>46</v>
      </c>
      <c r="C274" s="182" t="str">
        <f>Jordbund1</f>
        <v>JB1-10</v>
      </c>
      <c r="D274" s="146" t="s">
        <v>550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9" t="s">
        <v>548</v>
      </c>
      <c r="B275" s="183" t="s">
        <v>46</v>
      </c>
      <c r="C275" s="183" t="str">
        <f>Jordbund1</f>
        <v>JB1-10</v>
      </c>
      <c r="D275" s="148" t="s">
        <v>550</v>
      </c>
      <c r="E275" s="148" t="str">
        <f>IFERROR(VLOOKUP(D275,Table2[],2,FALSE),"")</f>
        <v>Hektar</v>
      </c>
      <c r="F275" s="203" t="s">
        <v>346</v>
      </c>
      <c r="G275" s="148" t="str">
        <f>IFERROR(VLOOKUP(F275,Table2[],2,FALSE),"")</f>
        <v>t CO2-ækvivalenter</v>
      </c>
      <c r="H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7" t="s">
        <v>548</v>
      </c>
      <c r="B276" s="181" t="s">
        <v>46</v>
      </c>
      <c r="C276" s="181" t="str">
        <f>Organ6</f>
        <v>OC6</v>
      </c>
      <c r="D276" s="144" t="s">
        <v>550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8" t="s">
        <v>548</v>
      </c>
      <c r="B277" s="182" t="s">
        <v>46</v>
      </c>
      <c r="C277" s="182" t="str">
        <f>Organ6</f>
        <v>OC6</v>
      </c>
      <c r="D277" s="146" t="s">
        <v>550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9" t="s">
        <v>548</v>
      </c>
      <c r="B278" s="183" t="s">
        <v>46</v>
      </c>
      <c r="C278" s="183" t="str">
        <f>Organ6</f>
        <v>OC6</v>
      </c>
      <c r="D278" s="148" t="s">
        <v>550</v>
      </c>
      <c r="E278" s="148" t="str">
        <f>IFERROR(VLOOKUP(D278,Table2[],2,FALSE),"")</f>
        <v>Hektar</v>
      </c>
      <c r="F278" s="203" t="s">
        <v>346</v>
      </c>
      <c r="G278" s="148" t="str">
        <f>IFERROR(VLOOKUP(F278,Table2[],2,FALSE),"")</f>
        <v>t CO2-ækvivalenter</v>
      </c>
      <c r="H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7" t="s">
        <v>548</v>
      </c>
      <c r="B279" s="181" t="s">
        <v>46</v>
      </c>
      <c r="C279" s="181" t="str">
        <f>Organ12</f>
        <v>OC12</v>
      </c>
      <c r="D279" s="144" t="s">
        <v>550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8" t="s">
        <v>548</v>
      </c>
      <c r="B280" s="182" t="s">
        <v>46</v>
      </c>
      <c r="C280" s="182" t="str">
        <f>Organ12</f>
        <v>OC12</v>
      </c>
      <c r="D280" s="146" t="s">
        <v>550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9" t="s">
        <v>548</v>
      </c>
      <c r="B281" s="183" t="s">
        <v>46</v>
      </c>
      <c r="C281" s="183" t="str">
        <f>Organ12</f>
        <v>OC12</v>
      </c>
      <c r="D281" s="148" t="s">
        <v>550</v>
      </c>
      <c r="E281" s="148" t="str">
        <f>IFERROR(VLOOKUP(D281,Table2[],2,FALSE),"")</f>
        <v>Hektar</v>
      </c>
      <c r="F281" s="203" t="s">
        <v>346</v>
      </c>
      <c r="G281" s="148" t="str">
        <f>IFERROR(VLOOKUP(F281,Table2[],2,FALSE),"")</f>
        <v>t CO2-ækvivalenter</v>
      </c>
      <c r="H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7" t="s">
        <v>31</v>
      </c>
      <c r="B282" s="181" t="s">
        <v>45</v>
      </c>
      <c r="C282" s="181" t="str">
        <f>Jordbund1</f>
        <v>JB1-10</v>
      </c>
      <c r="D282" s="144" t="s">
        <v>361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8" t="s">
        <v>31</v>
      </c>
      <c r="B283" s="182" t="s">
        <v>45</v>
      </c>
      <c r="C283" s="182" t="str">
        <f>Jordbund1</f>
        <v>JB1-10</v>
      </c>
      <c r="D283" s="146" t="s">
        <v>361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9" t="s">
        <v>31</v>
      </c>
      <c r="B284" s="183" t="s">
        <v>45</v>
      </c>
      <c r="C284" s="183" t="str">
        <f>Jordbund1</f>
        <v>JB1-10</v>
      </c>
      <c r="D284" s="148" t="s">
        <v>361</v>
      </c>
      <c r="E284" s="148" t="str">
        <f>IFERROR(VLOOKUP(D284,Table2[],2,FALSE),"")</f>
        <v>Hektar</v>
      </c>
      <c r="F284" s="203" t="s">
        <v>346</v>
      </c>
      <c r="G284" s="148" t="str">
        <f>IFERROR(VLOOKUP(F284,Table2[],2,FALSE),"")</f>
        <v>t CO2-ækvivalenter</v>
      </c>
      <c r="H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7" t="s">
        <v>31</v>
      </c>
      <c r="B285" s="181" t="s">
        <v>45</v>
      </c>
      <c r="C285" s="181" t="str">
        <f>Organ6</f>
        <v>OC6</v>
      </c>
      <c r="D285" s="144" t="s">
        <v>361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8" t="s">
        <v>31</v>
      </c>
      <c r="B286" s="182" t="s">
        <v>45</v>
      </c>
      <c r="C286" s="182" t="str">
        <f>Organ6</f>
        <v>OC6</v>
      </c>
      <c r="D286" s="146" t="s">
        <v>361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9" t="s">
        <v>31</v>
      </c>
      <c r="B287" s="183" t="s">
        <v>45</v>
      </c>
      <c r="C287" s="183" t="str">
        <f>Organ6</f>
        <v>OC6</v>
      </c>
      <c r="D287" s="148" t="s">
        <v>361</v>
      </c>
      <c r="E287" s="148" t="str">
        <f>IFERROR(VLOOKUP(D287,Table2[],2,FALSE),"")</f>
        <v>Hektar</v>
      </c>
      <c r="F287" s="203" t="s">
        <v>346</v>
      </c>
      <c r="G287" s="148" t="str">
        <f>IFERROR(VLOOKUP(F287,Table2[],2,FALSE),"")</f>
        <v>t CO2-ækvivalenter</v>
      </c>
      <c r="H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7" t="s">
        <v>31</v>
      </c>
      <c r="B288" s="181" t="s">
        <v>45</v>
      </c>
      <c r="C288" s="181" t="str">
        <f>Organ12</f>
        <v>OC12</v>
      </c>
      <c r="D288" s="144" t="s">
        <v>361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8" t="s">
        <v>31</v>
      </c>
      <c r="B289" s="182" t="s">
        <v>45</v>
      </c>
      <c r="C289" s="182" t="str">
        <f>Organ12</f>
        <v>OC12</v>
      </c>
      <c r="D289" s="146" t="s">
        <v>361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9" t="s">
        <v>31</v>
      </c>
      <c r="B290" s="183" t="s">
        <v>45</v>
      </c>
      <c r="C290" s="183" t="str">
        <f>Organ12</f>
        <v>OC12</v>
      </c>
      <c r="D290" s="148" t="s">
        <v>361</v>
      </c>
      <c r="E290" s="148" t="str">
        <f>IFERROR(VLOOKUP(D290,Table2[],2,FALSE),"")</f>
        <v>Hektar</v>
      </c>
      <c r="F290" s="203" t="s">
        <v>346</v>
      </c>
      <c r="G290" s="148" t="str">
        <f>IFERROR(VLOOKUP(F290,Table2[],2,FALSE),"")</f>
        <v>t CO2-ækvivalenter</v>
      </c>
      <c r="H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7" t="s">
        <v>31</v>
      </c>
      <c r="B291" s="181" t="s">
        <v>46</v>
      </c>
      <c r="C291" s="181" t="str">
        <f>Jordbund1</f>
        <v>JB1-10</v>
      </c>
      <c r="D291" s="144" t="s">
        <v>361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8" t="s">
        <v>31</v>
      </c>
      <c r="B292" s="182" t="s">
        <v>46</v>
      </c>
      <c r="C292" s="182" t="str">
        <f>Jordbund1</f>
        <v>JB1-10</v>
      </c>
      <c r="D292" s="146" t="s">
        <v>361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9" t="s">
        <v>31</v>
      </c>
      <c r="B293" s="183" t="s">
        <v>46</v>
      </c>
      <c r="C293" s="183" t="str">
        <f>Jordbund1</f>
        <v>JB1-10</v>
      </c>
      <c r="D293" s="148" t="s">
        <v>361</v>
      </c>
      <c r="E293" s="148" t="str">
        <f>IFERROR(VLOOKUP(D293,Table2[],2,FALSE),"")</f>
        <v>Hektar</v>
      </c>
      <c r="F293" s="203" t="s">
        <v>346</v>
      </c>
      <c r="G293" s="148" t="str">
        <f>IFERROR(VLOOKUP(F293,Table2[],2,FALSE),"")</f>
        <v>t CO2-ækvivalenter</v>
      </c>
      <c r="H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7" t="s">
        <v>31</v>
      </c>
      <c r="B294" s="181" t="s">
        <v>46</v>
      </c>
      <c r="C294" s="181" t="str">
        <f>Organ6</f>
        <v>OC6</v>
      </c>
      <c r="D294" s="144" t="s">
        <v>361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8" t="s">
        <v>31</v>
      </c>
      <c r="B295" s="182" t="s">
        <v>46</v>
      </c>
      <c r="C295" s="182" t="str">
        <f>Organ6</f>
        <v>OC6</v>
      </c>
      <c r="D295" s="146" t="s">
        <v>361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9" t="s">
        <v>31</v>
      </c>
      <c r="B296" s="183" t="s">
        <v>46</v>
      </c>
      <c r="C296" s="183" t="str">
        <f>Organ6</f>
        <v>OC6</v>
      </c>
      <c r="D296" s="148" t="s">
        <v>361</v>
      </c>
      <c r="E296" s="148" t="str">
        <f>IFERROR(VLOOKUP(D296,Table2[],2,FALSE),"")</f>
        <v>Hektar</v>
      </c>
      <c r="F296" s="203" t="s">
        <v>346</v>
      </c>
      <c r="G296" s="148" t="str">
        <f>IFERROR(VLOOKUP(F296,Table2[],2,FALSE),"")</f>
        <v>t CO2-ækvivalenter</v>
      </c>
      <c r="H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7" t="s">
        <v>31</v>
      </c>
      <c r="B297" s="181" t="s">
        <v>46</v>
      </c>
      <c r="C297" s="181" t="str">
        <f>Organ12</f>
        <v>OC12</v>
      </c>
      <c r="D297" s="144" t="s">
        <v>361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8" t="s">
        <v>31</v>
      </c>
      <c r="B298" s="182" t="s">
        <v>46</v>
      </c>
      <c r="C298" s="182" t="str">
        <f>Organ12</f>
        <v>OC12</v>
      </c>
      <c r="D298" s="146" t="s">
        <v>361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9" t="s">
        <v>31</v>
      </c>
      <c r="B299" s="183" t="s">
        <v>46</v>
      </c>
      <c r="C299" s="183" t="str">
        <f>Organ12</f>
        <v>OC12</v>
      </c>
      <c r="D299" s="148" t="s">
        <v>361</v>
      </c>
      <c r="E299" s="148" t="str">
        <f>IFERROR(VLOOKUP(D299,Table2[],2,FALSE),"")</f>
        <v>Hektar</v>
      </c>
      <c r="F299" s="203" t="s">
        <v>346</v>
      </c>
      <c r="G299" s="148" t="str">
        <f>IFERROR(VLOOKUP(F299,Table2[],2,FALSE),"")</f>
        <v>t CO2-ækvivalenter</v>
      </c>
      <c r="H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7" t="s">
        <v>305</v>
      </c>
      <c r="B300" s="181" t="s">
        <v>45</v>
      </c>
      <c r="C300" s="181" t="str">
        <f>Jordbund1</f>
        <v>JB1-10</v>
      </c>
      <c r="D300" s="144" t="s">
        <v>364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8" t="s">
        <v>305</v>
      </c>
      <c r="B301" s="182" t="s">
        <v>45</v>
      </c>
      <c r="C301" s="182" t="str">
        <f>Jordbund1</f>
        <v>JB1-10</v>
      </c>
      <c r="D301" s="146" t="s">
        <v>364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8" t="s">
        <v>305</v>
      </c>
      <c r="B302" s="182" t="s">
        <v>45</v>
      </c>
      <c r="C302" s="182" t="str">
        <f>Jordbund1</f>
        <v>JB1-10</v>
      </c>
      <c r="D302" s="146" t="s">
        <v>364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9" t="s">
        <v>305</v>
      </c>
      <c r="B303" s="183" t="s">
        <v>45</v>
      </c>
      <c r="C303" s="183" t="str">
        <f>Jordbund1</f>
        <v>JB1-10</v>
      </c>
      <c r="D303" s="148" t="s">
        <v>364</v>
      </c>
      <c r="E303" s="148" t="str">
        <f>IFERROR(VLOOKUP(D303,Table2[],2,FALSE),"")</f>
        <v>Hektar</v>
      </c>
      <c r="F303" s="203" t="s">
        <v>346</v>
      </c>
      <c r="G303" s="148" t="str">
        <f>IFERROR(VLOOKUP(F303,Table2[],2,FALSE),"")</f>
        <v>t CO2-ækvivalenter</v>
      </c>
      <c r="H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7" t="s">
        <v>305</v>
      </c>
      <c r="B304" s="181" t="s">
        <v>45</v>
      </c>
      <c r="C304" s="181" t="str">
        <f>Organ6</f>
        <v>OC6</v>
      </c>
      <c r="D304" s="144" t="s">
        <v>364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8" t="s">
        <v>305</v>
      </c>
      <c r="B305" s="182" t="s">
        <v>45</v>
      </c>
      <c r="C305" s="182" t="str">
        <f>Organ6</f>
        <v>OC6</v>
      </c>
      <c r="D305" s="146" t="s">
        <v>364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8" t="s">
        <v>305</v>
      </c>
      <c r="B306" s="182" t="s">
        <v>45</v>
      </c>
      <c r="C306" s="182" t="str">
        <f>Organ6</f>
        <v>OC6</v>
      </c>
      <c r="D306" s="146" t="s">
        <v>364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9" t="s">
        <v>305</v>
      </c>
      <c r="B307" s="183" t="s">
        <v>45</v>
      </c>
      <c r="C307" s="183" t="str">
        <f>Organ6</f>
        <v>OC6</v>
      </c>
      <c r="D307" s="148" t="s">
        <v>364</v>
      </c>
      <c r="E307" s="148" t="str">
        <f>IFERROR(VLOOKUP(D307,Table2[],2,FALSE),"")</f>
        <v>Hektar</v>
      </c>
      <c r="F307" s="203" t="s">
        <v>346</v>
      </c>
      <c r="G307" s="148" t="str">
        <f>IFERROR(VLOOKUP(F307,Table2[],2,FALSE),"")</f>
        <v>t CO2-ækvivalenter</v>
      </c>
      <c r="H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7" t="s">
        <v>305</v>
      </c>
      <c r="B308" s="181" t="s">
        <v>45</v>
      </c>
      <c r="C308" s="181" t="str">
        <f>Organ12</f>
        <v>OC12</v>
      </c>
      <c r="D308" s="144" t="s">
        <v>364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8" t="s">
        <v>305</v>
      </c>
      <c r="B309" s="182" t="s">
        <v>45</v>
      </c>
      <c r="C309" s="182" t="str">
        <f>Organ12</f>
        <v>OC12</v>
      </c>
      <c r="D309" s="146" t="s">
        <v>364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8" t="s">
        <v>305</v>
      </c>
      <c r="B310" s="182" t="s">
        <v>45</v>
      </c>
      <c r="C310" s="182" t="str">
        <f>Organ12</f>
        <v>OC12</v>
      </c>
      <c r="D310" s="146" t="s">
        <v>364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9" t="s">
        <v>305</v>
      </c>
      <c r="B311" s="183" t="s">
        <v>45</v>
      </c>
      <c r="C311" s="183" t="str">
        <f>Organ12</f>
        <v>OC12</v>
      </c>
      <c r="D311" s="148" t="s">
        <v>364</v>
      </c>
      <c r="E311" s="148" t="str">
        <f>IFERROR(VLOOKUP(D311,Table2[],2,FALSE),"")</f>
        <v>Hektar</v>
      </c>
      <c r="F311" s="203" t="s">
        <v>346</v>
      </c>
      <c r="G311" s="148" t="str">
        <f>IFERROR(VLOOKUP(F311,Table2[],2,FALSE),"")</f>
        <v>t CO2-ækvivalenter</v>
      </c>
      <c r="H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7" t="s">
        <v>305</v>
      </c>
      <c r="B312" s="181" t="s">
        <v>46</v>
      </c>
      <c r="C312" s="181" t="str">
        <f>Jordbund1</f>
        <v>JB1-10</v>
      </c>
      <c r="D312" s="144" t="s">
        <v>364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8" t="s">
        <v>305</v>
      </c>
      <c r="B313" s="182" t="s">
        <v>46</v>
      </c>
      <c r="C313" s="182" t="str">
        <f>Jordbund1</f>
        <v>JB1-10</v>
      </c>
      <c r="D313" s="146" t="s">
        <v>364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8" t="s">
        <v>305</v>
      </c>
      <c r="B314" s="182" t="s">
        <v>46</v>
      </c>
      <c r="C314" s="182" t="str">
        <f>Jordbund1</f>
        <v>JB1-10</v>
      </c>
      <c r="D314" s="146" t="s">
        <v>364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9" t="s">
        <v>305</v>
      </c>
      <c r="B315" s="183" t="s">
        <v>46</v>
      </c>
      <c r="C315" s="183" t="str">
        <f>Jordbund1</f>
        <v>JB1-10</v>
      </c>
      <c r="D315" s="148" t="s">
        <v>364</v>
      </c>
      <c r="E315" s="148" t="str">
        <f>IFERROR(VLOOKUP(D315,Table2[],2,FALSE),"")</f>
        <v>Hektar</v>
      </c>
      <c r="F315" s="203" t="s">
        <v>346</v>
      </c>
      <c r="G315" s="148" t="str">
        <f>IFERROR(VLOOKUP(F315,Table2[],2,FALSE),"")</f>
        <v>t CO2-ækvivalenter</v>
      </c>
      <c r="H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7" t="s">
        <v>305</v>
      </c>
      <c r="B316" s="181" t="s">
        <v>46</v>
      </c>
      <c r="C316" s="181" t="str">
        <f>Organ6</f>
        <v>OC6</v>
      </c>
      <c r="D316" s="144" t="s">
        <v>364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8" t="s">
        <v>305</v>
      </c>
      <c r="B317" s="182" t="s">
        <v>46</v>
      </c>
      <c r="C317" s="182" t="str">
        <f>Organ6</f>
        <v>OC6</v>
      </c>
      <c r="D317" s="146" t="s">
        <v>364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8" t="s">
        <v>305</v>
      </c>
      <c r="B318" s="182" t="s">
        <v>46</v>
      </c>
      <c r="C318" s="182" t="str">
        <f>Organ6</f>
        <v>OC6</v>
      </c>
      <c r="D318" s="146" t="s">
        <v>364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9" t="s">
        <v>305</v>
      </c>
      <c r="B319" s="183" t="s">
        <v>46</v>
      </c>
      <c r="C319" s="183" t="str">
        <f>Organ6</f>
        <v>OC6</v>
      </c>
      <c r="D319" s="148" t="s">
        <v>364</v>
      </c>
      <c r="E319" s="148" t="str">
        <f>IFERROR(VLOOKUP(D319,Table2[],2,FALSE),"")</f>
        <v>Hektar</v>
      </c>
      <c r="F319" s="203" t="s">
        <v>346</v>
      </c>
      <c r="G319" s="148" t="str">
        <f>IFERROR(VLOOKUP(F319,Table2[],2,FALSE),"")</f>
        <v>t CO2-ækvivalenter</v>
      </c>
      <c r="H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7" t="s">
        <v>305</v>
      </c>
      <c r="B320" s="181" t="s">
        <v>46</v>
      </c>
      <c r="C320" s="181" t="str">
        <f>Organ12</f>
        <v>OC12</v>
      </c>
      <c r="D320" s="144" t="s">
        <v>364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8" t="s">
        <v>305</v>
      </c>
      <c r="B321" s="182" t="s">
        <v>46</v>
      </c>
      <c r="C321" s="182" t="str">
        <f>Organ12</f>
        <v>OC12</v>
      </c>
      <c r="D321" s="146" t="s">
        <v>364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8" t="s">
        <v>305</v>
      </c>
      <c r="B322" s="182" t="s">
        <v>46</v>
      </c>
      <c r="C322" s="182" t="str">
        <f>Organ12</f>
        <v>OC12</v>
      </c>
      <c r="D322" s="146" t="s">
        <v>364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9" t="s">
        <v>305</v>
      </c>
      <c r="B323" s="183" t="s">
        <v>46</v>
      </c>
      <c r="C323" s="183" t="str">
        <f>Organ12</f>
        <v>OC12</v>
      </c>
      <c r="D323" s="148" t="s">
        <v>364</v>
      </c>
      <c r="E323" s="148" t="str">
        <f>IFERROR(VLOOKUP(D323,Table2[],2,FALSE),"")</f>
        <v>Hektar</v>
      </c>
      <c r="F323" s="203" t="s">
        <v>346</v>
      </c>
      <c r="G323" s="148" t="str">
        <f>IFERROR(VLOOKUP(F323,Table2[],2,FALSE),"")</f>
        <v>t CO2-ækvivalenter</v>
      </c>
      <c r="H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8" t="s">
        <v>306</v>
      </c>
      <c r="B324" s="182" t="s">
        <v>45</v>
      </c>
      <c r="C324" s="182" t="str">
        <f>Jordbund1</f>
        <v>JB1-10</v>
      </c>
      <c r="D324" s="146" t="s">
        <v>356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8" t="s">
        <v>306</v>
      </c>
      <c r="B325" s="182" t="s">
        <v>45</v>
      </c>
      <c r="C325" s="182" t="str">
        <f>Jordbund1</f>
        <v>JB1-10</v>
      </c>
      <c r="D325" s="146" t="s">
        <v>356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8" t="s">
        <v>306</v>
      </c>
      <c r="B326" s="182" t="s">
        <v>45</v>
      </c>
      <c r="C326" s="182" t="str">
        <f>Jordbund1</f>
        <v>JB1-10</v>
      </c>
      <c r="D326" s="146" t="s">
        <v>356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9" t="s">
        <v>306</v>
      </c>
      <c r="B327" s="183" t="s">
        <v>45</v>
      </c>
      <c r="C327" s="183" t="str">
        <f>Jordbund1</f>
        <v>JB1-10</v>
      </c>
      <c r="D327" s="148" t="s">
        <v>356</v>
      </c>
      <c r="E327" s="148" t="str">
        <f>IFERROR(VLOOKUP(D327,Table2[],2,FALSE),"")</f>
        <v>Hektar</v>
      </c>
      <c r="F327" s="203" t="s">
        <v>346</v>
      </c>
      <c r="G327" s="148" t="str">
        <f>IFERROR(VLOOKUP(F327,Table2[],2,FALSE),"")</f>
        <v>t CO2-ækvivalenter</v>
      </c>
      <c r="H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7" t="s">
        <v>306</v>
      </c>
      <c r="B328" s="181" t="s">
        <v>45</v>
      </c>
      <c r="C328" s="181" t="str">
        <f>Organ6</f>
        <v>OC6</v>
      </c>
      <c r="D328" s="144" t="s">
        <v>356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8" t="s">
        <v>306</v>
      </c>
      <c r="B329" s="182" t="s">
        <v>45</v>
      </c>
      <c r="C329" s="182" t="str">
        <f>Organ6</f>
        <v>OC6</v>
      </c>
      <c r="D329" s="146" t="s">
        <v>356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8" t="s">
        <v>306</v>
      </c>
      <c r="B330" s="182" t="s">
        <v>45</v>
      </c>
      <c r="C330" s="182" t="str">
        <f>Organ6</f>
        <v>OC6</v>
      </c>
      <c r="D330" s="146" t="s">
        <v>356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9" t="s">
        <v>306</v>
      </c>
      <c r="B331" s="183" t="s">
        <v>45</v>
      </c>
      <c r="C331" s="183" t="str">
        <f>Organ6</f>
        <v>OC6</v>
      </c>
      <c r="D331" s="148" t="s">
        <v>356</v>
      </c>
      <c r="E331" s="148" t="str">
        <f>IFERROR(VLOOKUP(D331,Table2[],2,FALSE),"")</f>
        <v>Hektar</v>
      </c>
      <c r="F331" s="203" t="s">
        <v>346</v>
      </c>
      <c r="G331" s="148" t="str">
        <f>IFERROR(VLOOKUP(F331,Table2[],2,FALSE),"")</f>
        <v>t CO2-ækvivalenter</v>
      </c>
      <c r="H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7" t="s">
        <v>306</v>
      </c>
      <c r="B332" s="181" t="s">
        <v>45</v>
      </c>
      <c r="C332" s="181" t="str">
        <f>Organ12</f>
        <v>OC12</v>
      </c>
      <c r="D332" s="144" t="s">
        <v>356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8" t="s">
        <v>306</v>
      </c>
      <c r="B333" s="182" t="s">
        <v>45</v>
      </c>
      <c r="C333" s="182" t="str">
        <f>Organ12</f>
        <v>OC12</v>
      </c>
      <c r="D333" s="146" t="s">
        <v>356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8" t="s">
        <v>306</v>
      </c>
      <c r="B334" s="182" t="s">
        <v>45</v>
      </c>
      <c r="C334" s="182" t="str">
        <f>Organ12</f>
        <v>OC12</v>
      </c>
      <c r="D334" s="146" t="s">
        <v>356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9" t="s">
        <v>306</v>
      </c>
      <c r="B335" s="183" t="s">
        <v>45</v>
      </c>
      <c r="C335" s="183" t="str">
        <f>Organ12</f>
        <v>OC12</v>
      </c>
      <c r="D335" s="148" t="s">
        <v>356</v>
      </c>
      <c r="E335" s="148" t="str">
        <f>IFERROR(VLOOKUP(D335,Table2[],2,FALSE),"")</f>
        <v>Hektar</v>
      </c>
      <c r="F335" s="203" t="s">
        <v>346</v>
      </c>
      <c r="G335" s="148" t="str">
        <f>IFERROR(VLOOKUP(F335,Table2[],2,FALSE),"")</f>
        <v>t CO2-ækvivalenter</v>
      </c>
      <c r="H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7" t="s">
        <v>306</v>
      </c>
      <c r="B336" s="181" t="s">
        <v>46</v>
      </c>
      <c r="C336" s="181" t="str">
        <f>Jordbund1</f>
        <v>JB1-10</v>
      </c>
      <c r="D336" s="144" t="s">
        <v>356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8" t="s">
        <v>306</v>
      </c>
      <c r="B337" s="182" t="s">
        <v>46</v>
      </c>
      <c r="C337" s="182" t="str">
        <f>Jordbund1</f>
        <v>JB1-10</v>
      </c>
      <c r="D337" s="146" t="s">
        <v>356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8" t="s">
        <v>306</v>
      </c>
      <c r="B338" s="182" t="s">
        <v>46</v>
      </c>
      <c r="C338" s="182" t="str">
        <f>Jordbund1</f>
        <v>JB1-10</v>
      </c>
      <c r="D338" s="146" t="s">
        <v>356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9" t="s">
        <v>306</v>
      </c>
      <c r="B339" s="183" t="s">
        <v>46</v>
      </c>
      <c r="C339" s="183" t="str">
        <f>Jordbund1</f>
        <v>JB1-10</v>
      </c>
      <c r="D339" s="148" t="s">
        <v>356</v>
      </c>
      <c r="E339" s="148" t="str">
        <f>IFERROR(VLOOKUP(D339,Table2[],2,FALSE),"")</f>
        <v>Hektar</v>
      </c>
      <c r="F339" s="203" t="s">
        <v>346</v>
      </c>
      <c r="G339" s="148" t="str">
        <f>IFERROR(VLOOKUP(F339,Table2[],2,FALSE),"")</f>
        <v>t CO2-ækvivalenter</v>
      </c>
      <c r="H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7" t="s">
        <v>306</v>
      </c>
      <c r="B340" s="181" t="s">
        <v>46</v>
      </c>
      <c r="C340" s="181" t="str">
        <f>Organ6</f>
        <v>OC6</v>
      </c>
      <c r="D340" s="144" t="s">
        <v>356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8" t="s">
        <v>306</v>
      </c>
      <c r="B341" s="182" t="s">
        <v>46</v>
      </c>
      <c r="C341" s="182" t="str">
        <f>Organ6</f>
        <v>OC6</v>
      </c>
      <c r="D341" s="146" t="s">
        <v>356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8" t="s">
        <v>306</v>
      </c>
      <c r="B342" s="182" t="s">
        <v>46</v>
      </c>
      <c r="C342" s="182" t="str">
        <f>Organ6</f>
        <v>OC6</v>
      </c>
      <c r="D342" s="146" t="s">
        <v>356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9" t="s">
        <v>306</v>
      </c>
      <c r="B343" s="183" t="s">
        <v>46</v>
      </c>
      <c r="C343" s="183" t="str">
        <f>Organ6</f>
        <v>OC6</v>
      </c>
      <c r="D343" s="148" t="s">
        <v>356</v>
      </c>
      <c r="E343" s="148" t="str">
        <f>IFERROR(VLOOKUP(D343,Table2[],2,FALSE),"")</f>
        <v>Hektar</v>
      </c>
      <c r="F343" s="203" t="s">
        <v>346</v>
      </c>
      <c r="G343" s="148" t="str">
        <f>IFERROR(VLOOKUP(F343,Table2[],2,FALSE),"")</f>
        <v>t CO2-ækvivalenter</v>
      </c>
      <c r="H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7" t="s">
        <v>306</v>
      </c>
      <c r="B344" s="181" t="s">
        <v>46</v>
      </c>
      <c r="C344" s="181" t="str">
        <f>Organ12</f>
        <v>OC12</v>
      </c>
      <c r="D344" s="144" t="s">
        <v>356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8" t="s">
        <v>306</v>
      </c>
      <c r="B345" s="182" t="s">
        <v>46</v>
      </c>
      <c r="C345" s="182" t="str">
        <f>Organ12</f>
        <v>OC12</v>
      </c>
      <c r="D345" s="146" t="s">
        <v>356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8" t="s">
        <v>306</v>
      </c>
      <c r="B346" s="182" t="s">
        <v>46</v>
      </c>
      <c r="C346" s="182" t="str">
        <f>Organ12</f>
        <v>OC12</v>
      </c>
      <c r="D346" s="146" t="s">
        <v>356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9" t="s">
        <v>306</v>
      </c>
      <c r="B347" s="183" t="s">
        <v>46</v>
      </c>
      <c r="C347" s="183" t="str">
        <f>Organ12</f>
        <v>OC12</v>
      </c>
      <c r="D347" s="148" t="s">
        <v>356</v>
      </c>
      <c r="E347" s="148" t="str">
        <f>IFERROR(VLOOKUP(D347,Table2[],2,FALSE),"")</f>
        <v>Hektar</v>
      </c>
      <c r="F347" s="203" t="s">
        <v>346</v>
      </c>
      <c r="G347" s="148" t="str">
        <f>IFERROR(VLOOKUP(F347,Table2[],2,FALSE),"")</f>
        <v>t CO2-ækvivalenter</v>
      </c>
      <c r="H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7" t="s">
        <v>552</v>
      </c>
      <c r="B348" s="181" t="s">
        <v>45</v>
      </c>
      <c r="C348" s="181" t="str">
        <f>Jordbund1</f>
        <v>JB1-10</v>
      </c>
      <c r="D348" s="144" t="s">
        <v>551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8" t="s">
        <v>552</v>
      </c>
      <c r="B349" s="182" t="s">
        <v>45</v>
      </c>
      <c r="C349" s="182" t="str">
        <f>Jordbund1</f>
        <v>JB1-10</v>
      </c>
      <c r="D349" s="146" t="s">
        <v>551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9" t="s">
        <v>552</v>
      </c>
      <c r="B350" s="183" t="s">
        <v>45</v>
      </c>
      <c r="C350" s="183" t="str">
        <f>Jordbund1</f>
        <v>JB1-10</v>
      </c>
      <c r="D350" s="148" t="s">
        <v>551</v>
      </c>
      <c r="E350" s="148" t="str">
        <f>IFERROR(VLOOKUP(D350,Table2[],2,FALSE),"")</f>
        <v>Hektar</v>
      </c>
      <c r="F350" s="203" t="s">
        <v>346</v>
      </c>
      <c r="G350" s="148" t="str">
        <f>IFERROR(VLOOKUP(F350,Table2[],2,FALSE),"")</f>
        <v>t CO2-ækvivalenter</v>
      </c>
      <c r="H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7" t="s">
        <v>552</v>
      </c>
      <c r="B351" s="181" t="s">
        <v>45</v>
      </c>
      <c r="C351" s="181" t="str">
        <f>Organ6</f>
        <v>OC6</v>
      </c>
      <c r="D351" s="144" t="s">
        <v>551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8" t="s">
        <v>552</v>
      </c>
      <c r="B352" s="182" t="s">
        <v>45</v>
      </c>
      <c r="C352" s="182" t="str">
        <f>Organ6</f>
        <v>OC6</v>
      </c>
      <c r="D352" s="146" t="s">
        <v>551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9" t="s">
        <v>552</v>
      </c>
      <c r="B353" s="183" t="s">
        <v>45</v>
      </c>
      <c r="C353" s="183" t="str">
        <f>Organ6</f>
        <v>OC6</v>
      </c>
      <c r="D353" s="148" t="s">
        <v>551</v>
      </c>
      <c r="E353" s="148" t="str">
        <f>IFERROR(VLOOKUP(D353,Table2[],2,FALSE),"")</f>
        <v>Hektar</v>
      </c>
      <c r="F353" s="203" t="s">
        <v>346</v>
      </c>
      <c r="G353" s="148" t="str">
        <f>IFERROR(VLOOKUP(F353,Table2[],2,FALSE),"")</f>
        <v>t CO2-ækvivalenter</v>
      </c>
      <c r="H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7" t="s">
        <v>552</v>
      </c>
      <c r="B354" s="181" t="s">
        <v>45</v>
      </c>
      <c r="C354" s="181" t="str">
        <f>Organ12</f>
        <v>OC12</v>
      </c>
      <c r="D354" s="144" t="s">
        <v>551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8" t="s">
        <v>552</v>
      </c>
      <c r="B355" s="182" t="s">
        <v>45</v>
      </c>
      <c r="C355" s="182" t="str">
        <f>Organ12</f>
        <v>OC12</v>
      </c>
      <c r="D355" s="146" t="s">
        <v>551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9" t="s">
        <v>552</v>
      </c>
      <c r="B356" s="183" t="s">
        <v>45</v>
      </c>
      <c r="C356" s="183" t="str">
        <f>Organ12</f>
        <v>OC12</v>
      </c>
      <c r="D356" s="148" t="s">
        <v>551</v>
      </c>
      <c r="E356" s="148" t="str">
        <f>IFERROR(VLOOKUP(D356,Table2[],2,FALSE),"")</f>
        <v>Hektar</v>
      </c>
      <c r="F356" s="203" t="s">
        <v>346</v>
      </c>
      <c r="G356" s="148" t="str">
        <f>IFERROR(VLOOKUP(F356,Table2[],2,FALSE),"")</f>
        <v>t CO2-ækvivalenter</v>
      </c>
      <c r="H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7" t="s">
        <v>552</v>
      </c>
      <c r="B357" s="181" t="s">
        <v>46</v>
      </c>
      <c r="C357" s="181" t="str">
        <f>Jordbund1</f>
        <v>JB1-10</v>
      </c>
      <c r="D357" s="144" t="s">
        <v>551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8" t="s">
        <v>552</v>
      </c>
      <c r="B358" s="182" t="s">
        <v>46</v>
      </c>
      <c r="C358" s="182" t="str">
        <f>Jordbund1</f>
        <v>JB1-10</v>
      </c>
      <c r="D358" s="146" t="s">
        <v>551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9" t="s">
        <v>552</v>
      </c>
      <c r="B359" s="183" t="s">
        <v>46</v>
      </c>
      <c r="C359" s="183" t="str">
        <f>Jordbund1</f>
        <v>JB1-10</v>
      </c>
      <c r="D359" s="148" t="s">
        <v>551</v>
      </c>
      <c r="E359" s="148" t="str">
        <f>IFERROR(VLOOKUP(D359,Table2[],2,FALSE),"")</f>
        <v>Hektar</v>
      </c>
      <c r="F359" s="203" t="s">
        <v>346</v>
      </c>
      <c r="G359" s="148" t="str">
        <f>IFERROR(VLOOKUP(F359,Table2[],2,FALSE),"")</f>
        <v>t CO2-ækvivalenter</v>
      </c>
      <c r="H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7" t="s">
        <v>552</v>
      </c>
      <c r="B360" s="181" t="s">
        <v>46</v>
      </c>
      <c r="C360" s="181" t="str">
        <f>Organ6</f>
        <v>OC6</v>
      </c>
      <c r="D360" s="144" t="s">
        <v>551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8" t="s">
        <v>552</v>
      </c>
      <c r="B361" s="182" t="s">
        <v>46</v>
      </c>
      <c r="C361" s="182" t="str">
        <f>Organ6</f>
        <v>OC6</v>
      </c>
      <c r="D361" s="146" t="s">
        <v>551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9" t="s">
        <v>552</v>
      </c>
      <c r="B362" s="183" t="s">
        <v>46</v>
      </c>
      <c r="C362" s="183" t="str">
        <f>Organ6</f>
        <v>OC6</v>
      </c>
      <c r="D362" s="148" t="s">
        <v>551</v>
      </c>
      <c r="E362" s="148" t="str">
        <f>IFERROR(VLOOKUP(D362,Table2[],2,FALSE),"")</f>
        <v>Hektar</v>
      </c>
      <c r="F362" s="203" t="s">
        <v>346</v>
      </c>
      <c r="G362" s="148" t="str">
        <f>IFERROR(VLOOKUP(F362,Table2[],2,FALSE),"")</f>
        <v>t CO2-ækvivalenter</v>
      </c>
      <c r="H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7" t="s">
        <v>552</v>
      </c>
      <c r="B363" s="181" t="s">
        <v>46</v>
      </c>
      <c r="C363" s="181" t="str">
        <f>Organ12</f>
        <v>OC12</v>
      </c>
      <c r="D363" s="144" t="s">
        <v>551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8" t="s">
        <v>552</v>
      </c>
      <c r="B364" s="182" t="s">
        <v>46</v>
      </c>
      <c r="C364" s="182" t="str">
        <f>Organ12</f>
        <v>OC12</v>
      </c>
      <c r="D364" s="146" t="s">
        <v>551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9" t="s">
        <v>552</v>
      </c>
      <c r="B365" s="183" t="s">
        <v>46</v>
      </c>
      <c r="C365" s="183" t="str">
        <f>Organ12</f>
        <v>OC12</v>
      </c>
      <c r="D365" s="148" t="s">
        <v>551</v>
      </c>
      <c r="E365" s="148" t="str">
        <f>IFERROR(VLOOKUP(D365,Table2[],2,FALSE),"")</f>
        <v>Hektar</v>
      </c>
      <c r="F365" s="203" t="s">
        <v>346</v>
      </c>
      <c r="G365" s="148" t="str">
        <f>IFERROR(VLOOKUP(F365,Table2[],2,FALSE),"")</f>
        <v>t CO2-ækvivalenter</v>
      </c>
      <c r="H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7" t="s">
        <v>32</v>
      </c>
      <c r="B366" s="181" t="s">
        <v>45</v>
      </c>
      <c r="C366" s="181" t="str">
        <f>Jordbund1</f>
        <v>JB1-10</v>
      </c>
      <c r="D366" s="144" t="s">
        <v>363</v>
      </c>
      <c r="E366" s="144" t="str">
        <f>IFERROR(VLOOKUP(D366,Table2[],2,FALSE),"")</f>
        <v>Hektar</v>
      </c>
      <c r="F366" s="144" t="s">
        <v>341</v>
      </c>
      <c r="G366" s="144" t="str">
        <f>IFERROR(VLOOKUP(F366,Table2[],2,FALSE),"")</f>
        <v>Ton</v>
      </c>
      <c r="H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8" t="s">
        <v>32</v>
      </c>
      <c r="B367" s="182" t="s">
        <v>45</v>
      </c>
      <c r="C367" s="182" t="str">
        <f>Jordbund1</f>
        <v>JB1-10</v>
      </c>
      <c r="D367" s="146" t="s">
        <v>363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9" t="s">
        <v>32</v>
      </c>
      <c r="B368" s="183" t="s">
        <v>45</v>
      </c>
      <c r="C368" s="183" t="str">
        <f>Jordbund1</f>
        <v>JB1-10</v>
      </c>
      <c r="D368" s="148" t="s">
        <v>363</v>
      </c>
      <c r="E368" s="148" t="str">
        <f>IFERROR(VLOOKUP(D368,Table2[],2,FALSE),"")</f>
        <v>Hektar</v>
      </c>
      <c r="F368" s="203" t="s">
        <v>346</v>
      </c>
      <c r="G368" s="148" t="str">
        <f>IFERROR(VLOOKUP(F368,Table2[],2,FALSE),"")</f>
        <v>t CO2-ækvivalenter</v>
      </c>
      <c r="H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7" t="s">
        <v>32</v>
      </c>
      <c r="B369" s="181" t="s">
        <v>45</v>
      </c>
      <c r="C369" s="181" t="str">
        <f>Organ6</f>
        <v>OC6</v>
      </c>
      <c r="D369" s="144" t="s">
        <v>363</v>
      </c>
      <c r="E369" s="144" t="str">
        <f>IFERROR(VLOOKUP(D369,Table2[],2,FALSE),"")</f>
        <v>Hektar</v>
      </c>
      <c r="F369" s="144" t="s">
        <v>341</v>
      </c>
      <c r="G369" s="144" t="str">
        <f>IFERROR(VLOOKUP(F369,Table2[],2,FALSE),"")</f>
        <v>Ton</v>
      </c>
      <c r="H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8" t="s">
        <v>32</v>
      </c>
      <c r="B370" s="182" t="s">
        <v>45</v>
      </c>
      <c r="C370" s="182" t="str">
        <f>Organ6</f>
        <v>OC6</v>
      </c>
      <c r="D370" s="146" t="s">
        <v>363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9" t="s">
        <v>32</v>
      </c>
      <c r="B371" s="183" t="s">
        <v>45</v>
      </c>
      <c r="C371" s="183" t="str">
        <f>Organ6</f>
        <v>OC6</v>
      </c>
      <c r="D371" s="148" t="s">
        <v>363</v>
      </c>
      <c r="E371" s="148" t="str">
        <f>IFERROR(VLOOKUP(D371,Table2[],2,FALSE),"")</f>
        <v>Hektar</v>
      </c>
      <c r="F371" s="203" t="s">
        <v>346</v>
      </c>
      <c r="G371" s="148" t="str">
        <f>IFERROR(VLOOKUP(F371,Table2[],2,FALSE),"")</f>
        <v>t CO2-ækvivalenter</v>
      </c>
      <c r="H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8" t="s">
        <v>32</v>
      </c>
      <c r="B372" s="182" t="s">
        <v>45</v>
      </c>
      <c r="C372" s="182" t="str">
        <f>Organ12</f>
        <v>OC12</v>
      </c>
      <c r="D372" s="146" t="s">
        <v>363</v>
      </c>
      <c r="E372" s="146" t="str">
        <f>IFERROR(VLOOKUP(D372,Table2[],2,FALSE),"")</f>
        <v>Hektar</v>
      </c>
      <c r="F372" s="146" t="s">
        <v>341</v>
      </c>
      <c r="G372" s="146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8" t="s">
        <v>32</v>
      </c>
      <c r="B373" s="182" t="s">
        <v>45</v>
      </c>
      <c r="C373" s="182" t="str">
        <f>Organ12</f>
        <v>OC12</v>
      </c>
      <c r="D373" s="146" t="s">
        <v>363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9" t="s">
        <v>32</v>
      </c>
      <c r="B374" s="183" t="s">
        <v>45</v>
      </c>
      <c r="C374" s="183" t="str">
        <f>Organ12</f>
        <v>OC12</v>
      </c>
      <c r="D374" s="148" t="s">
        <v>363</v>
      </c>
      <c r="E374" s="148" t="str">
        <f>IFERROR(VLOOKUP(D374,Table2[],2,FALSE),"")</f>
        <v>Hektar</v>
      </c>
      <c r="F374" s="203" t="s">
        <v>346</v>
      </c>
      <c r="G374" s="148" t="str">
        <f>IFERROR(VLOOKUP(F374,Table2[],2,FALSE),"")</f>
        <v>t CO2-ækvivalenter</v>
      </c>
      <c r="H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7" t="s">
        <v>32</v>
      </c>
      <c r="B375" s="181" t="s">
        <v>46</v>
      </c>
      <c r="C375" s="181" t="str">
        <f>Jordbund1</f>
        <v>JB1-10</v>
      </c>
      <c r="D375" s="144" t="s">
        <v>363</v>
      </c>
      <c r="E375" s="144" t="str">
        <f>IFERROR(VLOOKUP(D375,Table2[],2,FALSE),"")</f>
        <v>Hektar</v>
      </c>
      <c r="F375" s="144" t="s">
        <v>341</v>
      </c>
      <c r="G375" s="144" t="str">
        <f>IFERROR(VLOOKUP(F375,Table2[],2,FALSE),"")</f>
        <v>Ton</v>
      </c>
      <c r="H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8" t="s">
        <v>32</v>
      </c>
      <c r="B376" s="182" t="s">
        <v>46</v>
      </c>
      <c r="C376" s="182" t="str">
        <f>Jordbund1</f>
        <v>JB1-10</v>
      </c>
      <c r="D376" s="146" t="s">
        <v>363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9" t="s">
        <v>32</v>
      </c>
      <c r="B377" s="183" t="s">
        <v>46</v>
      </c>
      <c r="C377" s="183" t="str">
        <f>Jordbund1</f>
        <v>JB1-10</v>
      </c>
      <c r="D377" s="148" t="s">
        <v>363</v>
      </c>
      <c r="E377" s="148" t="str">
        <f>IFERROR(VLOOKUP(D377,Table2[],2,FALSE),"")</f>
        <v>Hektar</v>
      </c>
      <c r="F377" s="203" t="s">
        <v>346</v>
      </c>
      <c r="G377" s="148" t="str">
        <f>IFERROR(VLOOKUP(F377,Table2[],2,FALSE),"")</f>
        <v>t CO2-ækvivalenter</v>
      </c>
      <c r="H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7" t="s">
        <v>32</v>
      </c>
      <c r="B378" s="181" t="s">
        <v>46</v>
      </c>
      <c r="C378" s="181" t="str">
        <f>Organ6</f>
        <v>OC6</v>
      </c>
      <c r="D378" s="144" t="s">
        <v>363</v>
      </c>
      <c r="E378" s="144" t="str">
        <f>IFERROR(VLOOKUP(D378,Table2[],2,FALSE),"")</f>
        <v>Hektar</v>
      </c>
      <c r="F378" s="144" t="s">
        <v>341</v>
      </c>
      <c r="G378" s="144" t="str">
        <f>IFERROR(VLOOKUP(F378,Table2[],2,FALSE),"")</f>
        <v>Ton</v>
      </c>
      <c r="H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8" t="s">
        <v>32</v>
      </c>
      <c r="B379" s="182" t="s">
        <v>46</v>
      </c>
      <c r="C379" s="182" t="str">
        <f>Organ6</f>
        <v>OC6</v>
      </c>
      <c r="D379" s="146" t="s">
        <v>363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9" t="s">
        <v>32</v>
      </c>
      <c r="B380" s="183" t="s">
        <v>46</v>
      </c>
      <c r="C380" s="183" t="str">
        <f>Organ6</f>
        <v>OC6</v>
      </c>
      <c r="D380" s="148" t="s">
        <v>363</v>
      </c>
      <c r="E380" s="148" t="str">
        <f>IFERROR(VLOOKUP(D380,Table2[],2,FALSE),"")</f>
        <v>Hektar</v>
      </c>
      <c r="F380" s="203" t="s">
        <v>346</v>
      </c>
      <c r="G380" s="148" t="str">
        <f>IFERROR(VLOOKUP(F380,Table2[],2,FALSE),"")</f>
        <v>t CO2-ækvivalenter</v>
      </c>
      <c r="H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7" t="s">
        <v>32</v>
      </c>
      <c r="B381" s="181" t="s">
        <v>46</v>
      </c>
      <c r="C381" s="181" t="str">
        <f>Organ12</f>
        <v>OC12</v>
      </c>
      <c r="D381" s="144" t="s">
        <v>363</v>
      </c>
      <c r="E381" s="144" t="str">
        <f>IFERROR(VLOOKUP(D381,Table2[],2,FALSE),"")</f>
        <v>Hektar</v>
      </c>
      <c r="F381" s="144" t="s">
        <v>341</v>
      </c>
      <c r="G381" s="144" t="str">
        <f>IFERROR(VLOOKUP(F381,Table2[],2,FALSE),"")</f>
        <v>Ton</v>
      </c>
      <c r="H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8" t="s">
        <v>32</v>
      </c>
      <c r="B382" s="182" t="s">
        <v>46</v>
      </c>
      <c r="C382" s="182" t="str">
        <f>Organ12</f>
        <v>OC12</v>
      </c>
      <c r="D382" s="146" t="s">
        <v>363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9" t="s">
        <v>32</v>
      </c>
      <c r="B383" s="183" t="s">
        <v>46</v>
      </c>
      <c r="C383" s="183" t="str">
        <f>Organ12</f>
        <v>OC12</v>
      </c>
      <c r="D383" s="148" t="s">
        <v>363</v>
      </c>
      <c r="E383" s="148" t="str">
        <f>IFERROR(VLOOKUP(D383,Table2[],2,FALSE),"")</f>
        <v>Hektar</v>
      </c>
      <c r="F383" s="203" t="s">
        <v>346</v>
      </c>
      <c r="G383" s="148" t="str">
        <f>IFERROR(VLOOKUP(F383,Table2[],2,FALSE),"")</f>
        <v>t CO2-ækvivalenter</v>
      </c>
      <c r="H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7" t="s">
        <v>61</v>
      </c>
      <c r="B384" s="181" t="s">
        <v>45</v>
      </c>
      <c r="C384" s="181" t="str">
        <f>Jordbund1</f>
        <v>JB1-10</v>
      </c>
      <c r="D384" s="144" t="s">
        <v>362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542</v>
      </c>
    </row>
    <row r="385" spans="1:11" s="146" customFormat="1" x14ac:dyDescent="0.25">
      <c r="A385" s="188" t="s">
        <v>61</v>
      </c>
      <c r="B385" s="182" t="s">
        <v>45</v>
      </c>
      <c r="C385" s="182" t="str">
        <f>Jordbund1</f>
        <v>JB1-10</v>
      </c>
      <c r="D385" s="146" t="s">
        <v>362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542</v>
      </c>
    </row>
    <row r="386" spans="1:11" s="146" customFormat="1" ht="15.75" thickBot="1" x14ac:dyDescent="0.3">
      <c r="A386" s="189" t="s">
        <v>61</v>
      </c>
      <c r="B386" s="183" t="s">
        <v>45</v>
      </c>
      <c r="C386" s="183" t="str">
        <f>Jordbund1</f>
        <v>JB1-10</v>
      </c>
      <c r="D386" s="148" t="s">
        <v>362</v>
      </c>
      <c r="E386" s="148" t="str">
        <f>IFERROR(VLOOKUP(D386,Table2[],2,FALSE),"")</f>
        <v>Hektar</v>
      </c>
      <c r="F386" s="203" t="s">
        <v>346</v>
      </c>
      <c r="G386" s="148" t="str">
        <f>IFERROR(VLOOKUP(F386,Table2[],2,FALSE),"")</f>
        <v>t CO2-ækvivalenter</v>
      </c>
      <c r="H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542</v>
      </c>
    </row>
    <row r="387" spans="1:11" s="146" customFormat="1" ht="15.75" thickTop="1" x14ac:dyDescent="0.25">
      <c r="A387" s="187" t="s">
        <v>61</v>
      </c>
      <c r="B387" s="181" t="s">
        <v>45</v>
      </c>
      <c r="C387" s="181" t="str">
        <f>Organ6</f>
        <v>OC6</v>
      </c>
      <c r="D387" s="144" t="s">
        <v>362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542</v>
      </c>
    </row>
    <row r="388" spans="1:11" s="146" customFormat="1" x14ac:dyDescent="0.25">
      <c r="A388" s="188" t="s">
        <v>61</v>
      </c>
      <c r="B388" s="182" t="s">
        <v>45</v>
      </c>
      <c r="C388" s="182" t="str">
        <f>Organ6</f>
        <v>OC6</v>
      </c>
      <c r="D388" s="146" t="s">
        <v>362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542</v>
      </c>
    </row>
    <row r="389" spans="1:11" s="146" customFormat="1" ht="15.75" thickBot="1" x14ac:dyDescent="0.3">
      <c r="A389" s="189" t="s">
        <v>61</v>
      </c>
      <c r="B389" s="183" t="s">
        <v>45</v>
      </c>
      <c r="C389" s="183" t="str">
        <f>Organ6</f>
        <v>OC6</v>
      </c>
      <c r="D389" s="148" t="s">
        <v>362</v>
      </c>
      <c r="E389" s="148" t="str">
        <f>IFERROR(VLOOKUP(D389,Table2[],2,FALSE),"")</f>
        <v>Hektar</v>
      </c>
      <c r="F389" s="203" t="s">
        <v>346</v>
      </c>
      <c r="G389" s="148" t="str">
        <f>IFERROR(VLOOKUP(F389,Table2[],2,FALSE),"")</f>
        <v>t CO2-ækvivalenter</v>
      </c>
      <c r="H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542</v>
      </c>
    </row>
    <row r="390" spans="1:11" s="146" customFormat="1" ht="15.75" thickTop="1" x14ac:dyDescent="0.25">
      <c r="A390" s="187" t="s">
        <v>61</v>
      </c>
      <c r="B390" s="181" t="s">
        <v>45</v>
      </c>
      <c r="C390" s="181" t="str">
        <f>Organ12</f>
        <v>OC12</v>
      </c>
      <c r="D390" s="144" t="s">
        <v>362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542</v>
      </c>
    </row>
    <row r="391" spans="1:11" s="146" customFormat="1" x14ac:dyDescent="0.25">
      <c r="A391" s="188" t="s">
        <v>61</v>
      </c>
      <c r="B391" s="182" t="s">
        <v>45</v>
      </c>
      <c r="C391" s="182" t="str">
        <f>Organ12</f>
        <v>OC12</v>
      </c>
      <c r="D391" s="146" t="s">
        <v>362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542</v>
      </c>
    </row>
    <row r="392" spans="1:11" s="146" customFormat="1" ht="15.75" thickBot="1" x14ac:dyDescent="0.3">
      <c r="A392" s="189" t="s">
        <v>61</v>
      </c>
      <c r="B392" s="183" t="s">
        <v>45</v>
      </c>
      <c r="C392" s="183" t="str">
        <f>Organ12</f>
        <v>OC12</v>
      </c>
      <c r="D392" s="148" t="s">
        <v>362</v>
      </c>
      <c r="E392" s="148" t="str">
        <f>IFERROR(VLOOKUP(D392,Table2[],2,FALSE),"")</f>
        <v>Hektar</v>
      </c>
      <c r="F392" s="203" t="s">
        <v>346</v>
      </c>
      <c r="G392" s="148" t="str">
        <f>IFERROR(VLOOKUP(F392,Table2[],2,FALSE),"")</f>
        <v>t CO2-ækvivalenter</v>
      </c>
      <c r="H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542</v>
      </c>
    </row>
    <row r="393" spans="1:11" s="146" customFormat="1" ht="15.75" thickTop="1" x14ac:dyDescent="0.25">
      <c r="A393" s="187" t="s">
        <v>61</v>
      </c>
      <c r="B393" s="181" t="s">
        <v>46</v>
      </c>
      <c r="C393" s="181" t="str">
        <f>Jordbund1</f>
        <v>JB1-10</v>
      </c>
      <c r="D393" s="144" t="s">
        <v>362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542</v>
      </c>
    </row>
    <row r="394" spans="1:11" s="146" customFormat="1" x14ac:dyDescent="0.25">
      <c r="A394" s="188" t="s">
        <v>61</v>
      </c>
      <c r="B394" s="182" t="s">
        <v>46</v>
      </c>
      <c r="C394" s="182" t="str">
        <f>Jordbund1</f>
        <v>JB1-10</v>
      </c>
      <c r="D394" s="146" t="s">
        <v>362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542</v>
      </c>
    </row>
    <row r="395" spans="1:11" s="146" customFormat="1" ht="15.75" thickBot="1" x14ac:dyDescent="0.3">
      <c r="A395" s="189" t="s">
        <v>61</v>
      </c>
      <c r="B395" s="183" t="s">
        <v>46</v>
      </c>
      <c r="C395" s="183" t="str">
        <f>Jordbund1</f>
        <v>JB1-10</v>
      </c>
      <c r="D395" s="148" t="s">
        <v>362</v>
      </c>
      <c r="E395" s="148" t="str">
        <f>IFERROR(VLOOKUP(D395,Table2[],2,FALSE),"")</f>
        <v>Hektar</v>
      </c>
      <c r="F395" s="203" t="s">
        <v>346</v>
      </c>
      <c r="G395" s="148" t="str">
        <f>IFERROR(VLOOKUP(F395,Table2[],2,FALSE),"")</f>
        <v>t CO2-ækvivalenter</v>
      </c>
      <c r="H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542</v>
      </c>
    </row>
    <row r="396" spans="1:11" s="146" customFormat="1" ht="15.75" thickTop="1" x14ac:dyDescent="0.25">
      <c r="A396" s="187" t="s">
        <v>61</v>
      </c>
      <c r="B396" s="181" t="s">
        <v>46</v>
      </c>
      <c r="C396" s="181" t="str">
        <f>Organ6</f>
        <v>OC6</v>
      </c>
      <c r="D396" s="144" t="s">
        <v>362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542</v>
      </c>
    </row>
    <row r="397" spans="1:11" s="146" customFormat="1" x14ac:dyDescent="0.25">
      <c r="A397" s="188" t="s">
        <v>61</v>
      </c>
      <c r="B397" s="182" t="s">
        <v>46</v>
      </c>
      <c r="C397" s="182" t="str">
        <f>Organ6</f>
        <v>OC6</v>
      </c>
      <c r="D397" s="146" t="s">
        <v>362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542</v>
      </c>
    </row>
    <row r="398" spans="1:11" s="146" customFormat="1" ht="15.75" thickBot="1" x14ac:dyDescent="0.3">
      <c r="A398" s="189" t="s">
        <v>61</v>
      </c>
      <c r="B398" s="183" t="s">
        <v>46</v>
      </c>
      <c r="C398" s="183" t="str">
        <f>Organ6</f>
        <v>OC6</v>
      </c>
      <c r="D398" s="148" t="s">
        <v>362</v>
      </c>
      <c r="E398" s="148" t="str">
        <f>IFERROR(VLOOKUP(D398,Table2[],2,FALSE),"")</f>
        <v>Hektar</v>
      </c>
      <c r="F398" s="203" t="s">
        <v>346</v>
      </c>
      <c r="G398" s="148" t="str">
        <f>IFERROR(VLOOKUP(F398,Table2[],2,FALSE),"")</f>
        <v>t CO2-ækvivalenter</v>
      </c>
      <c r="H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542</v>
      </c>
    </row>
    <row r="399" spans="1:11" s="146" customFormat="1" ht="15.75" thickTop="1" x14ac:dyDescent="0.25">
      <c r="A399" s="187" t="s">
        <v>61</v>
      </c>
      <c r="B399" s="181" t="s">
        <v>46</v>
      </c>
      <c r="C399" s="181" t="str">
        <f>Organ12</f>
        <v>OC12</v>
      </c>
      <c r="D399" s="144" t="s">
        <v>362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542</v>
      </c>
    </row>
    <row r="400" spans="1:11" s="146" customFormat="1" x14ac:dyDescent="0.25">
      <c r="A400" s="188" t="s">
        <v>61</v>
      </c>
      <c r="B400" s="182" t="s">
        <v>46</v>
      </c>
      <c r="C400" s="182" t="str">
        <f>Organ12</f>
        <v>OC12</v>
      </c>
      <c r="D400" s="146" t="s">
        <v>362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542</v>
      </c>
    </row>
    <row r="401" spans="1:14" s="146" customFormat="1" ht="15.75" thickBot="1" x14ac:dyDescent="0.3">
      <c r="A401" s="189" t="s">
        <v>61</v>
      </c>
      <c r="B401" s="183" t="s">
        <v>46</v>
      </c>
      <c r="C401" s="183" t="str">
        <f>Organ12</f>
        <v>OC12</v>
      </c>
      <c r="D401" s="148" t="s">
        <v>362</v>
      </c>
      <c r="E401" s="148" t="str">
        <f>IFERROR(VLOOKUP(D401,Table2[],2,FALSE),"")</f>
        <v>Hektar</v>
      </c>
      <c r="F401" s="203" t="s">
        <v>346</v>
      </c>
      <c r="G401" s="148" t="str">
        <f>IFERROR(VLOOKUP(F401,Table2[],2,FALSE),"")</f>
        <v>t CO2-ækvivalenter</v>
      </c>
      <c r="H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542</v>
      </c>
    </row>
    <row r="402" spans="1:14" ht="15.75" thickTop="1" x14ac:dyDescent="0.25">
      <c r="A402" s="188" t="s">
        <v>33</v>
      </c>
      <c r="B402" s="182"/>
      <c r="C402" s="182"/>
      <c r="D402" s="146" t="s">
        <v>555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9">
        <v>0.48</v>
      </c>
      <c r="I402" s="209">
        <v>0.48</v>
      </c>
      <c r="J402" s="209">
        <v>0.48</v>
      </c>
      <c r="K402" s="147" t="s">
        <v>626</v>
      </c>
    </row>
    <row r="403" spans="1:14" s="146" customFormat="1" ht="15.75" thickBot="1" x14ac:dyDescent="0.3">
      <c r="A403" s="188" t="s">
        <v>33</v>
      </c>
      <c r="B403" s="182"/>
      <c r="C403" s="182"/>
      <c r="D403" s="146" t="s">
        <v>555</v>
      </c>
      <c r="E403" s="146" t="str">
        <f>IFERROR(VLOOKUP(D403,Table2[],2,FALSE),"")</f>
        <v>m3</v>
      </c>
      <c r="F403" s="150" t="s">
        <v>407</v>
      </c>
      <c r="G403" s="146" t="str">
        <f>IFERROR(VLOOKUP(F403,Table2[],2,FALSE),"")</f>
        <v>m3</v>
      </c>
      <c r="H403" s="209">
        <v>0.52</v>
      </c>
      <c r="I403" s="209">
        <v>0.52</v>
      </c>
      <c r="J403" s="209">
        <v>0.52</v>
      </c>
      <c r="K403" s="147" t="s">
        <v>626</v>
      </c>
    </row>
    <row r="404" spans="1:14" ht="15.75" thickTop="1" x14ac:dyDescent="0.25">
      <c r="A404" s="187" t="s">
        <v>34</v>
      </c>
      <c r="B404" s="184"/>
      <c r="C404" s="184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1">
        <f>1-H405-H407</f>
        <v>0.64217654203833741</v>
      </c>
      <c r="I404" s="211">
        <f>H404</f>
        <v>0.64217654203833741</v>
      </c>
      <c r="J404" s="211">
        <f>I404</f>
        <v>0.64217654203833741</v>
      </c>
      <c r="K404" s="145" t="s">
        <v>764</v>
      </c>
    </row>
    <row r="405" spans="1:14" x14ac:dyDescent="0.25">
      <c r="A405" s="188" t="s">
        <v>34</v>
      </c>
      <c r="B405" s="186"/>
      <c r="C405" s="186"/>
      <c r="D405" s="146" t="s">
        <v>302</v>
      </c>
      <c r="E405" s="146" t="str">
        <f>IFERROR(VLOOKUP(D405,Table2[],2,FALSE),"")</f>
        <v>Ton</v>
      </c>
      <c r="F405" s="150" t="s">
        <v>504</v>
      </c>
      <c r="G405" s="146" t="str">
        <f>IFERROR(VLOOKUP(F405,Table2[],2,FALSE),"")</f>
        <v>Ton</v>
      </c>
      <c r="H405" s="212">
        <f>0.025</f>
        <v>2.5000000000000001E-2</v>
      </c>
      <c r="I405" s="212">
        <f>0.025</f>
        <v>2.5000000000000001E-2</v>
      </c>
      <c r="J405" s="212">
        <f>0.025</f>
        <v>2.5000000000000001E-2</v>
      </c>
      <c r="K405" s="147" t="s">
        <v>425</v>
      </c>
    </row>
    <row r="406" spans="1:14" x14ac:dyDescent="0.25">
      <c r="A406" s="188" t="s">
        <v>34</v>
      </c>
      <c r="B406" s="186"/>
      <c r="C406" s="186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41">
        <f>0.003285</f>
        <v>3.2850000000000002E-3</v>
      </c>
      <c r="I406" s="441">
        <f t="shared" ref="I406:J406" si="1">0.003285</f>
        <v>3.2850000000000002E-3</v>
      </c>
      <c r="J406" s="441">
        <f t="shared" si="1"/>
        <v>3.2850000000000002E-3</v>
      </c>
      <c r="K406" s="147" t="s">
        <v>829</v>
      </c>
    </row>
    <row r="407" spans="1:14" ht="15.75" thickBot="1" x14ac:dyDescent="0.3">
      <c r="A407" s="188" t="s">
        <v>34</v>
      </c>
      <c r="B407" s="186"/>
      <c r="C407" s="186"/>
      <c r="D407" s="146" t="s">
        <v>302</v>
      </c>
      <c r="E407" s="146" t="str">
        <f>IFERROR(VLOOKUP(D407,Table2[],2,FALSE),"")</f>
        <v>Ton</v>
      </c>
      <c r="F407" s="146" t="s">
        <v>432</v>
      </c>
      <c r="G407" s="146" t="str">
        <f>IFERROR(VLOOKUP(F407,Table2[],2,FALSE),"")</f>
        <v>Ton</v>
      </c>
      <c r="H407" s="212">
        <f>0.0272+'Procesdata (baggrund)'!$B$10</f>
        <v>0.33282345796166263</v>
      </c>
      <c r="I407" s="212">
        <f>0.0272+'Procesdata (baggrund)'!$B$10</f>
        <v>0.33282345796166263</v>
      </c>
      <c r="J407" s="212">
        <f>0.0272+'Procesdata (baggrund)'!$B$10</f>
        <v>0.33282345796166263</v>
      </c>
      <c r="K407" s="147" t="s">
        <v>764</v>
      </c>
    </row>
    <row r="408" spans="1:14" ht="15.75" thickTop="1" x14ac:dyDescent="0.25">
      <c r="A408" s="187" t="s">
        <v>35</v>
      </c>
      <c r="B408" s="181"/>
      <c r="C408" s="181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1">
        <f>1770.5/18356</f>
        <v>9.6453475702767494E-2</v>
      </c>
      <c r="I408" s="211">
        <f t="shared" ref="I408:J408" si="2">1770.5/18356</f>
        <v>9.6453475702767494E-2</v>
      </c>
      <c r="J408" s="211">
        <f t="shared" si="2"/>
        <v>9.6453475702767494E-2</v>
      </c>
      <c r="K408" s="145" t="s">
        <v>425</v>
      </c>
    </row>
    <row r="409" spans="1:14" x14ac:dyDescent="0.25">
      <c r="A409" s="188" t="s">
        <v>35</v>
      </c>
      <c r="B409" s="182"/>
      <c r="C409" s="182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3">
        <f>21.2/18356*N410</f>
        <v>1.3691762911309652E-3</v>
      </c>
      <c r="I409" s="213">
        <f t="shared" ref="I409:J409" si="3">21.2/18356*1.6</f>
        <v>1.8478971453475702E-3</v>
      </c>
      <c r="J409" s="213">
        <f t="shared" si="3"/>
        <v>1.8478971453475702E-3</v>
      </c>
      <c r="K409" s="147" t="s">
        <v>512</v>
      </c>
    </row>
    <row r="410" spans="1:14" x14ac:dyDescent="0.25">
      <c r="A410" s="188" t="s">
        <v>35</v>
      </c>
      <c r="B410" s="182"/>
      <c r="C410" s="182"/>
      <c r="D410" s="146" t="s">
        <v>300</v>
      </c>
      <c r="E410" s="146" t="str">
        <f>IFERROR(VLOOKUP(D410,Table2[],2,FALSE),"")</f>
        <v>Antal</v>
      </c>
      <c r="F410" s="146" t="s">
        <v>426</v>
      </c>
      <c r="G410" s="146" t="str">
        <f>IFERROR(VLOOKUP(F410,Table2[],2,FALSE),"")</f>
        <v>Ton</v>
      </c>
      <c r="H410" s="213">
        <f>(90.5+67.4)/18356</f>
        <v>8.602091959032469E-3</v>
      </c>
      <c r="I410" s="213">
        <f t="shared" ref="I410:J410" si="4">(90.5+67.4)/18356</f>
        <v>8.602091959032469E-3</v>
      </c>
      <c r="J410" s="213">
        <f t="shared" si="4"/>
        <v>8.602091959032469E-3</v>
      </c>
      <c r="K410" s="147" t="s">
        <v>425</v>
      </c>
      <c r="M410" t="s">
        <v>825</v>
      </c>
      <c r="N410">
        <v>1.1855</v>
      </c>
    </row>
    <row r="411" spans="1:14" x14ac:dyDescent="0.25">
      <c r="A411" s="188" t="s">
        <v>35</v>
      </c>
      <c r="B411" s="182"/>
      <c r="C411" s="182"/>
      <c r="D411" s="146" t="s">
        <v>300</v>
      </c>
      <c r="E411" s="146" t="str">
        <f>IFERROR(VLOOKUP(D411,Table2[],2,FALSE),"")</f>
        <v>Antal</v>
      </c>
      <c r="F411" s="146" t="s">
        <v>427</v>
      </c>
      <c r="G411" s="146" t="str">
        <f>IFERROR(VLOOKUP(F411,Table2[],2,FALSE),"")</f>
        <v>Ton</v>
      </c>
      <c r="H411" s="213">
        <f>(151.6+4.2)/18356</f>
        <v>8.4876879494443225E-3</v>
      </c>
      <c r="I411" s="213">
        <f t="shared" ref="I411:J411" si="5">(151.6+4.2)/18356</f>
        <v>8.4876879494443225E-3</v>
      </c>
      <c r="J411" s="213">
        <f t="shared" si="5"/>
        <v>8.4876879494443225E-3</v>
      </c>
      <c r="K411" s="147" t="s">
        <v>425</v>
      </c>
    </row>
    <row r="412" spans="1:14" x14ac:dyDescent="0.25">
      <c r="A412" s="188" t="s">
        <v>35</v>
      </c>
      <c r="B412" s="182"/>
      <c r="C412" s="182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2">
        <f>123400/495000</f>
        <v>0.24929292929292929</v>
      </c>
      <c r="I412" s="212">
        <f t="shared" ref="I412:J412" si="6">123400/495000</f>
        <v>0.24929292929292929</v>
      </c>
      <c r="J412" s="212">
        <f t="shared" si="6"/>
        <v>0.24929292929292929</v>
      </c>
      <c r="K412" s="147" t="s">
        <v>425</v>
      </c>
    </row>
    <row r="413" spans="1:14" x14ac:dyDescent="0.25">
      <c r="A413" s="188" t="s">
        <v>35</v>
      </c>
      <c r="B413" s="182"/>
      <c r="C413" s="182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2">
        <f>(45)/495*N410</f>
        <v>0.10777272727272727</v>
      </c>
      <c r="I413" s="212">
        <f>(45)/495*1.33</f>
        <v>0.12090909090909092</v>
      </c>
      <c r="J413" s="212">
        <f>(45)/495*1.33</f>
        <v>0.12090909090909092</v>
      </c>
      <c r="K413" s="147" t="s">
        <v>512</v>
      </c>
    </row>
    <row r="414" spans="1:14" x14ac:dyDescent="0.25">
      <c r="A414" s="188" t="s">
        <v>35</v>
      </c>
      <c r="B414" s="182"/>
      <c r="C414" s="182"/>
      <c r="D414" s="146" t="s">
        <v>301</v>
      </c>
      <c r="E414" s="146" t="str">
        <f>IFERROR(VLOOKUP(D414,Table2[],2,FALSE),"")</f>
        <v>Antal</v>
      </c>
      <c r="F414" s="146" t="s">
        <v>426</v>
      </c>
      <c r="G414" s="146" t="str">
        <f>IFERROR(VLOOKUP(F414,Table2[],2,FALSE),"")</f>
        <v>Ton</v>
      </c>
      <c r="H414" s="212">
        <f>7.9/495</f>
        <v>1.5959595959595962E-2</v>
      </c>
      <c r="I414" s="212">
        <f t="shared" ref="I414:J414" si="7">7.9/495</f>
        <v>1.5959595959595962E-2</v>
      </c>
      <c r="J414" s="212">
        <f t="shared" si="7"/>
        <v>1.5959595959595962E-2</v>
      </c>
      <c r="K414" s="147" t="s">
        <v>425</v>
      </c>
    </row>
    <row r="415" spans="1:14" x14ac:dyDescent="0.25">
      <c r="A415" s="188" t="s">
        <v>35</v>
      </c>
      <c r="B415" s="182"/>
      <c r="C415" s="182"/>
      <c r="D415" s="146" t="s">
        <v>301</v>
      </c>
      <c r="E415" s="146" t="str">
        <f>IFERROR(VLOOKUP(D415,Table2[],2,FALSE),"")</f>
        <v>Antal</v>
      </c>
      <c r="F415" s="146" t="s">
        <v>427</v>
      </c>
      <c r="G415" s="146" t="str">
        <f>IFERROR(VLOOKUP(F415,Table2[],2,FALSE),"")</f>
        <v>Ton</v>
      </c>
      <c r="H415" s="212">
        <f>(39.5+19.8+4.4+0.1+17.4)/495</f>
        <v>0.16404040404040401</v>
      </c>
      <c r="I415" s="212">
        <f t="shared" ref="I415:J415" si="8">(39.5+19.8+4.4+0.1+17.4)/495</f>
        <v>0.16404040404040401</v>
      </c>
      <c r="J415" s="212">
        <f t="shared" si="8"/>
        <v>0.16404040404040401</v>
      </c>
      <c r="K415" s="147" t="s">
        <v>425</v>
      </c>
    </row>
    <row r="416" spans="1:14" x14ac:dyDescent="0.25">
      <c r="A416" s="188" t="s">
        <v>35</v>
      </c>
      <c r="B416" s="182"/>
      <c r="C416" s="182"/>
      <c r="D416" s="146" t="s">
        <v>366</v>
      </c>
      <c r="E416" s="146" t="str">
        <f>IFERROR(VLOOKUP(D416,Table2[],2,FALSE),"")</f>
        <v>Antal</v>
      </c>
      <c r="F416" s="146" t="s">
        <v>367</v>
      </c>
      <c r="G416" s="146" t="str">
        <f>IFERROR(VLOOKUP(F416,Table2[],2,FALSE),"")</f>
        <v>Ton</v>
      </c>
      <c r="H416" s="213">
        <f>192000/101500000*(1-0.0023)</f>
        <v>1.8872748768472907E-3</v>
      </c>
      <c r="I416" s="213">
        <f t="shared" ref="I416:J416" si="9">192000/101500000*(1-0.0023)</f>
        <v>1.8872748768472907E-3</v>
      </c>
      <c r="J416" s="213">
        <f t="shared" si="9"/>
        <v>1.8872748768472907E-3</v>
      </c>
      <c r="K416" s="147" t="s">
        <v>425</v>
      </c>
    </row>
    <row r="417" spans="1:11" ht="15.75" thickBot="1" x14ac:dyDescent="0.3">
      <c r="A417" s="188" t="s">
        <v>35</v>
      </c>
      <c r="B417" s="182"/>
      <c r="C417" s="182"/>
      <c r="D417" s="150" t="s">
        <v>366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6">
        <f>192000/101500000*(0.0023)*N410</f>
        <v>5.1578009852216749E-6</v>
      </c>
      <c r="I417" s="216">
        <f t="shared" ref="I417:J417" si="10">192000/101500000*(0.0023)*1.6</f>
        <v>6.9611822660098529E-6</v>
      </c>
      <c r="J417" s="216">
        <f t="shared" si="10"/>
        <v>6.9611822660098529E-6</v>
      </c>
      <c r="K417" s="147" t="s">
        <v>512</v>
      </c>
    </row>
    <row r="418" spans="1:11" ht="15.75" thickTop="1" x14ac:dyDescent="0.25">
      <c r="A418" s="187" t="s">
        <v>417</v>
      </c>
      <c r="B418" s="181"/>
      <c r="C418" s="181"/>
      <c r="D418" s="144" t="s">
        <v>11</v>
      </c>
      <c r="E418" s="144" t="str">
        <f>IFERROR(VLOOKUP(D418,Table2[],2,FALSE),"")</f>
        <v>Ton</v>
      </c>
      <c r="F418" s="144" t="s">
        <v>418</v>
      </c>
      <c r="G418" s="144" t="str">
        <f>IFERROR(VLOOKUP(F418,Table2[],2,FALSE),"")</f>
        <v>FE</v>
      </c>
      <c r="H418" s="205">
        <f>VLOOKUP('Processer - data'!$D418,Foder!$A$2:$C$16,3,FALSE)</f>
        <v>899.89334145969838</v>
      </c>
      <c r="I418" s="205">
        <f>VLOOKUP('Processer - data'!$D418,Foder!$A$2:$C$16,3,FALSE)</f>
        <v>899.89334145969838</v>
      </c>
      <c r="J418" s="205">
        <f>VLOOKUP('Processer - data'!$D418,Foder!$A$2:$C$16,3,FALSE)</f>
        <v>899.89334145969838</v>
      </c>
      <c r="K418" s="145"/>
    </row>
    <row r="419" spans="1:11" x14ac:dyDescent="0.25">
      <c r="A419" s="188" t="s">
        <v>417</v>
      </c>
      <c r="B419" s="182"/>
      <c r="C419" s="182"/>
      <c r="D419" s="146" t="s">
        <v>37</v>
      </c>
      <c r="E419" s="146" t="str">
        <f>IFERROR(VLOOKUP(D419,Table2[],2,FALSE),"")</f>
        <v>Ton</v>
      </c>
      <c r="F419" s="146" t="s">
        <v>418</v>
      </c>
      <c r="G419" s="146" t="str">
        <f>IFERROR(VLOOKUP(F419,Table2[],2,FALSE),"")</f>
        <v>FE</v>
      </c>
      <c r="H419" s="202">
        <f>VLOOKUP('Processer - data'!$D419,Foder!$A$2:$C$16,3,FALSE)</f>
        <v>190.03476245654693</v>
      </c>
      <c r="I419" s="202">
        <f>VLOOKUP('Processer - data'!$D419,Foder!$A$2:$C$16,3,FALSE)</f>
        <v>190.03476245654693</v>
      </c>
      <c r="J419" s="202">
        <f>VLOOKUP('Processer - data'!$D419,Foder!$A$2:$C$16,3,FALSE)</f>
        <v>190.03476245654693</v>
      </c>
      <c r="K419" s="147"/>
    </row>
    <row r="420" spans="1:11" x14ac:dyDescent="0.25">
      <c r="A420" s="188" t="s">
        <v>417</v>
      </c>
      <c r="B420" s="182"/>
      <c r="C420" s="182"/>
      <c r="D420" s="146" t="s">
        <v>188</v>
      </c>
      <c r="E420" s="146" t="str">
        <f>IFERROR(VLOOKUP(D420,Table2[],2,FALSE),"")</f>
        <v>Ton</v>
      </c>
      <c r="F420" s="146" t="s">
        <v>418</v>
      </c>
      <c r="G420" s="146" t="str">
        <f>IFERROR(VLOOKUP(F420,Table2[],2,FALSE),"")</f>
        <v>FE</v>
      </c>
      <c r="H420" s="202">
        <f>VLOOKUP('Processer - data'!$D420,Foder!$A$2:$C$16,3,FALSE)</f>
        <v>250</v>
      </c>
      <c r="I420" s="202">
        <f>VLOOKUP('Processer - data'!$D420,Foder!$A$2:$C$16,3,FALSE)</f>
        <v>250</v>
      </c>
      <c r="J420" s="202">
        <f>VLOOKUP('Processer - data'!$D420,Foder!$A$2:$C$16,3,FALSE)</f>
        <v>250</v>
      </c>
      <c r="K420" s="147"/>
    </row>
    <row r="421" spans="1:11" x14ac:dyDescent="0.25">
      <c r="A421" s="188" t="s">
        <v>417</v>
      </c>
      <c r="B421" s="182"/>
      <c r="C421" s="182"/>
      <c r="D421" s="146" t="s">
        <v>14</v>
      </c>
      <c r="E421" s="146" t="str">
        <f>IFERROR(VLOOKUP(D421,Table2[],2,FALSE),"")</f>
        <v>Ton</v>
      </c>
      <c r="F421" s="146" t="s">
        <v>418</v>
      </c>
      <c r="G421" s="146" t="str">
        <f>IFERROR(VLOOKUP(F421,Table2[],2,FALSE),"")</f>
        <v>FE</v>
      </c>
      <c r="H421" s="202">
        <f>VLOOKUP('Processer - data'!$D421,Foder!$A$2:$C$16,3,FALSE)</f>
        <v>1083.3333333333333</v>
      </c>
      <c r="I421" s="202">
        <f>VLOOKUP('Processer - data'!$D421,Foder!$A$2:$C$16,3,FALSE)</f>
        <v>1083.3333333333333</v>
      </c>
      <c r="J421" s="202">
        <f>VLOOKUP('Processer - data'!$D421,Foder!$A$2:$C$16,3,FALSE)</f>
        <v>1083.3333333333333</v>
      </c>
      <c r="K421" s="147"/>
    </row>
    <row r="422" spans="1:11" x14ac:dyDescent="0.25">
      <c r="A422" s="188" t="s">
        <v>417</v>
      </c>
      <c r="B422" s="182"/>
      <c r="C422" s="182"/>
      <c r="D422" s="146" t="s">
        <v>42</v>
      </c>
      <c r="E422" s="146" t="str">
        <f>IFERROR(VLOOKUP(D422,Table2[],2,FALSE),"")</f>
        <v>Ton</v>
      </c>
      <c r="F422" s="146" t="s">
        <v>418</v>
      </c>
      <c r="G422" s="146" t="str">
        <f>IFERROR(VLOOKUP(F422,Table2[],2,FALSE),"")</f>
        <v>FE</v>
      </c>
      <c r="H422" s="202">
        <f>VLOOKUP('Processer - data'!$D422,Foder!$A$2:$C$16,3,FALSE)</f>
        <v>152.28966986155484</v>
      </c>
      <c r="I422" s="202">
        <f>VLOOKUP('Processer - data'!$D422,Foder!$A$2:$C$16,3,FALSE)</f>
        <v>152.28966986155484</v>
      </c>
      <c r="J422" s="202">
        <f>VLOOKUP('Processer - data'!$D422,Foder!$A$2:$C$16,3,FALSE)</f>
        <v>152.28966986155484</v>
      </c>
      <c r="K422" s="147"/>
    </row>
    <row r="423" spans="1:11" x14ac:dyDescent="0.25">
      <c r="A423" s="188" t="s">
        <v>417</v>
      </c>
      <c r="B423" s="182"/>
      <c r="C423" s="182"/>
      <c r="D423" s="146" t="s">
        <v>15</v>
      </c>
      <c r="E423" s="146" t="str">
        <f>IFERROR(VLOOKUP(D423,Table2[],2,FALSE),"")</f>
        <v>Ton</v>
      </c>
      <c r="F423" s="146" t="s">
        <v>418</v>
      </c>
      <c r="G423" s="146" t="str">
        <f>IFERROR(VLOOKUP(F423,Table2[],2,FALSE),"")</f>
        <v>FE</v>
      </c>
      <c r="H423" s="202">
        <f>VLOOKUP('Processer - data'!$D423,Foder!$A$2:$C$16,3,FALSE)</f>
        <v>264.92478226444973</v>
      </c>
      <c r="I423" s="202">
        <f>VLOOKUP('Processer - data'!$D423,Foder!$A$2:$C$16,3,FALSE)</f>
        <v>264.92478226444973</v>
      </c>
      <c r="J423" s="202">
        <f>VLOOKUP('Processer - data'!$D423,Foder!$A$2:$C$16,3,FALSE)</f>
        <v>264.92478226444973</v>
      </c>
      <c r="K423" s="147"/>
    </row>
    <row r="424" spans="1:11" x14ac:dyDescent="0.25">
      <c r="A424" s="188" t="s">
        <v>417</v>
      </c>
      <c r="B424" s="182"/>
      <c r="C424" s="182"/>
      <c r="D424" s="146" t="s">
        <v>722</v>
      </c>
      <c r="E424" s="146" t="str">
        <f>IFERROR(VLOOKUP(D424,Table2[],2,FALSE),"")</f>
        <v>Ton</v>
      </c>
      <c r="F424" s="146" t="s">
        <v>418</v>
      </c>
      <c r="G424" s="146" t="str">
        <f>IFERROR(VLOOKUP(F424,Table2[],2,FALSE),"")</f>
        <v>FE</v>
      </c>
      <c r="H424" s="202">
        <f>VLOOKUP('Processer - data'!$D424,Foder!$A$2:$C$16,3,FALSE)</f>
        <v>1008.3682008368201</v>
      </c>
      <c r="I424" s="202">
        <f>VLOOKUP('Processer - data'!$D424,Foder!$A$2:$C$16,3,FALSE)</f>
        <v>1008.3682008368201</v>
      </c>
      <c r="J424" s="202">
        <f>VLOOKUP('Processer - data'!$D424,Foder!$A$2:$C$16,3,FALSE)</f>
        <v>1008.3682008368201</v>
      </c>
      <c r="K424" s="147"/>
    </row>
    <row r="425" spans="1:11" x14ac:dyDescent="0.25">
      <c r="A425" s="188" t="s">
        <v>417</v>
      </c>
      <c r="B425" s="182"/>
      <c r="C425" s="182"/>
      <c r="D425" s="146" t="s">
        <v>310</v>
      </c>
      <c r="E425" s="146" t="str">
        <f>IFERROR(VLOOKUP(D425,Table2[],2,FALSE),"")</f>
        <v>Ton</v>
      </c>
      <c r="F425" s="146" t="s">
        <v>418</v>
      </c>
      <c r="G425" s="146" t="str">
        <f>IFERROR(VLOOKUP(F425,Table2[],2,FALSE),"")</f>
        <v>FE</v>
      </c>
      <c r="H425" s="202">
        <f>VLOOKUP('Processer - data'!$D425,Foder!$A$2:$C$16,3,FALSE)</f>
        <v>1360</v>
      </c>
      <c r="I425" s="202">
        <f>VLOOKUP('Processer - data'!$D425,Foder!$A$2:$C$16,3,FALSE)</f>
        <v>1360</v>
      </c>
      <c r="J425" s="202">
        <f>VLOOKUP('Processer - data'!$D425,Foder!$A$2:$C$16,3,FALSE)</f>
        <v>1360</v>
      </c>
      <c r="K425" s="147"/>
    </row>
    <row r="426" spans="1:11" x14ac:dyDescent="0.25">
      <c r="A426" s="188" t="s">
        <v>417</v>
      </c>
      <c r="B426" s="182"/>
      <c r="C426" s="182"/>
      <c r="D426" s="146" t="s">
        <v>311</v>
      </c>
      <c r="E426" s="146" t="str">
        <f>IFERROR(VLOOKUP(D426,Table2[],2,FALSE),"")</f>
        <v>Ton</v>
      </c>
      <c r="F426" s="146" t="s">
        <v>418</v>
      </c>
      <c r="G426" s="146" t="str">
        <f>IFERROR(VLOOKUP(F426,Table2[],2,FALSE),"")</f>
        <v>FE</v>
      </c>
      <c r="H426" s="202">
        <f>VLOOKUP('Processer - data'!$D426,Foder!$A$2:$C$16,3,FALSE)</f>
        <v>1410</v>
      </c>
      <c r="I426" s="202">
        <f>VLOOKUP('Processer - data'!$D426,Foder!$A$2:$C$16,3,FALSE)</f>
        <v>1410</v>
      </c>
      <c r="J426" s="202">
        <f>VLOOKUP('Processer - data'!$D426,Foder!$A$2:$C$16,3,FALSE)</f>
        <v>1410</v>
      </c>
      <c r="K426" s="147"/>
    </row>
    <row r="427" spans="1:11" x14ac:dyDescent="0.25">
      <c r="A427" s="188" t="s">
        <v>417</v>
      </c>
      <c r="B427" s="182"/>
      <c r="C427" s="182"/>
      <c r="D427" s="146" t="s">
        <v>13</v>
      </c>
      <c r="E427" s="146" t="str">
        <f>IFERROR(VLOOKUP(D427,Table2[],2,FALSE),"")</f>
        <v>Ton</v>
      </c>
      <c r="F427" s="146" t="s">
        <v>418</v>
      </c>
      <c r="G427" s="146" t="str">
        <f>IFERROR(VLOOKUP(F427,Table2[],2,FALSE),"")</f>
        <v>FE</v>
      </c>
      <c r="H427" s="202">
        <f>VLOOKUP('Processer - data'!$D427,Foder!$A$2:$C$16,3,FALSE)</f>
        <v>166.31286143034919</v>
      </c>
      <c r="I427" s="202">
        <f>VLOOKUP('Processer - data'!$D427,Foder!$A$2:$C$16,3,FALSE)</f>
        <v>166.31286143034919</v>
      </c>
      <c r="J427" s="202">
        <f>VLOOKUP('Processer - data'!$D427,Foder!$A$2:$C$16,3,FALSE)</f>
        <v>166.31286143034919</v>
      </c>
      <c r="K427" s="147"/>
    </row>
    <row r="428" spans="1:11" x14ac:dyDescent="0.25">
      <c r="A428" s="188" t="s">
        <v>417</v>
      </c>
      <c r="B428" s="182"/>
      <c r="C428" s="182"/>
      <c r="D428" s="146" t="s">
        <v>432</v>
      </c>
      <c r="E428" s="146" t="str">
        <f>IFERROR(VLOOKUP(D428,Table2[],2,FALSE),"")</f>
        <v>Ton</v>
      </c>
      <c r="F428" s="146" t="s">
        <v>418</v>
      </c>
      <c r="G428" s="146" t="str">
        <f>IFERROR(VLOOKUP(F428,Table2[],2,FALSE),"")</f>
        <v>FE</v>
      </c>
      <c r="H428" s="202">
        <f>VLOOKUP('Processer - data'!$D428,Foder!$A$2:$C$16,3,FALSE)</f>
        <v>96.335697399527191</v>
      </c>
      <c r="I428" s="202">
        <f>VLOOKUP('Processer - data'!$D428,Foder!$A$2:$C$16,3,FALSE)</f>
        <v>96.335697399527191</v>
      </c>
      <c r="J428" s="202">
        <f>VLOOKUP('Processer - data'!$D428,Foder!$A$2:$C$16,3,FALSE)</f>
        <v>96.335697399527191</v>
      </c>
      <c r="K428" s="147"/>
    </row>
    <row r="429" spans="1:11" x14ac:dyDescent="0.25">
      <c r="A429" s="188" t="s">
        <v>417</v>
      </c>
      <c r="B429" s="182"/>
      <c r="C429" s="182"/>
      <c r="D429" s="146" t="s">
        <v>659</v>
      </c>
      <c r="E429" s="146" t="str">
        <f>IFERROR(VLOOKUP(D429,Table2[],2,FALSE),"")</f>
        <v>Ton</v>
      </c>
      <c r="F429" s="146" t="s">
        <v>418</v>
      </c>
      <c r="G429" s="146" t="str">
        <f>IFERROR(VLOOKUP(F429,Table2[],2,FALSE),"")</f>
        <v>FE</v>
      </c>
      <c r="H429" s="202">
        <f>VLOOKUP('Processer - data'!$D429,Foder!$A$2:$C$16,3,FALSE)</f>
        <v>309.40000000000003</v>
      </c>
      <c r="I429" s="202">
        <f>VLOOKUP('Processer - data'!$D429,Foder!$A$2:$C$16,3,FALSE)</f>
        <v>309.40000000000003</v>
      </c>
      <c r="J429" s="202">
        <f>VLOOKUP('Processer - data'!$D429,Foder!$A$2:$C$16,3,FALSE)</f>
        <v>309.40000000000003</v>
      </c>
      <c r="K429" s="147"/>
    </row>
    <row r="430" spans="1:11" x14ac:dyDescent="0.25">
      <c r="A430" s="188" t="s">
        <v>417</v>
      </c>
      <c r="B430" s="182"/>
      <c r="C430" s="182"/>
      <c r="D430" s="146" t="s">
        <v>657</v>
      </c>
      <c r="E430" s="146" t="str">
        <f>IFERROR(VLOOKUP(D430,Table2[],2,FALSE),"")</f>
        <v>Ton</v>
      </c>
      <c r="F430" s="146" t="s">
        <v>418</v>
      </c>
      <c r="G430" s="146" t="str">
        <f>IFERROR(VLOOKUP(F430,Table2[],2,FALSE),"")</f>
        <v>FE</v>
      </c>
      <c r="H430" s="202">
        <f>VLOOKUP('Processer - data'!$D430,Foder!$A$2:$C$16,3,FALSE)</f>
        <v>2750</v>
      </c>
      <c r="I430" s="202">
        <f>VLOOKUP('Processer - data'!$D430,Foder!$A$2:$C$16,3,FALSE)</f>
        <v>2750</v>
      </c>
      <c r="J430" s="202">
        <f>VLOOKUP('Processer - data'!$D430,Foder!$A$2:$C$16,3,FALSE)</f>
        <v>2750</v>
      </c>
      <c r="K430" s="147"/>
    </row>
    <row r="431" spans="1:11" x14ac:dyDescent="0.25">
      <c r="A431" s="188" t="s">
        <v>417</v>
      </c>
      <c r="B431" s="182"/>
      <c r="C431" s="182"/>
      <c r="D431" s="146" t="s">
        <v>426</v>
      </c>
      <c r="E431" s="146" t="str">
        <f>IFERROR(VLOOKUP(D431,Table2[],2,FALSE),"")</f>
        <v>Ton</v>
      </c>
      <c r="F431" s="146" t="s">
        <v>418</v>
      </c>
      <c r="G431" s="146" t="str">
        <f>IFERROR(VLOOKUP(F431,Table2[],2,FALSE),"")</f>
        <v>FE</v>
      </c>
      <c r="H431" s="202">
        <f>VLOOKUP('Processer - data'!$D431,Foder!$A$2:$C$16,3,FALSE)</f>
        <v>2750</v>
      </c>
      <c r="I431" s="202">
        <f>VLOOKUP('Processer - data'!$D431,Foder!$A$2:$C$16,3,FALSE)</f>
        <v>2750</v>
      </c>
      <c r="J431" s="202">
        <f>VLOOKUP('Processer - data'!$D431,Foder!$A$2:$C$16,3,FALSE)</f>
        <v>2750</v>
      </c>
      <c r="K431" s="147"/>
    </row>
    <row r="432" spans="1:11" ht="15.75" thickBot="1" x14ac:dyDescent="0.3">
      <c r="A432" s="189" t="s">
        <v>417</v>
      </c>
      <c r="B432" s="183"/>
      <c r="C432" s="183"/>
      <c r="D432" s="148" t="s">
        <v>499</v>
      </c>
      <c r="E432" s="148" t="str">
        <f>IFERROR(VLOOKUP(D432,Table2[],2,FALSE),"")</f>
        <v>Ton</v>
      </c>
      <c r="F432" s="148" t="s">
        <v>418</v>
      </c>
      <c r="G432" s="148" t="str">
        <f>IFERROR(VLOOKUP(F432,Table2[],2,FALSE),"")</f>
        <v>FE</v>
      </c>
      <c r="H432" s="206">
        <f>VLOOKUP('Processer - data'!$D432,Foder!$A$2:$C$16,3,FALSE)</f>
        <v>743.22820037105748</v>
      </c>
      <c r="I432" s="206">
        <f>VLOOKUP('Processer - data'!$D432,Foder!$A$2:$C$16,3,FALSE)</f>
        <v>743.22820037105748</v>
      </c>
      <c r="J432" s="206">
        <f>VLOOKUP('Processer - data'!$D432,Foder!$A$2:$C$16,3,FALSE)</f>
        <v>743.22820037105748</v>
      </c>
      <c r="K432" s="149"/>
    </row>
    <row r="433" spans="1:15" ht="15.75" thickTop="1" x14ac:dyDescent="0.25">
      <c r="A433" s="188" t="s">
        <v>36</v>
      </c>
      <c r="B433" s="182"/>
      <c r="C433" s="182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4">
        <f>VLOOKUP('Processer - data'!$D433,Biogasudbytte!$A$2:$C$18,2,FALSE)</f>
        <v>160.6</v>
      </c>
      <c r="I433" s="174">
        <f>VLOOKUP('Processer - data'!$D433,Biogasudbytte!$A$2:$C$18,2,FALSE)</f>
        <v>160.6</v>
      </c>
      <c r="J433" s="174">
        <f>VLOOKUP('Processer - data'!$D433,Biogasudbytte!$A$2:$C$18,2,FALSE)</f>
        <v>160.6</v>
      </c>
      <c r="K433" s="147"/>
    </row>
    <row r="434" spans="1:15" x14ac:dyDescent="0.25">
      <c r="A434" s="188" t="s">
        <v>36</v>
      </c>
      <c r="B434" s="182"/>
      <c r="C434" s="182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4">
        <f>VLOOKUP('Processer - data'!$D434,Biogasudbytte!$A$2:$C$18,2,FALSE)</f>
        <v>95.4</v>
      </c>
      <c r="I434" s="174">
        <f>VLOOKUP('Processer - data'!$D434,Biogasudbytte!$A$2:$C$18,2,FALSE)</f>
        <v>95.4</v>
      </c>
      <c r="J434" s="174">
        <f>VLOOKUP('Processer - data'!$D434,Biogasudbytte!$A$2:$C$18,2,FALSE)</f>
        <v>95.4</v>
      </c>
      <c r="K434" s="147"/>
    </row>
    <row r="435" spans="1:15" x14ac:dyDescent="0.25">
      <c r="A435" s="188" t="s">
        <v>36</v>
      </c>
      <c r="B435" s="182"/>
      <c r="C435" s="182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4">
        <f>VLOOKUP('Processer - data'!$D435,Biogasudbytte!$A$2:$C$18,2,FALSE)</f>
        <v>51.25</v>
      </c>
      <c r="I435" s="174">
        <f>VLOOKUP('Processer - data'!$D435,Biogasudbytte!$A$2:$C$18,2,FALSE)</f>
        <v>51.25</v>
      </c>
      <c r="J435" s="174">
        <f>VLOOKUP('Processer - data'!$D435,Biogasudbytte!$A$2:$C$18,2,FALSE)</f>
        <v>51.25</v>
      </c>
      <c r="K435" s="147"/>
      <c r="O435" s="9"/>
    </row>
    <row r="436" spans="1:15" x14ac:dyDescent="0.25">
      <c r="A436" s="188" t="s">
        <v>36</v>
      </c>
      <c r="B436" s="182"/>
      <c r="C436" s="182"/>
      <c r="D436" s="146" t="s">
        <v>500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4">
        <f>VLOOKUP('Processer - data'!$D436,Biogasudbytte!$A$2:$C$18,2,FALSE)</f>
        <v>12</v>
      </c>
      <c r="I436" s="174">
        <f>VLOOKUP('Processer - data'!$D436,Biogasudbytte!$A$2:$C$18,2,FALSE)</f>
        <v>12</v>
      </c>
      <c r="J436" s="174">
        <f>VLOOKUP('Processer - data'!$D436,Biogasudbytte!$A$2:$C$18,2,FALSE)</f>
        <v>12</v>
      </c>
      <c r="K436" s="147"/>
      <c r="O436" s="10"/>
    </row>
    <row r="437" spans="1:15" s="461" customFormat="1" x14ac:dyDescent="0.25">
      <c r="A437" s="188" t="s">
        <v>36</v>
      </c>
      <c r="B437" s="182"/>
      <c r="C437" s="182"/>
      <c r="D437" s="446" t="s">
        <v>500</v>
      </c>
      <c r="E437" s="446" t="str">
        <f>IFERROR(VLOOKUP(D437,Table2[],2,FALSE),"")</f>
        <v>Ton</v>
      </c>
      <c r="F437" s="446" t="s">
        <v>346</v>
      </c>
      <c r="G437" s="446" t="str">
        <f>IFERROR(VLOOKUP(F437,Table2[],2,FALSE),"")</f>
        <v>t CO2-ækvivalenter</v>
      </c>
      <c r="H437" s="473">
        <f>-Dyrehold!$U$13*Afgrødedata!$C$66</f>
        <v>-1.2727600045138086E-2</v>
      </c>
      <c r="I437" s="473">
        <f>-Dyrehold!$U$13*Afgrødedata!$C$66</f>
        <v>-1.2727600045138086E-2</v>
      </c>
      <c r="J437" s="473">
        <f>-Dyrehold!$U$13*Afgrødedata!$C$66</f>
        <v>-1.2727600045138086E-2</v>
      </c>
      <c r="K437" s="147"/>
      <c r="O437" s="10"/>
    </row>
    <row r="438" spans="1:15" x14ac:dyDescent="0.25">
      <c r="A438" s="188" t="s">
        <v>36</v>
      </c>
      <c r="B438" s="182"/>
      <c r="C438" s="182"/>
      <c r="D438" s="146" t="s">
        <v>501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4">
        <f>VLOOKUP('Processer - data'!$D438,Biogasudbytte!$A$2:$C$18,2,FALSE)</f>
        <v>14.1</v>
      </c>
      <c r="I438" s="174">
        <f>VLOOKUP('Processer - data'!$D438,Biogasudbytte!$A$2:$C$18,2,FALSE)</f>
        <v>14.1</v>
      </c>
      <c r="J438" s="174">
        <f>VLOOKUP('Processer - data'!$D438,Biogasudbytte!$A$2:$C$18,2,FALSE)</f>
        <v>14.1</v>
      </c>
      <c r="K438" s="147"/>
      <c r="O438" s="10"/>
    </row>
    <row r="439" spans="1:15" s="461" customFormat="1" x14ac:dyDescent="0.25">
      <c r="A439" s="188" t="s">
        <v>36</v>
      </c>
      <c r="B439" s="182"/>
      <c r="C439" s="182"/>
      <c r="D439" s="446" t="s">
        <v>501</v>
      </c>
      <c r="E439" s="446" t="str">
        <f>IFERROR(VLOOKUP(D439,Table2[],2,FALSE),"")</f>
        <v>Ton</v>
      </c>
      <c r="F439" s="446" t="s">
        <v>346</v>
      </c>
      <c r="G439" s="446" t="str">
        <f>IFERROR(VLOOKUP(F439,Table2[],2,FALSE),"")</f>
        <v>t CO2-ækvivalenter</v>
      </c>
      <c r="H439" s="473">
        <f>-Dyrehold!$U$8*Afgrødedata!$C$64</f>
        <v>-2.942635474487016E-2</v>
      </c>
      <c r="I439" s="473">
        <f>-Dyrehold!$U$8*Afgrødedata!$C$64</f>
        <v>-2.942635474487016E-2</v>
      </c>
      <c r="J439" s="473">
        <f>-Dyrehold!$U$8*Afgrødedata!$C$64</f>
        <v>-2.942635474487016E-2</v>
      </c>
      <c r="K439" s="147"/>
      <c r="O439" s="10"/>
    </row>
    <row r="440" spans="1:15" x14ac:dyDescent="0.25">
      <c r="A440" s="188" t="s">
        <v>36</v>
      </c>
      <c r="B440" s="182"/>
      <c r="C440" s="182"/>
      <c r="D440" s="146" t="s">
        <v>502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4">
        <f>VLOOKUP('Processer - data'!$D440,Biogasudbytte!$A$2:$C$18,2,FALSE)</f>
        <v>13.1</v>
      </c>
      <c r="I440" s="174">
        <f>VLOOKUP('Processer - data'!$D440,Biogasudbytte!$A$2:$C$18,2,FALSE)</f>
        <v>13.1</v>
      </c>
      <c r="J440" s="174">
        <f>VLOOKUP('Processer - data'!$D440,Biogasudbytte!$A$2:$C$18,2,FALSE)</f>
        <v>13.1</v>
      </c>
      <c r="K440" s="147"/>
      <c r="O440" s="10"/>
    </row>
    <row r="441" spans="1:15" x14ac:dyDescent="0.25">
      <c r="A441" s="188" t="s">
        <v>36</v>
      </c>
      <c r="B441" s="182"/>
      <c r="C441" s="182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4">
        <f>VLOOKUP('Processer - data'!$D441,Biogasudbytte!$A$2:$C$18,2,FALSE)</f>
        <v>60</v>
      </c>
      <c r="I441" s="174">
        <f>VLOOKUP('Processer - data'!$D441,Biogasudbytte!$A$2:$C$18,2,FALSE)</f>
        <v>60</v>
      </c>
      <c r="J441" s="174">
        <f>VLOOKUP('Processer - data'!$D441,Biogasudbytte!$A$2:$C$18,2,FALSE)</f>
        <v>60</v>
      </c>
      <c r="K441" s="147"/>
      <c r="O441" s="9"/>
    </row>
    <row r="442" spans="1:15" x14ac:dyDescent="0.25">
      <c r="A442" s="188" t="s">
        <v>36</v>
      </c>
      <c r="B442" s="182"/>
      <c r="C442" s="182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4">
        <f>VLOOKUP('Processer - data'!$D442,Biogasudbytte!$A$2:$C$18,2,FALSE)</f>
        <v>100</v>
      </c>
      <c r="I442" s="174">
        <f>VLOOKUP('Processer - data'!$D442,Biogasudbytte!$A$2:$C$18,2,FALSE)</f>
        <v>100</v>
      </c>
      <c r="J442" s="174">
        <f>VLOOKUP('Processer - data'!$D442,Biogasudbytte!$A$2:$C$18,2,FALSE)</f>
        <v>100</v>
      </c>
      <c r="K442" s="147"/>
      <c r="O442" s="9"/>
    </row>
    <row r="443" spans="1:15" x14ac:dyDescent="0.25">
      <c r="A443" s="188" t="s">
        <v>36</v>
      </c>
      <c r="B443" s="182"/>
      <c r="C443" s="182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4">
        <f>VLOOKUP('Processer - data'!$D443,Biogasudbytte!$A$2:$C$18,2,FALSE)</f>
        <v>75.599999999999994</v>
      </c>
      <c r="I443" s="174">
        <f>VLOOKUP('Processer - data'!$D443,Biogasudbytte!$A$2:$C$18,2,FALSE)</f>
        <v>75.599999999999994</v>
      </c>
      <c r="J443" s="174">
        <f>VLOOKUP('Processer - data'!$D443,Biogasudbytte!$A$2:$C$18,2,FALSE)</f>
        <v>75.599999999999994</v>
      </c>
      <c r="K443" s="147"/>
      <c r="O443" s="9"/>
    </row>
    <row r="444" spans="1:15" x14ac:dyDescent="0.25">
      <c r="A444" s="188" t="s">
        <v>36</v>
      </c>
      <c r="B444" s="182"/>
      <c r="C444" s="182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4">
        <f>VLOOKUP('Processer - data'!$D444,Biogasudbytte!$A$2:$C$18,2,FALSE)</f>
        <v>94.9</v>
      </c>
      <c r="I444" s="174">
        <f>VLOOKUP('Processer - data'!$D444,Biogasudbytte!$A$2:$C$18,2,FALSE)</f>
        <v>94.9</v>
      </c>
      <c r="J444" s="174">
        <f>VLOOKUP('Processer - data'!$D444,Biogasudbytte!$A$2:$C$18,2,FALSE)</f>
        <v>94.9</v>
      </c>
      <c r="K444" s="147"/>
      <c r="O444" s="9"/>
    </row>
    <row r="445" spans="1:15" x14ac:dyDescent="0.25">
      <c r="A445" s="188" t="s">
        <v>36</v>
      </c>
      <c r="B445" s="182"/>
      <c r="C445" s="182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4">
        <f>VLOOKUP('Processer - data'!$D445,Biogasudbytte!$A$2:$C$18,2,FALSE)</f>
        <v>120.7</v>
      </c>
      <c r="I445" s="174">
        <f>VLOOKUP('Processer - data'!$D445,Biogasudbytte!$A$2:$C$18,2,FALSE)</f>
        <v>120.7</v>
      </c>
      <c r="J445" s="174">
        <f>VLOOKUP('Processer - data'!$D445,Biogasudbytte!$A$2:$C$18,2,FALSE)</f>
        <v>120.7</v>
      </c>
      <c r="K445" s="147"/>
      <c r="O445" s="9"/>
    </row>
    <row r="446" spans="1:15" x14ac:dyDescent="0.25">
      <c r="A446" s="188" t="s">
        <v>36</v>
      </c>
      <c r="B446" s="182"/>
      <c r="C446" s="182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4">
        <f>VLOOKUP('Processer - data'!$D446,Biogasudbytte!$A$2:$C$18,2,FALSE)</f>
        <v>25</v>
      </c>
      <c r="I446" s="174">
        <f>VLOOKUP('Processer - data'!$D446,Biogasudbytte!$A$2:$C$18,2,FALSE)</f>
        <v>25</v>
      </c>
      <c r="J446" s="174">
        <f>VLOOKUP('Processer - data'!$D446,Biogasudbytte!$A$2:$C$18,2,FALSE)</f>
        <v>25</v>
      </c>
      <c r="K446" s="147"/>
      <c r="O446" s="9"/>
    </row>
    <row r="447" spans="1:15" x14ac:dyDescent="0.25">
      <c r="A447" s="188" t="s">
        <v>36</v>
      </c>
      <c r="B447" s="182"/>
      <c r="C447" s="182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4">
        <f>VLOOKUP('Processer - data'!$D447,Biogasudbytte!$A$2:$C$18,2,FALSE)</f>
        <v>25</v>
      </c>
      <c r="I447" s="174">
        <f>VLOOKUP('Processer - data'!$D447,Biogasudbytte!$A$2:$C$18,2,FALSE)</f>
        <v>25</v>
      </c>
      <c r="J447" s="174">
        <f>VLOOKUP('Processer - data'!$D447,Biogasudbytte!$A$2:$C$18,2,FALSE)</f>
        <v>25</v>
      </c>
      <c r="K447" s="147"/>
      <c r="O447" s="9"/>
    </row>
    <row r="448" spans="1:15" x14ac:dyDescent="0.25">
      <c r="A448" s="188" t="s">
        <v>36</v>
      </c>
      <c r="B448" s="182"/>
      <c r="C448" s="182"/>
      <c r="D448" s="146" t="s">
        <v>529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4">
        <f>VLOOKUP('Processer - data'!$D448,Biogasudbytte!$A$2:$C$18,2,FALSE)</f>
        <v>47.3</v>
      </c>
      <c r="I448" s="174">
        <f>VLOOKUP('Processer - data'!$D448,Biogasudbytte!$A$2:$C$18,2,FALSE)</f>
        <v>47.3</v>
      </c>
      <c r="J448" s="174">
        <f>VLOOKUP('Processer - data'!$D448,Biogasudbytte!$A$2:$C$18,2,FALSE)</f>
        <v>47.3</v>
      </c>
      <c r="K448" s="147"/>
      <c r="O448" s="9"/>
    </row>
    <row r="449" spans="1:15" x14ac:dyDescent="0.25">
      <c r="A449" s="188" t="s">
        <v>36</v>
      </c>
      <c r="B449" s="182"/>
      <c r="C449" s="182"/>
      <c r="D449" s="146" t="s">
        <v>663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4">
        <f>VLOOKUP('Processer - data'!$D449,Biogasudbytte!$A$2:$C$18,2,FALSE)</f>
        <v>15.822453396634783</v>
      </c>
      <c r="I449" s="174">
        <f>VLOOKUP('Processer - data'!$D449,Biogasudbytte!$A$2:$C$18,2,FALSE)</f>
        <v>15.822453396634783</v>
      </c>
      <c r="J449" s="174">
        <f>VLOOKUP('Processer - data'!$D449,Biogasudbytte!$A$2:$C$18,2,FALSE)</f>
        <v>15.822453396634783</v>
      </c>
      <c r="K449" s="147"/>
      <c r="O449" s="9"/>
    </row>
    <row r="450" spans="1:15" x14ac:dyDescent="0.25">
      <c r="A450" s="188" t="s">
        <v>36</v>
      </c>
      <c r="B450" s="182"/>
      <c r="C450" s="182"/>
      <c r="D450" s="146" t="s">
        <v>521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4">
        <f>VLOOKUP('Processer - data'!$D450,Biogasudbytte!$A$2:$C$18,2,FALSE)</f>
        <v>423.36</v>
      </c>
      <c r="I450" s="174">
        <f>VLOOKUP('Processer - data'!$D450,Biogasudbytte!$A$2:$C$18,2,FALSE)</f>
        <v>423.36</v>
      </c>
      <c r="J450" s="174">
        <f>VLOOKUP('Processer - data'!$D450,Biogasudbytte!$A$2:$C$18,2,FALSE)</f>
        <v>423.36</v>
      </c>
      <c r="K450" s="147"/>
      <c r="O450" s="9"/>
    </row>
    <row r="451" spans="1:15" x14ac:dyDescent="0.25">
      <c r="A451" s="188" t="s">
        <v>36</v>
      </c>
      <c r="B451" s="182"/>
      <c r="C451" s="182"/>
      <c r="D451" s="146" t="s">
        <v>504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4">
        <f>VLOOKUP('Processer - data'!$D451,Biogasudbytte!$A$2:$C$18,2,FALSE)</f>
        <v>13.9</v>
      </c>
      <c r="I451" s="174">
        <f>VLOOKUP('Processer - data'!$D451,Biogasudbytte!$A$2:$C$18,2,FALSE)</f>
        <v>13.9</v>
      </c>
      <c r="J451" s="174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8" t="s">
        <v>36</v>
      </c>
      <c r="B452" s="182"/>
      <c r="C452" s="182"/>
      <c r="D452" s="150" t="s">
        <v>354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9">
        <f>0.9193</f>
        <v>0.91930000000000001</v>
      </c>
      <c r="I452" s="209">
        <f>0.9193</f>
        <v>0.91930000000000001</v>
      </c>
      <c r="J452" s="209">
        <f>0.9193</f>
        <v>0.91930000000000001</v>
      </c>
      <c r="K452" s="147" t="s">
        <v>510</v>
      </c>
      <c r="O452" s="9"/>
    </row>
    <row r="453" spans="1:15" s="146" customFormat="1" ht="15.75" thickTop="1" x14ac:dyDescent="0.25">
      <c r="A453" s="187" t="s">
        <v>303</v>
      </c>
      <c r="B453" s="181"/>
      <c r="C453" s="181"/>
      <c r="D453" s="242" t="s">
        <v>500</v>
      </c>
      <c r="E453" s="242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3">
        <f>5.3</f>
        <v>5.3</v>
      </c>
      <c r="I453" s="243">
        <f>H453</f>
        <v>5.3</v>
      </c>
      <c r="J453" s="243">
        <f>I453</f>
        <v>5.3</v>
      </c>
      <c r="K453" s="145" t="s">
        <v>554</v>
      </c>
    </row>
    <row r="454" spans="1:15" s="146" customFormat="1" x14ac:dyDescent="0.25">
      <c r="A454" s="188" t="s">
        <v>303</v>
      </c>
      <c r="B454" s="182"/>
      <c r="C454" s="182"/>
      <c r="D454" s="150" t="s">
        <v>501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4">
        <f>8</f>
        <v>8</v>
      </c>
      <c r="I454" s="244">
        <f t="shared" ref="I454:I457" si="11">H454</f>
        <v>8</v>
      </c>
      <c r="J454" s="244">
        <f>I454</f>
        <v>8</v>
      </c>
      <c r="K454" s="147" t="s">
        <v>554</v>
      </c>
    </row>
    <row r="455" spans="1:15" s="146" customFormat="1" x14ac:dyDescent="0.25">
      <c r="A455" s="188" t="s">
        <v>303</v>
      </c>
      <c r="B455" s="182"/>
      <c r="C455" s="182"/>
      <c r="D455" s="150" t="s">
        <v>502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4">
        <f>7</f>
        <v>7</v>
      </c>
      <c r="I455" s="244">
        <f t="shared" si="11"/>
        <v>7</v>
      </c>
      <c r="J455" s="244">
        <f>I455</f>
        <v>7</v>
      </c>
      <c r="K455" s="147" t="s">
        <v>554</v>
      </c>
    </row>
    <row r="456" spans="1:15" s="146" customFormat="1" x14ac:dyDescent="0.25">
      <c r="A456" s="188" t="s">
        <v>303</v>
      </c>
      <c r="B456" s="182"/>
      <c r="C456" s="182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4">
        <v>14</v>
      </c>
      <c r="I456" s="244">
        <f t="shared" si="11"/>
        <v>14</v>
      </c>
      <c r="J456" s="244">
        <f>I456</f>
        <v>14</v>
      </c>
      <c r="K456" s="147" t="s">
        <v>554</v>
      </c>
    </row>
    <row r="457" spans="1:15" s="146" customFormat="1" x14ac:dyDescent="0.25">
      <c r="A457" s="188" t="s">
        <v>303</v>
      </c>
      <c r="B457" s="182"/>
      <c r="C457" s="182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10">
        <f>7</f>
        <v>7</v>
      </c>
      <c r="I457" s="210">
        <f t="shared" si="11"/>
        <v>7</v>
      </c>
      <c r="J457" s="210">
        <f>I457</f>
        <v>7</v>
      </c>
      <c r="K457" s="147" t="s">
        <v>424</v>
      </c>
    </row>
    <row r="458" spans="1:15" s="146" customFormat="1" ht="15.75" thickBot="1" x14ac:dyDescent="0.3">
      <c r="A458" s="188" t="s">
        <v>303</v>
      </c>
      <c r="B458" s="182"/>
      <c r="C458" s="182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10">
        <v>160</v>
      </c>
      <c r="I458" s="210">
        <f t="shared" ref="I458" si="12">H458</f>
        <v>160</v>
      </c>
      <c r="J458" s="210">
        <f>I458</f>
        <v>160</v>
      </c>
      <c r="K458" s="147" t="s">
        <v>423</v>
      </c>
    </row>
    <row r="459" spans="1:15" ht="15.75" thickTop="1" x14ac:dyDescent="0.25">
      <c r="A459" s="187" t="s">
        <v>410</v>
      </c>
      <c r="B459" s="181"/>
      <c r="C459" s="181"/>
      <c r="D459" s="144" t="s">
        <v>37</v>
      </c>
      <c r="E459" s="144" t="str">
        <f>IFERROR(VLOOKUP(D459,Table2[],2,FALSE),"")</f>
        <v>Ton</v>
      </c>
      <c r="F459" s="144" t="s">
        <v>411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8" t="s">
        <v>410</v>
      </c>
      <c r="B460" s="182"/>
      <c r="C460" s="182"/>
      <c r="D460" s="150" t="s">
        <v>723</v>
      </c>
      <c r="E460" s="146" t="str">
        <f>IFERROR(VLOOKUP(D460,Table2[],2,FALSE),"")</f>
        <v>Ton</v>
      </c>
      <c r="F460" s="146" t="s">
        <v>411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8" t="s">
        <v>410</v>
      </c>
      <c r="B461" s="182"/>
      <c r="C461" s="182"/>
      <c r="D461" s="150" t="s">
        <v>341</v>
      </c>
      <c r="E461" s="146" t="str">
        <f>IFERROR(VLOOKUP(D461,Table2[],2,FALSE),"")</f>
        <v>Ton</v>
      </c>
      <c r="F461" s="146" t="s">
        <v>411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8" t="s">
        <v>410</v>
      </c>
      <c r="B462" s="182"/>
      <c r="C462" s="182"/>
      <c r="D462" s="146" t="s">
        <v>407</v>
      </c>
      <c r="E462" s="146" t="str">
        <f>IFERROR(VLOOKUP(D462,Table2[],2,FALSE),"")</f>
        <v>m3</v>
      </c>
      <c r="F462" s="146" t="s">
        <v>411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8" t="s">
        <v>410</v>
      </c>
      <c r="B463" s="182"/>
      <c r="C463" s="182"/>
      <c r="D463" s="146" t="s">
        <v>529</v>
      </c>
      <c r="E463" s="146" t="str">
        <f>IFERROR(VLOOKUP(D463,Table2[],2,FALSE),"")</f>
        <v>Ton</v>
      </c>
      <c r="F463" s="146" t="s">
        <v>411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8" t="s">
        <v>410</v>
      </c>
      <c r="B464" s="182"/>
      <c r="C464" s="182"/>
      <c r="D464" s="146" t="s">
        <v>322</v>
      </c>
      <c r="E464" s="146" t="str">
        <f>IFERROR(VLOOKUP(D464,Table2[],2,FALSE),"")</f>
        <v>Ton</v>
      </c>
      <c r="F464" s="146" t="s">
        <v>411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61" customFormat="1" x14ac:dyDescent="0.25">
      <c r="A465" s="188" t="s">
        <v>410</v>
      </c>
      <c r="B465" s="182"/>
      <c r="C465" s="182"/>
      <c r="D465" s="150" t="s">
        <v>893</v>
      </c>
      <c r="E465" s="446" t="str">
        <f>IFERROR(VLOOKUP(D465,Table2[],2,FALSE),"")</f>
        <v>Ton</v>
      </c>
      <c r="F465" s="446" t="s">
        <v>411</v>
      </c>
      <c r="G465" s="446" t="str">
        <f>IFERROR(VLOOKUP(F465,Table2[],2,FALSE),"")</f>
        <v>PJ</v>
      </c>
      <c r="H465" s="446">
        <f>VLOOKUP($D465,Energiindhold!$A$2:$C$10,3,FALSE)</f>
        <v>3.326857142857142E-5</v>
      </c>
      <c r="I465" s="446">
        <f>VLOOKUP($D465,Energiindhold!$A$2:$C$10,3,FALSE)</f>
        <v>3.326857142857142E-5</v>
      </c>
      <c r="J465" s="446">
        <f>VLOOKUP($D465,Energiindhold!$A$2:$C$10,3,FALSE)</f>
        <v>3.326857142857142E-5</v>
      </c>
      <c r="K465" s="147"/>
    </row>
    <row r="466" spans="1:11" s="461" customFormat="1" x14ac:dyDescent="0.25">
      <c r="A466" s="188" t="s">
        <v>410</v>
      </c>
      <c r="B466" s="182"/>
      <c r="C466" s="182"/>
      <c r="D466" s="150" t="s">
        <v>881</v>
      </c>
      <c r="E466" s="446" t="str">
        <f>IFERROR(VLOOKUP(D466,Table2[],2,FALSE),"")</f>
        <v>Ton</v>
      </c>
      <c r="F466" s="446" t="s">
        <v>411</v>
      </c>
      <c r="G466" s="446" t="str">
        <f>IFERROR(VLOOKUP(F466,Table2[],2,FALSE),"")</f>
        <v>PJ</v>
      </c>
      <c r="H466" s="446">
        <f>VLOOKUP($D466,Energiindhold!$A$2:$C$10,3,FALSE)</f>
        <v>8.9614285714285689E-6</v>
      </c>
      <c r="I466" s="446">
        <f>VLOOKUP($D466,Energiindhold!$A$2:$C$10,3,FALSE)</f>
        <v>8.9614285714285689E-6</v>
      </c>
      <c r="J466" s="446">
        <f>VLOOKUP($D466,Energiindhold!$A$2:$C$10,3,FALSE)</f>
        <v>8.9614285714285689E-6</v>
      </c>
      <c r="K466" s="147"/>
    </row>
    <row r="467" spans="1:11" ht="15.75" thickBot="1" x14ac:dyDescent="0.3">
      <c r="A467" s="189" t="s">
        <v>410</v>
      </c>
      <c r="B467" s="183"/>
      <c r="C467" s="183"/>
      <c r="D467" s="148" t="s">
        <v>312</v>
      </c>
      <c r="E467" s="148" t="str">
        <f>IFERROR(VLOOKUP(D467,Table2[],2,FALSE),"")</f>
        <v>Nm3 CH4</v>
      </c>
      <c r="F467" s="148" t="s">
        <v>411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7" t="s">
        <v>658</v>
      </c>
      <c r="B468" s="181"/>
      <c r="C468" s="181"/>
      <c r="D468" s="144" t="s">
        <v>13</v>
      </c>
      <c r="E468" s="144" t="str">
        <f>IFERROR(VLOOKUP(D468,Table2[],2,FALSE),"")</f>
        <v>Ton</v>
      </c>
      <c r="F468" s="144" t="s">
        <v>657</v>
      </c>
      <c r="G468" s="144" t="str">
        <f>IFERROR(VLOOKUP(F468,Table2[],2,FALSE),"")</f>
        <v>Ton</v>
      </c>
      <c r="H468" s="177">
        <f>'Procesdata (baggrund)'!E3</f>
        <v>0.16717139181723129</v>
      </c>
      <c r="I468" s="177">
        <f t="shared" ref="I468:J470" si="13">H468</f>
        <v>0.16717139181723129</v>
      </c>
      <c r="J468" s="177">
        <f t="shared" si="13"/>
        <v>0.16717139181723129</v>
      </c>
      <c r="K468" s="145"/>
    </row>
    <row r="469" spans="1:11" x14ac:dyDescent="0.25">
      <c r="A469" s="188" t="s">
        <v>658</v>
      </c>
      <c r="B469" s="182"/>
      <c r="C469" s="182"/>
      <c r="D469" s="146" t="s">
        <v>13</v>
      </c>
      <c r="E469" s="146" t="str">
        <f>IFERROR(VLOOKUP(D469,Table2[],2,FALSE),"")</f>
        <v>Ton</v>
      </c>
      <c r="F469" s="146" t="s">
        <v>659</v>
      </c>
      <c r="G469" s="146" t="str">
        <f>IFERROR(VLOOKUP(F469,Table2[],2,FALSE),"")</f>
        <v>Ton</v>
      </c>
      <c r="H469" s="169">
        <f>'Procesdata (baggrund)'!E4</f>
        <v>0.34417639491782914</v>
      </c>
      <c r="I469" s="169">
        <f t="shared" si="13"/>
        <v>0.34417639491782914</v>
      </c>
      <c r="J469" s="169">
        <f t="shared" si="13"/>
        <v>0.34417639491782914</v>
      </c>
      <c r="K469" s="147"/>
    </row>
    <row r="470" spans="1:11" ht="15.75" thickBot="1" x14ac:dyDescent="0.3">
      <c r="A470" s="189" t="s">
        <v>658</v>
      </c>
      <c r="B470" s="183"/>
      <c r="C470" s="183"/>
      <c r="D470" s="148" t="s">
        <v>13</v>
      </c>
      <c r="E470" s="148" t="str">
        <f>IFERROR(VLOOKUP(D470,Table2[],2,FALSE),"")</f>
        <v>Ton</v>
      </c>
      <c r="F470" s="148" t="s">
        <v>663</v>
      </c>
      <c r="G470" s="148" t="str">
        <f>IFERROR(VLOOKUP(F470,Table2[],2,FALSE),"")</f>
        <v>PJ</v>
      </c>
      <c r="H470" s="178">
        <f>'Procesdata (baggrund)'!E5</f>
        <v>0.48865221326493952</v>
      </c>
      <c r="I470" s="178">
        <f t="shared" si="13"/>
        <v>0.48865221326493952</v>
      </c>
      <c r="J470" s="178">
        <f t="shared" si="13"/>
        <v>0.48865221326493952</v>
      </c>
      <c r="K470" s="149"/>
    </row>
    <row r="471" spans="1:11" ht="15.75" thickTop="1" x14ac:dyDescent="0.25">
      <c r="A471" s="187" t="s">
        <v>724</v>
      </c>
      <c r="B471" s="181"/>
      <c r="C471" s="181"/>
      <c r="D471" s="144" t="s">
        <v>177</v>
      </c>
      <c r="E471" s="144" t="str">
        <f>IFERROR(VLOOKUP(D471,Table2[],2,FALSE),"")</f>
        <v>Ton</v>
      </c>
      <c r="F471" s="144" t="s">
        <v>722</v>
      </c>
      <c r="G471" s="144" t="str">
        <f>IFERROR(VLOOKUP(F471,Table2[],2,FALSE),"")</f>
        <v>Ton</v>
      </c>
      <c r="H471" s="177">
        <v>0.5</v>
      </c>
      <c r="I471" s="177">
        <f t="shared" ref="I471:I475" si="14">H471</f>
        <v>0.5</v>
      </c>
      <c r="J471" s="177">
        <f t="shared" ref="J471:J475" si="15">I471</f>
        <v>0.5</v>
      </c>
      <c r="K471" s="145"/>
    </row>
    <row r="472" spans="1:11" ht="15.75" thickBot="1" x14ac:dyDescent="0.3">
      <c r="A472" s="189" t="s">
        <v>724</v>
      </c>
      <c r="B472" s="183"/>
      <c r="C472" s="183"/>
      <c r="D472" s="148" t="s">
        <v>177</v>
      </c>
      <c r="E472" s="148" t="str">
        <f>IFERROR(VLOOKUP(D472,Table2[],2,FALSE),"")</f>
        <v>Ton</v>
      </c>
      <c r="F472" s="148" t="s">
        <v>723</v>
      </c>
      <c r="G472" s="148" t="str">
        <f>IFERROR(VLOOKUP(F472,Table2[],2,FALSE),"")</f>
        <v>Ton</v>
      </c>
      <c r="H472" s="178">
        <v>0.32</v>
      </c>
      <c r="I472" s="178">
        <f t="shared" si="14"/>
        <v>0.32</v>
      </c>
      <c r="J472" s="178">
        <f t="shared" si="15"/>
        <v>0.32</v>
      </c>
      <c r="K472" s="149"/>
    </row>
    <row r="473" spans="1:11" ht="15.75" thickTop="1" x14ac:dyDescent="0.25">
      <c r="A473" s="187" t="s">
        <v>879</v>
      </c>
      <c r="B473" s="181"/>
      <c r="C473" s="181"/>
      <c r="D473" s="144" t="s">
        <v>37</v>
      </c>
      <c r="E473" s="144" t="str">
        <f>IFERROR(VLOOKUP(D473,Table2[],2,FALSE),"")</f>
        <v>Ton</v>
      </c>
      <c r="F473" s="144" t="s">
        <v>346</v>
      </c>
      <c r="G473" s="144" t="str">
        <f>IFERROR(VLOOKUP(F473,Table2[],2,FALSE),"")</f>
        <v>t CO2-ækvivalenter</v>
      </c>
      <c r="H473" s="177">
        <f>'Procesdata (baggrund)'!B15</f>
        <v>-0.65266666666666662</v>
      </c>
      <c r="I473" s="177">
        <f t="shared" si="14"/>
        <v>-0.65266666666666662</v>
      </c>
      <c r="J473" s="177">
        <f t="shared" si="15"/>
        <v>-0.65266666666666662</v>
      </c>
      <c r="K473" s="145"/>
    </row>
    <row r="474" spans="1:11" x14ac:dyDescent="0.25">
      <c r="A474" s="188" t="s">
        <v>879</v>
      </c>
      <c r="B474" s="182"/>
      <c r="C474" s="182"/>
      <c r="D474" s="446" t="s">
        <v>37</v>
      </c>
      <c r="E474" s="446" t="str">
        <f>IFERROR(VLOOKUP(D474,Table2[],2,FALSE),"")</f>
        <v>Ton</v>
      </c>
      <c r="F474" s="150" t="s">
        <v>893</v>
      </c>
      <c r="G474" s="446" t="str">
        <f>IFERROR(VLOOKUP(F474,Table2[],2,FALSE),"")</f>
        <v>Ton</v>
      </c>
      <c r="H474" s="169">
        <f>'Procesdata (baggrund)'!B16</f>
        <v>0.14000000000000001</v>
      </c>
      <c r="I474" s="169">
        <f t="shared" si="14"/>
        <v>0.14000000000000001</v>
      </c>
      <c r="J474" s="169">
        <f t="shared" si="15"/>
        <v>0.14000000000000001</v>
      </c>
      <c r="K474" s="147"/>
    </row>
    <row r="475" spans="1:11" ht="15.75" thickBot="1" x14ac:dyDescent="0.3">
      <c r="A475" s="189" t="s">
        <v>879</v>
      </c>
      <c r="B475" s="183"/>
      <c r="C475" s="183"/>
      <c r="D475" s="148" t="s">
        <v>37</v>
      </c>
      <c r="E475" s="148" t="str">
        <f>IFERROR(VLOOKUP(D475,Table2[],2,FALSE),"")</f>
        <v>Ton</v>
      </c>
      <c r="F475" s="148" t="s">
        <v>881</v>
      </c>
      <c r="G475" s="148" t="str">
        <f>IFERROR(VLOOKUP(F475,Table2[],2,FALSE),"")</f>
        <v>Ton</v>
      </c>
      <c r="H475" s="178">
        <f>'Procesdata (baggrund)'!B17</f>
        <v>0.56000000000000005</v>
      </c>
      <c r="I475" s="178">
        <f t="shared" si="14"/>
        <v>0.56000000000000005</v>
      </c>
      <c r="J475" s="178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340</v>
      </c>
      <c r="B1" t="s">
        <v>790</v>
      </c>
      <c r="E1" s="146" t="s">
        <v>789</v>
      </c>
      <c r="F1" t="s">
        <v>315</v>
      </c>
      <c r="G1" t="s">
        <v>404</v>
      </c>
      <c r="H1" t="s">
        <v>428</v>
      </c>
    </row>
    <row r="2" spans="1:8" x14ac:dyDescent="0.25">
      <c r="A2" s="172" t="s">
        <v>29</v>
      </c>
      <c r="B2" s="172" t="s">
        <v>420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1" t="s">
        <v>22</v>
      </c>
      <c r="B3" s="172" t="s">
        <v>420</v>
      </c>
      <c r="E3" s="146" t="s">
        <v>355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2" t="s">
        <v>36</v>
      </c>
      <c r="B4" s="172" t="s">
        <v>429</v>
      </c>
      <c r="E4" t="s">
        <v>583</v>
      </c>
      <c r="F4" t="s">
        <v>62</v>
      </c>
      <c r="G4">
        <v>1</v>
      </c>
      <c r="H4" s="214" t="b">
        <f>IF(COUNTIF('Processer - data'!$D:$F,Table2[[#This Row],[Råvare]])&gt;0,TRUE,FALSE)</f>
        <v>1</v>
      </c>
    </row>
    <row r="5" spans="1:8" x14ac:dyDescent="0.25">
      <c r="A5" s="172" t="s">
        <v>352</v>
      </c>
      <c r="B5" s="172" t="s">
        <v>420</v>
      </c>
      <c r="E5" s="146" t="s">
        <v>356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2" t="s">
        <v>417</v>
      </c>
      <c r="B6" s="172" t="s">
        <v>431</v>
      </c>
      <c r="E6" t="s">
        <v>549</v>
      </c>
      <c r="F6" t="s">
        <v>62</v>
      </c>
      <c r="G6">
        <v>1</v>
      </c>
      <c r="H6" s="214" t="b">
        <f>IF(COUNTIF('Processer - data'!$D:$F,Table2[[#This Row],[Råvare]])&gt;0,TRUE,FALSE)</f>
        <v>1</v>
      </c>
    </row>
    <row r="7" spans="1:8" x14ac:dyDescent="0.25">
      <c r="A7" s="172" t="s">
        <v>306</v>
      </c>
      <c r="B7" s="172" t="s">
        <v>420</v>
      </c>
      <c r="E7" s="146" t="s">
        <v>357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3" t="s">
        <v>547</v>
      </c>
      <c r="B8" s="173" t="s">
        <v>420</v>
      </c>
      <c r="E8" s="146" t="s">
        <v>358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2" t="s">
        <v>303</v>
      </c>
      <c r="B9" s="172" t="s">
        <v>430</v>
      </c>
      <c r="E9" t="s">
        <v>551</v>
      </c>
      <c r="F9" t="s">
        <v>62</v>
      </c>
      <c r="G9">
        <v>1</v>
      </c>
      <c r="H9" s="214" t="b">
        <f>IF(COUNTIF('Processer - data'!$D:$F,Table2[[#This Row],[Råvare]])&gt;0,TRUE,FALSE)</f>
        <v>1</v>
      </c>
    </row>
    <row r="10" spans="1:8" x14ac:dyDescent="0.25">
      <c r="A10" s="172" t="s">
        <v>28</v>
      </c>
      <c r="B10" s="172" t="s">
        <v>420</v>
      </c>
      <c r="E10" s="146" t="s">
        <v>359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2" t="s">
        <v>351</v>
      </c>
      <c r="B11" s="172" t="s">
        <v>420</v>
      </c>
      <c r="E11" s="146" t="s">
        <v>360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2" t="s">
        <v>27</v>
      </c>
      <c r="B12" s="172" t="s">
        <v>420</v>
      </c>
      <c r="E12" s="146" t="s">
        <v>361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2" t="s">
        <v>26</v>
      </c>
      <c r="B13" s="172" t="s">
        <v>420</v>
      </c>
      <c r="E13" t="s">
        <v>550</v>
      </c>
      <c r="F13" t="s">
        <v>62</v>
      </c>
      <c r="G13">
        <v>1</v>
      </c>
      <c r="H13" s="214" t="b">
        <f>IF(COUNTIF('Processer - data'!$D:$F,Table2[[#This Row],[Råvare]])&gt;0,TRUE,FALSE)</f>
        <v>1</v>
      </c>
    </row>
    <row r="14" spans="1:8" x14ac:dyDescent="0.25">
      <c r="A14" s="173" t="s">
        <v>552</v>
      </c>
      <c r="B14" s="173" t="s">
        <v>420</v>
      </c>
      <c r="E14" s="146" t="s">
        <v>362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2" t="s">
        <v>304</v>
      </c>
      <c r="B15" s="172" t="s">
        <v>420</v>
      </c>
      <c r="E15" s="146" t="s">
        <v>363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2" t="s">
        <v>25</v>
      </c>
      <c r="B16" s="172" t="s">
        <v>420</v>
      </c>
      <c r="E16" s="146" t="s">
        <v>364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2" t="s">
        <v>353</v>
      </c>
      <c r="B17" s="172" t="s">
        <v>420</v>
      </c>
      <c r="E17" s="146" t="s">
        <v>365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2" t="s">
        <v>31</v>
      </c>
      <c r="B18" s="172" t="s">
        <v>420</v>
      </c>
      <c r="E18" t="s">
        <v>563</v>
      </c>
      <c r="F18" t="s">
        <v>62</v>
      </c>
      <c r="G18">
        <v>1</v>
      </c>
      <c r="H18" s="214" t="b">
        <f>IF(COUNTIF('Processer - data'!$D:$F,Table2[[#This Row],[Råvare]])&gt;0,TRUE,FALSE)</f>
        <v>1</v>
      </c>
    </row>
    <row r="19" spans="1:8" x14ac:dyDescent="0.25">
      <c r="A19" s="171" t="s">
        <v>34</v>
      </c>
      <c r="B19" s="173" t="s">
        <v>419</v>
      </c>
      <c r="E19" t="s">
        <v>564</v>
      </c>
      <c r="F19" t="s">
        <v>62</v>
      </c>
      <c r="G19">
        <v>1</v>
      </c>
      <c r="H19" s="214" t="b">
        <f>IF(COUNTIF('Processer - data'!$D:$F,Table2[[#This Row],[Råvare]])&gt;0,TRUE,FALSE)</f>
        <v>1</v>
      </c>
    </row>
    <row r="20" spans="1:8" x14ac:dyDescent="0.25">
      <c r="A20" s="171" t="s">
        <v>23</v>
      </c>
      <c r="B20" s="172" t="s">
        <v>420</v>
      </c>
      <c r="E20" t="s">
        <v>565</v>
      </c>
      <c r="F20" t="s">
        <v>62</v>
      </c>
      <c r="G20">
        <v>1</v>
      </c>
      <c r="H20" s="214" t="b">
        <f>IF(COUNTIF('Processer - data'!$D:$F,Table2[[#This Row],[Råvare]])&gt;0,TRUE,FALSE)</f>
        <v>1</v>
      </c>
    </row>
    <row r="21" spans="1:8" x14ac:dyDescent="0.25">
      <c r="A21" s="173" t="s">
        <v>548</v>
      </c>
      <c r="B21" s="173" t="s">
        <v>420</v>
      </c>
      <c r="E21" t="s">
        <v>566</v>
      </c>
      <c r="F21" t="s">
        <v>62</v>
      </c>
      <c r="G21">
        <v>1</v>
      </c>
      <c r="H21" s="214" t="b">
        <f>IF(COUNTIF('Processer - data'!$D:$F,Table2[[#This Row],[Råvare]])&gt;0,TRUE,FALSE)</f>
        <v>1</v>
      </c>
    </row>
    <row r="22" spans="1:8" x14ac:dyDescent="0.25">
      <c r="A22" s="172" t="s">
        <v>61</v>
      </c>
      <c r="B22" s="172" t="s">
        <v>420</v>
      </c>
      <c r="E22" t="s">
        <v>567</v>
      </c>
      <c r="F22" t="s">
        <v>62</v>
      </c>
      <c r="G22">
        <v>1</v>
      </c>
      <c r="H22" s="214" t="b">
        <f>IF(COUNTIF('Processer - data'!$D:$F,Table2[[#This Row],[Råvare]])&gt;0,TRUE,FALSE)</f>
        <v>1</v>
      </c>
    </row>
    <row r="23" spans="1:8" x14ac:dyDescent="0.25">
      <c r="A23" s="172" t="s">
        <v>32</v>
      </c>
      <c r="B23" s="172" t="s">
        <v>420</v>
      </c>
      <c r="E23" t="s">
        <v>568</v>
      </c>
      <c r="F23" t="s">
        <v>62</v>
      </c>
      <c r="G23">
        <v>1</v>
      </c>
      <c r="H23" s="214" t="b">
        <f>IF(COUNTIF('Processer - data'!$D:$F,Table2[[#This Row],[Råvare]])&gt;0,TRUE,FALSE)</f>
        <v>1</v>
      </c>
    </row>
    <row r="24" spans="1:8" x14ac:dyDescent="0.25">
      <c r="A24" s="173" t="s">
        <v>658</v>
      </c>
      <c r="B24" s="173" t="s">
        <v>671</v>
      </c>
      <c r="E24" t="s">
        <v>569</v>
      </c>
      <c r="F24" t="s">
        <v>62</v>
      </c>
      <c r="G24">
        <v>1</v>
      </c>
      <c r="H24" s="214" t="b">
        <f>IF(COUNTIF('Processer - data'!$D:$F,Table2[[#This Row],[Råvare]])&gt;0,TRUE,FALSE)</f>
        <v>1</v>
      </c>
    </row>
    <row r="25" spans="1:8" x14ac:dyDescent="0.25">
      <c r="A25" s="173" t="s">
        <v>879</v>
      </c>
      <c r="B25" s="173" t="s">
        <v>880</v>
      </c>
      <c r="E25" t="s">
        <v>570</v>
      </c>
      <c r="F25" t="s">
        <v>62</v>
      </c>
      <c r="G25">
        <v>1</v>
      </c>
      <c r="H25" s="214" t="b">
        <f>IF(COUNTIF('Processer - data'!$D:$F,Table2[[#This Row],[Råvare]])&gt;0,TRUE,FALSE)</f>
        <v>1</v>
      </c>
    </row>
    <row r="26" spans="1:8" x14ac:dyDescent="0.25">
      <c r="A26" s="173" t="s">
        <v>724</v>
      </c>
      <c r="B26" s="173" t="s">
        <v>419</v>
      </c>
      <c r="E26" t="s">
        <v>571</v>
      </c>
      <c r="F26" t="s">
        <v>62</v>
      </c>
      <c r="G26">
        <v>1</v>
      </c>
      <c r="H26" s="214" t="b">
        <f>IF(COUNTIF('Processer - data'!$D:$F,Table2[[#This Row],[Råvare]])&gt;0,TRUE,FALSE)</f>
        <v>1</v>
      </c>
    </row>
    <row r="27" spans="1:8" x14ac:dyDescent="0.25">
      <c r="A27" s="208" t="s">
        <v>305</v>
      </c>
      <c r="B27" s="172" t="s">
        <v>420</v>
      </c>
      <c r="E27" t="s">
        <v>572</v>
      </c>
      <c r="F27" t="s">
        <v>62</v>
      </c>
      <c r="G27">
        <v>1</v>
      </c>
      <c r="H27" s="214" t="b">
        <f>IF(COUNTIF('Processer - data'!$D:$F,Table2[[#This Row],[Råvare]])&gt;0,TRUE,FALSE)</f>
        <v>1</v>
      </c>
    </row>
    <row r="28" spans="1:8" x14ac:dyDescent="0.25">
      <c r="A28" s="172" t="s">
        <v>30</v>
      </c>
      <c r="B28" s="172" t="s">
        <v>420</v>
      </c>
      <c r="E28" t="s">
        <v>573</v>
      </c>
      <c r="F28" t="s">
        <v>62</v>
      </c>
      <c r="G28">
        <v>1</v>
      </c>
      <c r="H28" s="214" t="b">
        <f>IF(COUNTIF('Processer - data'!$D:$F,Table2[[#This Row],[Råvare]])&gt;0,TRUE,FALSE)</f>
        <v>1</v>
      </c>
    </row>
    <row r="29" spans="1:8" x14ac:dyDescent="0.25">
      <c r="A29" s="173" t="s">
        <v>556</v>
      </c>
      <c r="B29" s="173" t="s">
        <v>420</v>
      </c>
      <c r="E29" t="s">
        <v>574</v>
      </c>
      <c r="F29" t="s">
        <v>62</v>
      </c>
      <c r="G29">
        <v>1</v>
      </c>
      <c r="H29" s="214" t="b">
        <f>IF(COUNTIF('Processer - data'!$D:$F,Table2[[#This Row],[Råvare]])&gt;0,TRUE,FALSE)</f>
        <v>1</v>
      </c>
    </row>
    <row r="30" spans="1:8" x14ac:dyDescent="0.25">
      <c r="A30" s="172" t="s">
        <v>35</v>
      </c>
      <c r="B30" s="172" t="s">
        <v>419</v>
      </c>
      <c r="E30" t="s">
        <v>575</v>
      </c>
      <c r="F30" t="s">
        <v>62</v>
      </c>
      <c r="G30">
        <v>1</v>
      </c>
      <c r="H30" s="214" t="b">
        <f>IF(COUNTIF('Processer - data'!$D:$F,Table2[[#This Row],[Råvare]])&gt;0,TRUE,FALSE)</f>
        <v>1</v>
      </c>
    </row>
    <row r="31" spans="1:8" x14ac:dyDescent="0.25">
      <c r="A31" s="172" t="s">
        <v>21</v>
      </c>
      <c r="B31" s="172" t="s">
        <v>420</v>
      </c>
      <c r="E31" t="s">
        <v>576</v>
      </c>
      <c r="F31" t="s">
        <v>62</v>
      </c>
      <c r="G31">
        <v>1</v>
      </c>
      <c r="H31" s="214" t="b">
        <f>IF(COUNTIF('Processer - data'!$D:$F,Table2[[#This Row],[Råvare]])&gt;0,TRUE,FALSE)</f>
        <v>1</v>
      </c>
    </row>
    <row r="32" spans="1:8" x14ac:dyDescent="0.25">
      <c r="A32" s="171" t="s">
        <v>24</v>
      </c>
      <c r="B32" s="172" t="s">
        <v>420</v>
      </c>
      <c r="E32" t="s">
        <v>577</v>
      </c>
      <c r="F32" t="s">
        <v>62</v>
      </c>
      <c r="G32">
        <v>1</v>
      </c>
      <c r="H32" s="214" t="b">
        <f>IF(COUNTIF('Processer - data'!$D:$F,Table2[[#This Row],[Råvare]])&gt;0,TRUE,FALSE)</f>
        <v>1</v>
      </c>
    </row>
    <row r="33" spans="1:8" x14ac:dyDescent="0.25">
      <c r="A33" s="173" t="s">
        <v>410</v>
      </c>
      <c r="B33" s="172" t="s">
        <v>421</v>
      </c>
      <c r="E33" t="s">
        <v>578</v>
      </c>
      <c r="F33" t="s">
        <v>62</v>
      </c>
      <c r="G33">
        <v>1</v>
      </c>
      <c r="H33" s="214" t="b">
        <f>IF(COUNTIF('Processer - data'!$D:$F,Table2[[#This Row],[Råvare]])&gt;0,TRUE,FALSE)</f>
        <v>1</v>
      </c>
    </row>
    <row r="34" spans="1:8" x14ac:dyDescent="0.25">
      <c r="A34" s="172" t="s">
        <v>33</v>
      </c>
      <c r="B34" s="172" t="s">
        <v>419</v>
      </c>
      <c r="E34" t="s">
        <v>579</v>
      </c>
      <c r="F34" t="s">
        <v>62</v>
      </c>
      <c r="G34">
        <v>1</v>
      </c>
      <c r="H34" s="214" t="b">
        <f>IF(COUNTIF('Processer - data'!$D:$F,Table2[[#This Row],[Råvare]])&gt;0,TRUE,FALSE)</f>
        <v>1</v>
      </c>
    </row>
    <row r="35" spans="1:8" x14ac:dyDescent="0.25">
      <c r="E35" t="s">
        <v>580</v>
      </c>
      <c r="F35" t="s">
        <v>62</v>
      </c>
      <c r="G35">
        <v>1</v>
      </c>
      <c r="H35" s="214" t="b">
        <f>IF(COUNTIF('Processer - data'!$D:$F,Table2[[#This Row],[Råvare]])&gt;0,TRUE,FALSE)</f>
        <v>1</v>
      </c>
    </row>
    <row r="36" spans="1:8" x14ac:dyDescent="0.25">
      <c r="E36" t="s">
        <v>581</v>
      </c>
      <c r="F36" t="s">
        <v>62</v>
      </c>
      <c r="G36">
        <v>1</v>
      </c>
      <c r="H36" s="214" t="b">
        <f>IF(COUNTIF('Processer - data'!$D:$F,Table2[[#This Row],[Råvare]])&gt;0,TRUE,FALSE)</f>
        <v>1</v>
      </c>
    </row>
    <row r="37" spans="1:8" x14ac:dyDescent="0.25">
      <c r="E37" t="s">
        <v>582</v>
      </c>
      <c r="F37" t="s">
        <v>62</v>
      </c>
      <c r="G37">
        <v>1</v>
      </c>
      <c r="H37" s="214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433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663</v>
      </c>
      <c r="F43" t="s">
        <v>412</v>
      </c>
      <c r="H43" s="214" t="b">
        <f>IF(COUNTIF('Processer - data'!$D:$F,Table2[[#This Row],[Råvare]])&gt;0,TRUE,FALSE)</f>
        <v>1</v>
      </c>
    </row>
    <row r="44" spans="1:8" x14ac:dyDescent="0.25">
      <c r="E44" t="s">
        <v>346</v>
      </c>
      <c r="F44" t="s">
        <v>347</v>
      </c>
      <c r="H44" s="461" t="b">
        <f>IF(COUNTIF('Processer - data'!$D:$F,Table2[[#This Row],[Råvare]])&gt;0,TRUE,FALSE)</f>
        <v>1</v>
      </c>
    </row>
    <row r="45" spans="1:8" x14ac:dyDescent="0.25">
      <c r="E45" s="446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61" t="s">
        <v>411</v>
      </c>
      <c r="F46" t="s">
        <v>412</v>
      </c>
      <c r="H46" t="b">
        <f>IF(COUNTIF('Processer - data'!$D:$F,Table2[[#This Row],[Råvare]])&gt;0,TRUE,FALSE)</f>
        <v>1</v>
      </c>
    </row>
    <row r="47" spans="1:8" x14ac:dyDescent="0.25">
      <c r="E47" t="s">
        <v>659</v>
      </c>
      <c r="F47" t="s">
        <v>317</v>
      </c>
      <c r="H47" s="214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61" t="b">
        <f>IF(COUNTIF('Processer - data'!$D:$F,Table2[[#This Row],[Råvare]])&gt;0,TRUE,FALSE)</f>
        <v>1</v>
      </c>
    </row>
    <row r="49" spans="5:8" x14ac:dyDescent="0.25">
      <c r="E49" t="s">
        <v>502</v>
      </c>
      <c r="F49" t="s">
        <v>317</v>
      </c>
      <c r="H49" s="214" t="b">
        <f>IF(COUNTIF('Processer - data'!$D:$F,Table2[[#This Row],[Råvare]])&gt;0,TRUE,FALSE)</f>
        <v>1</v>
      </c>
    </row>
    <row r="50" spans="5:8" x14ac:dyDescent="0.25">
      <c r="E50" t="s">
        <v>367</v>
      </c>
      <c r="F50" t="s">
        <v>317</v>
      </c>
      <c r="H50" s="461" t="b">
        <f>IF(COUNTIF('Processer - data'!$D:$F,Table2[[#This Row],[Råvare]])&gt;0,TRUE,FALSE)</f>
        <v>1</v>
      </c>
    </row>
    <row r="51" spans="5:8" x14ac:dyDescent="0.25">
      <c r="E51" t="s">
        <v>418</v>
      </c>
      <c r="F51" t="s">
        <v>345</v>
      </c>
      <c r="H51" t="b">
        <f>IF(COUNTIF('Processer - data'!$D:$F,Table2[[#This Row],[Råvare]])&gt;0,TRUE,FALSE)</f>
        <v>1</v>
      </c>
    </row>
    <row r="52" spans="5:8" x14ac:dyDescent="0.25">
      <c r="E52" s="446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61" t="s">
        <v>153</v>
      </c>
      <c r="F53" t="s">
        <v>317</v>
      </c>
      <c r="H53" s="214" t="b">
        <f>IF(COUNTIF('Processer - data'!$D:$F,Table2[[#This Row],[Råvare]])&gt;0,TRUE,FALSE)</f>
        <v>1</v>
      </c>
    </row>
    <row r="54" spans="5:8" x14ac:dyDescent="0.25">
      <c r="E54" t="s">
        <v>521</v>
      </c>
      <c r="F54" t="s">
        <v>317</v>
      </c>
      <c r="H54" s="214" t="b">
        <f>IF(COUNTIF('Processer - data'!$D:$F,Table2[[#This Row],[Råvare]])&gt;0,TRUE,FALSE)</f>
        <v>1</v>
      </c>
    </row>
    <row r="55" spans="5:8" x14ac:dyDescent="0.25">
      <c r="E55" s="446" t="s">
        <v>303</v>
      </c>
      <c r="F55" t="s">
        <v>422</v>
      </c>
      <c r="H55" s="461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61" t="s">
        <v>657</v>
      </c>
      <c r="F57" t="s">
        <v>317</v>
      </c>
      <c r="H57" s="214" t="b">
        <f>IF(COUNTIF('Processer - data'!$D:$F,Table2[[#This Row],[Råvare]])&gt;0,TRUE,FALSE)</f>
        <v>1</v>
      </c>
    </row>
    <row r="58" spans="5:8" x14ac:dyDescent="0.25">
      <c r="E58" s="446" t="s">
        <v>12</v>
      </c>
      <c r="F58" t="s">
        <v>317</v>
      </c>
      <c r="H58" s="461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61" t="s">
        <v>529</v>
      </c>
      <c r="F60" t="s">
        <v>317</v>
      </c>
      <c r="H60" s="214" t="b">
        <f>IF(COUNTIF('Processer - data'!$D:$F,Table2[[#This Row],[Råvare]])&gt;0,TRUE,FALSE)</f>
        <v>1</v>
      </c>
    </row>
    <row r="61" spans="5:8" x14ac:dyDescent="0.25">
      <c r="E61" t="s">
        <v>499</v>
      </c>
      <c r="F61" t="s">
        <v>317</v>
      </c>
      <c r="H61" s="214" t="b">
        <f>IF(COUNTIF('Processer - data'!$D:$F,Table2[[#This Row],[Råvare]])&gt;0,TRUE,FALSE)</f>
        <v>1</v>
      </c>
    </row>
    <row r="62" spans="5:8" x14ac:dyDescent="0.25">
      <c r="E62" s="446" t="s">
        <v>41</v>
      </c>
      <c r="F62" t="s">
        <v>317</v>
      </c>
      <c r="H62" s="461" t="b">
        <f>IF(COUNTIF('Processer - data'!$D:$F,Table2[[#This Row],[Råvare]])&gt;0,TRUE,FALSE)</f>
        <v>1</v>
      </c>
    </row>
    <row r="63" spans="5:8" x14ac:dyDescent="0.25">
      <c r="E63" s="461" t="s">
        <v>148</v>
      </c>
      <c r="F63" t="s">
        <v>317</v>
      </c>
      <c r="H63" s="214" t="b">
        <f>IF(COUNTIF('Processer - data'!$D:$F,Table2[[#This Row],[Råvare]])&gt;0,TRUE,FALSE)</f>
        <v>1</v>
      </c>
    </row>
    <row r="64" spans="5:8" x14ac:dyDescent="0.25">
      <c r="E64" s="446" t="s">
        <v>188</v>
      </c>
      <c r="F64" t="s">
        <v>317</v>
      </c>
      <c r="H64" s="461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61" t="s">
        <v>501</v>
      </c>
      <c r="F68" t="s">
        <v>317</v>
      </c>
      <c r="H68" s="214" t="b">
        <f>IF(COUNTIF('Processer - data'!$D:$F,Table2[[#This Row],[Råvare]])&gt;0,TRUE,FALSE)</f>
        <v>1</v>
      </c>
    </row>
    <row r="69" spans="5:8" x14ac:dyDescent="0.25">
      <c r="E69" t="s">
        <v>432</v>
      </c>
      <c r="F69" t="s">
        <v>317</v>
      </c>
      <c r="H69" s="214" t="b">
        <f>IF(COUNTIF('Processer - data'!$D:$F,Table2[[#This Row],[Råvare]])&gt;0,TRUE,FALSE)</f>
        <v>1</v>
      </c>
    </row>
    <row r="70" spans="5:8" x14ac:dyDescent="0.25">
      <c r="E70" s="446" t="s">
        <v>15</v>
      </c>
      <c r="F70" t="s">
        <v>317</v>
      </c>
      <c r="H70" s="461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61" t="s">
        <v>146</v>
      </c>
      <c r="F75" t="s">
        <v>317</v>
      </c>
      <c r="H75" s="214" t="b">
        <f>IF(COUNTIF('Processer - data'!$D:$F,Table2[[#This Row],[Råvare]])&gt;0,TRUE,FALSE)</f>
        <v>1</v>
      </c>
    </row>
    <row r="76" spans="5:8" x14ac:dyDescent="0.25">
      <c r="E76" s="446" t="s">
        <v>341</v>
      </c>
      <c r="F76" t="s">
        <v>317</v>
      </c>
      <c r="H76" s="461" t="b">
        <f>IF(COUNTIF('Processer - data'!$D:$F,Table2[[#This Row],[Råvare]])&gt;0,TRUE,FALSE)</f>
        <v>1</v>
      </c>
    </row>
    <row r="77" spans="5:8" x14ac:dyDescent="0.25">
      <c r="E77" s="461" t="s">
        <v>881</v>
      </c>
      <c r="F77" t="s">
        <v>317</v>
      </c>
      <c r="H77" s="214" t="b">
        <f>IF(COUNTIF('Processer - data'!$D:$F,Table2[[#This Row],[Råvare]])&gt;0,TRUE,FALSE)</f>
        <v>1</v>
      </c>
    </row>
    <row r="78" spans="5:8" x14ac:dyDescent="0.25">
      <c r="E78" s="461" t="s">
        <v>893</v>
      </c>
      <c r="F78" t="s">
        <v>317</v>
      </c>
      <c r="H78" s="214" t="b">
        <f>IF(COUNTIF('Processer - data'!$D:$F,Table2[[#This Row],[Råvare]])&gt;0,TRUE,FALSE)</f>
        <v>1</v>
      </c>
    </row>
    <row r="79" spans="5:8" x14ac:dyDescent="0.25">
      <c r="E79" s="446" t="s">
        <v>302</v>
      </c>
      <c r="F79" t="s">
        <v>317</v>
      </c>
      <c r="H79" s="461" t="b">
        <f>IF(COUNTIF('Processer - data'!$D:$F,Table2[[#This Row],[Råvare]])&gt;0,TRUE,FALSE)</f>
        <v>1</v>
      </c>
    </row>
    <row r="80" spans="5:8" x14ac:dyDescent="0.25">
      <c r="E80" s="446" t="s">
        <v>177</v>
      </c>
      <c r="F80" t="s">
        <v>317</v>
      </c>
      <c r="H80" s="461" t="b">
        <f>IF(COUNTIF('Processer - data'!$D:$F,Table2[[#This Row],[Råvare]])&gt;0,TRUE,FALSE)</f>
        <v>1</v>
      </c>
    </row>
    <row r="81" spans="5:8" x14ac:dyDescent="0.25">
      <c r="E81" s="461" t="s">
        <v>722</v>
      </c>
      <c r="F81" t="s">
        <v>317</v>
      </c>
      <c r="H81" s="214" t="b">
        <f>IF(COUNTIF('Processer - data'!$D:$F,Table2[[#This Row],[Råvare]])&gt;0,TRUE,FALSE)</f>
        <v>1</v>
      </c>
    </row>
    <row r="82" spans="5:8" x14ac:dyDescent="0.25">
      <c r="E82" s="461" t="s">
        <v>723</v>
      </c>
      <c r="F82" t="s">
        <v>317</v>
      </c>
      <c r="H82" s="214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6" t="s">
        <v>366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6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61" t="s">
        <v>427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61" t="s">
        <v>426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504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500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6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6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61" t="s">
        <v>354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61" t="s">
        <v>407</v>
      </c>
      <c r="F96" t="s">
        <v>627</v>
      </c>
      <c r="H96" t="b">
        <f>IF(COUNTIF('Processer - data'!$D:$F,Table2[[#This Row],[Råvare]])&gt;0,TRUE,FALSE)</f>
        <v>1</v>
      </c>
    </row>
    <row r="97" spans="5:8" x14ac:dyDescent="0.25">
      <c r="E97" s="446" t="s">
        <v>555</v>
      </c>
      <c r="F97" t="s">
        <v>627</v>
      </c>
      <c r="H97" s="461" t="b">
        <f>IF(COUNTIF('Processer - data'!$D:$F,Table2[[#This Row],[Råvare]])&gt;0,TRUE,FALSE)</f>
        <v>1</v>
      </c>
    </row>
    <row r="98" spans="5:8" x14ac:dyDescent="0.25">
      <c r="E98" s="446" t="s">
        <v>308</v>
      </c>
      <c r="F98" t="s">
        <v>627</v>
      </c>
      <c r="H98" s="461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1.5703125" style="1" bestFit="1" customWidth="1"/>
    <col min="10" max="16384" width="9.140625" style="1"/>
  </cols>
  <sheetData>
    <row r="1" spans="1:9" x14ac:dyDescent="0.25">
      <c r="A1" s="2" t="s">
        <v>668</v>
      </c>
    </row>
    <row r="2" spans="1:9" x14ac:dyDescent="0.25">
      <c r="A2" s="8"/>
      <c r="B2" s="8"/>
      <c r="C2" s="8" t="s">
        <v>503</v>
      </c>
      <c r="D2" s="8" t="s">
        <v>664</v>
      </c>
      <c r="E2" s="8" t="s">
        <v>666</v>
      </c>
      <c r="F2" s="8" t="s">
        <v>665</v>
      </c>
      <c r="G2" s="8" t="s">
        <v>667</v>
      </c>
      <c r="H2" s="1" t="s">
        <v>670</v>
      </c>
      <c r="I2" s="1" t="s">
        <v>815</v>
      </c>
    </row>
    <row r="3" spans="1:9" x14ac:dyDescent="0.25">
      <c r="A3" s="8" t="s">
        <v>442</v>
      </c>
      <c r="B3" s="328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662</v>
      </c>
      <c r="B4" s="328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663</v>
      </c>
      <c r="B5" s="329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669</v>
      </c>
    </row>
    <row r="9" spans="1:9" x14ac:dyDescent="0.25">
      <c r="A9" s="2" t="s">
        <v>781</v>
      </c>
    </row>
    <row r="10" spans="1:9" x14ac:dyDescent="0.25">
      <c r="A10" s="8" t="s">
        <v>763</v>
      </c>
      <c r="B10" s="8">
        <f>B11/B12</f>
        <v>0.30562345796166263</v>
      </c>
    </row>
    <row r="11" spans="1:9" x14ac:dyDescent="0.25">
      <c r="A11" s="8" t="s">
        <v>765</v>
      </c>
      <c r="B11" s="8">
        <f>(1582.7+27.63)*1000000</f>
        <v>1610330000.0000002</v>
      </c>
    </row>
    <row r="12" spans="1:9" x14ac:dyDescent="0.25">
      <c r="A12" s="8" t="s">
        <v>782</v>
      </c>
      <c r="B12" s="8">
        <f>4786000000+483000000</f>
        <v>5269000000</v>
      </c>
    </row>
    <row r="14" spans="1:9" x14ac:dyDescent="0.25">
      <c r="A14" s="2" t="s">
        <v>879</v>
      </c>
    </row>
    <row r="15" spans="1:9" x14ac:dyDescent="0.25">
      <c r="A15" s="483" t="s">
        <v>882</v>
      </c>
      <c r="B15" s="483">
        <f>H22</f>
        <v>-0.65266666666666662</v>
      </c>
      <c r="C15" s="483" t="s">
        <v>891</v>
      </c>
    </row>
    <row r="16" spans="1:9" x14ac:dyDescent="0.25">
      <c r="A16" s="483" t="s">
        <v>893</v>
      </c>
      <c r="B16" s="483">
        <f>B23/1000</f>
        <v>0.14000000000000001</v>
      </c>
      <c r="C16" s="483" t="s">
        <v>892</v>
      </c>
    </row>
    <row r="17" spans="1:12" x14ac:dyDescent="0.25">
      <c r="A17" s="483" t="s">
        <v>881</v>
      </c>
      <c r="B17" s="483">
        <f>B24/1000</f>
        <v>0.56000000000000005</v>
      </c>
      <c r="C17" s="483" t="s">
        <v>892</v>
      </c>
    </row>
    <row r="19" spans="1:12" ht="15.75" thickBot="1" x14ac:dyDescent="0.3">
      <c r="A19" s="461" t="s">
        <v>883</v>
      </c>
      <c r="B19" s="461"/>
      <c r="C19" s="461"/>
      <c r="D19" s="461"/>
      <c r="E19" s="461"/>
      <c r="F19" s="461"/>
      <c r="G19" s="461"/>
      <c r="H19" s="461" t="s">
        <v>896</v>
      </c>
      <c r="I19" s="461"/>
      <c r="J19" s="461"/>
      <c r="K19" s="461"/>
      <c r="L19" s="461"/>
    </row>
    <row r="20" spans="1:12" ht="15.75" thickBot="1" x14ac:dyDescent="0.3">
      <c r="A20" s="474"/>
      <c r="B20" s="474" t="s">
        <v>884</v>
      </c>
      <c r="C20" s="475"/>
      <c r="D20" s="474" t="s">
        <v>412</v>
      </c>
      <c r="E20" s="475"/>
      <c r="F20" s="159" t="s">
        <v>885</v>
      </c>
      <c r="G20" s="159"/>
      <c r="H20" s="486" t="s">
        <v>886</v>
      </c>
      <c r="I20" s="486" t="s">
        <v>816</v>
      </c>
      <c r="J20" s="486"/>
      <c r="K20" s="484" t="s">
        <v>887</v>
      </c>
      <c r="L20" s="484" t="s">
        <v>888</v>
      </c>
    </row>
    <row r="21" spans="1:12" x14ac:dyDescent="0.25">
      <c r="A21" s="477" t="s">
        <v>37</v>
      </c>
      <c r="B21" s="477">
        <v>1000</v>
      </c>
      <c r="C21" s="478">
        <v>1</v>
      </c>
      <c r="D21" s="477">
        <f>16.4/1000000</f>
        <v>1.6399999999999999E-5</v>
      </c>
      <c r="E21" s="478">
        <v>1</v>
      </c>
      <c r="F21" s="477">
        <v>420</v>
      </c>
      <c r="G21" s="479"/>
      <c r="H21" s="486"/>
      <c r="I21" s="486"/>
      <c r="J21" s="486"/>
      <c r="K21" s="484" t="s">
        <v>889</v>
      </c>
      <c r="L21" s="484">
        <v>12</v>
      </c>
    </row>
    <row r="22" spans="1:12" x14ac:dyDescent="0.25">
      <c r="A22" s="476" t="s">
        <v>346</v>
      </c>
      <c r="B22" s="476">
        <v>300</v>
      </c>
      <c r="C22" s="480">
        <v>0.3</v>
      </c>
      <c r="D22" s="476">
        <f>$D$21*E22</f>
        <v>6.740399999999999E-6</v>
      </c>
      <c r="E22" s="481">
        <v>0.41099999999999998</v>
      </c>
      <c r="F22" s="476">
        <v>178</v>
      </c>
      <c r="G22" s="482">
        <v>0.42</v>
      </c>
      <c r="H22" s="486">
        <f>-(F22*(2*L22/L21)+F22)/1000</f>
        <v>-0.65266666666666662</v>
      </c>
      <c r="I22" s="486">
        <f>D22/(B22/1000)</f>
        <v>2.2467999999999999E-5</v>
      </c>
      <c r="J22" s="486"/>
      <c r="K22" s="484" t="s">
        <v>890</v>
      </c>
      <c r="L22" s="484">
        <v>16</v>
      </c>
    </row>
    <row r="23" spans="1:12" x14ac:dyDescent="0.25">
      <c r="A23" s="476" t="s">
        <v>893</v>
      </c>
      <c r="B23" s="476">
        <v>140</v>
      </c>
      <c r="C23" s="480">
        <v>0.14000000000000001</v>
      </c>
      <c r="D23" s="476">
        <f t="shared" ref="D23:D24" si="0">$D$21*E23</f>
        <v>4.6575999999999992E-6</v>
      </c>
      <c r="E23" s="481">
        <v>0.28399999999999997</v>
      </c>
      <c r="F23" s="476">
        <v>98</v>
      </c>
      <c r="G23" s="482">
        <v>0.23</v>
      </c>
      <c r="H23" s="486"/>
      <c r="I23" s="486">
        <f t="shared" ref="I23:I24" si="1">D23/(B23/1000)</f>
        <v>3.326857142857142E-5</v>
      </c>
      <c r="J23" s="486"/>
      <c r="K23" s="484"/>
      <c r="L23" s="484"/>
    </row>
    <row r="24" spans="1:12" x14ac:dyDescent="0.25">
      <c r="A24" s="476" t="s">
        <v>881</v>
      </c>
      <c r="B24" s="476">
        <v>560</v>
      </c>
      <c r="C24" s="480">
        <v>0.56000000000000005</v>
      </c>
      <c r="D24" s="476">
        <f t="shared" si="0"/>
        <v>5.0183999999999993E-6</v>
      </c>
      <c r="E24" s="481">
        <v>0.30599999999999999</v>
      </c>
      <c r="F24" s="476">
        <v>144</v>
      </c>
      <c r="G24" s="482">
        <v>0.34</v>
      </c>
      <c r="H24" s="486"/>
      <c r="I24" s="486">
        <f t="shared" si="1"/>
        <v>8.9614285714285689E-6</v>
      </c>
      <c r="J24" s="486"/>
      <c r="K24" s="484"/>
      <c r="L24" s="484"/>
    </row>
    <row r="25" spans="1:12" x14ac:dyDescent="0.25">
      <c r="A25" s="1" t="s">
        <v>895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9" t="s">
        <v>791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792</v>
      </c>
      <c r="B3" s="415">
        <f>D23/C23</f>
        <v>0.77115679138975146</v>
      </c>
      <c r="C3" s="415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6" t="str">
        <f>Bebyg</f>
        <v>Bebyggelse &amp; infrastruktur</v>
      </c>
      <c r="B7" s="418">
        <f>SUM(D15:D17)/SUM($C15:$C17)</f>
        <v>0.69809884645309694</v>
      </c>
      <c r="C7" s="418">
        <f>SUM(E15:E17)/SUM($C15:$C17)</f>
        <v>0.30191806772436658</v>
      </c>
      <c r="D7" s="71"/>
      <c r="E7" s="71"/>
    </row>
    <row r="8" spans="1:5" x14ac:dyDescent="0.25">
      <c r="A8" s="416" t="str">
        <f>Afgrøder</f>
        <v>Landbrugsafgrøder</v>
      </c>
      <c r="B8" s="418">
        <f>D18/$C18</f>
        <v>0.77910074969845278</v>
      </c>
      <c r="C8" s="418">
        <f>E18/$C18</f>
        <v>0.22089925030154711</v>
      </c>
      <c r="D8" s="71"/>
      <c r="E8" s="71"/>
    </row>
    <row r="9" spans="1:5" x14ac:dyDescent="0.25">
      <c r="A9" s="416" t="str">
        <f>SkovAreal</f>
        <v>Skov</v>
      </c>
      <c r="B9" s="418">
        <f>D19/$C19</f>
        <v>0.77355804310298804</v>
      </c>
      <c r="C9" s="418">
        <f>E19/$C19</f>
        <v>0.22642416045274155</v>
      </c>
      <c r="D9" s="71"/>
      <c r="E9" s="71"/>
    </row>
    <row r="10" spans="1:5" x14ac:dyDescent="0.25">
      <c r="A10" s="416" t="str">
        <f>NaturAreal</f>
        <v>Natur</v>
      </c>
      <c r="B10" s="418">
        <f>SUM(D20:D21)/SUM($C20:$C21)</f>
        <v>0.82510044406851346</v>
      </c>
      <c r="C10" s="418">
        <f>SUM(E20:E21)/SUM($C20:$C21)</f>
        <v>0.17494184817086067</v>
      </c>
      <c r="D10" s="71"/>
      <c r="E10" s="71"/>
    </row>
    <row r="11" spans="1:5" ht="15.75" thickBot="1" x14ac:dyDescent="0.3">
      <c r="A11" s="417" t="str">
        <f>IKareal</f>
        <v>Ikke klassificeret</v>
      </c>
      <c r="B11" s="418">
        <f>D22/$C22</f>
        <v>0.70816884300030369</v>
      </c>
      <c r="C11" s="418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02" t="s">
        <v>58</v>
      </c>
      <c r="C10" s="502"/>
      <c r="D10" s="502"/>
      <c r="E10" s="502"/>
      <c r="F10" s="502"/>
      <c r="G10" s="503"/>
    </row>
    <row r="11" spans="1:7" x14ac:dyDescent="0.25">
      <c r="A11" s="37"/>
      <c r="B11" s="502" t="s">
        <v>65</v>
      </c>
      <c r="C11" s="502"/>
      <c r="D11" s="502"/>
      <c r="E11" s="502"/>
      <c r="F11" s="502"/>
      <c r="G11" s="503"/>
    </row>
    <row r="12" spans="1:7" ht="28.5" customHeight="1" x14ac:dyDescent="0.25">
      <c r="A12" s="38"/>
      <c r="B12" s="504" t="s">
        <v>59</v>
      </c>
      <c r="C12" s="504"/>
      <c r="D12" s="504"/>
      <c r="E12" s="504"/>
      <c r="F12" s="504"/>
      <c r="G12" s="505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498" t="s">
        <v>122</v>
      </c>
      <c r="B42" s="86" t="s">
        <v>121</v>
      </c>
      <c r="C42" s="500">
        <v>1.6</v>
      </c>
      <c r="D42" s="500">
        <v>1</v>
      </c>
      <c r="E42" s="500">
        <v>0.3</v>
      </c>
      <c r="F42" s="500">
        <v>0.3</v>
      </c>
      <c r="G42" s="500">
        <v>0</v>
      </c>
      <c r="H42" s="506">
        <v>5.9</v>
      </c>
      <c r="I42" s="508">
        <v>0</v>
      </c>
      <c r="J42" s="496">
        <v>12.2</v>
      </c>
    </row>
    <row r="43" spans="1:10" x14ac:dyDescent="0.25">
      <c r="A43" s="499"/>
      <c r="B43" s="84">
        <v>3.2</v>
      </c>
      <c r="C43" s="501"/>
      <c r="D43" s="501"/>
      <c r="E43" s="501"/>
      <c r="F43" s="501"/>
      <c r="G43" s="501"/>
      <c r="H43" s="507"/>
      <c r="I43" s="509"/>
      <c r="J43" s="497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2:9" x14ac:dyDescent="0.25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25">
      <c r="C11" s="73" t="s">
        <v>146</v>
      </c>
      <c r="D11" s="73">
        <f>SUMIF($D$20:$D$81,$C11,E$20:E$81)-D14</f>
        <v>71837</v>
      </c>
      <c r="E11" s="185">
        <f>L19-E14</f>
        <v>3222.8552811220056</v>
      </c>
      <c r="F11" s="185">
        <f>M19-F14</f>
        <v>10579.702246493733</v>
      </c>
      <c r="G11" s="185">
        <f>N19-G14</f>
        <v>17423.923544743702</v>
      </c>
      <c r="H11" s="185">
        <f>O19-H14</f>
        <v>22342.455380414547</v>
      </c>
      <c r="I11" s="185">
        <f>P19-I14</f>
        <v>18261.063547226015</v>
      </c>
    </row>
    <row r="12" spans="2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25">
      <c r="C14" s="73" t="s">
        <v>341</v>
      </c>
      <c r="D14" s="73">
        <v>8740</v>
      </c>
      <c r="E14" s="185">
        <f>L19/SUM($L$19:$P$19)*$D$14</f>
        <v>392.14471887799431</v>
      </c>
      <c r="F14" s="185">
        <f>M19/SUM($L$19:$P$19)*$D$14</f>
        <v>1287.2977535062678</v>
      </c>
      <c r="G14" s="185">
        <f>N19/SUM($L$19:$P$19)*$D$14</f>
        <v>2120.0764552562987</v>
      </c>
      <c r="H14" s="185">
        <f>O19/SUM($L$19:$P$19)*$D$14</f>
        <v>2718.5446195854538</v>
      </c>
      <c r="I14" s="185">
        <f>P19/SUM($L$19:$P$19)*$D$14</f>
        <v>2221.9364527739854</v>
      </c>
    </row>
    <row r="15" spans="2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343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19" x14ac:dyDescent="0.25">
      <c r="B1" s="383" t="s">
        <v>368</v>
      </c>
      <c r="C1" s="264"/>
      <c r="D1" s="264"/>
      <c r="E1" s="264"/>
      <c r="F1" s="264"/>
      <c r="G1" s="264"/>
      <c r="H1" s="264"/>
      <c r="I1" s="384"/>
      <c r="K1" s="383" t="s">
        <v>369</v>
      </c>
      <c r="L1" s="264"/>
      <c r="M1" s="264"/>
      <c r="N1" s="264"/>
      <c r="O1" s="264"/>
      <c r="P1" s="264"/>
      <c r="Q1" s="264"/>
      <c r="R1" s="384"/>
    </row>
    <row r="2" spans="1:19" x14ac:dyDescent="0.25">
      <c r="B2" s="385"/>
      <c r="C2" s="146" t="s">
        <v>736</v>
      </c>
      <c r="D2" s="146"/>
      <c r="E2" s="146"/>
      <c r="F2" s="392"/>
      <c r="G2" s="392" t="s">
        <v>758</v>
      </c>
      <c r="H2" s="392"/>
      <c r="I2" s="393"/>
      <c r="K2" s="385"/>
      <c r="L2" s="146" t="s">
        <v>736</v>
      </c>
      <c r="M2" s="146"/>
      <c r="N2" s="146"/>
      <c r="O2" s="392"/>
      <c r="P2" s="392" t="s">
        <v>758</v>
      </c>
      <c r="Q2" s="392"/>
      <c r="R2" s="393"/>
    </row>
    <row r="3" spans="1:19" x14ac:dyDescent="0.25">
      <c r="B3" s="385" t="s">
        <v>780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2"/>
      <c r="G3" s="146" t="str">
        <f>Jordbund1</f>
        <v>JB1-10</v>
      </c>
      <c r="H3" s="146" t="str">
        <f>Organ6</f>
        <v>OC6</v>
      </c>
      <c r="I3" s="386" t="str">
        <f>Organ12</f>
        <v>OC12</v>
      </c>
      <c r="J3" s="374"/>
      <c r="K3" s="385" t="s">
        <v>780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2"/>
      <c r="P3" s="146" t="str">
        <f>Jordbund1</f>
        <v>JB1-10</v>
      </c>
      <c r="Q3" s="146" t="str">
        <f>Organ6</f>
        <v>OC6</v>
      </c>
      <c r="R3" s="386" t="str">
        <f>Organ12</f>
        <v>OC12</v>
      </c>
    </row>
    <row r="4" spans="1:19" x14ac:dyDescent="0.25">
      <c r="A4" s="168" t="s">
        <v>11</v>
      </c>
      <c r="B4" s="385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2" t="s">
        <v>11</v>
      </c>
      <c r="G4" s="373">
        <f>C4/SUM(C$4:C$17)</f>
        <v>0.52078807763652124</v>
      </c>
      <c r="H4" s="373">
        <f t="shared" ref="H4:I17" si="2">D4/SUM(D$4:D$17)</f>
        <v>0.29260742948449031</v>
      </c>
      <c r="I4" s="387">
        <f t="shared" si="2"/>
        <v>0.19001733521339526</v>
      </c>
      <c r="J4" s="227"/>
      <c r="K4" s="385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2" t="s">
        <v>11</v>
      </c>
      <c r="P4" s="373">
        <f>L4/SUM(L$4:L$17)</f>
        <v>0.59758624874726696</v>
      </c>
      <c r="Q4" s="373">
        <f t="shared" ref="Q4:R17" si="6">M4/SUM(M$4:M$17)</f>
        <v>0.38313743571343106</v>
      </c>
      <c r="R4" s="387">
        <f t="shared" si="6"/>
        <v>0.26300634149592406</v>
      </c>
      <c r="S4" s="227"/>
    </row>
    <row r="5" spans="1:19" x14ac:dyDescent="0.25">
      <c r="A5" s="168" t="s">
        <v>14</v>
      </c>
      <c r="B5" s="385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2" t="s">
        <v>14</v>
      </c>
      <c r="G5" s="373">
        <f t="shared" ref="G5:G17" si="8">C5/SUM(C$4:C$17)</f>
        <v>3.5982037432552356E-2</v>
      </c>
      <c r="H5" s="373">
        <f t="shared" si="2"/>
        <v>2.5083538683672694E-2</v>
      </c>
      <c r="I5" s="387">
        <f t="shared" si="2"/>
        <v>1.0941050385004404E-2</v>
      </c>
      <c r="J5" s="227"/>
      <c r="K5" s="385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2" t="s">
        <v>14</v>
      </c>
      <c r="P5" s="373">
        <f t="shared" ref="P5:P17" si="9">L5/SUM(L$4:L$17)</f>
        <v>1.3024294772492263E-2</v>
      </c>
      <c r="Q5" s="373">
        <f t="shared" si="6"/>
        <v>1.0360648699894549E-2</v>
      </c>
      <c r="R5" s="387">
        <f t="shared" si="6"/>
        <v>4.777062450510427E-3</v>
      </c>
      <c r="S5" s="227"/>
    </row>
    <row r="6" spans="1:19" x14ac:dyDescent="0.25">
      <c r="A6" s="168" t="s">
        <v>177</v>
      </c>
      <c r="B6" s="385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2" t="s">
        <v>177</v>
      </c>
      <c r="G6" s="373">
        <f t="shared" si="8"/>
        <v>6.0508874709232517E-2</v>
      </c>
      <c r="H6" s="373">
        <f t="shared" si="2"/>
        <v>2.68590267661553E-2</v>
      </c>
      <c r="I6" s="387">
        <f t="shared" si="2"/>
        <v>1.4168164812818053E-2</v>
      </c>
      <c r="J6" s="227"/>
      <c r="K6" s="385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2" t="s">
        <v>177</v>
      </c>
      <c r="P6" s="373">
        <f t="shared" si="9"/>
        <v>8.2618389494347674E-2</v>
      </c>
      <c r="Q6" s="373">
        <f t="shared" si="6"/>
        <v>4.184827857039744E-2</v>
      </c>
      <c r="R6" s="387">
        <f t="shared" si="6"/>
        <v>2.3334832279686194E-2</v>
      </c>
      <c r="S6" s="227"/>
    </row>
    <row r="7" spans="1:19" x14ac:dyDescent="0.25">
      <c r="A7" s="168" t="s">
        <v>13</v>
      </c>
      <c r="B7" s="385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2" t="s">
        <v>13</v>
      </c>
      <c r="G7" s="373">
        <f t="shared" si="8"/>
        <v>0.1153713931066581</v>
      </c>
      <c r="H7" s="373">
        <f t="shared" si="2"/>
        <v>0.247864579659376</v>
      </c>
      <c r="I7" s="387">
        <f t="shared" si="2"/>
        <v>0.32676260561918435</v>
      </c>
      <c r="J7" s="227"/>
      <c r="K7" s="385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2" t="s">
        <v>13</v>
      </c>
      <c r="P7" s="373">
        <f t="shared" si="9"/>
        <v>5.0192728928725582E-2</v>
      </c>
      <c r="Q7" s="373">
        <f t="shared" si="6"/>
        <v>0.12305147357318001</v>
      </c>
      <c r="R7" s="387">
        <f t="shared" si="6"/>
        <v>0.17147801882246</v>
      </c>
      <c r="S7" s="227"/>
    </row>
    <row r="8" spans="1:19" x14ac:dyDescent="0.25">
      <c r="A8" s="168" t="s">
        <v>12</v>
      </c>
      <c r="B8" s="385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2" t="s">
        <v>12</v>
      </c>
      <c r="G8" s="373">
        <f t="shared" si="8"/>
        <v>4.464610531367031E-3</v>
      </c>
      <c r="H8" s="373">
        <f t="shared" si="2"/>
        <v>1.1592719622443278E-3</v>
      </c>
      <c r="I8" s="387">
        <f t="shared" si="2"/>
        <v>3.7980026350827641E-4</v>
      </c>
      <c r="J8" s="227"/>
      <c r="K8" s="385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2" t="s">
        <v>12</v>
      </c>
      <c r="P8" s="373">
        <f t="shared" si="9"/>
        <v>7.865213752064254E-3</v>
      </c>
      <c r="Q8" s="373">
        <f t="shared" si="6"/>
        <v>2.3304616484464778E-3</v>
      </c>
      <c r="R8" s="387">
        <f t="shared" si="6"/>
        <v>8.0707825675165219E-4</v>
      </c>
      <c r="S8" s="227"/>
    </row>
    <row r="9" spans="1:19" x14ac:dyDescent="0.25">
      <c r="A9" s="168" t="s">
        <v>188</v>
      </c>
      <c r="B9" s="385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2" t="s">
        <v>188</v>
      </c>
      <c r="G9" s="373">
        <f t="shared" si="8"/>
        <v>2.6596251788237935E-2</v>
      </c>
      <c r="H9" s="373">
        <f t="shared" si="2"/>
        <v>1.8301899560384409E-2</v>
      </c>
      <c r="I9" s="387">
        <f t="shared" si="2"/>
        <v>2.0102939321744374E-2</v>
      </c>
      <c r="J9" s="227"/>
      <c r="K9" s="385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2" t="s">
        <v>188</v>
      </c>
      <c r="P9" s="373">
        <f t="shared" si="9"/>
        <v>5.0455539319474536E-3</v>
      </c>
      <c r="Q9" s="373">
        <f t="shared" si="6"/>
        <v>3.9619980918168913E-3</v>
      </c>
      <c r="R9" s="387">
        <f t="shared" si="6"/>
        <v>4.6002497853152241E-3</v>
      </c>
      <c r="S9" s="227"/>
    </row>
    <row r="10" spans="1:19" x14ac:dyDescent="0.25">
      <c r="A10" s="168" t="s">
        <v>42</v>
      </c>
      <c r="B10" s="385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2" t="s">
        <v>42</v>
      </c>
      <c r="G10" s="373">
        <f t="shared" si="8"/>
        <v>2.5963485234511219E-3</v>
      </c>
      <c r="H10" s="373">
        <f t="shared" si="2"/>
        <v>4.801561809645839E-4</v>
      </c>
      <c r="I10" s="387">
        <f t="shared" si="2"/>
        <v>2.1739444616266637E-4</v>
      </c>
      <c r="J10" s="227"/>
      <c r="K10" s="385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2" t="s">
        <v>42</v>
      </c>
      <c r="P10" s="373">
        <f t="shared" si="9"/>
        <v>5.2451600979001756E-2</v>
      </c>
      <c r="Q10" s="373">
        <f t="shared" si="6"/>
        <v>1.1068989105563098E-2</v>
      </c>
      <c r="R10" s="387">
        <f t="shared" si="6"/>
        <v>5.2975813997076116E-3</v>
      </c>
      <c r="S10" s="227"/>
    </row>
    <row r="11" spans="1:19" x14ac:dyDescent="0.25">
      <c r="A11" s="168" t="s">
        <v>15</v>
      </c>
      <c r="B11" s="385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2" t="s">
        <v>15</v>
      </c>
      <c r="G11" s="373">
        <f t="shared" si="8"/>
        <v>8.8910930707760349E-2</v>
      </c>
      <c r="H11" s="373">
        <f t="shared" si="2"/>
        <v>6.1980947409938016E-2</v>
      </c>
      <c r="I11" s="387">
        <f t="shared" si="2"/>
        <v>2.7035127582052489E-2</v>
      </c>
      <c r="J11" s="227"/>
      <c r="K11" s="385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2" t="s">
        <v>15</v>
      </c>
      <c r="P11" s="373">
        <f t="shared" si="9"/>
        <v>1.4835264654900416E-2</v>
      </c>
      <c r="Q11" s="373">
        <f t="shared" si="6"/>
        <v>1.180125052022097E-2</v>
      </c>
      <c r="R11" s="387">
        <f t="shared" si="6"/>
        <v>5.4412915988347344E-3</v>
      </c>
      <c r="S11" s="227"/>
    </row>
    <row r="12" spans="1:19" x14ac:dyDescent="0.25">
      <c r="A12" s="168" t="s">
        <v>153</v>
      </c>
      <c r="B12" s="385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2" t="s">
        <v>153</v>
      </c>
      <c r="G12" s="373">
        <f t="shared" si="8"/>
        <v>1.6337629108489173E-3</v>
      </c>
      <c r="H12" s="373">
        <f t="shared" si="2"/>
        <v>1.0558987213584255E-3</v>
      </c>
      <c r="I12" s="387">
        <f t="shared" si="2"/>
        <v>7.7474460216058903E-4</v>
      </c>
      <c r="J12" s="227"/>
      <c r="K12" s="385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2" t="s">
        <v>153</v>
      </c>
      <c r="P12" s="373">
        <f t="shared" si="9"/>
        <v>3.4518876571883301E-3</v>
      </c>
      <c r="Q12" s="373">
        <f t="shared" si="6"/>
        <v>2.5457723300503447E-3</v>
      </c>
      <c r="R12" s="387">
        <f t="shared" si="6"/>
        <v>1.9745112589809222E-3</v>
      </c>
      <c r="S12" s="227"/>
    </row>
    <row r="13" spans="1:19" x14ac:dyDescent="0.25">
      <c r="A13" s="168" t="s">
        <v>146</v>
      </c>
      <c r="B13" s="385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2" t="s">
        <v>146</v>
      </c>
      <c r="G13" s="373">
        <f t="shared" si="8"/>
        <v>2.8894569741786228E-2</v>
      </c>
      <c r="H13" s="373">
        <f t="shared" si="2"/>
        <v>1.8674520667567855E-2</v>
      </c>
      <c r="I13" s="387">
        <f t="shared" si="2"/>
        <v>1.3702056639031946E-2</v>
      </c>
      <c r="J13" s="227"/>
      <c r="K13" s="385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2" t="s">
        <v>146</v>
      </c>
      <c r="P13" s="373">
        <f t="shared" si="9"/>
        <v>2.4648152078224853E-2</v>
      </c>
      <c r="Q13" s="373">
        <f t="shared" si="6"/>
        <v>1.8178049165924595E-2</v>
      </c>
      <c r="R13" s="387">
        <f t="shared" si="6"/>
        <v>1.4098968050185802E-2</v>
      </c>
      <c r="S13" s="227"/>
    </row>
    <row r="14" spans="1:19" x14ac:dyDescent="0.25">
      <c r="A14" s="168" t="s">
        <v>307</v>
      </c>
      <c r="B14" s="385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2" t="s">
        <v>307</v>
      </c>
      <c r="G14" s="373">
        <f t="shared" si="8"/>
        <v>3.0394546158686284E-2</v>
      </c>
      <c r="H14" s="373">
        <f t="shared" si="2"/>
        <v>4.6094224108143921E-2</v>
      </c>
      <c r="I14" s="387">
        <f t="shared" si="2"/>
        <v>4.3595363130338828E-2</v>
      </c>
      <c r="J14" s="227"/>
      <c r="K14" s="385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2" t="s">
        <v>307</v>
      </c>
      <c r="P14" s="373">
        <f t="shared" si="9"/>
        <v>7.6260655541220079E-2</v>
      </c>
      <c r="Q14" s="373">
        <f t="shared" si="6"/>
        <v>0.13197177490971568</v>
      </c>
      <c r="R14" s="387">
        <f t="shared" si="6"/>
        <v>0.13194064586313403</v>
      </c>
      <c r="S14" s="227"/>
    </row>
    <row r="15" spans="1:19" x14ac:dyDescent="0.25">
      <c r="A15" s="168" t="s">
        <v>148</v>
      </c>
      <c r="B15" s="385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2" t="s">
        <v>148</v>
      </c>
      <c r="G15" s="373">
        <f t="shared" si="8"/>
        <v>8.1942098326515649E-3</v>
      </c>
      <c r="H15" s="373">
        <f t="shared" si="2"/>
        <v>5.2959065402847453E-3</v>
      </c>
      <c r="I15" s="387">
        <f t="shared" si="2"/>
        <v>3.8857656730126948E-3</v>
      </c>
      <c r="J15" s="227"/>
      <c r="K15" s="385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2" t="s">
        <v>148</v>
      </c>
      <c r="P15" s="373">
        <f t="shared" si="9"/>
        <v>5.4090883153768499E-3</v>
      </c>
      <c r="Q15" s="373">
        <f t="shared" si="6"/>
        <v>3.9892107541244148E-3</v>
      </c>
      <c r="R15" s="387">
        <f t="shared" si="6"/>
        <v>3.0940479065976268E-3</v>
      </c>
      <c r="S15" s="227"/>
    </row>
    <row r="16" spans="1:19" x14ac:dyDescent="0.25">
      <c r="A16" s="168" t="s">
        <v>341</v>
      </c>
      <c r="B16" s="385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2" t="s">
        <v>341</v>
      </c>
      <c r="G16" s="373">
        <f t="shared" si="8"/>
        <v>3.0140932866304453E-3</v>
      </c>
      <c r="H16" s="373">
        <f t="shared" si="2"/>
        <v>8.6978313609362562E-3</v>
      </c>
      <c r="I16" s="387">
        <f t="shared" si="2"/>
        <v>9.1724425287411978E-3</v>
      </c>
      <c r="J16" s="227"/>
      <c r="K16" s="385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2" t="s">
        <v>341</v>
      </c>
      <c r="P16" s="373">
        <f t="shared" si="9"/>
        <v>2.5711346585440159E-3</v>
      </c>
      <c r="Q16" s="373">
        <f t="shared" si="6"/>
        <v>8.4665951501828891E-3</v>
      </c>
      <c r="R16" s="387">
        <f t="shared" si="6"/>
        <v>9.4381433066404435E-3</v>
      </c>
      <c r="S16" s="227"/>
    </row>
    <row r="17" spans="1:19" ht="15.75" thickBot="1" x14ac:dyDescent="0.3">
      <c r="A17" s="168" t="s">
        <v>61</v>
      </c>
      <c r="B17" s="388">
        <f>SUM(Afgrødefordeling!G15:I15)</f>
        <v>180200</v>
      </c>
      <c r="C17" s="389">
        <f t="shared" si="0"/>
        <v>140059.66485275724</v>
      </c>
      <c r="D17" s="389">
        <f t="shared" si="7"/>
        <v>19720.343681186703</v>
      </c>
      <c r="E17" s="389">
        <f t="shared" si="1"/>
        <v>20419.991466056061</v>
      </c>
      <c r="F17" s="394" t="s">
        <v>61</v>
      </c>
      <c r="G17" s="390">
        <f t="shared" si="8"/>
        <v>7.2650293633615873E-2</v>
      </c>
      <c r="H17" s="390">
        <f t="shared" si="2"/>
        <v>0.24584476889448309</v>
      </c>
      <c r="I17" s="391">
        <f t="shared" si="2"/>
        <v>0.33924520978284484</v>
      </c>
      <c r="J17" s="227"/>
      <c r="K17" s="388">
        <f>SUM(Afgrødefordeling!E15:F15)</f>
        <v>44292</v>
      </c>
      <c r="L17" s="389">
        <f t="shared" si="3"/>
        <v>34425.764015861954</v>
      </c>
      <c r="M17" s="389">
        <f t="shared" si="4"/>
        <v>4847.1335312270894</v>
      </c>
      <c r="N17" s="389">
        <f t="shared" si="5"/>
        <v>5019.10245291096</v>
      </c>
      <c r="O17" s="394" t="s">
        <v>61</v>
      </c>
      <c r="P17" s="390">
        <f t="shared" si="9"/>
        <v>6.4039786488699332E-2</v>
      </c>
      <c r="Q17" s="390">
        <f t="shared" si="6"/>
        <v>0.24728806176705159</v>
      </c>
      <c r="R17" s="391">
        <f t="shared" si="6"/>
        <v>0.36071122752527124</v>
      </c>
      <c r="S17" s="227"/>
    </row>
    <row r="19" spans="1:19" x14ac:dyDescent="0.25">
      <c r="B19" t="s">
        <v>734</v>
      </c>
      <c r="F19" t="s">
        <v>735</v>
      </c>
    </row>
    <row r="20" spans="1:19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25">
      <c r="A21" t="s">
        <v>11</v>
      </c>
      <c r="B21" s="353">
        <f>C47+C48+D47+D48</f>
        <v>1319772.3796480037</v>
      </c>
      <c r="C21" s="353">
        <f>E47+E48</f>
        <v>30853.266431994874</v>
      </c>
      <c r="D21" s="353">
        <f>F47+F48</f>
        <v>15034.789375999229</v>
      </c>
      <c r="E21" s="353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25">
      <c r="A22" t="s">
        <v>14</v>
      </c>
      <c r="B22" s="353">
        <f>C50+D50</f>
        <v>184592.82739200146</v>
      </c>
      <c r="C22" s="353">
        <f>E50</f>
        <v>5354.2133759997832</v>
      </c>
      <c r="D22" s="353">
        <f>F50</f>
        <v>1752.4846080000284</v>
      </c>
      <c r="E22" s="353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25">
      <c r="A23" t="s">
        <v>177</v>
      </c>
      <c r="B23" s="353">
        <f>C57+D57</f>
        <v>160896.53324799926</v>
      </c>
      <c r="C23" s="353">
        <f>E57</f>
        <v>2971.636480000067</v>
      </c>
      <c r="D23" s="353">
        <f>F57</f>
        <v>1176.2708480000085</v>
      </c>
      <c r="E23" s="353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25">
      <c r="A24" t="s">
        <v>13</v>
      </c>
      <c r="B24" s="353">
        <f>SUM(C42,C44,C40,C58,D42,D44,D40,D58)</f>
        <v>349496.61081599921</v>
      </c>
      <c r="C24" s="353">
        <f>SUM(E42,E44,E40,E58)</f>
        <v>31241.875711994078</v>
      </c>
      <c r="D24" s="353">
        <f>SUM(F42,F44,F40,F58)</f>
        <v>30906.035967996911</v>
      </c>
      <c r="E24" s="353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25">
      <c r="A25" t="s">
        <v>12</v>
      </c>
      <c r="B25" s="353">
        <f>C45+D45</f>
        <v>14404.881919999816</v>
      </c>
      <c r="C25" s="353">
        <f>E45</f>
        <v>155.62854399999989</v>
      </c>
      <c r="D25" s="353">
        <f>F45</f>
        <v>38.260223999999972</v>
      </c>
      <c r="E25" s="353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25">
      <c r="A26" t="s">
        <v>188</v>
      </c>
      <c r="B26" s="353">
        <f>C46+D46</f>
        <v>53989.796864000178</v>
      </c>
      <c r="C26" s="353">
        <f>E46</f>
        <v>1545.8424320000133</v>
      </c>
      <c r="D26" s="353">
        <f>F46</f>
        <v>1274.1393920000037</v>
      </c>
      <c r="E26" s="353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25">
      <c r="A27" t="s">
        <v>42</v>
      </c>
      <c r="B27" s="353">
        <f>C41+D41+C59+D59</f>
        <v>33088.070143999983</v>
      </c>
      <c r="C27" s="353">
        <f>E41+E59</f>
        <v>254.60607999999976</v>
      </c>
      <c r="D27" s="353">
        <f>F41+F59</f>
        <v>86.501375999999993</v>
      </c>
      <c r="E27" s="353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25">
      <c r="A28" t="s">
        <v>15</v>
      </c>
      <c r="B28" s="353">
        <f>C50+D50</f>
        <v>184592.82739200146</v>
      </c>
      <c r="C28" s="353">
        <f>E50</f>
        <v>5354.2133759997832</v>
      </c>
      <c r="D28" s="353">
        <f>F50</f>
        <v>1752.4846080000284</v>
      </c>
      <c r="E28" s="353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25">
      <c r="A29" t="s">
        <v>153</v>
      </c>
      <c r="B29" s="353">
        <f>C38+D38</f>
        <v>226640.62873599993</v>
      </c>
      <c r="C29" s="353">
        <f>E38</f>
        <v>6094.6503680000005</v>
      </c>
      <c r="D29" s="353">
        <f>F38</f>
        <v>3355.6249599999983</v>
      </c>
      <c r="E29" s="353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25">
      <c r="A30" t="s">
        <v>146</v>
      </c>
      <c r="B30" s="353">
        <f>C38+D38</f>
        <v>226640.62873599993</v>
      </c>
      <c r="C30" s="353">
        <f>E38</f>
        <v>6094.6503680000005</v>
      </c>
      <c r="D30" s="353">
        <f>F38</f>
        <v>3355.6249599999983</v>
      </c>
      <c r="E30" s="353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25">
      <c r="A31" t="s">
        <v>307</v>
      </c>
      <c r="B31" s="353">
        <f>C42+D42</f>
        <v>236731.80902400045</v>
      </c>
      <c r="C31" s="353">
        <f>E42</f>
        <v>14937.752575997654</v>
      </c>
      <c r="D31" s="353">
        <f>F42</f>
        <v>10601.501439999198</v>
      </c>
      <c r="E31" s="353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25">
      <c r="A32" t="s">
        <v>148</v>
      </c>
      <c r="B32" s="353">
        <f>C38+D38</f>
        <v>226640.62873599993</v>
      </c>
      <c r="C32" s="353">
        <f>E38</f>
        <v>6094.6503680000005</v>
      </c>
      <c r="D32" s="353">
        <f>F38</f>
        <v>3355.6249599999983</v>
      </c>
      <c r="E32" s="353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25">
      <c r="A33" t="s">
        <v>341</v>
      </c>
      <c r="B33" s="353">
        <f>SUM(C51:D56)+C39+D39</f>
        <v>7038.0328960000279</v>
      </c>
      <c r="C33" s="353">
        <f>SUM(E51:E56)+E39</f>
        <v>845.05190399999913</v>
      </c>
      <c r="D33" s="353">
        <f>SUM(F51:F56)+F39</f>
        <v>668.72217599999976</v>
      </c>
      <c r="E33" s="353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25">
      <c r="A34" t="s">
        <v>61</v>
      </c>
      <c r="B34" s="353">
        <f>C43+D43</f>
        <v>132314.75967999725</v>
      </c>
      <c r="C34" s="353">
        <f>E43</f>
        <v>18629.864191994773</v>
      </c>
      <c r="D34" s="353">
        <f>F43</f>
        <v>19290.823423997452</v>
      </c>
      <c r="E34" s="353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25">
      <c r="A36" t="s">
        <v>779</v>
      </c>
    </row>
    <row r="37" spans="1:10" x14ac:dyDescent="0.25">
      <c r="A37" s="354" t="s">
        <v>759</v>
      </c>
      <c r="B37" s="487"/>
      <c r="C37" s="354" t="str">
        <f>Jordbund1</f>
        <v>JB1-10</v>
      </c>
      <c r="D37" s="354" t="str">
        <f>Jordbund1</f>
        <v>JB1-10</v>
      </c>
      <c r="E37" s="354" t="str">
        <f>Organ6</f>
        <v>OC6</v>
      </c>
      <c r="F37" s="354" t="str">
        <f>Organ12</f>
        <v>OC12</v>
      </c>
      <c r="G37" s="354" t="s">
        <v>762</v>
      </c>
      <c r="H37" s="354" t="s">
        <v>737</v>
      </c>
    </row>
    <row r="38" spans="1:10" x14ac:dyDescent="0.25">
      <c r="A38" s="369" t="s">
        <v>760</v>
      </c>
      <c r="B38" s="488"/>
      <c r="C38" s="370">
        <v>211475.16313599993</v>
      </c>
      <c r="D38" s="370">
        <v>15165.465599999985</v>
      </c>
      <c r="E38" s="370">
        <v>6094.6503680000005</v>
      </c>
      <c r="F38" s="370">
        <v>3355.6249599999983</v>
      </c>
      <c r="G38" s="371">
        <f>SUM(C38:F38)</f>
        <v>236090.90406399991</v>
      </c>
      <c r="H38" s="372">
        <f t="shared" ref="H38:H61" si="14">E38+F38</f>
        <v>9450.2753279999997</v>
      </c>
      <c r="I38" s="10"/>
      <c r="J38" t="s">
        <v>761</v>
      </c>
    </row>
    <row r="39" spans="1:10" x14ac:dyDescent="0.25">
      <c r="A39" s="355" t="s">
        <v>738</v>
      </c>
      <c r="B39" s="461" t="s">
        <v>341</v>
      </c>
      <c r="C39" s="356">
        <v>15.248640000000002</v>
      </c>
      <c r="D39" s="356">
        <v>1.940736</v>
      </c>
      <c r="E39" s="356">
        <v>1.84832</v>
      </c>
      <c r="F39" s="356">
        <v>1.7559040000000001</v>
      </c>
      <c r="G39" s="357">
        <f t="shared" ref="G39:G61" si="15">SUM(C39:F39)</f>
        <v>20.793600000000005</v>
      </c>
      <c r="H39" s="358">
        <f t="shared" si="14"/>
        <v>3.6042240000000003</v>
      </c>
      <c r="I39" s="10"/>
    </row>
    <row r="40" spans="1:10" x14ac:dyDescent="0.25">
      <c r="A40" s="355" t="s">
        <v>739</v>
      </c>
      <c r="B40" s="461" t="s">
        <v>13</v>
      </c>
      <c r="C40" s="356">
        <v>73.285888000000028</v>
      </c>
      <c r="D40" s="356">
        <v>3.049728</v>
      </c>
      <c r="E40" s="356">
        <v>3.142144</v>
      </c>
      <c r="F40" s="356">
        <v>0.64691200000000004</v>
      </c>
      <c r="G40" s="357">
        <f t="shared" si="15"/>
        <v>80.124672000000032</v>
      </c>
      <c r="H40" s="358">
        <f t="shared" si="14"/>
        <v>3.789056</v>
      </c>
      <c r="I40" s="10"/>
    </row>
    <row r="41" spans="1:10" x14ac:dyDescent="0.25">
      <c r="A41" s="355" t="s">
        <v>740</v>
      </c>
      <c r="B41" s="461" t="s">
        <v>42</v>
      </c>
      <c r="C41" s="356">
        <v>3930.2676479999996</v>
      </c>
      <c r="D41" s="356">
        <v>379.82975999999979</v>
      </c>
      <c r="E41" s="356">
        <v>79.108095999999961</v>
      </c>
      <c r="F41" s="356">
        <v>23.196415999999999</v>
      </c>
      <c r="G41" s="357">
        <f t="shared" si="15"/>
        <v>4412.4019199999993</v>
      </c>
      <c r="H41" s="358">
        <f t="shared" si="14"/>
        <v>102.30451199999996</v>
      </c>
      <c r="I41" s="10"/>
    </row>
    <row r="42" spans="1:10" ht="30" x14ac:dyDescent="0.25">
      <c r="A42" s="355" t="s">
        <v>741</v>
      </c>
      <c r="B42" s="461" t="s">
        <v>13</v>
      </c>
      <c r="C42" s="356">
        <v>208091.7209600049</v>
      </c>
      <c r="D42" s="356">
        <v>28640.08806399555</v>
      </c>
      <c r="E42" s="356">
        <v>14937.752575997654</v>
      </c>
      <c r="F42" s="359">
        <v>10601.501439999198</v>
      </c>
      <c r="G42" s="357">
        <f t="shared" si="15"/>
        <v>262271.0630399973</v>
      </c>
      <c r="H42" s="359">
        <f t="shared" si="14"/>
        <v>25539.254015996852</v>
      </c>
      <c r="I42" s="10"/>
    </row>
    <row r="43" spans="1:10" x14ac:dyDescent="0.25">
      <c r="A43" s="355" t="s">
        <v>742</v>
      </c>
      <c r="B43" s="489" t="s">
        <v>13</v>
      </c>
      <c r="C43" s="356">
        <v>110825.72928000614</v>
      </c>
      <c r="D43" s="356">
        <v>21489.030399991108</v>
      </c>
      <c r="E43" s="356">
        <v>18629.864191994773</v>
      </c>
      <c r="F43" s="360">
        <v>19290.823423997452</v>
      </c>
      <c r="G43" s="357">
        <f t="shared" si="15"/>
        <v>170235.44729598946</v>
      </c>
      <c r="H43" s="361">
        <f t="shared" si="14"/>
        <v>37920.687615992225</v>
      </c>
      <c r="I43" s="10"/>
    </row>
    <row r="44" spans="1:10" x14ac:dyDescent="0.25">
      <c r="A44" s="355" t="s">
        <v>743</v>
      </c>
      <c r="B44" s="461" t="s">
        <v>13</v>
      </c>
      <c r="C44" s="356">
        <v>90259.749888005244</v>
      </c>
      <c r="D44" s="356">
        <v>22425.20447999347</v>
      </c>
      <c r="E44" s="356">
        <v>16300.334079996423</v>
      </c>
      <c r="F44" s="356">
        <v>20303.055871997716</v>
      </c>
      <c r="G44" s="357">
        <f t="shared" si="15"/>
        <v>149288.34431999284</v>
      </c>
      <c r="H44" s="358">
        <f t="shared" si="14"/>
        <v>36603.389951994141</v>
      </c>
      <c r="I44" s="10"/>
    </row>
    <row r="45" spans="1:10" x14ac:dyDescent="0.25">
      <c r="A45" s="355" t="s">
        <v>744</v>
      </c>
      <c r="B45" s="461" t="s">
        <v>12</v>
      </c>
      <c r="C45" s="356">
        <v>13805.286911999812</v>
      </c>
      <c r="D45" s="356">
        <v>599.5950080000033</v>
      </c>
      <c r="E45" s="356">
        <v>155.62854399999989</v>
      </c>
      <c r="F45" s="356">
        <v>38.260223999999972</v>
      </c>
      <c r="G45" s="357">
        <f t="shared" si="15"/>
        <v>14598.770687999815</v>
      </c>
      <c r="H45" s="358">
        <f t="shared" si="14"/>
        <v>193.88876799999986</v>
      </c>
      <c r="I45" s="10"/>
    </row>
    <row r="46" spans="1:10" x14ac:dyDescent="0.25">
      <c r="A46" s="355" t="s">
        <v>188</v>
      </c>
      <c r="B46" s="461" t="s">
        <v>188</v>
      </c>
      <c r="C46" s="356">
        <v>48738.904576000285</v>
      </c>
      <c r="D46" s="356">
        <v>5250.8922879998936</v>
      </c>
      <c r="E46" s="356">
        <v>1545.8424320000133</v>
      </c>
      <c r="F46" s="356">
        <v>1274.1393920000037</v>
      </c>
      <c r="G46" s="357">
        <f t="shared" si="15"/>
        <v>56809.778688000195</v>
      </c>
      <c r="H46" s="358">
        <f t="shared" si="14"/>
        <v>2819.9818240000168</v>
      </c>
      <c r="I46" s="10"/>
    </row>
    <row r="47" spans="1:10" x14ac:dyDescent="0.25">
      <c r="A47" s="355" t="s">
        <v>745</v>
      </c>
      <c r="B47" s="461" t="s">
        <v>11</v>
      </c>
      <c r="C47" s="356">
        <v>743359.37075199408</v>
      </c>
      <c r="D47" s="356">
        <v>43981.32889600304</v>
      </c>
      <c r="E47" s="356">
        <v>16210.41331199711</v>
      </c>
      <c r="F47" s="362">
        <v>7501.03705599962</v>
      </c>
      <c r="G47" s="357">
        <f t="shared" si="15"/>
        <v>811052.15001599386</v>
      </c>
      <c r="H47" s="363">
        <f t="shared" si="14"/>
        <v>23711.450367996731</v>
      </c>
      <c r="I47" s="10"/>
    </row>
    <row r="48" spans="1:10" x14ac:dyDescent="0.25">
      <c r="A48" s="355" t="s">
        <v>746</v>
      </c>
      <c r="B48" s="461" t="s">
        <v>11</v>
      </c>
      <c r="C48" s="356">
        <v>494124.60108800628</v>
      </c>
      <c r="D48" s="356">
        <v>38307.078912000463</v>
      </c>
      <c r="E48" s="356">
        <v>14642.853119997766</v>
      </c>
      <c r="F48" s="362">
        <v>7533.7523199996103</v>
      </c>
      <c r="G48" s="357">
        <f t="shared" si="15"/>
        <v>554608.28544000408</v>
      </c>
      <c r="H48" s="363">
        <f t="shared" si="14"/>
        <v>22176.605439997376</v>
      </c>
      <c r="I48" s="10"/>
    </row>
    <row r="49" spans="1:9" x14ac:dyDescent="0.25">
      <c r="A49" s="355" t="s">
        <v>747</v>
      </c>
      <c r="B49" s="489"/>
      <c r="C49" s="356">
        <v>86.131711999999993</v>
      </c>
      <c r="D49" s="356">
        <v>10.350592000000001</v>
      </c>
      <c r="E49" s="356">
        <v>9.2416000000000036</v>
      </c>
      <c r="F49" s="356">
        <v>2.5876480000000002</v>
      </c>
      <c r="G49" s="357">
        <f t="shared" si="15"/>
        <v>108.31155200000001</v>
      </c>
      <c r="H49" s="358">
        <f t="shared" si="14"/>
        <v>11.829248000000003</v>
      </c>
      <c r="I49" s="10"/>
    </row>
    <row r="50" spans="1:9" x14ac:dyDescent="0.25">
      <c r="A50" s="355" t="s">
        <v>748</v>
      </c>
      <c r="B50" s="461" t="s">
        <v>15</v>
      </c>
      <c r="C50" s="356">
        <v>168888.20684800297</v>
      </c>
      <c r="D50" s="356">
        <v>15704.620543998477</v>
      </c>
      <c r="E50" s="356">
        <v>5354.2133759997832</v>
      </c>
      <c r="F50" s="362">
        <v>1752.4846080000284</v>
      </c>
      <c r="G50" s="357">
        <f t="shared" si="15"/>
        <v>191699.52537600129</v>
      </c>
      <c r="H50" s="363">
        <f t="shared" si="14"/>
        <v>7106.6979839998112</v>
      </c>
      <c r="I50" s="10"/>
    </row>
    <row r="51" spans="1:9" x14ac:dyDescent="0.25">
      <c r="A51" s="355" t="s">
        <v>749</v>
      </c>
      <c r="B51" s="461" t="s">
        <v>341</v>
      </c>
      <c r="C51" s="356">
        <v>61.918719999999993</v>
      </c>
      <c r="D51" s="356">
        <v>15.987968000000006</v>
      </c>
      <c r="E51" s="356">
        <v>33.824256000000005</v>
      </c>
      <c r="F51" s="356">
        <v>7.3008640000000016</v>
      </c>
      <c r="G51" s="357">
        <f t="shared" si="15"/>
        <v>119.03180800000001</v>
      </c>
      <c r="H51" s="358">
        <f t="shared" si="14"/>
        <v>41.12512000000001</v>
      </c>
      <c r="I51" s="10"/>
    </row>
    <row r="52" spans="1:9" x14ac:dyDescent="0.25">
      <c r="A52" s="355" t="s">
        <v>750</v>
      </c>
      <c r="B52" s="461" t="s">
        <v>341</v>
      </c>
      <c r="C52" s="356">
        <v>1267.3006080000034</v>
      </c>
      <c r="D52" s="356">
        <v>296.28569599999986</v>
      </c>
      <c r="E52" s="356">
        <v>298.22643199999976</v>
      </c>
      <c r="F52" s="356">
        <v>244.07065599999987</v>
      </c>
      <c r="G52" s="357">
        <f t="shared" si="15"/>
        <v>2105.8833920000029</v>
      </c>
      <c r="H52" s="358">
        <f t="shared" si="14"/>
        <v>542.29708799999958</v>
      </c>
      <c r="I52" s="10"/>
    </row>
    <row r="53" spans="1:9" x14ac:dyDescent="0.25">
      <c r="A53" s="355" t="s">
        <v>751</v>
      </c>
      <c r="B53" s="461" t="s">
        <v>341</v>
      </c>
      <c r="C53" s="356">
        <v>787.6615680000001</v>
      </c>
      <c r="D53" s="356">
        <v>136.77567999999974</v>
      </c>
      <c r="E53" s="356">
        <v>87.887615999999952</v>
      </c>
      <c r="F53" s="356">
        <v>49.350143999999986</v>
      </c>
      <c r="G53" s="357">
        <f t="shared" si="15"/>
        <v>1061.6750079999997</v>
      </c>
      <c r="H53" s="358">
        <f t="shared" si="14"/>
        <v>137.23775999999992</v>
      </c>
      <c r="I53" s="10"/>
    </row>
    <row r="54" spans="1:9" ht="30" x14ac:dyDescent="0.25">
      <c r="A54" s="355" t="s">
        <v>752</v>
      </c>
      <c r="B54" s="461" t="s">
        <v>341</v>
      </c>
      <c r="C54" s="356">
        <v>0.36966399999999999</v>
      </c>
      <c r="D54" s="356">
        <v>9.2415999999999998E-2</v>
      </c>
      <c r="E54" s="356">
        <v>9.2415999999999998E-2</v>
      </c>
      <c r="F54" s="356">
        <v>0</v>
      </c>
      <c r="G54" s="357">
        <f t="shared" si="15"/>
        <v>0.55449599999999999</v>
      </c>
      <c r="H54" s="358">
        <f t="shared" si="14"/>
        <v>9.2415999999999998E-2</v>
      </c>
      <c r="I54" s="10"/>
    </row>
    <row r="55" spans="1:9" x14ac:dyDescent="0.25">
      <c r="A55" s="355" t="s">
        <v>753</v>
      </c>
      <c r="B55" s="461" t="s">
        <v>341</v>
      </c>
      <c r="C55" s="356">
        <v>1993.5055360000119</v>
      </c>
      <c r="D55" s="356">
        <v>314.67647999999991</v>
      </c>
      <c r="E55" s="356">
        <v>289.44691199999971</v>
      </c>
      <c r="F55" s="356">
        <v>302.93964799999998</v>
      </c>
      <c r="G55" s="357">
        <f t="shared" si="15"/>
        <v>2900.5685760000119</v>
      </c>
      <c r="H55" s="358">
        <f t="shared" si="14"/>
        <v>592.38655999999969</v>
      </c>
      <c r="I55" s="10"/>
    </row>
    <row r="56" spans="1:9" x14ac:dyDescent="0.25">
      <c r="A56" s="355" t="s">
        <v>754</v>
      </c>
      <c r="B56" s="461" t="s">
        <v>341</v>
      </c>
      <c r="C56" s="356">
        <v>1918.4637440000135</v>
      </c>
      <c r="D56" s="356">
        <v>227.80543999999972</v>
      </c>
      <c r="E56" s="356">
        <v>133.72595199999981</v>
      </c>
      <c r="F56" s="356">
        <v>63.304959999999973</v>
      </c>
      <c r="G56" s="357">
        <f t="shared" si="15"/>
        <v>2343.3000960000131</v>
      </c>
      <c r="H56" s="358">
        <f t="shared" si="14"/>
        <v>197.03091199999977</v>
      </c>
      <c r="I56" s="10"/>
    </row>
    <row r="57" spans="1:9" x14ac:dyDescent="0.25">
      <c r="A57" s="355" t="s">
        <v>755</v>
      </c>
      <c r="B57" s="461" t="s">
        <v>177</v>
      </c>
      <c r="C57" s="356">
        <v>152559.31622399975</v>
      </c>
      <c r="D57" s="356">
        <v>8337.2170239995157</v>
      </c>
      <c r="E57" s="356">
        <v>2971.636480000067</v>
      </c>
      <c r="F57" s="362">
        <v>1176.2708480000085</v>
      </c>
      <c r="G57" s="357">
        <f t="shared" si="15"/>
        <v>165044.44057599935</v>
      </c>
      <c r="H57" s="363">
        <f t="shared" si="14"/>
        <v>4147.9073280000757</v>
      </c>
      <c r="I57" s="10"/>
    </row>
    <row r="58" spans="1:9" x14ac:dyDescent="0.25">
      <c r="A58" s="355" t="s">
        <v>756</v>
      </c>
      <c r="B58" s="461" t="s">
        <v>13</v>
      </c>
      <c r="C58" s="356">
        <v>3.2345599999999997</v>
      </c>
      <c r="D58" s="356">
        <v>0.27724799999999999</v>
      </c>
      <c r="E58" s="356">
        <v>0.64691200000000004</v>
      </c>
      <c r="F58" s="356">
        <v>0.83174400000000004</v>
      </c>
      <c r="G58" s="357">
        <f t="shared" si="15"/>
        <v>4.9904639999999993</v>
      </c>
      <c r="H58" s="358">
        <f t="shared" si="14"/>
        <v>1.478656</v>
      </c>
      <c r="I58" s="10"/>
    </row>
    <row r="59" spans="1:9" x14ac:dyDescent="0.25">
      <c r="A59" s="355" t="s">
        <v>187</v>
      </c>
      <c r="B59" s="461" t="s">
        <v>42</v>
      </c>
      <c r="C59" s="356">
        <v>28433.261055999981</v>
      </c>
      <c r="D59" s="356">
        <v>344.71167999999966</v>
      </c>
      <c r="E59" s="356">
        <v>175.4979839999998</v>
      </c>
      <c r="F59" s="356">
        <v>63.304959999999987</v>
      </c>
      <c r="G59" s="357">
        <f t="shared" si="15"/>
        <v>29016.775679999984</v>
      </c>
      <c r="H59" s="358">
        <f t="shared" si="14"/>
        <v>238.8029439999998</v>
      </c>
      <c r="I59" s="10"/>
    </row>
    <row r="60" spans="1:9" x14ac:dyDescent="0.25">
      <c r="A60" s="355" t="s">
        <v>757</v>
      </c>
      <c r="B60" s="489"/>
      <c r="C60" s="356">
        <v>40.663039999999995</v>
      </c>
      <c r="D60" s="356">
        <v>8.0401920000000029</v>
      </c>
      <c r="E60" s="356">
        <v>9.3340160000000036</v>
      </c>
      <c r="F60" s="356">
        <v>6.5615360000000003</v>
      </c>
      <c r="G60" s="357">
        <f t="shared" si="15"/>
        <v>64.598784000000009</v>
      </c>
      <c r="H60" s="358">
        <f t="shared" si="14"/>
        <v>15.895552000000004</v>
      </c>
      <c r="I60" s="10"/>
    </row>
    <row r="61" spans="1:9" x14ac:dyDescent="0.25">
      <c r="A61" s="364" t="s">
        <v>57</v>
      </c>
      <c r="B61" s="490"/>
      <c r="C61" s="365">
        <f>SUM(C38:C60)</f>
        <v>2280739.3620480192</v>
      </c>
      <c r="D61" s="365">
        <f>SUM(D38:D60)</f>
        <v>201640.34483198149</v>
      </c>
      <c r="E61" s="365">
        <f>SUM(E38:E60)</f>
        <v>97965.211135983569</v>
      </c>
      <c r="F61" s="365">
        <f>SUM(F38:F60)</f>
        <v>73592.801535993625</v>
      </c>
      <c r="G61" s="365">
        <f t="shared" si="15"/>
        <v>2653937.7195519782</v>
      </c>
      <c r="H61" s="366">
        <f t="shared" si="14"/>
        <v>171558.01267197719</v>
      </c>
      <c r="I61" s="367"/>
    </row>
    <row r="62" spans="1:9" x14ac:dyDescent="0.25">
      <c r="E62" s="368"/>
    </row>
    <row r="63" spans="1:9" x14ac:dyDescent="0.25">
      <c r="B63" s="338"/>
      <c r="C63" s="338"/>
      <c r="D63" s="338"/>
      <c r="E63" s="338"/>
    </row>
    <row r="64" spans="1:9" x14ac:dyDescent="0.25">
      <c r="B64" s="338"/>
      <c r="C64" s="338"/>
      <c r="D64" s="338"/>
      <c r="E64" s="338"/>
    </row>
    <row r="65" spans="2:5" x14ac:dyDescent="0.25">
      <c r="B65" s="338"/>
      <c r="C65" s="338"/>
      <c r="D65" s="338"/>
      <c r="E65" s="338"/>
    </row>
    <row r="66" spans="2:5" x14ac:dyDescent="0.25">
      <c r="B66" s="338"/>
      <c r="C66" s="338"/>
      <c r="D66" s="338"/>
      <c r="E66" s="338"/>
    </row>
    <row r="67" spans="2:5" x14ac:dyDescent="0.25">
      <c r="B67" s="338"/>
      <c r="C67" s="338"/>
      <c r="D67" s="338"/>
      <c r="E67" s="33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2" t="s">
        <v>522</v>
      </c>
      <c r="H2" s="252" t="s">
        <v>522</v>
      </c>
      <c r="I2" s="252" t="s">
        <v>522</v>
      </c>
      <c r="J2" s="237" t="s">
        <v>505</v>
      </c>
      <c r="K2" s="238" t="s">
        <v>506</v>
      </c>
      <c r="L2" s="239" t="s">
        <v>507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527</v>
      </c>
      <c r="C4" s="8" t="s">
        <v>37</v>
      </c>
      <c r="D4" s="8" t="s">
        <v>526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2">
        <v>70.099999999999994</v>
      </c>
      <c r="C5" s="46">
        <f>B5*0.55</f>
        <v>38.555</v>
      </c>
      <c r="D5" s="46">
        <v>0.67</v>
      </c>
      <c r="E5" s="230">
        <v>1.2</v>
      </c>
      <c r="F5" s="230">
        <v>1.4</v>
      </c>
      <c r="G5" s="253">
        <v>160</v>
      </c>
      <c r="H5" s="255">
        <f>AVERAGE(G5,I5)</f>
        <v>130</v>
      </c>
      <c r="I5" s="253">
        <v>100</v>
      </c>
      <c r="J5" s="299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9">
        <f t="shared" si="2"/>
        <v>15.99169436748546</v>
      </c>
      <c r="L5" s="299">
        <f t="shared" si="2"/>
        <v>40.951694367485452</v>
      </c>
      <c r="M5" s="267"/>
    </row>
    <row r="6" spans="1:15" x14ac:dyDescent="0.25">
      <c r="A6" s="8" t="str">
        <v>Bælgsæd</v>
      </c>
      <c r="B6" s="232">
        <v>38.6</v>
      </c>
      <c r="C6" s="46">
        <v>19.309999999999999</v>
      </c>
      <c r="D6" s="46">
        <v>0.56999999999999995</v>
      </c>
      <c r="E6" s="230">
        <v>1.2</v>
      </c>
      <c r="F6" s="230">
        <v>1.4</v>
      </c>
      <c r="G6" s="253">
        <v>0</v>
      </c>
      <c r="H6" s="255">
        <f t="shared" ref="H6:H18" si="3">AVERAGE(G6,I6)</f>
        <v>0</v>
      </c>
      <c r="I6" s="253">
        <v>0</v>
      </c>
      <c r="J6" s="299">
        <f t="shared" si="2"/>
        <v>2.2736943674854606</v>
      </c>
      <c r="K6" s="299">
        <f t="shared" si="2"/>
        <v>15.99169436748546</v>
      </c>
      <c r="L6" s="299">
        <f t="shared" si="2"/>
        <v>40.951694367485452</v>
      </c>
    </row>
    <row r="7" spans="1:15" x14ac:dyDescent="0.25">
      <c r="A7" s="8" t="str">
        <v>Raps</v>
      </c>
      <c r="B7" s="232">
        <v>44</v>
      </c>
      <c r="C7" s="46">
        <f>B7*0.9</f>
        <v>39.6</v>
      </c>
      <c r="D7" s="46">
        <v>0.55000000000000004</v>
      </c>
      <c r="E7" s="230">
        <v>1.2</v>
      </c>
      <c r="F7" s="230">
        <v>1.4</v>
      </c>
      <c r="G7" s="253">
        <v>175</v>
      </c>
      <c r="H7" s="255">
        <f t="shared" si="3"/>
        <v>145</v>
      </c>
      <c r="I7" s="253">
        <v>115</v>
      </c>
      <c r="J7" s="299">
        <f t="shared" si="2"/>
        <v>2.2736943674854606</v>
      </c>
      <c r="K7" s="299">
        <f t="shared" si="2"/>
        <v>15.99169436748546</v>
      </c>
      <c r="L7" s="299">
        <f t="shared" si="2"/>
        <v>40.951694367485452</v>
      </c>
      <c r="M7" s="8" t="s">
        <v>511</v>
      </c>
      <c r="N7" s="8"/>
      <c r="O7" s="8"/>
    </row>
    <row r="8" spans="1:15" x14ac:dyDescent="0.25">
      <c r="A8" s="8" t="str">
        <v>Græs</v>
      </c>
      <c r="B8" s="232">
        <v>496.2</v>
      </c>
      <c r="C8" s="8"/>
      <c r="D8" s="46">
        <v>0.78</v>
      </c>
      <c r="E8" s="230">
        <v>1.2</v>
      </c>
      <c r="F8" s="230">
        <v>1.4</v>
      </c>
      <c r="G8" s="253">
        <v>155</v>
      </c>
      <c r="H8" s="255">
        <f t="shared" si="3"/>
        <v>130</v>
      </c>
      <c r="I8" s="253">
        <v>105</v>
      </c>
      <c r="J8" s="299">
        <f t="shared" si="2"/>
        <v>2.2736943674854606</v>
      </c>
      <c r="K8" s="299">
        <f t="shared" si="2"/>
        <v>15.99169436748546</v>
      </c>
      <c r="L8" s="299">
        <f t="shared" si="2"/>
        <v>40.951694367485452</v>
      </c>
      <c r="M8" s="8" t="s">
        <v>527</v>
      </c>
      <c r="N8" s="8" t="s">
        <v>303</v>
      </c>
      <c r="O8" s="8" t="s">
        <v>528</v>
      </c>
    </row>
    <row r="9" spans="1:15" x14ac:dyDescent="0.25">
      <c r="A9" s="8" t="str">
        <v>Grøntsager</v>
      </c>
      <c r="B9" s="232">
        <v>207.5</v>
      </c>
      <c r="C9" s="8"/>
      <c r="D9" s="46">
        <v>0.56999999999999995</v>
      </c>
      <c r="E9" s="230">
        <v>1.2</v>
      </c>
      <c r="F9" s="230">
        <v>1.4</v>
      </c>
      <c r="G9" s="253">
        <v>200</v>
      </c>
      <c r="H9" s="255">
        <f t="shared" si="3"/>
        <v>195</v>
      </c>
      <c r="I9" s="253">
        <v>190</v>
      </c>
      <c r="J9" s="299">
        <f t="shared" si="2"/>
        <v>2.2736943674854606</v>
      </c>
      <c r="K9" s="299">
        <f t="shared" si="2"/>
        <v>15.99169436748546</v>
      </c>
      <c r="L9" s="299">
        <f t="shared" si="2"/>
        <v>40.951694367485452</v>
      </c>
      <c r="M9" s="232">
        <f>3790.19083969466</f>
        <v>3790.1908396946601</v>
      </c>
      <c r="N9" s="253">
        <v>2100</v>
      </c>
      <c r="O9" s="259">
        <f>J9*0.2</f>
        <v>0.45473887349709213</v>
      </c>
    </row>
    <row r="10" spans="1:15" x14ac:dyDescent="0.25">
      <c r="A10" s="8" t="str">
        <v>Kartofler</v>
      </c>
      <c r="B10" s="233">
        <f>(243.8+1677+487.3)/(8.1+35.8+12.8)*10</f>
        <v>424.70899470899468</v>
      </c>
      <c r="C10" s="8"/>
      <c r="D10" s="46">
        <v>0.56999999999999995</v>
      </c>
      <c r="E10" s="230">
        <v>1.2</v>
      </c>
      <c r="F10" s="230">
        <v>1.4</v>
      </c>
      <c r="G10" s="253">
        <v>150</v>
      </c>
      <c r="H10" s="255">
        <f t="shared" si="3"/>
        <v>120</v>
      </c>
      <c r="I10" s="253">
        <v>90</v>
      </c>
      <c r="J10" s="299">
        <f t="shared" si="2"/>
        <v>2.2736943674854606</v>
      </c>
      <c r="K10" s="299">
        <f t="shared" si="2"/>
        <v>15.99169436748546</v>
      </c>
      <c r="L10" s="299">
        <f t="shared" si="2"/>
        <v>40.951694367485452</v>
      </c>
    </row>
    <row r="11" spans="1:15" x14ac:dyDescent="0.25">
      <c r="A11" s="8" t="str">
        <v>Roer</v>
      </c>
      <c r="B11" s="233">
        <f>(2339.9+382.1)/(29+4.5)*10</f>
        <v>812.53731343283573</v>
      </c>
      <c r="C11" s="8"/>
      <c r="D11" s="46">
        <v>0.56999999999999995</v>
      </c>
      <c r="E11" s="230">
        <v>1.2</v>
      </c>
      <c r="F11" s="230">
        <v>1.4</v>
      </c>
      <c r="G11" s="253">
        <v>135</v>
      </c>
      <c r="H11" s="255">
        <f t="shared" si="3"/>
        <v>105</v>
      </c>
      <c r="I11" s="253">
        <v>75</v>
      </c>
      <c r="J11" s="299">
        <f t="shared" si="2"/>
        <v>2.2736943674854606</v>
      </c>
      <c r="K11" s="299">
        <f t="shared" si="2"/>
        <v>15.99169436748546</v>
      </c>
      <c r="L11" s="299">
        <f t="shared" si="2"/>
        <v>40.951694367485452</v>
      </c>
    </row>
    <row r="12" spans="1:15" x14ac:dyDescent="0.25">
      <c r="A12" s="8" t="str">
        <v>Majs</v>
      </c>
      <c r="B12" s="232">
        <v>445.1</v>
      </c>
      <c r="C12" s="8"/>
      <c r="D12" s="46">
        <v>0.83</v>
      </c>
      <c r="E12" s="230">
        <v>1.2</v>
      </c>
      <c r="F12" s="230">
        <v>1.4</v>
      </c>
      <c r="G12" s="253">
        <v>160</v>
      </c>
      <c r="H12" s="255">
        <f t="shared" si="3"/>
        <v>130</v>
      </c>
      <c r="I12" s="253">
        <v>100</v>
      </c>
      <c r="J12" s="299">
        <f t="shared" si="2"/>
        <v>2.2736943674854606</v>
      </c>
      <c r="K12" s="299">
        <f t="shared" si="2"/>
        <v>15.99169436748546</v>
      </c>
      <c r="L12" s="299">
        <f t="shared" si="2"/>
        <v>40.951694367485452</v>
      </c>
    </row>
    <row r="13" spans="1:15" x14ac:dyDescent="0.25">
      <c r="A13" s="8" t="str">
        <v>Frugt</v>
      </c>
      <c r="B13" s="232">
        <v>84.9</v>
      </c>
      <c r="C13" s="8"/>
      <c r="D13" s="46">
        <v>0.56999999999999995</v>
      </c>
      <c r="E13" s="230">
        <v>1.2</v>
      </c>
      <c r="F13" s="230">
        <v>1.4</v>
      </c>
      <c r="G13" s="253">
        <v>140</v>
      </c>
      <c r="H13" s="255">
        <f t="shared" si="3"/>
        <v>140</v>
      </c>
      <c r="I13" s="253">
        <v>140</v>
      </c>
      <c r="J13" s="299">
        <f t="shared" si="2"/>
        <v>1.9656943674854606</v>
      </c>
      <c r="K13" s="299">
        <f t="shared" si="2"/>
        <v>10.661694367485461</v>
      </c>
      <c r="L13" s="299">
        <f t="shared" si="2"/>
        <v>28.501694367485467</v>
      </c>
    </row>
    <row r="14" spans="1:15" x14ac:dyDescent="0.25">
      <c r="A14" s="8" t="str">
        <v>Øvrige</v>
      </c>
      <c r="B14" s="245">
        <f>AVERAGE(B5:B12,B15)</f>
        <v>297.95943508186303</v>
      </c>
      <c r="C14" s="8"/>
      <c r="D14" s="46">
        <v>0.56999999999999995</v>
      </c>
      <c r="E14" s="230">
        <v>1.2</v>
      </c>
      <c r="F14" s="230">
        <v>1.4</v>
      </c>
      <c r="G14" s="254">
        <f>AVERAGE(G5,G7:G13,G15:G18)</f>
        <v>142.08333333333334</v>
      </c>
      <c r="H14" s="254">
        <f t="shared" si="3"/>
        <v>125</v>
      </c>
      <c r="I14" s="254">
        <f>AVERAGE(I5,I7:I13,I15:I18)</f>
        <v>107.91666666666667</v>
      </c>
      <c r="J14" s="299">
        <f t="shared" si="2"/>
        <v>2.2736943674854606</v>
      </c>
      <c r="K14" s="299">
        <f t="shared" si="2"/>
        <v>15.99169436748546</v>
      </c>
      <c r="L14" s="299">
        <f t="shared" si="2"/>
        <v>40.951694367485452</v>
      </c>
    </row>
    <row r="15" spans="1:15" x14ac:dyDescent="0.25">
      <c r="A15" s="8" t="str">
        <v>Frø</v>
      </c>
      <c r="B15" s="245">
        <f>(1575.5+133882.9)/10/(3.5+91.3)</f>
        <v>142.8886075949367</v>
      </c>
      <c r="C15" s="236">
        <v>40</v>
      </c>
      <c r="D15" s="46">
        <v>0.56999999999999995</v>
      </c>
      <c r="E15" s="230">
        <v>1.2</v>
      </c>
      <c r="F15" s="230">
        <v>1.4</v>
      </c>
      <c r="G15" s="253">
        <v>150</v>
      </c>
      <c r="H15" s="255">
        <f t="shared" si="3"/>
        <v>135</v>
      </c>
      <c r="I15" s="253">
        <v>120</v>
      </c>
      <c r="J15" s="299">
        <f t="shared" si="2"/>
        <v>2.2736943674854606</v>
      </c>
      <c r="K15" s="299">
        <f t="shared" si="2"/>
        <v>15.99169436748546</v>
      </c>
      <c r="L15" s="299">
        <f t="shared" si="2"/>
        <v>40.951694367485452</v>
      </c>
    </row>
    <row r="16" spans="1:15" x14ac:dyDescent="0.25">
      <c r="A16" s="8" t="str">
        <v>Juletræer</v>
      </c>
      <c r="B16" s="232">
        <v>500</v>
      </c>
      <c r="C16" s="8"/>
      <c r="D16" s="46">
        <v>0.56999999999999995</v>
      </c>
      <c r="E16" s="230">
        <v>1.2</v>
      </c>
      <c r="F16" s="230">
        <v>1.4</v>
      </c>
      <c r="G16" s="253">
        <v>110</v>
      </c>
      <c r="H16" s="255">
        <f t="shared" si="3"/>
        <v>100</v>
      </c>
      <c r="I16" s="253">
        <v>90</v>
      </c>
      <c r="J16" s="299">
        <f t="shared" si="2"/>
        <v>1.9656943674854606</v>
      </c>
      <c r="K16" s="299">
        <f t="shared" si="2"/>
        <v>10.661694367485461</v>
      </c>
      <c r="L16" s="299">
        <f t="shared" si="2"/>
        <v>28.501694367485467</v>
      </c>
    </row>
    <row r="17" spans="1:13" x14ac:dyDescent="0.25">
      <c r="A17" s="8" t="str">
        <v>Pil &amp; poppel</v>
      </c>
      <c r="B17" s="241">
        <f>100/0.41</f>
        <v>243.90243902439025</v>
      </c>
      <c r="C17" s="8"/>
      <c r="D17" s="46">
        <v>0.56999999999999995</v>
      </c>
      <c r="E17" s="230">
        <v>1.2</v>
      </c>
      <c r="F17" s="230">
        <v>1.4</v>
      </c>
      <c r="G17" s="253">
        <v>120</v>
      </c>
      <c r="H17" s="255">
        <f t="shared" si="3"/>
        <v>120</v>
      </c>
      <c r="I17" s="253">
        <v>120</v>
      </c>
      <c r="J17" s="299">
        <f t="shared" si="2"/>
        <v>1.9656943674854606</v>
      </c>
      <c r="K17" s="299">
        <f t="shared" si="2"/>
        <v>10.661694367485461</v>
      </c>
      <c r="L17" s="299">
        <f t="shared" si="2"/>
        <v>28.501694367485467</v>
      </c>
    </row>
    <row r="18" spans="1:13" x14ac:dyDescent="0.25">
      <c r="A18" s="1" t="str">
        <v>Permanent græs</v>
      </c>
      <c r="B18" s="232">
        <v>137.9</v>
      </c>
      <c r="C18" s="8"/>
      <c r="D18" s="230">
        <v>1</v>
      </c>
      <c r="E18" s="230">
        <v>1.2</v>
      </c>
      <c r="F18" s="230">
        <v>1.4</v>
      </c>
      <c r="G18" s="253">
        <v>50</v>
      </c>
      <c r="H18" s="255">
        <f t="shared" si="3"/>
        <v>50</v>
      </c>
      <c r="I18" s="253">
        <v>50</v>
      </c>
      <c r="J18" s="299">
        <f t="shared" si="2"/>
        <v>1.9656943674854606</v>
      </c>
      <c r="K18" s="299">
        <f t="shared" si="2"/>
        <v>10.661694367485461</v>
      </c>
      <c r="L18" s="299">
        <f t="shared" si="2"/>
        <v>28.501694367485467</v>
      </c>
      <c r="M18" s="267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4" t="s">
        <v>553</v>
      </c>
    </row>
    <row r="21" spans="1:13" x14ac:dyDescent="0.25">
      <c r="A21" s="235" t="s">
        <v>68</v>
      </c>
    </row>
    <row r="22" spans="1:13" x14ac:dyDescent="0.25">
      <c r="A22" s="229" t="s">
        <v>508</v>
      </c>
    </row>
    <row r="23" spans="1:13" x14ac:dyDescent="0.25">
      <c r="A23" s="240" t="s">
        <v>344</v>
      </c>
      <c r="B23" s="240" t="s">
        <v>509</v>
      </c>
    </row>
    <row r="24" spans="1:13" x14ac:dyDescent="0.25">
      <c r="A24" s="231" t="s">
        <v>424</v>
      </c>
    </row>
    <row r="25" spans="1:13" x14ac:dyDescent="0.25">
      <c r="A25" s="3" t="s">
        <v>523</v>
      </c>
    </row>
    <row r="26" spans="1:13" x14ac:dyDescent="0.25">
      <c r="A26" s="256" t="s">
        <v>524</v>
      </c>
    </row>
    <row r="27" spans="1:13" x14ac:dyDescent="0.25">
      <c r="A27" s="215"/>
    </row>
    <row r="28" spans="1:13" ht="15.75" thickBot="1" x14ac:dyDescent="0.3">
      <c r="A28" s="2" t="s">
        <v>434</v>
      </c>
      <c r="I28"/>
    </row>
    <row r="29" spans="1:13" x14ac:dyDescent="0.25">
      <c r="A29" s="285"/>
      <c r="B29" s="270"/>
      <c r="C29" s="289" t="str">
        <f>Organ12</f>
        <v>OC12</v>
      </c>
      <c r="D29" s="289" t="str">
        <f>Organ12</f>
        <v>OC12</v>
      </c>
      <c r="E29" s="289" t="str">
        <f>Organ6</f>
        <v>OC6</v>
      </c>
      <c r="F29" s="289" t="str">
        <f>Organ6</f>
        <v>OC6</v>
      </c>
      <c r="G29" s="160" t="str">
        <f>Jordbund1</f>
        <v>JB1-10</v>
      </c>
      <c r="H29" s="271" t="str">
        <f>Jordbund1</f>
        <v>JB1-10</v>
      </c>
      <c r="I29" s="292" t="s">
        <v>532</v>
      </c>
    </row>
    <row r="30" spans="1:13" x14ac:dyDescent="0.25">
      <c r="A30" s="286" t="s">
        <v>435</v>
      </c>
      <c r="B30" s="287"/>
      <c r="C30" s="287" t="s">
        <v>436</v>
      </c>
      <c r="D30" s="287" t="s">
        <v>531</v>
      </c>
      <c r="E30" s="287" t="s">
        <v>436</v>
      </c>
      <c r="F30" s="287" t="s">
        <v>437</v>
      </c>
      <c r="G30" s="269" t="s">
        <v>436</v>
      </c>
      <c r="H30" s="272" t="s">
        <v>437</v>
      </c>
      <c r="I30" s="170" t="s">
        <v>440</v>
      </c>
      <c r="J30" s="290"/>
    </row>
    <row r="31" spans="1:13" x14ac:dyDescent="0.25">
      <c r="A31" s="286" t="s">
        <v>533</v>
      </c>
      <c r="B31" s="287" t="s">
        <v>438</v>
      </c>
      <c r="C31" s="8">
        <v>42.17</v>
      </c>
      <c r="D31" s="8">
        <v>30.8</v>
      </c>
      <c r="E31" s="8">
        <v>21.08</v>
      </c>
      <c r="F31" s="8">
        <v>15.4</v>
      </c>
      <c r="G31" s="246">
        <v>0.5</v>
      </c>
      <c r="H31" s="273"/>
      <c r="I31" s="170" t="s">
        <v>441</v>
      </c>
      <c r="J31" s="170"/>
    </row>
    <row r="32" spans="1:13" x14ac:dyDescent="0.25">
      <c r="A32" s="286" t="s">
        <v>534</v>
      </c>
      <c r="B32" s="287" t="s">
        <v>438</v>
      </c>
      <c r="C32" s="8">
        <v>-7.2</v>
      </c>
      <c r="D32" s="8">
        <v>-6.8</v>
      </c>
      <c r="E32" s="8">
        <v>-7.2</v>
      </c>
      <c r="F32" s="8">
        <v>-6.8</v>
      </c>
      <c r="G32" s="246"/>
      <c r="H32" s="273"/>
      <c r="I32" s="247" t="s">
        <v>546</v>
      </c>
    </row>
    <row r="33" spans="1:10" x14ac:dyDescent="0.25">
      <c r="A33" s="288" t="s">
        <v>535</v>
      </c>
      <c r="B33" s="287" t="s">
        <v>438</v>
      </c>
      <c r="C33" s="8">
        <v>3.87</v>
      </c>
      <c r="D33" s="8">
        <v>2.44</v>
      </c>
      <c r="E33" s="8">
        <v>0</v>
      </c>
      <c r="F33" s="8">
        <v>0</v>
      </c>
      <c r="G33" s="246">
        <f>0.602-G34</f>
        <v>-0.19200000000000006</v>
      </c>
      <c r="H33" s="273">
        <f>IF(F33&lt;&gt;0,F33*F33/D33,0)</f>
        <v>0</v>
      </c>
      <c r="I33" s="247" t="s">
        <v>545</v>
      </c>
      <c r="J33" s="228"/>
    </row>
    <row r="34" spans="1:10" x14ac:dyDescent="0.25">
      <c r="A34" s="300" t="s">
        <v>536</v>
      </c>
      <c r="B34" s="301" t="s">
        <v>438</v>
      </c>
      <c r="C34" s="269">
        <v>0.78</v>
      </c>
      <c r="D34" s="269">
        <v>0.78</v>
      </c>
      <c r="E34" s="269">
        <v>0.78</v>
      </c>
      <c r="F34" s="269">
        <v>0.78</v>
      </c>
      <c r="G34" s="246">
        <v>0.79400000000000004</v>
      </c>
      <c r="H34" s="273">
        <v>0.79400000000000004</v>
      </c>
    </row>
    <row r="35" spans="1:10" x14ac:dyDescent="0.25">
      <c r="A35" s="300" t="s">
        <v>537</v>
      </c>
      <c r="B35" s="301" t="s">
        <v>438</v>
      </c>
      <c r="C35" s="269">
        <v>0.01</v>
      </c>
      <c r="D35" s="269">
        <v>0.01</v>
      </c>
      <c r="E35" s="269">
        <v>0.01</v>
      </c>
      <c r="F35" s="269">
        <v>0.01</v>
      </c>
      <c r="G35" s="246"/>
      <c r="H35" s="273"/>
      <c r="J35" s="291"/>
    </row>
    <row r="36" spans="1:10" x14ac:dyDescent="0.25">
      <c r="A36" s="300" t="s">
        <v>538</v>
      </c>
      <c r="B36" s="301" t="s">
        <v>438</v>
      </c>
      <c r="C36" s="269">
        <v>0.15</v>
      </c>
      <c r="D36" s="269">
        <v>0.1</v>
      </c>
      <c r="E36" s="269">
        <v>0.15</v>
      </c>
      <c r="F36" s="269">
        <v>0.1</v>
      </c>
      <c r="G36" s="246"/>
      <c r="H36" s="273"/>
      <c r="J36" s="207"/>
    </row>
    <row r="37" spans="1:10" ht="15.75" thickBot="1" x14ac:dyDescent="0.3">
      <c r="A37" s="294" t="s">
        <v>539</v>
      </c>
      <c r="B37" s="295" t="s">
        <v>438</v>
      </c>
      <c r="C37" s="296">
        <v>0.4</v>
      </c>
      <c r="D37" s="296">
        <v>0.4</v>
      </c>
      <c r="E37" s="296">
        <v>0.4</v>
      </c>
      <c r="F37" s="296">
        <v>0.4</v>
      </c>
      <c r="G37" s="296">
        <f t="shared" ref="G37:H37" si="4">IF(E37&lt;&gt;0,E37*E37/C37,0)</f>
        <v>0.40000000000000008</v>
      </c>
      <c r="H37" s="297">
        <f t="shared" si="4"/>
        <v>0.40000000000000008</v>
      </c>
      <c r="I37" s="1" t="s">
        <v>543</v>
      </c>
    </row>
    <row r="38" spans="1:10" x14ac:dyDescent="0.25">
      <c r="A38" s="281" t="s">
        <v>439</v>
      </c>
      <c r="B38" s="282" t="s">
        <v>438</v>
      </c>
      <c r="C38" s="283">
        <f>SUM(C31:C32)</f>
        <v>34.97</v>
      </c>
      <c r="D38" s="283">
        <f t="shared" ref="D38:H38" si="5">SUM(D31:D32)</f>
        <v>24</v>
      </c>
      <c r="E38" s="283">
        <f t="shared" si="5"/>
        <v>13.879999999999999</v>
      </c>
      <c r="F38" s="283">
        <f t="shared" si="5"/>
        <v>8.6000000000000014</v>
      </c>
      <c r="G38" s="283">
        <f t="shared" si="5"/>
        <v>0.5</v>
      </c>
      <c r="H38" s="284">
        <f t="shared" si="5"/>
        <v>0</v>
      </c>
    </row>
    <row r="39" spans="1:10" x14ac:dyDescent="0.25">
      <c r="A39" s="274" t="s">
        <v>540</v>
      </c>
      <c r="B39" s="275" t="s">
        <v>438</v>
      </c>
      <c r="C39" s="230">
        <f>SUM(C33:C36)</f>
        <v>4.8100000000000005</v>
      </c>
      <c r="D39" s="230">
        <f t="shared" ref="D39:H39" si="6">SUM(D33:D36)</f>
        <v>3.3299999999999996</v>
      </c>
      <c r="E39" s="230">
        <f t="shared" si="6"/>
        <v>0.94000000000000006</v>
      </c>
      <c r="F39" s="230">
        <f t="shared" si="6"/>
        <v>0.89</v>
      </c>
      <c r="G39" s="230">
        <f t="shared" si="6"/>
        <v>0.60199999999999998</v>
      </c>
      <c r="H39" s="276">
        <f t="shared" si="6"/>
        <v>0.79400000000000004</v>
      </c>
    </row>
    <row r="40" spans="1:10" ht="15.75" thickBot="1" x14ac:dyDescent="0.3">
      <c r="A40" s="277" t="s">
        <v>541</v>
      </c>
      <c r="B40" s="278" t="s">
        <v>438</v>
      </c>
      <c r="C40" s="279">
        <f>C37</f>
        <v>0.4</v>
      </c>
      <c r="D40" s="279">
        <f t="shared" ref="D40:H40" si="7">D37</f>
        <v>0.4</v>
      </c>
      <c r="E40" s="279">
        <f t="shared" si="7"/>
        <v>0.4</v>
      </c>
      <c r="F40" s="279">
        <f t="shared" si="7"/>
        <v>0.4</v>
      </c>
      <c r="G40" s="279">
        <f t="shared" si="7"/>
        <v>0.40000000000000008</v>
      </c>
      <c r="H40" s="280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876</v>
      </c>
      <c r="B42" s="1" t="s">
        <v>875</v>
      </c>
      <c r="J42" s="449" t="s">
        <v>864</v>
      </c>
    </row>
    <row r="43" spans="1:10" ht="15.75" thickBot="1" x14ac:dyDescent="0.3">
      <c r="A43" s="443" t="s">
        <v>835</v>
      </c>
      <c r="B43" s="445">
        <v>11041.260135196238</v>
      </c>
      <c r="D43" s="1">
        <f>SUM(D44:D53)</f>
        <v>1.1716943674854605</v>
      </c>
      <c r="E43" s="1" t="s">
        <v>834</v>
      </c>
      <c r="F43" s="1" t="s">
        <v>851</v>
      </c>
      <c r="I43" s="449" t="s">
        <v>877</v>
      </c>
      <c r="J43" s="450">
        <v>2019</v>
      </c>
    </row>
    <row r="44" spans="1:10" x14ac:dyDescent="0.25">
      <c r="A44" s="442" t="s">
        <v>836</v>
      </c>
      <c r="B44" s="444">
        <v>3767.3551588371374</v>
      </c>
      <c r="C44" s="1" t="s">
        <v>850</v>
      </c>
      <c r="F44" s="1">
        <v>2578370</v>
      </c>
      <c r="I44" s="453" t="s">
        <v>852</v>
      </c>
      <c r="J44" s="451">
        <v>27.011008109722574</v>
      </c>
    </row>
    <row r="45" spans="1:10" x14ac:dyDescent="0.25">
      <c r="A45" s="442" t="s">
        <v>837</v>
      </c>
      <c r="B45" s="444">
        <v>2952.39814048791</v>
      </c>
      <c r="C45" s="1" t="s">
        <v>833</v>
      </c>
      <c r="D45" s="463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3" t="s">
        <v>853</v>
      </c>
      <c r="J45" s="451">
        <v>13.494661638352639</v>
      </c>
    </row>
    <row r="46" spans="1:10" x14ac:dyDescent="0.25">
      <c r="A46" s="442" t="s">
        <v>838</v>
      </c>
      <c r="B46" s="444" t="s">
        <v>839</v>
      </c>
      <c r="F46" s="1">
        <v>2578370</v>
      </c>
      <c r="I46" s="453" t="s">
        <v>854</v>
      </c>
      <c r="J46" s="451">
        <v>4.2965611392438922E-2</v>
      </c>
    </row>
    <row r="47" spans="1:10" x14ac:dyDescent="0.25">
      <c r="A47" s="442" t="s">
        <v>840</v>
      </c>
      <c r="B47" s="444">
        <v>4072.8452465785531</v>
      </c>
      <c r="C47" s="1" t="s">
        <v>832</v>
      </c>
      <c r="D47" s="463">
        <f>(B47*1000-E47)/F46</f>
        <v>1.6416267822611006</v>
      </c>
      <c r="E47" s="1">
        <v>-159876</v>
      </c>
      <c r="F47" s="1">
        <v>2578370</v>
      </c>
      <c r="I47" s="453" t="s">
        <v>855</v>
      </c>
      <c r="J47" s="459"/>
    </row>
    <row r="48" spans="1:10" x14ac:dyDescent="0.25">
      <c r="A48" s="442" t="s">
        <v>841</v>
      </c>
      <c r="B48" s="444" t="s">
        <v>839</v>
      </c>
      <c r="F48" s="1">
        <v>2578370</v>
      </c>
      <c r="I48" s="453" t="s">
        <v>856</v>
      </c>
      <c r="J48" s="451">
        <v>5.411826658030066E-3</v>
      </c>
    </row>
    <row r="49" spans="1:10" x14ac:dyDescent="0.25">
      <c r="A49" s="442" t="s">
        <v>842</v>
      </c>
      <c r="B49" s="444">
        <v>4.4812370430000001</v>
      </c>
      <c r="D49" s="1">
        <f>B49/F49</f>
        <v>1.7380116286646214E-6</v>
      </c>
      <c r="F49" s="1">
        <v>2578370</v>
      </c>
      <c r="I49" s="453" t="s">
        <v>857</v>
      </c>
      <c r="J49" s="451">
        <v>0.47525986757812505</v>
      </c>
    </row>
    <row r="50" spans="1:10" x14ac:dyDescent="0.25">
      <c r="A50" s="442" t="s">
        <v>843</v>
      </c>
      <c r="B50" s="444">
        <v>239.91601891630901</v>
      </c>
      <c r="D50" s="1">
        <f t="shared" ref="D50:D52" si="8">B50/F50</f>
        <v>9.3049492088532299E-5</v>
      </c>
      <c r="F50" s="1">
        <v>2578370</v>
      </c>
      <c r="I50" s="453" t="s">
        <v>858</v>
      </c>
      <c r="J50" s="451">
        <v>41.882892458812613</v>
      </c>
    </row>
    <row r="51" spans="1:10" x14ac:dyDescent="0.25">
      <c r="A51" s="442" t="s">
        <v>844</v>
      </c>
      <c r="B51" s="444">
        <v>1.39333333333333</v>
      </c>
      <c r="D51" s="1">
        <f t="shared" si="8"/>
        <v>5.4039309072527606E-7</v>
      </c>
      <c r="F51" s="1">
        <v>2578370</v>
      </c>
      <c r="I51" s="453" t="s">
        <v>859</v>
      </c>
      <c r="J51" s="451">
        <v>0.58710980836771465</v>
      </c>
    </row>
    <row r="52" spans="1:10" x14ac:dyDescent="0.25">
      <c r="A52" s="442" t="s">
        <v>845</v>
      </c>
      <c r="B52" s="444">
        <v>2.871</v>
      </c>
      <c r="D52" s="1">
        <f t="shared" si="8"/>
        <v>1.1134941843102424E-6</v>
      </c>
      <c r="F52" s="1">
        <v>2578370</v>
      </c>
      <c r="I52" s="453" t="s">
        <v>860</v>
      </c>
      <c r="J52" s="451">
        <v>1.1986960661131167</v>
      </c>
    </row>
    <row r="53" spans="1:10" x14ac:dyDescent="0.25">
      <c r="A53" s="442" t="s">
        <v>846</v>
      </c>
      <c r="B53" s="444" t="s">
        <v>847</v>
      </c>
      <c r="F53" s="1">
        <v>2578370</v>
      </c>
      <c r="I53" s="453" t="s">
        <v>861</v>
      </c>
      <c r="J53" s="462">
        <v>2.5311427660799999E-3</v>
      </c>
    </row>
    <row r="54" spans="1:10" x14ac:dyDescent="0.25">
      <c r="A54" s="465" t="s">
        <v>848</v>
      </c>
      <c r="I54" s="453" t="s">
        <v>862</v>
      </c>
      <c r="J54" s="456">
        <v>3.2264792749629999E-4</v>
      </c>
    </row>
    <row r="55" spans="1:10" ht="15.75" thickBot="1" x14ac:dyDescent="0.3">
      <c r="A55" s="464" t="s">
        <v>849</v>
      </c>
      <c r="B55" s="466">
        <v>4586.0116630635248</v>
      </c>
      <c r="I55" s="447" t="s">
        <v>863</v>
      </c>
      <c r="J55" s="462">
        <v>1.4385168E-3</v>
      </c>
    </row>
    <row r="56" spans="1:10" ht="15.75" thickBot="1" x14ac:dyDescent="0.3">
      <c r="B56" s="267">
        <f>SUM(B44,B45,B47,B55)</f>
        <v>15378.610208967126</v>
      </c>
      <c r="I56" s="457" t="s">
        <v>111</v>
      </c>
      <c r="J56" s="448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874</v>
      </c>
      <c r="B62" s="1" t="s">
        <v>873</v>
      </c>
    </row>
    <row r="63" spans="1:10" ht="15.75" thickBot="1" x14ac:dyDescent="0.3">
      <c r="A63" s="469"/>
      <c r="B63" s="454">
        <v>2019</v>
      </c>
      <c r="C63" s="1" t="s">
        <v>872</v>
      </c>
    </row>
    <row r="64" spans="1:10" x14ac:dyDescent="0.25">
      <c r="A64" s="470" t="s">
        <v>867</v>
      </c>
      <c r="B64" s="467">
        <v>12.32</v>
      </c>
      <c r="C64" s="472">
        <f>1-B65/B64</f>
        <v>0.40827922077922074</v>
      </c>
    </row>
    <row r="65" spans="1:3" x14ac:dyDescent="0.25">
      <c r="A65" s="470" t="s">
        <v>868</v>
      </c>
      <c r="B65" s="467">
        <v>7.29</v>
      </c>
      <c r="C65" s="472"/>
    </row>
    <row r="66" spans="1:3" x14ac:dyDescent="0.25">
      <c r="A66" s="470" t="s">
        <v>869</v>
      </c>
      <c r="B66" s="467">
        <v>13.33</v>
      </c>
      <c r="C66" s="472">
        <f>1-B67/B66</f>
        <v>0.2235558889722431</v>
      </c>
    </row>
    <row r="67" spans="1:3" x14ac:dyDescent="0.25">
      <c r="A67" s="470" t="s">
        <v>870</v>
      </c>
      <c r="B67" s="467">
        <v>10.35</v>
      </c>
      <c r="C67" s="472"/>
    </row>
    <row r="68" spans="1:3" ht="15.75" thickBot="1" x14ac:dyDescent="0.3">
      <c r="A68" s="471" t="s">
        <v>871</v>
      </c>
      <c r="B68" s="468">
        <v>10.14</v>
      </c>
      <c r="C68" s="472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9"/>
      <c r="B1" s="269" t="s">
        <v>408</v>
      </c>
      <c r="C1" s="269" t="s">
        <v>409</v>
      </c>
      <c r="D1" s="269" t="s">
        <v>491</v>
      </c>
      <c r="E1" s="269" t="s">
        <v>493</v>
      </c>
      <c r="F1" s="269" t="s">
        <v>492</v>
      </c>
    </row>
    <row r="2" spans="1:18" x14ac:dyDescent="0.25">
      <c r="A2" s="269" t="s">
        <v>11</v>
      </c>
      <c r="B2" s="269">
        <f>SUMIF($D$23:$D$63,A2,$E$23:$E$63)/SUMIF($D$23:$D$63,A2,$F$23:$F$63)</f>
        <v>0.89989334145969835</v>
      </c>
      <c r="C2" s="269">
        <f>B2*1000</f>
        <v>899.89334145969838</v>
      </c>
      <c r="D2" s="269">
        <f>SUMIF($D$23:$D$63,$A2,E$23:E$63)</f>
        <v>5906</v>
      </c>
      <c r="E2" s="420">
        <f>D2/SUM($D$2:$D$16)</f>
        <v>0.39994582515067378</v>
      </c>
      <c r="F2" s="269" t="s">
        <v>486</v>
      </c>
      <c r="I2" s="269" t="s">
        <v>498</v>
      </c>
      <c r="J2" s="269"/>
      <c r="P2" s="269" t="s">
        <v>494</v>
      </c>
      <c r="Q2" s="269" t="s">
        <v>496</v>
      </c>
      <c r="R2" s="269" t="s">
        <v>497</v>
      </c>
    </row>
    <row r="3" spans="1:18" x14ac:dyDescent="0.25">
      <c r="A3" s="269" t="s">
        <v>37</v>
      </c>
      <c r="B3" s="269">
        <f>SUMIF($D$23:$D$63,A3,$E$23:$E$63)/SUMIF($D$23:$D$63,A3,$F$23:$F$63)</f>
        <v>0.19003476245654694</v>
      </c>
      <c r="C3" s="269">
        <f t="shared" ref="C3:C16" si="0">B3*1000</f>
        <v>190.03476245654693</v>
      </c>
      <c r="D3" s="269">
        <f>SUMIF($D$23:$D$63,$A3,E$23:E$63)</f>
        <v>164</v>
      </c>
      <c r="E3" s="420">
        <f t="shared" ref="E3:E15" si="1">D3/SUM($D$2:$D$16)</f>
        <v>1.1105844111871065E-2</v>
      </c>
      <c r="F3" s="269" t="s">
        <v>486</v>
      </c>
      <c r="I3" s="269" t="s">
        <v>11</v>
      </c>
      <c r="J3" s="269">
        <f>Q3/SUM($Q$3,$Q$5,$Q$9)</f>
        <v>0.30717549045955389</v>
      </c>
      <c r="P3" s="269" t="s">
        <v>11</v>
      </c>
      <c r="Q3" s="269">
        <f>I23+I31</f>
        <v>1143</v>
      </c>
      <c r="R3" s="269">
        <f>J23+J31</f>
        <v>1125</v>
      </c>
    </row>
    <row r="4" spans="1:18" x14ac:dyDescent="0.25">
      <c r="A4" s="269" t="s">
        <v>188</v>
      </c>
      <c r="B4" s="269">
        <v>0.25</v>
      </c>
      <c r="C4" s="269">
        <f t="shared" si="0"/>
        <v>250</v>
      </c>
      <c r="D4" s="269">
        <f t="shared" ref="D4:D13" si="2">SUMIF($D$23:$D$63,$A4,E$23:E$63)</f>
        <v>0</v>
      </c>
      <c r="E4" s="420">
        <f t="shared" si="1"/>
        <v>0</v>
      </c>
      <c r="F4" s="269" t="s">
        <v>350</v>
      </c>
      <c r="I4" s="269" t="s">
        <v>177</v>
      </c>
      <c r="J4" s="269">
        <f>Q5/SUM($Q$3,$Q$5,$Q$9)</f>
        <v>0.62644450416554687</v>
      </c>
      <c r="P4" s="269" t="s">
        <v>14</v>
      </c>
      <c r="Q4" s="269">
        <f>I30</f>
        <v>8</v>
      </c>
      <c r="R4" s="269">
        <f>J30</f>
        <v>8</v>
      </c>
    </row>
    <row r="5" spans="1:18" x14ac:dyDescent="0.25">
      <c r="A5" s="269" t="s">
        <v>14</v>
      </c>
      <c r="B5" s="269">
        <f>SUMIF($D$23:$D$63,A5,$E$23:$E$63)/SUMIF($D$23:$D$63,A5,$F$23:$F$63)</f>
        <v>1.0833333333333333</v>
      </c>
      <c r="C5" s="269">
        <f t="shared" si="0"/>
        <v>1083.3333333333333</v>
      </c>
      <c r="D5" s="269">
        <f t="shared" si="2"/>
        <v>78</v>
      </c>
      <c r="E5" s="420">
        <f t="shared" si="1"/>
        <v>5.2820478093045303E-3</v>
      </c>
      <c r="F5" s="269" t="s">
        <v>486</v>
      </c>
      <c r="I5" s="269" t="s">
        <v>42</v>
      </c>
      <c r="J5" s="269">
        <f>Q9/SUM($Q$3,$Q$5,$Q$9)</f>
        <v>6.6380005374899215E-2</v>
      </c>
      <c r="P5" s="269" t="s">
        <v>495</v>
      </c>
      <c r="Q5" s="269">
        <f>I34</f>
        <v>2331</v>
      </c>
      <c r="R5" s="269">
        <f>J34</f>
        <v>2034</v>
      </c>
    </row>
    <row r="6" spans="1:18" x14ac:dyDescent="0.25">
      <c r="A6" s="269" t="s">
        <v>42</v>
      </c>
      <c r="B6" s="269">
        <f>SUMIF($D$23:$D$63,A6,$E$23:$E$63)/SUMIF($D$23:$D$63,A6,$F$23:$F$63)</f>
        <v>0.15228966986155484</v>
      </c>
      <c r="C6" s="269">
        <f t="shared" si="0"/>
        <v>152.28966986155484</v>
      </c>
      <c r="D6" s="269">
        <f t="shared" si="2"/>
        <v>143</v>
      </c>
      <c r="E6" s="420">
        <f t="shared" si="1"/>
        <v>9.683754317058306E-3</v>
      </c>
      <c r="F6" s="269" t="s">
        <v>486</v>
      </c>
      <c r="P6" s="269" t="s">
        <v>465</v>
      </c>
      <c r="Q6" s="269">
        <f>I41</f>
        <v>5</v>
      </c>
      <c r="R6" s="269">
        <f>J41</f>
        <v>148</v>
      </c>
    </row>
    <row r="7" spans="1:18" x14ac:dyDescent="0.25">
      <c r="A7" s="269" t="s">
        <v>15</v>
      </c>
      <c r="B7" s="269">
        <f>SUMIF($D$23:$D$63,A7,$E$23:$E$63)/SUMIF($D$23:$D$63,A7,$F$23:$F$63)</f>
        <v>0.26492478226444971</v>
      </c>
      <c r="C7" s="269">
        <f t="shared" si="0"/>
        <v>264.92478226444973</v>
      </c>
      <c r="D7" s="269">
        <f t="shared" si="2"/>
        <v>1673</v>
      </c>
      <c r="E7" s="420">
        <f t="shared" si="1"/>
        <v>0.1132931536534164</v>
      </c>
      <c r="F7" s="269" t="s">
        <v>486</v>
      </c>
      <c r="P7" s="269" t="s">
        <v>467</v>
      </c>
      <c r="Q7" s="269">
        <f>I43</f>
        <v>159</v>
      </c>
      <c r="R7" s="269">
        <f>J43</f>
        <v>248</v>
      </c>
    </row>
    <row r="8" spans="1:18" x14ac:dyDescent="0.25">
      <c r="A8" s="269" t="s">
        <v>722</v>
      </c>
      <c r="B8" s="269">
        <f>SUMIF($D$23:$D$63,A8,$E$23:$E$63)/SUMIF($D$23:$D$63,A8,$F$23:$F$63)</f>
        <v>1.00836820083682</v>
      </c>
      <c r="C8" s="269">
        <f t="shared" ref="C8" si="3">B8*1000</f>
        <v>1008.3682008368201</v>
      </c>
      <c r="D8" s="269">
        <f t="shared" ref="D8" si="4">SUMIF($D$23:$D$63,$A8,E$23:E$63)</f>
        <v>241</v>
      </c>
      <c r="E8" s="420">
        <f t="shared" si="1"/>
        <v>1.6320173359517843E-2</v>
      </c>
      <c r="F8" s="269" t="s">
        <v>486</v>
      </c>
      <c r="P8" s="269" t="s">
        <v>474</v>
      </c>
      <c r="Q8" s="269">
        <f>I50</f>
        <v>79</v>
      </c>
      <c r="R8" s="269">
        <f>J50</f>
        <v>28</v>
      </c>
    </row>
    <row r="9" spans="1:18" x14ac:dyDescent="0.25">
      <c r="A9" s="269" t="s">
        <v>310</v>
      </c>
      <c r="B9" s="269">
        <v>1.36</v>
      </c>
      <c r="C9" s="269">
        <f t="shared" si="0"/>
        <v>1360</v>
      </c>
      <c r="D9" s="269">
        <f t="shared" si="2"/>
        <v>0</v>
      </c>
      <c r="E9" s="420">
        <f t="shared" si="1"/>
        <v>0</v>
      </c>
      <c r="F9" s="269" t="s">
        <v>349</v>
      </c>
      <c r="P9" s="269" t="s">
        <v>476</v>
      </c>
      <c r="Q9" s="269">
        <f>I54</f>
        <v>247</v>
      </c>
      <c r="R9" s="269">
        <f>J54</f>
        <v>1764</v>
      </c>
    </row>
    <row r="10" spans="1:18" x14ac:dyDescent="0.25">
      <c r="A10" s="269" t="s">
        <v>311</v>
      </c>
      <c r="B10" s="269">
        <v>1.41</v>
      </c>
      <c r="C10" s="269">
        <f t="shared" si="0"/>
        <v>1410</v>
      </c>
      <c r="D10" s="269">
        <f t="shared" si="2"/>
        <v>0</v>
      </c>
      <c r="E10" s="420">
        <f t="shared" si="1"/>
        <v>0</v>
      </c>
      <c r="F10" s="269" t="s">
        <v>349</v>
      </c>
    </row>
    <row r="11" spans="1:18" x14ac:dyDescent="0.25">
      <c r="A11" s="269" t="s">
        <v>13</v>
      </c>
      <c r="B11" s="269">
        <f>SUMIF($D$23:$D$63,A11,$E$23:$E$63)/SUMIF($D$23:$D$63,A11,$F$23:$F$63)</f>
        <v>0.16631286143034918</v>
      </c>
      <c r="C11" s="269">
        <f t="shared" si="0"/>
        <v>166.31286143034919</v>
      </c>
      <c r="D11" s="269">
        <f t="shared" si="2"/>
        <v>2272</v>
      </c>
      <c r="E11" s="420">
        <f t="shared" si="1"/>
        <v>0.15385657208640888</v>
      </c>
      <c r="F11" s="269" t="s">
        <v>486</v>
      </c>
    </row>
    <row r="12" spans="1:18" x14ac:dyDescent="0.25">
      <c r="A12" s="302" t="s">
        <v>432</v>
      </c>
      <c r="B12" s="269">
        <f>SUMIF($D$23:$D$63,A12,$E$23:$E$63)/SUMIF($D$23:$D$63,A12,$F$23:$F$63)</f>
        <v>9.6335697399527187E-2</v>
      </c>
      <c r="C12" s="269">
        <f t="shared" si="0"/>
        <v>96.335697399527191</v>
      </c>
      <c r="D12" s="269">
        <f t="shared" si="2"/>
        <v>163</v>
      </c>
      <c r="E12" s="420">
        <f t="shared" si="1"/>
        <v>1.1038125550213313E-2</v>
      </c>
      <c r="F12" s="269" t="s">
        <v>486</v>
      </c>
    </row>
    <row r="13" spans="1:18" x14ac:dyDescent="0.25">
      <c r="A13" s="302" t="s">
        <v>659</v>
      </c>
      <c r="B13" s="269">
        <f>'Procesdata (baggrund)'!G4</f>
        <v>0.30940000000000001</v>
      </c>
      <c r="C13" s="269">
        <f t="shared" si="0"/>
        <v>309.40000000000003</v>
      </c>
      <c r="D13" s="269">
        <f t="shared" si="2"/>
        <v>0</v>
      </c>
      <c r="E13" s="420">
        <f t="shared" si="1"/>
        <v>0</v>
      </c>
      <c r="F13" s="269" t="s">
        <v>660</v>
      </c>
    </row>
    <row r="14" spans="1:18" x14ac:dyDescent="0.25">
      <c r="A14" s="302" t="s">
        <v>657</v>
      </c>
      <c r="B14" s="302">
        <f>'Procesdata (baggrund)'!G3</f>
        <v>0.19800000000000001</v>
      </c>
      <c r="C14" s="269">
        <f>C15</f>
        <v>2750</v>
      </c>
      <c r="D14" s="269">
        <v>0</v>
      </c>
      <c r="E14" s="420">
        <v>0</v>
      </c>
      <c r="F14" s="269" t="s">
        <v>661</v>
      </c>
    </row>
    <row r="15" spans="1:18" x14ac:dyDescent="0.25">
      <c r="A15" s="302" t="s">
        <v>426</v>
      </c>
      <c r="B15" s="269">
        <f>SUMIF($D$23:$D$63,A15,$E$23:$E$63)/SUMIF($D$23:$D$63,A15,$F$23:$F$63)</f>
        <v>2.75</v>
      </c>
      <c r="C15" s="269">
        <f t="shared" si="0"/>
        <v>2750</v>
      </c>
      <c r="D15" s="269">
        <f>SUMIF($D$23:$D$63,$A15,E$23:E$63)</f>
        <v>121</v>
      </c>
      <c r="E15" s="420">
        <f t="shared" si="1"/>
        <v>8.1939459605877979E-3</v>
      </c>
      <c r="F15" s="269" t="s">
        <v>486</v>
      </c>
    </row>
    <row r="16" spans="1:18" x14ac:dyDescent="0.25">
      <c r="A16" s="302" t="s">
        <v>499</v>
      </c>
      <c r="B16" s="269">
        <f>SUMIF($H$23:$H$63,A16,$I$23:$I$63)/SUMIF($H$23:$H$63,A16,$J$23:$J$63)</f>
        <v>0.74322820037105752</v>
      </c>
      <c r="C16" s="269">
        <f t="shared" si="0"/>
        <v>743.22820037105748</v>
      </c>
      <c r="D16" s="269">
        <f>SUMIF($H$23:$H$63,$A16,I$23:I$63)</f>
        <v>4006</v>
      </c>
      <c r="E16" s="420">
        <f>D16/SUM($D$2:$D$16)</f>
        <v>0.27128055800094808</v>
      </c>
      <c r="F16" s="269"/>
    </row>
    <row r="18" spans="1:11" ht="17.25" x14ac:dyDescent="0.3">
      <c r="A18" s="217" t="s">
        <v>443</v>
      </c>
    </row>
    <row r="19" spans="1:11" x14ac:dyDescent="0.25">
      <c r="A19" s="218" t="s">
        <v>107</v>
      </c>
      <c r="E19" t="s">
        <v>487</v>
      </c>
      <c r="H19" t="s">
        <v>488</v>
      </c>
    </row>
    <row r="20" spans="1:11" x14ac:dyDescent="0.25">
      <c r="D20" t="s">
        <v>489</v>
      </c>
      <c r="E20" s="226" t="s">
        <v>445</v>
      </c>
      <c r="F20" s="219" t="s">
        <v>444</v>
      </c>
      <c r="G20" s="219" t="s">
        <v>408</v>
      </c>
      <c r="H20" s="219" t="s">
        <v>490</v>
      </c>
      <c r="I20" s="219" t="s">
        <v>445</v>
      </c>
      <c r="J20" s="225" t="s">
        <v>444</v>
      </c>
      <c r="K20" s="226" t="s">
        <v>408</v>
      </c>
    </row>
    <row r="21" spans="1:11" x14ac:dyDescent="0.25">
      <c r="A21" s="219" t="s">
        <v>445</v>
      </c>
      <c r="B21" s="219" t="s">
        <v>446</v>
      </c>
      <c r="C21" s="219" t="s">
        <v>447</v>
      </c>
      <c r="D21" s="219"/>
      <c r="E21" s="304">
        <v>10908</v>
      </c>
      <c r="F21" s="304" t="s">
        <v>140</v>
      </c>
      <c r="G21" s="304" t="str">
        <f t="shared" ref="G21:G63" si="5">IFERROR(E21/F21,"")</f>
        <v/>
      </c>
      <c r="H21" s="304"/>
      <c r="I21" s="304">
        <v>4007</v>
      </c>
      <c r="J21" s="305" t="s">
        <v>140</v>
      </c>
      <c r="K21" s="220" t="str">
        <f t="shared" ref="K21:K63" si="6">IFERROR(I21/J21,"")</f>
        <v/>
      </c>
    </row>
    <row r="22" spans="1:11" x14ac:dyDescent="0.25">
      <c r="C22" s="219" t="s">
        <v>448</v>
      </c>
      <c r="D22" s="219"/>
      <c r="E22" s="304">
        <v>6444</v>
      </c>
      <c r="F22" s="304" t="s">
        <v>140</v>
      </c>
      <c r="G22" s="304" t="str">
        <f t="shared" si="5"/>
        <v/>
      </c>
      <c r="H22" s="304"/>
      <c r="I22" s="304">
        <v>3759</v>
      </c>
      <c r="J22" s="305" t="s">
        <v>140</v>
      </c>
      <c r="K22" s="220" t="str">
        <f t="shared" si="6"/>
        <v/>
      </c>
    </row>
    <row r="23" spans="1:11" x14ac:dyDescent="0.25">
      <c r="C23" s="219" t="s">
        <v>449</v>
      </c>
      <c r="D23" s="219" t="s">
        <v>11</v>
      </c>
      <c r="E23" s="306">
        <v>5666</v>
      </c>
      <c r="F23" s="304">
        <v>5770</v>
      </c>
      <c r="G23" s="304">
        <f t="shared" si="5"/>
        <v>0.98197573656845749</v>
      </c>
      <c r="H23" s="73" t="s">
        <v>499</v>
      </c>
      <c r="I23" s="304">
        <v>1036</v>
      </c>
      <c r="J23" s="307">
        <v>1011</v>
      </c>
      <c r="K23" s="220">
        <f t="shared" si="6"/>
        <v>1.0247279920870425</v>
      </c>
    </row>
    <row r="24" spans="1:11" x14ac:dyDescent="0.25">
      <c r="C24" s="221" t="s">
        <v>450</v>
      </c>
      <c r="D24" s="221"/>
      <c r="E24" s="308">
        <v>2591</v>
      </c>
      <c r="F24" s="308">
        <v>2530</v>
      </c>
      <c r="G24" s="308">
        <f t="shared" si="5"/>
        <v>1.024110671936759</v>
      </c>
      <c r="H24" s="308"/>
      <c r="I24" s="308">
        <v>247</v>
      </c>
      <c r="J24" s="307">
        <v>241</v>
      </c>
      <c r="K24" s="220">
        <f t="shared" si="6"/>
        <v>1.0248962655601659</v>
      </c>
    </row>
    <row r="25" spans="1:11" x14ac:dyDescent="0.25">
      <c r="C25" s="221" t="s">
        <v>199</v>
      </c>
      <c r="D25" s="221"/>
      <c r="E25" s="308">
        <v>379</v>
      </c>
      <c r="F25" s="308">
        <v>379</v>
      </c>
      <c r="G25" s="308">
        <f t="shared" si="5"/>
        <v>1</v>
      </c>
      <c r="H25" s="308"/>
      <c r="I25" s="308">
        <v>61</v>
      </c>
      <c r="J25" s="307">
        <v>61</v>
      </c>
      <c r="K25" s="220">
        <f t="shared" si="6"/>
        <v>1</v>
      </c>
    </row>
    <row r="26" spans="1:11" x14ac:dyDescent="0.25">
      <c r="C26" s="221" t="s">
        <v>451</v>
      </c>
      <c r="D26" s="221"/>
      <c r="E26" s="308">
        <v>2475</v>
      </c>
      <c r="F26" s="308">
        <v>2591</v>
      </c>
      <c r="G26" s="308">
        <f t="shared" si="5"/>
        <v>0.95522964106522579</v>
      </c>
      <c r="H26" s="308"/>
      <c r="I26" s="308">
        <v>85</v>
      </c>
      <c r="J26" s="307">
        <v>89</v>
      </c>
      <c r="K26" s="220">
        <f t="shared" si="6"/>
        <v>0.9550561797752809</v>
      </c>
    </row>
    <row r="27" spans="1:11" x14ac:dyDescent="0.25">
      <c r="C27" s="221" t="s">
        <v>452</v>
      </c>
      <c r="D27" s="221"/>
      <c r="E27" s="308">
        <v>187</v>
      </c>
      <c r="F27" s="308">
        <v>236</v>
      </c>
      <c r="G27" s="308">
        <f t="shared" si="5"/>
        <v>0.7923728813559322</v>
      </c>
      <c r="H27" s="308"/>
      <c r="I27" s="308">
        <v>7</v>
      </c>
      <c r="J27" s="307">
        <v>9</v>
      </c>
      <c r="K27" s="220">
        <f t="shared" si="6"/>
        <v>0.77777777777777779</v>
      </c>
    </row>
    <row r="28" spans="1:11" x14ac:dyDescent="0.25">
      <c r="C28" s="221" t="s">
        <v>453</v>
      </c>
      <c r="D28" s="221"/>
      <c r="E28" s="308">
        <v>33</v>
      </c>
      <c r="F28" s="308">
        <v>33</v>
      </c>
      <c r="G28" s="308">
        <f t="shared" si="5"/>
        <v>1</v>
      </c>
      <c r="H28" s="308"/>
      <c r="I28" s="308">
        <v>14</v>
      </c>
      <c r="J28" s="307">
        <v>14</v>
      </c>
      <c r="K28" s="220">
        <f t="shared" si="6"/>
        <v>1</v>
      </c>
    </row>
    <row r="29" spans="1:11" x14ac:dyDescent="0.25">
      <c r="C29" s="221" t="s">
        <v>454</v>
      </c>
      <c r="D29" s="221"/>
      <c r="E29" s="308">
        <v>2</v>
      </c>
      <c r="F29" s="308">
        <v>1</v>
      </c>
      <c r="G29" s="308">
        <f t="shared" si="5"/>
        <v>2</v>
      </c>
      <c r="H29" s="308"/>
      <c r="I29" s="308">
        <v>621</v>
      </c>
      <c r="J29" s="307">
        <v>596</v>
      </c>
      <c r="K29" s="220">
        <f t="shared" si="6"/>
        <v>1.0419463087248322</v>
      </c>
    </row>
    <row r="30" spans="1:11" x14ac:dyDescent="0.25">
      <c r="C30" s="219" t="s">
        <v>14</v>
      </c>
      <c r="D30" s="219" t="s">
        <v>14</v>
      </c>
      <c r="E30" s="306">
        <v>78</v>
      </c>
      <c r="F30" s="304">
        <v>72</v>
      </c>
      <c r="G30" s="304">
        <f t="shared" si="5"/>
        <v>1.0833333333333333</v>
      </c>
      <c r="H30" s="73" t="s">
        <v>499</v>
      </c>
      <c r="I30" s="304">
        <v>8</v>
      </c>
      <c r="J30" s="307">
        <v>8</v>
      </c>
      <c r="K30" s="220">
        <f t="shared" si="6"/>
        <v>1</v>
      </c>
    </row>
    <row r="31" spans="1:11" x14ac:dyDescent="0.25">
      <c r="C31" s="219" t="s">
        <v>455</v>
      </c>
      <c r="D31" s="219" t="s">
        <v>11</v>
      </c>
      <c r="E31" s="306">
        <v>27</v>
      </c>
      <c r="F31" s="304">
        <v>31</v>
      </c>
      <c r="G31" s="304">
        <f t="shared" si="5"/>
        <v>0.87096774193548387</v>
      </c>
      <c r="H31" s="73" t="s">
        <v>499</v>
      </c>
      <c r="I31" s="304">
        <v>107</v>
      </c>
      <c r="J31" s="307">
        <v>114</v>
      </c>
      <c r="K31" s="220">
        <f t="shared" si="6"/>
        <v>0.93859649122807021</v>
      </c>
    </row>
    <row r="32" spans="1:11" x14ac:dyDescent="0.25">
      <c r="C32" s="221" t="s">
        <v>456</v>
      </c>
      <c r="D32" s="221"/>
      <c r="E32" s="308">
        <v>23</v>
      </c>
      <c r="F32" s="308">
        <v>27</v>
      </c>
      <c r="G32" s="308">
        <f t="shared" si="5"/>
        <v>0.85185185185185186</v>
      </c>
      <c r="H32" s="308"/>
      <c r="I32" s="308">
        <v>56</v>
      </c>
      <c r="J32" s="307">
        <v>64</v>
      </c>
      <c r="K32" s="220">
        <f t="shared" si="6"/>
        <v>0.875</v>
      </c>
    </row>
    <row r="33" spans="3:11" x14ac:dyDescent="0.25">
      <c r="C33" s="221" t="s">
        <v>457</v>
      </c>
      <c r="D33" s="221"/>
      <c r="E33" s="308">
        <v>4</v>
      </c>
      <c r="F33" s="308">
        <v>4</v>
      </c>
      <c r="G33" s="308">
        <f t="shared" si="5"/>
        <v>1</v>
      </c>
      <c r="H33" s="308"/>
      <c r="I33" s="308">
        <v>51</v>
      </c>
      <c r="J33" s="307">
        <v>50</v>
      </c>
      <c r="K33" s="220">
        <f t="shared" si="6"/>
        <v>1.02</v>
      </c>
    </row>
    <row r="34" spans="3:11" x14ac:dyDescent="0.25">
      <c r="C34" s="219" t="s">
        <v>458</v>
      </c>
      <c r="D34" s="219"/>
      <c r="E34" s="306">
        <v>275</v>
      </c>
      <c r="F34" s="304">
        <v>274</v>
      </c>
      <c r="G34" s="304">
        <f t="shared" si="5"/>
        <v>1.0036496350364963</v>
      </c>
      <c r="H34" s="73" t="s">
        <v>499</v>
      </c>
      <c r="I34" s="304">
        <v>2331</v>
      </c>
      <c r="J34" s="307">
        <v>2034</v>
      </c>
      <c r="K34" s="220">
        <f t="shared" si="6"/>
        <v>1.1460176991150441</v>
      </c>
    </row>
    <row r="35" spans="3:11" x14ac:dyDescent="0.25">
      <c r="C35" s="221" t="s">
        <v>459</v>
      </c>
      <c r="D35" s="221"/>
      <c r="E35" s="308">
        <v>0</v>
      </c>
      <c r="F35" s="308">
        <v>0</v>
      </c>
      <c r="G35" s="308" t="str">
        <f t="shared" si="5"/>
        <v/>
      </c>
      <c r="H35" s="308"/>
      <c r="I35" s="308">
        <v>284</v>
      </c>
      <c r="J35" s="307">
        <v>289</v>
      </c>
      <c r="K35" s="220">
        <f t="shared" si="6"/>
        <v>0.98269896193771622</v>
      </c>
    </row>
    <row r="36" spans="3:11" x14ac:dyDescent="0.25">
      <c r="C36" s="221" t="s">
        <v>460</v>
      </c>
      <c r="D36" s="221"/>
      <c r="E36" s="308">
        <v>0</v>
      </c>
      <c r="F36" s="308">
        <v>0</v>
      </c>
      <c r="G36" s="308" t="str">
        <f t="shared" si="5"/>
        <v/>
      </c>
      <c r="H36" s="308"/>
      <c r="I36" s="308">
        <v>1758</v>
      </c>
      <c r="J36" s="307">
        <v>1457</v>
      </c>
      <c r="K36" s="220">
        <f t="shared" si="6"/>
        <v>1.2065888812628689</v>
      </c>
    </row>
    <row r="37" spans="3:11" x14ac:dyDescent="0.25">
      <c r="C37" s="221" t="s">
        <v>461</v>
      </c>
      <c r="D37" s="221" t="s">
        <v>722</v>
      </c>
      <c r="E37" s="308">
        <v>241</v>
      </c>
      <c r="F37" s="308">
        <v>239</v>
      </c>
      <c r="G37" s="308">
        <f t="shared" si="5"/>
        <v>1.00836820083682</v>
      </c>
      <c r="H37" s="308"/>
      <c r="I37" s="308">
        <v>256</v>
      </c>
      <c r="J37" s="307">
        <v>254</v>
      </c>
      <c r="K37" s="220">
        <f t="shared" si="6"/>
        <v>1.0078740157480315</v>
      </c>
    </row>
    <row r="38" spans="3:11" x14ac:dyDescent="0.25">
      <c r="C38" s="221" t="s">
        <v>462</v>
      </c>
      <c r="D38" s="221"/>
      <c r="E38" s="308">
        <v>34</v>
      </c>
      <c r="F38" s="308">
        <v>35</v>
      </c>
      <c r="G38" s="308">
        <f t="shared" si="5"/>
        <v>0.97142857142857142</v>
      </c>
      <c r="H38" s="308"/>
      <c r="I38" s="308">
        <v>32</v>
      </c>
      <c r="J38" s="307">
        <v>34</v>
      </c>
      <c r="K38" s="220">
        <f t="shared" si="6"/>
        <v>0.94117647058823528</v>
      </c>
    </row>
    <row r="39" spans="3:11" x14ac:dyDescent="0.25">
      <c r="C39" s="219" t="s">
        <v>463</v>
      </c>
      <c r="D39" s="219"/>
      <c r="E39" s="304">
        <v>0</v>
      </c>
      <c r="F39" s="304">
        <v>0</v>
      </c>
      <c r="G39" s="304" t="str">
        <f t="shared" si="5"/>
        <v/>
      </c>
      <c r="H39" s="73" t="s">
        <v>499</v>
      </c>
      <c r="I39" s="304">
        <v>1</v>
      </c>
      <c r="J39" s="307">
        <v>1</v>
      </c>
      <c r="K39" s="220">
        <f t="shared" si="6"/>
        <v>1</v>
      </c>
    </row>
    <row r="40" spans="3:11" x14ac:dyDescent="0.25">
      <c r="C40" s="219" t="s">
        <v>464</v>
      </c>
      <c r="D40" s="219"/>
      <c r="E40" s="309">
        <v>55</v>
      </c>
      <c r="F40" s="304">
        <v>113</v>
      </c>
      <c r="G40" s="304">
        <f t="shared" si="5"/>
        <v>0.48672566371681414</v>
      </c>
      <c r="H40" s="73" t="s">
        <v>499</v>
      </c>
      <c r="I40" s="304">
        <v>33</v>
      </c>
      <c r="J40" s="307">
        <v>178</v>
      </c>
      <c r="K40" s="220">
        <f t="shared" si="6"/>
        <v>0.1853932584269663</v>
      </c>
    </row>
    <row r="41" spans="3:11" x14ac:dyDescent="0.25">
      <c r="C41" s="221" t="s">
        <v>465</v>
      </c>
      <c r="D41" s="221"/>
      <c r="E41" s="308">
        <v>55</v>
      </c>
      <c r="F41" s="308">
        <v>113</v>
      </c>
      <c r="G41" s="308">
        <f t="shared" si="5"/>
        <v>0.48672566371681414</v>
      </c>
      <c r="H41" s="308"/>
      <c r="I41" s="308">
        <v>5</v>
      </c>
      <c r="J41" s="307">
        <v>148</v>
      </c>
      <c r="K41" s="220">
        <f t="shared" si="6"/>
        <v>3.3783783783783786E-2</v>
      </c>
    </row>
    <row r="42" spans="3:11" x14ac:dyDescent="0.25">
      <c r="C42" s="221" t="s">
        <v>466</v>
      </c>
      <c r="D42" s="221"/>
      <c r="E42" s="308">
        <v>0</v>
      </c>
      <c r="F42" s="308">
        <v>0</v>
      </c>
      <c r="G42" s="308" t="str">
        <f t="shared" si="5"/>
        <v/>
      </c>
      <c r="H42" s="308"/>
      <c r="I42" s="308">
        <v>28</v>
      </c>
      <c r="J42" s="307">
        <v>30</v>
      </c>
      <c r="K42" s="220">
        <f t="shared" si="6"/>
        <v>0.93333333333333335</v>
      </c>
    </row>
    <row r="43" spans="3:11" x14ac:dyDescent="0.25">
      <c r="C43" s="222" t="s">
        <v>467</v>
      </c>
      <c r="D43" s="222"/>
      <c r="E43" s="310">
        <v>58</v>
      </c>
      <c r="F43" s="310">
        <v>120</v>
      </c>
      <c r="G43" s="310">
        <f t="shared" si="5"/>
        <v>0.48333333333333334</v>
      </c>
      <c r="H43" s="73" t="s">
        <v>499</v>
      </c>
      <c r="I43" s="310">
        <v>159</v>
      </c>
      <c r="J43" s="307">
        <v>248</v>
      </c>
      <c r="K43" s="220">
        <f t="shared" si="6"/>
        <v>0.6411290322580645</v>
      </c>
    </row>
    <row r="44" spans="3:11" x14ac:dyDescent="0.25">
      <c r="C44" s="219" t="s">
        <v>468</v>
      </c>
      <c r="D44" s="219" t="s">
        <v>426</v>
      </c>
      <c r="E44" s="311" t="s">
        <v>140</v>
      </c>
      <c r="F44" s="312" t="s">
        <v>140</v>
      </c>
      <c r="G44" s="312" t="str">
        <f t="shared" si="5"/>
        <v/>
      </c>
      <c r="H44" s="312"/>
      <c r="I44" s="312" t="s">
        <v>140</v>
      </c>
      <c r="J44" s="305" t="s">
        <v>140</v>
      </c>
      <c r="K44" s="220" t="str">
        <f t="shared" si="6"/>
        <v/>
      </c>
    </row>
    <row r="45" spans="3:11" x14ac:dyDescent="0.25">
      <c r="C45" s="219" t="s">
        <v>469</v>
      </c>
      <c r="D45" s="219"/>
      <c r="E45" s="306">
        <v>58</v>
      </c>
      <c r="F45" s="304">
        <v>120</v>
      </c>
      <c r="G45" s="304">
        <f t="shared" si="5"/>
        <v>0.48333333333333334</v>
      </c>
      <c r="H45" s="304"/>
      <c r="I45" s="304">
        <v>159</v>
      </c>
      <c r="J45" s="307">
        <v>248</v>
      </c>
      <c r="K45" s="220">
        <f t="shared" si="6"/>
        <v>0.6411290322580645</v>
      </c>
    </row>
    <row r="46" spans="3:11" x14ac:dyDescent="0.25">
      <c r="C46" s="219" t="s">
        <v>470</v>
      </c>
      <c r="D46" s="219" t="s">
        <v>432</v>
      </c>
      <c r="E46" s="306">
        <v>163</v>
      </c>
      <c r="F46" s="304">
        <v>1692</v>
      </c>
      <c r="G46" s="304">
        <f t="shared" si="5"/>
        <v>9.6335697399527187E-2</v>
      </c>
      <c r="H46" s="73" t="s">
        <v>499</v>
      </c>
      <c r="I46" s="304">
        <v>5</v>
      </c>
      <c r="J46" s="307">
        <v>4</v>
      </c>
      <c r="K46" s="220">
        <f t="shared" si="6"/>
        <v>1.25</v>
      </c>
    </row>
    <row r="47" spans="3:11" x14ac:dyDescent="0.25">
      <c r="C47" s="221" t="s">
        <v>471</v>
      </c>
      <c r="D47" s="221"/>
      <c r="E47" s="308">
        <v>18</v>
      </c>
      <c r="F47" s="308">
        <v>75</v>
      </c>
      <c r="G47" s="308">
        <f t="shared" si="5"/>
        <v>0.24</v>
      </c>
      <c r="H47" s="308"/>
      <c r="I47" s="308">
        <v>0</v>
      </c>
      <c r="J47" s="307">
        <v>0</v>
      </c>
      <c r="K47" s="220" t="str">
        <f t="shared" si="6"/>
        <v/>
      </c>
    </row>
    <row r="48" spans="3:11" x14ac:dyDescent="0.25">
      <c r="C48" s="221" t="s">
        <v>472</v>
      </c>
      <c r="D48" s="221"/>
      <c r="E48" s="308">
        <v>42</v>
      </c>
      <c r="F48" s="308">
        <v>34</v>
      </c>
      <c r="G48" s="308">
        <f t="shared" si="5"/>
        <v>1.2352941176470589</v>
      </c>
      <c r="H48" s="308"/>
      <c r="I48" s="308">
        <v>5</v>
      </c>
      <c r="J48" s="307">
        <v>4</v>
      </c>
      <c r="K48" s="220">
        <f t="shared" si="6"/>
        <v>1.25</v>
      </c>
    </row>
    <row r="49" spans="3:11" x14ac:dyDescent="0.25">
      <c r="C49" s="221" t="s">
        <v>473</v>
      </c>
      <c r="D49" s="221"/>
      <c r="E49" s="308">
        <v>103</v>
      </c>
      <c r="F49" s="308">
        <v>1583</v>
      </c>
      <c r="G49" s="308">
        <f t="shared" si="5"/>
        <v>6.5066329753632343E-2</v>
      </c>
      <c r="H49" s="308"/>
      <c r="I49" s="308">
        <v>0</v>
      </c>
      <c r="J49" s="307">
        <v>0</v>
      </c>
      <c r="K49" s="220" t="str">
        <f t="shared" si="6"/>
        <v/>
      </c>
    </row>
    <row r="50" spans="3:11" x14ac:dyDescent="0.25">
      <c r="C50" s="219" t="s">
        <v>474</v>
      </c>
      <c r="D50" s="219" t="s">
        <v>426</v>
      </c>
      <c r="E50" s="309">
        <v>121</v>
      </c>
      <c r="F50" s="304">
        <v>44</v>
      </c>
      <c r="G50" s="304">
        <f t="shared" si="5"/>
        <v>2.75</v>
      </c>
      <c r="H50" s="73" t="s">
        <v>499</v>
      </c>
      <c r="I50" s="304">
        <v>79</v>
      </c>
      <c r="J50" s="307">
        <v>28</v>
      </c>
      <c r="K50" s="220">
        <f t="shared" si="6"/>
        <v>2.8214285714285716</v>
      </c>
    </row>
    <row r="51" spans="3:11" x14ac:dyDescent="0.25">
      <c r="C51" s="219" t="s">
        <v>475</v>
      </c>
      <c r="D51" s="219"/>
      <c r="E51" s="304">
        <v>4464</v>
      </c>
      <c r="F51" s="304" t="s">
        <v>140</v>
      </c>
      <c r="G51" s="304" t="str">
        <f t="shared" si="5"/>
        <v/>
      </c>
      <c r="H51" s="304"/>
      <c r="I51" s="304">
        <v>247</v>
      </c>
      <c r="J51" s="305" t="s">
        <v>140</v>
      </c>
      <c r="K51" s="220" t="str">
        <f t="shared" si="6"/>
        <v/>
      </c>
    </row>
    <row r="52" spans="3:11" x14ac:dyDescent="0.25">
      <c r="C52" s="223" t="s">
        <v>185</v>
      </c>
      <c r="D52" s="223"/>
      <c r="E52" s="313">
        <v>143</v>
      </c>
      <c r="F52" s="313">
        <v>939</v>
      </c>
      <c r="G52" s="313">
        <f t="shared" si="5"/>
        <v>0.15228966986155484</v>
      </c>
      <c r="H52" s="313"/>
      <c r="I52" s="313">
        <v>247</v>
      </c>
      <c r="J52" s="307">
        <v>1764</v>
      </c>
      <c r="K52" s="220">
        <f t="shared" si="6"/>
        <v>0.14002267573696145</v>
      </c>
    </row>
    <row r="53" spans="3:11" x14ac:dyDescent="0.25">
      <c r="C53" s="219" t="s">
        <v>188</v>
      </c>
      <c r="D53" s="219" t="s">
        <v>188</v>
      </c>
      <c r="E53" s="306">
        <v>0</v>
      </c>
      <c r="F53" s="304">
        <v>0</v>
      </c>
      <c r="G53" s="304" t="str">
        <f t="shared" si="5"/>
        <v/>
      </c>
      <c r="H53" s="304"/>
      <c r="I53" s="304">
        <v>0</v>
      </c>
      <c r="J53" s="307">
        <v>0</v>
      </c>
      <c r="K53" s="220" t="str">
        <f t="shared" si="6"/>
        <v/>
      </c>
    </row>
    <row r="54" spans="3:11" x14ac:dyDescent="0.25">
      <c r="C54" s="219" t="s">
        <v>476</v>
      </c>
      <c r="D54" s="219" t="s">
        <v>42</v>
      </c>
      <c r="E54" s="306">
        <v>100</v>
      </c>
      <c r="F54" s="304">
        <v>701</v>
      </c>
      <c r="G54" s="304">
        <f t="shared" si="5"/>
        <v>0.14265335235378032</v>
      </c>
      <c r="H54" s="73" t="s">
        <v>499</v>
      </c>
      <c r="I54" s="304">
        <v>247</v>
      </c>
      <c r="J54" s="307">
        <v>1764</v>
      </c>
      <c r="K54" s="220">
        <f t="shared" si="6"/>
        <v>0.14002267573696145</v>
      </c>
    </row>
    <row r="55" spans="3:11" x14ac:dyDescent="0.25">
      <c r="C55" s="219" t="s">
        <v>477</v>
      </c>
      <c r="D55" s="219" t="s">
        <v>42</v>
      </c>
      <c r="E55" s="306">
        <v>43</v>
      </c>
      <c r="F55" s="304">
        <v>238</v>
      </c>
      <c r="G55" s="304">
        <f t="shared" si="5"/>
        <v>0.18067226890756302</v>
      </c>
      <c r="H55" s="304"/>
      <c r="I55" s="304">
        <v>0</v>
      </c>
      <c r="J55" s="307">
        <v>0</v>
      </c>
      <c r="K55" s="220" t="str">
        <f t="shared" si="6"/>
        <v/>
      </c>
    </row>
    <row r="56" spans="3:11" x14ac:dyDescent="0.25">
      <c r="C56" s="219" t="s">
        <v>478</v>
      </c>
      <c r="D56" s="219" t="s">
        <v>42</v>
      </c>
      <c r="E56" s="312" t="s">
        <v>140</v>
      </c>
      <c r="F56" s="312" t="s">
        <v>140</v>
      </c>
      <c r="G56" s="312" t="str">
        <f t="shared" si="5"/>
        <v/>
      </c>
      <c r="H56" s="312"/>
      <c r="I56" s="312" t="s">
        <v>140</v>
      </c>
      <c r="J56" s="305" t="s">
        <v>140</v>
      </c>
      <c r="K56" s="220" t="str">
        <f t="shared" si="6"/>
        <v/>
      </c>
    </row>
    <row r="57" spans="3:11" x14ac:dyDescent="0.25">
      <c r="C57" s="223" t="s">
        <v>479</v>
      </c>
      <c r="D57" s="223"/>
      <c r="E57" s="313">
        <v>4157</v>
      </c>
      <c r="F57" s="313">
        <v>20738</v>
      </c>
      <c r="G57" s="313">
        <f t="shared" si="5"/>
        <v>0.20045327418265985</v>
      </c>
      <c r="H57" s="313"/>
      <c r="I57" s="313">
        <v>0</v>
      </c>
      <c r="J57" s="307">
        <v>0</v>
      </c>
      <c r="K57" s="220" t="str">
        <f t="shared" si="6"/>
        <v/>
      </c>
    </row>
    <row r="58" spans="3:11" x14ac:dyDescent="0.25">
      <c r="C58" s="219" t="s">
        <v>480</v>
      </c>
      <c r="D58" s="219" t="s">
        <v>15</v>
      </c>
      <c r="E58" s="306">
        <v>1673</v>
      </c>
      <c r="F58" s="304">
        <v>6315</v>
      </c>
      <c r="G58" s="304">
        <f t="shared" si="5"/>
        <v>0.26492478226444971</v>
      </c>
      <c r="H58" s="304"/>
      <c r="I58" s="304">
        <v>0</v>
      </c>
      <c r="J58" s="307">
        <v>0</v>
      </c>
      <c r="K58" s="220" t="str">
        <f t="shared" si="6"/>
        <v/>
      </c>
    </row>
    <row r="59" spans="3:11" x14ac:dyDescent="0.25">
      <c r="C59" s="219" t="s">
        <v>481</v>
      </c>
      <c r="D59" s="219" t="s">
        <v>11</v>
      </c>
      <c r="E59" s="306">
        <v>213</v>
      </c>
      <c r="F59" s="304">
        <v>762</v>
      </c>
      <c r="G59" s="304">
        <f t="shared" si="5"/>
        <v>0.27952755905511811</v>
      </c>
      <c r="H59" s="304"/>
      <c r="I59" s="304">
        <v>0</v>
      </c>
      <c r="J59" s="307">
        <v>0</v>
      </c>
      <c r="K59" s="220" t="str">
        <f t="shared" si="6"/>
        <v/>
      </c>
    </row>
    <row r="60" spans="3:11" x14ac:dyDescent="0.25">
      <c r="C60" s="219" t="s">
        <v>482</v>
      </c>
      <c r="D60" s="219" t="s">
        <v>13</v>
      </c>
      <c r="E60" s="306">
        <v>1690</v>
      </c>
      <c r="F60" s="304">
        <v>9946</v>
      </c>
      <c r="G60" s="304">
        <f t="shared" si="5"/>
        <v>0.16991755479589785</v>
      </c>
      <c r="H60" s="304"/>
      <c r="I60" s="304">
        <v>0</v>
      </c>
      <c r="J60" s="307">
        <v>0</v>
      </c>
      <c r="K60" s="220" t="str">
        <f t="shared" si="6"/>
        <v/>
      </c>
    </row>
    <row r="61" spans="3:11" x14ac:dyDescent="0.25">
      <c r="C61" s="219" t="s">
        <v>483</v>
      </c>
      <c r="D61" s="219" t="s">
        <v>13</v>
      </c>
      <c r="E61" s="306">
        <v>529</v>
      </c>
      <c r="F61" s="304">
        <v>3318</v>
      </c>
      <c r="G61" s="304">
        <f t="shared" si="5"/>
        <v>0.15943339361060879</v>
      </c>
      <c r="H61" s="304"/>
      <c r="I61" s="304">
        <v>0</v>
      </c>
      <c r="J61" s="307">
        <v>0</v>
      </c>
      <c r="K61" s="220" t="str">
        <f t="shared" si="6"/>
        <v/>
      </c>
    </row>
    <row r="62" spans="3:11" x14ac:dyDescent="0.25">
      <c r="C62" s="219" t="s">
        <v>484</v>
      </c>
      <c r="D62" s="219" t="s">
        <v>13</v>
      </c>
      <c r="E62" s="306">
        <v>53</v>
      </c>
      <c r="F62" s="304">
        <v>397</v>
      </c>
      <c r="G62" s="304">
        <f t="shared" si="5"/>
        <v>0.13350125944584382</v>
      </c>
      <c r="H62" s="304"/>
      <c r="I62" s="304">
        <v>0</v>
      </c>
      <c r="J62" s="307">
        <v>0</v>
      </c>
      <c r="K62" s="220" t="str">
        <f t="shared" si="6"/>
        <v/>
      </c>
    </row>
    <row r="63" spans="3:11" x14ac:dyDescent="0.25">
      <c r="C63" s="219" t="s">
        <v>37</v>
      </c>
      <c r="D63" s="219" t="s">
        <v>37</v>
      </c>
      <c r="E63" s="306">
        <v>164</v>
      </c>
      <c r="F63" s="304">
        <v>863</v>
      </c>
      <c r="G63" s="304">
        <f t="shared" si="5"/>
        <v>0.19003476245654694</v>
      </c>
      <c r="H63" s="304"/>
      <c r="I63" s="304">
        <v>0</v>
      </c>
      <c r="J63" s="307">
        <v>0</v>
      </c>
      <c r="K63" s="220" t="str">
        <f t="shared" si="6"/>
        <v/>
      </c>
    </row>
    <row r="65" spans="1:1" ht="315" x14ac:dyDescent="0.25">
      <c r="A65" s="224" t="s">
        <v>485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22" t="s">
        <v>793</v>
      </c>
    </row>
    <row r="3" spans="1:21" x14ac:dyDescent="0.25">
      <c r="A3" s="8"/>
      <c r="B3" s="8"/>
      <c r="C3" s="8" t="s">
        <v>513</v>
      </c>
      <c r="D3" s="8" t="s">
        <v>514</v>
      </c>
      <c r="E3" s="8" t="s">
        <v>313</v>
      </c>
      <c r="F3" s="8" t="s">
        <v>38</v>
      </c>
      <c r="G3" s="8" t="s">
        <v>39</v>
      </c>
      <c r="H3" s="8" t="s">
        <v>516</v>
      </c>
      <c r="I3" s="8" t="s">
        <v>517</v>
      </c>
      <c r="J3" s="8" t="s">
        <v>338</v>
      </c>
      <c r="K3" s="8" t="s">
        <v>41</v>
      </c>
      <c r="L3" s="8" t="s">
        <v>519</v>
      </c>
      <c r="M3" s="8" t="s">
        <v>530</v>
      </c>
      <c r="N3" s="1" t="s">
        <v>650</v>
      </c>
      <c r="O3" s="1" t="s">
        <v>651</v>
      </c>
      <c r="P3" s="1" t="s">
        <v>821</v>
      </c>
    </row>
    <row r="4" spans="1:21" x14ac:dyDescent="0.25">
      <c r="A4" s="8" t="s">
        <v>315</v>
      </c>
      <c r="B4" s="8"/>
      <c r="C4" s="8" t="s">
        <v>794</v>
      </c>
      <c r="D4" s="8" t="s">
        <v>515</v>
      </c>
      <c r="E4" s="8" t="s">
        <v>515</v>
      </c>
      <c r="F4" s="8" t="s">
        <v>515</v>
      </c>
      <c r="G4" s="8" t="s">
        <v>515</v>
      </c>
      <c r="H4" s="8" t="s">
        <v>795</v>
      </c>
      <c r="I4" s="8" t="s">
        <v>518</v>
      </c>
      <c r="J4" s="8" t="s">
        <v>518</v>
      </c>
      <c r="K4" s="8" t="s">
        <v>515</v>
      </c>
      <c r="L4" s="8" t="s">
        <v>515</v>
      </c>
      <c r="M4" s="8"/>
      <c r="O4" s="293">
        <v>1.1000000000000001</v>
      </c>
      <c r="P4" s="1" t="s">
        <v>822</v>
      </c>
    </row>
    <row r="5" spans="1:21" x14ac:dyDescent="0.25">
      <c r="A5" s="8" t="s">
        <v>16</v>
      </c>
      <c r="B5" s="8" t="s">
        <v>45</v>
      </c>
      <c r="C5" s="421">
        <f>1111*0.77</f>
        <v>855.47</v>
      </c>
      <c r="D5" s="421"/>
      <c r="E5" s="421"/>
      <c r="F5" s="423">
        <f>17657*(1-0)*1000/I5</f>
        <v>1.4953335295833323</v>
      </c>
      <c r="G5" s="423">
        <f>2515*(1-0.1)*1000/I5</f>
        <v>0.19169096925932338</v>
      </c>
      <c r="H5" s="423">
        <f>(H13-H60)/(H15-SUM(H58:H61))</f>
        <v>1.3861685078371839</v>
      </c>
      <c r="I5" s="299">
        <f>J5-I6</f>
        <v>11808068</v>
      </c>
      <c r="J5" s="299">
        <f>SUM(E22:E26)</f>
        <v>12298992</v>
      </c>
      <c r="K5" s="423">
        <f>87.68*1000/SUM(I5:I6)*K12</f>
        <v>1.5668203052737979E-2</v>
      </c>
      <c r="L5" s="423">
        <f>18/1000*365/100</f>
        <v>6.5699999999999995E-2</v>
      </c>
      <c r="M5" s="423">
        <f>N5*25/1000</f>
        <v>0.11202449132751124</v>
      </c>
      <c r="N5" s="267">
        <f>1.07565542995116+S13</f>
        <v>4.4809796531004498</v>
      </c>
      <c r="O5" s="1" t="s">
        <v>640</v>
      </c>
    </row>
    <row r="6" spans="1:21" x14ac:dyDescent="0.25">
      <c r="A6" s="8"/>
      <c r="B6" s="8" t="s">
        <v>46</v>
      </c>
      <c r="C6" s="421">
        <f>1111*0.77</f>
        <v>855.47</v>
      </c>
      <c r="D6" s="421"/>
      <c r="E6" s="421"/>
      <c r="F6" s="423">
        <f>17657*(0)*1000/I6</f>
        <v>0</v>
      </c>
      <c r="G6" s="423">
        <f>2515*(0.1)*1000/I6</f>
        <v>0.51229925609666671</v>
      </c>
      <c r="H6" s="423">
        <f>H60/SUM(H58:H61)</f>
        <v>0.47263527552126194</v>
      </c>
      <c r="I6" s="299">
        <f>SUM(H58:H61)</f>
        <v>490924</v>
      </c>
      <c r="J6" s="299"/>
      <c r="K6" s="423">
        <f>K5</f>
        <v>1.5668203052737979E-2</v>
      </c>
      <c r="L6" s="423">
        <f>35/1000*(365-200)/100</f>
        <v>5.7750000000000003E-2</v>
      </c>
      <c r="M6" s="423">
        <f t="shared" ref="M6:M10" si="0">N6*25/1000</f>
        <v>0.12322694046026236</v>
      </c>
      <c r="N6" s="267">
        <f>N5*O4</f>
        <v>4.9290776184104947</v>
      </c>
      <c r="O6" s="1" t="s">
        <v>640</v>
      </c>
    </row>
    <row r="7" spans="1:21" ht="15.75" thickBot="1" x14ac:dyDescent="0.3">
      <c r="A7" s="8" t="s">
        <v>17</v>
      </c>
      <c r="B7" s="8" t="s">
        <v>45</v>
      </c>
      <c r="C7" s="421">
        <f>3400*0.77</f>
        <v>2618</v>
      </c>
      <c r="D7" s="421">
        <f>4786000000/1000/I7</f>
        <v>3.7771765723503732</v>
      </c>
      <c r="E7" s="421"/>
      <c r="F7" s="423">
        <f>14050*(1-0.09)*1000/I7</f>
        <v>10.090491238149957</v>
      </c>
      <c r="G7" s="423">
        <f>261*(1-0.04)*1000/I7</f>
        <v>0.19774537441874415</v>
      </c>
      <c r="H7" s="423">
        <f>(464000-23400)/I7</f>
        <v>0.34772753819004898</v>
      </c>
      <c r="I7" s="299">
        <f>J7-I8</f>
        <v>1267084</v>
      </c>
      <c r="J7" s="299">
        <f>SUM(D22:D26)</f>
        <v>1491432</v>
      </c>
      <c r="K7" s="423">
        <f>(21+8.2)*1000/SUM(I7:I8)*K12</f>
        <v>4.3029625219252375E-2</v>
      </c>
      <c r="L7" s="423">
        <f>3/1000*365/100</f>
        <v>1.095E-2</v>
      </c>
      <c r="M7" s="423">
        <f t="shared" si="0"/>
        <v>2.831717934524296</v>
      </c>
      <c r="N7" s="267">
        <f>((N14+S8)*M14+(N15+S9)*M15)/J7</f>
        <v>113.26871738097185</v>
      </c>
      <c r="R7" s="449" t="s">
        <v>877</v>
      </c>
      <c r="S7" s="1" t="s">
        <v>865</v>
      </c>
      <c r="U7" s="1" t="s">
        <v>878</v>
      </c>
    </row>
    <row r="8" spans="1:21" x14ac:dyDescent="0.25">
      <c r="A8" s="8"/>
      <c r="B8" s="8" t="s">
        <v>46</v>
      </c>
      <c r="C8" s="421">
        <f>3400*0.77</f>
        <v>2618</v>
      </c>
      <c r="D8" s="421">
        <f>483000000/1000/I8</f>
        <v>2.1529053078253426</v>
      </c>
      <c r="E8" s="421"/>
      <c r="F8" s="423">
        <f>14050*(0.09)*1000/I8</f>
        <v>5.636332840052062</v>
      </c>
      <c r="G8" s="423">
        <f>261*(0.04)*1000/I8</f>
        <v>4.6534847647404926E-2</v>
      </c>
      <c r="H8" s="423">
        <f>23400/I8</f>
        <v>0.10430224472694208</v>
      </c>
      <c r="I8" s="299">
        <f>SUM(H36:H51)</f>
        <v>224348</v>
      </c>
      <c r="J8" s="299"/>
      <c r="K8" s="423">
        <f>K7</f>
        <v>4.3029625219252375E-2</v>
      </c>
      <c r="L8" s="423">
        <f>8/1000*(365-200)/100</f>
        <v>1.32E-2</v>
      </c>
      <c r="M8" s="423">
        <f t="shared" si="0"/>
        <v>2.3680201988872902</v>
      </c>
      <c r="N8" s="267">
        <f>(N14*M14+N15*M15)/J7*O4</f>
        <v>94.720807955491594</v>
      </c>
      <c r="R8" s="452" t="s">
        <v>852</v>
      </c>
      <c r="S8" s="460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21">
        <f>24*0.77</f>
        <v>18.48</v>
      </c>
      <c r="D9" s="421"/>
      <c r="E9" s="421">
        <f>220000000/1000/I9</f>
        <v>1.1120887382109748E-2</v>
      </c>
      <c r="F9" s="423">
        <f>8883/I9*46496/(46496+14973)</f>
        <v>3.3965332371824528E-4</v>
      </c>
      <c r="G9" s="423">
        <f>157070/I9*5445008/(5445008+297894)</f>
        <v>7.5279568763122248E-3</v>
      </c>
      <c r="H9" s="423">
        <f>105567000/I9</f>
        <v>5.3363578103053619</v>
      </c>
      <c r="I9" s="299">
        <f>J9-I10</f>
        <v>19782594</v>
      </c>
      <c r="J9" s="299">
        <f>SUM(F22:F26)</f>
        <v>23059881</v>
      </c>
      <c r="K9" s="423">
        <f>154000*3.2%/J9*K12</f>
        <v>4.6967971777477953E-4</v>
      </c>
      <c r="L9" s="423">
        <f>0.12/1000*365/100</f>
        <v>4.3799999999999997E-4</v>
      </c>
      <c r="M9" s="423">
        <f t="shared" si="0"/>
        <v>7.1358057718871957E-4</v>
      </c>
      <c r="N9" s="267">
        <f>0.00308299593513136+S14</f>
        <v>2.8543223087548784E-2</v>
      </c>
      <c r="R9" s="452" t="s">
        <v>853</v>
      </c>
      <c r="S9" s="460">
        <v>14.592057308217106</v>
      </c>
    </row>
    <row r="10" spans="1:21" x14ac:dyDescent="0.25">
      <c r="A10" s="8"/>
      <c r="B10" s="8" t="s">
        <v>46</v>
      </c>
      <c r="C10" s="421">
        <f>24*0.77</f>
        <v>18.48</v>
      </c>
      <c r="D10" s="421"/>
      <c r="E10" s="421">
        <f>15000000/1000/I10</f>
        <v>4.5769564887054442E-3</v>
      </c>
      <c r="F10" s="423">
        <f>8883/I10*14973/(46496+14973)</f>
        <v>6.6023396673266124E-4</v>
      </c>
      <c r="G10" s="423">
        <f>157070/I10*297894/(5445008+297894)</f>
        <v>2.4860457648070043E-3</v>
      </c>
      <c r="H10" s="423">
        <f>SUM(H70:H71)/I10</f>
        <v>0.37369537669419861</v>
      </c>
      <c r="I10" s="299">
        <f>SUM(H65:H78)</f>
        <v>3277287</v>
      </c>
      <c r="J10" s="299"/>
      <c r="K10" s="423">
        <f>K9</f>
        <v>4.6967971777477953E-4</v>
      </c>
      <c r="L10" s="423">
        <f>0.5/1000*(365-200)/100</f>
        <v>8.25E-4</v>
      </c>
      <c r="M10" s="423">
        <f t="shared" si="0"/>
        <v>7.8493863490759156E-4</v>
      </c>
      <c r="N10" s="267">
        <f>N9*O4</f>
        <v>3.1397545396303662E-2</v>
      </c>
      <c r="R10" s="452" t="s">
        <v>854</v>
      </c>
      <c r="S10" s="460">
        <v>0.19571412612000011</v>
      </c>
    </row>
    <row r="11" spans="1:21" x14ac:dyDescent="0.25">
      <c r="A11" s="1" t="s">
        <v>337</v>
      </c>
      <c r="C11" s="1" t="s">
        <v>796</v>
      </c>
      <c r="D11" s="1" t="s">
        <v>637</v>
      </c>
      <c r="E11" s="1" t="s">
        <v>636</v>
      </c>
      <c r="F11" s="1" t="s">
        <v>544</v>
      </c>
      <c r="G11" s="1" t="s">
        <v>544</v>
      </c>
      <c r="H11" s="1" t="s">
        <v>339</v>
      </c>
      <c r="K11" s="1" t="s">
        <v>830</v>
      </c>
      <c r="L11" s="1" t="s">
        <v>721</v>
      </c>
      <c r="M11" s="325" t="s">
        <v>655</v>
      </c>
      <c r="N11" s="268"/>
      <c r="R11" s="452" t="s">
        <v>856</v>
      </c>
      <c r="S11" s="460">
        <v>0.46338099649199982</v>
      </c>
    </row>
    <row r="12" spans="1:21" x14ac:dyDescent="0.25">
      <c r="K12" s="1">
        <v>2.1978</v>
      </c>
      <c r="R12" s="452" t="s">
        <v>857</v>
      </c>
      <c r="S12" s="460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5">
        <f>16.6*1000000</f>
        <v>16600000.000000002</v>
      </c>
      <c r="L13" s="8"/>
      <c r="M13" s="8" t="s">
        <v>652</v>
      </c>
      <c r="N13" s="395" t="s">
        <v>655</v>
      </c>
      <c r="O13" s="8"/>
      <c r="R13" s="452" t="s">
        <v>858</v>
      </c>
      <c r="S13" s="460">
        <v>3.4053242231492895</v>
      </c>
      <c r="U13" s="1">
        <f>S13*J5*25/1000/(F5*J5)</f>
        <v>5.6932519664996864E-2</v>
      </c>
    </row>
    <row r="14" spans="1:21" x14ac:dyDescent="0.25">
      <c r="A14" s="8" t="s">
        <v>368</v>
      </c>
      <c r="B14" s="8" t="s">
        <v>45</v>
      </c>
      <c r="C14" s="246">
        <f>SUM(D24:D26)-C15</f>
        <v>1184629</v>
      </c>
      <c r="D14" s="246">
        <f t="shared" ref="D14:E14" si="1">SUM(E24:E26)-D15</f>
        <v>10266966</v>
      </c>
      <c r="E14" s="246">
        <f t="shared" si="1"/>
        <v>18212034</v>
      </c>
      <c r="G14" s="8" t="s">
        <v>335</v>
      </c>
      <c r="H14" s="255">
        <f>15.2*1000000</f>
        <v>15200000</v>
      </c>
      <c r="I14" s="1">
        <f>H14/SUM(H13:H14)</f>
        <v>0.4779874213836478</v>
      </c>
      <c r="L14" s="8" t="s">
        <v>654</v>
      </c>
      <c r="M14" s="8">
        <v>566639</v>
      </c>
      <c r="N14" s="8">
        <v>160.59029405341599</v>
      </c>
      <c r="O14" s="8" t="s">
        <v>638</v>
      </c>
      <c r="R14" s="452" t="s">
        <v>859</v>
      </c>
      <c r="S14" s="460">
        <v>2.5460227152417424E-2</v>
      </c>
    </row>
    <row r="15" spans="1:21" x14ac:dyDescent="0.25">
      <c r="A15" s="8" t="s">
        <v>368</v>
      </c>
      <c r="B15" s="8" t="s">
        <v>46</v>
      </c>
      <c r="C15" s="246">
        <f>SUM(E36:G51)</f>
        <v>207835</v>
      </c>
      <c r="D15" s="246">
        <f>SUM(E58:G61)</f>
        <v>475477</v>
      </c>
      <c r="E15" s="246">
        <f>SUM(E65:G78)</f>
        <v>3062300</v>
      </c>
      <c r="G15" s="8" t="s">
        <v>334</v>
      </c>
      <c r="H15" s="255">
        <f>SUM(E22:E26)</f>
        <v>12298992</v>
      </c>
      <c r="L15" s="8" t="s">
        <v>653</v>
      </c>
      <c r="M15" s="8">
        <f>J7-M14</f>
        <v>924793</v>
      </c>
      <c r="N15" s="8">
        <v>40.474166115923701</v>
      </c>
      <c r="O15" s="8" t="s">
        <v>639</v>
      </c>
      <c r="R15" s="452" t="s">
        <v>860</v>
      </c>
      <c r="S15" s="460">
        <v>0.48616573334049179</v>
      </c>
    </row>
    <row r="16" spans="1:21" x14ac:dyDescent="0.25">
      <c r="A16" s="8" t="s">
        <v>369</v>
      </c>
      <c r="B16" s="8" t="s">
        <v>45</v>
      </c>
      <c r="C16" s="246">
        <f>SUM(D22:D23)-C17</f>
        <v>82455</v>
      </c>
      <c r="D16" s="246">
        <f t="shared" ref="D16:E16" si="2">SUM(E22:E23)-D17</f>
        <v>1541102</v>
      </c>
      <c r="E16" s="246">
        <f t="shared" si="2"/>
        <v>1570560</v>
      </c>
      <c r="G16" s="8" t="s">
        <v>67</v>
      </c>
      <c r="H16" s="8" t="s">
        <v>336</v>
      </c>
      <c r="R16" s="452" t="s">
        <v>861</v>
      </c>
      <c r="S16" s="460">
        <v>0.32571647999999997</v>
      </c>
    </row>
    <row r="17" spans="1:19" x14ac:dyDescent="0.25">
      <c r="A17" s="8" t="s">
        <v>369</v>
      </c>
      <c r="B17" s="8" t="s">
        <v>46</v>
      </c>
      <c r="C17" s="246">
        <f>SUM(C36:D51)</f>
        <v>16513</v>
      </c>
      <c r="D17" s="246">
        <f>SUM(C58:D61)</f>
        <v>15447</v>
      </c>
      <c r="E17" s="246">
        <f>SUM(C65:D78)</f>
        <v>214987</v>
      </c>
      <c r="R17" s="452" t="s">
        <v>862</v>
      </c>
      <c r="S17" s="460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5" t="s">
        <v>863</v>
      </c>
      <c r="S18" s="458">
        <v>1.3538981647058823E-3</v>
      </c>
    </row>
    <row r="19" spans="1:19" ht="17.25" x14ac:dyDescent="0.3">
      <c r="A19" s="516" t="s">
        <v>274</v>
      </c>
      <c r="B19" s="516"/>
      <c r="C19" s="516"/>
      <c r="D19" s="34"/>
      <c r="E19" s="34"/>
      <c r="F19" s="34"/>
      <c r="L19"/>
      <c r="M19"/>
      <c r="N19" t="s">
        <v>648</v>
      </c>
      <c r="O19" t="s">
        <v>64</v>
      </c>
      <c r="P19" t="s">
        <v>649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9" t="s">
        <v>641</v>
      </c>
      <c r="M20">
        <f>SUM(O31:S31)</f>
        <v>88812</v>
      </c>
      <c r="N20" s="220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9" t="s">
        <v>642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4">
        <v>29506</v>
      </c>
      <c r="E22" s="424">
        <v>287584</v>
      </c>
      <c r="F22" s="424">
        <v>864637</v>
      </c>
      <c r="L22" s="219" t="s">
        <v>643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4">
        <v>69462</v>
      </c>
      <c r="E23" s="424">
        <v>1268965</v>
      </c>
      <c r="F23" s="424">
        <v>920910</v>
      </c>
      <c r="L23" s="219" t="s">
        <v>644</v>
      </c>
      <c r="M23">
        <f t="shared" si="3"/>
        <v>6032794</v>
      </c>
      <c r="N23" s="220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4">
        <v>571543</v>
      </c>
      <c r="E24" s="424">
        <v>3681778</v>
      </c>
      <c r="F24" s="424">
        <v>9783918</v>
      </c>
      <c r="L24" s="219" t="s">
        <v>645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4">
        <v>475308</v>
      </c>
      <c r="E25" s="424">
        <v>4307984</v>
      </c>
      <c r="F25" s="424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4">
        <v>345613</v>
      </c>
      <c r="E26" s="424">
        <v>2752681</v>
      </c>
      <c r="F26" s="424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7" t="s">
        <v>646</v>
      </c>
      <c r="M28"/>
      <c r="N28"/>
      <c r="O28"/>
      <c r="P28"/>
      <c r="Q28"/>
      <c r="R28"/>
      <c r="S28"/>
    </row>
    <row r="29" spans="1:19" ht="15.75" thickBot="1" x14ac:dyDescent="0.3">
      <c r="A29" s="510" t="s">
        <v>267</v>
      </c>
      <c r="B29" s="510" t="s">
        <v>266</v>
      </c>
      <c r="C29" s="140"/>
      <c r="D29" s="140"/>
      <c r="E29" s="128" t="s">
        <v>265</v>
      </c>
      <c r="F29" s="140"/>
      <c r="G29" s="140"/>
      <c r="H29" s="512" t="s">
        <v>264</v>
      </c>
      <c r="I29" s="514" t="s">
        <v>263</v>
      </c>
      <c r="L29" s="218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1"/>
      <c r="B30" s="511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3"/>
      <c r="I30" s="515"/>
      <c r="L30"/>
      <c r="M30"/>
      <c r="N30"/>
      <c r="O30" s="219" t="s">
        <v>56</v>
      </c>
      <c r="P30" s="219" t="s">
        <v>55</v>
      </c>
      <c r="Q30" s="219" t="s">
        <v>54</v>
      </c>
      <c r="R30" s="219" t="s">
        <v>53</v>
      </c>
      <c r="S30" s="219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9" t="s">
        <v>270</v>
      </c>
      <c r="M31" s="219" t="s">
        <v>269</v>
      </c>
      <c r="N31" s="219" t="s">
        <v>641</v>
      </c>
      <c r="O31" s="220">
        <v>193</v>
      </c>
      <c r="P31" s="220">
        <v>9306</v>
      </c>
      <c r="Q31" s="220">
        <v>52101</v>
      </c>
      <c r="R31" s="220">
        <v>17005</v>
      </c>
      <c r="S31" s="220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9" t="s">
        <v>642</v>
      </c>
      <c r="O32" s="220">
        <v>70</v>
      </c>
      <c r="P32" s="220">
        <v>85115</v>
      </c>
      <c r="Q32" s="220">
        <v>660688</v>
      </c>
      <c r="R32" s="220">
        <v>515966</v>
      </c>
      <c r="S32" s="220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9" t="s">
        <v>643</v>
      </c>
      <c r="O33" s="324" t="s">
        <v>140</v>
      </c>
      <c r="P33" s="220">
        <v>3690</v>
      </c>
      <c r="Q33" s="220">
        <v>5540224</v>
      </c>
      <c r="R33" s="220">
        <v>2453606</v>
      </c>
      <c r="S33" s="220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9" t="s">
        <v>644</v>
      </c>
      <c r="O34" s="220">
        <v>18906</v>
      </c>
      <c r="P34" s="220">
        <v>572397</v>
      </c>
      <c r="Q34" s="220">
        <v>3351237</v>
      </c>
      <c r="R34" s="220">
        <v>1609934</v>
      </c>
      <c r="S34" s="220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9" t="s">
        <v>645</v>
      </c>
      <c r="O35" s="220">
        <v>864325</v>
      </c>
      <c r="P35" s="220">
        <v>670509</v>
      </c>
      <c r="Q35" s="220">
        <v>9604250</v>
      </c>
      <c r="R35" s="220">
        <v>4596512</v>
      </c>
      <c r="S35" s="220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4" t="s">
        <v>647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6" t="s">
        <v>783</v>
      </c>
      <c r="B1" s="9"/>
    </row>
    <row r="2" spans="1:13" ht="18.75" x14ac:dyDescent="0.3">
      <c r="A2" s="399"/>
      <c r="B2" s="400"/>
      <c r="C2" s="520" t="s">
        <v>784</v>
      </c>
      <c r="D2" s="521"/>
      <c r="E2" s="521"/>
      <c r="F2" s="522"/>
      <c r="G2" s="269"/>
      <c r="H2" s="269"/>
      <c r="I2" s="269"/>
    </row>
    <row r="3" spans="1:13" x14ac:dyDescent="0.25">
      <c r="A3" s="269" t="s">
        <v>634</v>
      </c>
      <c r="B3" s="269"/>
      <c r="C3" s="251">
        <v>10</v>
      </c>
      <c r="D3" s="251">
        <v>20</v>
      </c>
      <c r="E3" s="251">
        <v>30</v>
      </c>
      <c r="F3" s="251">
        <v>40</v>
      </c>
      <c r="G3" s="269" t="s">
        <v>619</v>
      </c>
      <c r="H3" s="269" t="s">
        <v>64</v>
      </c>
      <c r="I3" s="269" t="s">
        <v>797</v>
      </c>
      <c r="L3" t="s">
        <v>704</v>
      </c>
      <c r="M3" t="s">
        <v>705</v>
      </c>
    </row>
    <row r="4" spans="1:13" ht="14.25" customHeight="1" x14ac:dyDescent="0.25">
      <c r="A4" s="269" t="s">
        <v>557</v>
      </c>
      <c r="B4" s="269" t="s">
        <v>555</v>
      </c>
      <c r="C4" s="269"/>
      <c r="D4" s="269"/>
      <c r="E4" s="269"/>
      <c r="F4" s="269"/>
      <c r="G4" s="427">
        <f>H4</f>
        <v>6.8302753109928638</v>
      </c>
      <c r="H4" s="427">
        <f>(4.7+0.3+1.2)*M4</f>
        <v>6.8302753109928638</v>
      </c>
      <c r="I4" s="269" t="s">
        <v>632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9" t="s">
        <v>557</v>
      </c>
      <c r="B5" s="269" t="s">
        <v>407</v>
      </c>
      <c r="C5" s="397"/>
      <c r="D5" s="397"/>
      <c r="E5" s="397"/>
      <c r="F5" s="397"/>
      <c r="G5" s="425">
        <f>(139+1763+205)/3826</f>
        <v>0.55070569785676948</v>
      </c>
      <c r="H5" s="427"/>
      <c r="I5" s="269"/>
      <c r="L5" t="s">
        <v>706</v>
      </c>
      <c r="M5" s="1" t="s">
        <v>616</v>
      </c>
    </row>
    <row r="6" spans="1:13" x14ac:dyDescent="0.25">
      <c r="A6" s="8" t="s">
        <v>558</v>
      </c>
      <c r="B6" s="269" t="s">
        <v>555</v>
      </c>
      <c r="C6" s="299">
        <f>C19*(1-C20)</f>
        <v>0</v>
      </c>
      <c r="D6" s="299">
        <f t="shared" ref="D6:F6" si="0">D19*(1-D20)</f>
        <v>0</v>
      </c>
      <c r="E6" s="299">
        <f t="shared" si="0"/>
        <v>0</v>
      </c>
      <c r="F6" s="299">
        <f t="shared" si="0"/>
        <v>1.9091716555549518</v>
      </c>
      <c r="G6" s="255"/>
      <c r="H6" s="427">
        <f>(3.1+0+0.9)*M4</f>
        <v>4.4066292328986219</v>
      </c>
      <c r="I6" s="269" t="s">
        <v>631</v>
      </c>
      <c r="L6" t="s">
        <v>558</v>
      </c>
      <c r="M6" s="1" t="s">
        <v>617</v>
      </c>
    </row>
    <row r="7" spans="1:13" x14ac:dyDescent="0.25">
      <c r="A7" s="8" t="s">
        <v>558</v>
      </c>
      <c r="B7" s="269" t="s">
        <v>407</v>
      </c>
      <c r="C7" s="299">
        <f>C19*C20</f>
        <v>0</v>
      </c>
      <c r="D7" s="299">
        <f t="shared" ref="D7:F7" si="1">D19*D20</f>
        <v>0</v>
      </c>
      <c r="E7" s="299">
        <f t="shared" si="1"/>
        <v>0</v>
      </c>
      <c r="F7" s="299">
        <f t="shared" si="1"/>
        <v>0.99732847678243752</v>
      </c>
      <c r="G7" s="255"/>
      <c r="H7" s="427"/>
      <c r="I7" s="269"/>
      <c r="L7" t="s">
        <v>559</v>
      </c>
      <c r="M7" s="1" t="s">
        <v>618</v>
      </c>
    </row>
    <row r="8" spans="1:13" x14ac:dyDescent="0.25">
      <c r="A8" s="8" t="s">
        <v>559</v>
      </c>
      <c r="B8" s="269" t="s">
        <v>555</v>
      </c>
      <c r="C8" s="299">
        <f>C21*(1-C22)</f>
        <v>0</v>
      </c>
      <c r="D8" s="299">
        <f t="shared" ref="D8:F14" si="2">D21*(1-D22)</f>
        <v>2.2854721106219968</v>
      </c>
      <c r="E8" s="299">
        <f t="shared" si="2"/>
        <v>2.4169774503204851</v>
      </c>
      <c r="F8" s="299">
        <f t="shared" si="2"/>
        <v>1.1109933871079152</v>
      </c>
      <c r="G8" s="255"/>
      <c r="H8" s="427">
        <f>(6.2+0.7+1.6)*M4</f>
        <v>9.3640871199095717</v>
      </c>
      <c r="I8" s="269" t="s">
        <v>629</v>
      </c>
      <c r="L8" t="s">
        <v>560</v>
      </c>
      <c r="M8" s="1" t="s">
        <v>622</v>
      </c>
    </row>
    <row r="9" spans="1:13" x14ac:dyDescent="0.25">
      <c r="A9" s="8" t="s">
        <v>559</v>
      </c>
      <c r="B9" s="269" t="s">
        <v>407</v>
      </c>
      <c r="C9" s="299">
        <f>C21*C22</f>
        <v>0</v>
      </c>
      <c r="D9" s="299">
        <f>D21*D22</f>
        <v>0.57136802765549921</v>
      </c>
      <c r="E9" s="299">
        <f>E21*E22</f>
        <v>0.83664604049555269</v>
      </c>
      <c r="F9" s="299">
        <f>F21*F22</f>
        <v>0.5554966935539577</v>
      </c>
      <c r="G9" s="255"/>
      <c r="H9" s="427"/>
      <c r="I9" s="269"/>
      <c r="L9" t="s">
        <v>561</v>
      </c>
      <c r="M9" s="1" t="s">
        <v>623</v>
      </c>
    </row>
    <row r="10" spans="1:13" x14ac:dyDescent="0.25">
      <c r="A10" s="8" t="s">
        <v>560</v>
      </c>
      <c r="B10" s="269" t="s">
        <v>555</v>
      </c>
      <c r="C10" s="299">
        <f>C23*(1-C24)</f>
        <v>0</v>
      </c>
      <c r="D10" s="299">
        <f t="shared" si="2"/>
        <v>0</v>
      </c>
      <c r="E10" s="299">
        <f t="shared" si="2"/>
        <v>0</v>
      </c>
      <c r="F10" s="299">
        <f t="shared" si="2"/>
        <v>1.3997528151560328</v>
      </c>
      <c r="G10" s="255"/>
      <c r="H10" s="427">
        <f>(4.4+0.1+0.9)*$M$4</f>
        <v>5.9489494644131398</v>
      </c>
      <c r="I10" s="269" t="s">
        <v>630</v>
      </c>
      <c r="L10" t="s">
        <v>562</v>
      </c>
      <c r="M10" s="1" t="s">
        <v>624</v>
      </c>
    </row>
    <row r="11" spans="1:13" x14ac:dyDescent="0.25">
      <c r="A11" s="8" t="s">
        <v>560</v>
      </c>
      <c r="B11" s="269" t="s">
        <v>407</v>
      </c>
      <c r="C11" s="299">
        <f>C23*C24</f>
        <v>0</v>
      </c>
      <c r="D11" s="299">
        <f>D23*D24</f>
        <v>0</v>
      </c>
      <c r="E11" s="299">
        <f>E23*E24</f>
        <v>0</v>
      </c>
      <c r="F11" s="299">
        <f>F23*F24</f>
        <v>0.76350153553965439</v>
      </c>
      <c r="G11" s="255"/>
      <c r="H11" s="427"/>
      <c r="I11" s="269"/>
    </row>
    <row r="12" spans="1:13" x14ac:dyDescent="0.25">
      <c r="A12" s="8" t="s">
        <v>561</v>
      </c>
      <c r="B12" s="269" t="s">
        <v>555</v>
      </c>
      <c r="C12" s="299">
        <f>C25*(1-C26)</f>
        <v>0</v>
      </c>
      <c r="D12" s="299">
        <f t="shared" si="2"/>
        <v>0.5803853136012822</v>
      </c>
      <c r="E12" s="299">
        <f t="shared" si="2"/>
        <v>0.62472030283471314</v>
      </c>
      <c r="F12" s="299">
        <f t="shared" si="2"/>
        <v>0.51637222754231693</v>
      </c>
      <c r="G12" s="255"/>
      <c r="H12" s="427">
        <f>(4.4+0.1+0.9)*$M$4</f>
        <v>5.9489494644131398</v>
      </c>
      <c r="I12" s="269" t="s">
        <v>630</v>
      </c>
    </row>
    <row r="13" spans="1:13" x14ac:dyDescent="0.25">
      <c r="A13" s="8" t="s">
        <v>561</v>
      </c>
      <c r="B13" s="269" t="s">
        <v>407</v>
      </c>
      <c r="C13" s="299">
        <f>C25*C26</f>
        <v>0</v>
      </c>
      <c r="D13" s="299">
        <f>D25*D26</f>
        <v>2.0313485976044867</v>
      </c>
      <c r="E13" s="299">
        <f>E25*E26</f>
        <v>0.8262429811684916</v>
      </c>
      <c r="F13" s="299">
        <f>F25*F26</f>
        <v>0.28165757865944563</v>
      </c>
      <c r="G13" s="255"/>
      <c r="H13" s="427"/>
      <c r="I13" s="269"/>
    </row>
    <row r="14" spans="1:13" x14ac:dyDescent="0.25">
      <c r="A14" s="8" t="s">
        <v>562</v>
      </c>
      <c r="B14" s="269" t="s">
        <v>555</v>
      </c>
      <c r="C14" s="299">
        <f>C27*(1-C28)</f>
        <v>0</v>
      </c>
      <c r="D14" s="299">
        <f t="shared" si="2"/>
        <v>0</v>
      </c>
      <c r="E14" s="299">
        <f t="shared" si="2"/>
        <v>0.17075688277482162</v>
      </c>
      <c r="F14" s="299">
        <f t="shared" si="2"/>
        <v>2.0529707955621812</v>
      </c>
      <c r="G14" s="428"/>
      <c r="H14" s="427">
        <f>(4.4+0.1+0.9)*$M$4</f>
        <v>5.9489494644131398</v>
      </c>
      <c r="I14" s="269" t="s">
        <v>630</v>
      </c>
    </row>
    <row r="15" spans="1:13" x14ac:dyDescent="0.25">
      <c r="A15" s="8" t="s">
        <v>562</v>
      </c>
      <c r="B15" s="269" t="s">
        <v>407</v>
      </c>
      <c r="C15" s="299">
        <f>C27*C28</f>
        <v>0</v>
      </c>
      <c r="D15" s="299">
        <f t="shared" ref="D15:F15" si="3">D27*D28</f>
        <v>0</v>
      </c>
      <c r="E15" s="299">
        <f t="shared" si="3"/>
        <v>0.22583974818605437</v>
      </c>
      <c r="F15" s="299">
        <f t="shared" si="3"/>
        <v>1.1198022521248263</v>
      </c>
      <c r="G15" s="398"/>
      <c r="H15" s="269"/>
      <c r="I15" s="269"/>
    </row>
    <row r="16" spans="1:13" x14ac:dyDescent="0.25">
      <c r="H16" s="207"/>
    </row>
    <row r="18" spans="1:15" x14ac:dyDescent="0.25">
      <c r="A18" s="302"/>
      <c r="B18" s="302"/>
      <c r="C18" s="401">
        <v>10</v>
      </c>
      <c r="D18" s="401">
        <v>20</v>
      </c>
      <c r="E18" s="401">
        <v>30</v>
      </c>
      <c r="F18" s="401">
        <v>40</v>
      </c>
      <c r="G18" s="401">
        <v>100</v>
      </c>
    </row>
    <row r="19" spans="1:15" x14ac:dyDescent="0.25">
      <c r="A19" s="302" t="s">
        <v>558</v>
      </c>
      <c r="B19" s="302" t="s">
        <v>628</v>
      </c>
      <c r="C19" s="429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9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9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9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9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2" t="s">
        <v>558</v>
      </c>
      <c r="B20" s="302" t="s">
        <v>410</v>
      </c>
      <c r="C20" s="430">
        <f>AVERAGE(C22,C24)</f>
        <v>0.9285714285714286</v>
      </c>
      <c r="D20" s="430">
        <f>AVERAGE(D22,D24)</f>
        <v>0.48888888888888882</v>
      </c>
      <c r="E20" s="430">
        <f>AVERAGE(E22,E24)</f>
        <v>0.41329365079365077</v>
      </c>
      <c r="F20" s="430">
        <f>AVERAGE(F22,F24)</f>
        <v>0.34313725490196079</v>
      </c>
      <c r="G20" s="430">
        <f>AVERAGE(G22,G24)</f>
        <v>0.43545751633986929</v>
      </c>
      <c r="K20" s="255">
        <v>10</v>
      </c>
      <c r="L20" s="255">
        <v>20</v>
      </c>
      <c r="M20" s="255">
        <v>30</v>
      </c>
      <c r="N20" s="255">
        <v>40</v>
      </c>
      <c r="O20" s="255">
        <v>100</v>
      </c>
    </row>
    <row r="21" spans="1:15" x14ac:dyDescent="0.25">
      <c r="A21" s="302" t="s">
        <v>559</v>
      </c>
      <c r="B21" s="302" t="s">
        <v>628</v>
      </c>
      <c r="C21" s="429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9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9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9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9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629</v>
      </c>
      <c r="I21" s="302" t="s">
        <v>559</v>
      </c>
      <c r="J21" s="302" t="s">
        <v>628</v>
      </c>
      <c r="K21" s="426">
        <f>1-K22-K23</f>
        <v>0.125</v>
      </c>
      <c r="L21" s="426">
        <f>1-L22-L23</f>
        <v>0.6</v>
      </c>
      <c r="M21" s="426">
        <f>1-M22-M23</f>
        <v>0.65</v>
      </c>
      <c r="N21" s="426">
        <f>1-N22-N23</f>
        <v>0.6</v>
      </c>
      <c r="O21" s="426">
        <f>1-O22-O23</f>
        <v>0.5</v>
      </c>
    </row>
    <row r="22" spans="1:15" x14ac:dyDescent="0.25">
      <c r="A22" s="302" t="s">
        <v>559</v>
      </c>
      <c r="B22" s="302" t="s">
        <v>410</v>
      </c>
      <c r="C22" s="430">
        <f>K22/SUM(K21:K22)</f>
        <v>0.8571428571428571</v>
      </c>
      <c r="D22" s="430">
        <f>L22/SUM(L21:L22)</f>
        <v>0.19999999999999998</v>
      </c>
      <c r="E22" s="430">
        <f>M22/SUM(M21:M22)</f>
        <v>0.25714285714285717</v>
      </c>
      <c r="F22" s="430">
        <f>N22/SUM(N21:N22)</f>
        <v>0.33333333333333337</v>
      </c>
      <c r="G22" s="430">
        <f>O22/SUM(O21:O22)</f>
        <v>0.44444444444444448</v>
      </c>
      <c r="I22" s="302" t="s">
        <v>559</v>
      </c>
      <c r="J22" s="302" t="s">
        <v>410</v>
      </c>
      <c r="K22" s="430">
        <f>AVERAGE(AVERAGEIF($B$31:$J$31,K$20,$B39:$J39),AVERAGEIF($B$31:$J$31,K$20,$B47:$J47))/100</f>
        <v>0.75</v>
      </c>
      <c r="L22" s="430">
        <f t="shared" ref="L22:O22" si="4">AVERAGE(AVERAGEIF($B$31:$J$31,L$20,$B39:$J39),AVERAGEIF($B$31:$J$31,L$20,$B47:$J47))/100</f>
        <v>0.15</v>
      </c>
      <c r="M22" s="430">
        <f t="shared" si="4"/>
        <v>0.22500000000000001</v>
      </c>
      <c r="N22" s="430">
        <f t="shared" si="4"/>
        <v>0.3</v>
      </c>
      <c r="O22" s="430">
        <f t="shared" si="4"/>
        <v>0.4</v>
      </c>
    </row>
    <row r="23" spans="1:15" x14ac:dyDescent="0.25">
      <c r="A23" s="302" t="s">
        <v>560</v>
      </c>
      <c r="B23" s="302" t="s">
        <v>628</v>
      </c>
      <c r="C23" s="429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9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9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9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9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2" t="s">
        <v>559</v>
      </c>
      <c r="J23" s="302" t="s">
        <v>633</v>
      </c>
      <c r="K23" s="430">
        <f>AVERAGE(AVERAGEIF($B$31:$J$31,K$20,$B40:$J40),AVERAGEIF($B$31:$J$31,K$20,$B48:$J48))/100</f>
        <v>0.125</v>
      </c>
      <c r="L23" s="430">
        <f t="shared" ref="L23:O23" si="5">AVERAGE(AVERAGEIF($B$31:$J$31,L$20,$B40:$J40),AVERAGEIF($B$31:$J$31,L$20,$B48:$J48))/100</f>
        <v>0.25</v>
      </c>
      <c r="M23" s="430">
        <f t="shared" si="5"/>
        <v>0.125</v>
      </c>
      <c r="N23" s="430">
        <f t="shared" si="5"/>
        <v>0.1</v>
      </c>
      <c r="O23" s="430">
        <f t="shared" si="5"/>
        <v>0.1</v>
      </c>
    </row>
    <row r="24" spans="1:15" x14ac:dyDescent="0.25">
      <c r="A24" s="302" t="s">
        <v>560</v>
      </c>
      <c r="B24" s="302" t="s">
        <v>410</v>
      </c>
      <c r="C24" s="430">
        <f>K25/SUM(K24:K25)</f>
        <v>1</v>
      </c>
      <c r="D24" s="430">
        <f>L25/SUM(L24:L25)</f>
        <v>0.77777777777777768</v>
      </c>
      <c r="E24" s="430">
        <f>M25/SUM(M24:M25)</f>
        <v>0.56944444444444442</v>
      </c>
      <c r="F24" s="430">
        <f>N25/SUM(N24:N25)</f>
        <v>0.35294117647058826</v>
      </c>
      <c r="G24" s="430">
        <f>O25/SUM(O24:O25)</f>
        <v>0.42647058823529416</v>
      </c>
      <c r="H24" t="s">
        <v>630</v>
      </c>
      <c r="I24" s="302" t="s">
        <v>560</v>
      </c>
      <c r="J24" s="302" t="s">
        <v>628</v>
      </c>
      <c r="K24" s="426">
        <f>1-K25-K26</f>
        <v>0</v>
      </c>
      <c r="L24" s="426">
        <f>1-L25-L26</f>
        <v>0.20000000000000004</v>
      </c>
      <c r="M24" s="426">
        <f>1-M25-M26</f>
        <v>0.38750000000000007</v>
      </c>
      <c r="N24" s="426">
        <f>1-N25-N26</f>
        <v>0.54999999999999993</v>
      </c>
      <c r="O24" s="426">
        <f>1-O25-O26</f>
        <v>0.48749999999999993</v>
      </c>
    </row>
    <row r="25" spans="1:15" x14ac:dyDescent="0.25">
      <c r="A25" s="302" t="s">
        <v>561</v>
      </c>
      <c r="B25" s="302" t="s">
        <v>628</v>
      </c>
      <c r="C25" s="429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9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9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9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9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2" t="s">
        <v>560</v>
      </c>
      <c r="J25" s="302" t="s">
        <v>410</v>
      </c>
      <c r="K25" s="430">
        <f>AVERAGE(AVERAGEIF($B$31:$J$31,K$20,$B35:$J35),AVERAGEIF($B$31:$J$31,K$20,$B43:$J43))/100</f>
        <v>0.85</v>
      </c>
      <c r="L25" s="430">
        <f t="shared" ref="L25:O26" si="6">AVERAGE(AVERAGEIF($B$31:$J$31,L$20,$B35:$J35),AVERAGEIF($B$31:$J$31,L$20,$B43:$J43))/100</f>
        <v>0.7</v>
      </c>
      <c r="M25" s="430">
        <f t="shared" si="6"/>
        <v>0.51249999999999996</v>
      </c>
      <c r="N25" s="430">
        <f t="shared" si="6"/>
        <v>0.3</v>
      </c>
      <c r="O25" s="430">
        <f t="shared" si="6"/>
        <v>0.36249999999999999</v>
      </c>
    </row>
    <row r="26" spans="1:15" x14ac:dyDescent="0.25">
      <c r="A26" s="302" t="s">
        <v>561</v>
      </c>
      <c r="B26" s="302" t="s">
        <v>410</v>
      </c>
      <c r="C26" s="430">
        <f>C24</f>
        <v>1</v>
      </c>
      <c r="D26" s="430">
        <f t="shared" ref="D26:G26" si="7">D24</f>
        <v>0.77777777777777768</v>
      </c>
      <c r="E26" s="430">
        <f t="shared" si="7"/>
        <v>0.56944444444444442</v>
      </c>
      <c r="F26" s="430">
        <f t="shared" si="7"/>
        <v>0.35294117647058826</v>
      </c>
      <c r="G26" s="430">
        <f t="shared" si="7"/>
        <v>0.42647058823529416</v>
      </c>
      <c r="I26" s="302" t="s">
        <v>560</v>
      </c>
      <c r="J26" s="302" t="s">
        <v>633</v>
      </c>
      <c r="K26" s="430">
        <f>AVERAGE(AVERAGEIF($B$31:$J$31,K$20,$B36:$J36),AVERAGEIF($B$31:$J$31,K$20,$B44:$J44))/100</f>
        <v>0.15</v>
      </c>
      <c r="L26" s="430">
        <f t="shared" si="6"/>
        <v>0.1</v>
      </c>
      <c r="M26" s="430">
        <f t="shared" si="6"/>
        <v>0.1</v>
      </c>
      <c r="N26" s="430">
        <f t="shared" si="6"/>
        <v>0.15</v>
      </c>
      <c r="O26" s="430">
        <f t="shared" si="6"/>
        <v>0.15</v>
      </c>
    </row>
    <row r="27" spans="1:15" x14ac:dyDescent="0.25">
      <c r="A27" s="302" t="s">
        <v>562</v>
      </c>
      <c r="B27" s="302" t="s">
        <v>628</v>
      </c>
      <c r="C27" s="429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9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9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9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9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2" t="s">
        <v>562</v>
      </c>
      <c r="B28" s="302" t="s">
        <v>410</v>
      </c>
      <c r="C28" s="430">
        <f>C24</f>
        <v>1</v>
      </c>
      <c r="D28" s="430">
        <f t="shared" ref="D28:G28" si="8">D24</f>
        <v>0.77777777777777768</v>
      </c>
      <c r="E28" s="430">
        <f t="shared" si="8"/>
        <v>0.56944444444444442</v>
      </c>
      <c r="F28" s="430">
        <f t="shared" si="8"/>
        <v>0.35294117647058826</v>
      </c>
      <c r="G28" s="430">
        <f t="shared" si="8"/>
        <v>0.42647058823529416</v>
      </c>
    </row>
    <row r="30" spans="1:15" x14ac:dyDescent="0.25">
      <c r="A30" t="s">
        <v>814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31" t="s">
        <v>798</v>
      </c>
      <c r="B32" s="432" t="s">
        <v>811</v>
      </c>
      <c r="C32" s="432" t="s">
        <v>806</v>
      </c>
      <c r="D32" s="432" t="s">
        <v>807</v>
      </c>
      <c r="E32" s="432" t="s">
        <v>812</v>
      </c>
      <c r="F32" s="432" t="s">
        <v>808</v>
      </c>
      <c r="G32" s="432" t="s">
        <v>809</v>
      </c>
      <c r="H32" s="432" t="s">
        <v>810</v>
      </c>
      <c r="I32" s="432" t="s">
        <v>799</v>
      </c>
      <c r="J32" s="432" t="s">
        <v>813</v>
      </c>
    </row>
    <row r="33" spans="1:10" ht="15.75" thickBot="1" x14ac:dyDescent="0.3">
      <c r="A33" s="517" t="s">
        <v>800</v>
      </c>
      <c r="B33" s="518"/>
      <c r="C33" s="433"/>
      <c r="D33" s="433"/>
      <c r="E33" s="519"/>
      <c r="F33" s="519"/>
      <c r="G33" s="433"/>
      <c r="H33" s="433"/>
      <c r="I33" s="433"/>
      <c r="J33" s="434"/>
    </row>
    <row r="34" spans="1:10" ht="15.75" thickBot="1" x14ac:dyDescent="0.3">
      <c r="A34" s="435" t="s">
        <v>801</v>
      </c>
      <c r="B34" s="436">
        <v>0</v>
      </c>
      <c r="C34" s="436">
        <v>0</v>
      </c>
      <c r="D34" s="436">
        <v>20</v>
      </c>
      <c r="E34" s="436">
        <v>30</v>
      </c>
      <c r="F34" s="436">
        <v>40</v>
      </c>
      <c r="G34" s="436">
        <v>50</v>
      </c>
      <c r="H34" s="436">
        <v>55</v>
      </c>
      <c r="I34" s="436">
        <v>50</v>
      </c>
      <c r="J34" s="436">
        <v>45</v>
      </c>
    </row>
    <row r="35" spans="1:10" ht="15.75" thickBot="1" x14ac:dyDescent="0.3">
      <c r="A35" s="435" t="s">
        <v>802</v>
      </c>
      <c r="B35" s="436">
        <v>80</v>
      </c>
      <c r="C35" s="436">
        <v>90</v>
      </c>
      <c r="D35" s="436">
        <v>70</v>
      </c>
      <c r="E35" s="436">
        <v>60</v>
      </c>
      <c r="F35" s="436">
        <v>50</v>
      </c>
      <c r="G35" s="436">
        <v>35</v>
      </c>
      <c r="H35" s="436">
        <v>30</v>
      </c>
      <c r="I35" s="436">
        <v>35</v>
      </c>
      <c r="J35" s="436">
        <v>40</v>
      </c>
    </row>
    <row r="36" spans="1:10" ht="15.75" thickBot="1" x14ac:dyDescent="0.3">
      <c r="A36" s="435" t="s">
        <v>803</v>
      </c>
      <c r="B36" s="436">
        <v>20</v>
      </c>
      <c r="C36" s="436">
        <v>10</v>
      </c>
      <c r="D36" s="436">
        <v>10</v>
      </c>
      <c r="E36" s="436">
        <v>10</v>
      </c>
      <c r="F36" s="436">
        <v>10</v>
      </c>
      <c r="G36" s="436">
        <v>15</v>
      </c>
      <c r="H36" s="436">
        <v>15</v>
      </c>
      <c r="I36" s="436">
        <v>15</v>
      </c>
      <c r="J36" s="436">
        <v>15</v>
      </c>
    </row>
    <row r="37" spans="1:10" ht="15.75" thickBot="1" x14ac:dyDescent="0.3">
      <c r="A37" s="517" t="s">
        <v>804</v>
      </c>
      <c r="B37" s="518"/>
      <c r="C37" s="433"/>
      <c r="D37" s="433"/>
      <c r="E37" s="519"/>
      <c r="F37" s="519"/>
      <c r="G37" s="433"/>
      <c r="H37" s="433"/>
      <c r="I37" s="433"/>
      <c r="J37" s="434"/>
    </row>
    <row r="38" spans="1:10" ht="15.75" thickBot="1" x14ac:dyDescent="0.3">
      <c r="A38" s="435" t="s">
        <v>801</v>
      </c>
      <c r="B38" s="436">
        <v>0</v>
      </c>
      <c r="C38" s="436">
        <v>25</v>
      </c>
      <c r="D38" s="436">
        <v>60</v>
      </c>
      <c r="E38" s="436">
        <v>65</v>
      </c>
      <c r="F38" s="436">
        <v>65</v>
      </c>
      <c r="G38" s="436">
        <v>60</v>
      </c>
      <c r="H38" s="436">
        <v>60</v>
      </c>
      <c r="I38" s="436">
        <v>50</v>
      </c>
      <c r="J38" s="436">
        <v>50</v>
      </c>
    </row>
    <row r="39" spans="1:10" ht="15.75" thickBot="1" x14ac:dyDescent="0.3">
      <c r="A39" s="435" t="s">
        <v>802</v>
      </c>
      <c r="B39" s="436">
        <v>90</v>
      </c>
      <c r="C39" s="436">
        <v>60</v>
      </c>
      <c r="D39" s="436">
        <v>15</v>
      </c>
      <c r="E39" s="436">
        <v>20</v>
      </c>
      <c r="F39" s="436">
        <v>25</v>
      </c>
      <c r="G39" s="436">
        <v>30</v>
      </c>
      <c r="H39" s="436">
        <v>30</v>
      </c>
      <c r="I39" s="436">
        <v>40</v>
      </c>
      <c r="J39" s="436">
        <v>40</v>
      </c>
    </row>
    <row r="40" spans="1:10" ht="15.75" thickBot="1" x14ac:dyDescent="0.3">
      <c r="A40" s="435" t="s">
        <v>803</v>
      </c>
      <c r="B40" s="436">
        <v>10</v>
      </c>
      <c r="C40" s="436">
        <v>15</v>
      </c>
      <c r="D40" s="436">
        <v>25</v>
      </c>
      <c r="E40" s="436">
        <v>15</v>
      </c>
      <c r="F40" s="436">
        <v>10</v>
      </c>
      <c r="G40" s="436">
        <v>10</v>
      </c>
      <c r="H40" s="436">
        <v>10</v>
      </c>
      <c r="I40" s="436">
        <v>10</v>
      </c>
      <c r="J40" s="436">
        <v>10</v>
      </c>
    </row>
    <row r="41" spans="1:10" ht="15.75" thickBot="1" x14ac:dyDescent="0.3">
      <c r="A41" s="517" t="s">
        <v>805</v>
      </c>
      <c r="B41" s="518"/>
      <c r="C41" s="433"/>
      <c r="D41" s="433"/>
      <c r="E41" s="519"/>
      <c r="F41" s="519"/>
      <c r="G41" s="433"/>
      <c r="H41" s="433"/>
      <c r="I41" s="433"/>
      <c r="J41" s="434"/>
    </row>
    <row r="42" spans="1:10" ht="15.75" thickBot="1" x14ac:dyDescent="0.3">
      <c r="A42" s="435" t="s">
        <v>801</v>
      </c>
      <c r="B42" s="436">
        <v>0</v>
      </c>
      <c r="C42" s="436">
        <v>0</v>
      </c>
      <c r="D42" s="436">
        <v>20</v>
      </c>
      <c r="E42" s="436">
        <v>35</v>
      </c>
      <c r="F42" s="436">
        <v>50</v>
      </c>
      <c r="G42" s="436">
        <v>55</v>
      </c>
      <c r="H42" s="436">
        <v>60</v>
      </c>
      <c r="I42" s="436">
        <v>55</v>
      </c>
      <c r="J42" s="436">
        <v>45</v>
      </c>
    </row>
    <row r="43" spans="1:10" ht="15.75" thickBot="1" x14ac:dyDescent="0.3">
      <c r="A43" s="435" t="s">
        <v>802</v>
      </c>
      <c r="B43" s="436">
        <v>80</v>
      </c>
      <c r="C43" s="436">
        <v>90</v>
      </c>
      <c r="D43" s="436">
        <v>70</v>
      </c>
      <c r="E43" s="436">
        <v>55</v>
      </c>
      <c r="F43" s="436">
        <v>40</v>
      </c>
      <c r="G43" s="436">
        <v>30</v>
      </c>
      <c r="H43" s="436">
        <v>25</v>
      </c>
      <c r="I43" s="436">
        <v>30</v>
      </c>
      <c r="J43" s="436">
        <v>40</v>
      </c>
    </row>
    <row r="44" spans="1:10" ht="15.75" thickBot="1" x14ac:dyDescent="0.3">
      <c r="A44" s="435" t="s">
        <v>803</v>
      </c>
      <c r="B44" s="436">
        <v>20</v>
      </c>
      <c r="C44" s="436">
        <v>10</v>
      </c>
      <c r="D44" s="436">
        <v>10</v>
      </c>
      <c r="E44" s="436">
        <v>10</v>
      </c>
      <c r="F44" s="436">
        <v>10</v>
      </c>
      <c r="G44" s="436">
        <v>15</v>
      </c>
      <c r="H44" s="436">
        <v>15</v>
      </c>
      <c r="I44" s="436">
        <v>15</v>
      </c>
      <c r="J44" s="436">
        <v>15</v>
      </c>
    </row>
    <row r="45" spans="1:10" ht="15.75" thickBot="1" x14ac:dyDescent="0.3">
      <c r="A45" s="517" t="s">
        <v>804</v>
      </c>
      <c r="B45" s="518"/>
      <c r="C45" s="433"/>
      <c r="D45" s="433"/>
      <c r="E45" s="519"/>
      <c r="F45" s="519"/>
      <c r="G45" s="433"/>
      <c r="H45" s="433"/>
      <c r="I45" s="433"/>
      <c r="J45" s="434"/>
    </row>
    <row r="46" spans="1:10" ht="15.75" thickBot="1" x14ac:dyDescent="0.3">
      <c r="A46" s="435" t="s">
        <v>801</v>
      </c>
      <c r="B46" s="436">
        <v>0</v>
      </c>
      <c r="C46" s="436">
        <v>25</v>
      </c>
      <c r="D46" s="436">
        <v>60</v>
      </c>
      <c r="E46" s="436">
        <v>65</v>
      </c>
      <c r="F46" s="436">
        <v>65</v>
      </c>
      <c r="G46" s="436">
        <v>60</v>
      </c>
      <c r="H46" s="436">
        <v>60</v>
      </c>
      <c r="I46" s="436">
        <v>50</v>
      </c>
      <c r="J46" s="436">
        <v>50</v>
      </c>
    </row>
    <row r="47" spans="1:10" ht="15.75" thickBot="1" x14ac:dyDescent="0.3">
      <c r="A47" s="435" t="s">
        <v>802</v>
      </c>
      <c r="B47" s="436">
        <v>90</v>
      </c>
      <c r="C47" s="436">
        <v>60</v>
      </c>
      <c r="D47" s="436">
        <v>15</v>
      </c>
      <c r="E47" s="436">
        <v>20</v>
      </c>
      <c r="F47" s="436">
        <v>25</v>
      </c>
      <c r="G47" s="436">
        <v>30</v>
      </c>
      <c r="H47" s="436">
        <v>30</v>
      </c>
      <c r="I47" s="436">
        <v>40</v>
      </c>
      <c r="J47" s="436">
        <v>40</v>
      </c>
    </row>
    <row r="48" spans="1:10" ht="15.75" thickBot="1" x14ac:dyDescent="0.3">
      <c r="A48" s="435" t="s">
        <v>803</v>
      </c>
      <c r="B48" s="436">
        <v>10</v>
      </c>
      <c r="C48" s="436">
        <v>15</v>
      </c>
      <c r="D48" s="436">
        <v>25</v>
      </c>
      <c r="E48" s="436">
        <v>15</v>
      </c>
      <c r="F48" s="436">
        <v>10</v>
      </c>
      <c r="G48" s="436">
        <v>10</v>
      </c>
      <c r="H48" s="436">
        <v>10</v>
      </c>
      <c r="I48" s="436">
        <v>10</v>
      </c>
      <c r="J48" s="436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9" t="s">
        <v>625</v>
      </c>
      <c r="B1" s="269"/>
      <c r="C1" s="269"/>
      <c r="D1" s="251">
        <v>10</v>
      </c>
      <c r="E1" s="251">
        <v>20</v>
      </c>
      <c r="F1" s="251">
        <v>30</v>
      </c>
      <c r="G1" s="251">
        <v>40</v>
      </c>
      <c r="H1" s="251">
        <v>100</v>
      </c>
      <c r="I1" s="269" t="s">
        <v>619</v>
      </c>
    </row>
    <row r="2" spans="1:14" x14ac:dyDescent="0.25">
      <c r="A2" s="8" t="s">
        <v>616</v>
      </c>
      <c r="B2" s="269" t="s">
        <v>557</v>
      </c>
      <c r="C2" s="269" t="s">
        <v>620</v>
      </c>
      <c r="D2" s="269">
        <f>B74</f>
        <v>1</v>
      </c>
      <c r="E2" s="269">
        <f t="shared" ref="E2:G3" si="0">C74</f>
        <v>1</v>
      </c>
      <c r="F2" s="269">
        <f t="shared" si="0"/>
        <v>1</v>
      </c>
      <c r="G2" s="269">
        <f t="shared" si="0"/>
        <v>1</v>
      </c>
      <c r="H2" s="269">
        <f t="shared" ref="H2" si="1">F74</f>
        <v>1</v>
      </c>
      <c r="I2" s="269">
        <f>F74</f>
        <v>1</v>
      </c>
    </row>
    <row r="3" spans="1:14" x14ac:dyDescent="0.25">
      <c r="A3" s="8"/>
      <c r="B3" s="269" t="s">
        <v>557</v>
      </c>
      <c r="C3" s="269" t="s">
        <v>621</v>
      </c>
      <c r="D3" s="269">
        <f>B75</f>
        <v>8</v>
      </c>
      <c r="E3" s="269">
        <f t="shared" si="0"/>
        <v>8</v>
      </c>
      <c r="F3" s="269">
        <f t="shared" si="0"/>
        <v>8</v>
      </c>
      <c r="G3" s="269">
        <f t="shared" si="0"/>
        <v>8</v>
      </c>
      <c r="H3" s="269">
        <f t="shared" ref="H3" si="2">F75</f>
        <v>8</v>
      </c>
      <c r="I3" s="269">
        <f>F75</f>
        <v>8</v>
      </c>
      <c r="N3" s="1"/>
    </row>
    <row r="4" spans="1:14" x14ac:dyDescent="0.25">
      <c r="A4" s="8" t="s">
        <v>617</v>
      </c>
      <c r="B4" s="8" t="s">
        <v>558</v>
      </c>
      <c r="C4" s="269" t="s">
        <v>620</v>
      </c>
      <c r="D4" s="269">
        <f>AVERAGE(B32,B29)</f>
        <v>2.5</v>
      </c>
      <c r="E4" s="269">
        <f t="shared" ref="E4:G5" si="3">AVERAGE(C32,C29)</f>
        <v>5.5</v>
      </c>
      <c r="F4" s="269">
        <f t="shared" si="3"/>
        <v>14</v>
      </c>
      <c r="G4" s="269">
        <f t="shared" si="3"/>
        <v>14.5</v>
      </c>
      <c r="H4" s="269">
        <f t="shared" ref="H4" si="4">AVERAGE(F32,F29)</f>
        <v>5.5</v>
      </c>
      <c r="I4" s="269">
        <f>AVERAGE(F32,F29)</f>
        <v>5.5</v>
      </c>
      <c r="N4" s="1"/>
    </row>
    <row r="5" spans="1:14" x14ac:dyDescent="0.25">
      <c r="A5" s="8"/>
      <c r="B5" s="8" t="s">
        <v>558</v>
      </c>
      <c r="C5" s="269" t="s">
        <v>621</v>
      </c>
      <c r="D5" s="269">
        <f>AVERAGE(B33,B30)</f>
        <v>0</v>
      </c>
      <c r="E5" s="269">
        <f t="shared" si="3"/>
        <v>0</v>
      </c>
      <c r="F5" s="269">
        <f t="shared" si="3"/>
        <v>0</v>
      </c>
      <c r="G5" s="269">
        <f t="shared" si="3"/>
        <v>15.5</v>
      </c>
      <c r="H5" s="269">
        <f t="shared" ref="H5" si="5">AVERAGE(F33,F30)</f>
        <v>8</v>
      </c>
      <c r="I5" s="269">
        <f>AVERAGE(F33,F30)</f>
        <v>8</v>
      </c>
      <c r="N5" s="1"/>
    </row>
    <row r="6" spans="1:14" x14ac:dyDescent="0.25">
      <c r="A6" s="8" t="s">
        <v>618</v>
      </c>
      <c r="B6" s="8" t="s">
        <v>559</v>
      </c>
      <c r="C6" s="269" t="s">
        <v>620</v>
      </c>
      <c r="D6" s="269">
        <f>AVERAGE(B47,B50)</f>
        <v>12.5</v>
      </c>
      <c r="E6" s="269">
        <f t="shared" ref="E6:H6" si="6">AVERAGE(C47,C50)</f>
        <v>16</v>
      </c>
      <c r="F6" s="269">
        <f t="shared" si="6"/>
        <v>0.5</v>
      </c>
      <c r="G6" s="269">
        <f t="shared" si="6"/>
        <v>12.5</v>
      </c>
      <c r="H6" s="269">
        <f t="shared" si="6"/>
        <v>6</v>
      </c>
      <c r="I6" s="269">
        <f>AVERAGE(F47,F50)</f>
        <v>6</v>
      </c>
      <c r="N6" s="1"/>
    </row>
    <row r="7" spans="1:14" x14ac:dyDescent="0.25">
      <c r="A7" s="8"/>
      <c r="B7" s="8" t="s">
        <v>559</v>
      </c>
      <c r="C7" s="269" t="s">
        <v>621</v>
      </c>
      <c r="D7" s="269">
        <f>AVERAGE(B48,B51)</f>
        <v>0</v>
      </c>
      <c r="E7" s="269">
        <f t="shared" ref="E7:H7" si="7">AVERAGE(C48,C51)</f>
        <v>18</v>
      </c>
      <c r="F7" s="269">
        <f t="shared" si="7"/>
        <v>20.5</v>
      </c>
      <c r="G7" s="269">
        <f t="shared" si="7"/>
        <v>10.5</v>
      </c>
      <c r="H7" s="269">
        <f t="shared" si="7"/>
        <v>10</v>
      </c>
      <c r="I7" s="269">
        <f>AVERAGE(F48,F51)</f>
        <v>10</v>
      </c>
      <c r="N7" s="1"/>
    </row>
    <row r="8" spans="1:14" x14ac:dyDescent="0.25">
      <c r="A8" s="8" t="s">
        <v>622</v>
      </c>
      <c r="B8" s="8" t="s">
        <v>560</v>
      </c>
      <c r="C8" s="269" t="s">
        <v>620</v>
      </c>
      <c r="D8" s="269">
        <f>AVERAGE(B23,B26,B20,B17)</f>
        <v>2.5</v>
      </c>
      <c r="E8" s="269">
        <f t="shared" ref="E8:H8" si="8">AVERAGE(C23,C26,C20,C17)</f>
        <v>4.25</v>
      </c>
      <c r="F8" s="269">
        <f t="shared" si="8"/>
        <v>13.75</v>
      </c>
      <c r="G8" s="269">
        <f t="shared" si="8"/>
        <v>13.25</v>
      </c>
      <c r="H8" s="269">
        <f t="shared" si="8"/>
        <v>5.25</v>
      </c>
      <c r="I8" s="269">
        <f>AVERAGE(F23,F26,F20,F17)</f>
        <v>5.25</v>
      </c>
      <c r="N8" s="1"/>
    </row>
    <row r="9" spans="1:14" x14ac:dyDescent="0.25">
      <c r="A9" s="8"/>
      <c r="B9" s="8" t="s">
        <v>560</v>
      </c>
      <c r="C9" s="269" t="s">
        <v>621</v>
      </c>
      <c r="D9" s="269">
        <f>AVERAGE(B24,B27,B21,B18)</f>
        <v>0</v>
      </c>
      <c r="E9" s="269">
        <f t="shared" ref="E9" si="9">AVERAGE(C24,C27,C21,C18)</f>
        <v>0</v>
      </c>
      <c r="F9" s="269">
        <f t="shared" ref="F9" si="10">AVERAGE(D24,D27,D21,D18)</f>
        <v>0</v>
      </c>
      <c r="G9" s="269">
        <f t="shared" ref="G9:H9" si="11">AVERAGE(E24,E27,E21,E18)</f>
        <v>4</v>
      </c>
      <c r="H9" s="269">
        <f t="shared" si="11"/>
        <v>7</v>
      </c>
      <c r="I9" s="269">
        <f t="shared" ref="I9" si="12">AVERAGE(F24,F27,F21,F18)</f>
        <v>7</v>
      </c>
    </row>
    <row r="10" spans="1:14" x14ac:dyDescent="0.25">
      <c r="A10" s="8" t="s">
        <v>623</v>
      </c>
      <c r="B10" s="8" t="s">
        <v>561</v>
      </c>
      <c r="C10" s="269" t="s">
        <v>620</v>
      </c>
      <c r="D10" s="269">
        <f>AVERAGE(B41,B44)</f>
        <v>9.5</v>
      </c>
      <c r="E10" s="269">
        <f t="shared" ref="E10:H10" si="13">AVERAGE(C41,C44)</f>
        <v>8</v>
      </c>
      <c r="F10" s="269">
        <f t="shared" si="13"/>
        <v>4.5</v>
      </c>
      <c r="G10" s="269">
        <f t="shared" si="13"/>
        <v>13</v>
      </c>
      <c r="H10" s="269">
        <f t="shared" si="13"/>
        <v>5.5</v>
      </c>
      <c r="I10" s="269">
        <f>AVERAGE(F41,F44)</f>
        <v>5.5</v>
      </c>
    </row>
    <row r="11" spans="1:14" x14ac:dyDescent="0.25">
      <c r="A11" s="8"/>
      <c r="B11" s="8" t="s">
        <v>561</v>
      </c>
      <c r="C11" s="269" t="s">
        <v>621</v>
      </c>
      <c r="D11" s="269">
        <f>AVERAGE(B42,B45)</f>
        <v>0</v>
      </c>
      <c r="E11" s="269">
        <f t="shared" ref="E11" si="14">AVERAGE(C42,C45)</f>
        <v>18</v>
      </c>
      <c r="F11" s="269">
        <f t="shared" ref="F11" si="15">AVERAGE(D42,D45)</f>
        <v>10</v>
      </c>
      <c r="G11" s="269">
        <f t="shared" ref="G11:H11" si="16">AVERAGE(E42,E45)</f>
        <v>5.5</v>
      </c>
      <c r="H11" s="269">
        <f t="shared" si="16"/>
        <v>7.5</v>
      </c>
      <c r="I11" s="269">
        <f t="shared" ref="I11" si="17">AVERAGE(F42,F45)</f>
        <v>7.5</v>
      </c>
    </row>
    <row r="12" spans="1:14" x14ac:dyDescent="0.25">
      <c r="A12" s="8" t="s">
        <v>624</v>
      </c>
      <c r="B12" s="8" t="s">
        <v>562</v>
      </c>
      <c r="C12" s="269" t="s">
        <v>620</v>
      </c>
      <c r="D12" s="398">
        <f>AVERAGE(B59,B62,B65)</f>
        <v>2.6666666666666665</v>
      </c>
      <c r="E12" s="398">
        <f t="shared" ref="E12:H12" si="18">AVERAGE(C59,C62,C65)</f>
        <v>2.6666666666666665</v>
      </c>
      <c r="F12" s="398">
        <f t="shared" si="18"/>
        <v>3.3333333333333335</v>
      </c>
      <c r="G12" s="398">
        <f t="shared" si="18"/>
        <v>4.333333333333333</v>
      </c>
      <c r="H12" s="398">
        <f t="shared" si="18"/>
        <v>5.333333333333333</v>
      </c>
      <c r="I12" s="398">
        <f>AVERAGE(F59,F62,F65)</f>
        <v>5.333333333333333</v>
      </c>
    </row>
    <row r="13" spans="1:14" x14ac:dyDescent="0.25">
      <c r="A13" s="269"/>
      <c r="B13" s="8" t="s">
        <v>562</v>
      </c>
      <c r="C13" s="269" t="s">
        <v>621</v>
      </c>
      <c r="D13" s="398">
        <f>AVERAGE(B60,B63,B66)</f>
        <v>0</v>
      </c>
      <c r="E13" s="398">
        <f t="shared" ref="E13" si="19">AVERAGE(C60,C63,C66)</f>
        <v>0</v>
      </c>
      <c r="F13" s="398">
        <f t="shared" ref="F13" si="20">AVERAGE(D60,D63,D66)</f>
        <v>0.33333333333333331</v>
      </c>
      <c r="G13" s="398">
        <f t="shared" ref="G13:H13" si="21">AVERAGE(E60,E63,E66)</f>
        <v>2.6666666666666665</v>
      </c>
      <c r="H13" s="398">
        <f t="shared" si="21"/>
        <v>2</v>
      </c>
      <c r="I13" s="398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4" t="s">
        <v>1</v>
      </c>
      <c r="B15" s="315" t="s">
        <v>584</v>
      </c>
      <c r="C15" s="316" t="s">
        <v>585</v>
      </c>
      <c r="D15" s="316" t="s">
        <v>586</v>
      </c>
      <c r="E15" s="316" t="s">
        <v>587</v>
      </c>
      <c r="F15" s="316" t="s">
        <v>588</v>
      </c>
      <c r="G15" s="316" t="s">
        <v>589</v>
      </c>
      <c r="H15" s="322"/>
    </row>
    <row r="16" spans="1:14" ht="15.75" thickBot="1" x14ac:dyDescent="0.3">
      <c r="A16" s="317" t="s">
        <v>590</v>
      </c>
      <c r="B16" s="318">
        <v>28</v>
      </c>
      <c r="C16" s="318">
        <v>90</v>
      </c>
      <c r="D16" s="318">
        <v>306</v>
      </c>
      <c r="E16" s="318">
        <v>425</v>
      </c>
      <c r="F16" s="318">
        <v>792</v>
      </c>
      <c r="G16" s="318"/>
      <c r="H16" s="323"/>
    </row>
    <row r="17" spans="1:8" ht="15.75" thickBot="1" x14ac:dyDescent="0.3">
      <c r="A17" s="317" t="s">
        <v>591</v>
      </c>
      <c r="B17" s="318">
        <v>3</v>
      </c>
      <c r="C17" s="318">
        <v>6</v>
      </c>
      <c r="D17" s="318">
        <v>22</v>
      </c>
      <c r="E17" s="318">
        <v>12</v>
      </c>
      <c r="F17" s="318">
        <v>6</v>
      </c>
      <c r="G17" s="318">
        <v>8</v>
      </c>
      <c r="H17" s="323"/>
    </row>
    <row r="18" spans="1:8" ht="15.75" thickBot="1" x14ac:dyDescent="0.3">
      <c r="A18" s="317" t="s">
        <v>592</v>
      </c>
      <c r="B18" s="318">
        <v>0</v>
      </c>
      <c r="C18" s="318">
        <v>0</v>
      </c>
      <c r="D18" s="318">
        <v>0</v>
      </c>
      <c r="E18" s="318">
        <v>11</v>
      </c>
      <c r="F18" s="318">
        <v>11</v>
      </c>
      <c r="G18" s="318">
        <v>8</v>
      </c>
      <c r="H18" s="323"/>
    </row>
    <row r="19" spans="1:8" ht="15.75" thickBot="1" x14ac:dyDescent="0.3">
      <c r="A19" s="317" t="s">
        <v>593</v>
      </c>
      <c r="B19" s="318">
        <v>17</v>
      </c>
      <c r="C19" s="318">
        <v>37</v>
      </c>
      <c r="D19" s="318">
        <v>104</v>
      </c>
      <c r="E19" s="318">
        <v>270</v>
      </c>
      <c r="F19" s="318">
        <v>657</v>
      </c>
      <c r="G19" s="318"/>
      <c r="H19" s="323"/>
    </row>
    <row r="20" spans="1:8" ht="15.75" thickBot="1" x14ac:dyDescent="0.3">
      <c r="A20" s="317" t="s">
        <v>591</v>
      </c>
      <c r="B20" s="318">
        <v>2</v>
      </c>
      <c r="C20" s="318">
        <v>2</v>
      </c>
      <c r="D20" s="318">
        <v>7</v>
      </c>
      <c r="E20" s="318">
        <v>17</v>
      </c>
      <c r="F20" s="318">
        <v>6</v>
      </c>
      <c r="G20" s="318">
        <v>7</v>
      </c>
      <c r="H20" s="323"/>
    </row>
    <row r="21" spans="1:8" ht="15.75" thickBot="1" x14ac:dyDescent="0.3">
      <c r="A21" s="317" t="s">
        <v>592</v>
      </c>
      <c r="B21" s="318">
        <v>0</v>
      </c>
      <c r="C21" s="318">
        <v>0</v>
      </c>
      <c r="D21" s="318">
        <v>0</v>
      </c>
      <c r="E21" s="318">
        <v>0</v>
      </c>
      <c r="F21" s="318">
        <v>8</v>
      </c>
      <c r="G21" s="318">
        <v>5</v>
      </c>
      <c r="H21" s="323"/>
    </row>
    <row r="22" spans="1:8" ht="15.75" thickBot="1" x14ac:dyDescent="0.3">
      <c r="A22" s="317" t="s">
        <v>594</v>
      </c>
      <c r="B22" s="318">
        <v>30</v>
      </c>
      <c r="C22" s="318">
        <v>101</v>
      </c>
      <c r="D22" s="318">
        <v>285</v>
      </c>
      <c r="E22" s="318">
        <v>384</v>
      </c>
      <c r="F22" s="318">
        <v>634</v>
      </c>
      <c r="G22" s="318"/>
      <c r="H22" s="323"/>
    </row>
    <row r="23" spans="1:8" ht="15.75" thickBot="1" x14ac:dyDescent="0.3">
      <c r="A23" s="317" t="s">
        <v>591</v>
      </c>
      <c r="B23" s="318">
        <v>3</v>
      </c>
      <c r="C23" s="318">
        <v>7</v>
      </c>
      <c r="D23" s="318">
        <v>18</v>
      </c>
      <c r="E23" s="318">
        <v>10</v>
      </c>
      <c r="F23" s="318">
        <v>4</v>
      </c>
      <c r="G23" s="318">
        <v>6</v>
      </c>
      <c r="H23" s="323"/>
    </row>
    <row r="24" spans="1:8" ht="15.75" thickBot="1" x14ac:dyDescent="0.3">
      <c r="A24" s="317" t="s">
        <v>592</v>
      </c>
      <c r="B24" s="318">
        <v>0</v>
      </c>
      <c r="C24" s="318">
        <v>0</v>
      </c>
      <c r="D24" s="318">
        <v>0</v>
      </c>
      <c r="E24" s="318">
        <v>5</v>
      </c>
      <c r="F24" s="318">
        <v>5</v>
      </c>
      <c r="G24" s="318">
        <v>4</v>
      </c>
      <c r="H24" s="323"/>
    </row>
    <row r="25" spans="1:8" ht="15.75" thickBot="1" x14ac:dyDescent="0.3">
      <c r="A25" s="317" t="s">
        <v>595</v>
      </c>
      <c r="B25" s="318">
        <v>18</v>
      </c>
      <c r="C25" s="318">
        <v>41</v>
      </c>
      <c r="D25" s="318">
        <v>118</v>
      </c>
      <c r="E25" s="318">
        <v>260</v>
      </c>
      <c r="F25" s="318">
        <v>567</v>
      </c>
      <c r="G25" s="318"/>
      <c r="H25" s="323"/>
    </row>
    <row r="26" spans="1:8" ht="15.75" thickBot="1" x14ac:dyDescent="0.3">
      <c r="A26" s="317" t="s">
        <v>591</v>
      </c>
      <c r="B26" s="318">
        <v>2</v>
      </c>
      <c r="C26" s="318">
        <v>2</v>
      </c>
      <c r="D26" s="318">
        <v>8</v>
      </c>
      <c r="E26" s="318">
        <v>14</v>
      </c>
      <c r="F26" s="318">
        <v>5</v>
      </c>
      <c r="G26" s="318">
        <v>6</v>
      </c>
      <c r="H26" s="323"/>
    </row>
    <row r="27" spans="1:8" ht="15.75" thickBot="1" x14ac:dyDescent="0.3">
      <c r="A27" s="317" t="s">
        <v>592</v>
      </c>
      <c r="B27" s="318">
        <v>0</v>
      </c>
      <c r="C27" s="318">
        <v>0</v>
      </c>
      <c r="D27" s="318">
        <v>0</v>
      </c>
      <c r="E27" s="318">
        <v>0</v>
      </c>
      <c r="F27" s="318">
        <v>4</v>
      </c>
      <c r="G27" s="318">
        <v>2</v>
      </c>
      <c r="H27" s="323"/>
    </row>
    <row r="28" spans="1:8" ht="26.25" thickBot="1" x14ac:dyDescent="0.3">
      <c r="A28" s="317" t="s">
        <v>596</v>
      </c>
      <c r="B28" s="318">
        <v>33</v>
      </c>
      <c r="C28" s="318">
        <v>116</v>
      </c>
      <c r="D28" s="318">
        <v>322</v>
      </c>
      <c r="E28" s="318">
        <v>452</v>
      </c>
      <c r="F28" s="318">
        <v>753</v>
      </c>
      <c r="G28" s="318"/>
      <c r="H28" s="323"/>
    </row>
    <row r="29" spans="1:8" ht="15.75" thickBot="1" x14ac:dyDescent="0.3">
      <c r="A29" s="317" t="s">
        <v>591</v>
      </c>
      <c r="B29" s="318">
        <v>3</v>
      </c>
      <c r="C29" s="318">
        <v>8</v>
      </c>
      <c r="D29" s="318">
        <v>21</v>
      </c>
      <c r="E29" s="318">
        <v>13</v>
      </c>
      <c r="F29" s="318">
        <v>5</v>
      </c>
      <c r="G29" s="318">
        <v>8</v>
      </c>
      <c r="H29" s="323"/>
    </row>
    <row r="30" spans="1:8" ht="15.75" thickBot="1" x14ac:dyDescent="0.3">
      <c r="A30" s="317" t="s">
        <v>592</v>
      </c>
      <c r="B30" s="318">
        <v>0</v>
      </c>
      <c r="C30" s="318">
        <v>0</v>
      </c>
      <c r="D30" s="318">
        <v>0</v>
      </c>
      <c r="E30" s="318">
        <v>23</v>
      </c>
      <c r="F30" s="318">
        <v>9</v>
      </c>
      <c r="G30" s="318">
        <v>8</v>
      </c>
      <c r="H30" s="323"/>
    </row>
    <row r="31" spans="1:8" ht="26.25" thickBot="1" x14ac:dyDescent="0.3">
      <c r="A31" s="317" t="s">
        <v>597</v>
      </c>
      <c r="B31" s="318">
        <v>19</v>
      </c>
      <c r="C31" s="318">
        <v>47</v>
      </c>
      <c r="D31" s="318">
        <v>118</v>
      </c>
      <c r="E31" s="318">
        <v>278</v>
      </c>
      <c r="F31" s="318">
        <v>648</v>
      </c>
      <c r="G31" s="318"/>
      <c r="H31" s="323"/>
    </row>
    <row r="32" spans="1:8" ht="15.75" thickBot="1" x14ac:dyDescent="0.3">
      <c r="A32" s="317" t="s">
        <v>591</v>
      </c>
      <c r="B32" s="318">
        <v>2</v>
      </c>
      <c r="C32" s="318">
        <v>3</v>
      </c>
      <c r="D32" s="318">
        <v>7</v>
      </c>
      <c r="E32" s="318">
        <v>16</v>
      </c>
      <c r="F32" s="318">
        <v>6</v>
      </c>
      <c r="G32" s="318">
        <v>6</v>
      </c>
      <c r="H32" s="323"/>
    </row>
    <row r="33" spans="1:8" ht="15.75" thickBot="1" x14ac:dyDescent="0.3">
      <c r="A33" s="317" t="s">
        <v>592</v>
      </c>
      <c r="B33" s="318">
        <v>0</v>
      </c>
      <c r="C33" s="318">
        <v>0</v>
      </c>
      <c r="D33" s="318">
        <v>0</v>
      </c>
      <c r="E33" s="318">
        <v>8</v>
      </c>
      <c r="F33" s="318">
        <v>7</v>
      </c>
      <c r="G33" s="318">
        <v>5</v>
      </c>
      <c r="H33" s="323"/>
    </row>
    <row r="34" spans="1:8" ht="26.25" thickBot="1" x14ac:dyDescent="0.3">
      <c r="A34" s="317" t="s">
        <v>598</v>
      </c>
      <c r="B34" s="318">
        <v>29</v>
      </c>
      <c r="C34" s="318">
        <v>85</v>
      </c>
      <c r="D34" s="318">
        <v>267</v>
      </c>
      <c r="E34" s="318">
        <v>370</v>
      </c>
      <c r="F34" s="318">
        <v>676</v>
      </c>
      <c r="G34" s="318"/>
      <c r="H34" s="323"/>
    </row>
    <row r="35" spans="1:8" ht="15.75" thickBot="1" x14ac:dyDescent="0.3">
      <c r="A35" s="317" t="s">
        <v>591</v>
      </c>
      <c r="B35" s="318">
        <v>3</v>
      </c>
      <c r="C35" s="318">
        <v>6</v>
      </c>
      <c r="D35" s="318">
        <v>18</v>
      </c>
      <c r="E35" s="318">
        <v>10</v>
      </c>
      <c r="F35" s="318">
        <v>5</v>
      </c>
      <c r="G35" s="318">
        <v>7</v>
      </c>
      <c r="H35" s="323"/>
    </row>
    <row r="36" spans="1:8" ht="15.75" thickBot="1" x14ac:dyDescent="0.3">
      <c r="A36" s="317" t="s">
        <v>592</v>
      </c>
      <c r="B36" s="318">
        <v>0</v>
      </c>
      <c r="C36" s="318">
        <v>0</v>
      </c>
      <c r="D36" s="318">
        <v>0</v>
      </c>
      <c r="E36" s="318">
        <v>9</v>
      </c>
      <c r="F36" s="318">
        <v>9</v>
      </c>
      <c r="G36" s="318">
        <v>6</v>
      </c>
      <c r="H36" s="323"/>
    </row>
    <row r="37" spans="1:8" ht="26.25" thickBot="1" x14ac:dyDescent="0.3">
      <c r="A37" s="317" t="s">
        <v>599</v>
      </c>
      <c r="B37" s="318">
        <v>19</v>
      </c>
      <c r="C37" s="318">
        <v>41</v>
      </c>
      <c r="D37" s="318">
        <v>102</v>
      </c>
      <c r="E37" s="318">
        <v>242</v>
      </c>
      <c r="F37" s="318">
        <v>566</v>
      </c>
      <c r="G37" s="318"/>
      <c r="H37" s="323"/>
    </row>
    <row r="38" spans="1:8" ht="15.75" thickBot="1" x14ac:dyDescent="0.3">
      <c r="A38" s="317" t="s">
        <v>591</v>
      </c>
      <c r="B38" s="318">
        <v>2</v>
      </c>
      <c r="C38" s="318">
        <v>2</v>
      </c>
      <c r="D38" s="318">
        <v>6</v>
      </c>
      <c r="E38" s="318">
        <v>14</v>
      </c>
      <c r="F38" s="318">
        <v>5</v>
      </c>
      <c r="G38" s="318">
        <v>6</v>
      </c>
      <c r="H38" s="323"/>
    </row>
    <row r="39" spans="1:8" ht="15.75" thickBot="1" x14ac:dyDescent="0.3">
      <c r="A39" s="317" t="s">
        <v>592</v>
      </c>
      <c r="B39" s="318">
        <v>0</v>
      </c>
      <c r="C39" s="318">
        <v>0</v>
      </c>
      <c r="D39" s="318">
        <v>0</v>
      </c>
      <c r="E39" s="318">
        <v>0</v>
      </c>
      <c r="F39" s="318">
        <v>6</v>
      </c>
      <c r="G39" s="318">
        <v>4</v>
      </c>
      <c r="H39" s="323"/>
    </row>
    <row r="40" spans="1:8" ht="26.25" thickBot="1" x14ac:dyDescent="0.3">
      <c r="A40" s="317" t="s">
        <v>600</v>
      </c>
      <c r="B40" s="318">
        <v>109</v>
      </c>
      <c r="C40" s="318">
        <v>90</v>
      </c>
      <c r="D40" s="318">
        <v>306</v>
      </c>
      <c r="E40" s="318">
        <v>425</v>
      </c>
      <c r="F40" s="318">
        <v>792</v>
      </c>
      <c r="G40" s="318"/>
      <c r="H40" s="323"/>
    </row>
    <row r="41" spans="1:8" ht="15.75" thickBot="1" x14ac:dyDescent="0.3">
      <c r="A41" s="317" t="s">
        <v>591</v>
      </c>
      <c r="B41" s="318">
        <v>11</v>
      </c>
      <c r="C41" s="318">
        <v>-2</v>
      </c>
      <c r="D41" s="318">
        <v>22</v>
      </c>
      <c r="E41" s="318">
        <v>12</v>
      </c>
      <c r="F41" s="318">
        <v>6</v>
      </c>
      <c r="G41" s="318">
        <v>8</v>
      </c>
      <c r="H41" s="323"/>
    </row>
    <row r="42" spans="1:8" ht="15.75" thickBot="1" x14ac:dyDescent="0.3">
      <c r="A42" s="317" t="s">
        <v>592</v>
      </c>
      <c r="B42" s="318">
        <v>0</v>
      </c>
      <c r="C42" s="318">
        <v>29</v>
      </c>
      <c r="D42" s="318">
        <v>0</v>
      </c>
      <c r="E42" s="318">
        <v>11</v>
      </c>
      <c r="F42" s="318">
        <v>11</v>
      </c>
      <c r="G42" s="318">
        <v>11</v>
      </c>
      <c r="H42" s="323"/>
    </row>
    <row r="43" spans="1:8" ht="26.25" thickBot="1" x14ac:dyDescent="0.3">
      <c r="A43" s="317" t="s">
        <v>601</v>
      </c>
      <c r="B43" s="318">
        <v>77</v>
      </c>
      <c r="C43" s="318">
        <v>252</v>
      </c>
      <c r="D43" s="318">
        <v>118</v>
      </c>
      <c r="E43" s="318">
        <v>260</v>
      </c>
      <c r="F43" s="318">
        <v>567</v>
      </c>
      <c r="G43" s="318"/>
      <c r="H43" s="323"/>
    </row>
    <row r="44" spans="1:8" ht="15.75" thickBot="1" x14ac:dyDescent="0.3">
      <c r="A44" s="317" t="s">
        <v>591</v>
      </c>
      <c r="B44" s="318">
        <v>8</v>
      </c>
      <c r="C44" s="318">
        <v>18</v>
      </c>
      <c r="D44" s="318">
        <v>-13</v>
      </c>
      <c r="E44" s="318">
        <v>14</v>
      </c>
      <c r="F44" s="318">
        <v>5</v>
      </c>
      <c r="G44" s="318">
        <v>6</v>
      </c>
      <c r="H44" s="323"/>
    </row>
    <row r="45" spans="1:8" ht="15.75" thickBot="1" x14ac:dyDescent="0.3">
      <c r="A45" s="317" t="s">
        <v>592</v>
      </c>
      <c r="B45" s="318">
        <v>0</v>
      </c>
      <c r="C45" s="318">
        <v>7</v>
      </c>
      <c r="D45" s="318">
        <v>20</v>
      </c>
      <c r="E45" s="318">
        <v>0</v>
      </c>
      <c r="F45" s="318">
        <v>4</v>
      </c>
      <c r="G45" s="318">
        <v>5</v>
      </c>
      <c r="H45" s="323"/>
    </row>
    <row r="46" spans="1:8" ht="26.25" thickBot="1" x14ac:dyDescent="0.3">
      <c r="A46" s="317" t="s">
        <v>602</v>
      </c>
      <c r="B46" s="318">
        <v>171</v>
      </c>
      <c r="C46" s="318">
        <v>296</v>
      </c>
      <c r="D46" s="318">
        <v>435</v>
      </c>
      <c r="E46" s="318">
        <v>535</v>
      </c>
      <c r="F46" s="318">
        <v>818</v>
      </c>
      <c r="G46" s="318"/>
      <c r="H46" s="323"/>
    </row>
    <row r="47" spans="1:8" ht="15.75" thickBot="1" x14ac:dyDescent="0.3">
      <c r="A47" s="317" t="s">
        <v>591</v>
      </c>
      <c r="B47" s="318">
        <v>17</v>
      </c>
      <c r="C47" s="318">
        <v>12</v>
      </c>
      <c r="D47" s="318">
        <v>14</v>
      </c>
      <c r="E47" s="318">
        <v>10</v>
      </c>
      <c r="F47" s="318" t="s">
        <v>603</v>
      </c>
      <c r="G47" s="318"/>
      <c r="H47" s="323"/>
    </row>
    <row r="48" spans="1:8" ht="15.75" thickBot="1" x14ac:dyDescent="0.3">
      <c r="A48" s="317" t="s">
        <v>592</v>
      </c>
      <c r="B48" s="318">
        <v>0</v>
      </c>
      <c r="C48" s="318">
        <v>29</v>
      </c>
      <c r="D48" s="318">
        <v>21</v>
      </c>
      <c r="E48" s="318">
        <v>16</v>
      </c>
      <c r="F48" s="318">
        <v>10</v>
      </c>
      <c r="G48" s="318">
        <v>13</v>
      </c>
      <c r="H48" s="323"/>
    </row>
    <row r="49" spans="1:8" ht="26.25" thickBot="1" x14ac:dyDescent="0.3">
      <c r="A49" s="317" t="s">
        <v>604</v>
      </c>
      <c r="B49" s="318">
        <v>82</v>
      </c>
      <c r="C49" s="318">
        <v>280</v>
      </c>
      <c r="D49" s="318">
        <v>148</v>
      </c>
      <c r="E49" s="318">
        <v>294</v>
      </c>
      <c r="F49" s="318">
        <v>626</v>
      </c>
      <c r="G49" s="318"/>
      <c r="H49" s="323"/>
    </row>
    <row r="50" spans="1:8" ht="15.75" thickBot="1" x14ac:dyDescent="0.3">
      <c r="A50" s="317" t="s">
        <v>591</v>
      </c>
      <c r="B50" s="318">
        <v>8</v>
      </c>
      <c r="C50" s="318">
        <v>20</v>
      </c>
      <c r="D50" s="318">
        <v>-13</v>
      </c>
      <c r="E50" s="318">
        <v>15</v>
      </c>
      <c r="F50" s="318">
        <v>6</v>
      </c>
      <c r="G50" s="318">
        <v>6</v>
      </c>
      <c r="H50" s="323"/>
    </row>
    <row r="51" spans="1:8" ht="15.75" thickBot="1" x14ac:dyDescent="0.3">
      <c r="A51" s="317" t="s">
        <v>592</v>
      </c>
      <c r="B51" s="318">
        <v>0</v>
      </c>
      <c r="C51" s="318">
        <v>7</v>
      </c>
      <c r="D51" s="318">
        <v>20</v>
      </c>
      <c r="E51" s="318">
        <v>5</v>
      </c>
      <c r="F51" s="318" t="s">
        <v>605</v>
      </c>
      <c r="G51" s="318"/>
      <c r="H51" s="323"/>
    </row>
    <row r="52" spans="1:8" ht="26.25" thickBot="1" x14ac:dyDescent="0.3">
      <c r="A52" s="317" t="s">
        <v>606</v>
      </c>
      <c r="B52" s="318">
        <v>134</v>
      </c>
      <c r="C52" s="318">
        <v>372</v>
      </c>
      <c r="D52" s="318">
        <v>397</v>
      </c>
      <c r="E52" s="318">
        <v>524</v>
      </c>
      <c r="F52" s="318">
        <v>741</v>
      </c>
      <c r="G52" s="318"/>
      <c r="H52" s="323"/>
    </row>
    <row r="53" spans="1:8" ht="15.75" thickBot="1" x14ac:dyDescent="0.3">
      <c r="A53" s="317" t="s">
        <v>591</v>
      </c>
      <c r="B53" s="318">
        <v>13</v>
      </c>
      <c r="C53" s="318">
        <v>24</v>
      </c>
      <c r="D53" s="318">
        <v>2</v>
      </c>
      <c r="E53" s="318">
        <v>13</v>
      </c>
      <c r="F53" s="318">
        <v>4</v>
      </c>
      <c r="G53" s="318">
        <v>7</v>
      </c>
      <c r="H53" s="323"/>
    </row>
    <row r="54" spans="1:8" ht="15.75" thickBot="1" x14ac:dyDescent="0.3">
      <c r="A54" s="317" t="s">
        <v>592</v>
      </c>
      <c r="B54" s="318">
        <v>0</v>
      </c>
      <c r="C54" s="318">
        <v>8</v>
      </c>
      <c r="D54" s="318">
        <v>22</v>
      </c>
      <c r="E54" s="318">
        <v>17</v>
      </c>
      <c r="F54" s="318">
        <v>11</v>
      </c>
      <c r="G54" s="318">
        <v>11</v>
      </c>
      <c r="H54" s="323"/>
    </row>
    <row r="55" spans="1:8" ht="26.25" thickBot="1" x14ac:dyDescent="0.3">
      <c r="A55" s="317" t="s">
        <v>607</v>
      </c>
      <c r="B55" s="318">
        <v>96</v>
      </c>
      <c r="C55" s="318">
        <v>234</v>
      </c>
      <c r="D55" s="318">
        <v>256</v>
      </c>
      <c r="E55" s="318">
        <v>394</v>
      </c>
      <c r="F55" s="318">
        <v>708</v>
      </c>
      <c r="G55" s="318"/>
      <c r="H55" s="323"/>
    </row>
    <row r="56" spans="1:8" ht="15.75" thickBot="1" x14ac:dyDescent="0.3">
      <c r="A56" s="317" t="s">
        <v>591</v>
      </c>
      <c r="B56" s="318">
        <v>10</v>
      </c>
      <c r="C56" s="318">
        <v>14</v>
      </c>
      <c r="D56" s="318">
        <v>2</v>
      </c>
      <c r="E56" s="318">
        <v>14</v>
      </c>
      <c r="F56" s="318">
        <v>5</v>
      </c>
      <c r="G56" s="318">
        <v>7</v>
      </c>
      <c r="H56" s="323"/>
    </row>
    <row r="57" spans="1:8" ht="15.75" thickBot="1" x14ac:dyDescent="0.3">
      <c r="A57" s="317" t="s">
        <v>592</v>
      </c>
      <c r="B57" s="318">
        <v>0</v>
      </c>
      <c r="C57" s="318">
        <v>8</v>
      </c>
      <c r="D57" s="318">
        <v>12</v>
      </c>
      <c r="E57" s="318">
        <v>10</v>
      </c>
      <c r="F57" s="318">
        <v>9</v>
      </c>
      <c r="G57" s="318">
        <v>9</v>
      </c>
      <c r="H57" s="323"/>
    </row>
    <row r="58" spans="1:8" ht="26.25" thickBot="1" x14ac:dyDescent="0.3">
      <c r="A58" s="317" t="s">
        <v>608</v>
      </c>
      <c r="B58" s="318">
        <v>25</v>
      </c>
      <c r="C58" s="318">
        <v>55</v>
      </c>
      <c r="D58" s="318">
        <v>89</v>
      </c>
      <c r="E58" s="318">
        <v>148</v>
      </c>
      <c r="F58" s="318">
        <v>609</v>
      </c>
      <c r="G58" s="318"/>
      <c r="H58" s="323"/>
    </row>
    <row r="59" spans="1:8" ht="15.75" thickBot="1" x14ac:dyDescent="0.3">
      <c r="A59" s="317" t="s">
        <v>591</v>
      </c>
      <c r="B59" s="318">
        <v>3</v>
      </c>
      <c r="C59" s="318">
        <v>3</v>
      </c>
      <c r="D59" s="318">
        <v>3</v>
      </c>
      <c r="E59" s="318">
        <v>6</v>
      </c>
      <c r="F59" s="318">
        <v>8</v>
      </c>
      <c r="G59" s="318">
        <v>6</v>
      </c>
      <c r="H59" s="323"/>
    </row>
    <row r="60" spans="1:8" ht="15.75" thickBot="1" x14ac:dyDescent="0.3">
      <c r="A60" s="317" t="s">
        <v>592</v>
      </c>
      <c r="B60" s="318">
        <v>0</v>
      </c>
      <c r="C60" s="318">
        <v>0</v>
      </c>
      <c r="D60" s="318">
        <v>1</v>
      </c>
      <c r="E60" s="318">
        <v>5</v>
      </c>
      <c r="F60" s="318">
        <v>4</v>
      </c>
      <c r="G60" s="318">
        <v>3</v>
      </c>
      <c r="H60" s="323"/>
    </row>
    <row r="61" spans="1:8" ht="26.25" thickBot="1" x14ac:dyDescent="0.3">
      <c r="A61" s="317" t="s">
        <v>609</v>
      </c>
      <c r="B61" s="318">
        <v>24</v>
      </c>
      <c r="C61" s="318">
        <v>48</v>
      </c>
      <c r="D61" s="318">
        <v>81</v>
      </c>
      <c r="E61" s="318">
        <v>114</v>
      </c>
      <c r="F61" s="318">
        <v>562</v>
      </c>
      <c r="G61" s="318"/>
      <c r="H61" s="323"/>
    </row>
    <row r="62" spans="1:8" ht="15.75" thickBot="1" x14ac:dyDescent="0.3">
      <c r="A62" s="317" t="s">
        <v>591</v>
      </c>
      <c r="B62" s="318">
        <v>2</v>
      </c>
      <c r="C62" s="318">
        <v>2</v>
      </c>
      <c r="D62" s="318">
        <v>3</v>
      </c>
      <c r="E62" s="318">
        <v>3</v>
      </c>
      <c r="F62" s="318">
        <v>7</v>
      </c>
      <c r="G62" s="318">
        <v>6</v>
      </c>
      <c r="H62" s="323"/>
    </row>
    <row r="63" spans="1:8" ht="15.75" thickBot="1" x14ac:dyDescent="0.3">
      <c r="A63" s="317" t="s">
        <v>592</v>
      </c>
      <c r="B63" s="318">
        <v>0</v>
      </c>
      <c r="C63" s="318">
        <v>0</v>
      </c>
      <c r="D63" s="318">
        <v>0</v>
      </c>
      <c r="E63" s="318">
        <v>3</v>
      </c>
      <c r="F63" s="318">
        <v>2</v>
      </c>
      <c r="G63" s="318">
        <v>2</v>
      </c>
      <c r="H63" s="323"/>
    </row>
    <row r="64" spans="1:8" ht="26.25" thickBot="1" x14ac:dyDescent="0.3">
      <c r="A64" s="317" t="s">
        <v>610</v>
      </c>
      <c r="B64" s="318">
        <v>27</v>
      </c>
      <c r="C64" s="318">
        <v>55</v>
      </c>
      <c r="D64" s="318">
        <v>92</v>
      </c>
      <c r="E64" s="318">
        <v>129</v>
      </c>
      <c r="F64" s="318">
        <v>213</v>
      </c>
      <c r="G64" s="318"/>
      <c r="H64" s="323"/>
    </row>
    <row r="65" spans="1:8" ht="15.75" thickBot="1" x14ac:dyDescent="0.3">
      <c r="A65" s="317" t="s">
        <v>591</v>
      </c>
      <c r="B65" s="318">
        <v>3</v>
      </c>
      <c r="C65" s="318">
        <v>3</v>
      </c>
      <c r="D65" s="318">
        <v>4</v>
      </c>
      <c r="E65" s="318">
        <v>4</v>
      </c>
      <c r="F65" s="318">
        <v>1</v>
      </c>
      <c r="G65" s="318">
        <v>2</v>
      </c>
      <c r="H65" s="323"/>
    </row>
    <row r="66" spans="1:8" ht="15.75" thickBot="1" x14ac:dyDescent="0.3">
      <c r="A66" s="317" t="s">
        <v>592</v>
      </c>
      <c r="B66" s="318">
        <v>0</v>
      </c>
      <c r="C66" s="318">
        <v>0</v>
      </c>
      <c r="D66" s="318">
        <v>0</v>
      </c>
      <c r="E66" s="318">
        <v>0</v>
      </c>
      <c r="F66" s="318">
        <v>0</v>
      </c>
      <c r="G66" s="318">
        <v>0</v>
      </c>
      <c r="H66" s="323"/>
    </row>
    <row r="67" spans="1:8" ht="26.25" thickBot="1" x14ac:dyDescent="0.3">
      <c r="A67" s="317" t="s">
        <v>611</v>
      </c>
      <c r="B67" s="318">
        <v>46</v>
      </c>
      <c r="C67" s="318">
        <v>118</v>
      </c>
      <c r="D67" s="318">
        <v>272</v>
      </c>
      <c r="E67" s="318">
        <v>366</v>
      </c>
      <c r="F67" s="318">
        <v>609</v>
      </c>
      <c r="G67" s="318"/>
      <c r="H67" s="323"/>
    </row>
    <row r="68" spans="1:8" ht="15.75" thickBot="1" x14ac:dyDescent="0.3">
      <c r="A68" s="317" t="s">
        <v>591</v>
      </c>
      <c r="B68" s="318">
        <v>5</v>
      </c>
      <c r="C68" s="318">
        <v>7</v>
      </c>
      <c r="D68" s="318">
        <v>15</v>
      </c>
      <c r="E68" s="318">
        <v>9</v>
      </c>
      <c r="F68" s="318">
        <v>4</v>
      </c>
      <c r="G68" s="318">
        <v>6</v>
      </c>
      <c r="H68" s="323"/>
    </row>
    <row r="69" spans="1:8" ht="15.75" thickBot="1" x14ac:dyDescent="0.3">
      <c r="A69" s="317" t="s">
        <v>592</v>
      </c>
      <c r="B69" s="318">
        <v>0</v>
      </c>
      <c r="C69" s="318">
        <v>0</v>
      </c>
      <c r="D69" s="318">
        <v>2</v>
      </c>
      <c r="E69" s="318">
        <v>10</v>
      </c>
      <c r="F69" s="318">
        <v>8</v>
      </c>
      <c r="G69" s="318">
        <v>6</v>
      </c>
      <c r="H69" s="323"/>
    </row>
    <row r="70" spans="1:8" ht="26.25" thickBot="1" x14ac:dyDescent="0.3">
      <c r="A70" s="317" t="s">
        <v>612</v>
      </c>
      <c r="B70" s="318">
        <v>33</v>
      </c>
      <c r="C70" s="318">
        <v>80</v>
      </c>
      <c r="D70" s="318">
        <v>177</v>
      </c>
      <c r="E70" s="318">
        <v>303</v>
      </c>
      <c r="F70" s="318">
        <v>609</v>
      </c>
      <c r="G70" s="318"/>
      <c r="H70" s="323"/>
    </row>
    <row r="71" spans="1:8" ht="15.75" thickBot="1" x14ac:dyDescent="0.3">
      <c r="A71" s="317" t="s">
        <v>591</v>
      </c>
      <c r="B71" s="318">
        <v>3</v>
      </c>
      <c r="C71" s="318">
        <v>5</v>
      </c>
      <c r="D71" s="318">
        <v>10</v>
      </c>
      <c r="E71" s="318">
        <v>13</v>
      </c>
      <c r="F71" s="318">
        <v>5</v>
      </c>
      <c r="G71" s="318">
        <v>6</v>
      </c>
      <c r="H71" s="323"/>
    </row>
    <row r="72" spans="1:8" ht="15.75" thickBot="1" x14ac:dyDescent="0.3">
      <c r="A72" s="317" t="s">
        <v>592</v>
      </c>
      <c r="B72" s="318">
        <v>0</v>
      </c>
      <c r="C72" s="318">
        <v>0</v>
      </c>
      <c r="D72" s="318">
        <v>0</v>
      </c>
      <c r="E72" s="318">
        <v>0</v>
      </c>
      <c r="F72" s="318">
        <v>0</v>
      </c>
      <c r="G72" s="318">
        <v>0</v>
      </c>
      <c r="H72" s="323"/>
    </row>
    <row r="73" spans="1:8" ht="26.25" thickBot="1" x14ac:dyDescent="0.3">
      <c r="A73" s="317" t="s">
        <v>613</v>
      </c>
      <c r="B73" s="318">
        <v>300</v>
      </c>
      <c r="C73" s="318">
        <v>308</v>
      </c>
      <c r="D73" s="318">
        <v>315</v>
      </c>
      <c r="E73" s="318">
        <v>323</v>
      </c>
      <c r="F73" s="318">
        <v>369</v>
      </c>
      <c r="G73" s="318"/>
      <c r="H73" s="323"/>
    </row>
    <row r="74" spans="1:8" ht="15.75" thickBot="1" x14ac:dyDescent="0.3">
      <c r="A74" s="317" t="s">
        <v>591</v>
      </c>
      <c r="B74" s="318">
        <v>1</v>
      </c>
      <c r="C74" s="318">
        <v>1</v>
      </c>
      <c r="D74" s="318">
        <v>1</v>
      </c>
      <c r="E74" s="318">
        <v>1</v>
      </c>
      <c r="F74" s="318">
        <v>1</v>
      </c>
      <c r="G74" s="318">
        <v>1</v>
      </c>
      <c r="H74" s="323"/>
    </row>
    <row r="75" spans="1:8" ht="15.75" thickBot="1" x14ac:dyDescent="0.3">
      <c r="A75" s="317" t="s">
        <v>592</v>
      </c>
      <c r="B75" s="318">
        <v>8</v>
      </c>
      <c r="C75" s="318">
        <v>8</v>
      </c>
      <c r="D75" s="318">
        <v>8</v>
      </c>
      <c r="E75" s="318">
        <v>8</v>
      </c>
      <c r="F75" s="318">
        <v>8</v>
      </c>
      <c r="G75" s="318">
        <v>8</v>
      </c>
      <c r="H75" s="323"/>
    </row>
    <row r="76" spans="1:8" ht="15.75" thickBot="1" x14ac:dyDescent="0.3">
      <c r="A76" s="317" t="s">
        <v>614</v>
      </c>
      <c r="B76" s="318">
        <v>841</v>
      </c>
      <c r="C76" s="318">
        <v>995</v>
      </c>
      <c r="D76" s="318">
        <v>995</v>
      </c>
      <c r="E76" s="318">
        <v>995</v>
      </c>
      <c r="F76" s="318">
        <v>995</v>
      </c>
      <c r="G76" s="318"/>
      <c r="H76" s="323"/>
    </row>
    <row r="77" spans="1:8" ht="15.75" thickBot="1" x14ac:dyDescent="0.3">
      <c r="A77" s="317" t="s">
        <v>591</v>
      </c>
      <c r="B77" s="318">
        <v>-9</v>
      </c>
      <c r="C77" s="318">
        <v>15</v>
      </c>
      <c r="D77" s="318">
        <v>0</v>
      </c>
      <c r="E77" s="318">
        <v>0</v>
      </c>
      <c r="F77" s="318">
        <v>0</v>
      </c>
      <c r="G77" s="318">
        <v>1</v>
      </c>
      <c r="H77" s="323"/>
    </row>
    <row r="78" spans="1:8" ht="15.75" thickBot="1" x14ac:dyDescent="0.3">
      <c r="A78" s="317" t="s">
        <v>592</v>
      </c>
      <c r="B78" s="318">
        <v>0</v>
      </c>
      <c r="C78" s="318">
        <v>0</v>
      </c>
      <c r="D78" s="318">
        <v>0</v>
      </c>
      <c r="E78" s="318">
        <v>0</v>
      </c>
      <c r="F78" s="318">
        <v>0</v>
      </c>
      <c r="G78" s="318">
        <v>0</v>
      </c>
      <c r="H78" s="323"/>
    </row>
    <row r="79" spans="1:8" ht="26.25" thickBot="1" x14ac:dyDescent="0.3">
      <c r="A79" s="317" t="s">
        <v>615</v>
      </c>
      <c r="B79" s="318">
        <v>425</v>
      </c>
      <c r="C79" s="318">
        <v>467</v>
      </c>
      <c r="D79" s="318">
        <v>509</v>
      </c>
      <c r="E79" s="318">
        <v>551</v>
      </c>
      <c r="F79" s="318">
        <v>626</v>
      </c>
      <c r="G79" s="318"/>
      <c r="H79" s="323"/>
    </row>
    <row r="80" spans="1:8" ht="15.75" thickBot="1" x14ac:dyDescent="0.3">
      <c r="A80" s="317" t="s">
        <v>591</v>
      </c>
      <c r="B80" s="318">
        <v>4</v>
      </c>
      <c r="C80" s="318">
        <v>4</v>
      </c>
      <c r="D80" s="318">
        <v>4</v>
      </c>
      <c r="E80" s="318">
        <v>4</v>
      </c>
      <c r="F80" s="318">
        <v>2</v>
      </c>
      <c r="G80" s="318">
        <v>2</v>
      </c>
      <c r="H80" s="323"/>
    </row>
    <row r="81" spans="1:8" ht="15.75" thickBot="1" x14ac:dyDescent="0.3">
      <c r="A81" s="317" t="s">
        <v>592</v>
      </c>
      <c r="B81" s="318">
        <v>0</v>
      </c>
      <c r="C81" s="318">
        <v>0</v>
      </c>
      <c r="D81" s="318">
        <v>0</v>
      </c>
      <c r="E81" s="318">
        <v>0</v>
      </c>
      <c r="F81" s="318">
        <v>0</v>
      </c>
      <c r="G81" s="318">
        <v>0</v>
      </c>
      <c r="H81" s="3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368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369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8" t="s">
        <v>401</v>
      </c>
      <c r="B8" s="197"/>
      <c r="C8" s="197"/>
      <c r="D8" s="197"/>
    </row>
    <row r="9" spans="1:4" x14ac:dyDescent="0.25">
      <c r="A9" s="199" t="s">
        <v>371</v>
      </c>
      <c r="B9" s="197"/>
      <c r="C9" s="197"/>
      <c r="D9" s="197"/>
    </row>
    <row r="10" spans="1:4" x14ac:dyDescent="0.25">
      <c r="A10" s="197"/>
      <c r="B10" s="197"/>
      <c r="C10" s="197"/>
      <c r="D10" s="200" t="s">
        <v>57</v>
      </c>
    </row>
    <row r="11" spans="1:4" x14ac:dyDescent="0.25">
      <c r="A11" s="200" t="s">
        <v>57</v>
      </c>
      <c r="B11" s="200" t="s">
        <v>402</v>
      </c>
      <c r="C11" s="200" t="s">
        <v>56</v>
      </c>
      <c r="D11" s="201">
        <v>1835562</v>
      </c>
    </row>
    <row r="12" spans="1:4" x14ac:dyDescent="0.25">
      <c r="A12" s="197"/>
      <c r="B12" s="197"/>
      <c r="C12" s="200" t="s">
        <v>55</v>
      </c>
      <c r="D12" s="201">
        <v>836738</v>
      </c>
    </row>
    <row r="13" spans="1:4" x14ac:dyDescent="0.25">
      <c r="A13" s="197"/>
      <c r="B13" s="197"/>
      <c r="C13" s="200" t="s">
        <v>54</v>
      </c>
      <c r="D13" s="201">
        <v>1223348</v>
      </c>
    </row>
    <row r="14" spans="1:4" x14ac:dyDescent="0.25">
      <c r="A14" s="197"/>
      <c r="B14" s="197"/>
      <c r="C14" s="200" t="s">
        <v>53</v>
      </c>
      <c r="D14" s="201">
        <v>1320678</v>
      </c>
    </row>
    <row r="15" spans="1:4" x14ac:dyDescent="0.25">
      <c r="A15" s="197"/>
      <c r="B15" s="197"/>
      <c r="C15" s="200" t="s">
        <v>50</v>
      </c>
      <c r="D15" s="201">
        <v>589755</v>
      </c>
    </row>
    <row r="19" spans="1:28" x14ac:dyDescent="0.25">
      <c r="B19" s="193">
        <v>2046</v>
      </c>
      <c r="C19" s="193">
        <v>2047</v>
      </c>
      <c r="D19" s="193">
        <v>2048</v>
      </c>
      <c r="E19" s="193">
        <v>2049</v>
      </c>
      <c r="F19" s="193">
        <v>2050</v>
      </c>
    </row>
    <row r="20" spans="1:28" x14ac:dyDescent="0.25">
      <c r="A20" s="193" t="s">
        <v>56</v>
      </c>
      <c r="B20" s="194">
        <f>AB32+AB32-AA32</f>
        <v>2042332</v>
      </c>
      <c r="C20" s="194">
        <f>B20+B20-AB32</f>
        <v>2046472</v>
      </c>
      <c r="D20" s="194">
        <f>C20+C20-B20</f>
        <v>2050612</v>
      </c>
      <c r="E20" s="194">
        <f t="shared" ref="E20:F24" si="0">D20+D20-C20</f>
        <v>2054752</v>
      </c>
      <c r="F20" s="194">
        <f t="shared" si="0"/>
        <v>2058892</v>
      </c>
    </row>
    <row r="21" spans="1:28" x14ac:dyDescent="0.25">
      <c r="A21" s="193" t="s">
        <v>55</v>
      </c>
      <c r="B21" s="194">
        <f t="shared" ref="B21:B24" si="1">AB33+AB33-AA33</f>
        <v>875096</v>
      </c>
      <c r="C21" s="194">
        <f t="shared" ref="C21:C24" si="2">B21+B21-AB33</f>
        <v>875572</v>
      </c>
      <c r="D21" s="194">
        <f t="shared" ref="D21:D24" si="3">C21+C21-B21</f>
        <v>876048</v>
      </c>
      <c r="E21" s="194">
        <f t="shared" si="0"/>
        <v>876524</v>
      </c>
      <c r="F21" s="194">
        <f t="shared" si="0"/>
        <v>877000</v>
      </c>
    </row>
    <row r="22" spans="1:28" x14ac:dyDescent="0.25">
      <c r="A22" s="193" t="s">
        <v>54</v>
      </c>
      <c r="B22" s="194">
        <f t="shared" si="1"/>
        <v>1269966</v>
      </c>
      <c r="C22" s="194">
        <f t="shared" si="2"/>
        <v>1270625</v>
      </c>
      <c r="D22" s="194">
        <f t="shared" si="3"/>
        <v>1271284</v>
      </c>
      <c r="E22" s="194">
        <f t="shared" si="0"/>
        <v>1271943</v>
      </c>
      <c r="F22" s="194">
        <f t="shared" si="0"/>
        <v>1272602</v>
      </c>
    </row>
    <row r="23" spans="1:28" x14ac:dyDescent="0.25">
      <c r="A23" s="193" t="s">
        <v>53</v>
      </c>
      <c r="B23" s="194">
        <f t="shared" si="1"/>
        <v>1474294</v>
      </c>
      <c r="C23" s="194">
        <f t="shared" si="2"/>
        <v>1477863</v>
      </c>
      <c r="D23" s="194">
        <f t="shared" si="3"/>
        <v>1481432</v>
      </c>
      <c r="E23" s="194">
        <f t="shared" si="0"/>
        <v>1485001</v>
      </c>
      <c r="F23" s="194">
        <f t="shared" si="0"/>
        <v>1488570</v>
      </c>
    </row>
    <row r="24" spans="1:28" x14ac:dyDescent="0.25">
      <c r="A24" s="193" t="s">
        <v>50</v>
      </c>
      <c r="B24" s="194">
        <f t="shared" si="1"/>
        <v>603918</v>
      </c>
      <c r="C24" s="194">
        <f t="shared" si="2"/>
        <v>603935</v>
      </c>
      <c r="D24" s="194">
        <f t="shared" si="3"/>
        <v>603952</v>
      </c>
      <c r="E24" s="194">
        <f t="shared" si="0"/>
        <v>603969</v>
      </c>
      <c r="F24" s="194">
        <f t="shared" si="0"/>
        <v>603986</v>
      </c>
    </row>
    <row r="25" spans="1:28" x14ac:dyDescent="0.25">
      <c r="A25" t="s">
        <v>403</v>
      </c>
    </row>
    <row r="28" spans="1:28" x14ac:dyDescent="0.25">
      <c r="A28" s="196" t="s">
        <v>400</v>
      </c>
    </row>
    <row r="29" spans="1:28" ht="17.25" x14ac:dyDescent="0.3">
      <c r="A29" s="191" t="s">
        <v>370</v>
      </c>
      <c r="B29" s="190"/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</row>
    <row r="30" spans="1:28" x14ac:dyDescent="0.25">
      <c r="A30" s="192" t="s">
        <v>371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</row>
    <row r="31" spans="1:28" x14ac:dyDescent="0.25">
      <c r="A31" s="190"/>
      <c r="B31" s="190"/>
      <c r="C31" s="193" t="s">
        <v>372</v>
      </c>
      <c r="D31" s="193" t="s">
        <v>373</v>
      </c>
      <c r="E31" s="193" t="s">
        <v>374</v>
      </c>
      <c r="F31" s="193" t="s">
        <v>375</v>
      </c>
      <c r="G31" s="193" t="s">
        <v>376</v>
      </c>
      <c r="H31" s="193" t="s">
        <v>377</v>
      </c>
      <c r="I31" s="193" t="s">
        <v>378</v>
      </c>
      <c r="J31" s="193" t="s">
        <v>379</v>
      </c>
      <c r="K31" s="193" t="s">
        <v>380</v>
      </c>
      <c r="L31" s="193" t="s">
        <v>381</v>
      </c>
      <c r="M31" s="193" t="s">
        <v>382</v>
      </c>
      <c r="N31" s="193" t="s">
        <v>383</v>
      </c>
      <c r="O31" s="193" t="s">
        <v>384</v>
      </c>
      <c r="P31" s="193" t="s">
        <v>385</v>
      </c>
      <c r="Q31" s="193" t="s">
        <v>386</v>
      </c>
      <c r="R31" s="193" t="s">
        <v>387</v>
      </c>
      <c r="S31" s="193" t="s">
        <v>388</v>
      </c>
      <c r="T31" s="193" t="s">
        <v>389</v>
      </c>
      <c r="U31" s="193" t="s">
        <v>390</v>
      </c>
      <c r="V31" s="193" t="s">
        <v>391</v>
      </c>
      <c r="W31" s="193" t="s">
        <v>392</v>
      </c>
      <c r="X31" s="193" t="s">
        <v>393</v>
      </c>
      <c r="Y31" s="193" t="s">
        <v>394</v>
      </c>
      <c r="Z31" s="193" t="s">
        <v>395</v>
      </c>
      <c r="AA31" s="193" t="s">
        <v>396</v>
      </c>
      <c r="AB31" s="193" t="s">
        <v>397</v>
      </c>
    </row>
    <row r="32" spans="1:28" x14ac:dyDescent="0.25">
      <c r="A32" s="193" t="s">
        <v>398</v>
      </c>
      <c r="B32" s="193" t="s">
        <v>56</v>
      </c>
      <c r="C32" s="194">
        <v>1845939</v>
      </c>
      <c r="D32" s="194">
        <v>1857234</v>
      </c>
      <c r="E32" s="194">
        <v>1867895</v>
      </c>
      <c r="F32" s="194">
        <v>1878409</v>
      </c>
      <c r="G32" s="194">
        <v>1888669</v>
      </c>
      <c r="H32" s="194">
        <v>1898884</v>
      </c>
      <c r="I32" s="194">
        <v>1909204</v>
      </c>
      <c r="J32" s="194">
        <v>1919555</v>
      </c>
      <c r="K32" s="194">
        <v>1929748</v>
      </c>
      <c r="L32" s="194">
        <v>1939576</v>
      </c>
      <c r="M32" s="194">
        <v>1948934</v>
      </c>
      <c r="N32" s="194">
        <v>1957789</v>
      </c>
      <c r="O32" s="194">
        <v>1966080</v>
      </c>
      <c r="P32" s="194">
        <v>1973810</v>
      </c>
      <c r="Q32" s="194">
        <v>1980994</v>
      </c>
      <c r="R32" s="194">
        <v>1987707</v>
      </c>
      <c r="S32" s="194">
        <v>1993983</v>
      </c>
      <c r="T32" s="194">
        <v>1999944</v>
      </c>
      <c r="U32" s="194">
        <v>2005628</v>
      </c>
      <c r="V32" s="194">
        <v>2010997</v>
      </c>
      <c r="W32" s="194">
        <v>2016064</v>
      </c>
      <c r="X32" s="194">
        <v>2020862</v>
      </c>
      <c r="Y32" s="194">
        <v>2025426</v>
      </c>
      <c r="Z32" s="194">
        <v>2029805</v>
      </c>
      <c r="AA32" s="194">
        <v>2034052</v>
      </c>
      <c r="AB32" s="194">
        <v>2038192</v>
      </c>
    </row>
    <row r="33" spans="1:28" x14ac:dyDescent="0.25">
      <c r="A33" s="190"/>
      <c r="B33" s="193" t="s">
        <v>55</v>
      </c>
      <c r="C33" s="194">
        <v>837359</v>
      </c>
      <c r="D33" s="194">
        <v>839107</v>
      </c>
      <c r="E33" s="194">
        <v>840758</v>
      </c>
      <c r="F33" s="194">
        <v>842419</v>
      </c>
      <c r="G33" s="194">
        <v>844122</v>
      </c>
      <c r="H33" s="194">
        <v>845869</v>
      </c>
      <c r="I33" s="194">
        <v>847704</v>
      </c>
      <c r="J33" s="194">
        <v>849622</v>
      </c>
      <c r="K33" s="194">
        <v>851577</v>
      </c>
      <c r="L33" s="194">
        <v>853535</v>
      </c>
      <c r="M33" s="194">
        <v>855467</v>
      </c>
      <c r="N33" s="194">
        <v>857368</v>
      </c>
      <c r="O33" s="194">
        <v>859244</v>
      </c>
      <c r="P33" s="194">
        <v>861118</v>
      </c>
      <c r="Q33" s="194">
        <v>862957</v>
      </c>
      <c r="R33" s="194">
        <v>864714</v>
      </c>
      <c r="S33" s="194">
        <v>866319</v>
      </c>
      <c r="T33" s="194">
        <v>867756</v>
      </c>
      <c r="U33" s="194">
        <v>869030</v>
      </c>
      <c r="V33" s="194">
        <v>870151</v>
      </c>
      <c r="W33" s="194">
        <v>871151</v>
      </c>
      <c r="X33" s="194">
        <v>872053</v>
      </c>
      <c r="Y33" s="194">
        <v>872857</v>
      </c>
      <c r="Z33" s="194">
        <v>873553</v>
      </c>
      <c r="AA33" s="194">
        <v>874144</v>
      </c>
      <c r="AB33" s="194">
        <v>874620</v>
      </c>
    </row>
    <row r="34" spans="1:28" x14ac:dyDescent="0.25">
      <c r="A34" s="190"/>
      <c r="B34" s="193" t="s">
        <v>54</v>
      </c>
      <c r="C34" s="194">
        <v>1223105</v>
      </c>
      <c r="D34" s="194">
        <v>1225070</v>
      </c>
      <c r="E34" s="194">
        <v>1226987</v>
      </c>
      <c r="F34" s="194">
        <v>1228920</v>
      </c>
      <c r="G34" s="194">
        <v>1230960</v>
      </c>
      <c r="H34" s="194">
        <v>1233151</v>
      </c>
      <c r="I34" s="194">
        <v>1235577</v>
      </c>
      <c r="J34" s="194">
        <v>1238222</v>
      </c>
      <c r="K34" s="194">
        <v>1240924</v>
      </c>
      <c r="L34" s="194">
        <v>1243567</v>
      </c>
      <c r="M34" s="194">
        <v>1246089</v>
      </c>
      <c r="N34" s="194">
        <v>1248469</v>
      </c>
      <c r="O34" s="194">
        <v>1250748</v>
      </c>
      <c r="P34" s="194">
        <v>1252953</v>
      </c>
      <c r="Q34" s="194">
        <v>1255059</v>
      </c>
      <c r="R34" s="194">
        <v>1257081</v>
      </c>
      <c r="S34" s="194">
        <v>1258976</v>
      </c>
      <c r="T34" s="194">
        <v>1260716</v>
      </c>
      <c r="U34" s="194">
        <v>1262287</v>
      </c>
      <c r="V34" s="194">
        <v>1263677</v>
      </c>
      <c r="W34" s="194">
        <v>1264918</v>
      </c>
      <c r="X34" s="194">
        <v>1266028</v>
      </c>
      <c r="Y34" s="194">
        <v>1267016</v>
      </c>
      <c r="Z34" s="194">
        <v>1267881</v>
      </c>
      <c r="AA34" s="194">
        <v>1268648</v>
      </c>
      <c r="AB34" s="194">
        <v>1269307</v>
      </c>
    </row>
    <row r="35" spans="1:28" x14ac:dyDescent="0.25">
      <c r="A35" s="190"/>
      <c r="B35" s="193" t="s">
        <v>53</v>
      </c>
      <c r="C35" s="194">
        <v>1326339</v>
      </c>
      <c r="D35" s="194">
        <v>1333013</v>
      </c>
      <c r="E35" s="194">
        <v>1339553</v>
      </c>
      <c r="F35" s="194">
        <v>1346003</v>
      </c>
      <c r="G35" s="194">
        <v>1352509</v>
      </c>
      <c r="H35" s="194">
        <v>1359192</v>
      </c>
      <c r="I35" s="194">
        <v>1366154</v>
      </c>
      <c r="J35" s="194">
        <v>1373348</v>
      </c>
      <c r="K35" s="194">
        <v>1380617</v>
      </c>
      <c r="L35" s="194">
        <v>1387810</v>
      </c>
      <c r="M35" s="194">
        <v>1394826</v>
      </c>
      <c r="N35" s="194">
        <v>1401603</v>
      </c>
      <c r="O35" s="194">
        <v>1408105</v>
      </c>
      <c r="P35" s="194">
        <v>1414301</v>
      </c>
      <c r="Q35" s="194">
        <v>1420221</v>
      </c>
      <c r="R35" s="194">
        <v>1425914</v>
      </c>
      <c r="S35" s="194">
        <v>1431388</v>
      </c>
      <c r="T35" s="194">
        <v>1436658</v>
      </c>
      <c r="U35" s="194">
        <v>1441733</v>
      </c>
      <c r="V35" s="194">
        <v>1446568</v>
      </c>
      <c r="W35" s="194">
        <v>1451154</v>
      </c>
      <c r="X35" s="194">
        <v>1455487</v>
      </c>
      <c r="Y35" s="194">
        <v>1459576</v>
      </c>
      <c r="Z35" s="194">
        <v>1463449</v>
      </c>
      <c r="AA35" s="194">
        <v>1467156</v>
      </c>
      <c r="AB35" s="194">
        <v>1470725</v>
      </c>
    </row>
    <row r="36" spans="1:28" x14ac:dyDescent="0.25">
      <c r="A36" s="190"/>
      <c r="B36" s="193" t="s">
        <v>50</v>
      </c>
      <c r="C36" s="194">
        <v>589936</v>
      </c>
      <c r="D36" s="194">
        <v>590482</v>
      </c>
      <c r="E36" s="194">
        <v>591053</v>
      </c>
      <c r="F36" s="194">
        <v>591637</v>
      </c>
      <c r="G36" s="194">
        <v>592294</v>
      </c>
      <c r="H36" s="194">
        <v>593054</v>
      </c>
      <c r="I36" s="194">
        <v>593932</v>
      </c>
      <c r="J36" s="194">
        <v>594914</v>
      </c>
      <c r="K36" s="194">
        <v>595955</v>
      </c>
      <c r="L36" s="194">
        <v>596991</v>
      </c>
      <c r="M36" s="194">
        <v>597969</v>
      </c>
      <c r="N36" s="194">
        <v>598874</v>
      </c>
      <c r="O36" s="194">
        <v>599694</v>
      </c>
      <c r="P36" s="194">
        <v>600418</v>
      </c>
      <c r="Q36" s="194">
        <v>601054</v>
      </c>
      <c r="R36" s="194">
        <v>601615</v>
      </c>
      <c r="S36" s="194">
        <v>602110</v>
      </c>
      <c r="T36" s="194">
        <v>602552</v>
      </c>
      <c r="U36" s="194">
        <v>602935</v>
      </c>
      <c r="V36" s="194">
        <v>603256</v>
      </c>
      <c r="W36" s="194">
        <v>603507</v>
      </c>
      <c r="X36" s="194">
        <v>603683</v>
      </c>
      <c r="Y36" s="194">
        <v>603792</v>
      </c>
      <c r="Z36" s="194">
        <v>603853</v>
      </c>
      <c r="AA36" s="194">
        <v>603884</v>
      </c>
      <c r="AB36" s="194">
        <v>603901</v>
      </c>
    </row>
    <row r="38" spans="1:28" ht="225" x14ac:dyDescent="0.25">
      <c r="A38" s="195" t="s">
        <v>399</v>
      </c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786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716</v>
      </c>
      <c r="B4" s="330">
        <f>$B$9/Befolkningstal!$B$4</f>
        <v>1.1893449129763534</v>
      </c>
      <c r="C4" s="330">
        <f>$B$9/Befolkningstal!$B$4</f>
        <v>1.1893449129763534</v>
      </c>
      <c r="D4" s="330">
        <f>$B$9/Befolkningstal!$B$4</f>
        <v>1.1893449129763534</v>
      </c>
    </row>
    <row r="5" spans="1:14" x14ac:dyDescent="0.25">
      <c r="A5" s="1"/>
      <c r="B5" s="330"/>
    </row>
    <row r="6" spans="1:14" x14ac:dyDescent="0.25">
      <c r="A6" s="1"/>
      <c r="B6" s="330"/>
    </row>
    <row r="8" spans="1:14" x14ac:dyDescent="0.25">
      <c r="A8" t="s">
        <v>698</v>
      </c>
      <c r="B8">
        <f>SUM(M15:M19)</f>
        <v>1030256</v>
      </c>
      <c r="C8" t="s">
        <v>700</v>
      </c>
      <c r="F8" s="219" t="s">
        <v>688</v>
      </c>
    </row>
    <row r="9" spans="1:14" x14ac:dyDescent="0.25">
      <c r="A9" t="s">
        <v>699</v>
      </c>
      <c r="B9" s="340">
        <f>B8*B30*1000</f>
        <v>6905432.9016786581</v>
      </c>
      <c r="C9" t="s">
        <v>717</v>
      </c>
      <c r="F9" s="220">
        <v>140000</v>
      </c>
      <c r="G9" s="339">
        <f>140000/Biogasudbytte!C18</f>
        <v>2333333.3333333335</v>
      </c>
    </row>
    <row r="10" spans="1:14" x14ac:dyDescent="0.25">
      <c r="A10" t="s">
        <v>701</v>
      </c>
    </row>
    <row r="12" spans="1:14" ht="17.25" x14ac:dyDescent="0.3">
      <c r="A12" s="333" t="s">
        <v>680</v>
      </c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</row>
    <row r="13" spans="1:14" x14ac:dyDescent="0.25">
      <c r="A13" s="334" t="s">
        <v>107</v>
      </c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</row>
    <row r="14" spans="1:14" x14ac:dyDescent="0.25">
      <c r="A14" s="332"/>
      <c r="B14" s="332"/>
      <c r="C14" s="332"/>
      <c r="D14" s="335" t="s">
        <v>672</v>
      </c>
      <c r="E14" s="335" t="s">
        <v>673</v>
      </c>
      <c r="F14" s="335" t="s">
        <v>674</v>
      </c>
      <c r="G14" s="335" t="s">
        <v>675</v>
      </c>
      <c r="H14" s="335" t="s">
        <v>676</v>
      </c>
      <c r="I14" s="335" t="s">
        <v>677</v>
      </c>
      <c r="J14" s="335" t="s">
        <v>678</v>
      </c>
      <c r="K14" s="335" t="s">
        <v>679</v>
      </c>
      <c r="L14" s="335" t="s">
        <v>94</v>
      </c>
      <c r="M14" s="335" t="s">
        <v>269</v>
      </c>
      <c r="N14" s="335" t="s">
        <v>632</v>
      </c>
    </row>
    <row r="15" spans="1:14" x14ac:dyDescent="0.25">
      <c r="A15" s="335" t="s">
        <v>681</v>
      </c>
      <c r="B15" s="335" t="s">
        <v>109</v>
      </c>
      <c r="C15" s="335" t="s">
        <v>682</v>
      </c>
      <c r="D15" s="336" t="s">
        <v>140</v>
      </c>
      <c r="E15" s="336" t="s">
        <v>140</v>
      </c>
      <c r="F15" s="336" t="s">
        <v>140</v>
      </c>
      <c r="G15" s="336" t="s">
        <v>140</v>
      </c>
      <c r="H15" s="336" t="s">
        <v>140</v>
      </c>
      <c r="I15" s="336" t="s">
        <v>140</v>
      </c>
      <c r="J15" s="336" t="s">
        <v>140</v>
      </c>
      <c r="K15" s="336" t="s">
        <v>140</v>
      </c>
      <c r="L15" s="336" t="s">
        <v>140</v>
      </c>
      <c r="M15" s="337">
        <v>260427</v>
      </c>
      <c r="N15" s="338">
        <f>AVERAGEIF(D15:M15,"&gt;0")*1000</f>
        <v>260427000</v>
      </c>
    </row>
    <row r="16" spans="1:14" x14ac:dyDescent="0.25">
      <c r="A16" s="332"/>
      <c r="B16" s="332"/>
      <c r="C16" s="335" t="s">
        <v>683</v>
      </c>
      <c r="D16" s="336" t="s">
        <v>140</v>
      </c>
      <c r="E16" s="336" t="s">
        <v>140</v>
      </c>
      <c r="F16" s="336" t="s">
        <v>140</v>
      </c>
      <c r="G16" s="336" t="s">
        <v>140</v>
      </c>
      <c r="H16" s="336" t="s">
        <v>140</v>
      </c>
      <c r="I16" s="336" t="s">
        <v>140</v>
      </c>
      <c r="J16" s="336" t="s">
        <v>140</v>
      </c>
      <c r="K16" s="336" t="s">
        <v>140</v>
      </c>
      <c r="L16" s="336" t="s">
        <v>140</v>
      </c>
      <c r="M16" s="337">
        <v>871</v>
      </c>
      <c r="N16" s="338">
        <f t="shared" ref="N16:N20" si="0">AVERAGEIF(D16:M16,"&gt;0")*1000</f>
        <v>871000</v>
      </c>
    </row>
    <row r="17" spans="1:14" x14ac:dyDescent="0.25">
      <c r="A17" s="332"/>
      <c r="B17" s="332"/>
      <c r="C17" s="335" t="s">
        <v>684</v>
      </c>
      <c r="D17" s="336" t="s">
        <v>140</v>
      </c>
      <c r="E17" s="337">
        <v>52749</v>
      </c>
      <c r="F17" s="337">
        <v>44752</v>
      </c>
      <c r="G17" s="337">
        <v>45513</v>
      </c>
      <c r="H17" s="337">
        <v>46463</v>
      </c>
      <c r="I17" s="337">
        <v>49231</v>
      </c>
      <c r="J17" s="337">
        <v>46930</v>
      </c>
      <c r="K17" s="337">
        <v>48463</v>
      </c>
      <c r="L17" s="337">
        <v>49844</v>
      </c>
      <c r="M17" s="337">
        <v>41550</v>
      </c>
      <c r="N17" s="338">
        <f t="shared" si="0"/>
        <v>47277222.222222216</v>
      </c>
    </row>
    <row r="18" spans="1:14" x14ac:dyDescent="0.25">
      <c r="A18" s="332"/>
      <c r="B18" s="332"/>
      <c r="C18" s="335" t="s">
        <v>685</v>
      </c>
      <c r="D18" s="337">
        <v>706269</v>
      </c>
      <c r="E18" s="337">
        <v>769131</v>
      </c>
      <c r="F18" s="337">
        <v>718074</v>
      </c>
      <c r="G18" s="337">
        <v>643849</v>
      </c>
      <c r="H18" s="337">
        <v>696742</v>
      </c>
      <c r="I18" s="337">
        <v>765740</v>
      </c>
      <c r="J18" s="337">
        <v>696745</v>
      </c>
      <c r="K18" s="337">
        <v>714169</v>
      </c>
      <c r="L18" s="337">
        <v>614460</v>
      </c>
      <c r="M18" s="337">
        <v>721022</v>
      </c>
      <c r="N18" s="338">
        <f t="shared" si="0"/>
        <v>704620100</v>
      </c>
    </row>
    <row r="19" spans="1:14" x14ac:dyDescent="0.25">
      <c r="A19" s="332"/>
      <c r="B19" s="332"/>
      <c r="C19" s="335" t="s">
        <v>686</v>
      </c>
      <c r="D19" s="336" t="s">
        <v>140</v>
      </c>
      <c r="E19" s="337">
        <v>10931</v>
      </c>
      <c r="F19" s="336" t="s">
        <v>140</v>
      </c>
      <c r="G19" s="337">
        <v>10175</v>
      </c>
      <c r="H19" s="337">
        <v>10014</v>
      </c>
      <c r="I19" s="337">
        <v>9600</v>
      </c>
      <c r="J19" s="337">
        <v>8438</v>
      </c>
      <c r="K19" s="337">
        <v>8435</v>
      </c>
      <c r="L19" s="337">
        <v>6438</v>
      </c>
      <c r="M19" s="337">
        <v>6386</v>
      </c>
      <c r="N19" s="338">
        <f t="shared" si="0"/>
        <v>8802125</v>
      </c>
    </row>
    <row r="20" spans="1:14" x14ac:dyDescent="0.25">
      <c r="A20" s="332"/>
      <c r="B20" s="332"/>
      <c r="C20" s="335" t="s">
        <v>687</v>
      </c>
      <c r="D20" s="336" t="s">
        <v>140</v>
      </c>
      <c r="E20" s="336" t="s">
        <v>140</v>
      </c>
      <c r="F20" s="336" t="s">
        <v>140</v>
      </c>
      <c r="G20" s="336" t="s">
        <v>140</v>
      </c>
      <c r="H20" s="337">
        <v>334595</v>
      </c>
      <c r="I20" s="337">
        <v>392260</v>
      </c>
      <c r="J20" s="337">
        <v>312980</v>
      </c>
      <c r="K20" s="337">
        <v>386102</v>
      </c>
      <c r="L20" s="337">
        <v>228159</v>
      </c>
      <c r="M20" s="337">
        <v>353152</v>
      </c>
      <c r="N20" s="338">
        <f t="shared" si="0"/>
        <v>334541333.33333331</v>
      </c>
    </row>
    <row r="21" spans="1:14" x14ac:dyDescent="0.25">
      <c r="N21" s="338">
        <f>SUM(N15:N20)</f>
        <v>1356538780.5555556</v>
      </c>
    </row>
    <row r="24" spans="1:14" x14ac:dyDescent="0.25">
      <c r="A24" s="168" t="s">
        <v>689</v>
      </c>
      <c r="B24" t="s">
        <v>785</v>
      </c>
    </row>
    <row r="25" spans="1:14" x14ac:dyDescent="0.25">
      <c r="A25" t="s">
        <v>690</v>
      </c>
      <c r="B25">
        <v>30</v>
      </c>
      <c r="C25" t="s">
        <v>691</v>
      </c>
    </row>
    <row r="26" spans="1:14" x14ac:dyDescent="0.25">
      <c r="A26" t="s">
        <v>692</v>
      </c>
      <c r="B26">
        <v>4.3</v>
      </c>
      <c r="C26" t="s">
        <v>693</v>
      </c>
    </row>
    <row r="27" spans="1:14" x14ac:dyDescent="0.25">
      <c r="A27" t="s">
        <v>692</v>
      </c>
      <c r="B27">
        <f>B26/B25</f>
        <v>0.14333333333333334</v>
      </c>
      <c r="C27" t="s">
        <v>694</v>
      </c>
    </row>
    <row r="28" spans="1:14" x14ac:dyDescent="0.25">
      <c r="A28" t="s">
        <v>695</v>
      </c>
      <c r="B28">
        <f>B27*0.65</f>
        <v>9.3166666666666675E-2</v>
      </c>
      <c r="C28" t="s">
        <v>696</v>
      </c>
    </row>
    <row r="29" spans="1:14" x14ac:dyDescent="0.25">
      <c r="A29" s="168" t="s">
        <v>703</v>
      </c>
    </row>
    <row r="30" spans="1:14" x14ac:dyDescent="0.25">
      <c r="A30" t="s">
        <v>697</v>
      </c>
      <c r="B30">
        <f>B28/Biogasudbytte!B18</f>
        <v>6.7026378896882502E-3</v>
      </c>
      <c r="C30" t="s">
        <v>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8"/>
  <sheetViews>
    <sheetView workbookViewId="0">
      <selection activeCell="B2" sqref="B2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8">
        <f>År1</f>
        <v>2019</v>
      </c>
      <c r="C1" s="168">
        <f>År2</f>
        <v>2030</v>
      </c>
      <c r="D1" s="168">
        <f>År3</f>
        <v>2050</v>
      </c>
    </row>
    <row r="2" spans="1:14" x14ac:dyDescent="0.25">
      <c r="A2" s="161" t="s">
        <v>715</v>
      </c>
      <c r="B2" s="251" t="e" cm="1">
        <f t="array" aca="1" ref="B2" ca="1">INDIRECT("["&amp;Overblik!$B$7&amp;".xlsx]Adfærd!B32")/(1-INDIRECT("["&amp;Overblik!$B$7&amp;".xlsx]Adfærd!B12"))*INDIRECT("["&amp;Overblik!$B$7&amp;".xlsx]Adfærd!B12")/1000000*365.25*INDIRECT("["&amp;Overblik!$B$7&amp;".xlsx]Adfærd!B13")*Befolkningstal!B4</f>
        <v>#REF!</v>
      </c>
      <c r="C2" s="251" t="e" cm="1">
        <f t="array" aca="1" ref="C2" ca="1">INDIRECT("["&amp;Overblik!$B$7&amp;".xlsx]Adfærd!C32")/(1-INDIRECT("["&amp;Overblik!$B$7&amp;".xlsx]Adfærd!C12"))*INDIRECT("["&amp;Overblik!$B$7&amp;".xlsx]Adfærd!C12")/1000000*365.25*INDIRECT("["&amp;Overblik!$B$7&amp;".xlsx]Adfærd!C13")*Befolkningstal!C4</f>
        <v>#REF!</v>
      </c>
      <c r="D2" s="251" t="e" cm="1">
        <f t="array" aca="1" ref="D2" ca="1">INDIRECT("["&amp;Overblik!$B$7&amp;".xlsx]Adfærd!D32")/(1-INDIRECT("["&amp;Overblik!$B$7&amp;".xlsx]Adfærd!D12"))*INDIRECT("["&amp;Overblik!$B$7&amp;".xlsx]Adfærd!D12")/1000000*365.25*INDIRECT("["&amp;Overblik!$B$7&amp;".xlsx]Adfærd!D13")*Befolkningstal!D4</f>
        <v>#REF!</v>
      </c>
      <c r="G2" s="10"/>
      <c r="H2" s="9"/>
    </row>
    <row r="3" spans="1:14" x14ac:dyDescent="0.25">
      <c r="A3" s="164" t="s">
        <v>330</v>
      </c>
      <c r="B3" s="250" t="e" cm="1">
        <f t="array" aca="1" ref="B3" ca="1">INDIRECT("["&amp;Overblik!$B$7&amp;".xlsx]Adfærd!B14")*$E$3</f>
        <v>#REF!</v>
      </c>
      <c r="C3" s="250" t="e" cm="1">
        <f t="array" aca="1" ref="C3" ca="1">INDIRECT("["&amp;Overblik!$B$7&amp;".xlsx]Adfærd!C14")*$E$3</f>
        <v>#REF!</v>
      </c>
      <c r="D3" s="250" t="e" cm="1">
        <f t="array" aca="1" ref="D3" ca="1">INDIRECT("["&amp;Overblik!$B$7&amp;".xlsx]Adfærd!D14")*$E$3</f>
        <v>#REF!</v>
      </c>
      <c r="E3" s="146">
        <v>63524</v>
      </c>
      <c r="F3" t="s">
        <v>331</v>
      </c>
    </row>
    <row r="4" spans="1:14" ht="15.75" thickBot="1" x14ac:dyDescent="0.3">
      <c r="A4" s="248" t="s">
        <v>826</v>
      </c>
      <c r="B4" s="249">
        <f>SUM($C$18:$C$19,$D$19)</f>
        <v>358674</v>
      </c>
      <c r="C4" s="249">
        <f>SUM($C$18:$C$19,$D$19)</f>
        <v>358674</v>
      </c>
      <c r="D4" s="249">
        <f>SUM($C$18:$C$19,$D$19)</f>
        <v>358674</v>
      </c>
    </row>
    <row r="5" spans="1:14" ht="14.65" customHeight="1" thickBot="1" x14ac:dyDescent="0.3">
      <c r="A5" s="165" t="s">
        <v>831</v>
      </c>
      <c r="B5" s="166" t="e">
        <f ca="1">B4-$C$19+B2-B3</f>
        <v>#REF!</v>
      </c>
      <c r="C5" s="166" t="e">
        <f t="shared" ref="C5:D5" ca="1" si="0">C4-$C$19+C2-C3</f>
        <v>#REF!</v>
      </c>
      <c r="D5" s="166" t="e">
        <f t="shared" ca="1" si="0"/>
        <v>#REF!</v>
      </c>
      <c r="E5" s="523" t="s">
        <v>827</v>
      </c>
      <c r="F5" s="523"/>
      <c r="G5" s="523"/>
      <c r="H5" s="523"/>
      <c r="I5" s="523"/>
      <c r="J5" s="523"/>
      <c r="K5" s="523"/>
      <c r="L5" s="523"/>
      <c r="M5" s="523"/>
      <c r="N5" s="523"/>
    </row>
    <row r="6" spans="1:14" ht="14.65" customHeight="1" x14ac:dyDescent="0.25">
      <c r="A6" s="162" t="s">
        <v>529</v>
      </c>
      <c r="B6" s="163">
        <f>SUM($C$17:$D$17)</f>
        <v>982809</v>
      </c>
      <c r="C6" s="163">
        <f>SUM($C$17:$D$17)</f>
        <v>982809</v>
      </c>
      <c r="D6" s="163">
        <f>SUM($C$17:$D$17)</f>
        <v>982809</v>
      </c>
      <c r="E6" s="523"/>
      <c r="F6" s="523"/>
      <c r="G6" s="523"/>
      <c r="H6" s="523"/>
      <c r="I6" s="523"/>
      <c r="J6" s="523"/>
      <c r="K6" s="523"/>
      <c r="L6" s="523"/>
      <c r="M6" s="523"/>
      <c r="N6" s="523"/>
    </row>
    <row r="7" spans="1:14" x14ac:dyDescent="0.25">
      <c r="A7" s="162" t="s">
        <v>824</v>
      </c>
      <c r="B7" s="163">
        <f>$D$18+$D$20-SUM($C$27:$E$27)</f>
        <v>355018</v>
      </c>
      <c r="C7" s="163">
        <f t="shared" ref="C7:D7" si="1">$D$18+$D$20-SUM($C$27:$E$27)</f>
        <v>355018</v>
      </c>
      <c r="D7" s="163">
        <f t="shared" si="1"/>
        <v>355018</v>
      </c>
      <c r="E7" s="523"/>
      <c r="F7" s="523"/>
      <c r="G7" s="523"/>
      <c r="H7" s="523"/>
      <c r="I7" s="523"/>
      <c r="J7" s="523"/>
      <c r="K7" s="523"/>
      <c r="L7" s="523"/>
      <c r="M7" s="523"/>
      <c r="N7" s="523"/>
    </row>
    <row r="8" spans="1:14" x14ac:dyDescent="0.25">
      <c r="A8" s="162" t="s">
        <v>828</v>
      </c>
      <c r="B8" s="163" t="e">
        <f ca="1">SUM(B5:B7)+E27+D27+C27</f>
        <v>#REF!</v>
      </c>
      <c r="C8" s="163"/>
      <c r="D8" s="163"/>
      <c r="E8" s="440"/>
      <c r="F8" s="440"/>
      <c r="G8" s="440"/>
      <c r="H8" s="440"/>
      <c r="I8" s="440"/>
      <c r="J8" s="440"/>
      <c r="K8" s="440"/>
      <c r="L8" s="440"/>
      <c r="M8" s="440"/>
      <c r="N8" s="440"/>
    </row>
    <row r="9" spans="1:14" x14ac:dyDescent="0.25">
      <c r="A9" s="162"/>
      <c r="B9" s="163"/>
      <c r="C9" s="163"/>
      <c r="D9" s="163"/>
      <c r="E9" s="440"/>
      <c r="F9" s="440"/>
      <c r="G9" s="440"/>
      <c r="H9" s="440"/>
      <c r="I9" s="440"/>
      <c r="J9" s="440"/>
      <c r="K9" s="440"/>
      <c r="L9" s="440"/>
      <c r="M9" s="440"/>
      <c r="N9" s="440"/>
    </row>
    <row r="10" spans="1:14" x14ac:dyDescent="0.25">
      <c r="A10" s="162"/>
      <c r="B10" s="163"/>
      <c r="C10" s="163"/>
      <c r="D10" s="163"/>
      <c r="E10" s="440"/>
      <c r="F10" s="440"/>
      <c r="G10" s="440"/>
      <c r="H10" s="440"/>
      <c r="I10" s="440"/>
      <c r="J10" s="440"/>
      <c r="K10" s="440"/>
      <c r="L10" s="440"/>
      <c r="M10" s="440"/>
      <c r="N10" s="440"/>
    </row>
    <row r="11" spans="1:14" x14ac:dyDescent="0.25">
      <c r="A11" t="s">
        <v>329</v>
      </c>
    </row>
    <row r="12" spans="1:14" x14ac:dyDescent="0.25">
      <c r="A12" s="167"/>
      <c r="K12" s="2"/>
      <c r="L12" s="2"/>
    </row>
    <row r="13" spans="1:14" ht="17.25" x14ac:dyDescent="0.3">
      <c r="A13" s="343" t="s">
        <v>323</v>
      </c>
      <c r="B13" s="342"/>
      <c r="C13" s="342"/>
      <c r="D13" s="342"/>
    </row>
    <row r="14" spans="1:14" x14ac:dyDescent="0.25">
      <c r="A14" s="344" t="s">
        <v>324</v>
      </c>
      <c r="B14" s="342"/>
      <c r="C14" s="342"/>
      <c r="D14" s="342"/>
    </row>
    <row r="15" spans="1:14" x14ac:dyDescent="0.25">
      <c r="A15" s="342"/>
      <c r="B15" s="342"/>
      <c r="C15" s="345" t="s">
        <v>325</v>
      </c>
      <c r="D15" s="345" t="s">
        <v>326</v>
      </c>
    </row>
    <row r="16" spans="1:14" x14ac:dyDescent="0.25">
      <c r="A16" s="345" t="s">
        <v>269</v>
      </c>
      <c r="B16" s="345" t="s">
        <v>712</v>
      </c>
      <c r="C16" s="346">
        <v>0</v>
      </c>
      <c r="D16" s="346">
        <v>0</v>
      </c>
    </row>
    <row r="17" spans="1:5" x14ac:dyDescent="0.25">
      <c r="A17" s="342"/>
      <c r="B17" s="345" t="s">
        <v>328</v>
      </c>
      <c r="C17" s="346">
        <v>793037</v>
      </c>
      <c r="D17" s="346">
        <v>189772</v>
      </c>
    </row>
    <row r="18" spans="1:5" x14ac:dyDescent="0.25">
      <c r="A18" s="342"/>
      <c r="B18" s="345" t="s">
        <v>713</v>
      </c>
      <c r="C18" s="346">
        <v>5534</v>
      </c>
      <c r="D18" s="346">
        <v>488981</v>
      </c>
    </row>
    <row r="19" spans="1:5" x14ac:dyDescent="0.25">
      <c r="A19" s="342"/>
      <c r="B19" s="345" t="s">
        <v>714</v>
      </c>
      <c r="C19" s="346">
        <v>130234</v>
      </c>
      <c r="D19" s="346">
        <v>222906</v>
      </c>
    </row>
    <row r="20" spans="1:5" s="461" customFormat="1" x14ac:dyDescent="0.25">
      <c r="A20" s="347"/>
      <c r="B20" s="350" t="s">
        <v>866</v>
      </c>
      <c r="C20" s="351">
        <v>0</v>
      </c>
      <c r="D20" s="351">
        <v>224372</v>
      </c>
    </row>
    <row r="21" spans="1:5" x14ac:dyDescent="0.25">
      <c r="E21">
        <f>SUM(C17:D19)</f>
        <v>1830464</v>
      </c>
    </row>
    <row r="22" spans="1:5" ht="17.25" x14ac:dyDescent="0.3">
      <c r="A22" s="348" t="s">
        <v>323</v>
      </c>
      <c r="B22" s="347"/>
      <c r="C22" s="347"/>
      <c r="D22" s="347"/>
    </row>
    <row r="23" spans="1:5" x14ac:dyDescent="0.25">
      <c r="A23" s="349" t="s">
        <v>324</v>
      </c>
      <c r="B23" s="347"/>
      <c r="C23" s="347"/>
      <c r="D23" s="347"/>
    </row>
    <row r="24" spans="1:5" x14ac:dyDescent="0.25">
      <c r="A24" s="347"/>
      <c r="B24" s="347"/>
      <c r="C24" s="350" t="s">
        <v>332</v>
      </c>
      <c r="D24" s="350" t="s">
        <v>333</v>
      </c>
      <c r="E24" t="s">
        <v>823</v>
      </c>
    </row>
    <row r="25" spans="1:5" x14ac:dyDescent="0.25">
      <c r="A25" s="350" t="s">
        <v>269</v>
      </c>
      <c r="B25" s="350" t="s">
        <v>712</v>
      </c>
      <c r="C25" s="351">
        <v>0</v>
      </c>
      <c r="D25" s="351">
        <v>0</v>
      </c>
    </row>
    <row r="26" spans="1:5" x14ac:dyDescent="0.25">
      <c r="A26" s="347"/>
      <c r="B26" s="350" t="s">
        <v>328</v>
      </c>
      <c r="C26" s="351">
        <v>1204</v>
      </c>
      <c r="D26" s="351">
        <v>9</v>
      </c>
      <c r="E26">
        <v>6392</v>
      </c>
    </row>
    <row r="27" spans="1:5" x14ac:dyDescent="0.25">
      <c r="A27" s="347"/>
      <c r="B27" s="350" t="s">
        <v>713</v>
      </c>
      <c r="C27" s="351">
        <v>73281</v>
      </c>
      <c r="D27" s="351">
        <v>17318</v>
      </c>
      <c r="E27">
        <v>267736</v>
      </c>
    </row>
    <row r="28" spans="1:5" x14ac:dyDescent="0.25">
      <c r="A28" s="347"/>
      <c r="B28" s="350" t="s">
        <v>714</v>
      </c>
      <c r="C28" s="351">
        <v>48589</v>
      </c>
      <c r="D28" s="351">
        <v>12738</v>
      </c>
      <c r="E28">
        <v>975</v>
      </c>
    </row>
  </sheetData>
  <mergeCells count="1">
    <mergeCell ref="E5:N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4" t="s">
        <v>40</v>
      </c>
      <c r="B1" s="404" t="s">
        <v>656</v>
      </c>
      <c r="C1" s="404" t="s">
        <v>43</v>
      </c>
      <c r="E1" s="256" t="s">
        <v>525</v>
      </c>
    </row>
    <row r="2" spans="1:10" customFormat="1" x14ac:dyDescent="0.25">
      <c r="A2" s="404" t="s">
        <v>37</v>
      </c>
      <c r="B2" s="427">
        <v>160.6</v>
      </c>
      <c r="C2" s="438">
        <v>0.85</v>
      </c>
      <c r="E2" s="257" t="s">
        <v>44</v>
      </c>
    </row>
    <row r="3" spans="1:10" x14ac:dyDescent="0.25">
      <c r="A3" s="404" t="s">
        <v>13</v>
      </c>
      <c r="B3" s="402">
        <v>51.25</v>
      </c>
      <c r="C3" s="403">
        <v>0.28000000000000003</v>
      </c>
    </row>
    <row r="4" spans="1:10" x14ac:dyDescent="0.25">
      <c r="A4" s="404" t="s">
        <v>500</v>
      </c>
      <c r="B4" s="427">
        <v>12</v>
      </c>
      <c r="C4" s="438">
        <v>0.05</v>
      </c>
    </row>
    <row r="5" spans="1:10" x14ac:dyDescent="0.25">
      <c r="A5" s="404" t="s">
        <v>501</v>
      </c>
      <c r="B5" s="427">
        <v>14.1</v>
      </c>
      <c r="C5" s="438">
        <v>7.5999999999999998E-2</v>
      </c>
    </row>
    <row r="6" spans="1:10" x14ac:dyDescent="0.25">
      <c r="A6" s="404" t="s">
        <v>502</v>
      </c>
      <c r="B6" s="427">
        <v>13.1</v>
      </c>
      <c r="C6" s="438">
        <v>6.3E-2</v>
      </c>
    </row>
    <row r="7" spans="1:10" x14ac:dyDescent="0.25">
      <c r="A7" s="404" t="s">
        <v>39</v>
      </c>
      <c r="B7" s="427">
        <v>60</v>
      </c>
      <c r="C7" s="438">
        <v>0.3</v>
      </c>
    </row>
    <row r="8" spans="1:10" x14ac:dyDescent="0.25">
      <c r="A8" s="404" t="s">
        <v>15</v>
      </c>
      <c r="B8" s="402">
        <v>100</v>
      </c>
      <c r="C8" s="403">
        <v>0.3</v>
      </c>
      <c r="I8" s="162"/>
      <c r="J8" s="162"/>
    </row>
    <row r="9" spans="1:10" x14ac:dyDescent="0.25">
      <c r="A9" s="404" t="s">
        <v>42</v>
      </c>
      <c r="B9" s="402">
        <v>75.599999999999994</v>
      </c>
      <c r="C9" s="403">
        <v>0.2</v>
      </c>
    </row>
    <row r="10" spans="1:10" x14ac:dyDescent="0.25">
      <c r="A10" s="404" t="s">
        <v>322</v>
      </c>
      <c r="B10" s="402">
        <v>94.9</v>
      </c>
      <c r="C10" s="403">
        <v>0.28000000000000003</v>
      </c>
    </row>
    <row r="11" spans="1:10" x14ac:dyDescent="0.25">
      <c r="A11" s="404" t="s">
        <v>41</v>
      </c>
      <c r="B11" s="402">
        <v>120.7</v>
      </c>
      <c r="C11" s="403">
        <v>0.42</v>
      </c>
      <c r="F11" s="162"/>
    </row>
    <row r="12" spans="1:10" x14ac:dyDescent="0.25">
      <c r="A12" s="404" t="s">
        <v>311</v>
      </c>
      <c r="B12" s="427">
        <v>25</v>
      </c>
      <c r="C12" s="438">
        <v>0.15</v>
      </c>
    </row>
    <row r="13" spans="1:10" x14ac:dyDescent="0.25">
      <c r="A13" s="404" t="s">
        <v>310</v>
      </c>
      <c r="B13" s="427">
        <v>25</v>
      </c>
      <c r="C13" s="438">
        <v>0.15</v>
      </c>
      <c r="I13" s="437"/>
      <c r="J13" s="162"/>
    </row>
    <row r="14" spans="1:10" x14ac:dyDescent="0.25">
      <c r="A14" s="404" t="s">
        <v>11</v>
      </c>
      <c r="B14" s="427">
        <v>95.4</v>
      </c>
      <c r="C14" s="438">
        <v>0.31</v>
      </c>
      <c r="I14" s="437"/>
      <c r="J14" s="162"/>
    </row>
    <row r="15" spans="1:10" x14ac:dyDescent="0.25">
      <c r="A15" s="404" t="s">
        <v>529</v>
      </c>
      <c r="B15" s="402">
        <v>47.3</v>
      </c>
      <c r="C15" s="403">
        <v>0.3</v>
      </c>
      <c r="I15" s="437"/>
      <c r="J15" s="162"/>
    </row>
    <row r="16" spans="1:10" x14ac:dyDescent="0.25">
      <c r="A16" s="404" t="s">
        <v>663</v>
      </c>
      <c r="B16" s="299">
        <f>'Procesdata (baggrund)'!I5</f>
        <v>15.822453396634783</v>
      </c>
      <c r="C16" s="426">
        <f>'Procesdata (baggrund)'!B5</f>
        <v>4.2763387558472386E-2</v>
      </c>
      <c r="I16" s="437"/>
      <c r="J16" s="162"/>
    </row>
    <row r="17" spans="1:12" x14ac:dyDescent="0.25">
      <c r="A17" s="404" t="s">
        <v>521</v>
      </c>
      <c r="B17" s="427">
        <v>423.36</v>
      </c>
      <c r="C17" s="438">
        <v>0.9</v>
      </c>
    </row>
    <row r="18" spans="1:12" x14ac:dyDescent="0.25">
      <c r="A18" s="404" t="s">
        <v>504</v>
      </c>
      <c r="B18" s="427">
        <v>13.9</v>
      </c>
      <c r="C18" s="438">
        <v>0.06</v>
      </c>
    </row>
    <row r="19" spans="1:12" x14ac:dyDescent="0.25">
      <c r="D19" s="174"/>
    </row>
    <row r="20" spans="1:12" x14ac:dyDescent="0.25">
      <c r="A20" s="146"/>
      <c r="B20" s="174"/>
      <c r="C20" s="174"/>
      <c r="D20" s="174"/>
    </row>
    <row r="21" spans="1:12" x14ac:dyDescent="0.25">
      <c r="A21" s="146"/>
      <c r="B21" s="174"/>
      <c r="C21" s="174"/>
      <c r="D21" s="174"/>
      <c r="H21" s="150"/>
      <c r="I21" s="162"/>
      <c r="J21" s="162"/>
    </row>
    <row r="22" spans="1:12" x14ac:dyDescent="0.25">
      <c r="A22" s="146"/>
      <c r="B22" s="174"/>
      <c r="C22" s="174"/>
      <c r="D22" s="174"/>
    </row>
    <row r="23" spans="1:12" x14ac:dyDescent="0.25">
      <c r="A23" s="146"/>
      <c r="B23" s="174"/>
      <c r="C23" s="174"/>
      <c r="D23" s="174"/>
    </row>
    <row r="24" spans="1:12" x14ac:dyDescent="0.25">
      <c r="A24" s="146"/>
      <c r="B24" s="174"/>
      <c r="C24" s="174"/>
      <c r="D24" s="174"/>
    </row>
    <row r="25" spans="1:12" x14ac:dyDescent="0.25">
      <c r="A25" s="146"/>
      <c r="B25" s="174"/>
      <c r="C25" s="174"/>
      <c r="D25" s="174"/>
      <c r="K25" s="446"/>
      <c r="L25" s="446"/>
    </row>
    <row r="26" spans="1:12" x14ac:dyDescent="0.25">
      <c r="A26" s="146"/>
      <c r="B26" s="174"/>
      <c r="C26" s="174"/>
      <c r="D26" s="174"/>
      <c r="I26" s="162"/>
      <c r="J26" s="162"/>
      <c r="K26" s="446"/>
      <c r="L26" s="446"/>
    </row>
    <row r="27" spans="1:12" x14ac:dyDescent="0.25">
      <c r="A27" s="146"/>
      <c r="B27" s="174"/>
      <c r="C27" s="174"/>
      <c r="D27" s="174"/>
    </row>
    <row r="28" spans="1:12" x14ac:dyDescent="0.25">
      <c r="A28" s="146"/>
      <c r="B28" s="174"/>
      <c r="C28" s="174"/>
      <c r="D28" s="174"/>
    </row>
    <row r="29" spans="1:12" x14ac:dyDescent="0.25">
      <c r="A29" s="146"/>
      <c r="B29" s="174"/>
      <c r="C29" s="174"/>
      <c r="D29" s="174"/>
    </row>
    <row r="30" spans="1:12" x14ac:dyDescent="0.25">
      <c r="A30" s="146"/>
      <c r="B30" s="174"/>
      <c r="C30" s="17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5" x14ac:dyDescent="0.25"/>
  <cols>
    <col min="1" max="1" width="22.42578125" customWidth="1"/>
    <col min="2" max="2" width="23.28515625" customWidth="1"/>
    <col min="3" max="4" width="12" bestFit="1" customWidth="1"/>
    <col min="8" max="8" width="13.28515625" bestFit="1" customWidth="1"/>
    <col min="10" max="10" width="12" bestFit="1" customWidth="1"/>
  </cols>
  <sheetData>
    <row r="1" spans="1:10" x14ac:dyDescent="0.25">
      <c r="A1" s="269"/>
      <c r="B1" s="269" t="s">
        <v>315</v>
      </c>
      <c r="C1" s="269" t="s">
        <v>816</v>
      </c>
      <c r="D1" s="269"/>
    </row>
    <row r="2" spans="1:10" x14ac:dyDescent="0.25">
      <c r="A2" s="269" t="s">
        <v>37</v>
      </c>
      <c r="B2" s="269" t="s">
        <v>413</v>
      </c>
      <c r="C2" s="269">
        <f>D27</f>
        <v>1.0335806339134365E-5</v>
      </c>
      <c r="D2" s="228" t="s">
        <v>727</v>
      </c>
    </row>
    <row r="3" spans="1:10" x14ac:dyDescent="0.25">
      <c r="A3" s="269" t="s">
        <v>723</v>
      </c>
      <c r="B3" s="269" t="s">
        <v>413</v>
      </c>
      <c r="C3" s="269">
        <f>35*10^-6</f>
        <v>3.4999999999999997E-5</v>
      </c>
      <c r="D3" s="406" t="s">
        <v>415</v>
      </c>
    </row>
    <row r="4" spans="1:10" x14ac:dyDescent="0.25">
      <c r="A4" s="269" t="s">
        <v>341</v>
      </c>
      <c r="B4" s="269" t="s">
        <v>413</v>
      </c>
      <c r="C4" s="269">
        <f>18.4*10^-6</f>
        <v>1.8399999999999997E-5</v>
      </c>
      <c r="D4" s="269" t="s">
        <v>520</v>
      </c>
    </row>
    <row r="5" spans="1:10" x14ac:dyDescent="0.25">
      <c r="A5" s="269" t="s">
        <v>407</v>
      </c>
      <c r="B5" s="269" t="s">
        <v>414</v>
      </c>
      <c r="C5" s="407">
        <f>D19</f>
        <v>1.449356890077532E-5</v>
      </c>
      <c r="D5" s="302" t="s">
        <v>728</v>
      </c>
    </row>
    <row r="6" spans="1:10" x14ac:dyDescent="0.25">
      <c r="A6" s="269" t="s">
        <v>529</v>
      </c>
      <c r="B6" s="269" t="s">
        <v>413</v>
      </c>
      <c r="C6" s="407">
        <f>D24</f>
        <v>1.7852220520673815E-5</v>
      </c>
      <c r="D6" s="302" t="s">
        <v>727</v>
      </c>
    </row>
    <row r="7" spans="1:10" x14ac:dyDescent="0.25">
      <c r="A7" s="269" t="s">
        <v>322</v>
      </c>
      <c r="B7" s="269" t="s">
        <v>413</v>
      </c>
      <c r="C7" s="407">
        <f>D24</f>
        <v>1.7852220520673815E-5</v>
      </c>
      <c r="D7" s="302" t="s">
        <v>727</v>
      </c>
    </row>
    <row r="8" spans="1:10" s="461" customFormat="1" x14ac:dyDescent="0.25">
      <c r="A8" s="476" t="s">
        <v>893</v>
      </c>
      <c r="B8" s="476" t="s">
        <v>413</v>
      </c>
      <c r="C8" s="485">
        <f>'Procesdata (baggrund)'!I23</f>
        <v>3.326857142857142E-5</v>
      </c>
      <c r="D8" s="484" t="s">
        <v>894</v>
      </c>
    </row>
    <row r="9" spans="1:10" s="461" customFormat="1" x14ac:dyDescent="0.25">
      <c r="A9" s="476" t="s">
        <v>881</v>
      </c>
      <c r="B9" s="476" t="s">
        <v>413</v>
      </c>
      <c r="C9" s="485">
        <f>'Procesdata (baggrund)'!I24</f>
        <v>8.9614285714285689E-6</v>
      </c>
      <c r="D9" s="484" t="s">
        <v>894</v>
      </c>
    </row>
    <row r="10" spans="1:10" x14ac:dyDescent="0.25">
      <c r="A10" s="269" t="s">
        <v>312</v>
      </c>
      <c r="B10" s="269" t="s">
        <v>414</v>
      </c>
      <c r="C10" s="269">
        <f>35.9*10^-9</f>
        <v>3.5900000000000004E-8</v>
      </c>
      <c r="D10" s="269" t="s">
        <v>416</v>
      </c>
    </row>
    <row r="13" spans="1:10" x14ac:dyDescent="0.25">
      <c r="A13" s="269"/>
      <c r="B13" s="269" t="s">
        <v>707</v>
      </c>
      <c r="C13" s="269" t="s">
        <v>708</v>
      </c>
      <c r="D13" s="269" t="s">
        <v>817</v>
      </c>
    </row>
    <row r="14" spans="1:10" x14ac:dyDescent="0.25">
      <c r="A14" s="269" t="s">
        <v>635</v>
      </c>
      <c r="B14" s="269">
        <v>139000</v>
      </c>
      <c r="C14" s="269">
        <v>14.757999999999999</v>
      </c>
      <c r="D14" s="269"/>
    </row>
    <row r="15" spans="1:10" x14ac:dyDescent="0.25">
      <c r="A15" s="269" t="s">
        <v>709</v>
      </c>
      <c r="B15" s="269">
        <v>1763000</v>
      </c>
      <c r="C15" s="269">
        <v>21.187000000000001</v>
      </c>
      <c r="D15" s="269"/>
      <c r="J15" s="341"/>
    </row>
    <row r="16" spans="1:10" x14ac:dyDescent="0.25">
      <c r="A16" s="269" t="s">
        <v>710</v>
      </c>
      <c r="B16" s="269">
        <v>205000</v>
      </c>
      <c r="C16" s="269">
        <v>1.988</v>
      </c>
      <c r="D16" s="269"/>
    </row>
    <row r="17" spans="1:8" x14ac:dyDescent="0.25">
      <c r="A17" s="269" t="s">
        <v>711</v>
      </c>
      <c r="B17" s="269">
        <f>1643000*'Processer - data'!H403</f>
        <v>854360</v>
      </c>
      <c r="C17" s="269">
        <v>8.9450000000000003</v>
      </c>
      <c r="D17" s="269"/>
    </row>
    <row r="18" spans="1:8" x14ac:dyDescent="0.25">
      <c r="A18" s="269" t="s">
        <v>341</v>
      </c>
      <c r="B18" s="269"/>
      <c r="C18" s="269">
        <f>-D18*C4</f>
        <v>-3.9573247999999994</v>
      </c>
      <c r="D18" s="269">
        <v>215072</v>
      </c>
    </row>
    <row r="19" spans="1:8" x14ac:dyDescent="0.25">
      <c r="A19" s="269"/>
      <c r="B19" s="269">
        <f>SUM(B14:B17)</f>
        <v>2961360</v>
      </c>
      <c r="C19" s="269">
        <f>SUM(C14:C18)</f>
        <v>42.920675199999998</v>
      </c>
      <c r="D19" s="269">
        <f>C19/B19</f>
        <v>1.449356890077532E-5</v>
      </c>
    </row>
    <row r="20" spans="1:8" x14ac:dyDescent="0.25">
      <c r="H20" s="338"/>
    </row>
    <row r="21" spans="1:8" x14ac:dyDescent="0.25">
      <c r="A21" s="269" t="s">
        <v>819</v>
      </c>
      <c r="B21" s="269" t="s">
        <v>725</v>
      </c>
      <c r="C21" s="269" t="s">
        <v>726</v>
      </c>
      <c r="D21" s="269"/>
    </row>
    <row r="22" spans="1:8" x14ac:dyDescent="0.25">
      <c r="A22" s="269" t="s">
        <v>818</v>
      </c>
      <c r="B22" s="269">
        <v>633738</v>
      </c>
      <c r="C22" s="269"/>
      <c r="D22" s="269"/>
    </row>
    <row r="23" spans="1:8" x14ac:dyDescent="0.25">
      <c r="A23" s="269" t="s">
        <v>718</v>
      </c>
      <c r="B23" s="269">
        <f>SUM(Affald!C16:D19)-SUM(Affald!C27:D28)</f>
        <v>1678538</v>
      </c>
      <c r="C23" s="269"/>
      <c r="D23" s="269"/>
    </row>
    <row r="24" spans="1:8" x14ac:dyDescent="0.25">
      <c r="A24" s="269" t="s">
        <v>327</v>
      </c>
      <c r="B24" s="269">
        <f>B23-B22</f>
        <v>1044800</v>
      </c>
      <c r="C24" s="269">
        <v>18652</v>
      </c>
      <c r="D24" s="269">
        <f>C24/1000/B24</f>
        <v>1.7852220520673815E-5</v>
      </c>
    </row>
    <row r="26" spans="1:8" x14ac:dyDescent="0.25">
      <c r="A26" s="269"/>
      <c r="B26" s="269" t="s">
        <v>730</v>
      </c>
      <c r="C26" s="269" t="s">
        <v>726</v>
      </c>
      <c r="D26" s="269"/>
      <c r="E26" s="269"/>
    </row>
    <row r="27" spans="1:8" x14ac:dyDescent="0.25">
      <c r="A27" s="269" t="s">
        <v>729</v>
      </c>
      <c r="B27" s="269">
        <f>1813.9*1000</f>
        <v>1813900</v>
      </c>
      <c r="C27" s="405">
        <v>17963.28</v>
      </c>
      <c r="D27" s="269">
        <f>C27/1000/(B27-B28)</f>
        <v>1.0335806339134365E-5</v>
      </c>
      <c r="E27" s="269">
        <f>(B27-B28)</f>
        <v>1737966</v>
      </c>
    </row>
    <row r="28" spans="1:8" x14ac:dyDescent="0.25">
      <c r="A28" s="269" t="s">
        <v>731</v>
      </c>
      <c r="B28" s="269">
        <v>75934</v>
      </c>
      <c r="C28" s="269"/>
      <c r="D28" s="269"/>
      <c r="E28" s="26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7" t="s">
        <v>14</v>
      </c>
      <c r="B2">
        <f>IFERROR(VLOOKUP(A2,Biogasudbytte!$A$2:$C$18,3,FALSE),VLOOKUP(A2,$I$2:$J$8,2,FALSE))</f>
        <v>0.85</v>
      </c>
      <c r="I2" s="327" t="s">
        <v>14</v>
      </c>
      <c r="J2">
        <v>0.85</v>
      </c>
    </row>
    <row r="3" spans="1:11" x14ac:dyDescent="0.25">
      <c r="A3" s="326" t="s">
        <v>322</v>
      </c>
      <c r="B3">
        <f>IFERROR(VLOOKUP(A3,Biogasudbytte!$A$2:$C$18,3,FALSE),VLOOKUP(A3,$I$2:$J$8,2,FALSE))</f>
        <v>0.28000000000000003</v>
      </c>
      <c r="I3" s="327" t="s">
        <v>188</v>
      </c>
      <c r="J3" s="174">
        <v>0.25</v>
      </c>
    </row>
    <row r="4" spans="1:11" x14ac:dyDescent="0.25">
      <c r="A4" s="327" t="s">
        <v>663</v>
      </c>
      <c r="B4">
        <f>IFERROR(VLOOKUP(A4,Biogasudbytte!$A$2:$C$18,3,FALSE),VLOOKUP(A4,$I$2:$J$8,2,FALSE))</f>
        <v>4.2763387558472386E-2</v>
      </c>
      <c r="I4" s="326" t="s">
        <v>341</v>
      </c>
      <c r="J4">
        <f>AVERAGE(0.46,0.37)</f>
        <v>0.41500000000000004</v>
      </c>
      <c r="K4" t="s">
        <v>720</v>
      </c>
    </row>
    <row r="5" spans="1:11" x14ac:dyDescent="0.25">
      <c r="A5" s="326" t="s">
        <v>39</v>
      </c>
      <c r="B5">
        <f>IFERROR(VLOOKUP(A5,Biogasudbytte!$A$2:$C$18,3,FALSE),VLOOKUP(A5,$I$2:$J$8,2,FALSE))</f>
        <v>0.3</v>
      </c>
      <c r="I5" s="327" t="s">
        <v>177</v>
      </c>
      <c r="J5">
        <v>0.91</v>
      </c>
      <c r="K5" t="s">
        <v>719</v>
      </c>
    </row>
    <row r="6" spans="1:11" x14ac:dyDescent="0.25">
      <c r="A6" s="327" t="s">
        <v>502</v>
      </c>
      <c r="B6">
        <f>IFERROR(VLOOKUP(A6,Biogasudbytte!$A$2:$C$18,3,FALSE),VLOOKUP(A6,$I$2:$J$8,2,FALSE))</f>
        <v>6.3E-2</v>
      </c>
      <c r="I6" s="327" t="s">
        <v>722</v>
      </c>
      <c r="J6">
        <v>0.91</v>
      </c>
      <c r="K6" t="s">
        <v>719</v>
      </c>
    </row>
    <row r="7" spans="1:11" x14ac:dyDescent="0.25">
      <c r="A7" s="326" t="s">
        <v>521</v>
      </c>
      <c r="B7">
        <f>IFERROR(VLOOKUP(A7,Biogasudbytte!$A$2:$C$18,3,FALSE),VLOOKUP(A7,$I$2:$J$8,2,FALSE))</f>
        <v>0.9</v>
      </c>
      <c r="I7" s="327" t="s">
        <v>723</v>
      </c>
      <c r="J7">
        <v>0.91</v>
      </c>
      <c r="K7" t="s">
        <v>719</v>
      </c>
    </row>
    <row r="8" spans="1:11" x14ac:dyDescent="0.25">
      <c r="A8" s="327" t="s">
        <v>13</v>
      </c>
      <c r="B8">
        <f>IFERROR(VLOOKUP(A8,Biogasudbytte!$A$2:$C$18,3,FALSE),VLOOKUP(A8,$I$2:$J$8,2,FALSE))</f>
        <v>0.28000000000000003</v>
      </c>
      <c r="I8" s="327" t="s">
        <v>407</v>
      </c>
      <c r="J8" s="174">
        <f>AVERAGE(0.58,0.57,0.57,0.565,0.54,0.5,0.49,0.46,0.44,0.43,0.42,0.37)</f>
        <v>0.49458333333333332</v>
      </c>
      <c r="K8" t="s">
        <v>720</v>
      </c>
    </row>
    <row r="9" spans="1:11" x14ac:dyDescent="0.25">
      <c r="A9" s="326" t="s">
        <v>37</v>
      </c>
      <c r="B9">
        <f>IFERROR(VLOOKUP(A9,Biogasudbytte!$A$2:$C$18,3,FALSE),VLOOKUP(A9,$I$2:$J$8,2,FALSE))</f>
        <v>0.85</v>
      </c>
    </row>
    <row r="10" spans="1:11" x14ac:dyDescent="0.25">
      <c r="A10" s="327" t="s">
        <v>529</v>
      </c>
      <c r="B10">
        <f>IFERROR(VLOOKUP(A10,Biogasudbytte!$A$2:$C$18,3,FALSE),VLOOKUP(A10,$I$2:$J$8,2,FALSE))</f>
        <v>0.3</v>
      </c>
    </row>
    <row r="11" spans="1:11" x14ac:dyDescent="0.25">
      <c r="A11" s="326" t="s">
        <v>41</v>
      </c>
      <c r="B11">
        <f>IFERROR(VLOOKUP(A11,Biogasudbytte!$A$2:$C$18,3,FALSE),VLOOKUP(A11,$I$2:$J$8,2,FALSE))</f>
        <v>0.42</v>
      </c>
    </row>
    <row r="12" spans="1:11" x14ac:dyDescent="0.25">
      <c r="A12" s="327" t="s">
        <v>188</v>
      </c>
      <c r="B12">
        <f>IFERROR(VLOOKUP(A12,Biogasudbytte!$A$2:$C$18,3,FALSE),VLOOKUP(A12,$I$2:$J$8,2,FALSE))</f>
        <v>0.25</v>
      </c>
    </row>
    <row r="13" spans="1:11" x14ac:dyDescent="0.25">
      <c r="A13" s="326" t="s">
        <v>11</v>
      </c>
      <c r="B13">
        <f>IFERROR(VLOOKUP(A13,Biogasudbytte!$A$2:$C$18,3,FALSE),VLOOKUP(A13,$I$2:$J$8,2,FALSE))</f>
        <v>0.31</v>
      </c>
    </row>
    <row r="14" spans="1:11" x14ac:dyDescent="0.25">
      <c r="A14" s="327" t="s">
        <v>501</v>
      </c>
      <c r="B14">
        <f>IFERROR(VLOOKUP(A14,Biogasudbytte!$A$2:$C$18,3,FALSE),VLOOKUP(A14,$I$2:$J$8,2,FALSE))</f>
        <v>7.5999999999999998E-2</v>
      </c>
    </row>
    <row r="15" spans="1:11" x14ac:dyDescent="0.25">
      <c r="A15" s="326" t="s">
        <v>15</v>
      </c>
      <c r="B15">
        <f>IFERROR(VLOOKUP(A15,Biogasudbytte!$A$2:$C$18,3,FALSE),VLOOKUP(A15,$I$2:$J$8,2,FALSE))</f>
        <v>0.3</v>
      </c>
    </row>
    <row r="16" spans="1:11" x14ac:dyDescent="0.25">
      <c r="A16" s="327" t="s">
        <v>311</v>
      </c>
      <c r="B16">
        <f>IFERROR(VLOOKUP(A16,Biogasudbytte!$A$2:$C$18,3,FALSE),VLOOKUP(A16,$I$2:$J$8,2,FALSE))</f>
        <v>0.15</v>
      </c>
    </row>
    <row r="17" spans="1:2" x14ac:dyDescent="0.25">
      <c r="A17" s="326" t="s">
        <v>341</v>
      </c>
      <c r="B17">
        <f>IFERROR(VLOOKUP(A17,Biogasudbytte!$A$2:$C$18,3,FALSE),VLOOKUP(A17,$I$2:$J$8,2,FALSE))</f>
        <v>0.41500000000000004</v>
      </c>
    </row>
    <row r="18" spans="1:2" x14ac:dyDescent="0.25">
      <c r="A18" s="327" t="s">
        <v>177</v>
      </c>
      <c r="B18">
        <f>IFERROR(VLOOKUP(A18,Biogasudbytte!$A$2:$C$18,3,FALSE),VLOOKUP(A18,$I$2:$J$8,2,FALSE))</f>
        <v>0.91</v>
      </c>
    </row>
    <row r="19" spans="1:2" x14ac:dyDescent="0.25">
      <c r="A19" s="327" t="s">
        <v>722</v>
      </c>
      <c r="B19">
        <f>IFERROR(VLOOKUP(A19,Biogasudbytte!$A$2:$C$18,3,FALSE),VLOOKUP(A19,$I$2:$J$8,2,FALSE))</f>
        <v>0.91</v>
      </c>
    </row>
    <row r="20" spans="1:2" x14ac:dyDescent="0.25">
      <c r="A20" s="327" t="s">
        <v>723</v>
      </c>
      <c r="B20">
        <f>IFERROR(VLOOKUP(A20,Biogasudbytte!$A$2:$C$18,3,FALSE),VLOOKUP(A20,$I$2:$J$8,2,FALSE))</f>
        <v>0.91</v>
      </c>
    </row>
    <row r="21" spans="1:2" x14ac:dyDescent="0.25">
      <c r="A21" s="326" t="s">
        <v>42</v>
      </c>
      <c r="B21">
        <f>IFERROR(VLOOKUP(A21,Biogasudbytte!$A$2:$C$18,3,FALSE),VLOOKUP(A21,$I$2:$J$8,2,FALSE))</f>
        <v>0.2</v>
      </c>
    </row>
    <row r="22" spans="1:2" x14ac:dyDescent="0.25">
      <c r="A22" s="326" t="s">
        <v>504</v>
      </c>
      <c r="B22">
        <f>IFERROR(VLOOKUP(A22,Biogasudbytte!$A$2:$C$18,3,FALSE),VLOOKUP(A22,$I$2:$J$8,2,FALSE))</f>
        <v>0.06</v>
      </c>
    </row>
    <row r="23" spans="1:2" x14ac:dyDescent="0.25">
      <c r="A23" s="327" t="s">
        <v>500</v>
      </c>
      <c r="B23">
        <f>IFERROR(VLOOKUP(A23,Biogasudbytte!$A$2:$C$18,3,FALSE),VLOOKUP(A23,$I$2:$J$8,2,FALSE))</f>
        <v>0.05</v>
      </c>
    </row>
    <row r="24" spans="1:2" x14ac:dyDescent="0.25">
      <c r="A24" s="326" t="s">
        <v>310</v>
      </c>
      <c r="B24">
        <f>IFERROR(VLOOKUP(A24,Biogasudbytte!$A$2:$C$18,3,FALSE),VLOOKUP(A24,$I$2:$J$8,2,FALSE))</f>
        <v>0.15</v>
      </c>
    </row>
    <row r="25" spans="1:2" x14ac:dyDescent="0.25">
      <c r="A25" s="327" t="s">
        <v>407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2021-09-08T08:12:23Z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684780299663543</vt:r8>
  </property>
</Properties>
</file>