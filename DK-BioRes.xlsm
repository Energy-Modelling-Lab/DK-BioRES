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6A17C02-123B-4B0C-B49F-20F6481FFA02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B2" i="18" a="1"/>
  <c r="D2" i="18" a="1"/>
  <c r="C2" i="18" a="1"/>
  <c r="B3" i="18" a="1"/>
  <c r="D3" i="18" a="1"/>
  <c r="C3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<sst xmlns="http://schemas.openxmlformats.org/spreadsheetml/2006/main" count="3634" uniqueCount="899">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</sst>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2" t="s">
        <v>0</v>
      </c>
      <c r="B1" s="492"/>
    </row>
    <row r="2" spans="1:5" ht="30" customHeight="1" x14ac:dyDescent="0.25">
      <c r="A2" s="491" t="s">
        <v>778</v>
      </c>
      <c r="B2" s="491"/>
    </row>
    <row r="3" spans="1:5" x14ac:dyDescent="0.25">
      <c r="A3" s="494" t="s">
        <v>6</v>
      </c>
      <c r="B3" s="494"/>
    </row>
    <row r="4" spans="1:5" ht="28.9" customHeight="1" x14ac:dyDescent="0.25">
      <c r="A4" s="491" t="s">
        <v>897</v>
      </c>
      <c r="B4" s="491"/>
    </row>
    <row r="5" spans="1:5" x14ac:dyDescent="0.25">
      <c r="A5" s="493" t="s">
        <v>777</v>
      </c>
      <c r="B5" s="493"/>
    </row>
    <row r="7" spans="1:5" x14ac:dyDescent="0.25">
      <c r="A7" s="2" t="s">
        <v>1</v>
      </c>
      <c r="B7" s="3" t="s">
        <v>898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1" t="s">
        <v>5</v>
      </c>
      <c r="B9" s="491"/>
    </row>
    <row r="10" spans="1:5" ht="15.75" thickTop="1" x14ac:dyDescent="0.25">
      <c r="A10" s="375" t="s">
        <v>766</v>
      </c>
      <c r="B10" s="376" t="s">
        <v>297</v>
      </c>
      <c r="D10" s="408" t="s">
        <v>279</v>
      </c>
      <c r="E10" s="409"/>
    </row>
    <row r="11" spans="1:5" x14ac:dyDescent="0.25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25">
      <c r="A12" s="377"/>
      <c r="B12" s="378" t="s">
        <v>4</v>
      </c>
      <c r="D12" s="410" t="s">
        <v>281</v>
      </c>
      <c r="E12" s="411" t="s">
        <v>282</v>
      </c>
    </row>
    <row r="13" spans="1:5" x14ac:dyDescent="0.25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25">
      <c r="A14" s="377" t="s">
        <v>289</v>
      </c>
      <c r="B14" s="378" t="s">
        <v>769</v>
      </c>
      <c r="D14" s="410"/>
      <c r="E14" s="411"/>
    </row>
    <row r="15" spans="1:5" x14ac:dyDescent="0.25">
      <c r="A15" s="377"/>
      <c r="B15" s="378"/>
      <c r="D15" s="412" t="s">
        <v>285</v>
      </c>
      <c r="E15" s="411"/>
    </row>
    <row r="16" spans="1:5" x14ac:dyDescent="0.25">
      <c r="A16" s="379" t="s">
        <v>770</v>
      </c>
      <c r="B16" s="380" t="s">
        <v>771</v>
      </c>
      <c r="D16" s="410" t="s">
        <v>286</v>
      </c>
      <c r="E16" s="411"/>
    </row>
    <row r="17" spans="1:5" x14ac:dyDescent="0.25">
      <c r="A17" s="377" t="s">
        <v>772</v>
      </c>
      <c r="B17" s="378" t="s">
        <v>773</v>
      </c>
      <c r="D17" s="410" t="s">
        <v>82</v>
      </c>
      <c r="E17" s="411"/>
    </row>
    <row r="18" spans="1:5" x14ac:dyDescent="0.25">
      <c r="A18" s="377"/>
      <c r="B18" s="378"/>
      <c r="D18" s="410" t="s">
        <v>77</v>
      </c>
      <c r="E18" s="411"/>
    </row>
    <row r="19" spans="1:5" x14ac:dyDescent="0.25">
      <c r="A19" s="379" t="s">
        <v>540</v>
      </c>
      <c r="B19" s="380" t="s">
        <v>36</v>
      </c>
      <c r="D19" s="410" t="s">
        <v>287</v>
      </c>
      <c r="E19" s="411"/>
    </row>
    <row r="20" spans="1:5" x14ac:dyDescent="0.25">
      <c r="A20" s="377" t="s">
        <v>290</v>
      </c>
      <c r="B20" s="378" t="s">
        <v>774</v>
      </c>
      <c r="D20" s="410" t="s">
        <v>70</v>
      </c>
      <c r="E20" s="411"/>
    </row>
    <row r="21" spans="1:5" x14ac:dyDescent="0.25">
      <c r="A21" s="377" t="s">
        <v>291</v>
      </c>
      <c r="B21" s="378"/>
      <c r="D21" s="410"/>
      <c r="E21" s="411"/>
    </row>
    <row r="22" spans="1:5" x14ac:dyDescent="0.25">
      <c r="A22" s="377" t="s">
        <v>292</v>
      </c>
      <c r="B22" s="378"/>
      <c r="D22" s="412" t="s">
        <v>787</v>
      </c>
      <c r="E22" s="411"/>
    </row>
    <row r="23" spans="1:5" x14ac:dyDescent="0.25">
      <c r="A23" s="377" t="s">
        <v>293</v>
      </c>
      <c r="B23" s="378"/>
      <c r="D23" s="410">
        <v>2019</v>
      </c>
      <c r="E23" s="411"/>
    </row>
    <row r="24" spans="1:5" x14ac:dyDescent="0.25">
      <c r="A24" s="377" t="s">
        <v>775</v>
      </c>
      <c r="B24" s="378"/>
      <c r="D24" s="410">
        <v>2030</v>
      </c>
      <c r="E24" s="411"/>
    </row>
    <row r="25" spans="1:5" ht="15.75" thickBot="1" x14ac:dyDescent="0.3">
      <c r="A25" s="377" t="s">
        <v>776</v>
      </c>
      <c r="B25" s="378"/>
      <c r="D25" s="413">
        <v>2050</v>
      </c>
      <c r="E25" s="414"/>
    </row>
    <row r="26" spans="1:5" ht="15.75" thickTop="1" x14ac:dyDescent="0.25">
      <c r="A26" s="377" t="s">
        <v>294</v>
      </c>
      <c r="B26" s="378"/>
    </row>
    <row r="27" spans="1:5" x14ac:dyDescent="0.25">
      <c r="A27" s="377"/>
      <c r="B27" s="378"/>
    </row>
    <row r="28" spans="1:5" x14ac:dyDescent="0.25">
      <c r="A28" s="379" t="s">
        <v>820</v>
      </c>
      <c r="B28" s="378"/>
    </row>
    <row r="29" spans="1:5" ht="15.75" thickBot="1" x14ac:dyDescent="0.3">
      <c r="A29" s="381" t="s">
        <v>3</v>
      </c>
      <c r="B29" s="382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5.75" thickBot="1" x14ac:dyDescent="0.3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25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 t="e">
        <f ca="1">Affald!B5/Befolkningstal!B$4</f>
        <v>#REF!</v>
      </c>
      <c r="I4" s="265" t="e">
        <f ca="1">Affald!C5/Befolkningstal!C$4</f>
        <v>#REF!</v>
      </c>
      <c r="J4" s="265" t="e">
        <f ca="1">Affald!D5/Befolkningstal!D$4</f>
        <v>#REF!</v>
      </c>
      <c r="K4" s="266"/>
    </row>
    <row r="5" spans="1:11" x14ac:dyDescent="0.25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5.75" thickBot="1" x14ac:dyDescent="0.3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5.75" thickTop="1" x14ac:dyDescent="0.25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5.75" thickBot="1" x14ac:dyDescent="0.3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5.75" thickTop="1" x14ac:dyDescent="0.25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5.75" thickBot="1" x14ac:dyDescent="0.3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5.75" thickTop="1" x14ac:dyDescent="0.25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25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5.75" thickBot="1" x14ac:dyDescent="0.3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25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25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25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25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25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5.75" thickBot="1" x14ac:dyDescent="0.3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5.75" thickTop="1" x14ac:dyDescent="0.25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25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25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25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25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25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5.75" thickBot="1" x14ac:dyDescent="0.3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5.75" thickTop="1" x14ac:dyDescent="0.25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25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25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25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25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25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25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5.75" thickBot="1" x14ac:dyDescent="0.3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5.75" thickTop="1" x14ac:dyDescent="0.25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25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25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25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25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25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25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5.75" thickBot="1" x14ac:dyDescent="0.3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5.75" thickTop="1" x14ac:dyDescent="0.25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25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25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25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25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25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25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5.75" thickBot="1" x14ac:dyDescent="0.3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5.75" thickTop="1" x14ac:dyDescent="0.25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25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25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25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25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25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25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5.75" thickBot="1" x14ac:dyDescent="0.3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5.75" thickTop="1" x14ac:dyDescent="0.25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25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5.75" thickBot="1" x14ac:dyDescent="0.3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5.75" thickTop="1" x14ac:dyDescent="0.25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25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5.75" thickBot="1" x14ac:dyDescent="0.3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5.75" thickTop="1" x14ac:dyDescent="0.25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25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5.75" thickBot="1" x14ac:dyDescent="0.3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5.75" thickTop="1" x14ac:dyDescent="0.25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25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5.75" thickBot="1" x14ac:dyDescent="0.3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5.75" thickTop="1" x14ac:dyDescent="0.25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25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5.75" thickBot="1" x14ac:dyDescent="0.3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5.75" thickTop="1" x14ac:dyDescent="0.25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25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5.75" thickBot="1" x14ac:dyDescent="0.3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5.75" thickTop="1" x14ac:dyDescent="0.25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5.75" thickBot="1" x14ac:dyDescent="0.3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5.75" thickTop="1" x14ac:dyDescent="0.25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25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25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5.75" thickBot="1" x14ac:dyDescent="0.3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5.75" thickTop="1" x14ac:dyDescent="0.25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25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25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25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25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25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25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25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25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5.75" thickBot="1" x14ac:dyDescent="0.3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5.75" thickTop="1" x14ac:dyDescent="0.25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25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25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25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25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25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25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25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25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25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25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25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25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25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5.75" thickBot="1" x14ac:dyDescent="0.3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5.75" thickTop="1" x14ac:dyDescent="0.25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25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25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25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25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25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25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25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25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25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25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25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25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25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25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25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25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25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25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5.75" thickTop="1" x14ac:dyDescent="0.25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25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25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25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25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5.75" thickBot="1" x14ac:dyDescent="0.3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5.75" thickTop="1" x14ac:dyDescent="0.25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25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25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5.75" thickBot="1" x14ac:dyDescent="0.3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25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5.75" thickBot="1" x14ac:dyDescent="0.3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5.75" thickTop="1" x14ac:dyDescent="0.25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5.75" thickBot="1" x14ac:dyDescent="0.3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5.75" thickTop="1" x14ac:dyDescent="0.25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25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5.75" thickBot="1" x14ac:dyDescent="0.3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25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25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25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25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25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25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25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25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25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25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25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25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25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25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25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25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25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25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25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25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25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25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25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25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25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25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25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25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25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25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25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25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25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25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25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25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25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25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25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25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25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25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25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25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25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25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25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25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25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1.5703125" style="1" bestFit="1" customWidth="1"/>
    <col min="10" max="16384" width="9.140625" style="1"/>
  </cols>
  <sheetData>
    <row r="1" spans="1:9" x14ac:dyDescent="0.25">
      <c r="A1" s="2" t="s">
        <v>668</v>
      </c>
    </row>
    <row r="2" spans="1:9" x14ac:dyDescent="0.25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25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669</v>
      </c>
    </row>
    <row r="9" spans="1:9" x14ac:dyDescent="0.25">
      <c r="A9" s="2" t="s">
        <v>781</v>
      </c>
    </row>
    <row r="10" spans="1:9" x14ac:dyDescent="0.25">
      <c r="A10" s="8" t="s">
        <v>763</v>
      </c>
      <c r="B10" s="8">
        <f>B11/B12</f>
        <v>0.30562345796166263</v>
      </c>
    </row>
    <row r="11" spans="1:9" x14ac:dyDescent="0.25">
      <c r="A11" s="8" t="s">
        <v>765</v>
      </c>
      <c r="B11" s="8">
        <f>(1582.7+27.63)*1000000</f>
        <v>1610330000.0000002</v>
      </c>
    </row>
    <row r="12" spans="1:9" x14ac:dyDescent="0.25">
      <c r="A12" s="8" t="s">
        <v>782</v>
      </c>
      <c r="B12" s="8">
        <f>4786000000+483000000</f>
        <v>5269000000</v>
      </c>
    </row>
    <row r="14" spans="1:9" x14ac:dyDescent="0.25">
      <c r="A14" s="2" t="s">
        <v>879</v>
      </c>
    </row>
    <row r="15" spans="1:9" x14ac:dyDescent="0.25">
      <c r="A15" s="483" t="s">
        <v>882</v>
      </c>
      <c r="B15" s="483">
        <f>H22</f>
        <v>-0.65266666666666662</v>
      </c>
      <c r="C15" s="483" t="s">
        <v>891</v>
      </c>
    </row>
    <row r="16" spans="1:9" x14ac:dyDescent="0.25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25">
      <c r="A17" s="483" t="s">
        <v>881</v>
      </c>
      <c r="B17" s="483">
        <f>B24/1000</f>
        <v>0.56000000000000005</v>
      </c>
      <c r="C17" s="483" t="s">
        <v>892</v>
      </c>
    </row>
    <row r="19" spans="1:12" ht="15.75" thickBot="1" x14ac:dyDescent="0.3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5.75" thickBot="1" x14ac:dyDescent="0.3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25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25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25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25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25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9" t="s">
        <v>791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25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25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25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5.75" thickBot="1" x14ac:dyDescent="0.3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02" t="s">
        <v>58</v>
      </c>
      <c r="C10" s="502"/>
      <c r="D10" s="502"/>
      <c r="E10" s="502"/>
      <c r="F10" s="502"/>
      <c r="G10" s="503"/>
    </row>
    <row r="11" spans="1:7" x14ac:dyDescent="0.25">
      <c r="A11" s="37"/>
      <c r="B11" s="502" t="s">
        <v>65</v>
      </c>
      <c r="C11" s="502"/>
      <c r="D11" s="502"/>
      <c r="E11" s="502"/>
      <c r="F11" s="502"/>
      <c r="G11" s="503"/>
    </row>
    <row r="12" spans="1:7" ht="28.5" customHeight="1" x14ac:dyDescent="0.25">
      <c r="A12" s="38"/>
      <c r="B12" s="504" t="s">
        <v>59</v>
      </c>
      <c r="C12" s="504"/>
      <c r="D12" s="504"/>
      <c r="E12" s="504"/>
      <c r="F12" s="504"/>
      <c r="G12" s="505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498" t="s">
        <v>122</v>
      </c>
      <c r="B42" s="86" t="s">
        <v>121</v>
      </c>
      <c r="C42" s="500">
        <v>1.6</v>
      </c>
      <c r="D42" s="500">
        <v>1</v>
      </c>
      <c r="E42" s="500">
        <v>0.3</v>
      </c>
      <c r="F42" s="500">
        <v>0.3</v>
      </c>
      <c r="G42" s="500">
        <v>0</v>
      </c>
      <c r="H42" s="506">
        <v>5.9</v>
      </c>
      <c r="I42" s="508">
        <v>0</v>
      </c>
      <c r="J42" s="496">
        <v>12.2</v>
      </c>
    </row>
    <row r="43" spans="1:10" x14ac:dyDescent="0.25">
      <c r="A43" s="499"/>
      <c r="B43" s="84">
        <v>3.2</v>
      </c>
      <c r="C43" s="501"/>
      <c r="D43" s="501"/>
      <c r="E43" s="501"/>
      <c r="F43" s="501"/>
      <c r="G43" s="501"/>
      <c r="H43" s="507"/>
      <c r="I43" s="509"/>
      <c r="J43" s="497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2:9" x14ac:dyDescent="0.25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25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25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19" x14ac:dyDescent="0.25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25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25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25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25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25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25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25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25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25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25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25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25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25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25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25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5.75" thickBot="1" x14ac:dyDescent="0.3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25">
      <c r="B19" t="s">
        <v>734</v>
      </c>
      <c r="F19" t="s">
        <v>735</v>
      </c>
    </row>
    <row r="20" spans="1:19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25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25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25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25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25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25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25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25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25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25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25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25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25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25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25">
      <c r="A36" t="s">
        <v>779</v>
      </c>
    </row>
    <row r="37" spans="1:10" x14ac:dyDescent="0.25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25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25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25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25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30" x14ac:dyDescent="0.25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25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25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25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25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25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25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25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25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25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25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25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ht="30" x14ac:dyDescent="0.25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25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25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25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25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25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25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25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25">
      <c r="E62" s="368"/>
    </row>
    <row r="63" spans="1:9" x14ac:dyDescent="0.25">
      <c r="B63" s="338"/>
      <c r="C63" s="338"/>
      <c r="D63" s="338"/>
      <c r="E63" s="338"/>
    </row>
    <row r="64" spans="1:9" x14ac:dyDescent="0.25">
      <c r="B64" s="338"/>
      <c r="C64" s="338"/>
      <c r="D64" s="338"/>
      <c r="E64" s="338"/>
    </row>
    <row r="65" spans="2:5" x14ac:dyDescent="0.25">
      <c r="B65" s="338"/>
      <c r="C65" s="338"/>
      <c r="D65" s="338"/>
      <c r="E65" s="338"/>
    </row>
    <row r="66" spans="2:5" x14ac:dyDescent="0.25">
      <c r="B66" s="338"/>
      <c r="C66" s="338"/>
      <c r="D66" s="338"/>
      <c r="E66" s="338"/>
    </row>
    <row r="67" spans="2:5" x14ac:dyDescent="0.25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25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25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25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25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25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25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25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25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25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25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25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25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25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4" t="s">
        <v>553</v>
      </c>
    </row>
    <row r="21" spans="1:13" x14ac:dyDescent="0.25">
      <c r="A21" s="235" t="s">
        <v>68</v>
      </c>
    </row>
    <row r="22" spans="1:13" x14ac:dyDescent="0.25">
      <c r="A22" s="229" t="s">
        <v>508</v>
      </c>
    </row>
    <row r="23" spans="1:13" x14ac:dyDescent="0.25">
      <c r="A23" s="240" t="s">
        <v>344</v>
      </c>
      <c r="B23" s="240" t="s">
        <v>509</v>
      </c>
    </row>
    <row r="24" spans="1:13" x14ac:dyDescent="0.25">
      <c r="A24" s="231" t="s">
        <v>424</v>
      </c>
    </row>
    <row r="25" spans="1:13" x14ac:dyDescent="0.25">
      <c r="A25" s="3" t="s">
        <v>523</v>
      </c>
    </row>
    <row r="26" spans="1:13" x14ac:dyDescent="0.25">
      <c r="A26" s="256" t="s">
        <v>524</v>
      </c>
    </row>
    <row r="27" spans="1:13" x14ac:dyDescent="0.25">
      <c r="A27" s="215"/>
    </row>
    <row r="28" spans="1:13" ht="15.75" thickBot="1" x14ac:dyDescent="0.3">
      <c r="A28" s="2" t="s">
        <v>434</v>
      </c>
      <c r="I28"/>
    </row>
    <row r="29" spans="1:13" x14ac:dyDescent="0.25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25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25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25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25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25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25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25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5.75" thickBot="1" x14ac:dyDescent="0.3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25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25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5.75" thickBot="1" x14ac:dyDescent="0.3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876</v>
      </c>
      <c r="B42" s="1" t="s">
        <v>875</v>
      </c>
      <c r="J42" s="449" t="s">
        <v>864</v>
      </c>
    </row>
    <row r="43" spans="1:10" ht="15.75" thickBot="1" x14ac:dyDescent="0.3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25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25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25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25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25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25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25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25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25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25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25">
      <c r="A54" s="465" t="s">
        <v>848</v>
      </c>
      <c r="I54" s="453" t="s">
        <v>862</v>
      </c>
      <c r="J54" s="456">
        <v>3.2264792749629999E-4</v>
      </c>
    </row>
    <row r="55" spans="1:10" ht="15.75" thickBot="1" x14ac:dyDescent="0.3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5.75" thickBot="1" x14ac:dyDescent="0.3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874</v>
      </c>
      <c r="B62" s="1" t="s">
        <v>873</v>
      </c>
    </row>
    <row r="63" spans="1:10" ht="15.75" thickBot="1" x14ac:dyDescent="0.3">
      <c r="A63" s="469"/>
      <c r="B63" s="454">
        <v>2019</v>
      </c>
      <c r="C63" s="1" t="s">
        <v>872</v>
      </c>
    </row>
    <row r="64" spans="1:10" x14ac:dyDescent="0.25">
      <c r="A64" s="470" t="s">
        <v>867</v>
      </c>
      <c r="B64" s="467">
        <v>12.32</v>
      </c>
      <c r="C64" s="472">
        <f>1-B65/B64</f>
        <v>0.40827922077922074</v>
      </c>
    </row>
    <row r="65" spans="1:3" x14ac:dyDescent="0.25">
      <c r="A65" s="470" t="s">
        <v>868</v>
      </c>
      <c r="B65" s="467">
        <v>7.29</v>
      </c>
      <c r="C65" s="472"/>
    </row>
    <row r="66" spans="1:3" x14ac:dyDescent="0.25">
      <c r="A66" s="470" t="s">
        <v>869</v>
      </c>
      <c r="B66" s="467">
        <v>13.33</v>
      </c>
      <c r="C66" s="472">
        <f>1-B67/B66</f>
        <v>0.2235558889722431</v>
      </c>
    </row>
    <row r="67" spans="1:3" x14ac:dyDescent="0.25">
      <c r="A67" s="470" t="s">
        <v>870</v>
      </c>
      <c r="B67" s="467">
        <v>10.35</v>
      </c>
      <c r="C67" s="472"/>
    </row>
    <row r="68" spans="1:3" ht="15.75" thickBot="1" x14ac:dyDescent="0.3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25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25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25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25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25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25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25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25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25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25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25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25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25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25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25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7.25" x14ac:dyDescent="0.3">
      <c r="A18" s="217" t="s">
        <v>443</v>
      </c>
    </row>
    <row r="19" spans="1:11" x14ac:dyDescent="0.25">
      <c r="A19" s="218" t="s">
        <v>107</v>
      </c>
      <c r="E19" t="s">
        <v>487</v>
      </c>
      <c r="H19" t="s">
        <v>488</v>
      </c>
    </row>
    <row r="20" spans="1:11" x14ac:dyDescent="0.25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25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25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25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25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25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25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25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25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25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25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25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25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25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25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25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25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25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25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25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25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25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25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25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25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25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25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25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25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25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25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25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25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25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25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25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25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25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25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25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25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25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25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25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315" x14ac:dyDescent="0.25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22" t="s">
        <v>793</v>
      </c>
    </row>
    <row r="3" spans="1:21" x14ac:dyDescent="0.25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25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25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25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5.75" thickBot="1" x14ac:dyDescent="0.3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25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25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x14ac:dyDescent="0.2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25">
      <c r="K12" s="1">
        <v>2.1978</v>
      </c>
      <c r="R12" s="452" t="s">
        <v>857</v>
      </c>
      <c r="S12" s="460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25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25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25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25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7.25" x14ac:dyDescent="0.3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5.75" thickBot="1" x14ac:dyDescent="0.3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6" t="s">
        <v>783</v>
      </c>
      <c r="B1" s="9"/>
    </row>
    <row r="2" spans="1:13" ht="18.75" x14ac:dyDescent="0.3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25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25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25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25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25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25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25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25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25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25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25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25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25">
      <c r="H16" s="207"/>
    </row>
    <row r="18" spans="1:15" x14ac:dyDescent="0.25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25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25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25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25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25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25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25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25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25">
      <c r="A30" t="s">
        <v>814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5.75" thickBot="1" x14ac:dyDescent="0.3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5.75" thickBot="1" x14ac:dyDescent="0.3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5.75" thickBot="1" x14ac:dyDescent="0.3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5.75" thickBot="1" x14ac:dyDescent="0.3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5.75" thickBot="1" x14ac:dyDescent="0.3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5.75" thickBot="1" x14ac:dyDescent="0.3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5.75" thickBot="1" x14ac:dyDescent="0.3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5.75" thickBot="1" x14ac:dyDescent="0.3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5.75" thickBot="1" x14ac:dyDescent="0.3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5.75" thickBot="1" x14ac:dyDescent="0.3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5.75" thickBot="1" x14ac:dyDescent="0.3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5.75" thickBot="1" x14ac:dyDescent="0.3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5.75" thickBot="1" x14ac:dyDescent="0.3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5.75" thickBot="1" x14ac:dyDescent="0.3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5.75" thickBot="1" x14ac:dyDescent="0.3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5.75" thickBot="1" x14ac:dyDescent="0.3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25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25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25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25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25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25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25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25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25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25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25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25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5.75" thickBot="1" x14ac:dyDescent="0.3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5.75" thickBot="1" x14ac:dyDescent="0.3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5.75" thickBot="1" x14ac:dyDescent="0.3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5.75" thickBot="1" x14ac:dyDescent="0.3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5.75" thickBot="1" x14ac:dyDescent="0.3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5.75" thickBot="1" x14ac:dyDescent="0.3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5.75" thickBot="1" x14ac:dyDescent="0.3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5.75" thickBot="1" x14ac:dyDescent="0.3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5.75" thickBot="1" x14ac:dyDescent="0.3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5.75" thickBot="1" x14ac:dyDescent="0.3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5.75" thickBot="1" x14ac:dyDescent="0.3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5.75" thickBot="1" x14ac:dyDescent="0.3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26.25" thickBot="1" x14ac:dyDescent="0.3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5.75" thickBot="1" x14ac:dyDescent="0.3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5.75" thickBot="1" x14ac:dyDescent="0.3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26.25" thickBot="1" x14ac:dyDescent="0.3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5.75" thickBot="1" x14ac:dyDescent="0.3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5.75" thickBot="1" x14ac:dyDescent="0.3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26.25" thickBot="1" x14ac:dyDescent="0.3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5.75" thickBot="1" x14ac:dyDescent="0.3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5.75" thickBot="1" x14ac:dyDescent="0.3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26.25" thickBot="1" x14ac:dyDescent="0.3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5.75" thickBot="1" x14ac:dyDescent="0.3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5.75" thickBot="1" x14ac:dyDescent="0.3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26.25" thickBot="1" x14ac:dyDescent="0.3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5.75" thickBot="1" x14ac:dyDescent="0.3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5.75" thickBot="1" x14ac:dyDescent="0.3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26.25" thickBot="1" x14ac:dyDescent="0.3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5.75" thickBot="1" x14ac:dyDescent="0.3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5.75" thickBot="1" x14ac:dyDescent="0.3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6.25" thickBot="1" x14ac:dyDescent="0.3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5.75" thickBot="1" x14ac:dyDescent="0.3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5.75" thickBot="1" x14ac:dyDescent="0.3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26.25" thickBot="1" x14ac:dyDescent="0.3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5.75" thickBot="1" x14ac:dyDescent="0.3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5.75" thickBot="1" x14ac:dyDescent="0.3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6.25" thickBot="1" x14ac:dyDescent="0.3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5.75" thickBot="1" x14ac:dyDescent="0.3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5.75" thickBot="1" x14ac:dyDescent="0.3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6.25" thickBot="1" x14ac:dyDescent="0.3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5.75" thickBot="1" x14ac:dyDescent="0.3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5.75" thickBot="1" x14ac:dyDescent="0.3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26.25" thickBot="1" x14ac:dyDescent="0.3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5.75" thickBot="1" x14ac:dyDescent="0.3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5.75" thickBot="1" x14ac:dyDescent="0.3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26.25" thickBot="1" x14ac:dyDescent="0.3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5.75" thickBot="1" x14ac:dyDescent="0.3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5.75" thickBot="1" x14ac:dyDescent="0.3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6.25" thickBot="1" x14ac:dyDescent="0.3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5.75" thickBot="1" x14ac:dyDescent="0.3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5.75" thickBot="1" x14ac:dyDescent="0.3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26.25" thickBot="1" x14ac:dyDescent="0.3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5.75" thickBot="1" x14ac:dyDescent="0.3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5.75" thickBot="1" x14ac:dyDescent="0.3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6.25" thickBot="1" x14ac:dyDescent="0.3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5.75" thickBot="1" x14ac:dyDescent="0.3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5.75" thickBot="1" x14ac:dyDescent="0.3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6.25" thickBot="1" x14ac:dyDescent="0.3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5.75" thickBot="1" x14ac:dyDescent="0.3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5.75" thickBot="1" x14ac:dyDescent="0.3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5.75" thickBot="1" x14ac:dyDescent="0.3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5.75" thickBot="1" x14ac:dyDescent="0.3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5.75" thickBot="1" x14ac:dyDescent="0.3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26.25" thickBot="1" x14ac:dyDescent="0.3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5.75" thickBot="1" x14ac:dyDescent="0.3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5.75" thickBot="1" x14ac:dyDescent="0.3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8" t="s">
        <v>401</v>
      </c>
      <c r="B8" s="197"/>
      <c r="C8" s="197"/>
      <c r="D8" s="197"/>
    </row>
    <row r="9" spans="1:4" x14ac:dyDescent="0.25">
      <c r="A9" s="199" t="s">
        <v>371</v>
      </c>
      <c r="B9" s="197"/>
      <c r="C9" s="197"/>
      <c r="D9" s="197"/>
    </row>
    <row r="10" spans="1:4" x14ac:dyDescent="0.25">
      <c r="A10" s="197"/>
      <c r="B10" s="197"/>
      <c r="C10" s="197"/>
      <c r="D10" s="200" t="s">
        <v>57</v>
      </c>
    </row>
    <row r="11" spans="1:4" x14ac:dyDescent="0.25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25">
      <c r="A12" s="197"/>
      <c r="B12" s="197"/>
      <c r="C12" s="200" t="s">
        <v>55</v>
      </c>
      <c r="D12" s="201">
        <v>836738</v>
      </c>
    </row>
    <row r="13" spans="1:4" x14ac:dyDescent="0.25">
      <c r="A13" s="197"/>
      <c r="B13" s="197"/>
      <c r="C13" s="200" t="s">
        <v>54</v>
      </c>
      <c r="D13" s="201">
        <v>1223348</v>
      </c>
    </row>
    <row r="14" spans="1:4" x14ac:dyDescent="0.25">
      <c r="A14" s="197"/>
      <c r="B14" s="197"/>
      <c r="C14" s="200" t="s">
        <v>53</v>
      </c>
      <c r="D14" s="201">
        <v>1320678</v>
      </c>
    </row>
    <row r="15" spans="1:4" x14ac:dyDescent="0.25">
      <c r="A15" s="197"/>
      <c r="B15" s="197"/>
      <c r="C15" s="200" t="s">
        <v>50</v>
      </c>
      <c r="D15" s="201">
        <v>589755</v>
      </c>
    </row>
    <row r="19" spans="1:28" x14ac:dyDescent="0.25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25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25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25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25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25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25">
      <c r="A25" t="s">
        <v>403</v>
      </c>
    </row>
    <row r="28" spans="1:28" x14ac:dyDescent="0.25">
      <c r="A28" s="196" t="s">
        <v>400</v>
      </c>
    </row>
    <row r="29" spans="1:28" ht="17.25" x14ac:dyDescent="0.3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25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25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25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25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25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25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25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25" x14ac:dyDescent="0.25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786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25">
      <c r="A5" s="1"/>
      <c r="B5" s="330"/>
    </row>
    <row r="6" spans="1:14" x14ac:dyDescent="0.25">
      <c r="A6" s="1"/>
      <c r="B6" s="330"/>
    </row>
    <row r="8" spans="1:14" x14ac:dyDescent="0.25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25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25">
      <c r="A10" t="s">
        <v>701</v>
      </c>
    </row>
    <row r="12" spans="1:14" ht="17.25" x14ac:dyDescent="0.3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25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25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25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25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25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25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25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25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25">
      <c r="N21" s="338">
        <f>SUM(N15:N20)</f>
        <v>1356538780.5555556</v>
      </c>
    </row>
    <row r="24" spans="1:14" x14ac:dyDescent="0.25">
      <c r="A24" s="168" t="s">
        <v>689</v>
      </c>
      <c r="B24" t="s">
        <v>785</v>
      </c>
    </row>
    <row r="25" spans="1:14" x14ac:dyDescent="0.25">
      <c r="A25" t="s">
        <v>690</v>
      </c>
      <c r="B25">
        <v>30</v>
      </c>
      <c r="C25" t="s">
        <v>691</v>
      </c>
    </row>
    <row r="26" spans="1:14" x14ac:dyDescent="0.25">
      <c r="A26" t="s">
        <v>692</v>
      </c>
      <c r="B26">
        <v>4.3</v>
      </c>
      <c r="C26" t="s">
        <v>693</v>
      </c>
    </row>
    <row r="27" spans="1:14" x14ac:dyDescent="0.25">
      <c r="A27" t="s">
        <v>692</v>
      </c>
      <c r="B27">
        <f>B26/B25</f>
        <v>0.14333333333333334</v>
      </c>
      <c r="C27" t="s">
        <v>694</v>
      </c>
    </row>
    <row r="28" spans="1:14" x14ac:dyDescent="0.25">
      <c r="A28" t="s">
        <v>695</v>
      </c>
      <c r="B28">
        <f>B27*0.65</f>
        <v>9.3166666666666675E-2</v>
      </c>
      <c r="C28" t="s">
        <v>696</v>
      </c>
    </row>
    <row r="29" spans="1:14" x14ac:dyDescent="0.25">
      <c r="A29" s="168" t="s">
        <v>703</v>
      </c>
    </row>
    <row r="30" spans="1:14" x14ac:dyDescent="0.25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workbookViewId="0">
      <selection activeCell="B2" sqref="B2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25">
      <c r="A2" s="161" t="s">
        <v>715</v>
      </c>
      <c r="B2" s="251" t="e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#REF!</v>
      </c>
      <c r="C2" s="251" t="e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#REF!</v>
      </c>
      <c r="D2" s="251" t="e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#REF!</v>
      </c>
      <c r="G2" s="10"/>
      <c r="H2" s="9"/>
    </row>
    <row r="3" spans="1:14" x14ac:dyDescent="0.25">
      <c r="A3" s="164" t="s">
        <v>330</v>
      </c>
      <c r="B3" s="250" t="e" cm="1">
        <f t="array" aca="1" ref="B3" ca="1">INDIRECT("["&amp;Overblik!$B$7&amp;".xlsx]Adfærd!B14")*$E$3</f>
        <v>#REF!</v>
      </c>
      <c r="C3" s="250" t="e" cm="1">
        <f t="array" aca="1" ref="C3" ca="1">INDIRECT("["&amp;Overblik!$B$7&amp;".xlsx]Adfærd!C14")*$E$3</f>
        <v>#REF!</v>
      </c>
      <c r="D3" s="250" t="e" cm="1">
        <f t="array" aca="1" ref="D3" ca="1">INDIRECT("["&amp;Overblik!$B$7&amp;".xlsx]Adfærd!D14")*$E$3</f>
        <v>#REF!</v>
      </c>
      <c r="E3" s="146">
        <v>63524</v>
      </c>
      <c r="F3" t="s">
        <v>331</v>
      </c>
    </row>
    <row r="4" spans="1:14" ht="15.75" thickBot="1" x14ac:dyDescent="0.3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3">
      <c r="A5" s="165" t="s">
        <v>831</v>
      </c>
      <c r="B5" s="166" t="e">
        <f ca="1">B4-$C$19+B2-B3</f>
        <v>#REF!</v>
      </c>
      <c r="C5" s="166" t="e">
        <f t="shared" ref="C5:D5" ca="1" si="0">C4-$C$19+C2-C3</f>
        <v>#REF!</v>
      </c>
      <c r="D5" s="166" t="e">
        <f t="shared" ca="1" si="0"/>
        <v>#REF!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25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25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25">
      <c r="A8" s="162" t="s">
        <v>828</v>
      </c>
      <c r="B8" s="163" t="e">
        <f ca="1">SUM(B5:B7)+E27+D27+C27</f>
        <v>#REF!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25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25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25">
      <c r="A11" t="s">
        <v>329</v>
      </c>
    </row>
    <row r="12" spans="1:14" x14ac:dyDescent="0.25">
      <c r="A12" s="167"/>
      <c r="K12" s="2"/>
      <c r="L12" s="2"/>
    </row>
    <row r="13" spans="1:14" ht="17.25" x14ac:dyDescent="0.3">
      <c r="A13" s="343" t="s">
        <v>323</v>
      </c>
      <c r="B13" s="342"/>
      <c r="C13" s="342"/>
      <c r="D13" s="342"/>
    </row>
    <row r="14" spans="1:14" x14ac:dyDescent="0.25">
      <c r="A14" s="344" t="s">
        <v>324</v>
      </c>
      <c r="B14" s="342"/>
      <c r="C14" s="342"/>
      <c r="D14" s="342"/>
    </row>
    <row r="15" spans="1:14" x14ac:dyDescent="0.25">
      <c r="A15" s="342"/>
      <c r="B15" s="342"/>
      <c r="C15" s="345" t="s">
        <v>325</v>
      </c>
      <c r="D15" s="345" t="s">
        <v>326</v>
      </c>
    </row>
    <row r="16" spans="1:14" x14ac:dyDescent="0.25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25">
      <c r="A17" s="342"/>
      <c r="B17" s="345" t="s">
        <v>328</v>
      </c>
      <c r="C17" s="346">
        <v>793037</v>
      </c>
      <c r="D17" s="346">
        <v>189772</v>
      </c>
    </row>
    <row r="18" spans="1:5" x14ac:dyDescent="0.25">
      <c r="A18" s="342"/>
      <c r="B18" s="345" t="s">
        <v>713</v>
      </c>
      <c r="C18" s="346">
        <v>5534</v>
      </c>
      <c r="D18" s="346">
        <v>488981</v>
      </c>
    </row>
    <row r="19" spans="1:5" x14ac:dyDescent="0.25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25">
      <c r="A20" s="347"/>
      <c r="B20" s="350" t="s">
        <v>866</v>
      </c>
      <c r="C20" s="351">
        <v>0</v>
      </c>
      <c r="D20" s="351">
        <v>224372</v>
      </c>
    </row>
    <row r="21" spans="1:5" x14ac:dyDescent="0.25">
      <c r="E21">
        <f>SUM(C17:D19)</f>
        <v>1830464</v>
      </c>
    </row>
    <row r="22" spans="1:5" ht="17.25" x14ac:dyDescent="0.3">
      <c r="A22" s="348" t="s">
        <v>323</v>
      </c>
      <c r="B22" s="347"/>
      <c r="C22" s="347"/>
      <c r="D22" s="347"/>
    </row>
    <row r="23" spans="1:5" x14ac:dyDescent="0.25">
      <c r="A23" s="349" t="s">
        <v>324</v>
      </c>
      <c r="B23" s="347"/>
      <c r="C23" s="347"/>
      <c r="D23" s="347"/>
    </row>
    <row r="24" spans="1:5" x14ac:dyDescent="0.25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25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25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25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25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25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25">
      <c r="A3" s="404" t="s">
        <v>13</v>
      </c>
      <c r="B3" s="402">
        <v>51.25</v>
      </c>
      <c r="C3" s="403">
        <v>0.28000000000000003</v>
      </c>
    </row>
    <row r="4" spans="1:10" x14ac:dyDescent="0.25">
      <c r="A4" s="404" t="s">
        <v>500</v>
      </c>
      <c r="B4" s="427">
        <v>12</v>
      </c>
      <c r="C4" s="438">
        <v>0.05</v>
      </c>
    </row>
    <row r="5" spans="1:10" x14ac:dyDescent="0.25">
      <c r="A5" s="404" t="s">
        <v>501</v>
      </c>
      <c r="B5" s="427">
        <v>14.1</v>
      </c>
      <c r="C5" s="438">
        <v>7.5999999999999998E-2</v>
      </c>
    </row>
    <row r="6" spans="1:10" x14ac:dyDescent="0.25">
      <c r="A6" s="404" t="s">
        <v>502</v>
      </c>
      <c r="B6" s="427">
        <v>13.1</v>
      </c>
      <c r="C6" s="438">
        <v>6.3E-2</v>
      </c>
    </row>
    <row r="7" spans="1:10" x14ac:dyDescent="0.25">
      <c r="A7" s="404" t="s">
        <v>39</v>
      </c>
      <c r="B7" s="427">
        <v>60</v>
      </c>
      <c r="C7" s="438">
        <v>0.3</v>
      </c>
    </row>
    <row r="8" spans="1:10" x14ac:dyDescent="0.25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25">
      <c r="A9" s="404" t="s">
        <v>42</v>
      </c>
      <c r="B9" s="402">
        <v>75.599999999999994</v>
      </c>
      <c r="C9" s="403">
        <v>0.2</v>
      </c>
    </row>
    <row r="10" spans="1:10" x14ac:dyDescent="0.25">
      <c r="A10" s="404" t="s">
        <v>322</v>
      </c>
      <c r="B10" s="402">
        <v>94.9</v>
      </c>
      <c r="C10" s="403">
        <v>0.28000000000000003</v>
      </c>
    </row>
    <row r="11" spans="1:10" x14ac:dyDescent="0.25">
      <c r="A11" s="404" t="s">
        <v>41</v>
      </c>
      <c r="B11" s="402">
        <v>120.7</v>
      </c>
      <c r="C11" s="403">
        <v>0.42</v>
      </c>
      <c r="F11" s="162"/>
    </row>
    <row r="12" spans="1:10" x14ac:dyDescent="0.25">
      <c r="A12" s="404" t="s">
        <v>311</v>
      </c>
      <c r="B12" s="427">
        <v>25</v>
      </c>
      <c r="C12" s="438">
        <v>0.15</v>
      </c>
    </row>
    <row r="13" spans="1:10" x14ac:dyDescent="0.25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25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25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25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25">
      <c r="A17" s="404" t="s">
        <v>521</v>
      </c>
      <c r="B17" s="427">
        <v>423.36</v>
      </c>
      <c r="C17" s="438">
        <v>0.9</v>
      </c>
    </row>
    <row r="18" spans="1:12" x14ac:dyDescent="0.25">
      <c r="A18" s="404" t="s">
        <v>504</v>
      </c>
      <c r="B18" s="427">
        <v>13.9</v>
      </c>
      <c r="C18" s="438">
        <v>0.06</v>
      </c>
    </row>
    <row r="19" spans="1:12" x14ac:dyDescent="0.25">
      <c r="D19" s="174"/>
    </row>
    <row r="20" spans="1:12" x14ac:dyDescent="0.25">
      <c r="A20" s="146"/>
      <c r="B20" s="174"/>
      <c r="C20" s="174"/>
      <c r="D20" s="174"/>
    </row>
    <row r="21" spans="1:12" x14ac:dyDescent="0.25">
      <c r="A21" s="146"/>
      <c r="B21" s="174"/>
      <c r="C21" s="174"/>
      <c r="D21" s="174"/>
      <c r="H21" s="150"/>
      <c r="I21" s="162"/>
      <c r="J21" s="162"/>
    </row>
    <row r="22" spans="1:12" x14ac:dyDescent="0.25">
      <c r="A22" s="146"/>
      <c r="B22" s="174"/>
      <c r="C22" s="174"/>
      <c r="D22" s="174"/>
    </row>
    <row r="23" spans="1:12" x14ac:dyDescent="0.25">
      <c r="A23" s="146"/>
      <c r="B23" s="174"/>
      <c r="C23" s="174"/>
      <c r="D23" s="174"/>
    </row>
    <row r="24" spans="1:12" x14ac:dyDescent="0.25">
      <c r="A24" s="146"/>
      <c r="B24" s="174"/>
      <c r="C24" s="174"/>
      <c r="D24" s="174"/>
    </row>
    <row r="25" spans="1:12" x14ac:dyDescent="0.25">
      <c r="A25" s="146"/>
      <c r="B25" s="174"/>
      <c r="C25" s="174"/>
      <c r="D25" s="174"/>
      <c r="K25" s="446"/>
      <c r="L25" s="446"/>
    </row>
    <row r="26" spans="1:12" x14ac:dyDescent="0.25">
      <c r="A26" s="146"/>
      <c r="B26" s="174"/>
      <c r="C26" s="174"/>
      <c r="D26" s="174"/>
      <c r="I26" s="162"/>
      <c r="J26" s="162"/>
      <c r="K26" s="446"/>
      <c r="L26" s="446"/>
    </row>
    <row r="27" spans="1:12" x14ac:dyDescent="0.25">
      <c r="A27" s="146"/>
      <c r="B27" s="174"/>
      <c r="C27" s="174"/>
      <c r="D27" s="174"/>
    </row>
    <row r="28" spans="1:12" x14ac:dyDescent="0.25">
      <c r="A28" s="146"/>
      <c r="B28" s="174"/>
      <c r="C28" s="174"/>
      <c r="D28" s="174"/>
    </row>
    <row r="29" spans="1:12" x14ac:dyDescent="0.25">
      <c r="A29" s="146"/>
      <c r="B29" s="174"/>
      <c r="C29" s="174"/>
      <c r="D29" s="174"/>
    </row>
    <row r="30" spans="1:12" x14ac:dyDescent="0.25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5" x14ac:dyDescent="0.25"/>
  <cols>
    <col min="1" max="1" width="22.42578125" customWidth="1"/>
    <col min="2" max="2" width="23.28515625" customWidth="1"/>
    <col min="3" max="4" width="12" bestFit="1" customWidth="1"/>
    <col min="8" max="8" width="13.28515625" bestFit="1" customWidth="1"/>
    <col min="10" max="10" width="12" bestFit="1" customWidth="1"/>
  </cols>
  <sheetData>
    <row r="1" spans="1:10" x14ac:dyDescent="0.25">
      <c r="A1" s="269"/>
      <c r="B1" s="269" t="s">
        <v>315</v>
      </c>
      <c r="C1" s="269" t="s">
        <v>816</v>
      </c>
      <c r="D1" s="269"/>
    </row>
    <row r="2" spans="1:10" x14ac:dyDescent="0.25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25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25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25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25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25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25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25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25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25">
      <c r="A13" s="269"/>
      <c r="B13" s="269" t="s">
        <v>707</v>
      </c>
      <c r="C13" s="269" t="s">
        <v>708</v>
      </c>
      <c r="D13" s="269" t="s">
        <v>817</v>
      </c>
    </row>
    <row r="14" spans="1:10" x14ac:dyDescent="0.25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25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25">
      <c r="A16" s="269" t="s">
        <v>710</v>
      </c>
      <c r="B16" s="269">
        <v>205000</v>
      </c>
      <c r="C16" s="269">
        <v>1.988</v>
      </c>
      <c r="D16" s="269"/>
    </row>
    <row r="17" spans="1:8" x14ac:dyDescent="0.25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25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25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25">
      <c r="H20" s="338"/>
    </row>
    <row r="21" spans="1:8" x14ac:dyDescent="0.25">
      <c r="A21" s="269" t="s">
        <v>819</v>
      </c>
      <c r="B21" s="269" t="s">
        <v>725</v>
      </c>
      <c r="C21" s="269" t="s">
        <v>726</v>
      </c>
      <c r="D21" s="269"/>
    </row>
    <row r="22" spans="1:8" x14ac:dyDescent="0.25">
      <c r="A22" s="269" t="s">
        <v>818</v>
      </c>
      <c r="B22" s="269">
        <v>633738</v>
      </c>
      <c r="C22" s="269"/>
      <c r="D22" s="269"/>
    </row>
    <row r="23" spans="1:8" x14ac:dyDescent="0.25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25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25">
      <c r="A26" s="269"/>
      <c r="B26" s="269" t="s">
        <v>730</v>
      </c>
      <c r="C26" s="269" t="s">
        <v>726</v>
      </c>
      <c r="D26" s="269"/>
      <c r="E26" s="269"/>
    </row>
    <row r="27" spans="1:8" x14ac:dyDescent="0.25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25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25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25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25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25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25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25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25">
      <c r="A9" s="326" t="s">
        <v>37</v>
      </c>
      <c r="B9">
        <f>IFERROR(VLOOKUP(A9,Biogasudbytte!$A$2:$C$18,3,FALSE),VLOOKUP(A9,$I$2:$J$8,2,FALSE))</f>
        <v>0.85</v>
      </c>
    </row>
    <row r="10" spans="1:11" x14ac:dyDescent="0.25">
      <c r="A10" s="327" t="s">
        <v>529</v>
      </c>
      <c r="B10">
        <f>IFERROR(VLOOKUP(A10,Biogasudbytte!$A$2:$C$18,3,FALSE),VLOOKUP(A10,$I$2:$J$8,2,FALSE))</f>
        <v>0.3</v>
      </c>
    </row>
    <row r="11" spans="1:11" x14ac:dyDescent="0.25">
      <c r="A11" s="326" t="s">
        <v>41</v>
      </c>
      <c r="B11">
        <f>IFERROR(VLOOKUP(A11,Biogasudbytte!$A$2:$C$18,3,FALSE),VLOOKUP(A11,$I$2:$J$8,2,FALSE))</f>
        <v>0.42</v>
      </c>
    </row>
    <row r="12" spans="1:11" x14ac:dyDescent="0.25">
      <c r="A12" s="327" t="s">
        <v>188</v>
      </c>
      <c r="B12">
        <f>IFERROR(VLOOKUP(A12,Biogasudbytte!$A$2:$C$18,3,FALSE),VLOOKUP(A12,$I$2:$J$8,2,FALSE))</f>
        <v>0.25</v>
      </c>
    </row>
    <row r="13" spans="1:11" x14ac:dyDescent="0.25">
      <c r="A13" s="326" t="s">
        <v>11</v>
      </c>
      <c r="B13">
        <f>IFERROR(VLOOKUP(A13,Biogasudbytte!$A$2:$C$18,3,FALSE),VLOOKUP(A13,$I$2:$J$8,2,FALSE))</f>
        <v>0.31</v>
      </c>
    </row>
    <row r="14" spans="1:11" x14ac:dyDescent="0.25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25">
      <c r="A15" s="326" t="s">
        <v>15</v>
      </c>
      <c r="B15">
        <f>IFERROR(VLOOKUP(A15,Biogasudbytte!$A$2:$C$18,3,FALSE),VLOOKUP(A15,$I$2:$J$8,2,FALSE))</f>
        <v>0.3</v>
      </c>
    </row>
    <row r="16" spans="1:11" x14ac:dyDescent="0.25">
      <c r="A16" s="327" t="s">
        <v>311</v>
      </c>
      <c r="B16">
        <f>IFERROR(VLOOKUP(A16,Biogasudbytte!$A$2:$C$18,3,FALSE),VLOOKUP(A16,$I$2:$J$8,2,FALSE))</f>
        <v>0.15</v>
      </c>
    </row>
    <row r="17" spans="1:2" x14ac:dyDescent="0.25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25">
      <c r="A18" s="327" t="s">
        <v>177</v>
      </c>
      <c r="B18">
        <f>IFERROR(VLOOKUP(A18,Biogasudbytte!$A$2:$C$18,3,FALSE),VLOOKUP(A18,$I$2:$J$8,2,FALSE))</f>
        <v>0.91</v>
      </c>
    </row>
    <row r="19" spans="1:2" x14ac:dyDescent="0.25">
      <c r="A19" s="327" t="s">
        <v>722</v>
      </c>
      <c r="B19">
        <f>IFERROR(VLOOKUP(A19,Biogasudbytte!$A$2:$C$18,3,FALSE),VLOOKUP(A19,$I$2:$J$8,2,FALSE))</f>
        <v>0.91</v>
      </c>
    </row>
    <row r="20" spans="1:2" x14ac:dyDescent="0.25">
      <c r="A20" s="327" t="s">
        <v>723</v>
      </c>
      <c r="B20">
        <f>IFERROR(VLOOKUP(A20,Biogasudbytte!$A$2:$C$18,3,FALSE),VLOOKUP(A20,$I$2:$J$8,2,FALSE))</f>
        <v>0.91</v>
      </c>
    </row>
    <row r="21" spans="1:2" x14ac:dyDescent="0.25">
      <c r="A21" s="326" t="s">
        <v>42</v>
      </c>
      <c r="B21">
        <f>IFERROR(VLOOKUP(A21,Biogasudbytte!$A$2:$C$18,3,FALSE),VLOOKUP(A21,$I$2:$J$8,2,FALSE))</f>
        <v>0.2</v>
      </c>
    </row>
    <row r="22" spans="1:2" x14ac:dyDescent="0.25">
      <c r="A22" s="326" t="s">
        <v>504</v>
      </c>
      <c r="B22">
        <f>IFERROR(VLOOKUP(A22,Biogasudbytte!$A$2:$C$18,3,FALSE),VLOOKUP(A22,$I$2:$J$8,2,FALSE))</f>
        <v>0.06</v>
      </c>
    </row>
    <row r="23" spans="1:2" x14ac:dyDescent="0.25">
      <c r="A23" s="327" t="s">
        <v>500</v>
      </c>
      <c r="B23">
        <f>IFERROR(VLOOKUP(A23,Biogasudbytte!$A$2:$C$18,3,FALSE),VLOOKUP(A23,$I$2:$J$8,2,FALSE))</f>
        <v>0.05</v>
      </c>
    </row>
    <row r="24" spans="1:2" x14ac:dyDescent="0.25">
      <c r="A24" s="326" t="s">
        <v>310</v>
      </c>
      <c r="B24">
        <f>IFERROR(VLOOKUP(A24,Biogasudbytte!$A$2:$C$18,3,FALSE),VLOOKUP(A24,$I$2:$J$8,2,FALSE))</f>
        <v>0.15</v>
      </c>
    </row>
    <row r="25" spans="1:2" x14ac:dyDescent="0.25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2020-09-21T06:50:03Z</dcterms:created>
  <dcterms:modified xsi:type="dcterms:W3CDTF">2021-09-08T08:19:45Z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684780299663543</vt:r8>
  </property>
</Properties>
</file>