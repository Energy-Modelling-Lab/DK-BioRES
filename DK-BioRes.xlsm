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95AB516A-5798-46A2-ACDF-43B36BFC44A5}" xr6:coauthVersionLast="47" xr6:coauthVersionMax="47" xr10:uidLastSave="{00000000-0000-0000-0000-000000000000}"/>
  <bookViews>
    <workbookView xWindow="-120" yWindow="-120" windowWidth="29040" windowHeight="1572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  <sheet name="kcal" sheetId="39" r:id="rId20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L461" i="20" l="1"/>
  <c r="L459" i="20"/>
  <c r="O5" i="37" l="1"/>
  <c r="O6" i="37"/>
  <c r="O4" i="37"/>
  <c r="N6" i="37"/>
  <c r="N5" i="37"/>
  <c r="N4" i="37"/>
  <c r="G4" i="37"/>
  <c r="G3" i="37"/>
  <c r="D5" i="37"/>
  <c r="E5" i="37"/>
  <c r="D3" i="37"/>
  <c r="B5" i="37"/>
  <c r="J9" i="20"/>
  <c r="I9" i="20"/>
  <c r="D27" i="34"/>
  <c r="E27" i="34"/>
  <c r="F27" i="34"/>
  <c r="G27" i="34"/>
  <c r="C27" i="34"/>
  <c r="I13" i="19"/>
  <c r="E13" i="19"/>
  <c r="F13" i="19"/>
  <c r="G13" i="19"/>
  <c r="H13" i="19"/>
  <c r="D13" i="19"/>
  <c r="C4" i="21" l="1"/>
  <c r="C8" i="21"/>
  <c r="C3" i="21"/>
  <c r="M10" i="24"/>
  <c r="J140" i="20" s="1"/>
  <c r="M9" i="24"/>
  <c r="I132" i="20" s="1"/>
  <c r="M8" i="24"/>
  <c r="J124" i="20" s="1"/>
  <c r="M7" i="24"/>
  <c r="I116" i="20" s="1"/>
  <c r="M6" i="24"/>
  <c r="M5" i="24"/>
  <c r="I101" i="20" s="1"/>
  <c r="B5" i="32"/>
  <c r="C5" i="32" s="1"/>
  <c r="C49" i="39"/>
  <c r="C48" i="39"/>
  <c r="C47" i="39"/>
  <c r="C46" i="39"/>
  <c r="C45" i="39"/>
  <c r="C44" i="39"/>
  <c r="C43" i="39"/>
  <c r="C42" i="39"/>
  <c r="C41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L24" i="39"/>
  <c r="C24" i="39"/>
  <c r="L23" i="39"/>
  <c r="C23" i="39"/>
  <c r="L22" i="39"/>
  <c r="C22" i="39"/>
  <c r="L21" i="39"/>
  <c r="K21" i="39"/>
  <c r="J21" i="39"/>
  <c r="C21" i="39"/>
  <c r="L20" i="39"/>
  <c r="K20" i="39"/>
  <c r="J20" i="39"/>
  <c r="C20" i="39"/>
  <c r="L19" i="39"/>
  <c r="C19" i="39"/>
  <c r="L18" i="39"/>
  <c r="C18" i="39"/>
  <c r="L17" i="39"/>
  <c r="K17" i="39"/>
  <c r="J17" i="39"/>
  <c r="C17" i="39"/>
  <c r="L16" i="39"/>
  <c r="C16" i="39"/>
  <c r="L15" i="39"/>
  <c r="C15" i="39"/>
  <c r="L14" i="39"/>
  <c r="C14" i="39"/>
  <c r="L13" i="39"/>
  <c r="K13" i="39"/>
  <c r="J13" i="39"/>
  <c r="C13" i="39"/>
  <c r="L12" i="39"/>
  <c r="K12" i="39"/>
  <c r="J12" i="39"/>
  <c r="C12" i="39"/>
  <c r="L11" i="39"/>
  <c r="K11" i="39"/>
  <c r="J11" i="39"/>
  <c r="C11" i="39"/>
  <c r="L10" i="39"/>
  <c r="C10" i="39"/>
  <c r="L9" i="39"/>
  <c r="C9" i="39"/>
  <c r="L8" i="39"/>
  <c r="C8" i="39"/>
  <c r="L7" i="39"/>
  <c r="C7" i="39"/>
  <c r="L6" i="39"/>
  <c r="C6" i="39"/>
  <c r="L5" i="39"/>
  <c r="C5" i="39"/>
  <c r="L4" i="39"/>
  <c r="K4" i="39"/>
  <c r="J4" i="39"/>
  <c r="C4" i="39"/>
  <c r="C3" i="39"/>
  <c r="C2" i="39"/>
  <c r="B25" i="36"/>
  <c r="B24" i="36"/>
  <c r="B23" i="36"/>
  <c r="B22" i="36"/>
  <c r="B21" i="36"/>
  <c r="B20" i="36"/>
  <c r="B19" i="36"/>
  <c r="B17" i="36"/>
  <c r="B16" i="36"/>
  <c r="B15" i="36"/>
  <c r="B14" i="36"/>
  <c r="B13" i="36"/>
  <c r="B12" i="36"/>
  <c r="B11" i="36"/>
  <c r="B10" i="36"/>
  <c r="J8" i="36"/>
  <c r="B9" i="36"/>
  <c r="B8" i="36"/>
  <c r="B7" i="36"/>
  <c r="B5" i="36"/>
  <c r="J4" i="36"/>
  <c r="B18" i="36" s="1"/>
  <c r="B3" i="36"/>
  <c r="B2" i="36"/>
  <c r="E27" i="33"/>
  <c r="D27" i="33"/>
  <c r="B27" i="33"/>
  <c r="B23" i="33"/>
  <c r="B24" i="33" s="1"/>
  <c r="D24" i="33" s="1"/>
  <c r="C7" i="33" s="1"/>
  <c r="C19" i="33"/>
  <c r="C18" i="33"/>
  <c r="B17" i="33"/>
  <c r="B19" i="33" s="1"/>
  <c r="D19" i="33" s="1"/>
  <c r="C5" i="33" s="1"/>
  <c r="C10" i="33"/>
  <c r="C9" i="33"/>
  <c r="C8" i="33"/>
  <c r="C6" i="33"/>
  <c r="C4" i="33"/>
  <c r="C3" i="33"/>
  <c r="C2" i="33"/>
  <c r="C16" i="22"/>
  <c r="B4" i="36" s="1"/>
  <c r="B16" i="22"/>
  <c r="E20" i="18"/>
  <c r="D6" i="18"/>
  <c r="C6" i="18"/>
  <c r="B6" i="18"/>
  <c r="D5" i="18"/>
  <c r="C5" i="18"/>
  <c r="B5" i="18"/>
  <c r="D3" i="18"/>
  <c r="C3" i="18"/>
  <c r="B3" i="18"/>
  <c r="D1" i="18"/>
  <c r="C1" i="18"/>
  <c r="B1" i="18"/>
  <c r="B30" i="8"/>
  <c r="B28" i="8"/>
  <c r="B27" i="8"/>
  <c r="N21" i="8"/>
  <c r="N20" i="8"/>
  <c r="N19" i="8"/>
  <c r="N18" i="8"/>
  <c r="N17" i="8"/>
  <c r="N16" i="8"/>
  <c r="N15" i="8"/>
  <c r="G9" i="8"/>
  <c r="B9" i="8"/>
  <c r="D4" i="8" s="1"/>
  <c r="B8" i="8"/>
  <c r="D3" i="8"/>
  <c r="C3" i="8"/>
  <c r="B3" i="8"/>
  <c r="F24" i="7"/>
  <c r="E24" i="7"/>
  <c r="D24" i="7"/>
  <c r="C24" i="7"/>
  <c r="B24" i="7"/>
  <c r="F23" i="7"/>
  <c r="E23" i="7"/>
  <c r="D23" i="7"/>
  <c r="C23" i="7"/>
  <c r="B23" i="7"/>
  <c r="F22" i="7"/>
  <c r="E22" i="7"/>
  <c r="D22" i="7"/>
  <c r="C22" i="7"/>
  <c r="B22" i="7"/>
  <c r="F21" i="7"/>
  <c r="E21" i="7"/>
  <c r="D21" i="7"/>
  <c r="C21" i="7"/>
  <c r="B21" i="7"/>
  <c r="F20" i="7"/>
  <c r="E20" i="7"/>
  <c r="D20" i="7"/>
  <c r="C20" i="7"/>
  <c r="B20" i="7"/>
  <c r="D6" i="7"/>
  <c r="C6" i="7"/>
  <c r="B6" i="7"/>
  <c r="D5" i="7"/>
  <c r="C5" i="7"/>
  <c r="B5" i="7"/>
  <c r="D4" i="7"/>
  <c r="C4" i="7"/>
  <c r="B4" i="7"/>
  <c r="D3" i="7"/>
  <c r="C3" i="7"/>
  <c r="B3" i="7"/>
  <c r="I11" i="19"/>
  <c r="H11" i="19"/>
  <c r="G11" i="19"/>
  <c r="F11" i="19"/>
  <c r="E11" i="19"/>
  <c r="D11" i="19"/>
  <c r="I10" i="19"/>
  <c r="H10" i="19"/>
  <c r="G10" i="19"/>
  <c r="F10" i="19"/>
  <c r="E10" i="19"/>
  <c r="D10" i="19"/>
  <c r="I9" i="19"/>
  <c r="H9" i="19"/>
  <c r="G9" i="19"/>
  <c r="F9" i="19"/>
  <c r="E9" i="19"/>
  <c r="D9" i="19"/>
  <c r="I8" i="19"/>
  <c r="H8" i="19"/>
  <c r="G8" i="19"/>
  <c r="F8" i="19"/>
  <c r="E8" i="19"/>
  <c r="D8" i="19"/>
  <c r="I7" i="19"/>
  <c r="H7" i="19"/>
  <c r="G7" i="19"/>
  <c r="F7" i="19"/>
  <c r="E7" i="19"/>
  <c r="D7" i="19"/>
  <c r="I6" i="19"/>
  <c r="H6" i="19"/>
  <c r="G6" i="19"/>
  <c r="F6" i="19"/>
  <c r="E6" i="19"/>
  <c r="D6" i="19"/>
  <c r="I5" i="19"/>
  <c r="H5" i="19"/>
  <c r="G5" i="19"/>
  <c r="F5" i="19"/>
  <c r="E5" i="19"/>
  <c r="D5" i="19"/>
  <c r="I4" i="19"/>
  <c r="H4" i="19"/>
  <c r="G4" i="19"/>
  <c r="F4" i="19"/>
  <c r="E4" i="19"/>
  <c r="D4" i="19"/>
  <c r="I2" i="19"/>
  <c r="H2" i="19"/>
  <c r="G2" i="19"/>
  <c r="F2" i="19"/>
  <c r="E2" i="19"/>
  <c r="D2" i="19"/>
  <c r="G28" i="34"/>
  <c r="F28" i="34"/>
  <c r="E28" i="34"/>
  <c r="C28" i="34"/>
  <c r="O26" i="34"/>
  <c r="N26" i="34"/>
  <c r="M26" i="34"/>
  <c r="L26" i="34"/>
  <c r="K26" i="34"/>
  <c r="G26" i="34"/>
  <c r="F26" i="34"/>
  <c r="O25" i="34"/>
  <c r="N25" i="34"/>
  <c r="M25" i="34"/>
  <c r="L25" i="34"/>
  <c r="K25" i="34"/>
  <c r="O24" i="34"/>
  <c r="N24" i="34"/>
  <c r="M24" i="34"/>
  <c r="L24" i="34"/>
  <c r="K24" i="34"/>
  <c r="G24" i="34"/>
  <c r="F24" i="34"/>
  <c r="E24" i="34"/>
  <c r="E26" i="34" s="1"/>
  <c r="D24" i="34"/>
  <c r="C24" i="34"/>
  <c r="C26" i="34" s="1"/>
  <c r="O23" i="34"/>
  <c r="N23" i="34"/>
  <c r="M23" i="34"/>
  <c r="L23" i="34"/>
  <c r="K23" i="34"/>
  <c r="O22" i="34"/>
  <c r="N22" i="34"/>
  <c r="M22" i="34"/>
  <c r="L22" i="34"/>
  <c r="K22" i="34"/>
  <c r="G22" i="34"/>
  <c r="F22" i="34"/>
  <c r="E22" i="34"/>
  <c r="E20" i="34" s="1"/>
  <c r="D22" i="34"/>
  <c r="C22" i="34"/>
  <c r="O21" i="34"/>
  <c r="N21" i="34"/>
  <c r="M21" i="34"/>
  <c r="L21" i="34"/>
  <c r="K21" i="34"/>
  <c r="G20" i="34"/>
  <c r="F20" i="34"/>
  <c r="C20" i="34"/>
  <c r="G5" i="34"/>
  <c r="Q24" i="24"/>
  <c r="O24" i="24"/>
  <c r="M24" i="24"/>
  <c r="Q23" i="24"/>
  <c r="P23" i="24"/>
  <c r="O23" i="24"/>
  <c r="N23" i="24"/>
  <c r="M23" i="24"/>
  <c r="Q22" i="24"/>
  <c r="P22" i="24"/>
  <c r="O22" i="24"/>
  <c r="N22" i="24"/>
  <c r="M22" i="24"/>
  <c r="Q21" i="24"/>
  <c r="P21" i="24"/>
  <c r="O21" i="24"/>
  <c r="N21" i="24"/>
  <c r="M21" i="24"/>
  <c r="Q20" i="24"/>
  <c r="P20" i="24"/>
  <c r="O20" i="24"/>
  <c r="N20" i="24"/>
  <c r="M20" i="24"/>
  <c r="E17" i="24"/>
  <c r="D17" i="24"/>
  <c r="C17" i="24"/>
  <c r="E16" i="24"/>
  <c r="D16" i="24"/>
  <c r="C16" i="24"/>
  <c r="M15" i="24"/>
  <c r="H15" i="24"/>
  <c r="E15" i="24"/>
  <c r="D15" i="24"/>
  <c r="C15" i="24"/>
  <c r="I14" i="24"/>
  <c r="H14" i="24"/>
  <c r="E14" i="24"/>
  <c r="D14" i="24"/>
  <c r="C14" i="24"/>
  <c r="U13" i="24"/>
  <c r="H13" i="24"/>
  <c r="N10" i="24"/>
  <c r="L10" i="24"/>
  <c r="K10" i="24"/>
  <c r="I10" i="24"/>
  <c r="H10" i="24"/>
  <c r="G10" i="24"/>
  <c r="F10" i="24"/>
  <c r="E10" i="24"/>
  <c r="C10" i="24"/>
  <c r="N9" i="24"/>
  <c r="L9" i="24"/>
  <c r="K9" i="24"/>
  <c r="J9" i="24"/>
  <c r="I9" i="24"/>
  <c r="H9" i="24"/>
  <c r="G9" i="24"/>
  <c r="F9" i="24"/>
  <c r="E9" i="24"/>
  <c r="C9" i="24"/>
  <c r="U8" i="24"/>
  <c r="N8" i="24"/>
  <c r="L8" i="24"/>
  <c r="K8" i="24"/>
  <c r="I8" i="24"/>
  <c r="H8" i="24"/>
  <c r="G8" i="24"/>
  <c r="F8" i="24"/>
  <c r="D8" i="24"/>
  <c r="C8" i="24"/>
  <c r="N7" i="24"/>
  <c r="L7" i="24"/>
  <c r="K7" i="24"/>
  <c r="J7" i="24"/>
  <c r="I7" i="24"/>
  <c r="H7" i="24"/>
  <c r="G7" i="24"/>
  <c r="F7" i="24"/>
  <c r="D7" i="24"/>
  <c r="C7" i="24"/>
  <c r="N6" i="24"/>
  <c r="L6" i="24"/>
  <c r="K6" i="24"/>
  <c r="I6" i="24"/>
  <c r="H6" i="24"/>
  <c r="G6" i="24"/>
  <c r="F6" i="24"/>
  <c r="C6" i="24"/>
  <c r="N5" i="24"/>
  <c r="L5" i="24"/>
  <c r="K5" i="24"/>
  <c r="J5" i="24"/>
  <c r="I5" i="24"/>
  <c r="H5" i="24"/>
  <c r="G5" i="24"/>
  <c r="F5" i="24"/>
  <c r="C5" i="24"/>
  <c r="K63" i="32"/>
  <c r="G63" i="32"/>
  <c r="K62" i="32"/>
  <c r="G62" i="32"/>
  <c r="K61" i="32"/>
  <c r="G61" i="32"/>
  <c r="K60" i="32"/>
  <c r="G60" i="32"/>
  <c r="K59" i="32"/>
  <c r="G59" i="32"/>
  <c r="K58" i="32"/>
  <c r="G58" i="32"/>
  <c r="K57" i="32"/>
  <c r="G57" i="32"/>
  <c r="K56" i="32"/>
  <c r="G56" i="32"/>
  <c r="K55" i="32"/>
  <c r="G55" i="32"/>
  <c r="K54" i="32"/>
  <c r="G54" i="32"/>
  <c r="K53" i="32"/>
  <c r="G53" i="32"/>
  <c r="K52" i="32"/>
  <c r="G52" i="32"/>
  <c r="K51" i="32"/>
  <c r="G51" i="32"/>
  <c r="K50" i="32"/>
  <c r="G50" i="32"/>
  <c r="K49" i="32"/>
  <c r="G49" i="32"/>
  <c r="K48" i="32"/>
  <c r="G48" i="32"/>
  <c r="K47" i="32"/>
  <c r="G47" i="32"/>
  <c r="K46" i="32"/>
  <c r="G46" i="32"/>
  <c r="K45" i="32"/>
  <c r="G45" i="32"/>
  <c r="K44" i="32"/>
  <c r="G44" i="32"/>
  <c r="K43" i="32"/>
  <c r="G43" i="32"/>
  <c r="K42" i="32"/>
  <c r="G42" i="32"/>
  <c r="K41" i="32"/>
  <c r="G41" i="32"/>
  <c r="K40" i="32"/>
  <c r="G40" i="32"/>
  <c r="K39" i="32"/>
  <c r="G39" i="32"/>
  <c r="K38" i="32"/>
  <c r="G38" i="32"/>
  <c r="K37" i="32"/>
  <c r="G37" i="32"/>
  <c r="K36" i="32"/>
  <c r="G36" i="32"/>
  <c r="K35" i="32"/>
  <c r="G35" i="32"/>
  <c r="K34" i="32"/>
  <c r="G34" i="32"/>
  <c r="K33" i="32"/>
  <c r="G33" i="32"/>
  <c r="K32" i="32"/>
  <c r="G32" i="32"/>
  <c r="K31" i="32"/>
  <c r="G31" i="32"/>
  <c r="K30" i="32"/>
  <c r="G30" i="32"/>
  <c r="K29" i="32"/>
  <c r="G29" i="32"/>
  <c r="K28" i="32"/>
  <c r="G28" i="32"/>
  <c r="K27" i="32"/>
  <c r="G27" i="32"/>
  <c r="K26" i="32"/>
  <c r="G26" i="32"/>
  <c r="K25" i="32"/>
  <c r="G25" i="32"/>
  <c r="K24" i="32"/>
  <c r="G24" i="32"/>
  <c r="K23" i="32"/>
  <c r="G23" i="32"/>
  <c r="K22" i="32"/>
  <c r="G22" i="32"/>
  <c r="K21" i="32"/>
  <c r="G21" i="32"/>
  <c r="E16" i="32"/>
  <c r="D16" i="32"/>
  <c r="C16" i="32"/>
  <c r="B16" i="32"/>
  <c r="E15" i="32"/>
  <c r="D15" i="32"/>
  <c r="C15" i="32"/>
  <c r="B15" i="32"/>
  <c r="B14" i="32"/>
  <c r="C14" i="32" s="1"/>
  <c r="E13" i="32"/>
  <c r="D13" i="32"/>
  <c r="C13" i="32"/>
  <c r="B13" i="32"/>
  <c r="E12" i="32"/>
  <c r="D12" i="32"/>
  <c r="C12" i="32"/>
  <c r="B12" i="32"/>
  <c r="E11" i="32"/>
  <c r="D11" i="32"/>
  <c r="C11" i="32"/>
  <c r="B11" i="32"/>
  <c r="E10" i="32"/>
  <c r="D10" i="32"/>
  <c r="C10" i="32"/>
  <c r="R9" i="32"/>
  <c r="Q9" i="32"/>
  <c r="E9" i="32"/>
  <c r="D9" i="32"/>
  <c r="C9" i="32"/>
  <c r="R8" i="32"/>
  <c r="Q8" i="32"/>
  <c r="E8" i="32"/>
  <c r="D8" i="32"/>
  <c r="C8" i="32"/>
  <c r="B8" i="32"/>
  <c r="R7" i="32"/>
  <c r="Q7" i="32"/>
  <c r="E7" i="32"/>
  <c r="D7" i="32"/>
  <c r="C7" i="32"/>
  <c r="B7" i="32"/>
  <c r="R6" i="32"/>
  <c r="Q6" i="32"/>
  <c r="E6" i="32"/>
  <c r="D6" i="32"/>
  <c r="C6" i="32"/>
  <c r="B6" i="32"/>
  <c r="R5" i="32"/>
  <c r="Q5" i="32"/>
  <c r="J5" i="32"/>
  <c r="E5" i="32"/>
  <c r="D5" i="32"/>
  <c r="R4" i="32"/>
  <c r="Q4" i="32"/>
  <c r="J4" i="32"/>
  <c r="E4" i="32"/>
  <c r="D4" i="32"/>
  <c r="C4" i="32"/>
  <c r="R3" i="32"/>
  <c r="Q3" i="32"/>
  <c r="J3" i="32"/>
  <c r="E3" i="32"/>
  <c r="D3" i="32"/>
  <c r="C3" i="32"/>
  <c r="B3" i="32"/>
  <c r="E2" i="32"/>
  <c r="D2" i="32"/>
  <c r="C2" i="32"/>
  <c r="B2" i="32"/>
  <c r="C66" i="9"/>
  <c r="C64" i="9"/>
  <c r="J57" i="9"/>
  <c r="B56" i="9"/>
  <c r="D52" i="9"/>
  <c r="D51" i="9"/>
  <c r="D50" i="9"/>
  <c r="D49" i="9"/>
  <c r="D47" i="9"/>
  <c r="G45" i="9"/>
  <c r="D45" i="9"/>
  <c r="D43" i="9"/>
  <c r="H40" i="9"/>
  <c r="G40" i="9"/>
  <c r="F40" i="9"/>
  <c r="E40" i="9"/>
  <c r="D40" i="9"/>
  <c r="C40" i="9"/>
  <c r="H39" i="9"/>
  <c r="G39" i="9"/>
  <c r="F39" i="9"/>
  <c r="E39" i="9"/>
  <c r="D39" i="9"/>
  <c r="C39" i="9"/>
  <c r="H38" i="9"/>
  <c r="G38" i="9"/>
  <c r="F38" i="9"/>
  <c r="E38" i="9"/>
  <c r="D38" i="9"/>
  <c r="C38" i="9"/>
  <c r="H37" i="9"/>
  <c r="G37" i="9"/>
  <c r="H33" i="9"/>
  <c r="G33" i="9"/>
  <c r="H29" i="9"/>
  <c r="G29" i="9"/>
  <c r="F29" i="9"/>
  <c r="E29" i="9"/>
  <c r="D29" i="9"/>
  <c r="C29" i="9"/>
  <c r="H18" i="9"/>
  <c r="K17" i="9"/>
  <c r="H17" i="9"/>
  <c r="B17" i="9"/>
  <c r="H16" i="9"/>
  <c r="H15" i="9"/>
  <c r="B15" i="9"/>
  <c r="I14" i="9"/>
  <c r="H14" i="9"/>
  <c r="G14" i="9"/>
  <c r="B14" i="9"/>
  <c r="J13" i="9"/>
  <c r="H13" i="9"/>
  <c r="H12" i="9"/>
  <c r="H11" i="9"/>
  <c r="B11" i="9"/>
  <c r="K10" i="9"/>
  <c r="H10" i="9"/>
  <c r="B10" i="9"/>
  <c r="M9" i="9"/>
  <c r="H9" i="9"/>
  <c r="H8" i="9"/>
  <c r="H7" i="9"/>
  <c r="C7" i="9"/>
  <c r="K6" i="9"/>
  <c r="H6" i="9"/>
  <c r="H5" i="9"/>
  <c r="C5" i="9"/>
  <c r="A5" i="9" a="1"/>
  <c r="K4" i="9"/>
  <c r="K16" i="9" s="1"/>
  <c r="L3" i="9"/>
  <c r="L4" i="9" s="1"/>
  <c r="L6" i="9" s="1"/>
  <c r="K3" i="9"/>
  <c r="J3" i="9"/>
  <c r="J4" i="9" s="1"/>
  <c r="I3" i="9"/>
  <c r="I4" i="9" s="1"/>
  <c r="H3" i="9"/>
  <c r="H4" i="9" s="1"/>
  <c r="G3" i="9"/>
  <c r="G4" i="9" s="1"/>
  <c r="H61" i="38"/>
  <c r="G61" i="38"/>
  <c r="F61" i="38"/>
  <c r="E61" i="38"/>
  <c r="D61" i="38"/>
  <c r="C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G38" i="38"/>
  <c r="F37" i="38"/>
  <c r="E37" i="38"/>
  <c r="D37" i="38"/>
  <c r="C37" i="38"/>
  <c r="H34" i="38"/>
  <c r="G34" i="38"/>
  <c r="F34" i="38"/>
  <c r="E34" i="38"/>
  <c r="D34" i="38"/>
  <c r="C34" i="38"/>
  <c r="B34" i="38"/>
  <c r="H33" i="38"/>
  <c r="G33" i="38"/>
  <c r="F33" i="38"/>
  <c r="E33" i="38"/>
  <c r="D33" i="38"/>
  <c r="C33" i="38"/>
  <c r="B33" i="38"/>
  <c r="H32" i="38"/>
  <c r="G32" i="38"/>
  <c r="F32" i="38"/>
  <c r="E32" i="38"/>
  <c r="D32" i="38"/>
  <c r="C32" i="38"/>
  <c r="B32" i="38"/>
  <c r="H31" i="38"/>
  <c r="G31" i="38"/>
  <c r="F31" i="38"/>
  <c r="E31" i="38"/>
  <c r="D31" i="38"/>
  <c r="C31" i="38"/>
  <c r="B31" i="38"/>
  <c r="H30" i="38"/>
  <c r="G30" i="38"/>
  <c r="F30" i="38"/>
  <c r="E30" i="38"/>
  <c r="D30" i="38"/>
  <c r="C30" i="38"/>
  <c r="B30" i="38"/>
  <c r="H29" i="38"/>
  <c r="G29" i="38"/>
  <c r="F29" i="38"/>
  <c r="E29" i="38"/>
  <c r="D29" i="38"/>
  <c r="C29" i="38"/>
  <c r="B29" i="38"/>
  <c r="H28" i="38"/>
  <c r="G28" i="38"/>
  <c r="F28" i="38"/>
  <c r="E28" i="38"/>
  <c r="D28" i="38"/>
  <c r="C28" i="38"/>
  <c r="B28" i="38"/>
  <c r="H27" i="38"/>
  <c r="G27" i="38"/>
  <c r="F27" i="38"/>
  <c r="E27" i="38"/>
  <c r="D27" i="38"/>
  <c r="C27" i="38"/>
  <c r="B27" i="38"/>
  <c r="H26" i="38"/>
  <c r="G26" i="38"/>
  <c r="F26" i="38"/>
  <c r="E26" i="38"/>
  <c r="D26" i="38"/>
  <c r="C26" i="38"/>
  <c r="B26" i="38"/>
  <c r="H25" i="38"/>
  <c r="G25" i="38"/>
  <c r="F25" i="38"/>
  <c r="E25" i="38"/>
  <c r="D25" i="38"/>
  <c r="C25" i="38"/>
  <c r="B25" i="38"/>
  <c r="H24" i="38"/>
  <c r="G24" i="38"/>
  <c r="F24" i="38"/>
  <c r="E24" i="38"/>
  <c r="D24" i="38"/>
  <c r="C24" i="38"/>
  <c r="B24" i="38"/>
  <c r="H23" i="38"/>
  <c r="G23" i="38"/>
  <c r="F23" i="38"/>
  <c r="E23" i="38"/>
  <c r="D23" i="38"/>
  <c r="C23" i="38"/>
  <c r="B23" i="38"/>
  <c r="H22" i="38"/>
  <c r="G22" i="38"/>
  <c r="F22" i="38"/>
  <c r="E22" i="38"/>
  <c r="D22" i="38"/>
  <c r="C22" i="38"/>
  <c r="B22" i="38"/>
  <c r="H21" i="38"/>
  <c r="G21" i="38"/>
  <c r="F21" i="38"/>
  <c r="E21" i="38"/>
  <c r="D21" i="38"/>
  <c r="C21" i="38"/>
  <c r="B21" i="38"/>
  <c r="H20" i="38"/>
  <c r="G20" i="38"/>
  <c r="F20" i="38"/>
  <c r="D20" i="38"/>
  <c r="C20" i="38"/>
  <c r="B20" i="38"/>
  <c r="N17" i="38"/>
  <c r="K17" i="38"/>
  <c r="M17" i="38" s="1"/>
  <c r="V17" i="38" s="1"/>
  <c r="D17" i="38"/>
  <c r="C17" i="38"/>
  <c r="B17" i="38"/>
  <c r="E17" i="38" s="1"/>
  <c r="U16" i="38"/>
  <c r="L16" i="38"/>
  <c r="K16" i="38"/>
  <c r="E16" i="38"/>
  <c r="D16" i="38"/>
  <c r="C16" i="38"/>
  <c r="B16" i="38"/>
  <c r="N15" i="38"/>
  <c r="K15" i="38"/>
  <c r="M15" i="38" s="1"/>
  <c r="B15" i="38"/>
  <c r="T14" i="38"/>
  <c r="M14" i="38"/>
  <c r="K14" i="38"/>
  <c r="E14" i="38"/>
  <c r="D14" i="38"/>
  <c r="C14" i="38"/>
  <c r="B14" i="38"/>
  <c r="V13" i="38"/>
  <c r="N13" i="38"/>
  <c r="K13" i="38"/>
  <c r="M13" i="38" s="1"/>
  <c r="D13" i="38"/>
  <c r="C13" i="38"/>
  <c r="B13" i="38"/>
  <c r="E13" i="38" s="1"/>
  <c r="K12" i="38"/>
  <c r="E12" i="38"/>
  <c r="D12" i="38"/>
  <c r="C12" i="38"/>
  <c r="B12" i="38"/>
  <c r="N11" i="38"/>
  <c r="K11" i="38"/>
  <c r="M11" i="38" s="1"/>
  <c r="B11" i="38"/>
  <c r="T10" i="38"/>
  <c r="K10" i="38"/>
  <c r="E10" i="38"/>
  <c r="D10" i="38"/>
  <c r="C10" i="38"/>
  <c r="B10" i="38"/>
  <c r="N9" i="38"/>
  <c r="M9" i="38"/>
  <c r="K9" i="38"/>
  <c r="L9" i="38" s="1"/>
  <c r="C9" i="38"/>
  <c r="B9" i="38"/>
  <c r="E9" i="38" s="1"/>
  <c r="K8" i="38"/>
  <c r="E8" i="38"/>
  <c r="D8" i="38"/>
  <c r="C8" i="38"/>
  <c r="B8" i="38"/>
  <c r="N7" i="38"/>
  <c r="K7" i="38"/>
  <c r="M7" i="38" s="1"/>
  <c r="B7" i="38"/>
  <c r="T6" i="38"/>
  <c r="K6" i="38"/>
  <c r="E6" i="38"/>
  <c r="D6" i="38"/>
  <c r="C6" i="38"/>
  <c r="B6" i="38"/>
  <c r="N5" i="38"/>
  <c r="M5" i="38"/>
  <c r="K5" i="38"/>
  <c r="L5" i="38" s="1"/>
  <c r="C5" i="38"/>
  <c r="U5" i="38" s="1"/>
  <c r="B5" i="38"/>
  <c r="E5" i="38" s="1"/>
  <c r="K4" i="38"/>
  <c r="E4" i="38"/>
  <c r="D4" i="38"/>
  <c r="C4" i="38"/>
  <c r="B4" i="38"/>
  <c r="AA3" i="38"/>
  <c r="Z3" i="38"/>
  <c r="Y3" i="38"/>
  <c r="W3" i="38"/>
  <c r="V3" i="38"/>
  <c r="U3" i="38"/>
  <c r="R3" i="38"/>
  <c r="Q3" i="38"/>
  <c r="P3" i="38"/>
  <c r="N3" i="38"/>
  <c r="M3" i="38"/>
  <c r="L3" i="38"/>
  <c r="I3" i="38"/>
  <c r="H3" i="38"/>
  <c r="G3" i="38"/>
  <c r="E3" i="38"/>
  <c r="D3" i="38"/>
  <c r="C3" i="38"/>
  <c r="P19" i="28"/>
  <c r="O19" i="28"/>
  <c r="N19" i="28"/>
  <c r="M19" i="28"/>
  <c r="L19" i="28"/>
  <c r="D16" i="28"/>
  <c r="I15" i="28"/>
  <c r="H15" i="28"/>
  <c r="G15" i="28"/>
  <c r="F15" i="28"/>
  <c r="E15" i="28"/>
  <c r="D15" i="28"/>
  <c r="I14" i="28"/>
  <c r="H14" i="28"/>
  <c r="G14" i="28"/>
  <c r="F14" i="28"/>
  <c r="E14" i="28"/>
  <c r="I13" i="28"/>
  <c r="H13" i="28"/>
  <c r="G13" i="28"/>
  <c r="F13" i="28"/>
  <c r="E13" i="28"/>
  <c r="D13" i="28"/>
  <c r="I12" i="28"/>
  <c r="H12" i="28"/>
  <c r="G12" i="28"/>
  <c r="F12" i="28"/>
  <c r="E12" i="28"/>
  <c r="D12" i="28"/>
  <c r="I11" i="28"/>
  <c r="H11" i="28"/>
  <c r="G11" i="28"/>
  <c r="F11" i="28"/>
  <c r="E11" i="28"/>
  <c r="D11" i="28"/>
  <c r="I10" i="28"/>
  <c r="H10" i="28"/>
  <c r="G10" i="28"/>
  <c r="F10" i="28"/>
  <c r="E10" i="28"/>
  <c r="D10" i="28"/>
  <c r="I9" i="28"/>
  <c r="H9" i="28"/>
  <c r="G9" i="28"/>
  <c r="F9" i="28"/>
  <c r="E9" i="28"/>
  <c r="D9" i="28"/>
  <c r="I8" i="28"/>
  <c r="H8" i="28"/>
  <c r="G8" i="28"/>
  <c r="F8" i="28"/>
  <c r="E8" i="28"/>
  <c r="D8" i="28"/>
  <c r="I7" i="28"/>
  <c r="H7" i="28"/>
  <c r="G7" i="28"/>
  <c r="F7" i="28"/>
  <c r="E7" i="28"/>
  <c r="D7" i="28"/>
  <c r="I6" i="28"/>
  <c r="H6" i="28"/>
  <c r="G6" i="28"/>
  <c r="F6" i="28"/>
  <c r="E6" i="28"/>
  <c r="D6" i="28"/>
  <c r="I5" i="28"/>
  <c r="H5" i="28"/>
  <c r="G5" i="28"/>
  <c r="F5" i="28"/>
  <c r="E5" i="28"/>
  <c r="D5" i="28"/>
  <c r="I4" i="28"/>
  <c r="H4" i="28"/>
  <c r="G4" i="28"/>
  <c r="F4" i="28"/>
  <c r="E4" i="28"/>
  <c r="D4" i="28"/>
  <c r="I3" i="28"/>
  <c r="H3" i="28"/>
  <c r="G3" i="28"/>
  <c r="F3" i="28"/>
  <c r="E3" i="28"/>
  <c r="D3" i="28"/>
  <c r="I2" i="28"/>
  <c r="H2" i="28"/>
  <c r="G2" i="28"/>
  <c r="F2" i="28"/>
  <c r="E2" i="28"/>
  <c r="D2" i="28"/>
  <c r="A16" i="21"/>
  <c r="A15" i="21"/>
  <c r="B8" i="21"/>
  <c r="B7" i="21"/>
  <c r="C7" i="21" s="1"/>
  <c r="C6" i="21"/>
  <c r="B6" i="21"/>
  <c r="C5" i="21" s="1"/>
  <c r="B5" i="21"/>
  <c r="B4" i="21"/>
  <c r="B3" i="21"/>
  <c r="L52" i="26"/>
  <c r="K52" i="26"/>
  <c r="L51" i="26"/>
  <c r="K51" i="26"/>
  <c r="L50" i="26"/>
  <c r="K50" i="26"/>
  <c r="L49" i="26"/>
  <c r="K49" i="26"/>
  <c r="L48" i="26"/>
  <c r="K48" i="26"/>
  <c r="L47" i="26"/>
  <c r="K47" i="26"/>
  <c r="L46" i="26"/>
  <c r="K46" i="26"/>
  <c r="L45" i="26"/>
  <c r="K45" i="26"/>
  <c r="L44" i="26"/>
  <c r="K44" i="26"/>
  <c r="L43" i="26"/>
  <c r="K43" i="26"/>
  <c r="L42" i="26"/>
  <c r="K42" i="26"/>
  <c r="L41" i="26"/>
  <c r="K41" i="26"/>
  <c r="L40" i="26"/>
  <c r="K40" i="26"/>
  <c r="L39" i="26"/>
  <c r="K39" i="26"/>
  <c r="L38" i="26"/>
  <c r="K38" i="26"/>
  <c r="L37" i="26"/>
  <c r="K37" i="26"/>
  <c r="L36" i="26"/>
  <c r="K36" i="26"/>
  <c r="L35" i="26"/>
  <c r="K35" i="26"/>
  <c r="L34" i="26"/>
  <c r="K34" i="26"/>
  <c r="L33" i="26"/>
  <c r="K33" i="26"/>
  <c r="L32" i="26"/>
  <c r="K32" i="26"/>
  <c r="L31" i="26"/>
  <c r="K31" i="26"/>
  <c r="L30" i="26"/>
  <c r="K30" i="26"/>
  <c r="L29" i="26"/>
  <c r="K29" i="26"/>
  <c r="L28" i="26"/>
  <c r="K28" i="26"/>
  <c r="C22" i="26"/>
  <c r="E22" i="26" s="1"/>
  <c r="B22" i="26"/>
  <c r="C21" i="26"/>
  <c r="B21" i="26"/>
  <c r="E20" i="26"/>
  <c r="C20" i="26"/>
  <c r="D20" i="26" s="1"/>
  <c r="B20" i="26"/>
  <c r="C19" i="26"/>
  <c r="B19" i="26"/>
  <c r="C18" i="26"/>
  <c r="B18" i="26"/>
  <c r="E17" i="26"/>
  <c r="C17" i="26"/>
  <c r="D17" i="26" s="1"/>
  <c r="B17" i="26"/>
  <c r="C16" i="26"/>
  <c r="E16" i="26" s="1"/>
  <c r="B16" i="26"/>
  <c r="C15" i="26"/>
  <c r="B15" i="26"/>
  <c r="C11" i="26"/>
  <c r="A11" i="26"/>
  <c r="A10" i="26"/>
  <c r="A9" i="26"/>
  <c r="A8" i="26"/>
  <c r="A7" i="26"/>
  <c r="I24" i="37"/>
  <c r="D24" i="37"/>
  <c r="I23" i="37"/>
  <c r="D23" i="37"/>
  <c r="I22" i="37"/>
  <c r="H22" i="37"/>
  <c r="D22" i="37"/>
  <c r="D21" i="37"/>
  <c r="B17" i="37"/>
  <c r="B16" i="37"/>
  <c r="B15" i="37"/>
  <c r="B12" i="37"/>
  <c r="B11" i="37"/>
  <c r="B10" i="37"/>
  <c r="E6" i="37"/>
  <c r="D6" i="37"/>
  <c r="C6" i="37"/>
  <c r="I5" i="37"/>
  <c r="E4" i="37"/>
  <c r="D4" i="37"/>
  <c r="E3" i="37"/>
  <c r="J497" i="20"/>
  <c r="H497" i="20"/>
  <c r="I497" i="20" s="1"/>
  <c r="G497" i="20"/>
  <c r="E497" i="20"/>
  <c r="H496" i="20"/>
  <c r="I496" i="20" s="1"/>
  <c r="J496" i="20" s="1"/>
  <c r="G496" i="20"/>
  <c r="E496" i="20"/>
  <c r="H495" i="20"/>
  <c r="I495" i="20" s="1"/>
  <c r="J495" i="20" s="1"/>
  <c r="G495" i="20"/>
  <c r="E495" i="20"/>
  <c r="I494" i="20"/>
  <c r="J494" i="20" s="1"/>
  <c r="G494" i="20"/>
  <c r="E494" i="20"/>
  <c r="I493" i="20"/>
  <c r="J493" i="20" s="1"/>
  <c r="G493" i="20"/>
  <c r="E493" i="20"/>
  <c r="I492" i="20"/>
  <c r="J492" i="20" s="1"/>
  <c r="H492" i="20"/>
  <c r="G492" i="20"/>
  <c r="E492" i="20"/>
  <c r="H491" i="20"/>
  <c r="I491" i="20" s="1"/>
  <c r="J491" i="20" s="1"/>
  <c r="G491" i="20"/>
  <c r="E491" i="20"/>
  <c r="H490" i="20"/>
  <c r="I490" i="20" s="1"/>
  <c r="J490" i="20" s="1"/>
  <c r="G490" i="20"/>
  <c r="E490" i="20"/>
  <c r="J489" i="20"/>
  <c r="I489" i="20"/>
  <c r="H489" i="20"/>
  <c r="G489" i="20"/>
  <c r="E489" i="20"/>
  <c r="J488" i="20"/>
  <c r="I488" i="20"/>
  <c r="H488" i="20"/>
  <c r="G488" i="20"/>
  <c r="E488" i="20"/>
  <c r="J487" i="20"/>
  <c r="I487" i="20"/>
  <c r="H487" i="20"/>
  <c r="G487" i="20"/>
  <c r="E487" i="20"/>
  <c r="G486" i="20"/>
  <c r="E486" i="20"/>
  <c r="G485" i="20"/>
  <c r="E485" i="20"/>
  <c r="G484" i="20"/>
  <c r="E484" i="20"/>
  <c r="J483" i="20"/>
  <c r="I483" i="20"/>
  <c r="H483" i="20"/>
  <c r="G483" i="20"/>
  <c r="E483" i="20"/>
  <c r="J482" i="20"/>
  <c r="I482" i="20"/>
  <c r="H482" i="20"/>
  <c r="G482" i="20"/>
  <c r="E482" i="20"/>
  <c r="J481" i="20"/>
  <c r="I481" i="20"/>
  <c r="H481" i="20"/>
  <c r="G481" i="20"/>
  <c r="E481" i="20"/>
  <c r="I480" i="20"/>
  <c r="J480" i="20" s="1"/>
  <c r="G480" i="20"/>
  <c r="E480" i="20"/>
  <c r="I479" i="20"/>
  <c r="J479" i="20" s="1"/>
  <c r="H479" i="20"/>
  <c r="G479" i="20"/>
  <c r="E479" i="20"/>
  <c r="I478" i="20"/>
  <c r="J478" i="20" s="1"/>
  <c r="G478" i="20"/>
  <c r="E478" i="20"/>
  <c r="J477" i="20"/>
  <c r="I477" i="20"/>
  <c r="H477" i="20"/>
  <c r="G477" i="20"/>
  <c r="E477" i="20"/>
  <c r="I476" i="20"/>
  <c r="H476" i="20"/>
  <c r="G476" i="20"/>
  <c r="E476" i="20"/>
  <c r="I475" i="20"/>
  <c r="H475" i="20"/>
  <c r="G475" i="20"/>
  <c r="E475" i="20"/>
  <c r="J474" i="20"/>
  <c r="I474" i="20"/>
  <c r="H474" i="20"/>
  <c r="G474" i="20"/>
  <c r="E474" i="20"/>
  <c r="J473" i="20"/>
  <c r="I473" i="20"/>
  <c r="H473" i="20"/>
  <c r="G473" i="20"/>
  <c r="E473" i="20"/>
  <c r="J472" i="20"/>
  <c r="I472" i="20"/>
  <c r="H472" i="20"/>
  <c r="G472" i="20"/>
  <c r="E472" i="20"/>
  <c r="J471" i="20"/>
  <c r="I471" i="20"/>
  <c r="H471" i="20"/>
  <c r="G471" i="20"/>
  <c r="E471" i="20"/>
  <c r="J470" i="20"/>
  <c r="I470" i="20"/>
  <c r="H470" i="20"/>
  <c r="G470" i="20"/>
  <c r="E470" i="20"/>
  <c r="J469" i="20"/>
  <c r="I469" i="20"/>
  <c r="H469" i="20"/>
  <c r="G469" i="20"/>
  <c r="E469" i="20"/>
  <c r="J468" i="20"/>
  <c r="I468" i="20"/>
  <c r="H468" i="20"/>
  <c r="G468" i="20"/>
  <c r="E468" i="20"/>
  <c r="J467" i="20"/>
  <c r="I467" i="20"/>
  <c r="H467" i="20"/>
  <c r="G467" i="20"/>
  <c r="E467" i="20"/>
  <c r="J466" i="20"/>
  <c r="I466" i="20"/>
  <c r="H466" i="20"/>
  <c r="G466" i="20"/>
  <c r="E466" i="20"/>
  <c r="J465" i="20"/>
  <c r="I465" i="20"/>
  <c r="H465" i="20"/>
  <c r="G465" i="20"/>
  <c r="E465" i="20"/>
  <c r="J464" i="20"/>
  <c r="I464" i="20"/>
  <c r="H464" i="20"/>
  <c r="G464" i="20"/>
  <c r="E464" i="20"/>
  <c r="J463" i="20"/>
  <c r="I463" i="20"/>
  <c r="H463" i="20"/>
  <c r="G463" i="20"/>
  <c r="E463" i="20"/>
  <c r="J462" i="20"/>
  <c r="I462" i="20"/>
  <c r="H462" i="20"/>
  <c r="G462" i="20"/>
  <c r="E462" i="20"/>
  <c r="G461" i="20"/>
  <c r="E461" i="20"/>
  <c r="J460" i="20"/>
  <c r="I460" i="20"/>
  <c r="H460" i="20"/>
  <c r="G460" i="20"/>
  <c r="E460" i="20"/>
  <c r="G459" i="20"/>
  <c r="E459" i="20"/>
  <c r="J458" i="20"/>
  <c r="I458" i="20"/>
  <c r="H458" i="20"/>
  <c r="G458" i="20"/>
  <c r="E458" i="20"/>
  <c r="J457" i="20"/>
  <c r="I457" i="20"/>
  <c r="H457" i="20"/>
  <c r="G457" i="20"/>
  <c r="E457" i="20"/>
  <c r="J456" i="20"/>
  <c r="I456" i="20"/>
  <c r="H456" i="20"/>
  <c r="G456" i="20"/>
  <c r="E456" i="20"/>
  <c r="J455" i="20"/>
  <c r="I455" i="20"/>
  <c r="H455" i="20"/>
  <c r="G455" i="20"/>
  <c r="E455" i="20"/>
  <c r="J454" i="20"/>
  <c r="I454" i="20"/>
  <c r="H454" i="20"/>
  <c r="G454" i="20"/>
  <c r="E454" i="20"/>
  <c r="J453" i="20"/>
  <c r="I453" i="20"/>
  <c r="H453" i="20"/>
  <c r="G453" i="20"/>
  <c r="E453" i="20"/>
  <c r="H452" i="20"/>
  <c r="G452" i="20"/>
  <c r="E452" i="20"/>
  <c r="J451" i="20"/>
  <c r="I451" i="20"/>
  <c r="H451" i="20"/>
  <c r="G451" i="20"/>
  <c r="E451" i="20"/>
  <c r="J450" i="20"/>
  <c r="I450" i="20"/>
  <c r="H450" i="20"/>
  <c r="G450" i="20"/>
  <c r="E450" i="20"/>
  <c r="J449" i="20"/>
  <c r="I449" i="20"/>
  <c r="H449" i="20"/>
  <c r="G449" i="20"/>
  <c r="E449" i="20"/>
  <c r="J448" i="20"/>
  <c r="I448" i="20"/>
  <c r="H448" i="20"/>
  <c r="G448" i="20"/>
  <c r="E448" i="20"/>
  <c r="J447" i="20"/>
  <c r="I447" i="20"/>
  <c r="H447" i="20"/>
  <c r="G447" i="20"/>
  <c r="E447" i="20"/>
  <c r="J446" i="20"/>
  <c r="I446" i="20"/>
  <c r="H446" i="20"/>
  <c r="G446" i="20"/>
  <c r="E446" i="20"/>
  <c r="J445" i="20"/>
  <c r="I445" i="20"/>
  <c r="H445" i="20"/>
  <c r="G445" i="20"/>
  <c r="E445" i="20"/>
  <c r="J444" i="20"/>
  <c r="I444" i="20"/>
  <c r="H444" i="20"/>
  <c r="G444" i="20"/>
  <c r="E444" i="20"/>
  <c r="G443" i="20"/>
  <c r="E443" i="20"/>
  <c r="J442" i="20"/>
  <c r="I442" i="20"/>
  <c r="H442" i="20"/>
  <c r="G442" i="20"/>
  <c r="E442" i="20"/>
  <c r="J441" i="20"/>
  <c r="I441" i="20"/>
  <c r="H441" i="20"/>
  <c r="G441" i="20"/>
  <c r="E441" i="20"/>
  <c r="J440" i="20"/>
  <c r="I440" i="20"/>
  <c r="H440" i="20"/>
  <c r="G440" i="20"/>
  <c r="E440" i="20"/>
  <c r="J439" i="20"/>
  <c r="I439" i="20"/>
  <c r="H439" i="20"/>
  <c r="G439" i="20"/>
  <c r="E439" i="20"/>
  <c r="J438" i="20"/>
  <c r="I438" i="20"/>
  <c r="H438" i="20"/>
  <c r="G438" i="20"/>
  <c r="E438" i="20"/>
  <c r="J437" i="20"/>
  <c r="I437" i="20"/>
  <c r="H437" i="20"/>
  <c r="G437" i="20"/>
  <c r="E437" i="20"/>
  <c r="J436" i="20"/>
  <c r="I436" i="20"/>
  <c r="H436" i="20"/>
  <c r="G436" i="20"/>
  <c r="E436" i="20"/>
  <c r="J435" i="20"/>
  <c r="I435" i="20"/>
  <c r="H435" i="20"/>
  <c r="G435" i="20"/>
  <c r="E435" i="20"/>
  <c r="J434" i="20"/>
  <c r="I434" i="20"/>
  <c r="H434" i="20"/>
  <c r="G434" i="20"/>
  <c r="E434" i="20"/>
  <c r="J433" i="20"/>
  <c r="I433" i="20"/>
  <c r="H433" i="20"/>
  <c r="G433" i="20"/>
  <c r="E433" i="20"/>
  <c r="J432" i="20"/>
  <c r="I432" i="20"/>
  <c r="H432" i="20"/>
  <c r="G432" i="20"/>
  <c r="E432" i="20"/>
  <c r="J431" i="20"/>
  <c r="I431" i="20"/>
  <c r="H431" i="20"/>
  <c r="G431" i="20"/>
  <c r="E431" i="20"/>
  <c r="J430" i="20"/>
  <c r="I430" i="20"/>
  <c r="H430" i="20"/>
  <c r="G430" i="20"/>
  <c r="E430" i="20"/>
  <c r="J429" i="20"/>
  <c r="I429" i="20"/>
  <c r="H429" i="20"/>
  <c r="H426" i="20" s="1"/>
  <c r="G429" i="20"/>
  <c r="E429" i="20"/>
  <c r="J428" i="20"/>
  <c r="I428" i="20"/>
  <c r="H428" i="20"/>
  <c r="G428" i="20"/>
  <c r="E428" i="20"/>
  <c r="J427" i="20"/>
  <c r="I427" i="20"/>
  <c r="H427" i="20"/>
  <c r="G427" i="20"/>
  <c r="E427" i="20"/>
  <c r="G426" i="20"/>
  <c r="E426" i="20"/>
  <c r="I425" i="20"/>
  <c r="G425" i="20"/>
  <c r="E425" i="20"/>
  <c r="G424" i="20"/>
  <c r="E424" i="20"/>
  <c r="G423" i="20"/>
  <c r="E423" i="20"/>
  <c r="G422" i="20"/>
  <c r="E422" i="20"/>
  <c r="C422" i="20"/>
  <c r="G421" i="20"/>
  <c r="E421" i="20"/>
  <c r="C421" i="20"/>
  <c r="G420" i="20"/>
  <c r="E420" i="20"/>
  <c r="C420" i="20"/>
  <c r="G419" i="20"/>
  <c r="E419" i="20"/>
  <c r="C419" i="20"/>
  <c r="G418" i="20"/>
  <c r="E418" i="20"/>
  <c r="C418" i="20"/>
  <c r="G417" i="20"/>
  <c r="E417" i="20"/>
  <c r="C417" i="20"/>
  <c r="G416" i="20"/>
  <c r="E416" i="20"/>
  <c r="C416" i="20"/>
  <c r="G415" i="20"/>
  <c r="E415" i="20"/>
  <c r="C415" i="20"/>
  <c r="G414" i="20"/>
  <c r="E414" i="20"/>
  <c r="C414" i="20"/>
  <c r="G413" i="20"/>
  <c r="E413" i="20"/>
  <c r="C413" i="20"/>
  <c r="G412" i="20"/>
  <c r="E412" i="20"/>
  <c r="C412" i="20"/>
  <c r="G411" i="20"/>
  <c r="E411" i="20"/>
  <c r="C411" i="20"/>
  <c r="G410" i="20"/>
  <c r="E410" i="20"/>
  <c r="C410" i="20"/>
  <c r="G409" i="20"/>
  <c r="E409" i="20"/>
  <c r="C409" i="20"/>
  <c r="G408" i="20"/>
  <c r="E408" i="20"/>
  <c r="C408" i="20"/>
  <c r="G407" i="20"/>
  <c r="E407" i="20"/>
  <c r="C407" i="20"/>
  <c r="G406" i="20"/>
  <c r="E406" i="20"/>
  <c r="C406" i="20"/>
  <c r="G405" i="20"/>
  <c r="E405" i="20"/>
  <c r="C405" i="20"/>
  <c r="G404" i="20"/>
  <c r="E404" i="20"/>
  <c r="C404" i="20"/>
  <c r="G403" i="20"/>
  <c r="E403" i="20"/>
  <c r="C403" i="20"/>
  <c r="G402" i="20"/>
  <c r="E402" i="20"/>
  <c r="C402" i="20"/>
  <c r="G401" i="20"/>
  <c r="E401" i="20"/>
  <c r="C401" i="20"/>
  <c r="G400" i="20"/>
  <c r="E400" i="20"/>
  <c r="C400" i="20"/>
  <c r="G399" i="20"/>
  <c r="E399" i="20"/>
  <c r="C399" i="20"/>
  <c r="G398" i="20"/>
  <c r="E398" i="20"/>
  <c r="C398" i="20"/>
  <c r="G397" i="20"/>
  <c r="E397" i="20"/>
  <c r="C397" i="20"/>
  <c r="G396" i="20"/>
  <c r="E396" i="20"/>
  <c r="C396" i="20"/>
  <c r="G395" i="20"/>
  <c r="E395" i="20"/>
  <c r="C395" i="20"/>
  <c r="G394" i="20"/>
  <c r="E394" i="20"/>
  <c r="C394" i="20"/>
  <c r="G393" i="20"/>
  <c r="E393" i="20"/>
  <c r="C393" i="20"/>
  <c r="G392" i="20"/>
  <c r="E392" i="20"/>
  <c r="C392" i="20"/>
  <c r="G391" i="20"/>
  <c r="E391" i="20"/>
  <c r="C391" i="20"/>
  <c r="G390" i="20"/>
  <c r="E390" i="20"/>
  <c r="C390" i="20"/>
  <c r="G389" i="20"/>
  <c r="E389" i="20"/>
  <c r="C389" i="20"/>
  <c r="G388" i="20"/>
  <c r="E388" i="20"/>
  <c r="C388" i="20"/>
  <c r="G387" i="20"/>
  <c r="E387" i="20"/>
  <c r="C387" i="20"/>
  <c r="G386" i="20"/>
  <c r="E386" i="20"/>
  <c r="C386" i="20"/>
  <c r="G385" i="20"/>
  <c r="E385" i="20"/>
  <c r="C385" i="20"/>
  <c r="G384" i="20"/>
  <c r="E384" i="20"/>
  <c r="C384" i="20"/>
  <c r="G383" i="20"/>
  <c r="E383" i="20"/>
  <c r="C383" i="20"/>
  <c r="G382" i="20"/>
  <c r="E382" i="20"/>
  <c r="C382" i="20"/>
  <c r="G381" i="20"/>
  <c r="E381" i="20"/>
  <c r="C381" i="20"/>
  <c r="G380" i="20"/>
  <c r="E380" i="20"/>
  <c r="C380" i="20"/>
  <c r="G379" i="20"/>
  <c r="E379" i="20"/>
  <c r="C379" i="20"/>
  <c r="G378" i="20"/>
  <c r="E378" i="20"/>
  <c r="C378" i="20"/>
  <c r="G377" i="20"/>
  <c r="E377" i="20"/>
  <c r="C377" i="20"/>
  <c r="G376" i="20"/>
  <c r="E376" i="20"/>
  <c r="C376" i="20"/>
  <c r="G375" i="20"/>
  <c r="E375" i="20"/>
  <c r="C375" i="20"/>
  <c r="G374" i="20"/>
  <c r="E374" i="20"/>
  <c r="C374" i="20"/>
  <c r="G373" i="20"/>
  <c r="E373" i="20"/>
  <c r="C373" i="20"/>
  <c r="G372" i="20"/>
  <c r="E372" i="20"/>
  <c r="C372" i="20"/>
  <c r="G371" i="20"/>
  <c r="E371" i="20"/>
  <c r="C371" i="20"/>
  <c r="G370" i="20"/>
  <c r="E370" i="20"/>
  <c r="C370" i="20"/>
  <c r="G369" i="20"/>
  <c r="E369" i="20"/>
  <c r="C369" i="20"/>
  <c r="G368" i="20"/>
  <c r="E368" i="20"/>
  <c r="C368" i="20"/>
  <c r="G367" i="20"/>
  <c r="E367" i="20"/>
  <c r="C367" i="20"/>
  <c r="G366" i="20"/>
  <c r="E366" i="20"/>
  <c r="C366" i="20"/>
  <c r="G365" i="20"/>
  <c r="E365" i="20"/>
  <c r="C365" i="20"/>
  <c r="G364" i="20"/>
  <c r="E364" i="20"/>
  <c r="C364" i="20"/>
  <c r="G363" i="20"/>
  <c r="E363" i="20"/>
  <c r="C363" i="20"/>
  <c r="G362" i="20"/>
  <c r="E362" i="20"/>
  <c r="C362" i="20"/>
  <c r="G361" i="20"/>
  <c r="E361" i="20"/>
  <c r="C361" i="20"/>
  <c r="G360" i="20"/>
  <c r="E360" i="20"/>
  <c r="C360" i="20"/>
  <c r="G359" i="20"/>
  <c r="E359" i="20"/>
  <c r="C359" i="20"/>
  <c r="G358" i="20"/>
  <c r="E358" i="20"/>
  <c r="C358" i="20"/>
  <c r="G357" i="20"/>
  <c r="E357" i="20"/>
  <c r="C357" i="20"/>
  <c r="G356" i="20"/>
  <c r="E356" i="20"/>
  <c r="C356" i="20"/>
  <c r="G355" i="20"/>
  <c r="E355" i="20"/>
  <c r="C355" i="20"/>
  <c r="G354" i="20"/>
  <c r="E354" i="20"/>
  <c r="C354" i="20"/>
  <c r="G353" i="20"/>
  <c r="E353" i="20"/>
  <c r="C353" i="20"/>
  <c r="G352" i="20"/>
  <c r="E352" i="20"/>
  <c r="C352" i="20"/>
  <c r="G351" i="20"/>
  <c r="E351" i="20"/>
  <c r="C351" i="20"/>
  <c r="G350" i="20"/>
  <c r="E350" i="20"/>
  <c r="C350" i="20"/>
  <c r="G349" i="20"/>
  <c r="E349" i="20"/>
  <c r="C349" i="20"/>
  <c r="G348" i="20"/>
  <c r="E348" i="20"/>
  <c r="C348" i="20"/>
  <c r="G347" i="20"/>
  <c r="E347" i="20"/>
  <c r="C347" i="20"/>
  <c r="G346" i="20"/>
  <c r="E346" i="20"/>
  <c r="C346" i="20"/>
  <c r="G345" i="20"/>
  <c r="E345" i="20"/>
  <c r="C345" i="20"/>
  <c r="G344" i="20"/>
  <c r="E344" i="20"/>
  <c r="C344" i="20"/>
  <c r="G343" i="20"/>
  <c r="E343" i="20"/>
  <c r="C343" i="20"/>
  <c r="G342" i="20"/>
  <c r="E342" i="20"/>
  <c r="C342" i="20"/>
  <c r="G341" i="20"/>
  <c r="E341" i="20"/>
  <c r="C341" i="20"/>
  <c r="G340" i="20"/>
  <c r="E340" i="20"/>
  <c r="C340" i="20"/>
  <c r="G339" i="20"/>
  <c r="E339" i="20"/>
  <c r="C339" i="20"/>
  <c r="G338" i="20"/>
  <c r="E338" i="20"/>
  <c r="C338" i="20"/>
  <c r="G337" i="20"/>
  <c r="E337" i="20"/>
  <c r="C337" i="20"/>
  <c r="G336" i="20"/>
  <c r="E336" i="20"/>
  <c r="C336" i="20"/>
  <c r="G335" i="20"/>
  <c r="E335" i="20"/>
  <c r="C335" i="20"/>
  <c r="G334" i="20"/>
  <c r="E334" i="20"/>
  <c r="C334" i="20"/>
  <c r="G333" i="20"/>
  <c r="E333" i="20"/>
  <c r="C333" i="20"/>
  <c r="G332" i="20"/>
  <c r="E332" i="20"/>
  <c r="C332" i="20"/>
  <c r="G331" i="20"/>
  <c r="E331" i="20"/>
  <c r="C331" i="20"/>
  <c r="G330" i="20"/>
  <c r="E330" i="20"/>
  <c r="C330" i="20"/>
  <c r="G329" i="20"/>
  <c r="E329" i="20"/>
  <c r="C329" i="20"/>
  <c r="G328" i="20"/>
  <c r="E328" i="20"/>
  <c r="C328" i="20"/>
  <c r="G327" i="20"/>
  <c r="E327" i="20"/>
  <c r="C327" i="20"/>
  <c r="G326" i="20"/>
  <c r="E326" i="20"/>
  <c r="C326" i="20"/>
  <c r="G325" i="20"/>
  <c r="E325" i="20"/>
  <c r="C325" i="20"/>
  <c r="G324" i="20"/>
  <c r="E324" i="20"/>
  <c r="C324" i="20"/>
  <c r="G323" i="20"/>
  <c r="E323" i="20"/>
  <c r="C323" i="20"/>
  <c r="G322" i="20"/>
  <c r="E322" i="20"/>
  <c r="C322" i="20"/>
  <c r="G321" i="20"/>
  <c r="E321" i="20"/>
  <c r="C321" i="20"/>
  <c r="G320" i="20"/>
  <c r="E320" i="20"/>
  <c r="C320" i="20"/>
  <c r="G319" i="20"/>
  <c r="E319" i="20"/>
  <c r="C319" i="20"/>
  <c r="G318" i="20"/>
  <c r="E318" i="20"/>
  <c r="C318" i="20"/>
  <c r="G317" i="20"/>
  <c r="E317" i="20"/>
  <c r="C317" i="20"/>
  <c r="G316" i="20"/>
  <c r="E316" i="20"/>
  <c r="C316" i="20"/>
  <c r="G315" i="20"/>
  <c r="E315" i="20"/>
  <c r="C315" i="20"/>
  <c r="G314" i="20"/>
  <c r="E314" i="20"/>
  <c r="C314" i="20"/>
  <c r="G313" i="20"/>
  <c r="E313" i="20"/>
  <c r="C313" i="20"/>
  <c r="G312" i="20"/>
  <c r="E312" i="20"/>
  <c r="C312" i="20"/>
  <c r="G311" i="20"/>
  <c r="E311" i="20"/>
  <c r="C311" i="20"/>
  <c r="G310" i="20"/>
  <c r="E310" i="20"/>
  <c r="C310" i="20"/>
  <c r="G309" i="20"/>
  <c r="E309" i="20"/>
  <c r="C309" i="20"/>
  <c r="G308" i="20"/>
  <c r="E308" i="20"/>
  <c r="C308" i="20"/>
  <c r="G307" i="20"/>
  <c r="E307" i="20"/>
  <c r="C307" i="20"/>
  <c r="G306" i="20"/>
  <c r="E306" i="20"/>
  <c r="C306" i="20"/>
  <c r="G305" i="20"/>
  <c r="E305" i="20"/>
  <c r="C305" i="20"/>
  <c r="G304" i="20"/>
  <c r="E304" i="20"/>
  <c r="C304" i="20"/>
  <c r="G303" i="20"/>
  <c r="E303" i="20"/>
  <c r="C303" i="20"/>
  <c r="G302" i="20"/>
  <c r="E302" i="20"/>
  <c r="C302" i="20"/>
  <c r="G301" i="20"/>
  <c r="E301" i="20"/>
  <c r="C301" i="20"/>
  <c r="G300" i="20"/>
  <c r="E300" i="20"/>
  <c r="C300" i="20"/>
  <c r="G299" i="20"/>
  <c r="E299" i="20"/>
  <c r="C299" i="20"/>
  <c r="G298" i="20"/>
  <c r="E298" i="20"/>
  <c r="C298" i="20"/>
  <c r="G297" i="20"/>
  <c r="E297" i="20"/>
  <c r="C297" i="20"/>
  <c r="G296" i="20"/>
  <c r="E296" i="20"/>
  <c r="C296" i="20"/>
  <c r="G295" i="20"/>
  <c r="E295" i="20"/>
  <c r="C295" i="20"/>
  <c r="G294" i="20"/>
  <c r="E294" i="20"/>
  <c r="C294" i="20"/>
  <c r="G293" i="20"/>
  <c r="E293" i="20"/>
  <c r="C293" i="20"/>
  <c r="G292" i="20"/>
  <c r="E292" i="20"/>
  <c r="C292" i="20"/>
  <c r="G291" i="20"/>
  <c r="E291" i="20"/>
  <c r="C291" i="20"/>
  <c r="G290" i="20"/>
  <c r="E290" i="20"/>
  <c r="C290" i="20"/>
  <c r="G289" i="20"/>
  <c r="E289" i="20"/>
  <c r="C289" i="20"/>
  <c r="G288" i="20"/>
  <c r="E288" i="20"/>
  <c r="C288" i="20"/>
  <c r="G287" i="20"/>
  <c r="E287" i="20"/>
  <c r="C287" i="20"/>
  <c r="G286" i="20"/>
  <c r="E286" i="20"/>
  <c r="C286" i="20"/>
  <c r="G285" i="20"/>
  <c r="E285" i="20"/>
  <c r="C285" i="20"/>
  <c r="G284" i="20"/>
  <c r="E284" i="20"/>
  <c r="C284" i="20"/>
  <c r="G283" i="20"/>
  <c r="E283" i="20"/>
  <c r="C283" i="20"/>
  <c r="G282" i="20"/>
  <c r="E282" i="20"/>
  <c r="C282" i="20"/>
  <c r="G281" i="20"/>
  <c r="E281" i="20"/>
  <c r="C281" i="20"/>
  <c r="G280" i="20"/>
  <c r="E280" i="20"/>
  <c r="C280" i="20"/>
  <c r="G279" i="20"/>
  <c r="E279" i="20"/>
  <c r="C279" i="20"/>
  <c r="G278" i="20"/>
  <c r="E278" i="20"/>
  <c r="C278" i="20"/>
  <c r="G277" i="20"/>
  <c r="E277" i="20"/>
  <c r="C277" i="20"/>
  <c r="G276" i="20"/>
  <c r="E276" i="20"/>
  <c r="C276" i="20"/>
  <c r="G275" i="20"/>
  <c r="E275" i="20"/>
  <c r="C275" i="20"/>
  <c r="G274" i="20"/>
  <c r="E274" i="20"/>
  <c r="C274" i="20"/>
  <c r="G273" i="20"/>
  <c r="E273" i="20"/>
  <c r="C273" i="20"/>
  <c r="G272" i="20"/>
  <c r="E272" i="20"/>
  <c r="C272" i="20"/>
  <c r="G271" i="20"/>
  <c r="E271" i="20"/>
  <c r="C271" i="20"/>
  <c r="G270" i="20"/>
  <c r="E270" i="20"/>
  <c r="C270" i="20"/>
  <c r="G269" i="20"/>
  <c r="E269" i="20"/>
  <c r="C269" i="20"/>
  <c r="G268" i="20"/>
  <c r="E268" i="20"/>
  <c r="C268" i="20"/>
  <c r="G267" i="20"/>
  <c r="E267" i="20"/>
  <c r="C267" i="20"/>
  <c r="G266" i="20"/>
  <c r="E266" i="20"/>
  <c r="C266" i="20"/>
  <c r="G265" i="20"/>
  <c r="E265" i="20"/>
  <c r="C265" i="20"/>
  <c r="G264" i="20"/>
  <c r="E264" i="20"/>
  <c r="C264" i="20"/>
  <c r="G263" i="20"/>
  <c r="E263" i="20"/>
  <c r="C263" i="20"/>
  <c r="G262" i="20"/>
  <c r="E262" i="20"/>
  <c r="C262" i="20"/>
  <c r="G261" i="20"/>
  <c r="E261" i="20"/>
  <c r="C261" i="20"/>
  <c r="G260" i="20"/>
  <c r="E260" i="20"/>
  <c r="C260" i="20"/>
  <c r="G259" i="20"/>
  <c r="E259" i="20"/>
  <c r="C259" i="20"/>
  <c r="G258" i="20"/>
  <c r="E258" i="20"/>
  <c r="C258" i="20"/>
  <c r="G257" i="20"/>
  <c r="E257" i="20"/>
  <c r="C257" i="20"/>
  <c r="G256" i="20"/>
  <c r="E256" i="20"/>
  <c r="C256" i="20"/>
  <c r="G255" i="20"/>
  <c r="E255" i="20"/>
  <c r="C255" i="20"/>
  <c r="G254" i="20"/>
  <c r="E254" i="20"/>
  <c r="C254" i="20"/>
  <c r="G253" i="20"/>
  <c r="E253" i="20"/>
  <c r="C253" i="20"/>
  <c r="G252" i="20"/>
  <c r="E252" i="20"/>
  <c r="C252" i="20"/>
  <c r="G251" i="20"/>
  <c r="E251" i="20"/>
  <c r="C251" i="20"/>
  <c r="G250" i="20"/>
  <c r="E250" i="20"/>
  <c r="C250" i="20"/>
  <c r="G249" i="20"/>
  <c r="E249" i="20"/>
  <c r="C249" i="20"/>
  <c r="G248" i="20"/>
  <c r="E248" i="20"/>
  <c r="C248" i="20"/>
  <c r="G247" i="20"/>
  <c r="E247" i="20"/>
  <c r="C247" i="20"/>
  <c r="G246" i="20"/>
  <c r="E246" i="20"/>
  <c r="C246" i="20"/>
  <c r="G245" i="20"/>
  <c r="E245" i="20"/>
  <c r="C245" i="20"/>
  <c r="G244" i="20"/>
  <c r="E244" i="20"/>
  <c r="C244" i="20"/>
  <c r="G243" i="20"/>
  <c r="E243" i="20"/>
  <c r="C243" i="20"/>
  <c r="G242" i="20"/>
  <c r="E242" i="20"/>
  <c r="C242" i="20"/>
  <c r="G241" i="20"/>
  <c r="E241" i="20"/>
  <c r="C241" i="20"/>
  <c r="G240" i="20"/>
  <c r="E240" i="20"/>
  <c r="C240" i="20"/>
  <c r="G239" i="20"/>
  <c r="E239" i="20"/>
  <c r="C239" i="20"/>
  <c r="G238" i="20"/>
  <c r="E238" i="20"/>
  <c r="C238" i="20"/>
  <c r="G237" i="20"/>
  <c r="E237" i="20"/>
  <c r="C237" i="20"/>
  <c r="G236" i="20"/>
  <c r="E236" i="20"/>
  <c r="C236" i="20"/>
  <c r="G235" i="20"/>
  <c r="E235" i="20"/>
  <c r="C235" i="20"/>
  <c r="G234" i="20"/>
  <c r="E234" i="20"/>
  <c r="C234" i="20"/>
  <c r="G233" i="20"/>
  <c r="E233" i="20"/>
  <c r="C233" i="20"/>
  <c r="G232" i="20"/>
  <c r="E232" i="20"/>
  <c r="C232" i="20"/>
  <c r="G231" i="20"/>
  <c r="E231" i="20"/>
  <c r="C231" i="20"/>
  <c r="G230" i="20"/>
  <c r="E230" i="20"/>
  <c r="C230" i="20"/>
  <c r="G229" i="20"/>
  <c r="E229" i="20"/>
  <c r="C229" i="20"/>
  <c r="G228" i="20"/>
  <c r="E228" i="20"/>
  <c r="C228" i="20"/>
  <c r="G227" i="20"/>
  <c r="E227" i="20"/>
  <c r="C227" i="20"/>
  <c r="G226" i="20"/>
  <c r="E226" i="20"/>
  <c r="C226" i="20"/>
  <c r="G225" i="20"/>
  <c r="E225" i="20"/>
  <c r="C225" i="20"/>
  <c r="G224" i="20"/>
  <c r="E224" i="20"/>
  <c r="C224" i="20"/>
  <c r="G223" i="20"/>
  <c r="E223" i="20"/>
  <c r="C223" i="20"/>
  <c r="G222" i="20"/>
  <c r="E222" i="20"/>
  <c r="C222" i="20"/>
  <c r="G221" i="20"/>
  <c r="E221" i="20"/>
  <c r="C221" i="20"/>
  <c r="G220" i="20"/>
  <c r="E220" i="20"/>
  <c r="C220" i="20"/>
  <c r="G219" i="20"/>
  <c r="E219" i="20"/>
  <c r="C219" i="20"/>
  <c r="G218" i="20"/>
  <c r="E218" i="20"/>
  <c r="C218" i="20"/>
  <c r="G217" i="20"/>
  <c r="E217" i="20"/>
  <c r="C217" i="20"/>
  <c r="G216" i="20"/>
  <c r="E216" i="20"/>
  <c r="C216" i="20"/>
  <c r="G215" i="20"/>
  <c r="E215" i="20"/>
  <c r="C215" i="20"/>
  <c r="G214" i="20"/>
  <c r="E214" i="20"/>
  <c r="C214" i="20"/>
  <c r="G213" i="20"/>
  <c r="E213" i="20"/>
  <c r="C213" i="20"/>
  <c r="G212" i="20"/>
  <c r="E212" i="20"/>
  <c r="C212" i="20"/>
  <c r="G211" i="20"/>
  <c r="E211" i="20"/>
  <c r="C211" i="20"/>
  <c r="G210" i="20"/>
  <c r="E210" i="20"/>
  <c r="C210" i="20"/>
  <c r="G209" i="20"/>
  <c r="E209" i="20"/>
  <c r="C209" i="20"/>
  <c r="G208" i="20"/>
  <c r="E208" i="20"/>
  <c r="C208" i="20"/>
  <c r="G207" i="20"/>
  <c r="E207" i="20"/>
  <c r="C207" i="20"/>
  <c r="G206" i="20"/>
  <c r="E206" i="20"/>
  <c r="C206" i="20"/>
  <c r="G205" i="20"/>
  <c r="E205" i="20"/>
  <c r="C205" i="20"/>
  <c r="G204" i="20"/>
  <c r="E204" i="20"/>
  <c r="C204" i="20"/>
  <c r="G203" i="20"/>
  <c r="E203" i="20"/>
  <c r="C203" i="20"/>
  <c r="G202" i="20"/>
  <c r="E202" i="20"/>
  <c r="C202" i="20"/>
  <c r="G201" i="20"/>
  <c r="E201" i="20"/>
  <c r="C201" i="20"/>
  <c r="G200" i="20"/>
  <c r="E200" i="20"/>
  <c r="C200" i="20"/>
  <c r="G199" i="20"/>
  <c r="E199" i="20"/>
  <c r="C199" i="20"/>
  <c r="G198" i="20"/>
  <c r="E198" i="20"/>
  <c r="C198" i="20"/>
  <c r="G197" i="20"/>
  <c r="E197" i="20"/>
  <c r="C197" i="20"/>
  <c r="G196" i="20"/>
  <c r="E196" i="20"/>
  <c r="C196" i="20"/>
  <c r="G195" i="20"/>
  <c r="E195" i="20"/>
  <c r="C195" i="20"/>
  <c r="G194" i="20"/>
  <c r="E194" i="20"/>
  <c r="C194" i="20"/>
  <c r="G193" i="20"/>
  <c r="E193" i="20"/>
  <c r="C193" i="20"/>
  <c r="G192" i="20"/>
  <c r="E192" i="20"/>
  <c r="C192" i="20"/>
  <c r="G191" i="20"/>
  <c r="E191" i="20"/>
  <c r="C191" i="20"/>
  <c r="G190" i="20"/>
  <c r="E190" i="20"/>
  <c r="C190" i="20"/>
  <c r="G189" i="20"/>
  <c r="E189" i="20"/>
  <c r="C189" i="20"/>
  <c r="G188" i="20"/>
  <c r="E188" i="20"/>
  <c r="G187" i="20"/>
  <c r="E187" i="20"/>
  <c r="G186" i="20"/>
  <c r="E186" i="20"/>
  <c r="G185" i="20"/>
  <c r="E185" i="20"/>
  <c r="J184" i="20"/>
  <c r="I184" i="20"/>
  <c r="H184" i="20"/>
  <c r="G184" i="20"/>
  <c r="E184" i="20"/>
  <c r="J183" i="20"/>
  <c r="I183" i="20"/>
  <c r="H183" i="20"/>
  <c r="G183" i="20"/>
  <c r="E183" i="20"/>
  <c r="G182" i="20"/>
  <c r="E182" i="20"/>
  <c r="C182" i="20"/>
  <c r="G181" i="20"/>
  <c r="E181" i="20"/>
  <c r="C181" i="20"/>
  <c r="G180" i="20"/>
  <c r="E180" i="20"/>
  <c r="C180" i="20"/>
  <c r="G179" i="20"/>
  <c r="E179" i="20"/>
  <c r="C179" i="20"/>
  <c r="G178" i="20"/>
  <c r="E178" i="20"/>
  <c r="C178" i="20"/>
  <c r="G177" i="20"/>
  <c r="E177" i="20"/>
  <c r="C177" i="20"/>
  <c r="G176" i="20"/>
  <c r="E176" i="20"/>
  <c r="C176" i="20"/>
  <c r="G175" i="20"/>
  <c r="E175" i="20"/>
  <c r="C175" i="20"/>
  <c r="G174" i="20"/>
  <c r="E174" i="20"/>
  <c r="C174" i="20"/>
  <c r="G173" i="20"/>
  <c r="E173" i="20"/>
  <c r="C173" i="20"/>
  <c r="G172" i="20"/>
  <c r="E172" i="20"/>
  <c r="C172" i="20"/>
  <c r="G171" i="20"/>
  <c r="E171" i="20"/>
  <c r="C171" i="20"/>
  <c r="G170" i="20"/>
  <c r="E170" i="20"/>
  <c r="C170" i="20"/>
  <c r="G169" i="20"/>
  <c r="E169" i="20"/>
  <c r="C169" i="20"/>
  <c r="G168" i="20"/>
  <c r="E168" i="20"/>
  <c r="C168" i="20"/>
  <c r="G167" i="20"/>
  <c r="E167" i="20"/>
  <c r="C167" i="20"/>
  <c r="G166" i="20"/>
  <c r="E166" i="20"/>
  <c r="C166" i="20"/>
  <c r="G165" i="20"/>
  <c r="E165" i="20"/>
  <c r="C165" i="20"/>
  <c r="G164" i="20"/>
  <c r="E164" i="20"/>
  <c r="C164" i="20"/>
  <c r="G163" i="20"/>
  <c r="E163" i="20"/>
  <c r="C163" i="20"/>
  <c r="G162" i="20"/>
  <c r="E162" i="20"/>
  <c r="C162" i="20"/>
  <c r="G161" i="20"/>
  <c r="E161" i="20"/>
  <c r="C161" i="20"/>
  <c r="G160" i="20"/>
  <c r="E160" i="20"/>
  <c r="C160" i="20"/>
  <c r="G159" i="20"/>
  <c r="E159" i="20"/>
  <c r="C159" i="20"/>
  <c r="G158" i="20"/>
  <c r="E158" i="20"/>
  <c r="C158" i="20"/>
  <c r="G157" i="20"/>
  <c r="E157" i="20"/>
  <c r="C157" i="20"/>
  <c r="G156" i="20"/>
  <c r="E156" i="20"/>
  <c r="C156" i="20"/>
  <c r="G155" i="20"/>
  <c r="E155" i="20"/>
  <c r="C155" i="20"/>
  <c r="G154" i="20"/>
  <c r="E154" i="20"/>
  <c r="C154" i="20"/>
  <c r="G153" i="20"/>
  <c r="E153" i="20"/>
  <c r="C153" i="20"/>
  <c r="G152" i="20"/>
  <c r="E152" i="20"/>
  <c r="C152" i="20"/>
  <c r="G151" i="20"/>
  <c r="E151" i="20"/>
  <c r="C151" i="20"/>
  <c r="G150" i="20"/>
  <c r="E150" i="20"/>
  <c r="C150" i="20"/>
  <c r="G149" i="20"/>
  <c r="E149" i="20"/>
  <c r="C149" i="20"/>
  <c r="G148" i="20"/>
  <c r="E148" i="20"/>
  <c r="C148" i="20"/>
  <c r="G147" i="20"/>
  <c r="E147" i="20"/>
  <c r="C147" i="20"/>
  <c r="G146" i="20"/>
  <c r="E146" i="20"/>
  <c r="C146" i="20"/>
  <c r="G145" i="20"/>
  <c r="E145" i="20"/>
  <c r="C145" i="20"/>
  <c r="G144" i="20"/>
  <c r="E144" i="20"/>
  <c r="C144" i="20"/>
  <c r="G143" i="20"/>
  <c r="E143" i="20"/>
  <c r="C143" i="20"/>
  <c r="G142" i="20"/>
  <c r="E142" i="20"/>
  <c r="C142" i="20"/>
  <c r="G141" i="20"/>
  <c r="E141" i="20"/>
  <c r="C141" i="20"/>
  <c r="H140" i="20"/>
  <c r="G140" i="20"/>
  <c r="E140" i="20"/>
  <c r="J139" i="20"/>
  <c r="I139" i="20"/>
  <c r="H139" i="20"/>
  <c r="G139" i="20"/>
  <c r="E139" i="20"/>
  <c r="J138" i="20"/>
  <c r="I138" i="20"/>
  <c r="H138" i="20"/>
  <c r="G138" i="20"/>
  <c r="E138" i="20"/>
  <c r="J137" i="20"/>
  <c r="I137" i="20"/>
  <c r="H137" i="20"/>
  <c r="G137" i="20"/>
  <c r="E137" i="20"/>
  <c r="J136" i="20"/>
  <c r="I136" i="20"/>
  <c r="H136" i="20"/>
  <c r="G136" i="20"/>
  <c r="E136" i="20"/>
  <c r="J135" i="20"/>
  <c r="I135" i="20"/>
  <c r="H135" i="20"/>
  <c r="G135" i="20"/>
  <c r="E135" i="20"/>
  <c r="J134" i="20"/>
  <c r="I134" i="20"/>
  <c r="H134" i="20"/>
  <c r="G134" i="20"/>
  <c r="E134" i="20"/>
  <c r="J133" i="20"/>
  <c r="I133" i="20"/>
  <c r="H133" i="20"/>
  <c r="G133" i="20"/>
  <c r="E133" i="20"/>
  <c r="J132" i="20"/>
  <c r="H132" i="20"/>
  <c r="G132" i="20"/>
  <c r="E132" i="20"/>
  <c r="J131" i="20"/>
  <c r="I131" i="20"/>
  <c r="H131" i="20"/>
  <c r="G131" i="20"/>
  <c r="E131" i="20"/>
  <c r="J130" i="20"/>
  <c r="I130" i="20"/>
  <c r="H130" i="20"/>
  <c r="G130" i="20"/>
  <c r="E130" i="20"/>
  <c r="J129" i="20"/>
  <c r="I129" i="20"/>
  <c r="H129" i="20"/>
  <c r="G129" i="20"/>
  <c r="E129" i="20"/>
  <c r="J128" i="20"/>
  <c r="I128" i="20"/>
  <c r="H128" i="20"/>
  <c r="G128" i="20"/>
  <c r="E128" i="20"/>
  <c r="J127" i="20"/>
  <c r="I127" i="20"/>
  <c r="H127" i="20"/>
  <c r="G127" i="20"/>
  <c r="E127" i="20"/>
  <c r="J126" i="20"/>
  <c r="I126" i="20"/>
  <c r="H126" i="20"/>
  <c r="G126" i="20"/>
  <c r="E126" i="20"/>
  <c r="J125" i="20"/>
  <c r="I125" i="20"/>
  <c r="H125" i="20"/>
  <c r="G125" i="20"/>
  <c r="E125" i="20"/>
  <c r="I124" i="20"/>
  <c r="H124" i="20"/>
  <c r="G124" i="20"/>
  <c r="E124" i="20"/>
  <c r="J123" i="20"/>
  <c r="I123" i="20"/>
  <c r="H123" i="20"/>
  <c r="G123" i="20"/>
  <c r="E123" i="20"/>
  <c r="J122" i="20"/>
  <c r="I122" i="20"/>
  <c r="H122" i="20"/>
  <c r="G122" i="20"/>
  <c r="E122" i="20"/>
  <c r="J121" i="20"/>
  <c r="I121" i="20"/>
  <c r="H121" i="20"/>
  <c r="G121" i="20"/>
  <c r="E121" i="20"/>
  <c r="J120" i="20"/>
  <c r="I120" i="20"/>
  <c r="H120" i="20"/>
  <c r="G120" i="20"/>
  <c r="E120" i="20"/>
  <c r="J119" i="20"/>
  <c r="I119" i="20"/>
  <c r="H119" i="20"/>
  <c r="G119" i="20"/>
  <c r="E119" i="20"/>
  <c r="J118" i="20"/>
  <c r="I118" i="20"/>
  <c r="H118" i="20"/>
  <c r="G118" i="20"/>
  <c r="E118" i="20"/>
  <c r="J117" i="20"/>
  <c r="I117" i="20"/>
  <c r="H117" i="20"/>
  <c r="G117" i="20"/>
  <c r="E117" i="20"/>
  <c r="J116" i="20"/>
  <c r="H116" i="20"/>
  <c r="G116" i="20"/>
  <c r="E116" i="20"/>
  <c r="J115" i="20"/>
  <c r="I115" i="20"/>
  <c r="H115" i="20"/>
  <c r="G115" i="20"/>
  <c r="E115" i="20"/>
  <c r="J114" i="20"/>
  <c r="I114" i="20"/>
  <c r="H114" i="20"/>
  <c r="G114" i="20"/>
  <c r="E114" i="20"/>
  <c r="J113" i="20"/>
  <c r="I113" i="20"/>
  <c r="H113" i="20"/>
  <c r="G113" i="20"/>
  <c r="E113" i="20"/>
  <c r="J112" i="20"/>
  <c r="I112" i="20"/>
  <c r="H112" i="20"/>
  <c r="G112" i="20"/>
  <c r="E112" i="20"/>
  <c r="J111" i="20"/>
  <c r="I111" i="20"/>
  <c r="H111" i="20"/>
  <c r="G111" i="20"/>
  <c r="E111" i="20"/>
  <c r="J110" i="20"/>
  <c r="I110" i="20"/>
  <c r="H110" i="20"/>
  <c r="G110" i="20"/>
  <c r="E110" i="20"/>
  <c r="J109" i="20"/>
  <c r="I109" i="20"/>
  <c r="H109" i="20"/>
  <c r="G109" i="20"/>
  <c r="E109" i="20"/>
  <c r="J108" i="20"/>
  <c r="I108" i="20"/>
  <c r="H108" i="20"/>
  <c r="G108" i="20"/>
  <c r="E108" i="20"/>
  <c r="J107" i="20"/>
  <c r="I107" i="20"/>
  <c r="H107" i="20"/>
  <c r="G107" i="20"/>
  <c r="E107" i="20"/>
  <c r="J106" i="20"/>
  <c r="I106" i="20"/>
  <c r="H106" i="20"/>
  <c r="G106" i="20"/>
  <c r="E106" i="20"/>
  <c r="J105" i="20"/>
  <c r="I105" i="20"/>
  <c r="H105" i="20"/>
  <c r="G105" i="20"/>
  <c r="E105" i="20"/>
  <c r="J104" i="20"/>
  <c r="I104" i="20"/>
  <c r="H104" i="20"/>
  <c r="G104" i="20"/>
  <c r="E104" i="20"/>
  <c r="J103" i="20"/>
  <c r="I103" i="20"/>
  <c r="H103" i="20"/>
  <c r="G103" i="20"/>
  <c r="E103" i="20"/>
  <c r="J102" i="20"/>
  <c r="I102" i="20"/>
  <c r="H102" i="20"/>
  <c r="G102" i="20"/>
  <c r="E102" i="20"/>
  <c r="J101" i="20"/>
  <c r="G101" i="20"/>
  <c r="E101" i="20"/>
  <c r="J100" i="20"/>
  <c r="I100" i="20"/>
  <c r="H100" i="20"/>
  <c r="G100" i="20"/>
  <c r="E100" i="20"/>
  <c r="J99" i="20"/>
  <c r="I99" i="20"/>
  <c r="H99" i="20"/>
  <c r="G99" i="20"/>
  <c r="E99" i="20"/>
  <c r="J98" i="20"/>
  <c r="I98" i="20"/>
  <c r="H98" i="20"/>
  <c r="G98" i="20"/>
  <c r="E98" i="20"/>
  <c r="J97" i="20"/>
  <c r="I97" i="20"/>
  <c r="H97" i="20"/>
  <c r="G97" i="20"/>
  <c r="E97" i="20"/>
  <c r="J96" i="20"/>
  <c r="I96" i="20"/>
  <c r="H96" i="20"/>
  <c r="G96" i="20"/>
  <c r="E96" i="20"/>
  <c r="J95" i="20"/>
  <c r="I95" i="20"/>
  <c r="H95" i="20"/>
  <c r="G95" i="20"/>
  <c r="E95" i="20"/>
  <c r="G94" i="20"/>
  <c r="E94" i="20"/>
  <c r="J93" i="20"/>
  <c r="I93" i="20"/>
  <c r="H93" i="20"/>
  <c r="G93" i="20"/>
  <c r="E93" i="20"/>
  <c r="G92" i="20"/>
  <c r="E92" i="20"/>
  <c r="G91" i="20"/>
  <c r="E91" i="20"/>
  <c r="G90" i="20"/>
  <c r="E90" i="20"/>
  <c r="J89" i="20"/>
  <c r="I89" i="20"/>
  <c r="H89" i="20"/>
  <c r="G89" i="20"/>
  <c r="E89" i="20"/>
  <c r="G88" i="20"/>
  <c r="E88" i="20"/>
  <c r="G87" i="20"/>
  <c r="E87" i="20"/>
  <c r="G86" i="20"/>
  <c r="E86" i="20"/>
  <c r="J85" i="20"/>
  <c r="I85" i="20"/>
  <c r="H85" i="20"/>
  <c r="G85" i="20"/>
  <c r="E85" i="20"/>
  <c r="G84" i="20"/>
  <c r="E84" i="20"/>
  <c r="G83" i="20"/>
  <c r="E83" i="20"/>
  <c r="G82" i="20"/>
  <c r="E82" i="20"/>
  <c r="J81" i="20"/>
  <c r="I81" i="20"/>
  <c r="H81" i="20"/>
  <c r="G81" i="20"/>
  <c r="E81" i="20"/>
  <c r="G80" i="20"/>
  <c r="E80" i="20"/>
  <c r="G79" i="20"/>
  <c r="E79" i="20"/>
  <c r="G78" i="20"/>
  <c r="E78" i="20"/>
  <c r="J77" i="20"/>
  <c r="I77" i="20"/>
  <c r="H77" i="20"/>
  <c r="G77" i="20"/>
  <c r="E77" i="20"/>
  <c r="G76" i="20"/>
  <c r="E76" i="20"/>
  <c r="G75" i="20"/>
  <c r="E75" i="20"/>
  <c r="G74" i="20"/>
  <c r="E74" i="20"/>
  <c r="J73" i="20"/>
  <c r="I73" i="20"/>
  <c r="H73" i="20"/>
  <c r="G73" i="20"/>
  <c r="E73" i="20"/>
  <c r="G72" i="20"/>
  <c r="E72" i="20"/>
  <c r="G71" i="20"/>
  <c r="E71" i="20"/>
  <c r="G70" i="20"/>
  <c r="E70" i="20"/>
  <c r="J69" i="20"/>
  <c r="I69" i="20"/>
  <c r="H69" i="20"/>
  <c r="G69" i="20"/>
  <c r="E69" i="20"/>
  <c r="G68" i="20"/>
  <c r="E68" i="20"/>
  <c r="G67" i="20"/>
  <c r="E67" i="20"/>
  <c r="G66" i="20"/>
  <c r="E66" i="20"/>
  <c r="J65" i="20"/>
  <c r="I65" i="20"/>
  <c r="H65" i="20"/>
  <c r="G65" i="20"/>
  <c r="E65" i="20"/>
  <c r="G64" i="20"/>
  <c r="E64" i="20"/>
  <c r="G63" i="20"/>
  <c r="E63" i="20"/>
  <c r="G62" i="20"/>
  <c r="E62" i="20"/>
  <c r="J61" i="20"/>
  <c r="I61" i="20"/>
  <c r="H61" i="20"/>
  <c r="G61" i="20"/>
  <c r="E61" i="20"/>
  <c r="G60" i="20"/>
  <c r="E60" i="20"/>
  <c r="G59" i="20"/>
  <c r="E59" i="20"/>
  <c r="G58" i="20"/>
  <c r="E58" i="20"/>
  <c r="J57" i="20"/>
  <c r="I57" i="20"/>
  <c r="H57" i="20"/>
  <c r="G57" i="20"/>
  <c r="E57" i="20"/>
  <c r="G56" i="20"/>
  <c r="E56" i="20"/>
  <c r="G55" i="20"/>
  <c r="E55" i="20"/>
  <c r="G54" i="20"/>
  <c r="E54" i="20"/>
  <c r="J53" i="20"/>
  <c r="I53" i="20"/>
  <c r="H53" i="20"/>
  <c r="G53" i="20"/>
  <c r="E53" i="20"/>
  <c r="G52" i="20"/>
  <c r="E52" i="20"/>
  <c r="G51" i="20"/>
  <c r="E51" i="20"/>
  <c r="G50" i="20"/>
  <c r="E50" i="20"/>
  <c r="J49" i="20"/>
  <c r="I49" i="20"/>
  <c r="H49" i="20"/>
  <c r="G49" i="20"/>
  <c r="E49" i="20"/>
  <c r="G48" i="20"/>
  <c r="E48" i="20"/>
  <c r="G47" i="20"/>
  <c r="E47" i="20"/>
  <c r="G46" i="20"/>
  <c r="E46" i="20"/>
  <c r="J45" i="20"/>
  <c r="I45" i="20"/>
  <c r="H45" i="20"/>
  <c r="G45" i="20"/>
  <c r="E45" i="20"/>
  <c r="G44" i="20"/>
  <c r="E44" i="20"/>
  <c r="G43" i="20"/>
  <c r="E43" i="20"/>
  <c r="G42" i="20"/>
  <c r="E42" i="20"/>
  <c r="J41" i="20"/>
  <c r="I41" i="20"/>
  <c r="H41" i="20"/>
  <c r="G41" i="20"/>
  <c r="E41" i="20"/>
  <c r="G40" i="20"/>
  <c r="E40" i="20"/>
  <c r="G39" i="20"/>
  <c r="E39" i="20"/>
  <c r="G38" i="20"/>
  <c r="E38" i="20"/>
  <c r="J37" i="20"/>
  <c r="I37" i="20"/>
  <c r="H37" i="20"/>
  <c r="G37" i="20"/>
  <c r="E37" i="20"/>
  <c r="G36" i="20"/>
  <c r="E36" i="20"/>
  <c r="G35" i="20"/>
  <c r="E35" i="20"/>
  <c r="G34" i="20"/>
  <c r="E34" i="20"/>
  <c r="J33" i="20"/>
  <c r="I33" i="20"/>
  <c r="H33" i="20"/>
  <c r="G33" i="20"/>
  <c r="E33" i="20"/>
  <c r="G32" i="20"/>
  <c r="E32" i="20"/>
  <c r="G31" i="20"/>
  <c r="E31" i="20"/>
  <c r="G30" i="20"/>
  <c r="E30" i="20"/>
  <c r="J29" i="20"/>
  <c r="I29" i="20"/>
  <c r="H29" i="20"/>
  <c r="G29" i="20"/>
  <c r="E29" i="20"/>
  <c r="G28" i="20"/>
  <c r="E28" i="20"/>
  <c r="G27" i="20"/>
  <c r="E27" i="20"/>
  <c r="G26" i="20"/>
  <c r="E26" i="20"/>
  <c r="J25" i="20"/>
  <c r="I25" i="20"/>
  <c r="H25" i="20"/>
  <c r="G25" i="20"/>
  <c r="E25" i="20"/>
  <c r="G24" i="20"/>
  <c r="E24" i="20"/>
  <c r="G23" i="20"/>
  <c r="E23" i="20"/>
  <c r="G22" i="20"/>
  <c r="E22" i="20"/>
  <c r="J21" i="20"/>
  <c r="I21" i="20"/>
  <c r="H21" i="20"/>
  <c r="G21" i="20"/>
  <c r="E21" i="20"/>
  <c r="G20" i="20"/>
  <c r="E20" i="20"/>
  <c r="G19" i="20"/>
  <c r="E19" i="20"/>
  <c r="G18" i="20"/>
  <c r="E18" i="20"/>
  <c r="J17" i="20"/>
  <c r="I17" i="20"/>
  <c r="H17" i="20"/>
  <c r="G17" i="20"/>
  <c r="E17" i="20"/>
  <c r="G16" i="20"/>
  <c r="E16" i="20"/>
  <c r="G15" i="20"/>
  <c r="E15" i="20"/>
  <c r="G14" i="20"/>
  <c r="E14" i="20"/>
  <c r="J13" i="20"/>
  <c r="I13" i="20"/>
  <c r="H13" i="20"/>
  <c r="G13" i="20"/>
  <c r="E13" i="20"/>
  <c r="G12" i="20"/>
  <c r="E12" i="20"/>
  <c r="G11" i="20"/>
  <c r="E11" i="20"/>
  <c r="G10" i="20"/>
  <c r="E10" i="20"/>
  <c r="H9" i="20"/>
  <c r="G9" i="20"/>
  <c r="E9" i="20"/>
  <c r="J8" i="20"/>
  <c r="I8" i="20"/>
  <c r="H8" i="20"/>
  <c r="G8" i="20"/>
  <c r="E8" i="20"/>
  <c r="J7" i="20"/>
  <c r="I7" i="20"/>
  <c r="H7" i="20"/>
  <c r="G7" i="20"/>
  <c r="E7" i="20"/>
  <c r="J6" i="20"/>
  <c r="I6" i="20"/>
  <c r="H6" i="20"/>
  <c r="G6" i="20"/>
  <c r="E6" i="20"/>
  <c r="J5" i="20"/>
  <c r="I5" i="20"/>
  <c r="H5" i="20"/>
  <c r="G5" i="20"/>
  <c r="E5" i="20"/>
  <c r="G4" i="20"/>
  <c r="E4" i="20"/>
  <c r="J3" i="20"/>
  <c r="G3" i="20"/>
  <c r="E3" i="20"/>
  <c r="J2" i="20"/>
  <c r="I2" i="20"/>
  <c r="H2" i="20"/>
  <c r="W3" i="34" a="1"/>
  <c r="B8" i="1" a="1"/>
  <c r="C2" i="18" a="1"/>
  <c r="B2" i="18" a="1"/>
  <c r="D2" i="18" a="1"/>
  <c r="J476" i="20" l="1"/>
  <c r="J475" i="20"/>
  <c r="I426" i="20"/>
  <c r="I140" i="20"/>
  <c r="H101" i="20"/>
  <c r="J443" i="20"/>
  <c r="I443" i="20"/>
  <c r="H443" i="20"/>
  <c r="H95" i="29"/>
  <c r="J485" i="20"/>
  <c r="I485" i="20"/>
  <c r="H485" i="20"/>
  <c r="W5" i="38"/>
  <c r="H23" i="29"/>
  <c r="H59" i="29"/>
  <c r="H88" i="29"/>
  <c r="H76" i="29"/>
  <c r="H64" i="29"/>
  <c r="H52" i="29"/>
  <c r="H40" i="29"/>
  <c r="H28" i="29"/>
  <c r="H16" i="29"/>
  <c r="H4" i="29"/>
  <c r="H99" i="29"/>
  <c r="H87" i="29"/>
  <c r="H75" i="29"/>
  <c r="H63" i="29"/>
  <c r="H51" i="29"/>
  <c r="H39" i="29"/>
  <c r="H27" i="29"/>
  <c r="H15" i="29"/>
  <c r="H3" i="29"/>
  <c r="H98" i="29"/>
  <c r="H86" i="29"/>
  <c r="H74" i="29"/>
  <c r="H62" i="29"/>
  <c r="H50" i="29"/>
  <c r="H38" i="29"/>
  <c r="H26" i="29"/>
  <c r="H14" i="29"/>
  <c r="H2" i="29"/>
  <c r="H96" i="29"/>
  <c r="H84" i="29"/>
  <c r="H72" i="29"/>
  <c r="H60" i="29"/>
  <c r="H48" i="29"/>
  <c r="H36" i="29"/>
  <c r="H24" i="29"/>
  <c r="H12" i="29"/>
  <c r="H94" i="29"/>
  <c r="H82" i="29"/>
  <c r="H70" i="29"/>
  <c r="H58" i="29"/>
  <c r="H46" i="29"/>
  <c r="H34" i="29"/>
  <c r="H22" i="29"/>
  <c r="H10" i="29"/>
  <c r="H93" i="29"/>
  <c r="H81" i="29"/>
  <c r="H69" i="29"/>
  <c r="H57" i="29"/>
  <c r="H45" i="29"/>
  <c r="H33" i="29"/>
  <c r="H21" i="29"/>
  <c r="H9" i="29"/>
  <c r="H92" i="29"/>
  <c r="H80" i="29"/>
  <c r="H68" i="29"/>
  <c r="H56" i="29"/>
  <c r="H44" i="29"/>
  <c r="H32" i="29"/>
  <c r="H20" i="29"/>
  <c r="H8" i="29"/>
  <c r="H91" i="29"/>
  <c r="H79" i="29"/>
  <c r="H67" i="29"/>
  <c r="H55" i="29"/>
  <c r="H43" i="29"/>
  <c r="H31" i="29"/>
  <c r="H19" i="29"/>
  <c r="H7" i="29"/>
  <c r="H89" i="29"/>
  <c r="H53" i="29"/>
  <c r="H17" i="29"/>
  <c r="H85" i="29"/>
  <c r="H49" i="29"/>
  <c r="H13" i="29"/>
  <c r="H83" i="29"/>
  <c r="H47" i="29"/>
  <c r="H11" i="29"/>
  <c r="H78" i="29"/>
  <c r="H42" i="29"/>
  <c r="H6" i="29"/>
  <c r="H77" i="29"/>
  <c r="H41" i="29"/>
  <c r="H5" i="29"/>
  <c r="H73" i="29"/>
  <c r="H37" i="29"/>
  <c r="H71" i="29"/>
  <c r="H35" i="29"/>
  <c r="H66" i="29"/>
  <c r="H30" i="29"/>
  <c r="H65" i="29"/>
  <c r="H29" i="29"/>
  <c r="H97" i="29"/>
  <c r="H61" i="29"/>
  <c r="H25" i="29"/>
  <c r="H90" i="29"/>
  <c r="H54" i="29"/>
  <c r="H18" i="29"/>
  <c r="J16" i="9"/>
  <c r="J11" i="9"/>
  <c r="J15" i="9"/>
  <c r="I348" i="20" s="1"/>
  <c r="J344" i="20"/>
  <c r="J244" i="20"/>
  <c r="J236" i="20"/>
  <c r="I308" i="20"/>
  <c r="I278" i="20"/>
  <c r="I260" i="20"/>
  <c r="H344" i="20"/>
  <c r="H328" i="20"/>
  <c r="H320" i="20"/>
  <c r="H236" i="20"/>
  <c r="J9" i="9"/>
  <c r="O9" i="9" s="1"/>
  <c r="J8" i="9"/>
  <c r="H317" i="20"/>
  <c r="H305" i="20"/>
  <c r="H269" i="20"/>
  <c r="J486" i="20"/>
  <c r="I486" i="20"/>
  <c r="H486" i="20"/>
  <c r="V6" i="38"/>
  <c r="H351" i="20"/>
  <c r="E18" i="26"/>
  <c r="C8" i="26" s="1"/>
  <c r="D18" i="26"/>
  <c r="I371" i="20"/>
  <c r="J379" i="20"/>
  <c r="H379" i="20"/>
  <c r="I383" i="20"/>
  <c r="I395" i="20"/>
  <c r="I415" i="20"/>
  <c r="L4" i="34"/>
  <c r="M4" i="34" s="1"/>
  <c r="E19" i="26"/>
  <c r="W9" i="38"/>
  <c r="L18" i="9"/>
  <c r="D19" i="26"/>
  <c r="B9" i="26" s="1"/>
  <c r="N6" i="38"/>
  <c r="L6" i="38"/>
  <c r="U9" i="38"/>
  <c r="I10" i="38"/>
  <c r="W13" i="38"/>
  <c r="V14" i="38"/>
  <c r="E15" i="26"/>
  <c r="D15" i="26"/>
  <c r="C23" i="26"/>
  <c r="M6" i="38"/>
  <c r="N10" i="38"/>
  <c r="L10" i="38"/>
  <c r="W17" i="38"/>
  <c r="J376" i="20"/>
  <c r="I388" i="20"/>
  <c r="H388" i="20"/>
  <c r="H392" i="20"/>
  <c r="J404" i="20"/>
  <c r="I412" i="20"/>
  <c r="B10" i="26"/>
  <c r="M10" i="38"/>
  <c r="N14" i="38"/>
  <c r="R13" i="38" s="1"/>
  <c r="L14" i="38"/>
  <c r="U14" i="38" s="1"/>
  <c r="D20" i="34"/>
  <c r="D28" i="34"/>
  <c r="D26" i="34"/>
  <c r="J484" i="20"/>
  <c r="I484" i="20"/>
  <c r="H484" i="20"/>
  <c r="C10" i="26"/>
  <c r="W4" i="38"/>
  <c r="D16" i="26"/>
  <c r="T4" i="38"/>
  <c r="N4" i="38"/>
  <c r="M4" i="38"/>
  <c r="W8" i="38"/>
  <c r="J373" i="20"/>
  <c r="H377" i="20"/>
  <c r="J401" i="20"/>
  <c r="J409" i="20"/>
  <c r="I409" i="20"/>
  <c r="J413" i="20"/>
  <c r="E21" i="26"/>
  <c r="D21" i="26"/>
  <c r="L4" i="38"/>
  <c r="E7" i="38"/>
  <c r="T7" i="38"/>
  <c r="D7" i="38"/>
  <c r="C7" i="38"/>
  <c r="G6" i="38" s="1"/>
  <c r="T8" i="38"/>
  <c r="N8" i="38"/>
  <c r="R7" i="38" s="1"/>
  <c r="M8" i="38"/>
  <c r="W12" i="38"/>
  <c r="L8" i="38"/>
  <c r="E11" i="38"/>
  <c r="T11" i="38"/>
  <c r="D11" i="38"/>
  <c r="C11" i="38"/>
  <c r="T12" i="38"/>
  <c r="N12" i="38"/>
  <c r="M12" i="38"/>
  <c r="J452" i="20"/>
  <c r="I452" i="20"/>
  <c r="I360" i="20"/>
  <c r="I363" i="20"/>
  <c r="D6" i="21"/>
  <c r="L12" i="38"/>
  <c r="E15" i="38"/>
  <c r="T15" i="38"/>
  <c r="D15" i="38"/>
  <c r="C15" i="38"/>
  <c r="T16" i="38"/>
  <c r="N16" i="38"/>
  <c r="M16" i="38"/>
  <c r="L7" i="9"/>
  <c r="J370" i="20"/>
  <c r="H370" i="20"/>
  <c r="I374" i="20"/>
  <c r="H374" i="20"/>
  <c r="J382" i="20"/>
  <c r="I382" i="20"/>
  <c r="H386" i="20"/>
  <c r="J394" i="20"/>
  <c r="H394" i="20"/>
  <c r="J406" i="20"/>
  <c r="I406" i="20"/>
  <c r="H406" i="20"/>
  <c r="I410" i="20"/>
  <c r="H410" i="20"/>
  <c r="I422" i="20"/>
  <c r="H422" i="20"/>
  <c r="D22" i="26"/>
  <c r="B11" i="26" s="1"/>
  <c r="L12" i="9"/>
  <c r="K9" i="9"/>
  <c r="K11" i="9"/>
  <c r="H254" i="20" s="1"/>
  <c r="L9" i="9"/>
  <c r="L11" i="9"/>
  <c r="L16" i="9"/>
  <c r="J14" i="9"/>
  <c r="D5" i="38"/>
  <c r="H6" i="38" s="1"/>
  <c r="T5" i="38"/>
  <c r="W6" i="38"/>
  <c r="L7" i="38"/>
  <c r="D9" i="38"/>
  <c r="H17" i="38" s="1"/>
  <c r="T9" i="38"/>
  <c r="W10" i="38"/>
  <c r="L11" i="38"/>
  <c r="T13" i="38"/>
  <c r="L15" i="38"/>
  <c r="T17" i="38"/>
  <c r="A5" i="9"/>
  <c r="J290" i="20" s="1"/>
  <c r="J7" i="9"/>
  <c r="J12" i="9"/>
  <c r="J314" i="20" s="1"/>
  <c r="K14" i="9"/>
  <c r="K7" i="9"/>
  <c r="K12" i="9"/>
  <c r="L14" i="9"/>
  <c r="J17" i="9"/>
  <c r="H398" i="20" s="1"/>
  <c r="J10" i="9"/>
  <c r="L17" i="9"/>
  <c r="V4" i="38"/>
  <c r="V12" i="38"/>
  <c r="V16" i="38"/>
  <c r="K8" i="9"/>
  <c r="L10" i="9"/>
  <c r="K13" i="9"/>
  <c r="K15" i="9"/>
  <c r="J18" i="9"/>
  <c r="J407" i="20" s="1"/>
  <c r="B4" i="8"/>
  <c r="H3" i="20" s="1"/>
  <c r="L13" i="38"/>
  <c r="P13" i="38" s="1"/>
  <c r="L17" i="38"/>
  <c r="U17" i="38" s="1"/>
  <c r="L8" i="9"/>
  <c r="L13" i="9"/>
  <c r="H284" i="20" s="1"/>
  <c r="L15" i="9"/>
  <c r="K18" i="9"/>
  <c r="C4" i="8"/>
  <c r="I3" i="20" s="1"/>
  <c r="J6" i="9"/>
  <c r="W3" i="34"/>
  <c r="S9" i="34" s="1"/>
  <c r="B2" i="18"/>
  <c r="B4" i="18" s="1"/>
  <c r="B8" i="1"/>
  <c r="C2" i="18"/>
  <c r="C4" i="18" s="1"/>
  <c r="I4" i="20" s="1"/>
  <c r="D2" i="18"/>
  <c r="D4" i="18" s="1"/>
  <c r="J4" i="20" s="1"/>
  <c r="J426" i="20" l="1"/>
  <c r="P7" i="38"/>
  <c r="I398" i="20"/>
  <c r="J363" i="20"/>
  <c r="I7" i="38"/>
  <c r="W7" i="38"/>
  <c r="AA6" i="38" s="1"/>
  <c r="I5" i="38"/>
  <c r="I9" i="38"/>
  <c r="I16" i="38"/>
  <c r="I14" i="38"/>
  <c r="I13" i="38"/>
  <c r="I12" i="38"/>
  <c r="J397" i="20"/>
  <c r="I8" i="38"/>
  <c r="I359" i="20"/>
  <c r="G8" i="38"/>
  <c r="J392" i="20"/>
  <c r="Q6" i="38"/>
  <c r="J415" i="20"/>
  <c r="I379" i="20"/>
  <c r="H240" i="20"/>
  <c r="H332" i="20"/>
  <c r="I314" i="20"/>
  <c r="J248" i="20"/>
  <c r="R17" i="38"/>
  <c r="I11" i="38"/>
  <c r="W11" i="38"/>
  <c r="P4" i="38"/>
  <c r="P5" i="38"/>
  <c r="P9" i="38"/>
  <c r="U4" i="38"/>
  <c r="Y17" i="38" s="1"/>
  <c r="H389" i="20"/>
  <c r="R5" i="38"/>
  <c r="E23" i="26"/>
  <c r="C3" i="26" s="1"/>
  <c r="D23" i="26"/>
  <c r="B3" i="26" s="1"/>
  <c r="I407" i="20"/>
  <c r="J251" i="20"/>
  <c r="H248" i="20"/>
  <c r="H336" i="20"/>
  <c r="I324" i="20"/>
  <c r="J254" i="20"/>
  <c r="P8" i="38"/>
  <c r="U8" i="38"/>
  <c r="J389" i="20"/>
  <c r="Q4" i="38"/>
  <c r="Q9" i="38"/>
  <c r="Q5" i="38"/>
  <c r="Q11" i="38"/>
  <c r="Q7" i="38"/>
  <c r="Q13" i="38"/>
  <c r="Q15" i="38"/>
  <c r="J263" i="20"/>
  <c r="I328" i="20"/>
  <c r="J284" i="20"/>
  <c r="H5" i="38"/>
  <c r="V5" i="38"/>
  <c r="H4" i="38"/>
  <c r="R16" i="38"/>
  <c r="I17" i="38"/>
  <c r="H385" i="20"/>
  <c r="R11" i="38"/>
  <c r="H416" i="20"/>
  <c r="J388" i="20"/>
  <c r="H403" i="20"/>
  <c r="I364" i="20"/>
  <c r="J281" i="20"/>
  <c r="H260" i="20"/>
  <c r="H356" i="20"/>
  <c r="I332" i="20"/>
  <c r="J417" i="20"/>
  <c r="J411" i="20"/>
  <c r="J405" i="20"/>
  <c r="J399" i="20"/>
  <c r="J393" i="20"/>
  <c r="J387" i="20"/>
  <c r="J381" i="20"/>
  <c r="J375" i="20"/>
  <c r="J369" i="20"/>
  <c r="J365" i="20"/>
  <c r="J361" i="20"/>
  <c r="J357" i="20"/>
  <c r="I417" i="20"/>
  <c r="I411" i="20"/>
  <c r="I405" i="20"/>
  <c r="I399" i="20"/>
  <c r="I393" i="20"/>
  <c r="I387" i="20"/>
  <c r="I381" i="20"/>
  <c r="I375" i="20"/>
  <c r="I369" i="20"/>
  <c r="I365" i="20"/>
  <c r="I361" i="20"/>
  <c r="L5" i="9"/>
  <c r="H417" i="20"/>
  <c r="H411" i="20"/>
  <c r="H405" i="20"/>
  <c r="H399" i="20"/>
  <c r="H393" i="20"/>
  <c r="H387" i="20"/>
  <c r="H381" i="20"/>
  <c r="H375" i="20"/>
  <c r="H369" i="20"/>
  <c r="H365" i="20"/>
  <c r="J5" i="9"/>
  <c r="J420" i="20"/>
  <c r="J414" i="20"/>
  <c r="J408" i="20"/>
  <c r="J402" i="20"/>
  <c r="J396" i="20"/>
  <c r="J390" i="20"/>
  <c r="J384" i="20"/>
  <c r="J378" i="20"/>
  <c r="J372" i="20"/>
  <c r="I420" i="20"/>
  <c r="I414" i="20"/>
  <c r="I408" i="20"/>
  <c r="I402" i="20"/>
  <c r="I396" i="20"/>
  <c r="I390" i="20"/>
  <c r="I384" i="20"/>
  <c r="I378" i="20"/>
  <c r="I372" i="20"/>
  <c r="I366" i="20"/>
  <c r="I362" i="20"/>
  <c r="I358" i="20"/>
  <c r="H420" i="20"/>
  <c r="H414" i="20"/>
  <c r="H408" i="20"/>
  <c r="H402" i="20"/>
  <c r="H396" i="20"/>
  <c r="H390" i="20"/>
  <c r="H384" i="20"/>
  <c r="H378" i="20"/>
  <c r="H372" i="20"/>
  <c r="H366" i="20"/>
  <c r="H362" i="20"/>
  <c r="H358" i="20"/>
  <c r="J186" i="20"/>
  <c r="J362" i="20"/>
  <c r="H359" i="20"/>
  <c r="I186" i="20"/>
  <c r="J354" i="20"/>
  <c r="J350" i="20"/>
  <c r="J346" i="20"/>
  <c r="J342" i="20"/>
  <c r="J338" i="20"/>
  <c r="J334" i="20"/>
  <c r="J330" i="20"/>
  <c r="J326" i="20"/>
  <c r="J322" i="20"/>
  <c r="J318" i="20"/>
  <c r="J316" i="20"/>
  <c r="J312" i="20"/>
  <c r="J310" i="20"/>
  <c r="J306" i="20"/>
  <c r="J304" i="20"/>
  <c r="J300" i="20"/>
  <c r="J298" i="20"/>
  <c r="J294" i="20"/>
  <c r="J292" i="20"/>
  <c r="J288" i="20"/>
  <c r="J286" i="20"/>
  <c r="J282" i="20"/>
  <c r="J280" i="20"/>
  <c r="J276" i="20"/>
  <c r="J274" i="20"/>
  <c r="J270" i="20"/>
  <c r="J268" i="20"/>
  <c r="J264" i="20"/>
  <c r="J262" i="20"/>
  <c r="J258" i="20"/>
  <c r="J256" i="20"/>
  <c r="J252" i="20"/>
  <c r="J250" i="20"/>
  <c r="J246" i="20"/>
  <c r="J242" i="20"/>
  <c r="J238" i="20"/>
  <c r="J234" i="20"/>
  <c r="J230" i="20"/>
  <c r="J226" i="20"/>
  <c r="I354" i="20"/>
  <c r="I350" i="20"/>
  <c r="I346" i="20"/>
  <c r="I342" i="20"/>
  <c r="I338" i="20"/>
  <c r="I334" i="20"/>
  <c r="I330" i="20"/>
  <c r="I326" i="20"/>
  <c r="I322" i="20"/>
  <c r="I318" i="20"/>
  <c r="I316" i="20"/>
  <c r="I312" i="20"/>
  <c r="I310" i="20"/>
  <c r="I306" i="20"/>
  <c r="I304" i="20"/>
  <c r="I300" i="20"/>
  <c r="I298" i="20"/>
  <c r="I294" i="20"/>
  <c r="I292" i="20"/>
  <c r="I288" i="20"/>
  <c r="I286" i="20"/>
  <c r="I282" i="20"/>
  <c r="I280" i="20"/>
  <c r="I276" i="20"/>
  <c r="I274" i="20"/>
  <c r="I270" i="20"/>
  <c r="I268" i="20"/>
  <c r="I264" i="20"/>
  <c r="I262" i="20"/>
  <c r="I258" i="20"/>
  <c r="I256" i="20"/>
  <c r="I252" i="20"/>
  <c r="I250" i="20"/>
  <c r="I246" i="20"/>
  <c r="H354" i="20"/>
  <c r="H350" i="20"/>
  <c r="H346" i="20"/>
  <c r="H342" i="20"/>
  <c r="H338" i="20"/>
  <c r="H334" i="20"/>
  <c r="H330" i="20"/>
  <c r="H326" i="20"/>
  <c r="H322" i="20"/>
  <c r="H318" i="20"/>
  <c r="H316" i="20"/>
  <c r="H312" i="20"/>
  <c r="H310" i="20"/>
  <c r="H306" i="20"/>
  <c r="H304" i="20"/>
  <c r="H300" i="20"/>
  <c r="H298" i="20"/>
  <c r="H294" i="20"/>
  <c r="H292" i="20"/>
  <c r="H288" i="20"/>
  <c r="H286" i="20"/>
  <c r="H282" i="20"/>
  <c r="H280" i="20"/>
  <c r="H276" i="20"/>
  <c r="H274" i="20"/>
  <c r="H270" i="20"/>
  <c r="H268" i="20"/>
  <c r="H264" i="20"/>
  <c r="H262" i="20"/>
  <c r="H258" i="20"/>
  <c r="H256" i="20"/>
  <c r="H252" i="20"/>
  <c r="H250" i="20"/>
  <c r="H246" i="20"/>
  <c r="H242" i="20"/>
  <c r="H238" i="20"/>
  <c r="H234" i="20"/>
  <c r="H230" i="20"/>
  <c r="H226" i="20"/>
  <c r="H222" i="20"/>
  <c r="K5" i="9"/>
  <c r="H160" i="20" s="1"/>
  <c r="H361" i="20"/>
  <c r="J358" i="20"/>
  <c r="J187" i="20"/>
  <c r="J353" i="20"/>
  <c r="J349" i="20"/>
  <c r="J345" i="20"/>
  <c r="J341" i="20"/>
  <c r="J339" i="20"/>
  <c r="J337" i="20"/>
  <c r="J335" i="20"/>
  <c r="J333" i="20"/>
  <c r="J331" i="20"/>
  <c r="J329" i="20"/>
  <c r="J327" i="20"/>
  <c r="J325" i="20"/>
  <c r="J323" i="20"/>
  <c r="J321" i="20"/>
  <c r="J319" i="20"/>
  <c r="J315" i="20"/>
  <c r="J313" i="20"/>
  <c r="J309" i="20"/>
  <c r="J307" i="20"/>
  <c r="J303" i="20"/>
  <c r="J301" i="20"/>
  <c r="J297" i="20"/>
  <c r="J295" i="20"/>
  <c r="J291" i="20"/>
  <c r="J289" i="20"/>
  <c r="J285" i="20"/>
  <c r="J283" i="20"/>
  <c r="J279" i="20"/>
  <c r="J277" i="20"/>
  <c r="J273" i="20"/>
  <c r="J271" i="20"/>
  <c r="J267" i="20"/>
  <c r="J265" i="20"/>
  <c r="J261" i="20"/>
  <c r="J259" i="20"/>
  <c r="J255" i="20"/>
  <c r="J253" i="20"/>
  <c r="J249" i="20"/>
  <c r="J247" i="20"/>
  <c r="J366" i="20"/>
  <c r="H357" i="20"/>
  <c r="H353" i="20"/>
  <c r="H349" i="20"/>
  <c r="H345" i="20"/>
  <c r="H341" i="20"/>
  <c r="H339" i="20"/>
  <c r="H337" i="20"/>
  <c r="H335" i="20"/>
  <c r="H333" i="20"/>
  <c r="H331" i="20"/>
  <c r="H329" i="20"/>
  <c r="H327" i="20"/>
  <c r="H325" i="20"/>
  <c r="H323" i="20"/>
  <c r="H321" i="20"/>
  <c r="H319" i="20"/>
  <c r="H315" i="20"/>
  <c r="H313" i="20"/>
  <c r="H309" i="20"/>
  <c r="H307" i="20"/>
  <c r="H303" i="20"/>
  <c r="H301" i="20"/>
  <c r="H297" i="20"/>
  <c r="H295" i="20"/>
  <c r="H291" i="20"/>
  <c r="H289" i="20"/>
  <c r="H285" i="20"/>
  <c r="H283" i="20"/>
  <c r="H279" i="20"/>
  <c r="H277" i="20"/>
  <c r="H273" i="20"/>
  <c r="H271" i="20"/>
  <c r="H267" i="20"/>
  <c r="H265" i="20"/>
  <c r="H261" i="20"/>
  <c r="H259" i="20"/>
  <c r="H255" i="20"/>
  <c r="H253" i="20"/>
  <c r="H249" i="20"/>
  <c r="H247" i="20"/>
  <c r="H245" i="20"/>
  <c r="H243" i="20"/>
  <c r="H241" i="20"/>
  <c r="H239" i="20"/>
  <c r="H237" i="20"/>
  <c r="H235" i="20"/>
  <c r="H233" i="20"/>
  <c r="H231" i="20"/>
  <c r="H229" i="20"/>
  <c r="H227" i="20"/>
  <c r="H225" i="20"/>
  <c r="H223" i="20"/>
  <c r="I351" i="20"/>
  <c r="I327" i="20"/>
  <c r="I303" i="20"/>
  <c r="I279" i="20"/>
  <c r="I255" i="20"/>
  <c r="I245" i="20"/>
  <c r="I242" i="20"/>
  <c r="I234" i="20"/>
  <c r="I226" i="20"/>
  <c r="I221" i="20"/>
  <c r="I219" i="20"/>
  <c r="I217" i="20"/>
  <c r="I215" i="20"/>
  <c r="I213" i="20"/>
  <c r="I211" i="20"/>
  <c r="I209" i="20"/>
  <c r="I207" i="20"/>
  <c r="I205" i="20"/>
  <c r="I203" i="20"/>
  <c r="I201" i="20"/>
  <c r="I199" i="20"/>
  <c r="I197" i="20"/>
  <c r="I195" i="20"/>
  <c r="I193" i="20"/>
  <c r="I191" i="20"/>
  <c r="I189" i="20"/>
  <c r="I337" i="20"/>
  <c r="I313" i="20"/>
  <c r="I289" i="20"/>
  <c r="I265" i="20"/>
  <c r="J239" i="20"/>
  <c r="J231" i="20"/>
  <c r="J223" i="20"/>
  <c r="H221" i="20"/>
  <c r="H219" i="20"/>
  <c r="H217" i="20"/>
  <c r="H215" i="20"/>
  <c r="H213" i="20"/>
  <c r="H211" i="20"/>
  <c r="H209" i="20"/>
  <c r="H207" i="20"/>
  <c r="H205" i="20"/>
  <c r="H203" i="20"/>
  <c r="H201" i="20"/>
  <c r="H199" i="20"/>
  <c r="H197" i="20"/>
  <c r="H195" i="20"/>
  <c r="H193" i="20"/>
  <c r="H191" i="20"/>
  <c r="H189" i="20"/>
  <c r="J181" i="20"/>
  <c r="J179" i="20"/>
  <c r="J177" i="20"/>
  <c r="J175" i="20"/>
  <c r="J173" i="20"/>
  <c r="J171" i="20"/>
  <c r="J169" i="20"/>
  <c r="J167" i="20"/>
  <c r="J165" i="20"/>
  <c r="J163" i="20"/>
  <c r="J161" i="20"/>
  <c r="J159" i="20"/>
  <c r="J157" i="20"/>
  <c r="J155" i="20"/>
  <c r="J153" i="20"/>
  <c r="J151" i="20"/>
  <c r="J149" i="20"/>
  <c r="J147" i="20"/>
  <c r="J145" i="20"/>
  <c r="J143" i="20"/>
  <c r="J141" i="20"/>
  <c r="I347" i="20"/>
  <c r="I323" i="20"/>
  <c r="I299" i="20"/>
  <c r="I275" i="20"/>
  <c r="I251" i="20"/>
  <c r="I239" i="20"/>
  <c r="I231" i="20"/>
  <c r="I223" i="20"/>
  <c r="H186" i="20"/>
  <c r="I181" i="20"/>
  <c r="I179" i="20"/>
  <c r="I177" i="20"/>
  <c r="I175" i="20"/>
  <c r="I173" i="20"/>
  <c r="I171" i="20"/>
  <c r="I169" i="20"/>
  <c r="I167" i="20"/>
  <c r="I165" i="20"/>
  <c r="I163" i="20"/>
  <c r="I161" i="20"/>
  <c r="I159" i="20"/>
  <c r="I157" i="20"/>
  <c r="I155" i="20"/>
  <c r="I153" i="20"/>
  <c r="I151" i="20"/>
  <c r="I149" i="20"/>
  <c r="I147" i="20"/>
  <c r="I145" i="20"/>
  <c r="I143" i="20"/>
  <c r="I141" i="20"/>
  <c r="I357" i="20"/>
  <c r="I333" i="20"/>
  <c r="I309" i="20"/>
  <c r="I285" i="20"/>
  <c r="I261" i="20"/>
  <c r="I236" i="20"/>
  <c r="I228" i="20"/>
  <c r="H181" i="20"/>
  <c r="H179" i="20"/>
  <c r="H177" i="20"/>
  <c r="H175" i="20"/>
  <c r="H173" i="20"/>
  <c r="H171" i="20"/>
  <c r="H169" i="20"/>
  <c r="H167" i="20"/>
  <c r="H165" i="20"/>
  <c r="H163" i="20"/>
  <c r="H161" i="20"/>
  <c r="H159" i="20"/>
  <c r="H157" i="20"/>
  <c r="H155" i="20"/>
  <c r="H153" i="20"/>
  <c r="H151" i="20"/>
  <c r="H149" i="20"/>
  <c r="H147" i="20"/>
  <c r="H145" i="20"/>
  <c r="H143" i="20"/>
  <c r="H141" i="20"/>
  <c r="I343" i="20"/>
  <c r="I319" i="20"/>
  <c r="I295" i="20"/>
  <c r="I271" i="20"/>
  <c r="I247" i="20"/>
  <c r="J241" i="20"/>
  <c r="J233" i="20"/>
  <c r="J225" i="20"/>
  <c r="J360" i="20"/>
  <c r="I353" i="20"/>
  <c r="I329" i="20"/>
  <c r="I305" i="20"/>
  <c r="I281" i="20"/>
  <c r="I257" i="20"/>
  <c r="I241" i="20"/>
  <c r="I233" i="20"/>
  <c r="I225" i="20"/>
  <c r="J220" i="20"/>
  <c r="J218" i="20"/>
  <c r="J216" i="20"/>
  <c r="J214" i="20"/>
  <c r="J212" i="20"/>
  <c r="J210" i="20"/>
  <c r="J208" i="20"/>
  <c r="J206" i="20"/>
  <c r="J204" i="20"/>
  <c r="J202" i="20"/>
  <c r="J200" i="20"/>
  <c r="J198" i="20"/>
  <c r="J196" i="20"/>
  <c r="J194" i="20"/>
  <c r="J192" i="20"/>
  <c r="J190" i="20"/>
  <c r="I339" i="20"/>
  <c r="I315" i="20"/>
  <c r="I291" i="20"/>
  <c r="I267" i="20"/>
  <c r="I238" i="20"/>
  <c r="I230" i="20"/>
  <c r="J222" i="20"/>
  <c r="I220" i="20"/>
  <c r="I218" i="20"/>
  <c r="I216" i="20"/>
  <c r="I214" i="20"/>
  <c r="I212" i="20"/>
  <c r="I210" i="20"/>
  <c r="I208" i="20"/>
  <c r="I206" i="20"/>
  <c r="I204" i="20"/>
  <c r="I202" i="20"/>
  <c r="I200" i="20"/>
  <c r="I198" i="20"/>
  <c r="I196" i="20"/>
  <c r="I194" i="20"/>
  <c r="I192" i="20"/>
  <c r="I190" i="20"/>
  <c r="H363" i="20"/>
  <c r="I349" i="20"/>
  <c r="I325" i="20"/>
  <c r="I301" i="20"/>
  <c r="I277" i="20"/>
  <c r="I253" i="20"/>
  <c r="J243" i="20"/>
  <c r="J235" i="20"/>
  <c r="J227" i="20"/>
  <c r="I222" i="20"/>
  <c r="H220" i="20"/>
  <c r="H218" i="20"/>
  <c r="H216" i="20"/>
  <c r="H214" i="20"/>
  <c r="H212" i="20"/>
  <c r="H210" i="20"/>
  <c r="H208" i="20"/>
  <c r="H206" i="20"/>
  <c r="H204" i="20"/>
  <c r="H202" i="20"/>
  <c r="H200" i="20"/>
  <c r="H198" i="20"/>
  <c r="H196" i="20"/>
  <c r="H194" i="20"/>
  <c r="H192" i="20"/>
  <c r="H190" i="20"/>
  <c r="J182" i="20"/>
  <c r="J180" i="20"/>
  <c r="J178" i="20"/>
  <c r="J176" i="20"/>
  <c r="J174" i="20"/>
  <c r="J172" i="20"/>
  <c r="J170" i="20"/>
  <c r="J168" i="20"/>
  <c r="J166" i="20"/>
  <c r="J164" i="20"/>
  <c r="J162" i="20"/>
  <c r="J160" i="20"/>
  <c r="J158" i="20"/>
  <c r="J156" i="20"/>
  <c r="J154" i="20"/>
  <c r="J152" i="20"/>
  <c r="J150" i="20"/>
  <c r="J148" i="20"/>
  <c r="J146" i="20"/>
  <c r="J144" i="20"/>
  <c r="J142" i="20"/>
  <c r="I335" i="20"/>
  <c r="I311" i="20"/>
  <c r="I287" i="20"/>
  <c r="I263" i="20"/>
  <c r="I243" i="20"/>
  <c r="I235" i="20"/>
  <c r="I227" i="20"/>
  <c r="I182" i="20"/>
  <c r="I180" i="20"/>
  <c r="I178" i="20"/>
  <c r="I176" i="20"/>
  <c r="I174" i="20"/>
  <c r="I172" i="20"/>
  <c r="I170" i="20"/>
  <c r="I168" i="20"/>
  <c r="I166" i="20"/>
  <c r="I164" i="20"/>
  <c r="I162" i="20"/>
  <c r="I160" i="20"/>
  <c r="I158" i="20"/>
  <c r="I156" i="20"/>
  <c r="I154" i="20"/>
  <c r="I152" i="20"/>
  <c r="I150" i="20"/>
  <c r="I148" i="20"/>
  <c r="I146" i="20"/>
  <c r="I144" i="20"/>
  <c r="I142" i="20"/>
  <c r="I345" i="20"/>
  <c r="I321" i="20"/>
  <c r="I297" i="20"/>
  <c r="I273" i="20"/>
  <c r="I249" i="20"/>
  <c r="I240" i="20"/>
  <c r="I232" i="20"/>
  <c r="I224" i="20"/>
  <c r="H182" i="20"/>
  <c r="H180" i="20"/>
  <c r="H178" i="20"/>
  <c r="H176" i="20"/>
  <c r="H174" i="20"/>
  <c r="H172" i="20"/>
  <c r="H170" i="20"/>
  <c r="H168" i="20"/>
  <c r="H166" i="20"/>
  <c r="H164" i="20"/>
  <c r="H162" i="20"/>
  <c r="H158" i="20"/>
  <c r="H156" i="20"/>
  <c r="H154" i="20"/>
  <c r="H152" i="20"/>
  <c r="H150" i="20"/>
  <c r="H148" i="20"/>
  <c r="H146" i="20"/>
  <c r="H144" i="20"/>
  <c r="H142" i="20"/>
  <c r="I341" i="20"/>
  <c r="I317" i="20"/>
  <c r="I293" i="20"/>
  <c r="I269" i="20"/>
  <c r="J245" i="20"/>
  <c r="I237" i="20"/>
  <c r="I229" i="20"/>
  <c r="J221" i="20"/>
  <c r="J219" i="20"/>
  <c r="J217" i="20"/>
  <c r="J215" i="20"/>
  <c r="J213" i="20"/>
  <c r="J211" i="20"/>
  <c r="J209" i="20"/>
  <c r="J207" i="20"/>
  <c r="J205" i="20"/>
  <c r="J203" i="20"/>
  <c r="J201" i="20"/>
  <c r="J199" i="20"/>
  <c r="J197" i="20"/>
  <c r="J195" i="20"/>
  <c r="J193" i="20"/>
  <c r="J191" i="20"/>
  <c r="J189" i="20"/>
  <c r="H187" i="20"/>
  <c r="I355" i="20"/>
  <c r="J229" i="20"/>
  <c r="I331" i="20"/>
  <c r="I307" i="20"/>
  <c r="I259" i="20"/>
  <c r="I187" i="20"/>
  <c r="J237" i="20"/>
  <c r="I283" i="20"/>
  <c r="J332" i="20"/>
  <c r="J266" i="20"/>
  <c r="J351" i="20"/>
  <c r="J328" i="20"/>
  <c r="J260" i="20"/>
  <c r="I344" i="20"/>
  <c r="I284" i="20"/>
  <c r="H340" i="20"/>
  <c r="H278" i="20"/>
  <c r="J364" i="20"/>
  <c r="J257" i="20"/>
  <c r="H263" i="20"/>
  <c r="H347" i="20"/>
  <c r="H371" i="20"/>
  <c r="H395" i="20"/>
  <c r="H419" i="20"/>
  <c r="I380" i="20"/>
  <c r="I404" i="20"/>
  <c r="J359" i="20"/>
  <c r="I377" i="20"/>
  <c r="I401" i="20"/>
  <c r="J374" i="20"/>
  <c r="J398" i="20"/>
  <c r="J422" i="20"/>
  <c r="J356" i="20"/>
  <c r="J367" i="20"/>
  <c r="I367" i="20"/>
  <c r="H367" i="20"/>
  <c r="J347" i="20"/>
  <c r="J352" i="20"/>
  <c r="J296" i="20"/>
  <c r="J232" i="20"/>
  <c r="I320" i="20"/>
  <c r="I248" i="20"/>
  <c r="H314" i="20"/>
  <c r="H244" i="20"/>
  <c r="J293" i="20"/>
  <c r="H299" i="20"/>
  <c r="J355" i="20"/>
  <c r="H383" i="20"/>
  <c r="H407" i="20"/>
  <c r="I392" i="20"/>
  <c r="I416" i="20"/>
  <c r="I389" i="20"/>
  <c r="I413" i="20"/>
  <c r="H360" i="20"/>
  <c r="J386" i="20"/>
  <c r="J410" i="20"/>
  <c r="J340" i="20"/>
  <c r="J278" i="20"/>
  <c r="I356" i="20"/>
  <c r="I302" i="20"/>
  <c r="H352" i="20"/>
  <c r="H296" i="20"/>
  <c r="H232" i="20"/>
  <c r="J275" i="20"/>
  <c r="H281" i="20"/>
  <c r="H364" i="20"/>
  <c r="H391" i="20"/>
  <c r="H415" i="20"/>
  <c r="I376" i="20"/>
  <c r="I400" i="20"/>
  <c r="J368" i="20"/>
  <c r="I373" i="20"/>
  <c r="I397" i="20"/>
  <c r="I421" i="20"/>
  <c r="J343" i="20"/>
  <c r="J336" i="20"/>
  <c r="J272" i="20"/>
  <c r="I352" i="20"/>
  <c r="I296" i="20"/>
  <c r="H348" i="20"/>
  <c r="H290" i="20"/>
  <c r="H228" i="20"/>
  <c r="J269" i="20"/>
  <c r="H275" i="20"/>
  <c r="J371" i="20"/>
  <c r="J395" i="20"/>
  <c r="J419" i="20"/>
  <c r="H376" i="20"/>
  <c r="H400" i="20"/>
  <c r="H373" i="20"/>
  <c r="H397" i="20"/>
  <c r="H421" i="20"/>
  <c r="I370" i="20"/>
  <c r="I394" i="20"/>
  <c r="I418" i="20"/>
  <c r="H418" i="20"/>
  <c r="I386" i="20"/>
  <c r="Q17" i="38"/>
  <c r="H16" i="38"/>
  <c r="J421" i="20"/>
  <c r="I385" i="20"/>
  <c r="J416" i="20"/>
  <c r="H380" i="20"/>
  <c r="H368" i="20"/>
  <c r="G14" i="38"/>
  <c r="I403" i="20"/>
  <c r="H251" i="20"/>
  <c r="J287" i="20"/>
  <c r="H266" i="20"/>
  <c r="I244" i="20"/>
  <c r="I336" i="20"/>
  <c r="J302" i="20"/>
  <c r="J418" i="20"/>
  <c r="H382" i="20"/>
  <c r="U15" i="38"/>
  <c r="G15" i="38"/>
  <c r="W16" i="38"/>
  <c r="H413" i="20"/>
  <c r="J385" i="20"/>
  <c r="H412" i="20"/>
  <c r="J380" i="20"/>
  <c r="I368" i="20"/>
  <c r="H10" i="38"/>
  <c r="J403" i="20"/>
  <c r="H257" i="20"/>
  <c r="J299" i="20"/>
  <c r="H272" i="20"/>
  <c r="I254" i="20"/>
  <c r="I340" i="20"/>
  <c r="J308" i="20"/>
  <c r="P15" i="38"/>
  <c r="V15" i="38"/>
  <c r="H15" i="38"/>
  <c r="Q8" i="38"/>
  <c r="V8" i="38"/>
  <c r="B8" i="26"/>
  <c r="J305" i="20"/>
  <c r="R8" i="38"/>
  <c r="R15" i="38"/>
  <c r="R9" i="38"/>
  <c r="H409" i="20"/>
  <c r="J377" i="20"/>
  <c r="Q14" i="38"/>
  <c r="J412" i="20"/>
  <c r="H14" i="38"/>
  <c r="I6" i="38"/>
  <c r="I391" i="20"/>
  <c r="H287" i="20"/>
  <c r="J311" i="20"/>
  <c r="H302" i="20"/>
  <c r="I266" i="20"/>
  <c r="J224" i="20"/>
  <c r="J320" i="20"/>
  <c r="P17" i="38"/>
  <c r="P11" i="38"/>
  <c r="H8" i="38"/>
  <c r="P14" i="38"/>
  <c r="H404" i="20"/>
  <c r="U13" i="38"/>
  <c r="C9" i="26"/>
  <c r="J391" i="20"/>
  <c r="H355" i="20"/>
  <c r="H293" i="20"/>
  <c r="J317" i="20"/>
  <c r="H308" i="20"/>
  <c r="I272" i="20"/>
  <c r="J228" i="20"/>
  <c r="J324" i="20"/>
  <c r="P12" i="38"/>
  <c r="U12" i="38"/>
  <c r="U7" i="38"/>
  <c r="G7" i="38"/>
  <c r="G17" i="38"/>
  <c r="G13" i="38"/>
  <c r="G5" i="38"/>
  <c r="G4" i="38"/>
  <c r="G12" i="38"/>
  <c r="G10" i="38"/>
  <c r="G16" i="38"/>
  <c r="R14" i="38"/>
  <c r="W14" i="38"/>
  <c r="AA12" i="38" s="1"/>
  <c r="P10" i="38"/>
  <c r="U10" i="38"/>
  <c r="Y10" i="38" s="1"/>
  <c r="H14" i="34"/>
  <c r="H6" i="34"/>
  <c r="H8" i="34"/>
  <c r="H10" i="34"/>
  <c r="H4" i="34"/>
  <c r="G4" i="34" s="1"/>
  <c r="H12" i="34"/>
  <c r="H185" i="20"/>
  <c r="J188" i="20"/>
  <c r="J185" i="20"/>
  <c r="I188" i="20"/>
  <c r="I185" i="20"/>
  <c r="H188" i="20"/>
  <c r="U11" i="38"/>
  <c r="G11" i="38"/>
  <c r="H7" i="38"/>
  <c r="V7" i="38"/>
  <c r="Z7" i="38" s="1"/>
  <c r="H401" i="20"/>
  <c r="H12" i="38"/>
  <c r="I4" i="38"/>
  <c r="H13" i="38"/>
  <c r="J400" i="20"/>
  <c r="R10" i="38"/>
  <c r="I419" i="20"/>
  <c r="J383" i="20"/>
  <c r="H343" i="20"/>
  <c r="H311" i="20"/>
  <c r="H224" i="20"/>
  <c r="H324" i="20"/>
  <c r="I290" i="20"/>
  <c r="J240" i="20"/>
  <c r="J348" i="20"/>
  <c r="H9" i="38"/>
  <c r="V9" i="38"/>
  <c r="P16" i="38"/>
  <c r="AA8" i="38"/>
  <c r="Q10" i="38"/>
  <c r="V10" i="38"/>
  <c r="G9" i="38"/>
  <c r="P6" i="38"/>
  <c r="U6" i="38"/>
  <c r="Y9" i="38" s="1"/>
  <c r="Q12" i="38"/>
  <c r="B7" i="26"/>
  <c r="R12" i="38"/>
  <c r="D3" i="21"/>
  <c r="D4" i="21"/>
  <c r="C7" i="26"/>
  <c r="D5" i="21"/>
  <c r="Q16" i="38"/>
  <c r="H11" i="38"/>
  <c r="V11" i="38"/>
  <c r="D7" i="21"/>
  <c r="G4" i="21" s="1"/>
  <c r="I15" i="38"/>
  <c r="W15" i="38"/>
  <c r="AA15" i="38" s="1"/>
  <c r="R4" i="38"/>
  <c r="R6" i="38"/>
  <c r="H4" i="20"/>
  <c r="B7" i="18"/>
  <c r="Z14" i="38" l="1"/>
  <c r="AA11" i="38"/>
  <c r="Z11" i="38"/>
  <c r="AA4" i="38"/>
  <c r="AA10" i="38"/>
  <c r="Z15" i="38"/>
  <c r="Y15" i="38"/>
  <c r="Z5" i="38"/>
  <c r="D8" i="21"/>
  <c r="F4" i="21"/>
  <c r="Z10" i="38"/>
  <c r="G25" i="34"/>
  <c r="W8" i="34" s="1"/>
  <c r="E25" i="34"/>
  <c r="C25" i="34"/>
  <c r="F25" i="34"/>
  <c r="D25" i="34"/>
  <c r="Z17" i="38"/>
  <c r="J11" i="20"/>
  <c r="I11" i="20"/>
  <c r="H11" i="20"/>
  <c r="J12" i="20"/>
  <c r="I12" i="20"/>
  <c r="H12" i="20"/>
  <c r="Z4" i="38"/>
  <c r="Z12" i="38"/>
  <c r="Y14" i="38"/>
  <c r="E23" i="34"/>
  <c r="D23" i="34"/>
  <c r="C23" i="34"/>
  <c r="G23" i="34"/>
  <c r="W7" i="34" s="1"/>
  <c r="F23" i="34"/>
  <c r="Z9" i="38"/>
  <c r="G21" i="34"/>
  <c r="W6" i="34" s="1"/>
  <c r="F21" i="34"/>
  <c r="E21" i="34"/>
  <c r="D21" i="34"/>
  <c r="C21" i="34"/>
  <c r="Y8" i="38"/>
  <c r="Z13" i="38"/>
  <c r="G19" i="34"/>
  <c r="W5" i="34" s="1"/>
  <c r="E19" i="34"/>
  <c r="D19" i="34"/>
  <c r="C19" i="34"/>
  <c r="F19" i="34"/>
  <c r="W9" i="34"/>
  <c r="AA13" i="38"/>
  <c r="Y4" i="38"/>
  <c r="Y16" i="38"/>
  <c r="Y5" i="38"/>
  <c r="Y13" i="38"/>
  <c r="AA9" i="38"/>
  <c r="Z6" i="38"/>
  <c r="Y11" i="38"/>
  <c r="Y7" i="38"/>
  <c r="AA17" i="38"/>
  <c r="Z8" i="38"/>
  <c r="Z16" i="38"/>
  <c r="AA5" i="38"/>
  <c r="Y6" i="38"/>
  <c r="AA14" i="38"/>
  <c r="Y12" i="38"/>
  <c r="AA16" i="38"/>
  <c r="AA7" i="38"/>
  <c r="E12" i="34" l="1"/>
  <c r="E13" i="34"/>
  <c r="U8" i="34"/>
  <c r="C8" i="34"/>
  <c r="C9" i="34"/>
  <c r="S6" i="34"/>
  <c r="D9" i="34"/>
  <c r="D8" i="34"/>
  <c r="T6" i="34"/>
  <c r="H14" i="20"/>
  <c r="E9" i="34"/>
  <c r="E8" i="34"/>
  <c r="U6" i="34"/>
  <c r="I14" i="20"/>
  <c r="F9" i="34"/>
  <c r="F8" i="34"/>
  <c r="V6" i="34"/>
  <c r="J14" i="20"/>
  <c r="C15" i="34"/>
  <c r="C14" i="34"/>
  <c r="F10" i="34"/>
  <c r="F11" i="34"/>
  <c r="V7" i="34"/>
  <c r="D14" i="34"/>
  <c r="D15" i="34"/>
  <c r="T9" i="34"/>
  <c r="F6" i="34"/>
  <c r="F7" i="34"/>
  <c r="V5" i="34"/>
  <c r="E15" i="34"/>
  <c r="E14" i="34"/>
  <c r="U9" i="34"/>
  <c r="C7" i="34"/>
  <c r="C6" i="34"/>
  <c r="S5" i="34"/>
  <c r="C11" i="34"/>
  <c r="C10" i="34"/>
  <c r="S7" i="34"/>
  <c r="F14" i="34"/>
  <c r="F15" i="34"/>
  <c r="V9" i="34"/>
  <c r="D6" i="34"/>
  <c r="D7" i="34"/>
  <c r="T5" i="34"/>
  <c r="D10" i="34"/>
  <c r="D11" i="34"/>
  <c r="T7" i="34"/>
  <c r="D12" i="34"/>
  <c r="D13" i="34"/>
  <c r="T8" i="34"/>
  <c r="E7" i="34"/>
  <c r="E6" i="34"/>
  <c r="U5" i="34"/>
  <c r="E11" i="34"/>
  <c r="E10" i="34"/>
  <c r="U7" i="34"/>
  <c r="F13" i="34"/>
  <c r="F12" i="34"/>
  <c r="V8" i="34"/>
  <c r="C12" i="34"/>
  <c r="C13" i="34"/>
  <c r="S8" i="34"/>
  <c r="J75" i="20" l="1"/>
  <c r="I75" i="20"/>
  <c r="H75" i="20"/>
  <c r="J52" i="20"/>
  <c r="I52" i="20"/>
  <c r="H52" i="20"/>
  <c r="H87" i="20"/>
  <c r="J87" i="20"/>
  <c r="I87" i="20"/>
  <c r="J44" i="20"/>
  <c r="I44" i="20"/>
  <c r="H44" i="20"/>
  <c r="J31" i="20"/>
  <c r="I31" i="20"/>
  <c r="H31" i="20"/>
  <c r="I64" i="20"/>
  <c r="H64" i="20"/>
  <c r="J64" i="20"/>
  <c r="I76" i="20"/>
  <c r="H76" i="20"/>
  <c r="J76" i="20"/>
  <c r="J51" i="20"/>
  <c r="I51" i="20"/>
  <c r="H51" i="20"/>
  <c r="J47" i="20"/>
  <c r="I47" i="20"/>
  <c r="H47" i="20"/>
  <c r="I88" i="20"/>
  <c r="J88" i="20"/>
  <c r="H88" i="20"/>
  <c r="I72" i="20"/>
  <c r="J72" i="20"/>
  <c r="H72" i="20"/>
  <c r="J63" i="20"/>
  <c r="I63" i="20"/>
  <c r="H63" i="20"/>
  <c r="I48" i="20"/>
  <c r="H48" i="20"/>
  <c r="J48" i="20"/>
  <c r="H71" i="20"/>
  <c r="I71" i="20"/>
  <c r="J71" i="20"/>
  <c r="J20" i="20"/>
  <c r="I20" i="20"/>
  <c r="H20" i="20"/>
  <c r="J35" i="20"/>
  <c r="I35" i="20"/>
  <c r="H35" i="20"/>
  <c r="J19" i="20"/>
  <c r="I19" i="20"/>
  <c r="H19" i="20"/>
  <c r="J28" i="20"/>
  <c r="I28" i="20"/>
  <c r="H28" i="20"/>
  <c r="J36" i="20"/>
  <c r="I36" i="20"/>
  <c r="H36" i="20"/>
  <c r="H55" i="20"/>
  <c r="I55" i="20"/>
  <c r="J55" i="20"/>
  <c r="J27" i="20"/>
  <c r="I27" i="20"/>
  <c r="H27" i="20"/>
  <c r="J56" i="20"/>
  <c r="I56" i="20"/>
  <c r="H56" i="20"/>
  <c r="J92" i="20"/>
  <c r="I92" i="20"/>
  <c r="H92" i="20"/>
  <c r="J91" i="20"/>
  <c r="I91" i="20"/>
  <c r="H91" i="20"/>
  <c r="J84" i="20"/>
  <c r="H84" i="20"/>
  <c r="I84" i="20"/>
  <c r="H23" i="20"/>
  <c r="I23" i="20"/>
  <c r="J23" i="20"/>
  <c r="J68" i="20"/>
  <c r="I68" i="20"/>
  <c r="H68" i="20"/>
  <c r="J83" i="20"/>
  <c r="I83" i="20"/>
  <c r="H83" i="20"/>
  <c r="J24" i="20"/>
  <c r="I24" i="20"/>
  <c r="H24" i="20"/>
  <c r="J67" i="20"/>
  <c r="I67" i="20"/>
  <c r="H67" i="20"/>
  <c r="J15" i="20"/>
  <c r="I15" i="20"/>
  <c r="H15" i="20"/>
  <c r="H39" i="20"/>
  <c r="I39" i="20"/>
  <c r="J39" i="20"/>
  <c r="I16" i="20"/>
  <c r="H16" i="20"/>
  <c r="J16" i="20"/>
  <c r="J60" i="20"/>
  <c r="I60" i="20"/>
  <c r="H60" i="20"/>
  <c r="H79" i="20"/>
  <c r="J79" i="20"/>
  <c r="I79" i="20"/>
  <c r="J40" i="20"/>
  <c r="I40" i="20"/>
  <c r="H40" i="20"/>
  <c r="J59" i="20"/>
  <c r="I59" i="20"/>
  <c r="H59" i="20"/>
  <c r="I80" i="20"/>
  <c r="J80" i="20"/>
  <c r="H80" i="20"/>
  <c r="J43" i="20"/>
  <c r="I43" i="20"/>
  <c r="H43" i="20"/>
  <c r="I32" i="20"/>
  <c r="H32" i="20"/>
  <c r="J32" i="20"/>
  <c r="H62" i="20" l="1" a="1"/>
  <c r="H62" i="20" s="1"/>
  <c r="H66" i="20" a="1"/>
  <c r="H66" i="20" s="1"/>
  <c r="H54" i="20" a="1"/>
  <c r="H54" i="20" s="1"/>
  <c r="H78" i="20" a="1"/>
  <c r="H78" i="20" s="1"/>
  <c r="H46" i="20" a="1"/>
  <c r="H46" i="20" s="1"/>
  <c r="H42" i="20" a="1"/>
  <c r="H42" i="20" s="1"/>
  <c r="H74" i="20" a="1"/>
  <c r="H74" i="20" s="1"/>
  <c r="H22" i="20" a="1"/>
  <c r="H22" i="20" s="1"/>
  <c r="H94" i="20" a="1"/>
  <c r="H94" i="20" s="1"/>
  <c r="H70" i="20" a="1"/>
  <c r="H70" i="20" s="1"/>
  <c r="H86" i="20" a="1"/>
  <c r="H86" i="20" s="1"/>
  <c r="H26" i="20" a="1"/>
  <c r="H26" i="20" s="1"/>
  <c r="H30" i="20" a="1"/>
  <c r="H30" i="20" s="1"/>
  <c r="H90" i="20" a="1"/>
  <c r="H90" i="20" s="1"/>
  <c r="H38" i="20" a="1"/>
  <c r="H38" i="20" s="1"/>
  <c r="H82" i="20" a="1"/>
  <c r="H82" i="20" s="1"/>
  <c r="H58" i="20" a="1"/>
  <c r="H58" i="20" s="1"/>
  <c r="H50" i="20" a="1"/>
  <c r="H50" i="20" s="1"/>
  <c r="H34" i="20" a="1"/>
  <c r="H34" i="20" s="1"/>
  <c r="H18" i="20" a="1"/>
  <c r="H18" i="20" s="1"/>
  <c r="I18" i="20" l="1"/>
  <c r="J18" i="20" s="1"/>
  <c r="I34" i="20"/>
  <c r="J34" i="20" s="1"/>
  <c r="I26" i="20"/>
  <c r="J26" i="20" s="1"/>
  <c r="I62" i="20"/>
  <c r="J62" i="20" s="1"/>
  <c r="I30" i="20"/>
  <c r="J30" i="20" s="1"/>
  <c r="I70" i="20"/>
  <c r="J70" i="20" s="1"/>
  <c r="I86" i="20"/>
  <c r="J86" i="20" s="1"/>
  <c r="I42" i="20"/>
  <c r="J42" i="20" s="1"/>
  <c r="I38" i="20"/>
  <c r="J38" i="20" s="1"/>
  <c r="I50" i="20"/>
  <c r="J50" i="20" s="1"/>
  <c r="I94" i="20"/>
  <c r="J94" i="20" s="1"/>
  <c r="I22" i="20"/>
  <c r="J22" i="20" s="1"/>
  <c r="I66" i="20"/>
  <c r="J66" i="20" s="1"/>
  <c r="I74" i="20"/>
  <c r="J74" i="20" s="1"/>
  <c r="I78" i="20"/>
  <c r="J78" i="20" s="1"/>
  <c r="I58" i="20"/>
  <c r="J58" i="20" s="1"/>
  <c r="I82" i="20"/>
  <c r="J82" i="20" s="1"/>
  <c r="I90" i="20"/>
  <c r="J90" i="20" s="1"/>
  <c r="I46" i="20"/>
  <c r="J46" i="20" s="1"/>
  <c r="I54" i="20"/>
  <c r="J5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<sst xmlns="http://schemas.openxmlformats.org/spreadsheetml/2006/main" count="3884" uniqueCount="955">
  <si>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</si>
  <si>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</si>
  <si>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</si>
  <si>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</si>
  <si>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</si>
  <si>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</si>
  <si>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</si>
  <si>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</si>
  <si>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</si>
  <si>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</si>
  <si>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</si>
  <si>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</si>
  <si>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</si>
  <si>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</si>
  <si>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</si>
  <si>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</si>
  <si>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</si>
  <si>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</si>
  <si>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</si>
  <si>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</si>
  <si>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</si>
  <si>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</si>
  <si>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</si>
  <si>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</si>
  <si>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</si>
  <si>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</si>
  <si>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</si>
  <si>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</si>
  <si>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</si>
  <si>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</si>
  <si>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</si>
  <si>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</si>
  <si>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</si>
  <si>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</si>
  <si>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</si>
  <si>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</si>
  <si>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</si>
  <si>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</si>
  <si>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</si>
  <si>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</si>
  <si>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</si>
  <si>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</si>
  <si>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</si>
  <si>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</si>
  <si>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</si>
  <si>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</si>
  <si>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</si>
  <si>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</si>
  <si>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</si>
  <si>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</si>
  <si>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</si>
  <si>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</si>
  <si>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</si>
  <si>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</si>
  <si>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</si>
  <si>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</si>
  <si>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</si>
  <si>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</si>
  <si>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</si>
  <si>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</si>
  <si>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</si>
  <si>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</si>
  <si>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</si>
  <si>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</si>
  <si>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</si>
  <si>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</si>
  <si>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</si>
  <si>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</si>
  <si>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</si>
  <si>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</si>
  <si>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</si>
  <si>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</si>
  <si>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</si>
  <si>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</si>
  <si>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</si>
  <si>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</si>
  <si>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</si>
  <si>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</si>
  <si>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</si>
  <si>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</si>
  <si>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</si>
  <si>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</si>
  <si>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</si>
  <si>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</si>
  <si>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</si>
  <si>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</si>
  <si>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</si>
  <si>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</si>
  <si>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</si>
  <si>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</si>
  <si>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</si>
  <si>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</si>
  <si>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</si>
  <si>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</si>
  <si>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</si>
  <si>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</si>
  <si>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</si>
  <si>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</si>
  <si>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</si>
  <si>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</si>
  <si>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</si>
  <si>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</si>
  <si>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</si>
  <si>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</si>
  <si>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</si>
  <si>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</si>
  <si>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</si>
  <si>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</si>
  <si>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</si>
  <si>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</si>
  <si>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</si>
  <si>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</si>
  <si>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</si>
  <si>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</si>
  <si>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</si>
  <si>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</si>
  <si>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</si>
  <si>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</si>
  <si>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</si>
  <si>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</si>
  <si>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</si>
  <si>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</si>
  <si>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</si>
  <si>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</si>
  <si>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</si>
  <si>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</si>
  <si>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</si>
  <si>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</si>
  <si>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</si>
  <si>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</si>
  <si>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</si>
  <si>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</si>
  <si>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</si>
  <si>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</si>
  <si>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</si>
  <si>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</si>
  <si>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</si>
  <si>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</si>
  <si>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</si>
  <si>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</si>
  <si>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</si>
  <si>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</si>
  <si>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</si>
  <si>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</si>
  <si>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</si>
  <si>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</si>
  <si>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</si>
  <si>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</si>
  <si>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</si>
  <si>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</si>
  <si>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</si>
  <si>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</si>
  <si>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</si>
  <si>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</si>
  <si>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</si>
  <si>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</si>
  <si>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</si>
  <si>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</si>
  <si>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</si>
  <si>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</si>
  <si>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</si>
  <si>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</si>
  <si>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</si>
  <si>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</si>
  <si>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</si>
  <si>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</si>
  <si>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</si>
  <si>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</si>
  <si>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</si>
  <si>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</si>
  <si>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</si>
  <si>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</si>
  <si>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</si>
  <si>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</si>
  <si>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</si>
  <si>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</si>
  <si>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</si>
  <si>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</si>
  <si>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</si>
  <si>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</si>
  <si>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</si>
  <si>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</si>
  <si>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</si>
  <si>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</si>
  <si>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</si>
  <si>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</si>
  <si>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</si>
  <si>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</si>
  <si>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</si>
  <si>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</si>
  <si>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</si>
  <si>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</si>
  <si>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</si>
  <si>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</si>
  <si>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</si>
  <si>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</si>
  <si>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</si>
  <si>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</si>
  <si>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</si>
  <si>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</si>
  <si>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</si>
  <si>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</si>
  <si>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</si>
  <si>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</si>
  <si>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</si>
  <si>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</si>
  <si>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</si>
  <si>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</si>
  <si>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</si>
  <si>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</si>
  <si>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</si>
  <si>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</si>
  <si>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</si>
  <si>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</si>
  <si>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</si>
  <si>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</si>
  <si>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</si>
  <si>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</si>
  <si>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</si>
  <si>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</si>
  <si>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</si>
  <si>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</si>
  <si>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</si>
  <si>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</si>
  <si>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</si>
  <si>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</si>
  <si>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</si>
  <si>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</si>
  <si>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</si>
  <si>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</si>
  <si>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</si>
  <si>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</si>
  <si>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</si>
  <si>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</si>
  <si>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</si>
  <si>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</si>
  <si>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</si>
  <si>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</si>
  <si>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</si>
  <si>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</si>
  <si>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</si>
  <si>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</si>
  <si>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</si>
  <si>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</si>
  <si>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</si>
  <si>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</si>
  <si>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</si>
  <si>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</si>
  <si>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</si>
  <si>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</si>
  <si>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</si>
  <si>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</si>
  <si>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</si>
  <si>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</si>
  <si>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</si>
  <si>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</si>
  <si>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</si>
  <si>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</si>
  <si>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</si>
  <si>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</si>
  <si>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</si>
  <si>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</si>
  <si>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</si>
  <si>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</si>
  <si>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</si>
  <si>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</si>
  <si>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</si>
  <si>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</si>
  <si>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</si>
  <si>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</si>
  <si>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</si>
  <si>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</si>
  <si>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</si>
  <si>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</si>
  <si>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</si>
  <si>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</si>
  <si>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</si>
  <si>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</si>
  <si>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</si>
  <si>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</si>
  <si>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</si>
  <si>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</si>
  <si>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</si>
  <si>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</si>
  <si>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</si>
  <si>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</si>
  <si>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</si>
  <si>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</si>
  <si>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</si>
  <si>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</si>
  <si>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</si>
  <si>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</si>
  <si>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</si>
  <si>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</si>
  <si>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</si>
  <si>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</si>
  <si>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</si>
  <si>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</si>
  <si>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</si>
  <si>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</si>
  <si>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</si>
  <si>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</si>
  <si>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</si>
  <si>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</si>
  <si>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</si>
  <si>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</si>
  <si>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</si>
  <si>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</si>
  <si>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</si>
  <si>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</si>
  <si>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</si>
  <si>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</si>
  <si>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</si>
  <si>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</si>
  <si>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</si>
  <si>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</si>
  <si>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</si>
  <si>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</si>
  <si>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</si>
  <si>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</si>
  <si>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</si>
  <si>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</si>
  <si>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</si>
  <si>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</si>
  <si>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</si>
  <si>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</si>
  <si>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</si>
  <si>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</si>
  <si>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</si>
  <si>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</si>
  <si>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</si>
  <si>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</si>
  <si>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</si>
  <si>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</si>
  <si>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</si>
  <si>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</si>
  <si>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</si>
  <si>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</si>
  <si>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</si>
  <si>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</si>
  <si>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</si>
  <si>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</si>
  <si>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</si>
  <si>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</si>
  <si>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</si>
  <si>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</si>
  <si>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</si>
  <si>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</si>
  <si>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</si>
  <si>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</si>
  <si>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</si>
  <si>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</si>
  <si>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</si>
  <si>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</si>
  <si>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</si>
  <si>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</si>
  <si>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</si>
  <si>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</si>
  <si>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</si>
  <si>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</si>
  <si>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</si>
  <si>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</si>
  <si>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</si>
  <si>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</si>
  <si>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</si>
  <si>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</si>
  <si>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</si>
  <si>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</si>
  <si>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</si>
  <si>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</si>
  <si>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</si>
  <si>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</si>
  <si>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</si>
  <si>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</si>
  <si>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</si>
  <si>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</si>
  <si>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</si>
  <si>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</si>
  <si>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</si>
  <si>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</si>
  <si>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</si>
  <si>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</si>
  <si>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</si>
  <si>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</si>
  <si>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</si>
  <si>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</si>
  <si>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</si>
  <si>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</si>
  <si>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</si>
  <si>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</si>
  <si>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</si>
  <si>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</si>
  <si>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</si>
  <si>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</si>
  <si>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</si>
  <si>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</si>
  <si>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</si>
  <si>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</si>
  <si>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</si>
  <si>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</si>
  <si>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</si>
  <si>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</si>
  <si>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</si>
  <si>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</si>
  <si>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</si>
  <si>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</si>
  <si>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</si>
  <si>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</si>
  <si>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</si>
  <si>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</si>
  <si>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</si>
  <si>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</si>
  <si>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</si>
  <si>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</si>
  <si>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</si>
  <si>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</si>
  <si>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</si>
  <si>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</si>
  <si>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</si>
  <si>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</si>
  <si>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</si>
  <si>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</si>
  <si>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</si>
  <si>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</si>
  <si>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</si>
  <si>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</si>
  <si>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</si>
  <si>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</si>
  <si>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</si>
  <si>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</si>
  <si>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</si>
  <si>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</si>
  <si>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</si>
  <si>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</si>
  <si>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</si>
  <si>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</si>
  <si>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</si>
  <si>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</si>
  <si>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</si>
  <si>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</si>
  <si>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</si>
  <si>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</si>
  <si>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</si>
  <si>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</si>
  <si>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</si>
  <si>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</si>
  <si>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</si>
  <si>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</si>
  <si>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</si>
  <si>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</si>
  <si>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</si>
  <si>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</si>
  <si>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</si>
  <si>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</si>
  <si>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</si>
  <si>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</si>
  <si>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</si>
  <si>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</si>
  <si>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</si>
  <si>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</si>
  <si>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</si>
  <si>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</si>
  <si>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</si>
  <si>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</si>
  <si>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</si>
  <si>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</si>
  <si>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</si>
  <si>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</si>
  <si>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</si>
  <si>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</si>
  <si>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</si>
  <si>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</si>
  <si>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</si>
  <si>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</si>
  <si>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</si>
  <si>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</si>
  <si>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</si>
  <si>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</si>
  <si>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</si>
  <si>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</si>
  <si>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</si>
  <si>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</si>
  <si>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</si>
  <si>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</si>
  <si>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</si>
  <si>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</si>
  <si>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</si>
  <si>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</si>
  <si>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</si>
  <si>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</si>
  <si>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</si>
  <si>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</si>
  <si>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</si>
  <si>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</si>
  <si>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</si>
  <si>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</si>
  <si>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</si>
  <si>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</si>
  <si>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</si>
  <si>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</si>
  <si>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</si>
  <si>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</si>
  <si>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</si>
  <si>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</si>
  <si>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</si>
  <si>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</si>
  <si>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</si>
  <si>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</si>
  <si>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</si>
  <si>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</si>
  <si>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</si>
  <si>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</si>
  <si>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</si>
  <si>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</si>
  <si>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</si>
  <si>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</si>
  <si>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</si>
  <si>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</si>
  <si>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</si>
  <si>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</si>
  <si>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</si>
  <si>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</si>
  <si>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</si>
  <si>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</si>
  <si>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</si>
  <si>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</si>
  <si>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</si>
  <si>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</si>
  <si>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</si>
  <si>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</si>
  <si>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</si>
  <si>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</si>
  <si>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</si>
  <si>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</si>
  <si>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</si>
  <si>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</si>
  <si>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</si>
  <si>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</si>
  <si>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</si>
  <si>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</si>
  <si>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</si>
  <si>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</si>
  <si>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</si>
  <si>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</si>
  <si>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</si>
  <si>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</si>
  <si>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</si>
  <si>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</si>
  <si>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</si>
  <si>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</si>
  <si>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</si>
  <si>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</si>
  <si>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</si>
  <si>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</si>
  <si>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</si>
  <si>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</si>
  <si>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</si>
  <si>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</si>
  <si>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</si>
  <si>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</si>
  <si>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</si>
  <si>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</si>
  <si>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</si>
  <si>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</si>
  <si>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</si>
  <si>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</si>
  <si>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</si>
  <si>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</si>
  <si>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</si>
  <si>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</si>
  <si>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</si>
  <si>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</si>
  <si>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</si>
  <si>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</si>
  <si>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</si>
  <si>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</si>
  <si>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</si>
  <si>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</si>
  <si>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</si>
  <si>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</si>
  <si>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</si>
  <si>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</si>
  <si>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</si>
  <si>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</si>
  <si>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</si>
  <si>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</si>
  <si>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</si>
  <si>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</si>
  <si>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</si>
  <si>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</si>
  <si>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</si>
  <si>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</si>
  <si>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</si>
  <si>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</si>
  <si>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</si>
  <si>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</si>
  <si>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</si>
  <si>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</si>
  <si>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</si>
  <si>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</si>
  <si>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</si>
  <si>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</si>
  <si>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</si>
  <si>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</si>
  <si>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</si>
  <si>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</si>
  <si>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</si>
  <si>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</si>
  <si>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</si>
  <si>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</si>
  <si>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</si>
  <si>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</si>
  <si>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</si>
  <si>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</si>
  <si>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</si>
  <si>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</si>
  <si>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</si>
  <si>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</si>
  <si>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</si>
  <si>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</si>
  <si>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</si>
  <si>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</si>
  <si>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</si>
  <si>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</si>
  <si>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</si>
  <si>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</si>
  <si>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</si>
  <si>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</si>
  <si>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</si>
  <si>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</si>
  <si>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</si>
  <si>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</si>
  <si>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</si>
  <si>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</si>
  <si>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</si>
  <si>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</si>
  <si>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</si>
  <si>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</si>
  <si>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</si>
  <si>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</si>
  <si>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</si>
  <si>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</si>
  <si>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</si>
  <si>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</si>
  <si>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</si>
  <si>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</si>
  <si>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</si>
  <si>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</si>
  <si>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</si>
  <si>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</si>
  <si>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</si>
  <si>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</si>
  <si>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</si>
  <si>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</si>
  <si>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</si>
  <si>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</si>
  <si>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</si>
  <si>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</si>
  <si>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</si>
  <si>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</si>
  <si>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</si>
  <si>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</si>
  <si>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</si>
  <si>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</si>
  <si>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</si>
  <si>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</si>
  <si>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</si>
  <si>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</si>
  <si>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</si>
  <si>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</si>
  <si>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</si>
  <si>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</si>
  <si>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</si>
  <si>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</si>
  <si>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</si>
  <si>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</si>
  <si>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</si>
  <si>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</si>
  <si>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</si>
  <si>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</si>
  <si>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</si>
  <si>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</si>
  <si>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</si>
  <si>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</si>
  <si>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</si>
  <si>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</si>
  <si>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</si>
  <si>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</si>
  <si>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</si>
  <si>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</si>
  <si>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</si>
  <si>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</si>
  <si>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</si>
  <si>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</si>
  <si>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</si>
  <si>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</si>
  <si>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</si>
  <si>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</si>
  <si>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</si>
  <si>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</si>
  <si>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</si>
  <si>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</si>
  <si>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</si>
  <si>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</si>
  <si>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</si>
  <si>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</si>
  <si>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</si>
  <si>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</si>
  <si>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</si>
  <si>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</si>
  <si>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</si>
  <si>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</si>
  <si>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</si>
  <si>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</si>
  <si>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</si>
  <si>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</si>
  <si>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</si>
  <si>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</si>
  <si>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</si>
  <si>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</si>
  <si>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</si>
  <si>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</si>
  <si>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</si>
  <si>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</si>
  <si>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</si>
  <si>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</si>
  <si>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</si>
  <si>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</si>
  <si>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</si>
  <si>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</si>
  <si>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</si>
  <si>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</si>
  <si>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</si>
  <si>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</si>
  <si>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</si>
  <si>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</si>
  <si>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</si>
  <si>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</si>
  <si>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</si>
  <si>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</si>
  <si>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</si>
  <si>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</si>
  <si>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</si>
  <si>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</si>
  <si>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</si>
  <si>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</si>
  <si>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</si>
  <si>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</si>
  <si>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</si>
  <si>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</si>
  <si>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</si>
  <si>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</si>
  <si>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</si>
  <si>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</si>
  <si>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</si>
  <si>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</si>
  <si>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</si>
  <si>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</si>
  <si>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</si>
  <si>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</si>
  <si>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</si>
  <si>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</si>
  <si>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</si>
  <si>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</si>
  <si>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</si>
  <si>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</si>
  <si>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</si>
  <si>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</si>
  <si>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</si>
  <si>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</si>
  <si>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</si>
  <si>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</si>
  <si>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</si>
  <si>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</si>
  <si>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</si>
  <si>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</si>
  <si>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</si>
  <si>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</si>
  <si>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</si>
  <si>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</si>
  <si>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</si>
  <si>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</si>
  <si>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</si>
  <si>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</si>
  <si>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</si>
  <si>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</si>
  <si>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</si>
  <si>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</si>
  <si>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</si>
  <si>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</si>
  <si>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</si>
  <si>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</si>
  <si>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</si>
  <si>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</si>
  <si>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</si>
  <si>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</si>
  <si>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</si>
  <si>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</si>
  <si>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</si>
  <si>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</si>
  <si>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</si>
  <si>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</si>
  <si>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</si>
  <si>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</si>
  <si>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</si>
  <si>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</si>
  <si>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</si>
  <si>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</si>
  <si>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</si>
  <si>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</si>
  <si>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</si>
  <si>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</si>
  <si>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</si>
  <si>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</si>
  <si>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</si>
  <si>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</si>
  <si>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</si>
  <si>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</si>
  <si>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</si>
  <si>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</si>
  <si>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</si>
  <si>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</si>
  <si>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</si>
  <si>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</si>
  <si>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</si>
  <si>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</si>
  <si>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</si>
  <si>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</si>
  <si>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</si>
  <si>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</si>
  <si>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</si>
  <si>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</si>
  <si>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</si>
  <si>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</si>
  <si>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</si>
  <si>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</si>
  <si>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</si>
  <si>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</si>
  <si>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</si>
  <si>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</si>
  <si>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</si>
  <si>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</si>
  <si>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</si>
  <si>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</si>
  <si>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</si>
  <si>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</si>
  <si>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</si>
  <si>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</si>
  <si>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</si>
  <si>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</si>
  <si>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</si>
  <si>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</si>
  <si>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</si>
  <si>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</si>
  <si>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</si>
  <si>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</si>
  <si>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</si>
  <si>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</si>
  <si>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</si>
  <si>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</si>
  <si>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</si>
  <si>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</si>
  <si>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</si>
  <si>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</si>
  <si>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</si>
  <si>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</si>
  <si>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</si>
  <si>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</si>
  <si>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</si>
  <si>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</si>
  <si>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</si>
  <si>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</si>
  <si>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</si>
  <si>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</si>
  <si>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</si>
  <si>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</si>
  <si>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</si>
  <si>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</si>
  <si>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</si>
  <si>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</si>
  <si>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</si>
  <si>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</si>
  <si>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</si>
  <si>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</si>
  <si>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</si>
  <si>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</si>
  <si>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</si>
  <si>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</si>
  <si>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</si>
  <si>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</si>
  <si>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</si>
  <si>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</si>
  <si>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</si>
  <si>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</si>
  <si>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</si>
  <si>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Fødevaredata (http://frida.fooddata.dk), version 5.0, 2023
Fødevareinstituttet, Danmarks Tekniske Universitet</t>
  </si>
  <si>
    <t>Fødevaregruppe</t>
  </si>
  <si>
    <t>Friske bælgplanter</t>
  </si>
  <si>
    <t>Friske æg (kun hele æg)</t>
  </si>
  <si>
    <t>Høns og kylling (kun "rå")</t>
  </si>
  <si>
    <t>Fedtrige frø</t>
  </si>
  <si>
    <t>Kernefrugt (her valgt æble og pære)</t>
  </si>
  <si>
    <t>Rod- og knoldgrøntsager + Blad- og stængelgrøntsager</t>
  </si>
  <si>
    <t>Rod- og knoldgrøntsager (kun kartoffel + rå)</t>
  </si>
  <si>
    <t>Korn og gryn (Havregryn, hvedekim, hvedegryn)</t>
  </si>
  <si>
    <t>Frugt-grøntsager (majskolbe rå)</t>
  </si>
  <si>
    <t>Usyrnede mækeprodukter (sødmælk konventionel, sødmælk økologisk)</t>
  </si>
  <si>
    <t>Bløddyr og produkter heraf (musling rå)</t>
  </si>
  <si>
    <t>(antaget lig med grøntsager)</t>
  </si>
  <si>
    <t>Antaget lig med mejeriprodukter</t>
  </si>
  <si>
    <t>(søgt på rapsolie)</t>
  </si>
  <si>
    <t>(majroe + kålrabi)</t>
  </si>
  <si>
    <t>(søgt på tang)</t>
  </si>
  <si>
    <t>Svinekød (Gris)</t>
  </si>
  <si>
    <r>
      <rPr>
        <sz val="8"/>
        <rFont val="Calibri"/>
        <family val="2"/>
      </rPr>
      <t xml:space="preserve">Cereals –
</t>
    </r>
    <r>
      <rPr>
        <sz val="8"/>
        <rFont val="Calibri"/>
        <family val="2"/>
      </rPr>
      <t>excl. beer</t>
    </r>
  </si>
  <si>
    <r>
      <rPr>
        <sz val="8"/>
        <rFont val="Calibri"/>
        <family val="2"/>
      </rPr>
      <t xml:space="preserve">Starchy
</t>
    </r>
    <r>
      <rPr>
        <sz val="8"/>
        <rFont val="Calibri"/>
        <family val="2"/>
      </rPr>
      <t>roots</t>
    </r>
  </si>
  <si>
    <r>
      <rPr>
        <sz val="8"/>
        <rFont val="Calibri"/>
        <family val="2"/>
      </rPr>
      <t>Sugar crops</t>
    </r>
  </si>
  <si>
    <r>
      <rPr>
        <sz val="8"/>
        <rFont val="Calibri"/>
        <family val="2"/>
      </rPr>
      <t xml:space="preserve">Sugar &amp;
</t>
    </r>
    <r>
      <rPr>
        <sz val="8"/>
        <rFont val="Calibri"/>
        <family val="2"/>
      </rPr>
      <t>sweeteners</t>
    </r>
  </si>
  <si>
    <r>
      <rPr>
        <sz val="8"/>
        <rFont val="Calibri"/>
        <family val="2"/>
      </rPr>
      <t>Pulses</t>
    </r>
  </si>
  <si>
    <r>
      <rPr>
        <sz val="8"/>
        <rFont val="Calibri"/>
        <family val="2"/>
      </rPr>
      <t>Treenuts</t>
    </r>
  </si>
  <si>
    <r>
      <rPr>
        <sz val="8"/>
        <rFont val="Calibri"/>
        <family val="2"/>
      </rPr>
      <t>Oilcrops</t>
    </r>
  </si>
  <si>
    <r>
      <rPr>
        <sz val="8"/>
        <rFont val="Calibri"/>
        <family val="2"/>
      </rPr>
      <t xml:space="preserve">Vegetable
</t>
    </r>
    <r>
      <rPr>
        <sz val="8"/>
        <rFont val="Calibri"/>
        <family val="2"/>
      </rPr>
      <t>oils</t>
    </r>
  </si>
  <si>
    <r>
      <rPr>
        <sz val="8"/>
        <rFont val="Calibri"/>
        <family val="2"/>
      </rPr>
      <t>Vegetables</t>
    </r>
  </si>
  <si>
    <r>
      <rPr>
        <sz val="8"/>
        <rFont val="Calibri"/>
        <family val="2"/>
      </rPr>
      <t xml:space="preserve">Fruits – excl.
</t>
    </r>
    <r>
      <rPr>
        <sz val="8"/>
        <rFont val="Calibri"/>
        <family val="2"/>
      </rPr>
      <t>wine</t>
    </r>
  </si>
  <si>
    <r>
      <rPr>
        <sz val="8"/>
        <rFont val="Calibri"/>
        <family val="2"/>
      </rPr>
      <t>Stimulants</t>
    </r>
  </si>
  <si>
    <r>
      <rPr>
        <sz val="8"/>
        <rFont val="Calibri"/>
        <family val="2"/>
      </rPr>
      <t>Spices</t>
    </r>
  </si>
  <si>
    <r>
      <rPr>
        <sz val="8"/>
        <rFont val="Calibri"/>
        <family val="2"/>
      </rPr>
      <t xml:space="preserve">Alcoholic
</t>
    </r>
    <r>
      <rPr>
        <sz val="8"/>
        <rFont val="Calibri"/>
        <family val="2"/>
      </rPr>
      <t>beverages</t>
    </r>
  </si>
  <si>
    <r>
      <rPr>
        <sz val="8"/>
        <rFont val="Calibri"/>
        <family val="2"/>
      </rPr>
      <t>Meat</t>
    </r>
  </si>
  <si>
    <r>
      <rPr>
        <sz val="8"/>
        <rFont val="Calibri"/>
        <family val="2"/>
      </rPr>
      <t>Offals</t>
    </r>
  </si>
  <si>
    <r>
      <rPr>
        <sz val="8"/>
        <rFont val="Calibri"/>
        <family val="2"/>
      </rPr>
      <t>Animal fats</t>
    </r>
  </si>
  <si>
    <r>
      <rPr>
        <sz val="8"/>
        <rFont val="Calibri"/>
        <family val="2"/>
      </rPr>
      <t>Eggs</t>
    </r>
  </si>
  <si>
    <r>
      <rPr>
        <sz val="8"/>
        <rFont val="Calibri"/>
        <family val="2"/>
      </rPr>
      <t xml:space="preserve">Milk – excl.
</t>
    </r>
    <r>
      <rPr>
        <sz val="8"/>
        <rFont val="Calibri"/>
        <family val="2"/>
      </rPr>
      <t>butter</t>
    </r>
  </si>
  <si>
    <r>
      <rPr>
        <sz val="8"/>
        <rFont val="Calibri"/>
        <family val="2"/>
      </rPr>
      <t xml:space="preserve">Fish,
</t>
    </r>
    <r>
      <rPr>
        <sz val="8"/>
        <rFont val="Calibri"/>
        <family val="2"/>
      </rPr>
      <t>seafood</t>
    </r>
  </si>
  <si>
    <r>
      <rPr>
        <sz val="8"/>
        <rFont val="Calibri"/>
        <family val="2"/>
      </rPr>
      <t xml:space="preserve">Aquatic
</t>
    </r>
    <r>
      <rPr>
        <sz val="8"/>
        <rFont val="Calibri"/>
        <family val="2"/>
      </rPr>
      <t>prod, other</t>
    </r>
  </si>
  <si>
    <r>
      <rPr>
        <sz val="8"/>
        <rFont val="Calibri"/>
        <family val="2"/>
      </rPr>
      <t>Miscellan.</t>
    </r>
  </si>
  <si>
    <t>FAO crop</t>
  </si>
  <si>
    <t>BioRes crop</t>
  </si>
  <si>
    <t>BioRes/FAO</t>
  </si>
  <si>
    <t>kcal/100 g (Nuværende værdi)</t>
  </si>
  <si>
    <t>kcal/100 g (Oprindelig værdi)</t>
  </si>
  <si>
    <t>Sammenligning af Kcal/100g værdier med FAO-tal</t>
  </si>
  <si>
    <t xml:space="preserve">Kcal/100g from FAO - udregninger fra </t>
  </si>
  <si>
    <t>Sammenlignet med udregninger på baggrund af tabel 1 i:</t>
  </si>
  <si>
    <t>Schou, J. S., Elleby, C., &amp; Lind, K. M. H., (2016). Hvor mange mennesker kan dansk landbrugs fødevareproduktion brødføde?, 7 s., IFRO Udredning Nr. 2016/30</t>
  </si>
  <si>
    <t>BioRes number</t>
  </si>
  <si>
    <t>Adjust</t>
  </si>
  <si>
    <t>https://static-curis.ku.dk/portal/files/209323723/IFRO_Udredning_2016_30.pdf</t>
  </si>
  <si>
    <t>Naturskov - selvopfunden (før gennemsnit af III Naturlig tilgroning)</t>
  </si>
  <si>
    <t>Hugsten = naturlig tilgroning, Trædække under 50%...</t>
  </si>
  <si>
    <t>2-7 tons ifølge "Blå biomasse — potentialer og udfordringer for opdræt af muslinger og tang", s. 23,</t>
  </si>
  <si>
    <t>TS procent</t>
  </si>
  <si>
    <t>Foderprotein</t>
  </si>
  <si>
    <t>Fødevareprotein</t>
  </si>
  <si>
    <t>Sat til 0 for Concito udregninger, tidligere:</t>
  </si>
  <si>
    <t>Scenarie_Fremtidsbillede1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</si>
</sst>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9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8"/>
      <name val="Calibri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48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16" fillId="4" borderId="0" xfId="0" applyFont="1" applyFill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3" fontId="0" fillId="0" borderId="0" xfId="0" applyNumberFormat="1"/>
    <xf numFmtId="9" fontId="0" fillId="0" borderId="46" xfId="0" applyNumberFormat="1" applyBorder="1"/>
    <xf numFmtId="3" fontId="0" fillId="0" borderId="47" xfId="0" applyNumberFormat="1" applyBorder="1"/>
    <xf numFmtId="0" fontId="1" fillId="0" borderId="0" xfId="0" applyFont="1"/>
    <xf numFmtId="2" fontId="0" fillId="0" borderId="0" xfId="0" applyNumberFormat="1"/>
    <xf numFmtId="0" fontId="19" fillId="2" borderId="0" xfId="6" applyFill="1"/>
    <xf numFmtId="0" fontId="3" fillId="0" borderId="0" xfId="0" applyFont="1"/>
    <xf numFmtId="0" fontId="3" fillId="0" borderId="0" xfId="0" applyFont="1" applyAlignment="1">
      <alignment horizontal="left" vertical="top"/>
    </xf>
    <xf numFmtId="2" fontId="0" fillId="0" borderId="38" xfId="0" applyNumberFormat="1" applyBorder="1"/>
    <xf numFmtId="166" fontId="0" fillId="0" borderId="0" xfId="0" applyNumberFormat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10" fillId="0" borderId="0" xfId="3" applyFont="1"/>
    <xf numFmtId="0" fontId="9" fillId="0" borderId="0" xfId="3" applyFont="1"/>
    <xf numFmtId="0" fontId="7" fillId="0" borderId="0" xfId="3" applyAlignment="1">
      <alignment horizontal="right"/>
    </xf>
    <xf numFmtId="0" fontId="9" fillId="0" borderId="0" xfId="3" applyFont="1" applyAlignment="1">
      <alignment wrapText="1"/>
    </xf>
    <xf numFmtId="0" fontId="20" fillId="0" borderId="0" xfId="0" applyFont="1"/>
    <xf numFmtId="1" fontId="0" fillId="0" borderId="0" xfId="0" applyNumberFormat="1"/>
    <xf numFmtId="168" fontId="0" fillId="0" borderId="0" xfId="0" applyNumberFormat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Border="1" applyAlignment="1">
      <alignment horizontal="left" vertical="top"/>
    </xf>
    <xf numFmtId="2" fontId="0" fillId="5" borderId="0" xfId="0" applyNumberFormat="1" applyFill="1"/>
    <xf numFmtId="1" fontId="0" fillId="5" borderId="0" xfId="0" applyNumberFormat="1" applyFill="1"/>
    <xf numFmtId="2" fontId="0" fillId="17" borderId="31" xfId="0" applyNumberFormat="1" applyFill="1" applyBorder="1"/>
    <xf numFmtId="2" fontId="0" fillId="17" borderId="0" xfId="0" applyNumberFormat="1" applyFill="1"/>
    <xf numFmtId="166" fontId="0" fillId="17" borderId="0" xfId="0" applyNumberFormat="1" applyFill="1"/>
    <xf numFmtId="0" fontId="21" fillId="2" borderId="0" xfId="0" applyFont="1" applyFill="1"/>
    <xf numFmtId="169" fontId="0" fillId="17" borderId="0" xfId="0" applyNumberFormat="1" applyFill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10" fontId="0" fillId="0" borderId="0" xfId="0" applyNumberFormat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170" fontId="0" fillId="5" borderId="31" xfId="0" applyNumberFormat="1" applyFill="1" applyBorder="1"/>
    <xf numFmtId="170" fontId="0" fillId="5" borderId="0" xfId="0" applyNumberFormat="1" applyFill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5" borderId="1" xfId="0" applyNumberFormat="1" applyFill="1" applyBorder="1"/>
    <xf numFmtId="1" fontId="0" fillId="0" borderId="9" xfId="7" applyNumberFormat="1" applyFont="1" applyBorder="1"/>
    <xf numFmtId="0" fontId="0" fillId="0" borderId="1" xfId="7" applyFont="1" applyBorder="1"/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/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Border="1"/>
    <xf numFmtId="0" fontId="0" fillId="27" borderId="57" xfId="0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/>
    <xf numFmtId="2" fontId="42" fillId="55" borderId="83" xfId="40" applyNumberFormat="1" applyFill="1" applyBorder="1" applyAlignment="1">
      <alignment horizontal="left" vertical="center" indent="2"/>
    </xf>
    <xf numFmtId="0" fontId="41" fillId="55" borderId="83" xfId="13" applyFont="1" applyFill="1" applyBorder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168" fontId="86" fillId="0" borderId="0" xfId="0" applyNumberFormat="1" applyFont="1"/>
    <xf numFmtId="0" fontId="87" fillId="0" borderId="38" xfId="0" applyFont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166" fontId="86" fillId="0" borderId="0" xfId="0" applyNumberFormat="1" applyFont="1"/>
    <xf numFmtId="4" fontId="0" fillId="2" borderId="0" xfId="0" applyNumberFormat="1" applyFill="1"/>
    <xf numFmtId="0" fontId="41" fillId="55" borderId="83" xfId="161" applyFont="1" applyFill="1" applyBorder="1"/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7" fillId="0" borderId="0" xfId="3" applyBorder="1"/>
    <xf numFmtId="0" fontId="0" fillId="0" borderId="0" xfId="0" applyAlignment="1">
      <alignment vertical="top"/>
    </xf>
    <xf numFmtId="0" fontId="0" fillId="0" borderId="91" xfId="0" applyBorder="1" applyAlignment="1">
      <alignment horizontal="left" vertical="top" wrapText="1" indent="1"/>
    </xf>
    <xf numFmtId="0" fontId="89" fillId="0" borderId="91" xfId="0" applyFont="1" applyBorder="1" applyAlignment="1">
      <alignment horizontal="left" vertical="center" wrapText="1" indent="1"/>
    </xf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pure.au.dk/portal/files/136780099/Levering_Biomasseproduktion_i_Limfjordsopland.pdf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55" t="s">
        <v>0</v>
      </c>
      <c r="B1" s="455"/>
    </row>
    <row r="2" spans="1:5" ht="30" customHeight="1" x14ac:dyDescent="0.25">
      <c r="A2" s="454" t="s">
        <v>765</v>
      </c>
      <c r="B2" s="454"/>
    </row>
    <row r="3" spans="1:5" x14ac:dyDescent="0.25">
      <c r="A3" s="457" t="s">
        <v>6</v>
      </c>
      <c r="B3" s="457"/>
    </row>
    <row r="4" spans="1:5" ht="28.9" customHeight="1" x14ac:dyDescent="0.25">
      <c r="A4" s="454" t="s">
        <v>883</v>
      </c>
      <c r="B4" s="454"/>
    </row>
    <row r="5" spans="1:5" x14ac:dyDescent="0.25">
      <c r="A5" s="456" t="s">
        <v>764</v>
      </c>
      <c r="B5" s="456"/>
    </row>
    <row r="6" spans="1:5" x14ac:dyDescent="0.25">
      <c r="B6" s="434" t="s">
        <v>891</v>
      </c>
    </row>
    <row r="7" spans="1:5" x14ac:dyDescent="0.25">
      <c r="A7" s="2" t="s">
        <v>1</v>
      </c>
      <c r="B7" s="3" t="s">
        <v>954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54" t="s">
        <v>5</v>
      </c>
      <c r="B9" s="454"/>
    </row>
    <row r="10" spans="1:5" ht="15.75" thickTop="1" x14ac:dyDescent="0.25">
      <c r="A10" s="327" t="s">
        <v>753</v>
      </c>
      <c r="B10" s="328" t="s">
        <v>287</v>
      </c>
      <c r="D10" s="357" t="s">
        <v>269</v>
      </c>
      <c r="E10" s="358"/>
    </row>
    <row r="11" spans="1:5" x14ac:dyDescent="0.25">
      <c r="A11" s="329" t="s">
        <v>278</v>
      </c>
      <c r="B11" s="330" t="s">
        <v>754</v>
      </c>
      <c r="D11" s="359" t="s">
        <v>775</v>
      </c>
      <c r="E11" s="360" t="s">
        <v>270</v>
      </c>
    </row>
    <row r="12" spans="1:5" x14ac:dyDescent="0.25">
      <c r="A12" s="329"/>
      <c r="B12" s="330" t="s">
        <v>4</v>
      </c>
      <c r="D12" s="359" t="s">
        <v>271</v>
      </c>
      <c r="E12" s="360" t="s">
        <v>272</v>
      </c>
    </row>
    <row r="13" spans="1:5" x14ac:dyDescent="0.25">
      <c r="A13" s="331" t="s">
        <v>671</v>
      </c>
      <c r="B13" s="330" t="s">
        <v>755</v>
      </c>
      <c r="D13" s="359" t="s">
        <v>273</v>
      </c>
      <c r="E13" s="360" t="s">
        <v>274</v>
      </c>
    </row>
    <row r="14" spans="1:5" x14ac:dyDescent="0.25">
      <c r="A14" s="329" t="s">
        <v>279</v>
      </c>
      <c r="B14" s="330" t="s">
        <v>756</v>
      </c>
      <c r="D14" s="359"/>
      <c r="E14" s="360"/>
    </row>
    <row r="15" spans="1:5" x14ac:dyDescent="0.25">
      <c r="A15" s="329"/>
      <c r="B15" s="330"/>
      <c r="D15" s="361" t="s">
        <v>275</v>
      </c>
      <c r="E15" s="360"/>
    </row>
    <row r="16" spans="1:5" x14ac:dyDescent="0.25">
      <c r="A16" s="331" t="s">
        <v>757</v>
      </c>
      <c r="B16" s="332" t="s">
        <v>758</v>
      </c>
      <c r="D16" s="359" t="s">
        <v>276</v>
      </c>
      <c r="E16" s="360"/>
    </row>
    <row r="17" spans="1:5" x14ac:dyDescent="0.25">
      <c r="A17" s="329" t="s">
        <v>759</v>
      </c>
      <c r="B17" s="330" t="s">
        <v>760</v>
      </c>
      <c r="D17" s="359" t="s">
        <v>82</v>
      </c>
      <c r="E17" s="360"/>
    </row>
    <row r="18" spans="1:5" x14ac:dyDescent="0.25">
      <c r="A18" s="329"/>
      <c r="B18" s="330"/>
      <c r="D18" s="359" t="s">
        <v>77</v>
      </c>
      <c r="E18" s="360"/>
    </row>
    <row r="19" spans="1:5" x14ac:dyDescent="0.25">
      <c r="A19" s="331" t="s">
        <v>528</v>
      </c>
      <c r="B19" s="332" t="s">
        <v>36</v>
      </c>
      <c r="D19" s="359" t="s">
        <v>277</v>
      </c>
      <c r="E19" s="360"/>
    </row>
    <row r="20" spans="1:5" x14ac:dyDescent="0.25">
      <c r="A20" s="329" t="s">
        <v>280</v>
      </c>
      <c r="B20" s="330" t="s">
        <v>761</v>
      </c>
      <c r="D20" s="359" t="s">
        <v>70</v>
      </c>
      <c r="E20" s="360"/>
    </row>
    <row r="21" spans="1:5" x14ac:dyDescent="0.25">
      <c r="A21" s="329" t="s">
        <v>281</v>
      </c>
      <c r="B21" s="330"/>
      <c r="D21" s="359"/>
      <c r="E21" s="360"/>
    </row>
    <row r="22" spans="1:5" x14ac:dyDescent="0.25">
      <c r="A22" s="329" t="s">
        <v>282</v>
      </c>
      <c r="B22" s="330"/>
      <c r="D22" s="361" t="s">
        <v>774</v>
      </c>
      <c r="E22" s="360"/>
    </row>
    <row r="23" spans="1:5" x14ac:dyDescent="0.25">
      <c r="A23" s="329" t="s">
        <v>283</v>
      </c>
      <c r="B23" s="330"/>
      <c r="D23" s="359">
        <v>2019</v>
      </c>
      <c r="E23" s="360"/>
    </row>
    <row r="24" spans="1:5" x14ac:dyDescent="0.25">
      <c r="A24" s="329" t="s">
        <v>762</v>
      </c>
      <c r="B24" s="330"/>
      <c r="D24" s="359">
        <v>2030</v>
      </c>
      <c r="E24" s="360"/>
    </row>
    <row r="25" spans="1:5" ht="15.75" thickBot="1" x14ac:dyDescent="0.3">
      <c r="A25" s="329" t="s">
        <v>763</v>
      </c>
      <c r="B25" s="330"/>
      <c r="D25" s="362">
        <v>2050</v>
      </c>
      <c r="E25" s="363"/>
    </row>
    <row r="26" spans="1:5" ht="15.75" thickTop="1" x14ac:dyDescent="0.25">
      <c r="A26" s="329" t="s">
        <v>284</v>
      </c>
      <c r="B26" s="330"/>
    </row>
    <row r="27" spans="1:5" x14ac:dyDescent="0.25">
      <c r="A27" s="329"/>
      <c r="B27" s="330"/>
    </row>
    <row r="28" spans="1:5" x14ac:dyDescent="0.25">
      <c r="A28" s="331" t="s">
        <v>807</v>
      </c>
      <c r="B28" s="330"/>
    </row>
    <row r="29" spans="1:5" ht="15.75" thickBot="1" x14ac:dyDescent="0.3">
      <c r="A29" s="333" t="s">
        <v>3</v>
      </c>
      <c r="B29" s="334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455" activePane="bottomRight" state="frozen"/>
      <selection activeCell="E2" sqref="E2:E66"/>
      <selection pane="topRight" activeCell="E2" sqref="E2:E66"/>
      <selection pane="bottomLeft" activeCell="E2" sqref="E2:E66"/>
      <selection pane="bottomRight" activeCell="H478" sqref="H478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0"/>
      <c r="B1" s="151"/>
      <c r="C1" s="151"/>
      <c r="D1" s="151"/>
      <c r="E1" s="151"/>
      <c r="F1" s="151"/>
      <c r="G1" s="151"/>
      <c r="H1" s="458" t="s">
        <v>311</v>
      </c>
      <c r="I1" s="458"/>
      <c r="J1" s="458"/>
      <c r="K1" s="152"/>
    </row>
    <row r="2" spans="1:11" ht="15.75" thickBot="1" x14ac:dyDescent="0.3">
      <c r="A2" s="153" t="s">
        <v>20</v>
      </c>
      <c r="B2" s="148" t="s">
        <v>330</v>
      </c>
      <c r="C2" s="148" t="s">
        <v>336</v>
      </c>
      <c r="D2" s="148" t="s">
        <v>285</v>
      </c>
      <c r="E2" s="148" t="s">
        <v>305</v>
      </c>
      <c r="F2" s="148" t="s">
        <v>286</v>
      </c>
      <c r="G2" s="148" t="s">
        <v>305</v>
      </c>
      <c r="H2" s="148">
        <f>År1</f>
        <v>2019</v>
      </c>
      <c r="I2" s="148">
        <f>År2</f>
        <v>2030</v>
      </c>
      <c r="J2" s="148">
        <f>År3</f>
        <v>2050</v>
      </c>
      <c r="K2" s="154" t="s">
        <v>67</v>
      </c>
    </row>
    <row r="3" spans="1:11" ht="15.75" thickBot="1" x14ac:dyDescent="0.3">
      <c r="A3" s="155" t="s">
        <v>21</v>
      </c>
      <c r="B3" s="171"/>
      <c r="C3" s="171"/>
      <c r="D3" s="156" t="s">
        <v>287</v>
      </c>
      <c r="E3" s="156" t="str">
        <f>IFERROR(VLOOKUP(D3,Table2[],2,FALSE),"")</f>
        <v>Antal</v>
      </c>
      <c r="F3" s="156" t="s">
        <v>492</v>
      </c>
      <c r="G3" s="156" t="str">
        <f>IFERROR(VLOOKUP(F3,Table2[],2,FALSE),"")</f>
        <v>Ton</v>
      </c>
      <c r="H3" s="167">
        <f>'Produktion af spildevand'!B4</f>
        <v>1.1893449129763534</v>
      </c>
      <c r="I3" s="167">
        <f>'Produktion af spildevand'!C4</f>
        <v>1.1893449129763534</v>
      </c>
      <c r="J3" s="167">
        <f>'Produktion af spildevand'!D4</f>
        <v>1.1893449129763534</v>
      </c>
      <c r="K3" s="300"/>
    </row>
    <row r="4" spans="1:11" x14ac:dyDescent="0.25">
      <c r="A4" s="238" t="s">
        <v>22</v>
      </c>
      <c r="B4" s="239"/>
      <c r="C4" s="239"/>
      <c r="D4" s="240" t="s">
        <v>287</v>
      </c>
      <c r="E4" s="240" t="str">
        <f>IFERROR(VLOOKUP(D4,Table2[],2,FALSE),"")</f>
        <v>Antal</v>
      </c>
      <c r="F4" s="240" t="s">
        <v>312</v>
      </c>
      <c r="G4" s="240" t="str">
        <f>IFERROR(VLOOKUP(F4,Table2[],2,FALSE),"")</f>
        <v>Ton</v>
      </c>
      <c r="H4" s="241" t="e">
        <f ca="1">Affald!B4/Befolkningstal!B$4</f>
        <v>#REF!</v>
      </c>
      <c r="I4" s="241" t="e">
        <f ca="1">Affald!C4/Befolkningstal!C$4</f>
        <v>#REF!</v>
      </c>
      <c r="J4" s="241" t="e">
        <f ca="1">Affald!D4/Befolkningstal!D$4</f>
        <v>#REF!</v>
      </c>
      <c r="K4" s="242"/>
    </row>
    <row r="5" spans="1:11" x14ac:dyDescent="0.25">
      <c r="A5" s="387" t="s">
        <v>22</v>
      </c>
      <c r="B5" s="178"/>
      <c r="C5" s="178"/>
      <c r="D5" t="s">
        <v>287</v>
      </c>
      <c r="E5" t="str">
        <f>IFERROR(VLOOKUP(D5,Table2[],2,FALSE),"")</f>
        <v>Antal</v>
      </c>
      <c r="F5" t="s">
        <v>517</v>
      </c>
      <c r="G5" t="str">
        <f>IFERROR(VLOOKUP(F5,Table2[],2,FALSE),"")</f>
        <v>Ton</v>
      </c>
      <c r="H5" s="163">
        <f>Affald!B5/Befolkningstal!B$4</f>
        <v>0.1692723542782128</v>
      </c>
      <c r="I5" s="163">
        <f>Affald!C5/Befolkningstal!C$4</f>
        <v>0.16262827253720452</v>
      </c>
      <c r="J5" s="163">
        <f>Affald!D5/Befolkningstal!D$4</f>
        <v>0.15597543266598424</v>
      </c>
      <c r="K5" s="145"/>
    </row>
    <row r="6" spans="1:11" ht="15.75" thickBot="1" x14ac:dyDescent="0.3">
      <c r="A6" s="149" t="s">
        <v>22</v>
      </c>
      <c r="B6" s="172"/>
      <c r="C6" s="172"/>
      <c r="D6" s="146" t="s">
        <v>287</v>
      </c>
      <c r="E6" s="146" t="str">
        <f>IFERROR(VLOOKUP(D6,Table2[],2,FALSE),"")</f>
        <v>Antal</v>
      </c>
      <c r="F6" s="146" t="s">
        <v>41</v>
      </c>
      <c r="G6" s="146" t="str">
        <f>IFERROR(VLOOKUP(F6,Table2[],2,FALSE),"")</f>
        <v>Ton</v>
      </c>
      <c r="H6" s="170">
        <f>Affald!B6/Befolkningstal!B$4</f>
        <v>6.1145891695276039E-2</v>
      </c>
      <c r="I6" s="170">
        <f>Affald!C6/Befolkningstal!C$4</f>
        <v>5.8745864211269205E-2</v>
      </c>
      <c r="J6" s="170">
        <f>Affald!D6/Befolkningstal!D$4</f>
        <v>5.6342673046555734E-2</v>
      </c>
      <c r="K6" s="147"/>
    </row>
    <row r="7" spans="1:11" ht="15.75" thickTop="1" x14ac:dyDescent="0.25">
      <c r="A7" s="179" t="s">
        <v>23</v>
      </c>
      <c r="B7" s="176"/>
      <c r="C7" s="176"/>
      <c r="D7" s="143" t="s">
        <v>288</v>
      </c>
      <c r="E7" s="143" t="str">
        <f>IFERROR(VLOOKUP(D7,Table2[],2,FALSE),"")</f>
        <v>Hektar</v>
      </c>
      <c r="F7" s="143" t="s">
        <v>301</v>
      </c>
      <c r="G7" s="143" t="str">
        <f>IFERROR(VLOOKUP(F7,Table2[],2,FALSE),"")</f>
        <v>Ton</v>
      </c>
      <c r="H7" s="169">
        <f>8801/4409</f>
        <v>1.9961442503969153</v>
      </c>
      <c r="I7" s="169">
        <f>8801/4409</f>
        <v>1.9961442503969153</v>
      </c>
      <c r="J7" s="169">
        <f>8801/4409</f>
        <v>1.9961442503969153</v>
      </c>
      <c r="K7" s="305" t="s">
        <v>720</v>
      </c>
    </row>
    <row r="8" spans="1:11" ht="15.75" thickBot="1" x14ac:dyDescent="0.3">
      <c r="A8" s="180" t="s">
        <v>23</v>
      </c>
      <c r="B8" s="178"/>
      <c r="C8" s="178"/>
      <c r="D8" t="s">
        <v>288</v>
      </c>
      <c r="E8" t="str">
        <f>IFERROR(VLOOKUP(D8,Table2[],2,FALSE),"")</f>
        <v>Hektar</v>
      </c>
      <c r="F8" t="s">
        <v>334</v>
      </c>
      <c r="G8" t="str">
        <f>IFERROR(VLOOKUP(F8,Table2[],2,FALSE),"")</f>
        <v>t CO2-ækvivalenter</v>
      </c>
      <c r="H8" s="163">
        <f>-162*H7/1000</f>
        <v>-0.32337536856430027</v>
      </c>
      <c r="I8" s="163">
        <f>-162*I7/1000</f>
        <v>-0.32337536856430027</v>
      </c>
      <c r="J8" s="163">
        <f>-162*J7/1000</f>
        <v>-0.32337536856430027</v>
      </c>
      <c r="K8" t="s">
        <v>393</v>
      </c>
    </row>
    <row r="9" spans="1:11" ht="15.75" thickTop="1" x14ac:dyDescent="0.25">
      <c r="A9" s="179" t="s">
        <v>24</v>
      </c>
      <c r="B9" s="176"/>
      <c r="C9" s="176"/>
      <c r="D9" s="143" t="s">
        <v>289</v>
      </c>
      <c r="E9" s="143" t="str">
        <f>IFERROR(VLOOKUP(D9,Table2[],2,FALSE),"")</f>
        <v>Hektar</v>
      </c>
      <c r="F9" s="143" t="s">
        <v>300</v>
      </c>
      <c r="G9" s="143" t="str">
        <f>IFERROR(VLOOKUP(F9,Table2[],2,FALSE),"")</f>
        <v>Ton</v>
      </c>
      <c r="H9" s="143">
        <f>4.5</f>
        <v>4.5</v>
      </c>
      <c r="I9" s="143">
        <f>4.5</f>
        <v>4.5</v>
      </c>
      <c r="J9" s="143">
        <f>4.5</f>
        <v>4.5</v>
      </c>
      <c r="K9" s="144" t="s">
        <v>949</v>
      </c>
    </row>
    <row r="10" spans="1:11" ht="15.75" thickBot="1" x14ac:dyDescent="0.3">
      <c r="A10" s="180" t="s">
        <v>24</v>
      </c>
      <c r="B10" s="178"/>
      <c r="C10" s="178"/>
      <c r="D10" t="s">
        <v>289</v>
      </c>
      <c r="E10" t="str">
        <f>IFERROR(VLOOKUP(D10,Table2[],2,FALSE),"")</f>
        <v>Hektar</v>
      </c>
      <c r="F10" t="s">
        <v>334</v>
      </c>
      <c r="G10" t="str">
        <f>IFERROR(VLOOKUP(F10,Table2[],2,FALSE),"")</f>
        <v>t CO2-ækvivalenter</v>
      </c>
      <c r="H10">
        <v>-0.93300000000000005</v>
      </c>
      <c r="I10">
        <v>-0.93300000000000005</v>
      </c>
      <c r="J10">
        <v>-0.93300000000000005</v>
      </c>
      <c r="K10" s="147" t="s">
        <v>394</v>
      </c>
    </row>
    <row r="11" spans="1:11" ht="15.75" thickTop="1" x14ac:dyDescent="0.25">
      <c r="A11" s="179" t="s">
        <v>544</v>
      </c>
      <c r="B11" s="176"/>
      <c r="C11" s="176" t="s">
        <v>545</v>
      </c>
      <c r="D11" s="143" t="s">
        <v>571</v>
      </c>
      <c r="E11" s="143" t="str">
        <f>IFERROR(VLOOKUP(D11,Table2[],2,FALSE),"")</f>
        <v>Hektar</v>
      </c>
      <c r="F11" s="143" t="s">
        <v>543</v>
      </c>
      <c r="G11" s="143" t="str">
        <f>IFERROR(VLOOKUP(F11,Table2[],2,FALSE),"")</f>
        <v>m3</v>
      </c>
      <c r="H11" s="169">
        <f>Hugst!$G$4*(1-Hugst!$G$5)</f>
        <v>3.0660755171951402</v>
      </c>
      <c r="I11" s="169">
        <f>Hugst!$G$4*(1-Hugst!$G$5)</f>
        <v>3.0660755171951402</v>
      </c>
      <c r="J11" s="169">
        <f>Hugst!$G$4*(1-Hugst!$G$5)</f>
        <v>3.0660755171951402</v>
      </c>
      <c r="K11" s="144"/>
    </row>
    <row r="12" spans="1:11" x14ac:dyDescent="0.25">
      <c r="A12" s="180" t="s">
        <v>544</v>
      </c>
      <c r="B12" s="178"/>
      <c r="C12" s="178" t="s">
        <v>545</v>
      </c>
      <c r="D12" t="s">
        <v>571</v>
      </c>
      <c r="E12" t="str">
        <f>IFERROR(VLOOKUP(D12,Table2[],2,FALSE),"")</f>
        <v>Hektar</v>
      </c>
      <c r="F12" t="s">
        <v>395</v>
      </c>
      <c r="G12" t="str">
        <f>IFERROR(VLOOKUP(F12,Table2[],2,FALSE),"")</f>
        <v>m3</v>
      </c>
      <c r="H12" s="163">
        <f>Hugst!$G$4*Hugst!$G$5</f>
        <v>3.7581274663933448</v>
      </c>
      <c r="I12" s="163">
        <f>Hugst!$G$4*Hugst!$G$5</f>
        <v>3.7581274663933448</v>
      </c>
      <c r="J12" s="163">
        <f>Hugst!$G$4*Hugst!$G$5</f>
        <v>3.7581274663933448</v>
      </c>
      <c r="K12" s="145"/>
    </row>
    <row r="13" spans="1:11" x14ac:dyDescent="0.25">
      <c r="A13" s="180" t="s">
        <v>544</v>
      </c>
      <c r="B13" s="178"/>
      <c r="C13" s="178" t="s">
        <v>545</v>
      </c>
      <c r="D13" t="s">
        <v>571</v>
      </c>
      <c r="E13" t="str">
        <f>IFERROR(VLOOKUP(D13,Table2[],2,FALSE),"")</f>
        <v>Hektar</v>
      </c>
      <c r="F13" t="s">
        <v>334</v>
      </c>
      <c r="G13" t="str">
        <f>IFERROR(VLOOKUP(F13,Table2[],2,FALSE),"")</f>
        <v>t CO2-ækvivalenter</v>
      </c>
      <c r="H13">
        <f>-'Kulstofoptag, skov'!$I$2</f>
        <v>-1</v>
      </c>
      <c r="I13">
        <f>-'Kulstofoptag, skov'!$I$2</f>
        <v>-1</v>
      </c>
      <c r="J13">
        <f>-'Kulstofoptag, skov'!$I$2</f>
        <v>-1</v>
      </c>
      <c r="K13" s="145"/>
    </row>
    <row r="14" spans="1:11" ht="15.75" thickBot="1" x14ac:dyDescent="0.3">
      <c r="A14" s="180" t="s">
        <v>544</v>
      </c>
      <c r="B14" s="178"/>
      <c r="C14" s="178" t="s">
        <v>545</v>
      </c>
      <c r="D14" t="s">
        <v>571</v>
      </c>
      <c r="E14" t="str">
        <f>IFERROR(VLOOKUP(D14,Table2[],2,FALSE),"")</f>
        <v>Hektar</v>
      </c>
      <c r="F14" t="s">
        <v>893</v>
      </c>
      <c r="G14" t="str">
        <f>IFERROR(VLOOKUP(F14,Table2[],2,FALSE),"")</f>
        <v>t CO2-ækvivalenter</v>
      </c>
      <c r="H14" s="163">
        <f>-'Kulstofoptag, skov'!$D$3*H11/SUM(H11:H12)</f>
        <v>-2.2464715107161526</v>
      </c>
      <c r="I14" s="163">
        <f>-'Kulstofoptag, skov'!$D$3*I11/SUM(I11:I12)</f>
        <v>-2.2464715107161526</v>
      </c>
      <c r="J14" s="163">
        <f>-'Kulstofoptag, skov'!$D$3*J11/SUM(J11:J12)</f>
        <v>-2.2464715107161526</v>
      </c>
      <c r="K14" s="145"/>
    </row>
    <row r="15" spans="1:11" x14ac:dyDescent="0.25">
      <c r="A15" s="438" t="s">
        <v>544</v>
      </c>
      <c r="B15" s="239"/>
      <c r="C15" s="239" t="s">
        <v>546</v>
      </c>
      <c r="D15" s="240" t="s">
        <v>551</v>
      </c>
      <c r="E15" s="240" t="str">
        <f>IFERROR(VLOOKUP(D15,Table2[],2,FALSE),"")</f>
        <v>Hektar</v>
      </c>
      <c r="F15" s="240" t="s">
        <v>543</v>
      </c>
      <c r="G15" s="240" t="str">
        <f>IFERROR(VLOOKUP(F15,Table2[],2,FALSE),"")</f>
        <v>m3</v>
      </c>
      <c r="H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36"/>
    </row>
    <row r="16" spans="1:11" x14ac:dyDescent="0.25">
      <c r="A16" s="440" t="s">
        <v>544</v>
      </c>
      <c r="B16" s="178"/>
      <c r="C16" s="178" t="s">
        <v>546</v>
      </c>
      <c r="D16" t="s">
        <v>551</v>
      </c>
      <c r="E16" t="str">
        <f>IFERROR(VLOOKUP(D16,Table2[],2,FALSE),"")</f>
        <v>Hektar</v>
      </c>
      <c r="F16" t="s">
        <v>395</v>
      </c>
      <c r="G16" t="str">
        <f>IFERROR(VLOOKUP(F16,Table2[],2,FALSE),"")</f>
        <v>m3</v>
      </c>
      <c r="H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38"/>
    </row>
    <row r="17" spans="1:11" x14ac:dyDescent="0.25">
      <c r="A17" s="440" t="s">
        <v>544</v>
      </c>
      <c r="B17" s="178"/>
      <c r="C17" s="178" t="s">
        <v>546</v>
      </c>
      <c r="D17" t="s">
        <v>551</v>
      </c>
      <c r="E17" t="str">
        <f>IFERROR(VLOOKUP(D17,Table2[],2,FALSE),"")</f>
        <v>Hektar</v>
      </c>
      <c r="F17" t="s">
        <v>334</v>
      </c>
      <c r="G17" t="str">
        <f>IFERROR(VLOOKUP(F17,Table2[],2,FALSE),"")</f>
        <v>t CO2-ækvivalenter</v>
      </c>
      <c r="H17" s="290">
        <f>-VLOOKUP($C17,'Kulstofoptag, skov'!$B$2:$I$13,MATCH(VALUE(RIGHT('Processer - data'!$D17,2)),'Kulstofoptag, skov'!$B$1:$I$1,0),FALSE)</f>
        <v>-2.5</v>
      </c>
      <c r="I17" s="290">
        <f>-VLOOKUP($C17,'Kulstofoptag, skov'!$B$2:$I$13,MATCH(VALUE(RIGHT('Processer - data'!$D17,2)),'Kulstofoptag, skov'!$B$1:$I$1,0),FALSE)</f>
        <v>-2.5</v>
      </c>
      <c r="J17" s="290">
        <f>-VLOOKUP($C17,'Kulstofoptag, skov'!$B$2:$I$13,MATCH(VALUE(RIGHT('Processer - data'!$D17,2)),'Kulstofoptag, skov'!$B$1:$I$1,0),FALSE)</f>
        <v>-2.5</v>
      </c>
      <c r="K17" s="338"/>
    </row>
    <row r="18" spans="1:11" x14ac:dyDescent="0.25">
      <c r="A18" s="180" t="s">
        <v>544</v>
      </c>
      <c r="B18" s="178"/>
      <c r="C18" s="178" t="s">
        <v>546</v>
      </c>
      <c r="D18" t="s">
        <v>551</v>
      </c>
      <c r="E18" t="str">
        <f>IFERROR(VLOOKUP(D18,Table2[],2,FALSE),"")</f>
        <v>Hektar</v>
      </c>
      <c r="F18" t="s">
        <v>893</v>
      </c>
      <c r="G18" t="str">
        <f>IFERROR(VLOOKUP(F18,Table2[],2,FALSE),"")</f>
        <v>t CO2-ækvivalenter</v>
      </c>
      <c r="H18" s="290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290">
        <f>H18</f>
        <v>0</v>
      </c>
      <c r="J18" s="290">
        <f>I18</f>
        <v>0</v>
      </c>
      <c r="K18" s="338"/>
    </row>
    <row r="19" spans="1:11" x14ac:dyDescent="0.25">
      <c r="A19" s="440" t="s">
        <v>544</v>
      </c>
      <c r="B19" s="178"/>
      <c r="C19" s="178" t="s">
        <v>546</v>
      </c>
      <c r="D19" t="s">
        <v>552</v>
      </c>
      <c r="E19" t="str">
        <f>IFERROR(VLOOKUP(D19,Table2[],2,FALSE),"")</f>
        <v>Hektar</v>
      </c>
      <c r="F19" t="s">
        <v>543</v>
      </c>
      <c r="G19" t="str">
        <f>IFERROR(VLOOKUP(F19,Table2[],2,FALSE),"")</f>
        <v>m3</v>
      </c>
      <c r="H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38"/>
    </row>
    <row r="20" spans="1:11" x14ac:dyDescent="0.25">
      <c r="A20" s="440" t="s">
        <v>544</v>
      </c>
      <c r="B20" s="178"/>
      <c r="C20" s="178" t="s">
        <v>546</v>
      </c>
      <c r="D20" t="s">
        <v>552</v>
      </c>
      <c r="E20" t="str">
        <f>IFERROR(VLOOKUP(D20,Table2[],2,FALSE),"")</f>
        <v>Hektar</v>
      </c>
      <c r="F20" t="s">
        <v>395</v>
      </c>
      <c r="G20" t="str">
        <f>IFERROR(VLOOKUP(F20,Table2[],2,FALSE),"")</f>
        <v>m3</v>
      </c>
      <c r="H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38"/>
    </row>
    <row r="21" spans="1:11" x14ac:dyDescent="0.25">
      <c r="A21" s="440" t="s">
        <v>544</v>
      </c>
      <c r="B21" s="178"/>
      <c r="C21" s="178" t="s">
        <v>546</v>
      </c>
      <c r="D21" t="s">
        <v>552</v>
      </c>
      <c r="E21" t="str">
        <f>IFERROR(VLOOKUP(D21,Table2[],2,FALSE),"")</f>
        <v>Hektar</v>
      </c>
      <c r="F21" t="s">
        <v>334</v>
      </c>
      <c r="G21" t="str">
        <f>IFERROR(VLOOKUP(F21,Table2[],2,FALSE),"")</f>
        <v>t CO2-ækvivalenter</v>
      </c>
      <c r="H21" s="290">
        <f>-VLOOKUP($C21,'Kulstofoptag, skov'!$B$2:$I$13,MATCH(VALUE(RIGHT('Processer - data'!$D21,2)),'Kulstofoptag, skov'!$B$1:$I$1,0),FALSE)</f>
        <v>-5.5</v>
      </c>
      <c r="I21" s="290">
        <f>-VLOOKUP($C21,'Kulstofoptag, skov'!$B$2:$I$13,MATCH(VALUE(RIGHT('Processer - data'!$D21,2)),'Kulstofoptag, skov'!$B$1:$I$1,0),FALSE)</f>
        <v>-5.5</v>
      </c>
      <c r="J21" s="290">
        <f>-VLOOKUP($C21,'Kulstofoptag, skov'!$B$2:$I$13,MATCH(VALUE(RIGHT('Processer - data'!$D21,2)),'Kulstofoptag, skov'!$B$1:$I$1,0),FALSE)</f>
        <v>-5.5</v>
      </c>
      <c r="K21" s="338"/>
    </row>
    <row r="22" spans="1:11" x14ac:dyDescent="0.25">
      <c r="A22" s="180" t="s">
        <v>544</v>
      </c>
      <c r="B22" s="178"/>
      <c r="C22" s="178" t="s">
        <v>546</v>
      </c>
      <c r="D22" t="s">
        <v>552</v>
      </c>
      <c r="E22" t="str">
        <f>IFERROR(VLOOKUP(D22,Table2[],2,FALSE),"")</f>
        <v>Hektar</v>
      </c>
      <c r="F22" t="s">
        <v>893</v>
      </c>
      <c r="G22" t="str">
        <f>IFERROR(VLOOKUP(F22,Table2[],2,FALSE),"")</f>
        <v>t CO2-ækvivalenter</v>
      </c>
      <c r="H22" s="290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290">
        <f>H22</f>
        <v>0</v>
      </c>
      <c r="J22" s="290">
        <f>I22</f>
        <v>0</v>
      </c>
      <c r="K22" s="338"/>
    </row>
    <row r="23" spans="1:11" x14ac:dyDescent="0.25">
      <c r="A23" s="440" t="s">
        <v>544</v>
      </c>
      <c r="B23" s="178"/>
      <c r="C23" s="178" t="s">
        <v>546</v>
      </c>
      <c r="D23" t="s">
        <v>553</v>
      </c>
      <c r="E23" t="str">
        <f>IFERROR(VLOOKUP(D23,Table2[],2,FALSE),"")</f>
        <v>Hektar</v>
      </c>
      <c r="F23" t="s">
        <v>543</v>
      </c>
      <c r="G23" t="str">
        <f>IFERROR(VLOOKUP(F23,Table2[],2,FALSE),"")</f>
        <v>m3</v>
      </c>
      <c r="H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38"/>
    </row>
    <row r="24" spans="1:11" x14ac:dyDescent="0.25">
      <c r="A24" s="440" t="s">
        <v>544</v>
      </c>
      <c r="B24" s="178"/>
      <c r="C24" s="178" t="s">
        <v>546</v>
      </c>
      <c r="D24" t="s">
        <v>553</v>
      </c>
      <c r="E24" t="str">
        <f>IFERROR(VLOOKUP(D24,Table2[],2,FALSE),"")</f>
        <v>Hektar</v>
      </c>
      <c r="F24" t="s">
        <v>395</v>
      </c>
      <c r="G24" t="str">
        <f>IFERROR(VLOOKUP(F24,Table2[],2,FALSE),"")</f>
        <v>m3</v>
      </c>
      <c r="H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38"/>
    </row>
    <row r="25" spans="1:11" x14ac:dyDescent="0.25">
      <c r="A25" s="440" t="s">
        <v>544</v>
      </c>
      <c r="B25" s="178"/>
      <c r="C25" s="178" t="s">
        <v>546</v>
      </c>
      <c r="D25" t="s">
        <v>553</v>
      </c>
      <c r="E25" t="str">
        <f>IFERROR(VLOOKUP(D25,Table2[],2,FALSE),"")</f>
        <v>Hektar</v>
      </c>
      <c r="F25" t="s">
        <v>334</v>
      </c>
      <c r="G25" t="str">
        <f>IFERROR(VLOOKUP(F25,Table2[],2,FALSE),"")</f>
        <v>t CO2-ækvivalenter</v>
      </c>
      <c r="H25" s="290">
        <f>-VLOOKUP($C25,'Kulstofoptag, skov'!$B$2:$I$13,MATCH(VALUE(RIGHT('Processer - data'!$D25,2)),'Kulstofoptag, skov'!$B$1:$I$1,0),FALSE)</f>
        <v>-14</v>
      </c>
      <c r="I25" s="290">
        <f>-VLOOKUP($C25,'Kulstofoptag, skov'!$B$2:$I$13,MATCH(VALUE(RIGHT('Processer - data'!$D25,2)),'Kulstofoptag, skov'!$B$1:$I$1,0),FALSE)</f>
        <v>-14</v>
      </c>
      <c r="J25" s="290">
        <f>-VLOOKUP($C25,'Kulstofoptag, skov'!$B$2:$I$13,MATCH(VALUE(RIGHT('Processer - data'!$D25,2)),'Kulstofoptag, skov'!$B$1:$I$1,0),FALSE)</f>
        <v>-14</v>
      </c>
      <c r="K25" s="338"/>
    </row>
    <row r="26" spans="1:11" x14ac:dyDescent="0.25">
      <c r="A26" s="180" t="s">
        <v>544</v>
      </c>
      <c r="B26" s="178"/>
      <c r="C26" s="178" t="s">
        <v>546</v>
      </c>
      <c r="D26" t="s">
        <v>553</v>
      </c>
      <c r="E26" t="str">
        <f>IFERROR(VLOOKUP(D26,Table2[],2,FALSE),"")</f>
        <v>Hektar</v>
      </c>
      <c r="F26" t="s">
        <v>893</v>
      </c>
      <c r="G26" t="str">
        <f>IFERROR(VLOOKUP(F26,Table2[],2,FALSE),"")</f>
        <v>t CO2-ækvivalenter</v>
      </c>
      <c r="H26" s="290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290">
        <f>H26</f>
        <v>0</v>
      </c>
      <c r="J26" s="290">
        <f>I26</f>
        <v>0</v>
      </c>
      <c r="K26" s="338"/>
    </row>
    <row r="27" spans="1:11" x14ac:dyDescent="0.25">
      <c r="A27" s="440" t="s">
        <v>544</v>
      </c>
      <c r="B27" s="178"/>
      <c r="C27" s="178" t="s">
        <v>546</v>
      </c>
      <c r="D27" t="s">
        <v>554</v>
      </c>
      <c r="E27" t="str">
        <f>IFERROR(VLOOKUP(D27,Table2[],2,FALSE),"")</f>
        <v>Hektar</v>
      </c>
      <c r="F27" t="s">
        <v>543</v>
      </c>
      <c r="G27" t="str">
        <f>IFERROR(VLOOKUP(F27,Table2[],2,FALSE),"")</f>
        <v>m3</v>
      </c>
      <c r="H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38"/>
    </row>
    <row r="28" spans="1:11" x14ac:dyDescent="0.25">
      <c r="A28" s="440" t="s">
        <v>544</v>
      </c>
      <c r="B28" s="178"/>
      <c r="C28" s="178" t="s">
        <v>546</v>
      </c>
      <c r="D28" t="s">
        <v>554</v>
      </c>
      <c r="E28" t="str">
        <f>IFERROR(VLOOKUP(D28,Table2[],2,FALSE),"")</f>
        <v>Hektar</v>
      </c>
      <c r="F28" t="s">
        <v>395</v>
      </c>
      <c r="G28" t="str">
        <f>IFERROR(VLOOKUP(F28,Table2[],2,FALSE),"")</f>
        <v>m3</v>
      </c>
      <c r="H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38"/>
    </row>
    <row r="29" spans="1:11" x14ac:dyDescent="0.25">
      <c r="A29" s="440" t="s">
        <v>544</v>
      </c>
      <c r="B29" s="178"/>
      <c r="C29" s="178" t="s">
        <v>546</v>
      </c>
      <c r="D29" t="s">
        <v>554</v>
      </c>
      <c r="E29" t="str">
        <f>IFERROR(VLOOKUP(D29,Table2[],2,FALSE),"")</f>
        <v>Hektar</v>
      </c>
      <c r="F29" t="s">
        <v>334</v>
      </c>
      <c r="G29" t="str">
        <f>IFERROR(VLOOKUP(F29,Table2[],2,FALSE),"")</f>
        <v>t CO2-ækvivalenter</v>
      </c>
      <c r="H29" s="290">
        <f>-VLOOKUP($C29,'Kulstofoptag, skov'!$B$2:$I$13,MATCH(VALUE(RIGHT('Processer - data'!$D29,2)),'Kulstofoptag, skov'!$B$1:$I$1,0),FALSE)</f>
        <v>-14.5</v>
      </c>
      <c r="I29" s="290">
        <f>-VLOOKUP($C29,'Kulstofoptag, skov'!$B$2:$I$13,MATCH(VALUE(RIGHT('Processer - data'!$D29,2)),'Kulstofoptag, skov'!$B$1:$I$1,0),FALSE)</f>
        <v>-14.5</v>
      </c>
      <c r="J29" s="290">
        <f>-VLOOKUP($C29,'Kulstofoptag, skov'!$B$2:$I$13,MATCH(VALUE(RIGHT('Processer - data'!$D29,2)),'Kulstofoptag, skov'!$B$1:$I$1,0),FALSE)</f>
        <v>-14.5</v>
      </c>
      <c r="K29" s="338"/>
    </row>
    <row r="30" spans="1:11" ht="15.75" thickBot="1" x14ac:dyDescent="0.3">
      <c r="A30" s="180" t="s">
        <v>544</v>
      </c>
      <c r="B30" s="178"/>
      <c r="C30" s="178" t="s">
        <v>546</v>
      </c>
      <c r="D30" t="s">
        <v>554</v>
      </c>
      <c r="E30" t="str">
        <f>IFERROR(VLOOKUP(D30,Table2[],2,FALSE),"")</f>
        <v>Hektar</v>
      </c>
      <c r="F30" t="s">
        <v>893</v>
      </c>
      <c r="G30" t="str">
        <f>IFERROR(VLOOKUP(F30,Table2[],2,FALSE),"")</f>
        <v>t CO2-ækvivalenter</v>
      </c>
      <c r="H30" s="290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290">
        <f>H30</f>
        <v>-10.181372549019608</v>
      </c>
      <c r="J30" s="290">
        <f>I30</f>
        <v>-10.181372549019608</v>
      </c>
      <c r="K30" s="444"/>
    </row>
    <row r="31" spans="1:11" x14ac:dyDescent="0.25">
      <c r="A31" s="438" t="s">
        <v>544</v>
      </c>
      <c r="B31" s="239"/>
      <c r="C31" s="239" t="s">
        <v>547</v>
      </c>
      <c r="D31" s="240" t="s">
        <v>555</v>
      </c>
      <c r="E31" s="240" t="str">
        <f>IFERROR(VLOOKUP(D31,Table2[],2,FALSE),"")</f>
        <v>Hektar</v>
      </c>
      <c r="F31" s="240" t="s">
        <v>543</v>
      </c>
      <c r="G31" s="240" t="str">
        <f>IFERROR(VLOOKUP(F31,Table2[],2,FALSE),"")</f>
        <v>m3</v>
      </c>
      <c r="H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36"/>
    </row>
    <row r="32" spans="1:11" x14ac:dyDescent="0.25">
      <c r="A32" s="440" t="s">
        <v>544</v>
      </c>
      <c r="B32" s="178"/>
      <c r="C32" s="178" t="s">
        <v>547</v>
      </c>
      <c r="D32" t="s">
        <v>555</v>
      </c>
      <c r="E32" t="str">
        <f>IFERROR(VLOOKUP(D32,Table2[],2,FALSE),"")</f>
        <v>Hektar</v>
      </c>
      <c r="F32" t="s">
        <v>395</v>
      </c>
      <c r="G32" t="str">
        <f>IFERROR(VLOOKUP(F32,Table2[],2,FALSE),"")</f>
        <v>m3</v>
      </c>
      <c r="H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38"/>
    </row>
    <row r="33" spans="1:11" x14ac:dyDescent="0.25">
      <c r="A33" s="440" t="s">
        <v>544</v>
      </c>
      <c r="B33" s="178"/>
      <c r="C33" s="178" t="s">
        <v>547</v>
      </c>
      <c r="D33" t="s">
        <v>555</v>
      </c>
      <c r="E33" t="str">
        <f>IFERROR(VLOOKUP(D33,Table2[],2,FALSE),"")</f>
        <v>Hektar</v>
      </c>
      <c r="F33" t="s">
        <v>334</v>
      </c>
      <c r="G33" t="str">
        <f>IFERROR(VLOOKUP(F33,Table2[],2,FALSE),"")</f>
        <v>t CO2-ækvivalenter</v>
      </c>
      <c r="H33" s="290">
        <f>-VLOOKUP($C33,'Kulstofoptag, skov'!$B$2:$I$13,MATCH(VALUE(RIGHT('Processer - data'!$D33,2)),'Kulstofoptag, skov'!$B$1:$I$1,0),FALSE)</f>
        <v>-12.5</v>
      </c>
      <c r="I33" s="290">
        <f>-VLOOKUP($C33,'Kulstofoptag, skov'!$B$2:$I$13,MATCH(VALUE(RIGHT('Processer - data'!$D33,2)),'Kulstofoptag, skov'!$B$1:$I$1,0),FALSE)</f>
        <v>-12.5</v>
      </c>
      <c r="J33" s="290">
        <f>-VLOOKUP($C33,'Kulstofoptag, skov'!$B$2:$I$13,MATCH(VALUE(RIGHT('Processer - data'!$D33,2)),'Kulstofoptag, skov'!$B$1:$I$1,0),FALSE)</f>
        <v>-12.5</v>
      </c>
      <c r="K33" s="338"/>
    </row>
    <row r="34" spans="1:11" x14ac:dyDescent="0.25">
      <c r="A34" s="180" t="s">
        <v>544</v>
      </c>
      <c r="B34" s="178"/>
      <c r="C34" s="178" t="s">
        <v>547</v>
      </c>
      <c r="D34" t="s">
        <v>555</v>
      </c>
      <c r="E34" t="str">
        <f>IFERROR(VLOOKUP(D34,Table2[],2,FALSE),"")</f>
        <v>Hektar</v>
      </c>
      <c r="F34" t="s">
        <v>893</v>
      </c>
      <c r="G34" t="str">
        <f>IFERROR(VLOOKUP(F34,Table2[],2,FALSE),"")</f>
        <v>t CO2-ækvivalenter</v>
      </c>
      <c r="H34" s="290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290">
        <f>H34</f>
        <v>0</v>
      </c>
      <c r="J34" s="290">
        <f>I34</f>
        <v>0</v>
      </c>
      <c r="K34" s="338"/>
    </row>
    <row r="35" spans="1:11" x14ac:dyDescent="0.25">
      <c r="A35" s="440" t="s">
        <v>544</v>
      </c>
      <c r="B35" s="178"/>
      <c r="C35" s="178" t="s">
        <v>547</v>
      </c>
      <c r="D35" t="s">
        <v>556</v>
      </c>
      <c r="E35" t="str">
        <f>IFERROR(VLOOKUP(D35,Table2[],2,FALSE),"")</f>
        <v>Hektar</v>
      </c>
      <c r="F35" t="s">
        <v>543</v>
      </c>
      <c r="G35" t="str">
        <f>IFERROR(VLOOKUP(F35,Table2[],2,FALSE),"")</f>
        <v>m3</v>
      </c>
      <c r="H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38"/>
    </row>
    <row r="36" spans="1:11" x14ac:dyDescent="0.25">
      <c r="A36" s="440" t="s">
        <v>544</v>
      </c>
      <c r="B36" s="178"/>
      <c r="C36" s="178" t="s">
        <v>547</v>
      </c>
      <c r="D36" t="s">
        <v>556</v>
      </c>
      <c r="E36" t="str">
        <f>IFERROR(VLOOKUP(D36,Table2[],2,FALSE),"")</f>
        <v>Hektar</v>
      </c>
      <c r="F36" t="s">
        <v>395</v>
      </c>
      <c r="G36" t="str">
        <f>IFERROR(VLOOKUP(F36,Table2[],2,FALSE),"")</f>
        <v>m3</v>
      </c>
      <c r="H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38"/>
    </row>
    <row r="37" spans="1:11" x14ac:dyDescent="0.25">
      <c r="A37" s="440" t="s">
        <v>544</v>
      </c>
      <c r="B37" s="178"/>
      <c r="C37" s="178" t="s">
        <v>547</v>
      </c>
      <c r="D37" t="s">
        <v>556</v>
      </c>
      <c r="E37" t="str">
        <f>IFERROR(VLOOKUP(D37,Table2[],2,FALSE),"")</f>
        <v>Hektar</v>
      </c>
      <c r="F37" t="s">
        <v>334</v>
      </c>
      <c r="G37" t="str">
        <f>IFERROR(VLOOKUP(F37,Table2[],2,FALSE),"")</f>
        <v>t CO2-ækvivalenter</v>
      </c>
      <c r="H37" s="290">
        <f>-VLOOKUP($C37,'Kulstofoptag, skov'!$B$2:$I$13,MATCH(VALUE(RIGHT('Processer - data'!$D37,2)),'Kulstofoptag, skov'!$B$1:$I$1,0),FALSE)</f>
        <v>-16</v>
      </c>
      <c r="I37" s="290">
        <f>-VLOOKUP($C37,'Kulstofoptag, skov'!$B$2:$I$13,MATCH(VALUE(RIGHT('Processer - data'!$D37,2)),'Kulstofoptag, skov'!$B$1:$I$1,0),FALSE)</f>
        <v>-16</v>
      </c>
      <c r="J37" s="290">
        <f>-VLOOKUP($C37,'Kulstofoptag, skov'!$B$2:$I$13,MATCH(VALUE(RIGHT('Processer - data'!$D37,2)),'Kulstofoptag, skov'!$B$1:$I$1,0),FALSE)</f>
        <v>-16</v>
      </c>
      <c r="K37" s="338"/>
    </row>
    <row r="38" spans="1:11" x14ac:dyDescent="0.25">
      <c r="A38" s="180" t="s">
        <v>544</v>
      </c>
      <c r="B38" s="178"/>
      <c r="C38" s="178" t="s">
        <v>547</v>
      </c>
      <c r="D38" t="s">
        <v>556</v>
      </c>
      <c r="E38" t="str">
        <f>IFERROR(VLOOKUP(D38,Table2[],2,FALSE),"")</f>
        <v>Hektar</v>
      </c>
      <c r="F38" t="s">
        <v>893</v>
      </c>
      <c r="G38" t="str">
        <f>IFERROR(VLOOKUP(F38,Table2[],2,FALSE),"")</f>
        <v>t CO2-ækvivalenter</v>
      </c>
      <c r="H38" s="290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290">
        <f>H38</f>
        <v>-14.400000000000002</v>
      </c>
      <c r="J38" s="290">
        <f>I38</f>
        <v>-14.400000000000002</v>
      </c>
      <c r="K38" s="338"/>
    </row>
    <row r="39" spans="1:11" x14ac:dyDescent="0.25">
      <c r="A39" s="440" t="s">
        <v>544</v>
      </c>
      <c r="B39" s="178"/>
      <c r="C39" s="178" t="s">
        <v>547</v>
      </c>
      <c r="D39" t="s">
        <v>557</v>
      </c>
      <c r="E39" t="str">
        <f>IFERROR(VLOOKUP(D39,Table2[],2,FALSE),"")</f>
        <v>Hektar</v>
      </c>
      <c r="F39" t="s">
        <v>543</v>
      </c>
      <c r="G39" t="str">
        <f>IFERROR(VLOOKUP(F39,Table2[],2,FALSE),"")</f>
        <v>m3</v>
      </c>
      <c r="H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38"/>
    </row>
    <row r="40" spans="1:11" x14ac:dyDescent="0.25">
      <c r="A40" s="440" t="s">
        <v>544</v>
      </c>
      <c r="B40" s="178"/>
      <c r="C40" s="178" t="s">
        <v>547</v>
      </c>
      <c r="D40" t="s">
        <v>557</v>
      </c>
      <c r="E40" t="str">
        <f>IFERROR(VLOOKUP(D40,Table2[],2,FALSE),"")</f>
        <v>Hektar</v>
      </c>
      <c r="F40" t="s">
        <v>395</v>
      </c>
      <c r="G40" t="str">
        <f>IFERROR(VLOOKUP(F40,Table2[],2,FALSE),"")</f>
        <v>m3</v>
      </c>
      <c r="H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38"/>
    </row>
    <row r="41" spans="1:11" x14ac:dyDescent="0.25">
      <c r="A41" s="440" t="s">
        <v>544</v>
      </c>
      <c r="B41" s="178"/>
      <c r="C41" s="178" t="s">
        <v>547</v>
      </c>
      <c r="D41" t="s">
        <v>557</v>
      </c>
      <c r="E41" t="str">
        <f>IFERROR(VLOOKUP(D41,Table2[],2,FALSE),"")</f>
        <v>Hektar</v>
      </c>
      <c r="F41" t="s">
        <v>334</v>
      </c>
      <c r="G41" t="str">
        <f>IFERROR(VLOOKUP(F41,Table2[],2,FALSE),"")</f>
        <v>t CO2-ækvivalenter</v>
      </c>
      <c r="H41" s="290">
        <f>-VLOOKUP($C41,'Kulstofoptag, skov'!$B$2:$I$13,MATCH(VALUE(RIGHT('Processer - data'!$D41,2)),'Kulstofoptag, skov'!$B$1:$I$1,0),FALSE)</f>
        <v>-0.5</v>
      </c>
      <c r="I41" s="290">
        <f>-VLOOKUP($C41,'Kulstofoptag, skov'!$B$2:$I$13,MATCH(VALUE(RIGHT('Processer - data'!$D41,2)),'Kulstofoptag, skov'!$B$1:$I$1,0),FALSE)</f>
        <v>-0.5</v>
      </c>
      <c r="J41" s="290">
        <f>-VLOOKUP($C41,'Kulstofoptag, skov'!$B$2:$I$13,MATCH(VALUE(RIGHT('Processer - data'!$D41,2)),'Kulstofoptag, skov'!$B$1:$I$1,0),FALSE)</f>
        <v>-0.5</v>
      </c>
      <c r="K41" s="338"/>
    </row>
    <row r="42" spans="1:11" x14ac:dyDescent="0.25">
      <c r="A42" s="180" t="s">
        <v>544</v>
      </c>
      <c r="B42" s="178"/>
      <c r="C42" s="178" t="s">
        <v>547</v>
      </c>
      <c r="D42" t="s">
        <v>557</v>
      </c>
      <c r="E42" t="str">
        <f>IFERROR(VLOOKUP(D42,Table2[],2,FALSE),"")</f>
        <v>Hektar</v>
      </c>
      <c r="F42" t="s">
        <v>893</v>
      </c>
      <c r="G42" t="str">
        <f>IFERROR(VLOOKUP(F42,Table2[],2,FALSE),"")</f>
        <v>t CO2-ækvivalenter</v>
      </c>
      <c r="H42" s="290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290">
        <f>H42</f>
        <v>-15.228571428571428</v>
      </c>
      <c r="J42" s="290">
        <f>I42</f>
        <v>-15.228571428571428</v>
      </c>
      <c r="K42" s="338"/>
    </row>
    <row r="43" spans="1:11" x14ac:dyDescent="0.25">
      <c r="A43" s="440" t="s">
        <v>544</v>
      </c>
      <c r="B43" s="178"/>
      <c r="C43" s="178" t="s">
        <v>547</v>
      </c>
      <c r="D43" t="s">
        <v>558</v>
      </c>
      <c r="E43" t="str">
        <f>IFERROR(VLOOKUP(D43,Table2[],2,FALSE),"")</f>
        <v>Hektar</v>
      </c>
      <c r="F43" t="s">
        <v>543</v>
      </c>
      <c r="G43" t="str">
        <f>IFERROR(VLOOKUP(F43,Table2[],2,FALSE),"")</f>
        <v>m3</v>
      </c>
      <c r="H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38"/>
    </row>
    <row r="44" spans="1:11" x14ac:dyDescent="0.25">
      <c r="A44" s="440" t="s">
        <v>544</v>
      </c>
      <c r="B44" s="178"/>
      <c r="C44" s="178" t="s">
        <v>547</v>
      </c>
      <c r="D44" t="s">
        <v>558</v>
      </c>
      <c r="E44" t="str">
        <f>IFERROR(VLOOKUP(D44,Table2[],2,FALSE),"")</f>
        <v>Hektar</v>
      </c>
      <c r="F44" t="s">
        <v>395</v>
      </c>
      <c r="G44" t="str">
        <f>IFERROR(VLOOKUP(F44,Table2[],2,FALSE),"")</f>
        <v>m3</v>
      </c>
      <c r="H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38"/>
    </row>
    <row r="45" spans="1:11" x14ac:dyDescent="0.25">
      <c r="A45" s="440" t="s">
        <v>544</v>
      </c>
      <c r="B45" s="178"/>
      <c r="C45" s="178" t="s">
        <v>547</v>
      </c>
      <c r="D45" t="s">
        <v>558</v>
      </c>
      <c r="E45" t="str">
        <f>IFERROR(VLOOKUP(D45,Table2[],2,FALSE),"")</f>
        <v>Hektar</v>
      </c>
      <c r="F45" t="s">
        <v>334</v>
      </c>
      <c r="G45" t="str">
        <f>IFERROR(VLOOKUP(F45,Table2[],2,FALSE),"")</f>
        <v>t CO2-ækvivalenter</v>
      </c>
      <c r="H45" s="290">
        <f>-VLOOKUP($C45,'Kulstofoptag, skov'!$B$2:$I$13,MATCH(VALUE(RIGHT('Processer - data'!$D45,2)),'Kulstofoptag, skov'!$B$1:$I$1,0),FALSE)</f>
        <v>-12.5</v>
      </c>
      <c r="I45" s="290">
        <f>-VLOOKUP($C45,'Kulstofoptag, skov'!$B$2:$I$13,MATCH(VALUE(RIGHT('Processer - data'!$D45,2)),'Kulstofoptag, skov'!$B$1:$I$1,0),FALSE)</f>
        <v>-12.5</v>
      </c>
      <c r="J45" s="290">
        <f>-VLOOKUP($C45,'Kulstofoptag, skov'!$B$2:$I$13,MATCH(VALUE(RIGHT('Processer - data'!$D45,2)),'Kulstofoptag, skov'!$B$1:$I$1,0),FALSE)</f>
        <v>-12.5</v>
      </c>
      <c r="K45" s="338"/>
    </row>
    <row r="46" spans="1:11" ht="15.75" thickBot="1" x14ac:dyDescent="0.3">
      <c r="A46" s="180" t="s">
        <v>544</v>
      </c>
      <c r="B46" s="178"/>
      <c r="C46" s="178" t="s">
        <v>547</v>
      </c>
      <c r="D46" t="s">
        <v>558</v>
      </c>
      <c r="E46" t="str">
        <f>IFERROR(VLOOKUP(D46,Table2[],2,FALSE),"")</f>
        <v>Hektar</v>
      </c>
      <c r="F46" t="s">
        <v>893</v>
      </c>
      <c r="G46" t="str">
        <f>IFERROR(VLOOKUP(F46,Table2[],2,FALSE),"")</f>
        <v>t CO2-ækvivalenter</v>
      </c>
      <c r="H46" s="290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290">
        <f>H46</f>
        <v>-6.9999999999999991</v>
      </c>
      <c r="J46" s="290">
        <f>I46</f>
        <v>-6.9999999999999991</v>
      </c>
      <c r="K46" s="444"/>
    </row>
    <row r="47" spans="1:11" x14ac:dyDescent="0.25">
      <c r="A47" s="438" t="s">
        <v>544</v>
      </c>
      <c r="B47" s="239"/>
      <c r="C47" s="239" t="s">
        <v>548</v>
      </c>
      <c r="D47" s="240" t="s">
        <v>559</v>
      </c>
      <c r="E47" s="240" t="str">
        <f>IFERROR(VLOOKUP(D47,Table2[],2,FALSE),"")</f>
        <v>Hektar</v>
      </c>
      <c r="F47" s="240" t="s">
        <v>543</v>
      </c>
      <c r="G47" s="240" t="str">
        <f>IFERROR(VLOOKUP(F47,Table2[],2,FALSE),"")</f>
        <v>m3</v>
      </c>
      <c r="H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36"/>
    </row>
    <row r="48" spans="1:11" x14ac:dyDescent="0.25">
      <c r="A48" s="440" t="s">
        <v>544</v>
      </c>
      <c r="B48" s="178"/>
      <c r="C48" s="178" t="s">
        <v>548</v>
      </c>
      <c r="D48" t="s">
        <v>559</v>
      </c>
      <c r="E48" t="str">
        <f>IFERROR(VLOOKUP(D48,Table2[],2,FALSE),"")</f>
        <v>Hektar</v>
      </c>
      <c r="F48" t="s">
        <v>395</v>
      </c>
      <c r="G48" t="str">
        <f>IFERROR(VLOOKUP(F48,Table2[],2,FALSE),"")</f>
        <v>m3</v>
      </c>
      <c r="H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38"/>
    </row>
    <row r="49" spans="1:11" x14ac:dyDescent="0.25">
      <c r="A49" s="440" t="s">
        <v>544</v>
      </c>
      <c r="B49" s="178"/>
      <c r="C49" s="178" t="s">
        <v>548</v>
      </c>
      <c r="D49" t="s">
        <v>559</v>
      </c>
      <c r="E49" t="str">
        <f>IFERROR(VLOOKUP(D49,Table2[],2,FALSE),"")</f>
        <v>Hektar</v>
      </c>
      <c r="F49" t="s">
        <v>334</v>
      </c>
      <c r="G49" t="str">
        <f>IFERROR(VLOOKUP(F49,Table2[],2,FALSE),"")</f>
        <v>t CO2-ækvivalenter</v>
      </c>
      <c r="H49" s="290">
        <f>-VLOOKUP($C49,'Kulstofoptag, skov'!$B$2:$I$13,MATCH(VALUE(RIGHT('Processer - data'!$D49,2)),'Kulstofoptag, skov'!$B$1:$I$1,0),FALSE)</f>
        <v>-2.5</v>
      </c>
      <c r="I49" s="290">
        <f>-VLOOKUP($C49,'Kulstofoptag, skov'!$B$2:$I$13,MATCH(VALUE(RIGHT('Processer - data'!$D49,2)),'Kulstofoptag, skov'!$B$1:$I$1,0),FALSE)</f>
        <v>-2.5</v>
      </c>
      <c r="J49" s="290">
        <f>-VLOOKUP($C49,'Kulstofoptag, skov'!$B$2:$I$13,MATCH(VALUE(RIGHT('Processer - data'!$D49,2)),'Kulstofoptag, skov'!$B$1:$I$1,0),FALSE)</f>
        <v>-2.5</v>
      </c>
      <c r="K49" s="338"/>
    </row>
    <row r="50" spans="1:11" x14ac:dyDescent="0.25">
      <c r="A50" s="180" t="s">
        <v>544</v>
      </c>
      <c r="B50" s="178"/>
      <c r="C50" s="178" t="s">
        <v>548</v>
      </c>
      <c r="D50" t="s">
        <v>559</v>
      </c>
      <c r="E50" t="str">
        <f>IFERROR(VLOOKUP(D50,Table2[],2,FALSE),"")</f>
        <v>Hektar</v>
      </c>
      <c r="F50" t="s">
        <v>893</v>
      </c>
      <c r="G50" t="str">
        <f>IFERROR(VLOOKUP(F50,Table2[],2,FALSE),"")</f>
        <v>t CO2-ækvivalenter</v>
      </c>
      <c r="H50" s="290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290">
        <f>H50</f>
        <v>0</v>
      </c>
      <c r="J50" s="290">
        <f>I50</f>
        <v>0</v>
      </c>
      <c r="K50" s="338"/>
    </row>
    <row r="51" spans="1:11" x14ac:dyDescent="0.25">
      <c r="A51" s="440" t="s">
        <v>544</v>
      </c>
      <c r="B51" s="178"/>
      <c r="C51" s="178" t="s">
        <v>548</v>
      </c>
      <c r="D51" t="s">
        <v>560</v>
      </c>
      <c r="E51" t="str">
        <f>IFERROR(VLOOKUP(D51,Table2[],2,FALSE),"")</f>
        <v>Hektar</v>
      </c>
      <c r="F51" t="s">
        <v>543</v>
      </c>
      <c r="G51" t="str">
        <f>IFERROR(VLOOKUP(F51,Table2[],2,FALSE),"")</f>
        <v>m3</v>
      </c>
      <c r="H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38"/>
    </row>
    <row r="52" spans="1:11" x14ac:dyDescent="0.25">
      <c r="A52" s="440" t="s">
        <v>544</v>
      </c>
      <c r="B52" s="178"/>
      <c r="C52" s="178" t="s">
        <v>548</v>
      </c>
      <c r="D52" t="s">
        <v>560</v>
      </c>
      <c r="E52" t="str">
        <f>IFERROR(VLOOKUP(D52,Table2[],2,FALSE),"")</f>
        <v>Hektar</v>
      </c>
      <c r="F52" t="s">
        <v>395</v>
      </c>
      <c r="G52" t="str">
        <f>IFERROR(VLOOKUP(F52,Table2[],2,FALSE),"")</f>
        <v>m3</v>
      </c>
      <c r="H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38"/>
    </row>
    <row r="53" spans="1:11" x14ac:dyDescent="0.25">
      <c r="A53" s="440" t="s">
        <v>544</v>
      </c>
      <c r="B53" s="178"/>
      <c r="C53" s="178" t="s">
        <v>548</v>
      </c>
      <c r="D53" t="s">
        <v>560</v>
      </c>
      <c r="E53" t="str">
        <f>IFERROR(VLOOKUP(D53,Table2[],2,FALSE),"")</f>
        <v>Hektar</v>
      </c>
      <c r="F53" t="s">
        <v>334</v>
      </c>
      <c r="G53" t="str">
        <f>IFERROR(VLOOKUP(F53,Table2[],2,FALSE),"")</f>
        <v>t CO2-ækvivalenter</v>
      </c>
      <c r="H53" s="290">
        <f>-VLOOKUP($C53,'Kulstofoptag, skov'!$B$2:$I$13,MATCH(VALUE(RIGHT('Processer - data'!$D53,2)),'Kulstofoptag, skov'!$B$1:$I$1,0),FALSE)</f>
        <v>-4.25</v>
      </c>
      <c r="I53" s="290">
        <f>-VLOOKUP($C53,'Kulstofoptag, skov'!$B$2:$I$13,MATCH(VALUE(RIGHT('Processer - data'!$D53,2)),'Kulstofoptag, skov'!$B$1:$I$1,0),FALSE)</f>
        <v>-4.25</v>
      </c>
      <c r="J53" s="290">
        <f>-VLOOKUP($C53,'Kulstofoptag, skov'!$B$2:$I$13,MATCH(VALUE(RIGHT('Processer - data'!$D53,2)),'Kulstofoptag, skov'!$B$1:$I$1,0),FALSE)</f>
        <v>-4.25</v>
      </c>
      <c r="K53" s="338"/>
    </row>
    <row r="54" spans="1:11" x14ac:dyDescent="0.25">
      <c r="A54" s="180" t="s">
        <v>544</v>
      </c>
      <c r="B54" s="178"/>
      <c r="C54" s="178" t="s">
        <v>548</v>
      </c>
      <c r="D54" t="s">
        <v>560</v>
      </c>
      <c r="E54" t="str">
        <f>IFERROR(VLOOKUP(D54,Table2[],2,FALSE),"")</f>
        <v>Hektar</v>
      </c>
      <c r="F54" t="s">
        <v>893</v>
      </c>
      <c r="G54" t="str">
        <f>IFERROR(VLOOKUP(F54,Table2[],2,FALSE),"")</f>
        <v>t CO2-ækvivalenter</v>
      </c>
      <c r="H54" s="290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290">
        <f>H54</f>
        <v>0</v>
      </c>
      <c r="J54" s="290">
        <f>I54</f>
        <v>0</v>
      </c>
      <c r="K54" s="338"/>
    </row>
    <row r="55" spans="1:11" x14ac:dyDescent="0.25">
      <c r="A55" s="440" t="s">
        <v>544</v>
      </c>
      <c r="B55" s="178"/>
      <c r="C55" s="178" t="s">
        <v>548</v>
      </c>
      <c r="D55" t="s">
        <v>561</v>
      </c>
      <c r="E55" t="str">
        <f>IFERROR(VLOOKUP(D55,Table2[],2,FALSE),"")</f>
        <v>Hektar</v>
      </c>
      <c r="F55" t="s">
        <v>543</v>
      </c>
      <c r="G55" t="str">
        <f>IFERROR(VLOOKUP(F55,Table2[],2,FALSE),"")</f>
        <v>m3</v>
      </c>
      <c r="H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38"/>
    </row>
    <row r="56" spans="1:11" x14ac:dyDescent="0.25">
      <c r="A56" s="440" t="s">
        <v>544</v>
      </c>
      <c r="B56" s="178"/>
      <c r="C56" s="178" t="s">
        <v>548</v>
      </c>
      <c r="D56" t="s">
        <v>561</v>
      </c>
      <c r="E56" t="str">
        <f>IFERROR(VLOOKUP(D56,Table2[],2,FALSE),"")</f>
        <v>Hektar</v>
      </c>
      <c r="F56" t="s">
        <v>395</v>
      </c>
      <c r="G56" t="str">
        <f>IFERROR(VLOOKUP(F56,Table2[],2,FALSE),"")</f>
        <v>m3</v>
      </c>
      <c r="H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38"/>
    </row>
    <row r="57" spans="1:11" x14ac:dyDescent="0.25">
      <c r="A57" s="440" t="s">
        <v>544</v>
      </c>
      <c r="B57" s="178"/>
      <c r="C57" s="178" t="s">
        <v>548</v>
      </c>
      <c r="D57" t="s">
        <v>561</v>
      </c>
      <c r="E57" t="str">
        <f>IFERROR(VLOOKUP(D57,Table2[],2,FALSE),"")</f>
        <v>Hektar</v>
      </c>
      <c r="F57" t="s">
        <v>334</v>
      </c>
      <c r="G57" t="str">
        <f>IFERROR(VLOOKUP(F57,Table2[],2,FALSE),"")</f>
        <v>t CO2-ækvivalenter</v>
      </c>
      <c r="H57" s="290">
        <f>-VLOOKUP($C57,'Kulstofoptag, skov'!$B$2:$I$13,MATCH(VALUE(RIGHT('Processer - data'!$D57,2)),'Kulstofoptag, skov'!$B$1:$I$1,0),FALSE)</f>
        <v>-13.75</v>
      </c>
      <c r="I57" s="290">
        <f>-VLOOKUP($C57,'Kulstofoptag, skov'!$B$2:$I$13,MATCH(VALUE(RIGHT('Processer - data'!$D57,2)),'Kulstofoptag, skov'!$B$1:$I$1,0),FALSE)</f>
        <v>-13.75</v>
      </c>
      <c r="J57" s="290">
        <f>-VLOOKUP($C57,'Kulstofoptag, skov'!$B$2:$I$13,MATCH(VALUE(RIGHT('Processer - data'!$D57,2)),'Kulstofoptag, skov'!$B$1:$I$1,0),FALSE)</f>
        <v>-13.75</v>
      </c>
      <c r="K57" s="338"/>
    </row>
    <row r="58" spans="1:11" x14ac:dyDescent="0.25">
      <c r="A58" s="180" t="s">
        <v>544</v>
      </c>
      <c r="B58" s="178"/>
      <c r="C58" s="178" t="s">
        <v>548</v>
      </c>
      <c r="D58" t="s">
        <v>561</v>
      </c>
      <c r="E58" t="str">
        <f>IFERROR(VLOOKUP(D58,Table2[],2,FALSE),"")</f>
        <v>Hektar</v>
      </c>
      <c r="F58" t="s">
        <v>893</v>
      </c>
      <c r="G58" t="str">
        <f>IFERROR(VLOOKUP(F58,Table2[],2,FALSE),"")</f>
        <v>t CO2-ækvivalenter</v>
      </c>
      <c r="H58" s="290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290">
        <f>H58</f>
        <v>0</v>
      </c>
      <c r="J58" s="290">
        <f>I58</f>
        <v>0</v>
      </c>
      <c r="K58" s="338"/>
    </row>
    <row r="59" spans="1:11" x14ac:dyDescent="0.25">
      <c r="A59" s="440" t="s">
        <v>544</v>
      </c>
      <c r="B59" s="178"/>
      <c r="C59" s="178" t="s">
        <v>548</v>
      </c>
      <c r="D59" t="s">
        <v>562</v>
      </c>
      <c r="E59" t="str">
        <f>IFERROR(VLOOKUP(D59,Table2[],2,FALSE),"")</f>
        <v>Hektar</v>
      </c>
      <c r="F59" t="s">
        <v>543</v>
      </c>
      <c r="G59" t="str">
        <f>IFERROR(VLOOKUP(F59,Table2[],2,FALSE),"")</f>
        <v>m3</v>
      </c>
      <c r="H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38"/>
    </row>
    <row r="60" spans="1:11" x14ac:dyDescent="0.25">
      <c r="A60" s="440" t="s">
        <v>544</v>
      </c>
      <c r="B60" s="178"/>
      <c r="C60" s="178" t="s">
        <v>548</v>
      </c>
      <c r="D60" t="s">
        <v>562</v>
      </c>
      <c r="E60" t="str">
        <f>IFERROR(VLOOKUP(D60,Table2[],2,FALSE),"")</f>
        <v>Hektar</v>
      </c>
      <c r="F60" t="s">
        <v>395</v>
      </c>
      <c r="G60" t="str">
        <f>IFERROR(VLOOKUP(F60,Table2[],2,FALSE),"")</f>
        <v>m3</v>
      </c>
      <c r="H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38"/>
    </row>
    <row r="61" spans="1:11" x14ac:dyDescent="0.25">
      <c r="A61" s="440" t="s">
        <v>544</v>
      </c>
      <c r="B61" s="178"/>
      <c r="C61" s="178" t="s">
        <v>548</v>
      </c>
      <c r="D61" t="s">
        <v>562</v>
      </c>
      <c r="E61" t="str">
        <f>IFERROR(VLOOKUP(D61,Table2[],2,FALSE),"")</f>
        <v>Hektar</v>
      </c>
      <c r="F61" t="s">
        <v>334</v>
      </c>
      <c r="G61" t="str">
        <f>IFERROR(VLOOKUP(F61,Table2[],2,FALSE),"")</f>
        <v>t CO2-ækvivalenter</v>
      </c>
      <c r="H61" s="290">
        <f>-VLOOKUP($C61,'Kulstofoptag, skov'!$B$2:$I$13,MATCH(VALUE(RIGHT('Processer - data'!$D61,2)),'Kulstofoptag, skov'!$B$1:$I$1,0),FALSE)</f>
        <v>-13.25</v>
      </c>
      <c r="I61" s="290">
        <f>-VLOOKUP($C61,'Kulstofoptag, skov'!$B$2:$I$13,MATCH(VALUE(RIGHT('Processer - data'!$D61,2)),'Kulstofoptag, skov'!$B$1:$I$1,0),FALSE)</f>
        <v>-13.25</v>
      </c>
      <c r="J61" s="290">
        <f>-VLOOKUP($C61,'Kulstofoptag, skov'!$B$2:$I$13,MATCH(VALUE(RIGHT('Processer - data'!$D61,2)),'Kulstofoptag, skov'!$B$1:$I$1,0),FALSE)</f>
        <v>-13.25</v>
      </c>
      <c r="K61" s="338"/>
    </row>
    <row r="62" spans="1:11" ht="15.75" thickBot="1" x14ac:dyDescent="0.3">
      <c r="A62" s="180" t="s">
        <v>544</v>
      </c>
      <c r="B62" s="178"/>
      <c r="C62" s="178" t="s">
        <v>548</v>
      </c>
      <c r="D62" t="s">
        <v>562</v>
      </c>
      <c r="E62" t="str">
        <f>IFERROR(VLOOKUP(D62,Table2[],2,FALSE),"")</f>
        <v>Hektar</v>
      </c>
      <c r="F62" t="s">
        <v>893</v>
      </c>
      <c r="G62" t="str">
        <f>IFERROR(VLOOKUP(F62,Table2[],2,FALSE),"")</f>
        <v>t CO2-ækvivalenter</v>
      </c>
      <c r="H62" s="290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290">
        <f>H62</f>
        <v>-2.5882352941176467</v>
      </c>
      <c r="J62" s="290">
        <f>I62</f>
        <v>-2.5882352941176467</v>
      </c>
      <c r="K62" s="444"/>
    </row>
    <row r="63" spans="1:11" x14ac:dyDescent="0.25">
      <c r="A63" s="438" t="s">
        <v>544</v>
      </c>
      <c r="B63" s="239"/>
      <c r="C63" s="239" t="s">
        <v>549</v>
      </c>
      <c r="D63" s="240" t="s">
        <v>563</v>
      </c>
      <c r="E63" s="240" t="str">
        <f>IFERROR(VLOOKUP(D63,Table2[],2,FALSE),"")</f>
        <v>Hektar</v>
      </c>
      <c r="F63" s="240" t="s">
        <v>543</v>
      </c>
      <c r="G63" s="240" t="str">
        <f>IFERROR(VLOOKUP(F63,Table2[],2,FALSE),"")</f>
        <v>m3</v>
      </c>
      <c r="H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36"/>
    </row>
    <row r="64" spans="1:11" x14ac:dyDescent="0.25">
      <c r="A64" s="440" t="s">
        <v>544</v>
      </c>
      <c r="B64" s="178"/>
      <c r="C64" s="178" t="s">
        <v>549</v>
      </c>
      <c r="D64" t="s">
        <v>563</v>
      </c>
      <c r="E64" t="str">
        <f>IFERROR(VLOOKUP(D64,Table2[],2,FALSE),"")</f>
        <v>Hektar</v>
      </c>
      <c r="F64" t="s">
        <v>395</v>
      </c>
      <c r="G64" t="str">
        <f>IFERROR(VLOOKUP(F64,Table2[],2,FALSE),"")</f>
        <v>m3</v>
      </c>
      <c r="H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38"/>
    </row>
    <row r="65" spans="1:11" x14ac:dyDescent="0.25">
      <c r="A65" s="440" t="s">
        <v>544</v>
      </c>
      <c r="B65" s="178"/>
      <c r="C65" s="178" t="s">
        <v>549</v>
      </c>
      <c r="D65" t="s">
        <v>563</v>
      </c>
      <c r="E65" t="str">
        <f>IFERROR(VLOOKUP(D65,Table2[],2,FALSE),"")</f>
        <v>Hektar</v>
      </c>
      <c r="F65" t="s">
        <v>334</v>
      </c>
      <c r="G65" t="str">
        <f>IFERROR(VLOOKUP(F65,Table2[],2,FALSE),"")</f>
        <v>t CO2-ækvivalenter</v>
      </c>
      <c r="H65" s="290">
        <f>-VLOOKUP($C65,'Kulstofoptag, skov'!$B$2:$I$13,MATCH(VALUE(RIGHT('Processer - data'!$D65,2)),'Kulstofoptag, skov'!$B$1:$I$1,0),FALSE)</f>
        <v>-9.5</v>
      </c>
      <c r="I65" s="290">
        <f>-VLOOKUP($C65,'Kulstofoptag, skov'!$B$2:$I$13,MATCH(VALUE(RIGHT('Processer - data'!$D65,2)),'Kulstofoptag, skov'!$B$1:$I$1,0),FALSE)</f>
        <v>-9.5</v>
      </c>
      <c r="J65" s="290">
        <f>-VLOOKUP($C65,'Kulstofoptag, skov'!$B$2:$I$13,MATCH(VALUE(RIGHT('Processer - data'!$D65,2)),'Kulstofoptag, skov'!$B$1:$I$1,0),FALSE)</f>
        <v>-9.5</v>
      </c>
      <c r="K65" s="338"/>
    </row>
    <row r="66" spans="1:11" x14ac:dyDescent="0.25">
      <c r="A66" s="180" t="s">
        <v>544</v>
      </c>
      <c r="B66" s="178"/>
      <c r="C66" s="178" t="s">
        <v>549</v>
      </c>
      <c r="D66" t="s">
        <v>563</v>
      </c>
      <c r="E66" t="str">
        <f>IFERROR(VLOOKUP(D66,Table2[],2,FALSE),"")</f>
        <v>Hektar</v>
      </c>
      <c r="F66" t="s">
        <v>893</v>
      </c>
      <c r="G66" t="str">
        <f>IFERROR(VLOOKUP(F66,Table2[],2,FALSE),"")</f>
        <v>t CO2-ækvivalenter</v>
      </c>
      <c r="H66" s="290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290">
        <f>H66</f>
        <v>0</v>
      </c>
      <c r="J66" s="290">
        <f>I66</f>
        <v>0</v>
      </c>
      <c r="K66" s="338"/>
    </row>
    <row r="67" spans="1:11" x14ac:dyDescent="0.25">
      <c r="A67" s="440" t="s">
        <v>544</v>
      </c>
      <c r="B67" s="178"/>
      <c r="C67" s="178" t="s">
        <v>549</v>
      </c>
      <c r="D67" t="s">
        <v>564</v>
      </c>
      <c r="E67" t="str">
        <f>IFERROR(VLOOKUP(D67,Table2[],2,FALSE),"")</f>
        <v>Hektar</v>
      </c>
      <c r="F67" t="s">
        <v>543</v>
      </c>
      <c r="G67" t="str">
        <f>IFERROR(VLOOKUP(F67,Table2[],2,FALSE),"")</f>
        <v>m3</v>
      </c>
      <c r="H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38"/>
    </row>
    <row r="68" spans="1:11" x14ac:dyDescent="0.25">
      <c r="A68" s="440" t="s">
        <v>544</v>
      </c>
      <c r="B68" s="178"/>
      <c r="C68" s="178" t="s">
        <v>549</v>
      </c>
      <c r="D68" t="s">
        <v>564</v>
      </c>
      <c r="E68" t="str">
        <f>IFERROR(VLOOKUP(D68,Table2[],2,FALSE),"")</f>
        <v>Hektar</v>
      </c>
      <c r="F68" t="s">
        <v>395</v>
      </c>
      <c r="G68" t="str">
        <f>IFERROR(VLOOKUP(F68,Table2[],2,FALSE),"")</f>
        <v>m3</v>
      </c>
      <c r="H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38"/>
    </row>
    <row r="69" spans="1:11" x14ac:dyDescent="0.25">
      <c r="A69" s="440" t="s">
        <v>544</v>
      </c>
      <c r="B69" s="178"/>
      <c r="C69" s="178" t="s">
        <v>549</v>
      </c>
      <c r="D69" t="s">
        <v>564</v>
      </c>
      <c r="E69" t="str">
        <f>IFERROR(VLOOKUP(D69,Table2[],2,FALSE),"")</f>
        <v>Hektar</v>
      </c>
      <c r="F69" t="s">
        <v>334</v>
      </c>
      <c r="G69" t="str">
        <f>IFERROR(VLOOKUP(F69,Table2[],2,FALSE),"")</f>
        <v>t CO2-ækvivalenter</v>
      </c>
      <c r="H69" s="290">
        <f>-VLOOKUP($C69,'Kulstofoptag, skov'!$B$2:$I$13,MATCH(VALUE(RIGHT('Processer - data'!$D69,2)),'Kulstofoptag, skov'!$B$1:$I$1,0),FALSE)</f>
        <v>-8</v>
      </c>
      <c r="I69" s="290">
        <f>-VLOOKUP($C69,'Kulstofoptag, skov'!$B$2:$I$13,MATCH(VALUE(RIGHT('Processer - data'!$D69,2)),'Kulstofoptag, skov'!$B$1:$I$1,0),FALSE)</f>
        <v>-8</v>
      </c>
      <c r="J69" s="290">
        <f>-VLOOKUP($C69,'Kulstofoptag, skov'!$B$2:$I$13,MATCH(VALUE(RIGHT('Processer - data'!$D69,2)),'Kulstofoptag, skov'!$B$1:$I$1,0),FALSE)</f>
        <v>-8</v>
      </c>
      <c r="K69" s="338"/>
    </row>
    <row r="70" spans="1:11" x14ac:dyDescent="0.25">
      <c r="A70" s="180" t="s">
        <v>544</v>
      </c>
      <c r="B70" s="178"/>
      <c r="C70" s="178" t="s">
        <v>549</v>
      </c>
      <c r="D70" t="s">
        <v>564</v>
      </c>
      <c r="E70" t="str">
        <f>IFERROR(VLOOKUP(D70,Table2[],2,FALSE),"")</f>
        <v>Hektar</v>
      </c>
      <c r="F70" t="s">
        <v>893</v>
      </c>
      <c r="G70" t="str">
        <f>IFERROR(VLOOKUP(F70,Table2[],2,FALSE),"")</f>
        <v>t CO2-ækvivalenter</v>
      </c>
      <c r="H70" s="290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290">
        <f>H70</f>
        <v>-4.0000000000000018</v>
      </c>
      <c r="J70" s="290">
        <f>I70</f>
        <v>-4.0000000000000018</v>
      </c>
      <c r="K70" s="338"/>
    </row>
    <row r="71" spans="1:11" x14ac:dyDescent="0.25">
      <c r="A71" s="440" t="s">
        <v>544</v>
      </c>
      <c r="B71" s="178"/>
      <c r="C71" s="178" t="s">
        <v>549</v>
      </c>
      <c r="D71" t="s">
        <v>565</v>
      </c>
      <c r="E71" t="str">
        <f>IFERROR(VLOOKUP(D71,Table2[],2,FALSE),"")</f>
        <v>Hektar</v>
      </c>
      <c r="F71" t="s">
        <v>543</v>
      </c>
      <c r="G71" t="str">
        <f>IFERROR(VLOOKUP(F71,Table2[],2,FALSE),"")</f>
        <v>m3</v>
      </c>
      <c r="H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38"/>
    </row>
    <row r="72" spans="1:11" x14ac:dyDescent="0.25">
      <c r="A72" s="440" t="s">
        <v>544</v>
      </c>
      <c r="B72" s="178"/>
      <c r="C72" s="178" t="s">
        <v>549</v>
      </c>
      <c r="D72" t="s">
        <v>565</v>
      </c>
      <c r="E72" t="str">
        <f>IFERROR(VLOOKUP(D72,Table2[],2,FALSE),"")</f>
        <v>Hektar</v>
      </c>
      <c r="F72" t="s">
        <v>395</v>
      </c>
      <c r="G72" t="str">
        <f>IFERROR(VLOOKUP(F72,Table2[],2,FALSE),"")</f>
        <v>m3</v>
      </c>
      <c r="H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38"/>
    </row>
    <row r="73" spans="1:11" x14ac:dyDescent="0.25">
      <c r="A73" s="440" t="s">
        <v>544</v>
      </c>
      <c r="B73" s="178"/>
      <c r="C73" s="178" t="s">
        <v>549</v>
      </c>
      <c r="D73" t="s">
        <v>565</v>
      </c>
      <c r="E73" t="str">
        <f>IFERROR(VLOOKUP(D73,Table2[],2,FALSE),"")</f>
        <v>Hektar</v>
      </c>
      <c r="F73" t="s">
        <v>334</v>
      </c>
      <c r="G73" t="str">
        <f>IFERROR(VLOOKUP(F73,Table2[],2,FALSE),"")</f>
        <v>t CO2-ækvivalenter</v>
      </c>
      <c r="H73" s="290">
        <f>-VLOOKUP($C73,'Kulstofoptag, skov'!$B$2:$I$13,MATCH(VALUE(RIGHT('Processer - data'!$D73,2)),'Kulstofoptag, skov'!$B$1:$I$1,0),FALSE)</f>
        <v>-4.5</v>
      </c>
      <c r="I73" s="290">
        <f>-VLOOKUP($C73,'Kulstofoptag, skov'!$B$2:$I$13,MATCH(VALUE(RIGHT('Processer - data'!$D73,2)),'Kulstofoptag, skov'!$B$1:$I$1,0),FALSE)</f>
        <v>-4.5</v>
      </c>
      <c r="J73" s="290">
        <f>-VLOOKUP($C73,'Kulstofoptag, skov'!$B$2:$I$13,MATCH(VALUE(RIGHT('Processer - data'!$D73,2)),'Kulstofoptag, skov'!$B$1:$I$1,0),FALSE)</f>
        <v>-4.5</v>
      </c>
      <c r="K73" s="338"/>
    </row>
    <row r="74" spans="1:11" x14ac:dyDescent="0.25">
      <c r="A74" s="180" t="s">
        <v>544</v>
      </c>
      <c r="B74" s="178"/>
      <c r="C74" s="178" t="s">
        <v>549</v>
      </c>
      <c r="D74" t="s">
        <v>565</v>
      </c>
      <c r="E74" t="str">
        <f>IFERROR(VLOOKUP(D74,Table2[],2,FALSE),"")</f>
        <v>Hektar</v>
      </c>
      <c r="F74" t="s">
        <v>893</v>
      </c>
      <c r="G74" t="str">
        <f>IFERROR(VLOOKUP(F74,Table2[],2,FALSE),"")</f>
        <v>t CO2-ækvivalenter</v>
      </c>
      <c r="H74" s="290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290">
        <f>H74</f>
        <v>-4.3055555555555554</v>
      </c>
      <c r="J74" s="290">
        <f>I74</f>
        <v>-4.3055555555555554</v>
      </c>
      <c r="K74" s="338"/>
    </row>
    <row r="75" spans="1:11" x14ac:dyDescent="0.25">
      <c r="A75" s="440" t="s">
        <v>544</v>
      </c>
      <c r="B75" s="178"/>
      <c r="C75" s="178" t="s">
        <v>549</v>
      </c>
      <c r="D75" t="s">
        <v>566</v>
      </c>
      <c r="E75" t="str">
        <f>IFERROR(VLOOKUP(D75,Table2[],2,FALSE),"")</f>
        <v>Hektar</v>
      </c>
      <c r="F75" t="s">
        <v>543</v>
      </c>
      <c r="G75" t="str">
        <f>IFERROR(VLOOKUP(F75,Table2[],2,FALSE),"")</f>
        <v>m3</v>
      </c>
      <c r="H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38"/>
    </row>
    <row r="76" spans="1:11" x14ac:dyDescent="0.25">
      <c r="A76" s="440" t="s">
        <v>544</v>
      </c>
      <c r="B76" s="178"/>
      <c r="C76" s="178" t="s">
        <v>549</v>
      </c>
      <c r="D76" t="s">
        <v>566</v>
      </c>
      <c r="E76" t="str">
        <f>IFERROR(VLOOKUP(D76,Table2[],2,FALSE),"")</f>
        <v>Hektar</v>
      </c>
      <c r="F76" t="s">
        <v>395</v>
      </c>
      <c r="G76" t="str">
        <f>IFERROR(VLOOKUP(F76,Table2[],2,FALSE),"")</f>
        <v>m3</v>
      </c>
      <c r="H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38"/>
    </row>
    <row r="77" spans="1:11" x14ac:dyDescent="0.25">
      <c r="A77" s="440" t="s">
        <v>544</v>
      </c>
      <c r="B77" s="178"/>
      <c r="C77" s="178" t="s">
        <v>549</v>
      </c>
      <c r="D77" t="s">
        <v>566</v>
      </c>
      <c r="E77" t="str">
        <f>IFERROR(VLOOKUP(D77,Table2[],2,FALSE),"")</f>
        <v>Hektar</v>
      </c>
      <c r="F77" t="s">
        <v>334</v>
      </c>
      <c r="G77" t="str">
        <f>IFERROR(VLOOKUP(F77,Table2[],2,FALSE),"")</f>
        <v>t CO2-ækvivalenter</v>
      </c>
      <c r="H77" s="290">
        <f>-VLOOKUP($C77,'Kulstofoptag, skov'!$B$2:$I$13,MATCH(VALUE(RIGHT('Processer - data'!$D77,2)),'Kulstofoptag, skov'!$B$1:$I$1,0),FALSE)</f>
        <v>-13</v>
      </c>
      <c r="I77" s="290">
        <f>-VLOOKUP($C77,'Kulstofoptag, skov'!$B$2:$I$13,MATCH(VALUE(RIGHT('Processer - data'!$D77,2)),'Kulstofoptag, skov'!$B$1:$I$1,0),FALSE)</f>
        <v>-13</v>
      </c>
      <c r="J77" s="290">
        <f>-VLOOKUP($C77,'Kulstofoptag, skov'!$B$2:$I$13,MATCH(VALUE(RIGHT('Processer - data'!$D77,2)),'Kulstofoptag, skov'!$B$1:$I$1,0),FALSE)</f>
        <v>-13</v>
      </c>
      <c r="K77" s="338"/>
    </row>
    <row r="78" spans="1:11" ht="15.75" thickBot="1" x14ac:dyDescent="0.3">
      <c r="A78" s="180" t="s">
        <v>544</v>
      </c>
      <c r="B78" s="178"/>
      <c r="C78" s="178" t="s">
        <v>549</v>
      </c>
      <c r="D78" t="s">
        <v>566</v>
      </c>
      <c r="E78" t="str">
        <f>IFERROR(VLOOKUP(D78,Table2[],2,FALSE),"")</f>
        <v>Hektar</v>
      </c>
      <c r="F78" t="s">
        <v>893</v>
      </c>
      <c r="G78" t="str">
        <f>IFERROR(VLOOKUP(F78,Table2[],2,FALSE),"")</f>
        <v>t CO2-ækvivalenter</v>
      </c>
      <c r="H78" s="290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290">
        <f>H78</f>
        <v>-3.5588235294117645</v>
      </c>
      <c r="J78" s="290">
        <f>I78</f>
        <v>-3.5588235294117645</v>
      </c>
      <c r="K78" s="444"/>
    </row>
    <row r="79" spans="1:11" x14ac:dyDescent="0.25">
      <c r="A79" s="438" t="s">
        <v>544</v>
      </c>
      <c r="B79" s="239"/>
      <c r="C79" s="239" t="s">
        <v>550</v>
      </c>
      <c r="D79" s="240" t="s">
        <v>567</v>
      </c>
      <c r="E79" s="240" t="str">
        <f>IFERROR(VLOOKUP(D79,Table2[],2,FALSE),"")</f>
        <v>Hektar</v>
      </c>
      <c r="F79" s="240" t="s">
        <v>543</v>
      </c>
      <c r="G79" s="240" t="str">
        <f>IFERROR(VLOOKUP(F79,Table2[],2,FALSE),"")</f>
        <v>m3</v>
      </c>
      <c r="H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36"/>
    </row>
    <row r="80" spans="1:11" x14ac:dyDescent="0.25">
      <c r="A80" s="440" t="s">
        <v>544</v>
      </c>
      <c r="B80" s="178"/>
      <c r="C80" s="178" t="s">
        <v>550</v>
      </c>
      <c r="D80" t="s">
        <v>567</v>
      </c>
      <c r="E80" t="str">
        <f>IFERROR(VLOOKUP(D80,Table2[],2,FALSE),"")</f>
        <v>Hektar</v>
      </c>
      <c r="F80" t="s">
        <v>395</v>
      </c>
      <c r="G80" t="str">
        <f>IFERROR(VLOOKUP(F80,Table2[],2,FALSE),"")</f>
        <v>m3</v>
      </c>
      <c r="H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38"/>
    </row>
    <row r="81" spans="1:11" x14ac:dyDescent="0.25">
      <c r="A81" s="440" t="s">
        <v>544</v>
      </c>
      <c r="B81" s="178"/>
      <c r="C81" s="178" t="s">
        <v>550</v>
      </c>
      <c r="D81" t="s">
        <v>567</v>
      </c>
      <c r="E81" t="str">
        <f>IFERROR(VLOOKUP(D81,Table2[],2,FALSE),"")</f>
        <v>Hektar</v>
      </c>
      <c r="F81" t="s">
        <v>334</v>
      </c>
      <c r="G81" t="str">
        <f>IFERROR(VLOOKUP(F81,Table2[],2,FALSE),"")</f>
        <v>t CO2-ækvivalenter</v>
      </c>
      <c r="H81" s="290">
        <f>-VLOOKUP($C81,'Kulstofoptag, skov'!$B$2:$I$13,MATCH(VALUE(RIGHT('Processer - data'!$D81,2)),'Kulstofoptag, skov'!$B$1:$I$1,0),FALSE)</f>
        <v>-10</v>
      </c>
      <c r="I81" s="290">
        <f>-VLOOKUP($C81,'Kulstofoptag, skov'!$B$2:$I$13,MATCH(VALUE(RIGHT('Processer - data'!$D81,2)),'Kulstofoptag, skov'!$B$1:$I$1,0),FALSE)</f>
        <v>-10</v>
      </c>
      <c r="J81" s="290">
        <f>-VLOOKUP($C81,'Kulstofoptag, skov'!$B$2:$I$13,MATCH(VALUE(RIGHT('Processer - data'!$D81,2)),'Kulstofoptag, skov'!$B$1:$I$1,0),FALSE)</f>
        <v>-10</v>
      </c>
      <c r="K81" s="338"/>
    </row>
    <row r="82" spans="1:11" x14ac:dyDescent="0.25">
      <c r="A82" s="440" t="s">
        <v>544</v>
      </c>
      <c r="B82" s="178"/>
      <c r="C82" s="178" t="s">
        <v>550</v>
      </c>
      <c r="D82" t="s">
        <v>567</v>
      </c>
      <c r="E82" t="str">
        <f>IFERROR(VLOOKUP(D82,Table2[],2,FALSE),"")</f>
        <v>Hektar</v>
      </c>
      <c r="F82" t="s">
        <v>893</v>
      </c>
      <c r="G82" t="str">
        <f>IFERROR(VLOOKUP(F82,Table2[],2,FALSE),"")</f>
        <v>t CO2-ækvivalenter</v>
      </c>
      <c r="H82" s="290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290">
        <f>H82</f>
        <v>0</v>
      </c>
      <c r="J82" s="290">
        <f>I82</f>
        <v>0</v>
      </c>
      <c r="K82" s="338"/>
    </row>
    <row r="83" spans="1:11" x14ac:dyDescent="0.25">
      <c r="A83" s="440" t="s">
        <v>544</v>
      </c>
      <c r="B83" s="178"/>
      <c r="C83" s="178" t="s">
        <v>550</v>
      </c>
      <c r="D83" t="s">
        <v>568</v>
      </c>
      <c r="E83" t="str">
        <f>IFERROR(VLOOKUP(D83,Table2[],2,FALSE),"")</f>
        <v>Hektar</v>
      </c>
      <c r="F83" t="s">
        <v>543</v>
      </c>
      <c r="G83" t="str">
        <f>IFERROR(VLOOKUP(F83,Table2[],2,FALSE),"")</f>
        <v>m3</v>
      </c>
      <c r="H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38"/>
    </row>
    <row r="84" spans="1:11" x14ac:dyDescent="0.25">
      <c r="A84" s="440" t="s">
        <v>544</v>
      </c>
      <c r="B84" s="178"/>
      <c r="C84" s="178" t="s">
        <v>550</v>
      </c>
      <c r="D84" t="s">
        <v>568</v>
      </c>
      <c r="E84" t="str">
        <f>IFERROR(VLOOKUP(D84,Table2[],2,FALSE),"")</f>
        <v>Hektar</v>
      </c>
      <c r="F84" t="s">
        <v>395</v>
      </c>
      <c r="G84" t="str">
        <f>IFERROR(VLOOKUP(F84,Table2[],2,FALSE),"")</f>
        <v>m3</v>
      </c>
      <c r="H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38"/>
    </row>
    <row r="85" spans="1:11" x14ac:dyDescent="0.25">
      <c r="A85" s="440" t="s">
        <v>544</v>
      </c>
      <c r="B85" s="178"/>
      <c r="C85" s="178" t="s">
        <v>550</v>
      </c>
      <c r="D85" t="s">
        <v>568</v>
      </c>
      <c r="E85" t="str">
        <f>IFERROR(VLOOKUP(D85,Table2[],2,FALSE),"")</f>
        <v>Hektar</v>
      </c>
      <c r="F85" t="s">
        <v>334</v>
      </c>
      <c r="G85" t="str">
        <f>IFERROR(VLOOKUP(F85,Table2[],2,FALSE),"")</f>
        <v>t CO2-ækvivalenter</v>
      </c>
      <c r="H85" s="290">
        <f>-VLOOKUP($C85,'Kulstofoptag, skov'!$B$2:$I$13,MATCH(VALUE(RIGHT('Processer - data'!$D85,2)),'Kulstofoptag, skov'!$B$1:$I$1,0),FALSE)</f>
        <v>-10</v>
      </c>
      <c r="I85" s="290">
        <f>-VLOOKUP($C85,'Kulstofoptag, skov'!$B$2:$I$13,MATCH(VALUE(RIGHT('Processer - data'!$D85,2)),'Kulstofoptag, skov'!$B$1:$I$1,0),FALSE)</f>
        <v>-10</v>
      </c>
      <c r="J85" s="290">
        <f>-VLOOKUP($C85,'Kulstofoptag, skov'!$B$2:$I$13,MATCH(VALUE(RIGHT('Processer - data'!$D85,2)),'Kulstofoptag, skov'!$B$1:$I$1,0),FALSE)</f>
        <v>-10</v>
      </c>
      <c r="K85" s="338"/>
    </row>
    <row r="86" spans="1:11" x14ac:dyDescent="0.25">
      <c r="A86" s="440" t="s">
        <v>544</v>
      </c>
      <c r="B86" s="178"/>
      <c r="C86" s="178" t="s">
        <v>550</v>
      </c>
      <c r="D86" t="s">
        <v>568</v>
      </c>
      <c r="E86" t="str">
        <f>IFERROR(VLOOKUP(D86,Table2[],2,FALSE),"")</f>
        <v>Hektar</v>
      </c>
      <c r="F86" t="s">
        <v>893</v>
      </c>
      <c r="G86" t="str">
        <f>IFERROR(VLOOKUP(F86,Table2[],2,FALSE),"")</f>
        <v>t CO2-ækvivalenter</v>
      </c>
      <c r="H86" s="290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290">
        <f>H86</f>
        <v>0</v>
      </c>
      <c r="J86" s="290">
        <f>I86</f>
        <v>0</v>
      </c>
      <c r="K86" s="338"/>
    </row>
    <row r="87" spans="1:11" x14ac:dyDescent="0.25">
      <c r="A87" s="440" t="s">
        <v>544</v>
      </c>
      <c r="B87" s="178"/>
      <c r="C87" s="178" t="s">
        <v>550</v>
      </c>
      <c r="D87" t="s">
        <v>569</v>
      </c>
      <c r="E87" t="str">
        <f>IFERROR(VLOOKUP(D87,Table2[],2,FALSE),"")</f>
        <v>Hektar</v>
      </c>
      <c r="F87" t="s">
        <v>543</v>
      </c>
      <c r="G87" t="str">
        <f>IFERROR(VLOOKUP(F87,Table2[],2,FALSE),"")</f>
        <v>m3</v>
      </c>
      <c r="H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</v>
      </c>
      <c r="I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</v>
      </c>
      <c r="J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</v>
      </c>
      <c r="K87" s="338"/>
    </row>
    <row r="88" spans="1:11" x14ac:dyDescent="0.25">
      <c r="A88" s="440" t="s">
        <v>544</v>
      </c>
      <c r="B88" s="178"/>
      <c r="C88" s="178" t="s">
        <v>550</v>
      </c>
      <c r="D88" t="s">
        <v>569</v>
      </c>
      <c r="E88" t="str">
        <f>IFERROR(VLOOKUP(D88,Table2[],2,FALSE),"")</f>
        <v>Hektar</v>
      </c>
      <c r="F88" t="s">
        <v>395</v>
      </c>
      <c r="G88" t="str">
        <f>IFERROR(VLOOKUP(F88,Table2[],2,FALSE),"")</f>
        <v>m3</v>
      </c>
      <c r="H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</v>
      </c>
      <c r="I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</v>
      </c>
      <c r="J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</v>
      </c>
      <c r="K88" s="338"/>
    </row>
    <row r="89" spans="1:11" x14ac:dyDescent="0.25">
      <c r="A89" s="440" t="s">
        <v>544</v>
      </c>
      <c r="B89" s="178"/>
      <c r="C89" s="178" t="s">
        <v>550</v>
      </c>
      <c r="D89" t="s">
        <v>569</v>
      </c>
      <c r="E89" t="str">
        <f>IFERROR(VLOOKUP(D89,Table2[],2,FALSE),"")</f>
        <v>Hektar</v>
      </c>
      <c r="F89" t="s">
        <v>334</v>
      </c>
      <c r="G89" t="str">
        <f>IFERROR(VLOOKUP(F89,Table2[],2,FALSE),"")</f>
        <v>t CO2-ækvivalenter</v>
      </c>
      <c r="H89" s="290">
        <f>-VLOOKUP($C89,'Kulstofoptag, skov'!$B$2:$I$13,MATCH(VALUE(RIGHT('Processer - data'!$D89,2)),'Kulstofoptag, skov'!$B$1:$I$1,0),FALSE)</f>
        <v>-10</v>
      </c>
      <c r="I89" s="290">
        <f>-VLOOKUP($C89,'Kulstofoptag, skov'!$B$2:$I$13,MATCH(VALUE(RIGHT('Processer - data'!$D89,2)),'Kulstofoptag, skov'!$B$1:$I$1,0),FALSE)</f>
        <v>-10</v>
      </c>
      <c r="J89" s="290">
        <f>-VLOOKUP($C89,'Kulstofoptag, skov'!$B$2:$I$13,MATCH(VALUE(RIGHT('Processer - data'!$D89,2)),'Kulstofoptag, skov'!$B$1:$I$1,0),FALSE)</f>
        <v>-10</v>
      </c>
      <c r="K89" s="338"/>
    </row>
    <row r="90" spans="1:11" x14ac:dyDescent="0.25">
      <c r="A90" s="440" t="s">
        <v>544</v>
      </c>
      <c r="B90" s="178"/>
      <c r="C90" s="178" t="s">
        <v>550</v>
      </c>
      <c r="D90" t="s">
        <v>569</v>
      </c>
      <c r="E90" t="str">
        <f>IFERROR(VLOOKUP(D90,Table2[],2,FALSE),"")</f>
        <v>Hektar</v>
      </c>
      <c r="F90" t="s">
        <v>893</v>
      </c>
      <c r="G90" t="str">
        <f>IFERROR(VLOOKUP(F90,Table2[],2,FALSE),"")</f>
        <v>t CO2-ækvivalenter</v>
      </c>
      <c r="H90" s="290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0</v>
      </c>
      <c r="I90" s="290">
        <f>H90</f>
        <v>0</v>
      </c>
      <c r="J90" s="290">
        <f>I90</f>
        <v>0</v>
      </c>
      <c r="K90" s="338"/>
    </row>
    <row r="91" spans="1:11" x14ac:dyDescent="0.25">
      <c r="A91" s="440" t="s">
        <v>544</v>
      </c>
      <c r="B91" s="178"/>
      <c r="C91" s="178" t="s">
        <v>550</v>
      </c>
      <c r="D91" t="s">
        <v>570</v>
      </c>
      <c r="E91" t="str">
        <f>IFERROR(VLOOKUP(D91,Table2[],2,FALSE),"")</f>
        <v>Hektar</v>
      </c>
      <c r="F91" t="s">
        <v>543</v>
      </c>
      <c r="G91" t="str">
        <f>IFERROR(VLOOKUP(F91,Table2[],2,FALSE),"")</f>
        <v>m3</v>
      </c>
      <c r="H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0</v>
      </c>
      <c r="I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0</v>
      </c>
      <c r="J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0</v>
      </c>
      <c r="K91" s="338"/>
    </row>
    <row r="92" spans="1:11" x14ac:dyDescent="0.25">
      <c r="A92" s="440" t="s">
        <v>544</v>
      </c>
      <c r="B92" s="178"/>
      <c r="C92" s="178" t="s">
        <v>550</v>
      </c>
      <c r="D92" t="s">
        <v>570</v>
      </c>
      <c r="E92" t="str">
        <f>IFERROR(VLOOKUP(D92,Table2[],2,FALSE),"")</f>
        <v>Hektar</v>
      </c>
      <c r="F92" t="s">
        <v>395</v>
      </c>
      <c r="G92" t="str">
        <f>IFERROR(VLOOKUP(F92,Table2[],2,FALSE),"")</f>
        <v>m3</v>
      </c>
      <c r="H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0</v>
      </c>
      <c r="I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0</v>
      </c>
      <c r="J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0</v>
      </c>
      <c r="K92" s="338"/>
    </row>
    <row r="93" spans="1:11" x14ac:dyDescent="0.25">
      <c r="A93" s="440" t="s">
        <v>544</v>
      </c>
      <c r="B93" s="178"/>
      <c r="C93" s="178" t="s">
        <v>550</v>
      </c>
      <c r="D93" t="s">
        <v>570</v>
      </c>
      <c r="E93" t="str">
        <f>IFERROR(VLOOKUP(D93,Table2[],2,FALSE),"")</f>
        <v>Hektar</v>
      </c>
      <c r="F93" t="s">
        <v>334</v>
      </c>
      <c r="G93" t="str">
        <f>IFERROR(VLOOKUP(F93,Table2[],2,FALSE),"")</f>
        <v>t CO2-ækvivalenter</v>
      </c>
      <c r="H93" s="290">
        <f>-VLOOKUP($C93,'Kulstofoptag, skov'!$B$2:$I$13,MATCH(VALUE(RIGHT('Processer - data'!$D93,2)),'Kulstofoptag, skov'!$B$1:$I$1,0),FALSE)</f>
        <v>-10</v>
      </c>
      <c r="I93" s="290">
        <f>-VLOOKUP($C93,'Kulstofoptag, skov'!$B$2:$I$13,MATCH(VALUE(RIGHT('Processer - data'!$D93,2)),'Kulstofoptag, skov'!$B$1:$I$1,0),FALSE)</f>
        <v>-10</v>
      </c>
      <c r="J93" s="290">
        <f>-VLOOKUP($C93,'Kulstofoptag, skov'!$B$2:$I$13,MATCH(VALUE(RIGHT('Processer - data'!$D93,2)),'Kulstofoptag, skov'!$B$1:$I$1,0),FALSE)</f>
        <v>-10</v>
      </c>
      <c r="K93" s="338"/>
    </row>
    <row r="94" spans="1:11" ht="15.75" thickBot="1" x14ac:dyDescent="0.3">
      <c r="A94" s="441" t="s">
        <v>544</v>
      </c>
      <c r="B94" s="442"/>
      <c r="C94" s="442" t="s">
        <v>550</v>
      </c>
      <c r="D94" s="341" t="s">
        <v>570</v>
      </c>
      <c r="E94" s="341" t="str">
        <f>IFERROR(VLOOKUP(D94,Table2[],2,FALSE),"")</f>
        <v>Hektar</v>
      </c>
      <c r="F94" s="341" t="s">
        <v>893</v>
      </c>
      <c r="G94" s="341" t="str">
        <f>IFERROR(VLOOKUP(F94,Table2[],2,FALSE),"")</f>
        <v>t CO2-ækvivalenter</v>
      </c>
      <c r="H94" s="290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0</v>
      </c>
      <c r="I94" s="443">
        <f>H94</f>
        <v>0</v>
      </c>
      <c r="J94" s="443">
        <f>I94</f>
        <v>0</v>
      </c>
      <c r="K94" s="444"/>
    </row>
    <row r="95" spans="1:11" x14ac:dyDescent="0.25">
      <c r="A95" s="438" t="s">
        <v>339</v>
      </c>
      <c r="B95" s="445" t="s">
        <v>45</v>
      </c>
      <c r="C95" s="445"/>
      <c r="D95" s="240" t="s">
        <v>16</v>
      </c>
      <c r="E95" s="240" t="str">
        <f>IFERROR(VLOOKUP(D95,Table2[],2,FALSE),"")</f>
        <v>Antal</v>
      </c>
      <c r="F95" s="240" t="s">
        <v>290</v>
      </c>
      <c r="G95" s="240" t="str">
        <f>IFERROR(VLOOKUP(F95,Table2[],2,FALSE),"")</f>
        <v>Antal</v>
      </c>
      <c r="H95" s="241">
        <f>Dyrehold!$H$5</f>
        <v>1.3861685078371839</v>
      </c>
      <c r="I95" s="241">
        <f>Dyrehold!$H$5</f>
        <v>1.3861685078371839</v>
      </c>
      <c r="J95" s="241">
        <f>Dyrehold!$H$5</f>
        <v>1.3861685078371839</v>
      </c>
      <c r="K95" s="336"/>
    </row>
    <row r="96" spans="1:11" x14ac:dyDescent="0.25">
      <c r="A96" s="440" t="s">
        <v>339</v>
      </c>
      <c r="B96" s="174" t="s">
        <v>45</v>
      </c>
      <c r="C96" s="174"/>
      <c r="D96" t="s">
        <v>16</v>
      </c>
      <c r="E96" t="str">
        <f>IFERROR(VLOOKUP(D96,Table2[],2,FALSE),"")</f>
        <v>Antal</v>
      </c>
      <c r="F96" t="s">
        <v>488</v>
      </c>
      <c r="G96" t="str">
        <f>IFERROR(VLOOKUP(F96,Table2[],2,FALSE),"")</f>
        <v>Ton</v>
      </c>
      <c r="H96" s="163">
        <f>Dyrehold!$F$5</f>
        <v>1.4953335295833323</v>
      </c>
      <c r="I96" s="163">
        <f>Dyrehold!$F$5</f>
        <v>1.4953335295833323</v>
      </c>
      <c r="J96" s="163">
        <f>Dyrehold!$F$5</f>
        <v>1.4953335295833323</v>
      </c>
      <c r="K96" s="338"/>
    </row>
    <row r="97" spans="1:11" x14ac:dyDescent="0.25">
      <c r="A97" s="440" t="s">
        <v>339</v>
      </c>
      <c r="B97" s="174" t="s">
        <v>45</v>
      </c>
      <c r="C97" s="174"/>
      <c r="D97" t="s">
        <v>16</v>
      </c>
      <c r="E97" t="str">
        <f>IFERROR(VLOOKUP(D97,Table2[],2,FALSE),"")</f>
        <v>Antal</v>
      </c>
      <c r="F97" t="s">
        <v>39</v>
      </c>
      <c r="G97" t="str">
        <f>IFERROR(VLOOKUP(F97,Table2[],2,FALSE),"")</f>
        <v>Ton</v>
      </c>
      <c r="H97" s="163">
        <f>Dyrehold!$G$5</f>
        <v>0.19169096925932338</v>
      </c>
      <c r="I97" s="163">
        <f>Dyrehold!$G$5</f>
        <v>0.19169096925932338</v>
      </c>
      <c r="J97" s="163">
        <f>Dyrehold!$G$5</f>
        <v>0.19169096925932338</v>
      </c>
      <c r="K97" s="338"/>
    </row>
    <row r="98" spans="1:11" x14ac:dyDescent="0.25">
      <c r="A98" s="440" t="s">
        <v>339</v>
      </c>
      <c r="B98" s="174" t="s">
        <v>45</v>
      </c>
      <c r="C98" s="174"/>
      <c r="D98" t="s">
        <v>16</v>
      </c>
      <c r="E98" t="str">
        <f>IFERROR(VLOOKUP(D98,Table2[],2,FALSE),"")</f>
        <v>Antal</v>
      </c>
      <c r="F98" t="s">
        <v>41</v>
      </c>
      <c r="G98" t="str">
        <f>IFERROR(VLOOKUP(F98,Table2[],2,FALSE),"")</f>
        <v>Ton</v>
      </c>
      <c r="H98" s="163">
        <f>Dyrehold!$K$5</f>
        <v>1.5668203052737979E-2</v>
      </c>
      <c r="I98" s="163">
        <f>Dyrehold!$K$5</f>
        <v>1.5668203052737979E-2</v>
      </c>
      <c r="J98" s="163">
        <f>Dyrehold!$K$5</f>
        <v>1.5668203052737979E-2</v>
      </c>
      <c r="K98" s="338"/>
    </row>
    <row r="99" spans="1:11" x14ac:dyDescent="0.25">
      <c r="A99" s="440" t="s">
        <v>339</v>
      </c>
      <c r="B99" s="174" t="s">
        <v>45</v>
      </c>
      <c r="C99" s="174"/>
      <c r="D99" t="s">
        <v>16</v>
      </c>
      <c r="E99" t="str">
        <f>IFERROR(VLOOKUP(D99,Table2[],2,FALSE),"")</f>
        <v>Antal</v>
      </c>
      <c r="F99" t="s">
        <v>406</v>
      </c>
      <c r="G99" t="str">
        <f>IFERROR(VLOOKUP(F99,Table2[],2,FALSE),"")</f>
        <v>FE</v>
      </c>
      <c r="H99" s="187">
        <f>-Dyrehold!$C$5</f>
        <v>-855.47</v>
      </c>
      <c r="I99" s="187">
        <f>-Dyrehold!$C$5</f>
        <v>-855.47</v>
      </c>
      <c r="J99" s="187">
        <f>-Dyrehold!$C$5</f>
        <v>-855.47</v>
      </c>
      <c r="K99" s="338"/>
    </row>
    <row r="100" spans="1:11" x14ac:dyDescent="0.25">
      <c r="A100" s="440" t="s">
        <v>339</v>
      </c>
      <c r="B100" s="174" t="s">
        <v>45</v>
      </c>
      <c r="C100" s="174"/>
      <c r="D100" t="s">
        <v>16</v>
      </c>
      <c r="E100" t="str">
        <f>IFERROR(VLOOKUP(D100,Table2[],2,FALSE),"")</f>
        <v>Antal</v>
      </c>
      <c r="F100" t="s">
        <v>37</v>
      </c>
      <c r="G100" t="str">
        <f>IFERROR(VLOOKUP(F100,Table2[],2,FALSE),"")</f>
        <v>Ton</v>
      </c>
      <c r="H100" s="163">
        <f>-Dyrehold!$L$5</f>
        <v>-6.5699999999999995E-2</v>
      </c>
      <c r="I100" s="163">
        <f>-Dyrehold!$L$5</f>
        <v>-6.5699999999999995E-2</v>
      </c>
      <c r="J100" s="163">
        <f>-Dyrehold!$L$5</f>
        <v>-6.5699999999999995E-2</v>
      </c>
      <c r="K100" s="338"/>
    </row>
    <row r="101" spans="1:11" ht="15.75" thickBot="1" x14ac:dyDescent="0.3">
      <c r="A101" s="441" t="s">
        <v>339</v>
      </c>
      <c r="B101" s="446" t="s">
        <v>45</v>
      </c>
      <c r="C101" s="446"/>
      <c r="D101" s="341" t="s">
        <v>16</v>
      </c>
      <c r="E101" s="341" t="str">
        <f>IFERROR(VLOOKUP(D101,Table2[],2,FALSE),"")</f>
        <v>Antal</v>
      </c>
      <c r="F101" s="341" t="s">
        <v>334</v>
      </c>
      <c r="G101" s="341" t="str">
        <f>IFERROR(VLOOKUP(F101,Table2[],2,FALSE),"")</f>
        <v>t CO2-ækvivalenter</v>
      </c>
      <c r="H101" s="447">
        <f>Dyrehold!$M$5</f>
        <v>0.12546743028681259</v>
      </c>
      <c r="I101" s="447">
        <f>Dyrehold!$M$5</f>
        <v>0.12546743028681259</v>
      </c>
      <c r="J101" s="447">
        <f>Dyrehold!$M$5</f>
        <v>0.12546743028681259</v>
      </c>
      <c r="K101" s="444"/>
    </row>
    <row r="102" spans="1:11" x14ac:dyDescent="0.25">
      <c r="A102" s="180" t="s">
        <v>339</v>
      </c>
      <c r="B102" s="174" t="s">
        <v>46</v>
      </c>
      <c r="C102" s="174"/>
      <c r="D102" t="s">
        <v>16</v>
      </c>
      <c r="E102" t="str">
        <f>IFERROR(VLOOKUP(D102,Table2[],2,FALSE),"")</f>
        <v>Antal</v>
      </c>
      <c r="F102" t="s">
        <v>290</v>
      </c>
      <c r="G102" t="str">
        <f>IFERROR(VLOOKUP(F102,Table2[],2,FALSE),"")</f>
        <v>Antal</v>
      </c>
      <c r="H102" s="163">
        <f>Dyrehold!$H$6</f>
        <v>0.47263527552126194</v>
      </c>
      <c r="I102" s="163">
        <f>Dyrehold!$H$6</f>
        <v>0.47263527552126194</v>
      </c>
      <c r="J102" s="163">
        <f>Dyrehold!$H$6</f>
        <v>0.47263527552126194</v>
      </c>
      <c r="K102" s="145"/>
    </row>
    <row r="103" spans="1:11" x14ac:dyDescent="0.25">
      <c r="A103" s="180" t="s">
        <v>339</v>
      </c>
      <c r="B103" s="174" t="s">
        <v>46</v>
      </c>
      <c r="C103" s="174"/>
      <c r="D103" t="s">
        <v>16</v>
      </c>
      <c r="E103" t="str">
        <f>IFERROR(VLOOKUP(D103,Table2[],2,FALSE),"")</f>
        <v>Antal</v>
      </c>
      <c r="F103" t="s">
        <v>488</v>
      </c>
      <c r="G103" t="str">
        <f>IFERROR(VLOOKUP(F103,Table2[],2,FALSE),"")</f>
        <v>Ton</v>
      </c>
      <c r="H103" s="163">
        <f>Dyrehold!$F$6</f>
        <v>0</v>
      </c>
      <c r="I103" s="163">
        <f>Dyrehold!$F$6</f>
        <v>0</v>
      </c>
      <c r="J103" s="163">
        <f>Dyrehold!$F$6</f>
        <v>0</v>
      </c>
      <c r="K103" s="145"/>
    </row>
    <row r="104" spans="1:11" x14ac:dyDescent="0.25">
      <c r="A104" s="180" t="s">
        <v>339</v>
      </c>
      <c r="B104" s="174" t="s">
        <v>46</v>
      </c>
      <c r="C104" s="174"/>
      <c r="D104" t="s">
        <v>16</v>
      </c>
      <c r="E104" t="str">
        <f>IFERROR(VLOOKUP(D104,Table2[],2,FALSE),"")</f>
        <v>Antal</v>
      </c>
      <c r="F104" t="s">
        <v>39</v>
      </c>
      <c r="G104" t="str">
        <f>IFERROR(VLOOKUP(F104,Table2[],2,FALSE),"")</f>
        <v>Ton</v>
      </c>
      <c r="H104" s="163">
        <f>Dyrehold!$G$6</f>
        <v>0.51229925609666671</v>
      </c>
      <c r="I104" s="163">
        <f>Dyrehold!$G$6</f>
        <v>0.51229925609666671</v>
      </c>
      <c r="J104" s="163">
        <f>Dyrehold!$G$6</f>
        <v>0.51229925609666671</v>
      </c>
      <c r="K104" s="145"/>
    </row>
    <row r="105" spans="1:11" x14ac:dyDescent="0.25">
      <c r="A105" s="180" t="s">
        <v>339</v>
      </c>
      <c r="B105" s="174" t="s">
        <v>46</v>
      </c>
      <c r="C105" s="174"/>
      <c r="D105" t="s">
        <v>16</v>
      </c>
      <c r="E105" t="str">
        <f>IFERROR(VLOOKUP(D105,Table2[],2,FALSE),"")</f>
        <v>Antal</v>
      </c>
      <c r="F105" t="s">
        <v>41</v>
      </c>
      <c r="G105" t="str">
        <f>IFERROR(VLOOKUP(F105,Table2[],2,FALSE),"")</f>
        <v>Ton</v>
      </c>
      <c r="H105" s="163">
        <f>Dyrehold!$K$6</f>
        <v>1.5668203052737979E-2</v>
      </c>
      <c r="I105" s="163">
        <f>Dyrehold!$K$6</f>
        <v>1.5668203052737979E-2</v>
      </c>
      <c r="J105" s="163">
        <f>Dyrehold!$K$6</f>
        <v>1.5668203052737979E-2</v>
      </c>
      <c r="K105" s="145"/>
    </row>
    <row r="106" spans="1:11" x14ac:dyDescent="0.25">
      <c r="A106" s="180" t="s">
        <v>339</v>
      </c>
      <c r="B106" s="174" t="s">
        <v>46</v>
      </c>
      <c r="C106" s="174"/>
      <c r="D106" t="s">
        <v>16</v>
      </c>
      <c r="E106" t="str">
        <f>IFERROR(VLOOKUP(D106,Table2[],2,FALSE),"")</f>
        <v>Antal</v>
      </c>
      <c r="F106" t="s">
        <v>406</v>
      </c>
      <c r="G106" t="str">
        <f>IFERROR(VLOOKUP(F106,Table2[],2,FALSE),"")</f>
        <v>FE</v>
      </c>
      <c r="H106" s="187">
        <f>-Dyrehold!$C$6</f>
        <v>-855.47</v>
      </c>
      <c r="I106" s="187">
        <f>-Dyrehold!$C$6</f>
        <v>-855.47</v>
      </c>
      <c r="J106" s="187">
        <f>-Dyrehold!$C$6</f>
        <v>-855.47</v>
      </c>
      <c r="K106" s="145"/>
    </row>
    <row r="107" spans="1:11" x14ac:dyDescent="0.25">
      <c r="A107" s="180" t="s">
        <v>339</v>
      </c>
      <c r="B107" s="174" t="s">
        <v>46</v>
      </c>
      <c r="C107" s="174"/>
      <c r="D107" t="s">
        <v>16</v>
      </c>
      <c r="E107" t="str">
        <f>IFERROR(VLOOKUP(D107,Table2[],2,FALSE),"")</f>
        <v>Antal</v>
      </c>
      <c r="F107" t="s">
        <v>37</v>
      </c>
      <c r="G107" t="str">
        <f>IFERROR(VLOOKUP(F107,Table2[],2,FALSE),"")</f>
        <v>Ton</v>
      </c>
      <c r="H107" s="163">
        <f>-Dyrehold!$L$6</f>
        <v>-5.7750000000000003E-2</v>
      </c>
      <c r="I107" s="163">
        <f>-Dyrehold!$L$6</f>
        <v>-5.7750000000000003E-2</v>
      </c>
      <c r="J107" s="163">
        <f>-Dyrehold!$L$6</f>
        <v>-5.7750000000000003E-2</v>
      </c>
      <c r="K107" s="145"/>
    </row>
    <row r="108" spans="1:11" ht="15.75" thickBot="1" x14ac:dyDescent="0.3">
      <c r="A108" s="180" t="s">
        <v>339</v>
      </c>
      <c r="B108" s="174" t="s">
        <v>46</v>
      </c>
      <c r="C108" s="174"/>
      <c r="D108" t="s">
        <v>16</v>
      </c>
      <c r="E108" t="str">
        <f>IFERROR(VLOOKUP(D108,Table2[],2,FALSE),"")</f>
        <v>Antal</v>
      </c>
      <c r="F108" t="s">
        <v>334</v>
      </c>
      <c r="G108" t="str">
        <f>IFERROR(VLOOKUP(F108,Table2[],2,FALSE),"")</f>
        <v>t CO2-ækvivalenter</v>
      </c>
      <c r="H108" s="170">
        <f>Dyrehold!$M$6</f>
        <v>0.13801417331549384</v>
      </c>
      <c r="I108" s="170">
        <f>Dyrehold!$M$6</f>
        <v>0.13801417331549384</v>
      </c>
      <c r="J108" s="170">
        <f>Dyrehold!$M$6</f>
        <v>0.13801417331549384</v>
      </c>
      <c r="K108" s="145"/>
    </row>
    <row r="109" spans="1:11" ht="15.75" thickTop="1" x14ac:dyDescent="0.25">
      <c r="A109" s="179" t="s">
        <v>341</v>
      </c>
      <c r="B109" s="173" t="s">
        <v>45</v>
      </c>
      <c r="C109" s="173"/>
      <c r="D109" s="143" t="s">
        <v>17</v>
      </c>
      <c r="E109" s="143" t="str">
        <f>IFERROR(VLOOKUP(D109,Table2[],2,FALSE),"")</f>
        <v>Antal</v>
      </c>
      <c r="F109" s="143" t="s">
        <v>291</v>
      </c>
      <c r="G109" s="143" t="str">
        <f>IFERROR(VLOOKUP(F109,Table2[],2,FALSE),"")</f>
        <v>Antal</v>
      </c>
      <c r="H109" s="169">
        <f>Dyrehold!$H$7</f>
        <v>0.34772753819004898</v>
      </c>
      <c r="I109" s="169">
        <f>Dyrehold!$H$7</f>
        <v>0.34772753819004898</v>
      </c>
      <c r="J109" s="169">
        <f>Dyrehold!$H$7</f>
        <v>0.34772753819004898</v>
      </c>
      <c r="K109" s="144"/>
    </row>
    <row r="110" spans="1:11" x14ac:dyDescent="0.25">
      <c r="A110" s="180" t="s">
        <v>341</v>
      </c>
      <c r="B110" s="174" t="s">
        <v>45</v>
      </c>
      <c r="C110" s="174"/>
      <c r="D110" t="s">
        <v>17</v>
      </c>
      <c r="E110" t="str">
        <f>IFERROR(VLOOKUP(D110,Table2[],2,FALSE),"")</f>
        <v>Antal</v>
      </c>
      <c r="F110" t="s">
        <v>489</v>
      </c>
      <c r="G110" t="str">
        <f>IFERROR(VLOOKUP(F110,Table2[],2,FALSE),"")</f>
        <v>Ton</v>
      </c>
      <c r="H110" s="163">
        <f>Dyrehold!$F$7</f>
        <v>10.090491238149957</v>
      </c>
      <c r="I110" s="163">
        <f>Dyrehold!$F$7</f>
        <v>10.090491238149957</v>
      </c>
      <c r="J110" s="163">
        <f>Dyrehold!$F$7</f>
        <v>10.090491238149957</v>
      </c>
      <c r="K110" s="145"/>
    </row>
    <row r="111" spans="1:11" x14ac:dyDescent="0.25">
      <c r="A111" s="180" t="s">
        <v>341</v>
      </c>
      <c r="B111" s="174" t="s">
        <v>45</v>
      </c>
      <c r="C111" s="174"/>
      <c r="D111" t="s">
        <v>17</v>
      </c>
      <c r="E111" t="str">
        <f>IFERROR(VLOOKUP(D111,Table2[],2,FALSE),"")</f>
        <v>Antal</v>
      </c>
      <c r="F111" t="s">
        <v>39</v>
      </c>
      <c r="G111" t="str">
        <f>IFERROR(VLOOKUP(F111,Table2[],2,FALSE),"")</f>
        <v>Ton</v>
      </c>
      <c r="H111" s="163">
        <f>Dyrehold!$G$7</f>
        <v>0.19774537441874415</v>
      </c>
      <c r="I111" s="163">
        <f>Dyrehold!$G$7</f>
        <v>0.19774537441874415</v>
      </c>
      <c r="J111" s="163">
        <f>Dyrehold!$G$7</f>
        <v>0.19774537441874415</v>
      </c>
      <c r="K111" s="145"/>
    </row>
    <row r="112" spans="1:11" x14ac:dyDescent="0.25">
      <c r="A112" s="180" t="s">
        <v>341</v>
      </c>
      <c r="B112" s="174" t="s">
        <v>45</v>
      </c>
      <c r="C112" s="174"/>
      <c r="D112" t="s">
        <v>17</v>
      </c>
      <c r="E112" t="str">
        <f>IFERROR(VLOOKUP(D112,Table2[],2,FALSE),"")</f>
        <v>Antal</v>
      </c>
      <c r="F112" t="s">
        <v>292</v>
      </c>
      <c r="G112" t="str">
        <f>IFERROR(VLOOKUP(F112,Table2[],2,FALSE),"")</f>
        <v>Ton</v>
      </c>
      <c r="H112" s="163">
        <f>Dyrehold!$D$7</f>
        <v>3.7771765723503732</v>
      </c>
      <c r="I112" s="163">
        <f>Dyrehold!$D$7</f>
        <v>3.7771765723503732</v>
      </c>
      <c r="J112" s="163">
        <f>Dyrehold!$D$7</f>
        <v>3.7771765723503732</v>
      </c>
      <c r="K112" s="145"/>
    </row>
    <row r="113" spans="1:11" x14ac:dyDescent="0.25">
      <c r="A113" s="180" t="s">
        <v>341</v>
      </c>
      <c r="B113" s="174" t="s">
        <v>45</v>
      </c>
      <c r="C113" s="174"/>
      <c r="D113" t="s">
        <v>17</v>
      </c>
      <c r="E113" t="str">
        <f>IFERROR(VLOOKUP(D113,Table2[],2,FALSE),"")</f>
        <v>Antal</v>
      </c>
      <c r="F113" t="s">
        <v>41</v>
      </c>
      <c r="G113" t="str">
        <f>IFERROR(VLOOKUP(F113,Table2[],2,FALSE),"")</f>
        <v>Ton</v>
      </c>
      <c r="H113" s="163">
        <f>Dyrehold!$K$7</f>
        <v>4.3029625219252375E-2</v>
      </c>
      <c r="I113" s="163">
        <f>Dyrehold!$K$7</f>
        <v>4.3029625219252375E-2</v>
      </c>
      <c r="J113" s="163">
        <f>Dyrehold!$K$7</f>
        <v>4.3029625219252375E-2</v>
      </c>
      <c r="K113" s="145"/>
    </row>
    <row r="114" spans="1:11" x14ac:dyDescent="0.25">
      <c r="A114" s="180" t="s">
        <v>341</v>
      </c>
      <c r="B114" s="174" t="s">
        <v>45</v>
      </c>
      <c r="C114" s="174"/>
      <c r="D114" t="s">
        <v>17</v>
      </c>
      <c r="E114" t="str">
        <f>IFERROR(VLOOKUP(D114,Table2[],2,FALSE),"")</f>
        <v>Antal</v>
      </c>
      <c r="F114" t="s">
        <v>406</v>
      </c>
      <c r="G114" t="str">
        <f>IFERROR(VLOOKUP(F114,Table2[],2,FALSE),"")</f>
        <v>FE</v>
      </c>
      <c r="H114" s="187">
        <f>-Dyrehold!$C$7</f>
        <v>-2618</v>
      </c>
      <c r="I114" s="187">
        <f>-Dyrehold!$C$7</f>
        <v>-2618</v>
      </c>
      <c r="J114" s="187">
        <f>-Dyrehold!$C$7</f>
        <v>-2618</v>
      </c>
      <c r="K114" s="145"/>
    </row>
    <row r="115" spans="1:11" x14ac:dyDescent="0.25">
      <c r="A115" s="180" t="s">
        <v>341</v>
      </c>
      <c r="B115" s="174" t="s">
        <v>45</v>
      </c>
      <c r="C115" s="174"/>
      <c r="D115" t="s">
        <v>17</v>
      </c>
      <c r="E115" t="str">
        <f>IFERROR(VLOOKUP(D115,Table2[],2,FALSE),"")</f>
        <v>Antal</v>
      </c>
      <c r="F115" t="s">
        <v>37</v>
      </c>
      <c r="G115" t="str">
        <f>IFERROR(VLOOKUP(F115,Table2[],2,FALSE),"")</f>
        <v>Ton</v>
      </c>
      <c r="H115" s="168">
        <f>-Dyrehold!$L$7</f>
        <v>-1.095E-2</v>
      </c>
      <c r="I115" s="168">
        <f>-Dyrehold!$L$7</f>
        <v>-1.095E-2</v>
      </c>
      <c r="J115" s="168">
        <f>-Dyrehold!$L$7</f>
        <v>-1.095E-2</v>
      </c>
      <c r="K115" s="145"/>
    </row>
    <row r="116" spans="1:11" ht="15.75" thickBot="1" x14ac:dyDescent="0.3">
      <c r="A116" s="181" t="s">
        <v>341</v>
      </c>
      <c r="B116" s="175" t="s">
        <v>45</v>
      </c>
      <c r="C116" s="175"/>
      <c r="D116" s="146" t="s">
        <v>17</v>
      </c>
      <c r="E116" s="146" t="str">
        <f>IFERROR(VLOOKUP(D116,Table2[],2,FALSE),"")</f>
        <v>Antal</v>
      </c>
      <c r="F116" s="146" t="s">
        <v>334</v>
      </c>
      <c r="G116" s="146" t="str">
        <f>IFERROR(VLOOKUP(F116,Table2[],2,FALSE),"")</f>
        <v>t CO2-ækvivalenter</v>
      </c>
      <c r="H116" s="170">
        <f>Dyrehold!$M$7</f>
        <v>3.1715240866672119</v>
      </c>
      <c r="I116" s="170">
        <f>Dyrehold!$M$7</f>
        <v>3.1715240866672119</v>
      </c>
      <c r="J116" s="170">
        <f>Dyrehold!$M$7</f>
        <v>3.1715240866672119</v>
      </c>
      <c r="K116" s="147"/>
    </row>
    <row r="117" spans="1:11" ht="15.75" thickTop="1" x14ac:dyDescent="0.25">
      <c r="A117" s="180" t="s">
        <v>341</v>
      </c>
      <c r="B117" s="174" t="s">
        <v>46</v>
      </c>
      <c r="C117" s="174"/>
      <c r="D117" t="s">
        <v>17</v>
      </c>
      <c r="E117" t="str">
        <f>IFERROR(VLOOKUP(D117,Table2[],2,FALSE),"")</f>
        <v>Antal</v>
      </c>
      <c r="F117" t="s">
        <v>291</v>
      </c>
      <c r="G117" t="str">
        <f>IFERROR(VLOOKUP(F117,Table2[],2,FALSE),"")</f>
        <v>Antal</v>
      </c>
      <c r="H117" s="163">
        <f>Dyrehold!$H$8</f>
        <v>0.10430224472694208</v>
      </c>
      <c r="I117" s="163">
        <f>Dyrehold!$H$8</f>
        <v>0.10430224472694208</v>
      </c>
      <c r="J117" s="163">
        <f>Dyrehold!$H$8</f>
        <v>0.10430224472694208</v>
      </c>
      <c r="K117" s="145"/>
    </row>
    <row r="118" spans="1:11" x14ac:dyDescent="0.25">
      <c r="A118" s="180" t="s">
        <v>341</v>
      </c>
      <c r="B118" s="174" t="s">
        <v>46</v>
      </c>
      <c r="C118" s="174"/>
      <c r="D118" t="s">
        <v>17</v>
      </c>
      <c r="E118" t="str">
        <f>IFERROR(VLOOKUP(D118,Table2[],2,FALSE),"")</f>
        <v>Antal</v>
      </c>
      <c r="F118" t="s">
        <v>489</v>
      </c>
      <c r="G118" t="str">
        <f>IFERROR(VLOOKUP(F118,Table2[],2,FALSE),"")</f>
        <v>Ton</v>
      </c>
      <c r="H118" s="163">
        <f>Dyrehold!$F$8</f>
        <v>5.636332840052062</v>
      </c>
      <c r="I118" s="163">
        <f>Dyrehold!$F$8</f>
        <v>5.636332840052062</v>
      </c>
      <c r="J118" s="163">
        <f>Dyrehold!$F$8</f>
        <v>5.636332840052062</v>
      </c>
      <c r="K118" s="145"/>
    </row>
    <row r="119" spans="1:11" x14ac:dyDescent="0.25">
      <c r="A119" s="180" t="s">
        <v>341</v>
      </c>
      <c r="B119" s="174" t="s">
        <v>46</v>
      </c>
      <c r="C119" s="174"/>
      <c r="D119" t="s">
        <v>17</v>
      </c>
      <c r="E119" t="str">
        <f>IFERROR(VLOOKUP(D119,Table2[],2,FALSE),"")</f>
        <v>Antal</v>
      </c>
      <c r="F119" t="s">
        <v>39</v>
      </c>
      <c r="G119" t="str">
        <f>IFERROR(VLOOKUP(F119,Table2[],2,FALSE),"")</f>
        <v>Ton</v>
      </c>
      <c r="H119" s="163">
        <f>Dyrehold!$G$8</f>
        <v>4.6534847647404926E-2</v>
      </c>
      <c r="I119" s="163">
        <f>Dyrehold!$G$8</f>
        <v>4.6534847647404926E-2</v>
      </c>
      <c r="J119" s="163">
        <f>Dyrehold!$G$8</f>
        <v>4.6534847647404926E-2</v>
      </c>
      <c r="K119" s="145"/>
    </row>
    <row r="120" spans="1:11" x14ac:dyDescent="0.25">
      <c r="A120" s="180" t="s">
        <v>341</v>
      </c>
      <c r="B120" s="174" t="s">
        <v>46</v>
      </c>
      <c r="C120" s="174"/>
      <c r="D120" t="s">
        <v>17</v>
      </c>
      <c r="E120" t="str">
        <f>IFERROR(VLOOKUP(D120,Table2[],2,FALSE),"")</f>
        <v>Antal</v>
      </c>
      <c r="F120" t="s">
        <v>292</v>
      </c>
      <c r="G120" t="str">
        <f>IFERROR(VLOOKUP(F120,Table2[],2,FALSE),"")</f>
        <v>Ton</v>
      </c>
      <c r="H120" s="163">
        <f>Dyrehold!$D$8</f>
        <v>2.1529053078253426</v>
      </c>
      <c r="I120" s="163">
        <f>Dyrehold!$D$8</f>
        <v>2.1529053078253426</v>
      </c>
      <c r="J120" s="163">
        <f>Dyrehold!$D$8</f>
        <v>2.1529053078253426</v>
      </c>
      <c r="K120" s="145"/>
    </row>
    <row r="121" spans="1:11" x14ac:dyDescent="0.25">
      <c r="A121" s="180" t="s">
        <v>341</v>
      </c>
      <c r="B121" s="174" t="s">
        <v>46</v>
      </c>
      <c r="C121" s="174"/>
      <c r="D121" t="s">
        <v>17</v>
      </c>
      <c r="E121" t="str">
        <f>IFERROR(VLOOKUP(D121,Table2[],2,FALSE),"")</f>
        <v>Antal</v>
      </c>
      <c r="F121" t="s">
        <v>41</v>
      </c>
      <c r="G121" t="str">
        <f>IFERROR(VLOOKUP(F121,Table2[],2,FALSE),"")</f>
        <v>Ton</v>
      </c>
      <c r="H121" s="163">
        <f>Dyrehold!$K$8</f>
        <v>4.3029625219252375E-2</v>
      </c>
      <c r="I121" s="163">
        <f>Dyrehold!$K$8</f>
        <v>4.3029625219252375E-2</v>
      </c>
      <c r="J121" s="163">
        <f>Dyrehold!$K$8</f>
        <v>4.3029625219252375E-2</v>
      </c>
      <c r="K121" s="145"/>
    </row>
    <row r="122" spans="1:11" x14ac:dyDescent="0.25">
      <c r="A122" s="180" t="s">
        <v>341</v>
      </c>
      <c r="B122" s="174" t="s">
        <v>46</v>
      </c>
      <c r="C122" s="174"/>
      <c r="D122" t="s">
        <v>17</v>
      </c>
      <c r="E122" t="str">
        <f>IFERROR(VLOOKUP(D122,Table2[],2,FALSE),"")</f>
        <v>Antal</v>
      </c>
      <c r="F122" t="s">
        <v>406</v>
      </c>
      <c r="G122" t="str">
        <f>IFERROR(VLOOKUP(F122,Table2[],2,FALSE),"")</f>
        <v>FE</v>
      </c>
      <c r="H122" s="187">
        <f>-Dyrehold!$C$8</f>
        <v>-2618</v>
      </c>
      <c r="I122" s="187">
        <f>-Dyrehold!$C$8</f>
        <v>-2618</v>
      </c>
      <c r="J122" s="187">
        <f>-Dyrehold!$C$8</f>
        <v>-2618</v>
      </c>
      <c r="K122" s="145"/>
    </row>
    <row r="123" spans="1:11" x14ac:dyDescent="0.25">
      <c r="A123" s="180" t="s">
        <v>341</v>
      </c>
      <c r="B123" s="174" t="s">
        <v>46</v>
      </c>
      <c r="C123" s="174"/>
      <c r="D123" t="s">
        <v>17</v>
      </c>
      <c r="E123" t="str">
        <f>IFERROR(VLOOKUP(D123,Table2[],2,FALSE),"")</f>
        <v>Antal</v>
      </c>
      <c r="F123" t="s">
        <v>37</v>
      </c>
      <c r="G123" t="str">
        <f>IFERROR(VLOOKUP(F123,Table2[],2,FALSE),"")</f>
        <v>Ton</v>
      </c>
      <c r="H123" s="163">
        <f>-Dyrehold!$L$8</f>
        <v>-1.32E-2</v>
      </c>
      <c r="I123" s="163">
        <f>-Dyrehold!$L$8</f>
        <v>-1.32E-2</v>
      </c>
      <c r="J123" s="163">
        <f>-Dyrehold!$L$8</f>
        <v>-1.32E-2</v>
      </c>
      <c r="K123" s="145"/>
    </row>
    <row r="124" spans="1:11" ht="15.75" thickBot="1" x14ac:dyDescent="0.3">
      <c r="A124" s="180" t="s">
        <v>341</v>
      </c>
      <c r="B124" s="174" t="s">
        <v>46</v>
      </c>
      <c r="C124" s="174"/>
      <c r="D124" t="s">
        <v>17</v>
      </c>
      <c r="E124" t="str">
        <f>IFERROR(VLOOKUP(D124,Table2[],2,FALSE),"")</f>
        <v>Antal</v>
      </c>
      <c r="F124" t="s">
        <v>334</v>
      </c>
      <c r="G124" t="str">
        <f>IFERROR(VLOOKUP(F124,Table2[],2,FALSE),"")</f>
        <v>t CO2-ækvivalenter</v>
      </c>
      <c r="H124" s="170">
        <f>Dyrehold!$M$8</f>
        <v>2.6521826227537644</v>
      </c>
      <c r="I124" s="170">
        <f>Dyrehold!$M$8</f>
        <v>2.6521826227537644</v>
      </c>
      <c r="J124" s="170">
        <f>Dyrehold!$M$8</f>
        <v>2.6521826227537644</v>
      </c>
      <c r="K124" s="145"/>
    </row>
    <row r="125" spans="1:11" ht="15.75" thickTop="1" x14ac:dyDescent="0.25">
      <c r="A125" s="179" t="s">
        <v>340</v>
      </c>
      <c r="B125" s="173" t="s">
        <v>45</v>
      </c>
      <c r="C125" s="173"/>
      <c r="D125" s="143" t="s">
        <v>18</v>
      </c>
      <c r="E125" s="143" t="str">
        <f>IFERROR(VLOOKUP(D125,Table2[],2,FALSE),"")</f>
        <v>Antal</v>
      </c>
      <c r="F125" s="143" t="s">
        <v>354</v>
      </c>
      <c r="G125" s="143" t="str">
        <f>IFERROR(VLOOKUP(F125,Table2[],2,FALSE),"")</f>
        <v>Antal</v>
      </c>
      <c r="H125" s="169">
        <f>Dyrehold!$H$9</f>
        <v>5.3363578103053619</v>
      </c>
      <c r="I125" s="169">
        <f>Dyrehold!$H$9</f>
        <v>5.3363578103053619</v>
      </c>
      <c r="J125" s="169">
        <f>Dyrehold!$H$9</f>
        <v>5.3363578103053619</v>
      </c>
      <c r="K125" s="144"/>
    </row>
    <row r="126" spans="1:11" x14ac:dyDescent="0.25">
      <c r="A126" s="180" t="s">
        <v>340</v>
      </c>
      <c r="B126" s="174" t="s">
        <v>45</v>
      </c>
      <c r="C126" s="174"/>
      <c r="D126" t="s">
        <v>18</v>
      </c>
      <c r="E126" t="str">
        <f>IFERROR(VLOOKUP(D126,Table2[],2,FALSE),"")</f>
        <v>Antal</v>
      </c>
      <c r="F126" t="s">
        <v>490</v>
      </c>
      <c r="G126" t="str">
        <f>IFERROR(VLOOKUP(F126,Table2[],2,FALSE),"")</f>
        <v>Ton</v>
      </c>
      <c r="H126" s="168">
        <f>Dyrehold!$F$9</f>
        <v>3.3965332371824528E-4</v>
      </c>
      <c r="I126" s="168">
        <f>Dyrehold!$F$9</f>
        <v>3.3965332371824528E-4</v>
      </c>
      <c r="J126" s="168">
        <f>Dyrehold!$F$9</f>
        <v>3.3965332371824528E-4</v>
      </c>
      <c r="K126" s="145"/>
    </row>
    <row r="127" spans="1:11" x14ac:dyDescent="0.25">
      <c r="A127" s="180" t="s">
        <v>340</v>
      </c>
      <c r="B127" s="174" t="s">
        <v>45</v>
      </c>
      <c r="C127" s="174"/>
      <c r="D127" t="s">
        <v>18</v>
      </c>
      <c r="E127" t="str">
        <f>IFERROR(VLOOKUP(D127,Table2[],2,FALSE),"")</f>
        <v>Antal</v>
      </c>
      <c r="F127" t="s">
        <v>39</v>
      </c>
      <c r="G127" t="str">
        <f>IFERROR(VLOOKUP(F127,Table2[],2,FALSE),"")</f>
        <v>Ton</v>
      </c>
      <c r="H127" s="163">
        <f>Dyrehold!$G$9</f>
        <v>7.5279568763122248E-3</v>
      </c>
      <c r="I127" s="163">
        <f>Dyrehold!$G$9</f>
        <v>7.5279568763122248E-3</v>
      </c>
      <c r="J127" s="163">
        <f>Dyrehold!$G$9</f>
        <v>7.5279568763122248E-3</v>
      </c>
      <c r="K127" s="145"/>
    </row>
    <row r="128" spans="1:11" x14ac:dyDescent="0.25">
      <c r="A128" s="180" t="s">
        <v>340</v>
      </c>
      <c r="B128" s="174" t="s">
        <v>45</v>
      </c>
      <c r="C128" s="174"/>
      <c r="D128" t="s">
        <v>18</v>
      </c>
      <c r="E128" t="str">
        <f>IFERROR(VLOOKUP(D128,Table2[],2,FALSE),"")</f>
        <v>Antal</v>
      </c>
      <c r="F128" t="s">
        <v>303</v>
      </c>
      <c r="G128" t="str">
        <f>IFERROR(VLOOKUP(F128,Table2[],2,FALSE),"")</f>
        <v>Ton</v>
      </c>
      <c r="H128" s="188">
        <f>Dyrehold!$E$9</f>
        <v>1.1120887382109748E-2</v>
      </c>
      <c r="I128" s="188">
        <f>Dyrehold!$E$9</f>
        <v>1.1120887382109748E-2</v>
      </c>
      <c r="J128" s="188">
        <f>Dyrehold!$E$9</f>
        <v>1.1120887382109748E-2</v>
      </c>
      <c r="K128" s="145"/>
    </row>
    <row r="129" spans="1:11" x14ac:dyDescent="0.25">
      <c r="A129" s="180" t="s">
        <v>340</v>
      </c>
      <c r="B129" s="174" t="s">
        <v>45</v>
      </c>
      <c r="C129" s="174"/>
      <c r="D129" t="s">
        <v>18</v>
      </c>
      <c r="E129" t="str">
        <f>IFERROR(VLOOKUP(D129,Table2[],2,FALSE),"")</f>
        <v>Antal</v>
      </c>
      <c r="F129" t="s">
        <v>41</v>
      </c>
      <c r="G129" t="str">
        <f>IFERROR(VLOOKUP(F129,Table2[],2,FALSE),"")</f>
        <v>Ton</v>
      </c>
      <c r="H129" s="188">
        <f>Dyrehold!$K$9</f>
        <v>4.6967971777477953E-4</v>
      </c>
      <c r="I129" s="188">
        <f>Dyrehold!$K$9</f>
        <v>4.6967971777477953E-4</v>
      </c>
      <c r="J129" s="188">
        <f>Dyrehold!$K$9</f>
        <v>4.6967971777477953E-4</v>
      </c>
      <c r="K129" s="145"/>
    </row>
    <row r="130" spans="1:11" x14ac:dyDescent="0.25">
      <c r="A130" s="180" t="s">
        <v>340</v>
      </c>
      <c r="B130" s="174" t="s">
        <v>45</v>
      </c>
      <c r="C130" s="174"/>
      <c r="D130" t="s">
        <v>18</v>
      </c>
      <c r="E130" t="str">
        <f>IFERROR(VLOOKUP(D130,Table2[],2,FALSE),"")</f>
        <v>Antal</v>
      </c>
      <c r="F130" t="s">
        <v>406</v>
      </c>
      <c r="G130" t="str">
        <f>IFERROR(VLOOKUP(F130,Table2[],2,FALSE),"")</f>
        <v>FE</v>
      </c>
      <c r="H130" s="187">
        <f>-Dyrehold!$C$9</f>
        <v>-18.48</v>
      </c>
      <c r="I130" s="187">
        <f>-Dyrehold!$C$9</f>
        <v>-18.48</v>
      </c>
      <c r="J130" s="187">
        <f>-Dyrehold!$C$9</f>
        <v>-18.48</v>
      </c>
      <c r="K130" s="145"/>
    </row>
    <row r="131" spans="1:11" x14ac:dyDescent="0.25">
      <c r="A131" s="180" t="s">
        <v>340</v>
      </c>
      <c r="B131" s="174" t="s">
        <v>45</v>
      </c>
      <c r="C131" s="174"/>
      <c r="D131" t="s">
        <v>18</v>
      </c>
      <c r="E131" t="str">
        <f>IFERROR(VLOOKUP(D131,Table2[],2,FALSE),"")</f>
        <v>Antal</v>
      </c>
      <c r="F131" t="s">
        <v>37</v>
      </c>
      <c r="G131" t="str">
        <f>IFERROR(VLOOKUP(F131,Table2[],2,FALSE),"")</f>
        <v>Ton</v>
      </c>
      <c r="H131" s="163">
        <f>-Dyrehold!$L$9</f>
        <v>-4.3799999999999997E-4</v>
      </c>
      <c r="I131" s="163">
        <f>-Dyrehold!$L$9</f>
        <v>-4.3799999999999997E-4</v>
      </c>
      <c r="J131" s="163">
        <f>-Dyrehold!$L$9</f>
        <v>-4.3799999999999997E-4</v>
      </c>
      <c r="K131" s="145"/>
    </row>
    <row r="132" spans="1:11" ht="15.75" thickBot="1" x14ac:dyDescent="0.3">
      <c r="A132" s="181" t="s">
        <v>340</v>
      </c>
      <c r="B132" s="175" t="s">
        <v>45</v>
      </c>
      <c r="C132" s="175"/>
      <c r="D132" s="146" t="s">
        <v>18</v>
      </c>
      <c r="E132" s="146" t="str">
        <f>IFERROR(VLOOKUP(D132,Table2[],2,FALSE),"")</f>
        <v>Antal</v>
      </c>
      <c r="F132" s="146" t="s">
        <v>334</v>
      </c>
      <c r="G132" s="146" t="str">
        <f>IFERROR(VLOOKUP(F132,Table2[],2,FALSE),"")</f>
        <v>t CO2-ækvivalenter</v>
      </c>
      <c r="H132" s="170">
        <f>Dyrehold!$M$9</f>
        <v>7.99210246451366E-4</v>
      </c>
      <c r="I132" s="170">
        <f>Dyrehold!$M$9</f>
        <v>7.99210246451366E-4</v>
      </c>
      <c r="J132" s="170">
        <f>Dyrehold!$M$9</f>
        <v>7.99210246451366E-4</v>
      </c>
      <c r="K132" s="147"/>
    </row>
    <row r="133" spans="1:11" ht="15.75" thickTop="1" x14ac:dyDescent="0.25">
      <c r="A133" s="180" t="s">
        <v>340</v>
      </c>
      <c r="B133" s="174" t="s">
        <v>46</v>
      </c>
      <c r="C133" s="174"/>
      <c r="D133" t="s">
        <v>18</v>
      </c>
      <c r="E133" t="str">
        <f>IFERROR(VLOOKUP(D133,Table2[],2,FALSE),"")</f>
        <v>Antal</v>
      </c>
      <c r="F133" t="s">
        <v>354</v>
      </c>
      <c r="G133" t="str">
        <f>IFERROR(VLOOKUP(F133,Table2[],2,FALSE),"")</f>
        <v>Antal</v>
      </c>
      <c r="H133" s="163">
        <f>Dyrehold!$H$10</f>
        <v>0.37369537669419861</v>
      </c>
      <c r="I133" s="163">
        <f>Dyrehold!$H$10</f>
        <v>0.37369537669419861</v>
      </c>
      <c r="J133" s="163">
        <f>Dyrehold!$H$10</f>
        <v>0.37369537669419861</v>
      </c>
      <c r="K133" s="145"/>
    </row>
    <row r="134" spans="1:11" x14ac:dyDescent="0.25">
      <c r="A134" s="180" t="s">
        <v>340</v>
      </c>
      <c r="B134" s="174" t="s">
        <v>46</v>
      </c>
      <c r="C134" s="174"/>
      <c r="D134" t="s">
        <v>18</v>
      </c>
      <c r="E134" t="str">
        <f>IFERROR(VLOOKUP(D134,Table2[],2,FALSE),"")</f>
        <v>Antal</v>
      </c>
      <c r="F134" t="s">
        <v>490</v>
      </c>
      <c r="G134" t="str">
        <f>IFERROR(VLOOKUP(F134,Table2[],2,FALSE),"")</f>
        <v>Ton</v>
      </c>
      <c r="H134" s="163">
        <f>Dyrehold!$F$10</f>
        <v>6.6023396673266124E-4</v>
      </c>
      <c r="I134" s="163">
        <f>Dyrehold!$F$10</f>
        <v>6.6023396673266124E-4</v>
      </c>
      <c r="J134" s="163">
        <f>Dyrehold!$F$10</f>
        <v>6.6023396673266124E-4</v>
      </c>
      <c r="K134" s="145"/>
    </row>
    <row r="135" spans="1:11" x14ac:dyDescent="0.25">
      <c r="A135" s="180" t="s">
        <v>340</v>
      </c>
      <c r="B135" s="174" t="s">
        <v>46</v>
      </c>
      <c r="C135" s="174"/>
      <c r="D135" t="s">
        <v>18</v>
      </c>
      <c r="E135" t="str">
        <f>IFERROR(VLOOKUP(D135,Table2[],2,FALSE),"")</f>
        <v>Antal</v>
      </c>
      <c r="F135" t="s">
        <v>39</v>
      </c>
      <c r="G135" t="str">
        <f>IFERROR(VLOOKUP(F135,Table2[],2,FALSE),"")</f>
        <v>Ton</v>
      </c>
      <c r="H135" s="168">
        <f>Dyrehold!$G$10</f>
        <v>2.4860457648070043E-3</v>
      </c>
      <c r="I135" s="168">
        <f>Dyrehold!$G$10</f>
        <v>2.4860457648070043E-3</v>
      </c>
      <c r="J135" s="168">
        <f>Dyrehold!$G$10</f>
        <v>2.4860457648070043E-3</v>
      </c>
      <c r="K135" s="145"/>
    </row>
    <row r="136" spans="1:11" x14ac:dyDescent="0.25">
      <c r="A136" s="180" t="s">
        <v>340</v>
      </c>
      <c r="B136" s="174" t="s">
        <v>46</v>
      </c>
      <c r="C136" s="174"/>
      <c r="D136" t="s">
        <v>18</v>
      </c>
      <c r="E136" t="str">
        <f>IFERROR(VLOOKUP(D136,Table2[],2,FALSE),"")</f>
        <v>Antal</v>
      </c>
      <c r="F136" t="s">
        <v>303</v>
      </c>
      <c r="G136" t="str">
        <f>IFERROR(VLOOKUP(F136,Table2[],2,FALSE),"")</f>
        <v>Ton</v>
      </c>
      <c r="H136" s="188">
        <f>Dyrehold!$E$10</f>
        <v>4.5769564887054442E-3</v>
      </c>
      <c r="I136" s="188">
        <f>Dyrehold!$E$10</f>
        <v>4.5769564887054442E-3</v>
      </c>
      <c r="J136" s="188">
        <f>Dyrehold!$E$10</f>
        <v>4.5769564887054442E-3</v>
      </c>
      <c r="K136" s="145"/>
    </row>
    <row r="137" spans="1:11" x14ac:dyDescent="0.25">
      <c r="A137" s="180" t="s">
        <v>340</v>
      </c>
      <c r="B137" s="174" t="s">
        <v>46</v>
      </c>
      <c r="C137" s="174"/>
      <c r="D137" t="s">
        <v>18</v>
      </c>
      <c r="E137" t="str">
        <f>IFERROR(VLOOKUP(D137,Table2[],2,FALSE),"")</f>
        <v>Antal</v>
      </c>
      <c r="F137" t="s">
        <v>41</v>
      </c>
      <c r="G137" t="str">
        <f>IFERROR(VLOOKUP(F137,Table2[],2,FALSE),"")</f>
        <v>Ton</v>
      </c>
      <c r="H137" s="188">
        <f>Dyrehold!$K$10</f>
        <v>4.6967971777477953E-4</v>
      </c>
      <c r="I137" s="188">
        <f>Dyrehold!$K$10</f>
        <v>4.6967971777477953E-4</v>
      </c>
      <c r="J137" s="188">
        <f>Dyrehold!$K$10</f>
        <v>4.6967971777477953E-4</v>
      </c>
      <c r="K137" s="145"/>
    </row>
    <row r="138" spans="1:11" x14ac:dyDescent="0.25">
      <c r="A138" s="180" t="s">
        <v>340</v>
      </c>
      <c r="B138" s="174" t="s">
        <v>46</v>
      </c>
      <c r="C138" s="174"/>
      <c r="D138" t="s">
        <v>18</v>
      </c>
      <c r="E138" t="str">
        <f>IFERROR(VLOOKUP(D138,Table2[],2,FALSE),"")</f>
        <v>Antal</v>
      </c>
      <c r="F138" t="s">
        <v>406</v>
      </c>
      <c r="G138" t="str">
        <f>IFERROR(VLOOKUP(F138,Table2[],2,FALSE),"")</f>
        <v>FE</v>
      </c>
      <c r="H138" s="187">
        <f>-Dyrehold!$C$10</f>
        <v>-18.48</v>
      </c>
      <c r="I138" s="187">
        <f>-Dyrehold!$C$10</f>
        <v>-18.48</v>
      </c>
      <c r="J138" s="187">
        <f>-Dyrehold!$C$10</f>
        <v>-18.48</v>
      </c>
      <c r="K138" s="145"/>
    </row>
    <row r="139" spans="1:11" x14ac:dyDescent="0.25">
      <c r="A139" s="180" t="s">
        <v>340</v>
      </c>
      <c r="B139" s="174" t="s">
        <v>46</v>
      </c>
      <c r="C139" s="174"/>
      <c r="D139" t="s">
        <v>18</v>
      </c>
      <c r="E139" t="str">
        <f>IFERROR(VLOOKUP(D139,Table2[],2,FALSE),"")</f>
        <v>Antal</v>
      </c>
      <c r="F139" t="s">
        <v>37</v>
      </c>
      <c r="G139" t="str">
        <f>IFERROR(VLOOKUP(F139,Table2[],2,FALSE),"")</f>
        <v>Ton</v>
      </c>
      <c r="H139" s="163">
        <f>-Dyrehold!$L$10</f>
        <v>-8.25E-4</v>
      </c>
      <c r="I139" s="163">
        <f>-Dyrehold!$L$10</f>
        <v>-8.25E-4</v>
      </c>
      <c r="J139" s="163">
        <f>-Dyrehold!$L$10</f>
        <v>-8.25E-4</v>
      </c>
      <c r="K139" s="145"/>
    </row>
    <row r="140" spans="1:11" ht="15.75" thickBot="1" x14ac:dyDescent="0.3">
      <c r="A140" s="180" t="s">
        <v>340</v>
      </c>
      <c r="B140" s="174" t="s">
        <v>46</v>
      </c>
      <c r="C140" s="174"/>
      <c r="D140" t="s">
        <v>18</v>
      </c>
      <c r="E140" t="str">
        <f>IFERROR(VLOOKUP(D140,Table2[],2,FALSE),"")</f>
        <v>Antal</v>
      </c>
      <c r="F140" t="s">
        <v>334</v>
      </c>
      <c r="G140" t="str">
        <f>IFERROR(VLOOKUP(F140,Table2[],2,FALSE),"")</f>
        <v>t CO2-ækvivalenter</v>
      </c>
      <c r="H140" s="170">
        <f>Dyrehold!$M$10</f>
        <v>8.7913127109650257E-4</v>
      </c>
      <c r="I140" s="170">
        <f>Dyrehold!$M$10</f>
        <v>8.7913127109650257E-4</v>
      </c>
      <c r="J140" s="170">
        <f>Dyrehold!$M$10</f>
        <v>8.7913127109650257E-4</v>
      </c>
      <c r="K140" s="145"/>
    </row>
    <row r="141" spans="1:11" ht="15.75" thickTop="1" x14ac:dyDescent="0.25">
      <c r="A141" s="179" t="s">
        <v>25</v>
      </c>
      <c r="B141" s="173" t="s">
        <v>45</v>
      </c>
      <c r="C141" s="173" t="str">
        <f>Jordbund1</f>
        <v>JB1-10</v>
      </c>
      <c r="D141" s="143" t="s">
        <v>348</v>
      </c>
      <c r="E141" s="143" t="str">
        <f>IFERROR(VLOOKUP(D141,Table2[],2,FALSE),"")</f>
        <v>Hektar</v>
      </c>
      <c r="F141" s="143" t="s">
        <v>11</v>
      </c>
      <c r="G141" s="143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4"/>
    </row>
    <row r="142" spans="1:11" x14ac:dyDescent="0.25">
      <c r="A142" s="180" t="s">
        <v>25</v>
      </c>
      <c r="B142" s="174" t="s">
        <v>45</v>
      </c>
      <c r="C142" s="174" t="str">
        <f>Jordbund1</f>
        <v>JB1-10</v>
      </c>
      <c r="D142" t="s">
        <v>348</v>
      </c>
      <c r="E142" t="str">
        <f>IFERROR(VLOOKUP(D142,Table2[],2,FALSE),"")</f>
        <v>Hektar</v>
      </c>
      <c r="F142" t="s">
        <v>37</v>
      </c>
      <c r="G142" t="str">
        <f>IFERROR(VLOOKUP(F142,Table2[],2,FALSE),"")</f>
        <v>Ton</v>
      </c>
      <c r="H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5"/>
    </row>
    <row r="143" spans="1:11" x14ac:dyDescent="0.25">
      <c r="A143" s="180" t="s">
        <v>25</v>
      </c>
      <c r="B143" s="174" t="s">
        <v>45</v>
      </c>
      <c r="C143" s="174" t="str">
        <f>Jordbund1</f>
        <v>JB1-10</v>
      </c>
      <c r="D143" t="s">
        <v>348</v>
      </c>
      <c r="E143" t="str">
        <f>IFERROR(VLOOKUP(D143,Table2[],2,FALSE),"")</f>
        <v>Hektar</v>
      </c>
      <c r="F143" t="s">
        <v>293</v>
      </c>
      <c r="G143" t="str">
        <f>IFERROR(VLOOKUP(F143,Table2[],2,FALSE),"")</f>
        <v>kg N</v>
      </c>
      <c r="H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5"/>
    </row>
    <row r="144" spans="1:11" ht="15.75" thickBot="1" x14ac:dyDescent="0.3">
      <c r="A144" s="180" t="s">
        <v>25</v>
      </c>
      <c r="B144" s="174" t="s">
        <v>45</v>
      </c>
      <c r="C144" s="174" t="str">
        <f>Jordbund1</f>
        <v>JB1-10</v>
      </c>
      <c r="D144" t="s">
        <v>348</v>
      </c>
      <c r="E144" t="str">
        <f>IFERROR(VLOOKUP(D144,Table2[],2,FALSE),"")</f>
        <v>Hektar</v>
      </c>
      <c r="F144" t="s">
        <v>334</v>
      </c>
      <c r="G144" t="str">
        <f>IFERROR(VLOOKUP(F144,Table2[],2,FALSE),"")</f>
        <v>t CO2-ækvivalenter</v>
      </c>
      <c r="H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5"/>
    </row>
    <row r="145" spans="1:11" ht="15.75" thickTop="1" x14ac:dyDescent="0.25">
      <c r="A145" s="179" t="s">
        <v>25</v>
      </c>
      <c r="B145" s="173" t="s">
        <v>45</v>
      </c>
      <c r="C145" s="173" t="str">
        <f>Organ6</f>
        <v>OC6</v>
      </c>
      <c r="D145" s="143" t="s">
        <v>348</v>
      </c>
      <c r="E145" s="143" t="str">
        <f>IFERROR(VLOOKUP(D145,Table2[],2,FALSE),"")</f>
        <v>Hektar</v>
      </c>
      <c r="F145" s="143" t="s">
        <v>11</v>
      </c>
      <c r="G145" s="143" t="str">
        <f>IFERROR(VLOOKUP(F145,Table2[],2,FALSE),"")</f>
        <v>Ton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4"/>
    </row>
    <row r="146" spans="1:11" x14ac:dyDescent="0.25">
      <c r="A146" s="180" t="s">
        <v>25</v>
      </c>
      <c r="B146" s="174" t="s">
        <v>45</v>
      </c>
      <c r="C146" s="174" t="str">
        <f>Organ6</f>
        <v>OC6</v>
      </c>
      <c r="D146" t="s">
        <v>348</v>
      </c>
      <c r="E146" t="str">
        <f>IFERROR(VLOOKUP(D146,Table2[],2,FALSE),"")</f>
        <v>Hektar</v>
      </c>
      <c r="F146" t="s">
        <v>37</v>
      </c>
      <c r="G146" t="str">
        <f>IFERROR(VLOOKUP(F146,Table2[],2,FALSE),"")</f>
        <v>Ton</v>
      </c>
      <c r="H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5"/>
    </row>
    <row r="147" spans="1:11" x14ac:dyDescent="0.25">
      <c r="A147" s="180" t="s">
        <v>25</v>
      </c>
      <c r="B147" s="174" t="s">
        <v>45</v>
      </c>
      <c r="C147" s="174" t="str">
        <f>Organ6</f>
        <v>OC6</v>
      </c>
      <c r="D147" t="s">
        <v>348</v>
      </c>
      <c r="E147" t="str">
        <f>IFERROR(VLOOKUP(D147,Table2[],2,FALSE),"")</f>
        <v>Hektar</v>
      </c>
      <c r="F147" t="s">
        <v>293</v>
      </c>
      <c r="G147" t="str">
        <f>IFERROR(VLOOKUP(F147,Table2[],2,FALSE),"")</f>
        <v>kg N</v>
      </c>
      <c r="H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5"/>
    </row>
    <row r="148" spans="1:11" ht="15.75" thickBot="1" x14ac:dyDescent="0.3">
      <c r="A148" s="180" t="s">
        <v>25</v>
      </c>
      <c r="B148" s="174" t="s">
        <v>45</v>
      </c>
      <c r="C148" s="174" t="str">
        <f>Organ6</f>
        <v>OC6</v>
      </c>
      <c r="D148" t="s">
        <v>348</v>
      </c>
      <c r="E148" t="str">
        <f>IFERROR(VLOOKUP(D148,Table2[],2,FALSE),"")</f>
        <v>Hektar</v>
      </c>
      <c r="F148" t="s">
        <v>334</v>
      </c>
      <c r="G148" t="str">
        <f>IFERROR(VLOOKUP(F148,Table2[],2,FALSE),"")</f>
        <v>t CO2-ækvivalenter</v>
      </c>
      <c r="H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5"/>
    </row>
    <row r="149" spans="1:11" ht="15.75" thickTop="1" x14ac:dyDescent="0.25">
      <c r="A149" s="179" t="s">
        <v>25</v>
      </c>
      <c r="B149" s="173" t="s">
        <v>45</v>
      </c>
      <c r="C149" s="173" t="str">
        <f>Organ12</f>
        <v>OC12</v>
      </c>
      <c r="D149" s="143" t="s">
        <v>348</v>
      </c>
      <c r="E149" s="143" t="str">
        <f>IFERROR(VLOOKUP(D149,Table2[],2,FALSE),"")</f>
        <v>Hektar</v>
      </c>
      <c r="F149" s="143" t="s">
        <v>11</v>
      </c>
      <c r="G149" s="143" t="str">
        <f>IFERROR(VLOOKUP(F149,Table2[],2,FALSE),"")</f>
        <v>Ton</v>
      </c>
      <c r="H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4"/>
    </row>
    <row r="150" spans="1:11" x14ac:dyDescent="0.25">
      <c r="A150" s="180" t="s">
        <v>25</v>
      </c>
      <c r="B150" s="174" t="s">
        <v>45</v>
      </c>
      <c r="C150" s="174" t="str">
        <f>Organ12</f>
        <v>OC12</v>
      </c>
      <c r="D150" t="s">
        <v>348</v>
      </c>
      <c r="E150" t="str">
        <f>IFERROR(VLOOKUP(D150,Table2[],2,FALSE),"")</f>
        <v>Hektar</v>
      </c>
      <c r="F150" t="s">
        <v>37</v>
      </c>
      <c r="G150" t="str">
        <f>IFERROR(VLOOKUP(F150,Table2[],2,FALSE),"")</f>
        <v>Ton</v>
      </c>
      <c r="H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5"/>
    </row>
    <row r="151" spans="1:11" x14ac:dyDescent="0.25">
      <c r="A151" s="180" t="s">
        <v>25</v>
      </c>
      <c r="B151" s="174" t="s">
        <v>45</v>
      </c>
      <c r="C151" s="174" t="str">
        <f>Organ12</f>
        <v>OC12</v>
      </c>
      <c r="D151" t="s">
        <v>348</v>
      </c>
      <c r="E151" t="str">
        <f>IFERROR(VLOOKUP(D151,Table2[],2,FALSE),"")</f>
        <v>Hektar</v>
      </c>
      <c r="F151" t="s">
        <v>293</v>
      </c>
      <c r="G151" t="str">
        <f>IFERROR(VLOOKUP(F151,Table2[],2,FALSE),"")</f>
        <v>kg N</v>
      </c>
      <c r="H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5"/>
    </row>
    <row r="152" spans="1:11" ht="15.75" thickBot="1" x14ac:dyDescent="0.3">
      <c r="A152" s="180" t="s">
        <v>25</v>
      </c>
      <c r="B152" s="174" t="s">
        <v>45</v>
      </c>
      <c r="C152" s="174" t="str">
        <f>Organ12</f>
        <v>OC12</v>
      </c>
      <c r="D152" t="s">
        <v>348</v>
      </c>
      <c r="E152" t="str">
        <f>IFERROR(VLOOKUP(D152,Table2[],2,FALSE),"")</f>
        <v>Hektar</v>
      </c>
      <c r="F152" t="s">
        <v>334</v>
      </c>
      <c r="G152" t="str">
        <f>IFERROR(VLOOKUP(F152,Table2[],2,FALSE),"")</f>
        <v>t CO2-ækvivalenter</v>
      </c>
      <c r="H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5"/>
    </row>
    <row r="153" spans="1:11" ht="15.75" thickTop="1" x14ac:dyDescent="0.25">
      <c r="A153" s="179" t="s">
        <v>25</v>
      </c>
      <c r="B153" s="173" t="s">
        <v>46</v>
      </c>
      <c r="C153" s="173" t="str">
        <f>Jordbund1</f>
        <v>JB1-10</v>
      </c>
      <c r="D153" s="143" t="s">
        <v>348</v>
      </c>
      <c r="E153" s="143" t="str">
        <f>IFERROR(VLOOKUP(D153,Table2[],2,FALSE),"")</f>
        <v>Hektar</v>
      </c>
      <c r="F153" s="143" t="s">
        <v>11</v>
      </c>
      <c r="G153" s="143" t="str">
        <f>IFERROR(VLOOKUP(F153,Table2[],2,FALSE),"")</f>
        <v>Ton</v>
      </c>
      <c r="H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4"/>
    </row>
    <row r="154" spans="1:11" x14ac:dyDescent="0.25">
      <c r="A154" s="180" t="s">
        <v>25</v>
      </c>
      <c r="B154" s="174" t="s">
        <v>46</v>
      </c>
      <c r="C154" s="174" t="str">
        <f>Jordbund1</f>
        <v>JB1-10</v>
      </c>
      <c r="D154" t="s">
        <v>348</v>
      </c>
      <c r="E154" t="str">
        <f>IFERROR(VLOOKUP(D154,Table2[],2,FALSE),"")</f>
        <v>Hektar</v>
      </c>
      <c r="F154" t="s">
        <v>37</v>
      </c>
      <c r="G154" t="str">
        <f>IFERROR(VLOOKUP(F154,Table2[],2,FALSE),"")</f>
        <v>Ton</v>
      </c>
      <c r="H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5"/>
    </row>
    <row r="155" spans="1:11" x14ac:dyDescent="0.25">
      <c r="A155" s="180" t="s">
        <v>25</v>
      </c>
      <c r="B155" s="174" t="s">
        <v>46</v>
      </c>
      <c r="C155" s="174" t="str">
        <f>Jordbund1</f>
        <v>JB1-10</v>
      </c>
      <c r="D155" t="s">
        <v>348</v>
      </c>
      <c r="E155" t="str">
        <f>IFERROR(VLOOKUP(D155,Table2[],2,FALSE),"")</f>
        <v>Hektar</v>
      </c>
      <c r="F155" t="s">
        <v>293</v>
      </c>
      <c r="G155" t="str">
        <f>IFERROR(VLOOKUP(F155,Table2[],2,FALSE),"")</f>
        <v>kg N</v>
      </c>
      <c r="H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5"/>
    </row>
    <row r="156" spans="1:11" ht="15.75" thickBot="1" x14ac:dyDescent="0.3">
      <c r="A156" s="181" t="s">
        <v>25</v>
      </c>
      <c r="B156" s="175" t="s">
        <v>46</v>
      </c>
      <c r="C156" s="175" t="str">
        <f>Jordbund1</f>
        <v>JB1-10</v>
      </c>
      <c r="D156" s="146" t="s">
        <v>348</v>
      </c>
      <c r="E156" s="146" t="str">
        <f>IFERROR(VLOOKUP(D156,Table2[],2,FALSE),"")</f>
        <v>Hektar</v>
      </c>
      <c r="F156" s="146" t="s">
        <v>334</v>
      </c>
      <c r="G156" s="146" t="str">
        <f>IFERROR(VLOOKUP(F156,Table2[],2,FALSE),"")</f>
        <v>t CO2-ækvivalenter</v>
      </c>
      <c r="H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7"/>
    </row>
    <row r="157" spans="1:11" ht="15.75" thickTop="1" x14ac:dyDescent="0.25">
      <c r="A157" s="179" t="s">
        <v>25</v>
      </c>
      <c r="B157" s="173" t="s">
        <v>46</v>
      </c>
      <c r="C157" s="173" t="str">
        <f>Organ6</f>
        <v>OC6</v>
      </c>
      <c r="D157" s="143" t="s">
        <v>348</v>
      </c>
      <c r="E157" s="143" t="str">
        <f>IFERROR(VLOOKUP(D157,Table2[],2,FALSE),"")</f>
        <v>Hektar</v>
      </c>
      <c r="F157" s="143" t="s">
        <v>11</v>
      </c>
      <c r="G157" s="143" t="str">
        <f>IFERROR(VLOOKUP(F157,Table2[],2,FALSE),"")</f>
        <v>Ton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4"/>
    </row>
    <row r="158" spans="1:11" x14ac:dyDescent="0.25">
      <c r="A158" s="180" t="s">
        <v>25</v>
      </c>
      <c r="B158" s="174" t="s">
        <v>46</v>
      </c>
      <c r="C158" s="174" t="str">
        <f>Organ6</f>
        <v>OC6</v>
      </c>
      <c r="D158" t="s">
        <v>348</v>
      </c>
      <c r="E158" t="str">
        <f>IFERROR(VLOOKUP(D158,Table2[],2,FALSE),"")</f>
        <v>Hektar</v>
      </c>
      <c r="F158" t="s">
        <v>37</v>
      </c>
      <c r="G158" t="str">
        <f>IFERROR(VLOOKUP(F158,Table2[],2,FALSE),"")</f>
        <v>Ton</v>
      </c>
      <c r="H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5"/>
    </row>
    <row r="159" spans="1:11" x14ac:dyDescent="0.25">
      <c r="A159" s="180" t="s">
        <v>25</v>
      </c>
      <c r="B159" s="174" t="s">
        <v>46</v>
      </c>
      <c r="C159" s="174" t="str">
        <f>Organ6</f>
        <v>OC6</v>
      </c>
      <c r="D159" t="s">
        <v>348</v>
      </c>
      <c r="E159" t="str">
        <f>IFERROR(VLOOKUP(D159,Table2[],2,FALSE),"")</f>
        <v>Hektar</v>
      </c>
      <c r="F159" t="s">
        <v>293</v>
      </c>
      <c r="G159" t="str">
        <f>IFERROR(VLOOKUP(F159,Table2[],2,FALSE),"")</f>
        <v>kg N</v>
      </c>
      <c r="H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5"/>
    </row>
    <row r="160" spans="1:11" ht="15.75" thickBot="1" x14ac:dyDescent="0.3">
      <c r="A160" s="181" t="s">
        <v>25</v>
      </c>
      <c r="B160" s="175" t="s">
        <v>46</v>
      </c>
      <c r="C160" s="175" t="str">
        <f>Organ6</f>
        <v>OC6</v>
      </c>
      <c r="D160" s="146" t="s">
        <v>348</v>
      </c>
      <c r="E160" s="146" t="str">
        <f>IFERROR(VLOOKUP(D160,Table2[],2,FALSE),"")</f>
        <v>Hektar</v>
      </c>
      <c r="F160" s="146" t="s">
        <v>334</v>
      </c>
      <c r="G160" s="146" t="str">
        <f>IFERROR(VLOOKUP(F160,Table2[],2,FALSE),"")</f>
        <v>t CO2-ækvivalenter</v>
      </c>
      <c r="H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7"/>
    </row>
    <row r="161" spans="1:11" ht="15.75" thickTop="1" x14ac:dyDescent="0.25">
      <c r="A161" s="179" t="s">
        <v>25</v>
      </c>
      <c r="B161" s="173" t="s">
        <v>46</v>
      </c>
      <c r="C161" s="173" t="str">
        <f>Organ12</f>
        <v>OC12</v>
      </c>
      <c r="D161" s="143" t="s">
        <v>348</v>
      </c>
      <c r="E161" s="143" t="str">
        <f>IFERROR(VLOOKUP(D161,Table2[],2,FALSE),"")</f>
        <v>Hektar</v>
      </c>
      <c r="F161" s="143" t="s">
        <v>11</v>
      </c>
      <c r="G161" s="143" t="str">
        <f>IFERROR(VLOOKUP(F161,Table2[],2,FALSE),"")</f>
        <v>Ton</v>
      </c>
      <c r="H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4"/>
    </row>
    <row r="162" spans="1:11" x14ac:dyDescent="0.25">
      <c r="A162" s="180" t="s">
        <v>25</v>
      </c>
      <c r="B162" s="174" t="s">
        <v>46</v>
      </c>
      <c r="C162" s="174" t="str">
        <f>Organ12</f>
        <v>OC12</v>
      </c>
      <c r="D162" t="s">
        <v>348</v>
      </c>
      <c r="E162" t="str">
        <f>IFERROR(VLOOKUP(D162,Table2[],2,FALSE),"")</f>
        <v>Hektar</v>
      </c>
      <c r="F162" t="s">
        <v>37</v>
      </c>
      <c r="G162" t="str">
        <f>IFERROR(VLOOKUP(F162,Table2[],2,FALSE),"")</f>
        <v>Ton</v>
      </c>
      <c r="H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5"/>
    </row>
    <row r="163" spans="1:11" x14ac:dyDescent="0.25">
      <c r="A163" s="180" t="s">
        <v>25</v>
      </c>
      <c r="B163" s="174" t="s">
        <v>46</v>
      </c>
      <c r="C163" s="174" t="str">
        <f>Organ12</f>
        <v>OC12</v>
      </c>
      <c r="D163" t="s">
        <v>348</v>
      </c>
      <c r="E163" t="str">
        <f>IFERROR(VLOOKUP(D163,Table2[],2,FALSE),"")</f>
        <v>Hektar</v>
      </c>
      <c r="F163" t="s">
        <v>293</v>
      </c>
      <c r="G163" t="str">
        <f>IFERROR(VLOOKUP(F163,Table2[],2,FALSE),"")</f>
        <v>kg N</v>
      </c>
      <c r="H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5"/>
    </row>
    <row r="164" spans="1:11" ht="15.75" thickBot="1" x14ac:dyDescent="0.3">
      <c r="A164" s="181" t="s">
        <v>25</v>
      </c>
      <c r="B164" s="175" t="s">
        <v>46</v>
      </c>
      <c r="C164" s="175" t="str">
        <f>Organ12</f>
        <v>OC12</v>
      </c>
      <c r="D164" s="146" t="s">
        <v>348</v>
      </c>
      <c r="E164" s="146" t="str">
        <f>IFERROR(VLOOKUP(D164,Table2[],2,FALSE),"")</f>
        <v>Hektar</v>
      </c>
      <c r="F164" s="146" t="s">
        <v>334</v>
      </c>
      <c r="G164" s="146" t="str">
        <f>IFERROR(VLOOKUP(F164,Table2[],2,FALSE),"")</f>
        <v>t CO2-ækvivalenter</v>
      </c>
      <c r="H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7"/>
    </row>
    <row r="165" spans="1:11" ht="15.75" thickTop="1" x14ac:dyDescent="0.25">
      <c r="A165" s="179" t="s">
        <v>26</v>
      </c>
      <c r="B165" s="173" t="s">
        <v>45</v>
      </c>
      <c r="C165" s="173" t="str">
        <f>Jordbund1</f>
        <v>JB1-10</v>
      </c>
      <c r="D165" s="143" t="s">
        <v>346</v>
      </c>
      <c r="E165" s="143" t="str">
        <f>IFERROR(VLOOKUP(D165,Table2[],2,FALSE),"")</f>
        <v>Hektar</v>
      </c>
      <c r="F165" s="143" t="s">
        <v>12</v>
      </c>
      <c r="G165" s="143" t="str">
        <f>IFERROR(VLOOKUP(F165,Table2[],2,FALSE),"")</f>
        <v>Ton</v>
      </c>
      <c r="H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4"/>
    </row>
    <row r="166" spans="1:11" x14ac:dyDescent="0.25">
      <c r="A166" s="180" t="s">
        <v>26</v>
      </c>
      <c r="B166" s="174" t="s">
        <v>45</v>
      </c>
      <c r="C166" s="174" t="str">
        <f>Jordbund1</f>
        <v>JB1-10</v>
      </c>
      <c r="D166" t="s">
        <v>346</v>
      </c>
      <c r="E166" t="str">
        <f>IFERROR(VLOOKUP(D166,Table2[],2,FALSE),"")</f>
        <v>Hektar</v>
      </c>
      <c r="F166" t="s">
        <v>293</v>
      </c>
      <c r="G166" t="str">
        <f>IFERROR(VLOOKUP(F166,Table2[],2,FALSE),"")</f>
        <v>kg N</v>
      </c>
      <c r="H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5"/>
    </row>
    <row r="167" spans="1:11" ht="15.75" thickBot="1" x14ac:dyDescent="0.3">
      <c r="A167" s="181" t="s">
        <v>26</v>
      </c>
      <c r="B167" s="175" t="s">
        <v>45</v>
      </c>
      <c r="C167" s="175" t="str">
        <f>Jordbund1</f>
        <v>JB1-10</v>
      </c>
      <c r="D167" s="146" t="s">
        <v>346</v>
      </c>
      <c r="E167" s="146" t="str">
        <f>IFERROR(VLOOKUP(D167,Table2[],2,FALSE),"")</f>
        <v>Hektar</v>
      </c>
      <c r="F167" s="146" t="s">
        <v>334</v>
      </c>
      <c r="G167" s="146" t="str">
        <f>IFERROR(VLOOKUP(F167,Table2[],2,FALSE),"")</f>
        <v>t CO2-ækvivalenter</v>
      </c>
      <c r="H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7"/>
    </row>
    <row r="168" spans="1:11" ht="15.75" thickTop="1" x14ac:dyDescent="0.25">
      <c r="A168" s="179" t="s">
        <v>26</v>
      </c>
      <c r="B168" s="173" t="s">
        <v>45</v>
      </c>
      <c r="C168" s="173" t="str">
        <f>Organ6</f>
        <v>OC6</v>
      </c>
      <c r="D168" s="143" t="s">
        <v>346</v>
      </c>
      <c r="E168" s="143" t="str">
        <f>IFERROR(VLOOKUP(D168,Table2[],2,FALSE),"")</f>
        <v>Hektar</v>
      </c>
      <c r="F168" s="143" t="s">
        <v>12</v>
      </c>
      <c r="G168" s="143" t="str">
        <f>IFERROR(VLOOKUP(F168,Table2[],2,FALSE),"")</f>
        <v>Ton</v>
      </c>
      <c r="H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4"/>
    </row>
    <row r="169" spans="1:11" x14ac:dyDescent="0.25">
      <c r="A169" s="180" t="s">
        <v>26</v>
      </c>
      <c r="B169" s="174" t="s">
        <v>45</v>
      </c>
      <c r="C169" s="174" t="str">
        <f>Organ6</f>
        <v>OC6</v>
      </c>
      <c r="D169" t="s">
        <v>346</v>
      </c>
      <c r="E169" t="str">
        <f>IFERROR(VLOOKUP(D169,Table2[],2,FALSE),"")</f>
        <v>Hektar</v>
      </c>
      <c r="F169" t="s">
        <v>293</v>
      </c>
      <c r="G169" t="str">
        <f>IFERROR(VLOOKUP(F169,Table2[],2,FALSE),"")</f>
        <v>kg N</v>
      </c>
      <c r="H169" s="163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5"/>
    </row>
    <row r="170" spans="1:11" ht="15.75" thickBot="1" x14ac:dyDescent="0.3">
      <c r="A170" s="181" t="s">
        <v>26</v>
      </c>
      <c r="B170" s="175" t="s">
        <v>45</v>
      </c>
      <c r="C170" s="175" t="str">
        <f>Organ6</f>
        <v>OC6</v>
      </c>
      <c r="D170" s="146" t="s">
        <v>346</v>
      </c>
      <c r="E170" s="146" t="str">
        <f>IFERROR(VLOOKUP(D170,Table2[],2,FALSE),"")</f>
        <v>Hektar</v>
      </c>
      <c r="F170" s="146" t="s">
        <v>334</v>
      </c>
      <c r="G170" s="146" t="str">
        <f>IFERROR(VLOOKUP(F170,Table2[],2,FALSE),"")</f>
        <v>t CO2-ækvivalenter</v>
      </c>
      <c r="H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7"/>
    </row>
    <row r="171" spans="1:11" ht="15.75" thickTop="1" x14ac:dyDescent="0.25">
      <c r="A171" s="179" t="s">
        <v>26</v>
      </c>
      <c r="B171" s="173" t="s">
        <v>45</v>
      </c>
      <c r="C171" s="173" t="str">
        <f>Organ12</f>
        <v>OC12</v>
      </c>
      <c r="D171" s="143" t="s">
        <v>346</v>
      </c>
      <c r="E171" s="143" t="str">
        <f>IFERROR(VLOOKUP(D171,Table2[],2,FALSE),"")</f>
        <v>Hektar</v>
      </c>
      <c r="F171" s="143" t="s">
        <v>12</v>
      </c>
      <c r="G171" s="143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4"/>
    </row>
    <row r="172" spans="1:11" x14ac:dyDescent="0.25">
      <c r="A172" s="180" t="s">
        <v>26</v>
      </c>
      <c r="B172" s="174" t="s">
        <v>45</v>
      </c>
      <c r="C172" s="174" t="str">
        <f>Organ12</f>
        <v>OC12</v>
      </c>
      <c r="D172" t="s">
        <v>346</v>
      </c>
      <c r="E172" t="str">
        <f>IFERROR(VLOOKUP(D172,Table2[],2,FALSE),"")</f>
        <v>Hektar</v>
      </c>
      <c r="F172" t="s">
        <v>293</v>
      </c>
      <c r="G172" t="str">
        <f>IFERROR(VLOOKUP(F172,Table2[],2,FALSE),"")</f>
        <v>kg N</v>
      </c>
      <c r="H172" s="163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5"/>
    </row>
    <row r="173" spans="1:11" ht="15.75" thickBot="1" x14ac:dyDescent="0.3">
      <c r="A173" s="181" t="s">
        <v>26</v>
      </c>
      <c r="B173" s="175" t="s">
        <v>45</v>
      </c>
      <c r="C173" s="175" t="str">
        <f>Organ12</f>
        <v>OC12</v>
      </c>
      <c r="D173" s="146" t="s">
        <v>346</v>
      </c>
      <c r="E173" s="146" t="str">
        <f>IFERROR(VLOOKUP(D173,Table2[],2,FALSE),"")</f>
        <v>Hektar</v>
      </c>
      <c r="F173" s="146" t="s">
        <v>334</v>
      </c>
      <c r="G173" s="146" t="str">
        <f>IFERROR(VLOOKUP(F173,Table2[],2,FALSE),"")</f>
        <v>t CO2-ækvivalenter</v>
      </c>
      <c r="H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7"/>
    </row>
    <row r="174" spans="1:11" ht="15.75" thickTop="1" x14ac:dyDescent="0.25">
      <c r="A174" s="179" t="s">
        <v>26</v>
      </c>
      <c r="B174" s="173" t="s">
        <v>46</v>
      </c>
      <c r="C174" s="173" t="str">
        <f>Jordbund1</f>
        <v>JB1-10</v>
      </c>
      <c r="D174" s="143" t="s">
        <v>346</v>
      </c>
      <c r="E174" s="143" t="str">
        <f>IFERROR(VLOOKUP(D174,Table2[],2,FALSE),"")</f>
        <v>Hektar</v>
      </c>
      <c r="F174" s="143" t="s">
        <v>12</v>
      </c>
      <c r="G174" s="143" t="str">
        <f>IFERROR(VLOOKUP(F174,Table2[],2,FALSE),"")</f>
        <v>Ton</v>
      </c>
      <c r="H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4"/>
    </row>
    <row r="175" spans="1:11" x14ac:dyDescent="0.25">
      <c r="A175" s="180" t="s">
        <v>26</v>
      </c>
      <c r="B175" s="174" t="s">
        <v>46</v>
      </c>
      <c r="C175" s="174" t="str">
        <f>Jordbund1</f>
        <v>JB1-10</v>
      </c>
      <c r="D175" t="s">
        <v>346</v>
      </c>
      <c r="E175" t="str">
        <f>IFERROR(VLOOKUP(D175,Table2[],2,FALSE),"")</f>
        <v>Hektar</v>
      </c>
      <c r="F175" t="s">
        <v>293</v>
      </c>
      <c r="G175" t="str">
        <f>IFERROR(VLOOKUP(F175,Table2[],2,FALSE),"")</f>
        <v>kg N</v>
      </c>
      <c r="H175" s="163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5"/>
    </row>
    <row r="176" spans="1:11" ht="15.75" thickBot="1" x14ac:dyDescent="0.3">
      <c r="A176" s="181" t="s">
        <v>26</v>
      </c>
      <c r="B176" s="175" t="s">
        <v>46</v>
      </c>
      <c r="C176" s="175" t="str">
        <f>Jordbund1</f>
        <v>JB1-10</v>
      </c>
      <c r="D176" s="146" t="s">
        <v>346</v>
      </c>
      <c r="E176" s="146" t="str">
        <f>IFERROR(VLOOKUP(D176,Table2[],2,FALSE),"")</f>
        <v>Hektar</v>
      </c>
      <c r="F176" s="146" t="s">
        <v>334</v>
      </c>
      <c r="G176" s="146" t="str">
        <f>IFERROR(VLOOKUP(F176,Table2[],2,FALSE),"")</f>
        <v>t CO2-ækvivalenter</v>
      </c>
      <c r="H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7"/>
    </row>
    <row r="177" spans="1:11" ht="15.75" thickTop="1" x14ac:dyDescent="0.25">
      <c r="A177" s="179" t="s">
        <v>26</v>
      </c>
      <c r="B177" s="173" t="s">
        <v>46</v>
      </c>
      <c r="C177" s="173" t="str">
        <f>Organ6</f>
        <v>OC6</v>
      </c>
      <c r="D177" s="143" t="s">
        <v>346</v>
      </c>
      <c r="E177" s="143" t="str">
        <f>IFERROR(VLOOKUP(D177,Table2[],2,FALSE),"")</f>
        <v>Hektar</v>
      </c>
      <c r="F177" s="143" t="s">
        <v>12</v>
      </c>
      <c r="G177" s="143" t="str">
        <f>IFERROR(VLOOKUP(F177,Table2[],2,FALSE),"")</f>
        <v>Ton</v>
      </c>
      <c r="H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4"/>
    </row>
    <row r="178" spans="1:11" x14ac:dyDescent="0.25">
      <c r="A178" s="180" t="s">
        <v>26</v>
      </c>
      <c r="B178" s="174" t="s">
        <v>46</v>
      </c>
      <c r="C178" s="174" t="str">
        <f>Organ6</f>
        <v>OC6</v>
      </c>
      <c r="D178" t="s">
        <v>346</v>
      </c>
      <c r="E178" t="str">
        <f>IFERROR(VLOOKUP(D178,Table2[],2,FALSE),"")</f>
        <v>Hektar</v>
      </c>
      <c r="F178" t="s">
        <v>293</v>
      </c>
      <c r="G178" t="str">
        <f>IFERROR(VLOOKUP(F178,Table2[],2,FALSE),"")</f>
        <v>kg N</v>
      </c>
      <c r="H178" s="163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5"/>
    </row>
    <row r="179" spans="1:11" ht="15.75" thickBot="1" x14ac:dyDescent="0.3">
      <c r="A179" s="181" t="s">
        <v>26</v>
      </c>
      <c r="B179" s="175" t="s">
        <v>46</v>
      </c>
      <c r="C179" s="175" t="str">
        <f>Organ6</f>
        <v>OC6</v>
      </c>
      <c r="D179" s="146" t="s">
        <v>346</v>
      </c>
      <c r="E179" s="146" t="str">
        <f>IFERROR(VLOOKUP(D179,Table2[],2,FALSE),"")</f>
        <v>Hektar</v>
      </c>
      <c r="F179" s="146" t="s">
        <v>334</v>
      </c>
      <c r="G179" s="146" t="str">
        <f>IFERROR(VLOOKUP(F179,Table2[],2,FALSE),"")</f>
        <v>t CO2-ækvivalenter</v>
      </c>
      <c r="H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7"/>
    </row>
    <row r="180" spans="1:11" ht="15.75" thickTop="1" x14ac:dyDescent="0.25">
      <c r="A180" s="179" t="s">
        <v>26</v>
      </c>
      <c r="B180" s="173" t="s">
        <v>46</v>
      </c>
      <c r="C180" s="173" t="str">
        <f>Organ12</f>
        <v>OC12</v>
      </c>
      <c r="D180" s="143" t="s">
        <v>346</v>
      </c>
      <c r="E180" s="143" t="str">
        <f>IFERROR(VLOOKUP(D180,Table2[],2,FALSE),"")</f>
        <v>Hektar</v>
      </c>
      <c r="F180" s="143" t="s">
        <v>12</v>
      </c>
      <c r="G180" s="143" t="str">
        <f>IFERROR(VLOOKUP(F180,Table2[],2,FALSE),"")</f>
        <v>Ton</v>
      </c>
      <c r="H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4"/>
    </row>
    <row r="181" spans="1:11" x14ac:dyDescent="0.25">
      <c r="A181" s="180" t="s">
        <v>26</v>
      </c>
      <c r="B181" s="174" t="s">
        <v>46</v>
      </c>
      <c r="C181" s="174" t="str">
        <f>Organ12</f>
        <v>OC12</v>
      </c>
      <c r="D181" t="s">
        <v>346</v>
      </c>
      <c r="E181" t="str">
        <f>IFERROR(VLOOKUP(D181,Table2[],2,FALSE),"")</f>
        <v>Hektar</v>
      </c>
      <c r="F181" t="s">
        <v>293</v>
      </c>
      <c r="G181" t="str">
        <f>IFERROR(VLOOKUP(F181,Table2[],2,FALSE),"")</f>
        <v>kg N</v>
      </c>
      <c r="H181" s="163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5"/>
    </row>
    <row r="182" spans="1:11" ht="15.75" thickBot="1" x14ac:dyDescent="0.3">
      <c r="A182" s="181" t="s">
        <v>26</v>
      </c>
      <c r="B182" s="175" t="s">
        <v>46</v>
      </c>
      <c r="C182" s="175" t="str">
        <f>Organ12</f>
        <v>OC12</v>
      </c>
      <c r="D182" s="146" t="s">
        <v>346</v>
      </c>
      <c r="E182" s="146" t="str">
        <f>IFERROR(VLOOKUP(D182,Table2[],2,FALSE),"")</f>
        <v>Hektar</v>
      </c>
      <c r="F182" s="146" t="s">
        <v>334</v>
      </c>
      <c r="G182" s="146" t="str">
        <f>IFERROR(VLOOKUP(F182,Table2[],2,FALSE),"")</f>
        <v>t CO2-ækvivalenter</v>
      </c>
      <c r="H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7"/>
    </row>
    <row r="183" spans="1:11" ht="15.75" thickTop="1" x14ac:dyDescent="0.25">
      <c r="A183" s="180" t="s">
        <v>27</v>
      </c>
      <c r="B183" s="174" t="s">
        <v>45</v>
      </c>
      <c r="C183" s="174"/>
      <c r="D183" t="s">
        <v>346</v>
      </c>
      <c r="E183" t="str">
        <f>IFERROR(VLOOKUP(D183,Table2[],2,FALSE),"")</f>
        <v>Hektar</v>
      </c>
      <c r="F183" t="s">
        <v>12</v>
      </c>
      <c r="G183" t="str">
        <f>IFERROR(VLOOKUP(F183,Table2[],2,FALSE),"")</f>
        <v>Ton</v>
      </c>
      <c r="H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5"/>
    </row>
    <row r="184" spans="1:11" x14ac:dyDescent="0.25">
      <c r="A184" s="180" t="s">
        <v>27</v>
      </c>
      <c r="B184" s="174" t="s">
        <v>45</v>
      </c>
      <c r="C184" s="174"/>
      <c r="D184" t="s">
        <v>346</v>
      </c>
      <c r="E184" t="str">
        <f>IFERROR(VLOOKUP(D184,Table2[],2,FALSE),"")</f>
        <v>Hektar</v>
      </c>
      <c r="F184" t="s">
        <v>293</v>
      </c>
      <c r="G184" t="str">
        <f>IFERROR(VLOOKUP(F184,Table2[],2,FALSE),"")</f>
        <v>kg N</v>
      </c>
      <c r="H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5"/>
    </row>
    <row r="185" spans="1:11" ht="15.75" thickBot="1" x14ac:dyDescent="0.3">
      <c r="A185" s="180" t="s">
        <v>27</v>
      </c>
      <c r="B185" s="174" t="s">
        <v>45</v>
      </c>
      <c r="C185" s="174"/>
      <c r="D185" t="s">
        <v>346</v>
      </c>
      <c r="E185" t="str">
        <f>IFERROR(VLOOKUP(D185,Table2[],2,FALSE),"")</f>
        <v>Hektar</v>
      </c>
      <c r="F185" t="s">
        <v>334</v>
      </c>
      <c r="G185" t="str">
        <f>IFERROR(VLOOKUP(F185,Table2[],2,FALSE),"")</f>
        <v>t CO2-ækvivalenter</v>
      </c>
      <c r="H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5"/>
    </row>
    <row r="186" spans="1:11" ht="15.75" thickTop="1" x14ac:dyDescent="0.25">
      <c r="A186" s="179" t="s">
        <v>27</v>
      </c>
      <c r="B186" s="173" t="s">
        <v>46</v>
      </c>
      <c r="C186" s="173"/>
      <c r="D186" s="143" t="s">
        <v>346</v>
      </c>
      <c r="E186" s="143" t="str">
        <f>IFERROR(VLOOKUP(D186,Table2[],2,FALSE),"")</f>
        <v>Hektar</v>
      </c>
      <c r="F186" s="143" t="s">
        <v>12</v>
      </c>
      <c r="G186" s="143" t="str">
        <f>IFERROR(VLOOKUP(F186,Table2[],2,FALSE),"")</f>
        <v>Ton</v>
      </c>
      <c r="H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4"/>
    </row>
    <row r="187" spans="1:11" x14ac:dyDescent="0.25">
      <c r="A187" s="180" t="s">
        <v>27</v>
      </c>
      <c r="B187" s="174" t="s">
        <v>46</v>
      </c>
      <c r="C187" s="174"/>
      <c r="D187" t="s">
        <v>346</v>
      </c>
      <c r="E187" t="str">
        <f>IFERROR(VLOOKUP(D187,Table2[],2,FALSE),"")</f>
        <v>Hektar</v>
      </c>
      <c r="F187" t="s">
        <v>293</v>
      </c>
      <c r="G187" t="str">
        <f>IFERROR(VLOOKUP(F187,Table2[],2,FALSE),"")</f>
        <v>kg N</v>
      </c>
      <c r="H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5"/>
    </row>
    <row r="188" spans="1:11" ht="15.75" thickBot="1" x14ac:dyDescent="0.3">
      <c r="A188" s="181" t="s">
        <v>27</v>
      </c>
      <c r="B188" s="175" t="s">
        <v>46</v>
      </c>
      <c r="C188" s="175"/>
      <c r="D188" s="146" t="s">
        <v>346</v>
      </c>
      <c r="E188" s="146" t="str">
        <f>IFERROR(VLOOKUP(D188,Table2[],2,FALSE),"")</f>
        <v>Hektar</v>
      </c>
      <c r="F188" s="146" t="s">
        <v>334</v>
      </c>
      <c r="G188" s="146" t="str">
        <f>IFERROR(VLOOKUP(F188,Table2[],2,FALSE),"")</f>
        <v>t CO2-ækvivalenter</v>
      </c>
      <c r="H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7"/>
    </row>
    <row r="189" spans="1:11" ht="15.75" thickTop="1" x14ac:dyDescent="0.25">
      <c r="A189" s="179" t="s">
        <v>294</v>
      </c>
      <c r="B189" s="173" t="s">
        <v>45</v>
      </c>
      <c r="C189" s="173" t="str">
        <f>Jordbund1</f>
        <v>JB1-10</v>
      </c>
      <c r="D189" s="143" t="s">
        <v>347</v>
      </c>
      <c r="E189" s="143" t="str">
        <f>IFERROR(VLOOKUP(D189,Table2[],2,FALSE),"")</f>
        <v>Hektar</v>
      </c>
      <c r="F189" s="143" t="s">
        <v>178</v>
      </c>
      <c r="G189" s="143" t="str">
        <f>IFERROR(VLOOKUP(F189,Table2[],2,FALSE),"")</f>
        <v>Ton</v>
      </c>
      <c r="H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4"/>
    </row>
    <row r="190" spans="1:11" x14ac:dyDescent="0.25">
      <c r="A190" s="180" t="s">
        <v>294</v>
      </c>
      <c r="B190" s="174" t="s">
        <v>45</v>
      </c>
      <c r="C190" s="174" t="str">
        <f>Jordbund1</f>
        <v>JB1-10</v>
      </c>
      <c r="D190" t="s">
        <v>347</v>
      </c>
      <c r="E190" t="str">
        <f>IFERROR(VLOOKUP(D190,Table2[],2,FALSE),"")</f>
        <v>Hektar</v>
      </c>
      <c r="F190" t="s">
        <v>293</v>
      </c>
      <c r="G190" t="str">
        <f>IFERROR(VLOOKUP(F190,Table2[],2,FALSE),"")</f>
        <v>kg N</v>
      </c>
      <c r="H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5"/>
    </row>
    <row r="191" spans="1:11" ht="15.75" thickBot="1" x14ac:dyDescent="0.3">
      <c r="A191" s="181" t="s">
        <v>294</v>
      </c>
      <c r="B191" s="175" t="s">
        <v>45</v>
      </c>
      <c r="C191" s="175" t="str">
        <f>Jordbund1</f>
        <v>JB1-10</v>
      </c>
      <c r="D191" s="146" t="s">
        <v>347</v>
      </c>
      <c r="E191" s="146" t="str">
        <f>IFERROR(VLOOKUP(D191,Table2[],2,FALSE),"")</f>
        <v>Hektar</v>
      </c>
      <c r="F191" s="146" t="s">
        <v>334</v>
      </c>
      <c r="G191" s="146" t="str">
        <f>IFERROR(VLOOKUP(F191,Table2[],2,FALSE),"")</f>
        <v>t CO2-ækvivalenter</v>
      </c>
      <c r="H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7"/>
    </row>
    <row r="192" spans="1:11" ht="15.75" thickTop="1" x14ac:dyDescent="0.25">
      <c r="A192" s="180" t="s">
        <v>294</v>
      </c>
      <c r="B192" s="174" t="s">
        <v>45</v>
      </c>
      <c r="C192" s="174" t="str">
        <f>Organ6</f>
        <v>OC6</v>
      </c>
      <c r="D192" t="s">
        <v>347</v>
      </c>
      <c r="E192" t="str">
        <f>IFERROR(VLOOKUP(D192,Table2[],2,FALSE),"")</f>
        <v>Hektar</v>
      </c>
      <c r="F192" t="s">
        <v>178</v>
      </c>
      <c r="G192" t="str">
        <f>IFERROR(VLOOKUP(F192,Table2[],2,FALSE),"")</f>
        <v>Ton</v>
      </c>
      <c r="H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5"/>
    </row>
    <row r="193" spans="1:11" x14ac:dyDescent="0.25">
      <c r="A193" s="180" t="s">
        <v>294</v>
      </c>
      <c r="B193" s="174" t="s">
        <v>45</v>
      </c>
      <c r="C193" s="174" t="str">
        <f>Organ6</f>
        <v>OC6</v>
      </c>
      <c r="D193" t="s">
        <v>347</v>
      </c>
      <c r="E193" t="str">
        <f>IFERROR(VLOOKUP(D193,Table2[],2,FALSE),"")</f>
        <v>Hektar</v>
      </c>
      <c r="F193" t="s">
        <v>293</v>
      </c>
      <c r="G193" t="str">
        <f>IFERROR(VLOOKUP(F193,Table2[],2,FALSE),"")</f>
        <v>kg N</v>
      </c>
      <c r="H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5"/>
    </row>
    <row r="194" spans="1:11" ht="15.75" thickBot="1" x14ac:dyDescent="0.3">
      <c r="A194" s="181" t="s">
        <v>294</v>
      </c>
      <c r="B194" s="175" t="s">
        <v>45</v>
      </c>
      <c r="C194" s="175" t="str">
        <f>Organ6</f>
        <v>OC6</v>
      </c>
      <c r="D194" s="146" t="s">
        <v>347</v>
      </c>
      <c r="E194" s="146" t="str">
        <f>IFERROR(VLOOKUP(D194,Table2[],2,FALSE),"")</f>
        <v>Hektar</v>
      </c>
      <c r="F194" s="146" t="s">
        <v>334</v>
      </c>
      <c r="G194" s="146" t="str">
        <f>IFERROR(VLOOKUP(F194,Table2[],2,FALSE),"")</f>
        <v>t CO2-ækvivalenter</v>
      </c>
      <c r="H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7"/>
    </row>
    <row r="195" spans="1:11" ht="15.75" thickTop="1" x14ac:dyDescent="0.25">
      <c r="A195" s="179" t="s">
        <v>294</v>
      </c>
      <c r="B195" s="173" t="s">
        <v>45</v>
      </c>
      <c r="C195" s="173" t="str">
        <f>Organ12</f>
        <v>OC12</v>
      </c>
      <c r="D195" s="143" t="s">
        <v>347</v>
      </c>
      <c r="E195" s="143" t="str">
        <f>IFERROR(VLOOKUP(D195,Table2[],2,FALSE),"")</f>
        <v>Hektar</v>
      </c>
      <c r="F195" s="143" t="s">
        <v>178</v>
      </c>
      <c r="G195" s="143" t="str">
        <f>IFERROR(VLOOKUP(F195,Table2[],2,FALSE),"")</f>
        <v>Ton</v>
      </c>
      <c r="H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4"/>
    </row>
    <row r="196" spans="1:11" x14ac:dyDescent="0.25">
      <c r="A196" s="180" t="s">
        <v>294</v>
      </c>
      <c r="B196" s="174" t="s">
        <v>45</v>
      </c>
      <c r="C196" s="174" t="str">
        <f>Organ12</f>
        <v>OC12</v>
      </c>
      <c r="D196" t="s">
        <v>347</v>
      </c>
      <c r="E196" t="str">
        <f>IFERROR(VLOOKUP(D196,Table2[],2,FALSE),"")</f>
        <v>Hektar</v>
      </c>
      <c r="F196" t="s">
        <v>293</v>
      </c>
      <c r="G196" t="str">
        <f>IFERROR(VLOOKUP(F196,Table2[],2,FALSE),"")</f>
        <v>kg N</v>
      </c>
      <c r="H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5"/>
    </row>
    <row r="197" spans="1:11" ht="15.75" thickBot="1" x14ac:dyDescent="0.3">
      <c r="A197" s="181" t="s">
        <v>294</v>
      </c>
      <c r="B197" s="175" t="s">
        <v>45</v>
      </c>
      <c r="C197" s="175" t="str">
        <f>Organ12</f>
        <v>OC12</v>
      </c>
      <c r="D197" s="146" t="s">
        <v>347</v>
      </c>
      <c r="E197" s="146" t="str">
        <f>IFERROR(VLOOKUP(D197,Table2[],2,FALSE),"")</f>
        <v>Hektar</v>
      </c>
      <c r="F197" s="146" t="s">
        <v>334</v>
      </c>
      <c r="G197" s="146" t="str">
        <f>IFERROR(VLOOKUP(F197,Table2[],2,FALSE),"")</f>
        <v>t CO2-ækvivalenter</v>
      </c>
      <c r="H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7"/>
    </row>
    <row r="198" spans="1:11" ht="15.75" thickTop="1" x14ac:dyDescent="0.25">
      <c r="A198" s="179" t="s">
        <v>294</v>
      </c>
      <c r="B198" s="173" t="s">
        <v>46</v>
      </c>
      <c r="C198" s="173" t="str">
        <f>Jordbund1</f>
        <v>JB1-10</v>
      </c>
      <c r="D198" s="143" t="s">
        <v>347</v>
      </c>
      <c r="E198" s="143" t="str">
        <f>IFERROR(VLOOKUP(D198,Table2[],2,FALSE),"")</f>
        <v>Hektar</v>
      </c>
      <c r="F198" s="143" t="s">
        <v>178</v>
      </c>
      <c r="G198" s="143" t="str">
        <f>IFERROR(VLOOKUP(F198,Table2[],2,FALSE),"")</f>
        <v>Ton</v>
      </c>
      <c r="H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4"/>
    </row>
    <row r="199" spans="1:11" x14ac:dyDescent="0.25">
      <c r="A199" s="180" t="s">
        <v>294</v>
      </c>
      <c r="B199" s="174" t="s">
        <v>46</v>
      </c>
      <c r="C199" s="174" t="str">
        <f>Jordbund1</f>
        <v>JB1-10</v>
      </c>
      <c r="D199" t="s">
        <v>347</v>
      </c>
      <c r="E199" t="str">
        <f>IFERROR(VLOOKUP(D199,Table2[],2,FALSE),"")</f>
        <v>Hektar</v>
      </c>
      <c r="F199" t="s">
        <v>293</v>
      </c>
      <c r="G199" t="str">
        <f>IFERROR(VLOOKUP(F199,Table2[],2,FALSE),"")</f>
        <v>kg N</v>
      </c>
      <c r="H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5"/>
    </row>
    <row r="200" spans="1:11" ht="15.75" thickBot="1" x14ac:dyDescent="0.3">
      <c r="A200" s="181" t="s">
        <v>294</v>
      </c>
      <c r="B200" s="175" t="s">
        <v>46</v>
      </c>
      <c r="C200" s="175" t="str">
        <f>Jordbund1</f>
        <v>JB1-10</v>
      </c>
      <c r="D200" s="146" t="s">
        <v>347</v>
      </c>
      <c r="E200" s="146" t="str">
        <f>IFERROR(VLOOKUP(D200,Table2[],2,FALSE),"")</f>
        <v>Hektar</v>
      </c>
      <c r="F200" s="146" t="s">
        <v>334</v>
      </c>
      <c r="G200" s="146" t="str">
        <f>IFERROR(VLOOKUP(F200,Table2[],2,FALSE),"")</f>
        <v>t CO2-ækvivalenter</v>
      </c>
      <c r="H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7"/>
    </row>
    <row r="201" spans="1:11" ht="15.75" thickTop="1" x14ac:dyDescent="0.25">
      <c r="A201" s="179" t="s">
        <v>294</v>
      </c>
      <c r="B201" s="173" t="s">
        <v>46</v>
      </c>
      <c r="C201" s="173" t="str">
        <f>Organ6</f>
        <v>OC6</v>
      </c>
      <c r="D201" s="143" t="s">
        <v>347</v>
      </c>
      <c r="E201" s="143" t="str">
        <f>IFERROR(VLOOKUP(D201,Table2[],2,FALSE),"")</f>
        <v>Hektar</v>
      </c>
      <c r="F201" s="143" t="s">
        <v>178</v>
      </c>
      <c r="G201" s="143" t="str">
        <f>IFERROR(VLOOKUP(F201,Table2[],2,FALSE),"")</f>
        <v>Ton</v>
      </c>
      <c r="H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4"/>
    </row>
    <row r="202" spans="1:11" x14ac:dyDescent="0.25">
      <c r="A202" s="180" t="s">
        <v>294</v>
      </c>
      <c r="B202" s="174" t="s">
        <v>46</v>
      </c>
      <c r="C202" s="174" t="str">
        <f>Organ6</f>
        <v>OC6</v>
      </c>
      <c r="D202" t="s">
        <v>347</v>
      </c>
      <c r="E202" t="str">
        <f>IFERROR(VLOOKUP(D202,Table2[],2,FALSE),"")</f>
        <v>Hektar</v>
      </c>
      <c r="F202" t="s">
        <v>293</v>
      </c>
      <c r="G202" t="str">
        <f>IFERROR(VLOOKUP(F202,Table2[],2,FALSE),"")</f>
        <v>kg N</v>
      </c>
      <c r="H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5"/>
    </row>
    <row r="203" spans="1:11" ht="15.75" thickBot="1" x14ac:dyDescent="0.3">
      <c r="A203" s="181" t="s">
        <v>294</v>
      </c>
      <c r="B203" s="175" t="s">
        <v>46</v>
      </c>
      <c r="C203" s="175" t="str">
        <f>Organ6</f>
        <v>OC6</v>
      </c>
      <c r="D203" s="146" t="s">
        <v>347</v>
      </c>
      <c r="E203" s="146" t="str">
        <f>IFERROR(VLOOKUP(D203,Table2[],2,FALSE),"")</f>
        <v>Hektar</v>
      </c>
      <c r="F203" s="146" t="s">
        <v>334</v>
      </c>
      <c r="G203" s="146" t="str">
        <f>IFERROR(VLOOKUP(F203,Table2[],2,FALSE),"")</f>
        <v>t CO2-ækvivalenter</v>
      </c>
      <c r="H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7"/>
    </row>
    <row r="204" spans="1:11" ht="15.75" thickTop="1" x14ac:dyDescent="0.25">
      <c r="A204" s="179" t="s">
        <v>294</v>
      </c>
      <c r="B204" s="173" t="s">
        <v>46</v>
      </c>
      <c r="C204" s="173" t="str">
        <f>Organ12</f>
        <v>OC12</v>
      </c>
      <c r="D204" s="143" t="s">
        <v>347</v>
      </c>
      <c r="E204" s="143" t="str">
        <f>IFERROR(VLOOKUP(D204,Table2[],2,FALSE),"")</f>
        <v>Hektar</v>
      </c>
      <c r="F204" s="143" t="s">
        <v>178</v>
      </c>
      <c r="G204" s="143" t="str">
        <f>IFERROR(VLOOKUP(F204,Table2[],2,FALSE),"")</f>
        <v>Ton</v>
      </c>
      <c r="H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4"/>
    </row>
    <row r="205" spans="1:11" x14ac:dyDescent="0.25">
      <c r="A205" s="180" t="s">
        <v>294</v>
      </c>
      <c r="B205" s="174" t="s">
        <v>46</v>
      </c>
      <c r="C205" s="174" t="str">
        <f>Organ12</f>
        <v>OC12</v>
      </c>
      <c r="D205" t="s">
        <v>347</v>
      </c>
      <c r="E205" t="str">
        <f>IFERROR(VLOOKUP(D205,Table2[],2,FALSE),"")</f>
        <v>Hektar</v>
      </c>
      <c r="F205" t="s">
        <v>293</v>
      </c>
      <c r="G205" t="str">
        <f>IFERROR(VLOOKUP(F205,Table2[],2,FALSE),"")</f>
        <v>kg N</v>
      </c>
      <c r="H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5"/>
    </row>
    <row r="206" spans="1:11" ht="15.75" thickBot="1" x14ac:dyDescent="0.3">
      <c r="A206" s="181" t="s">
        <v>294</v>
      </c>
      <c r="B206" s="175" t="s">
        <v>46</v>
      </c>
      <c r="C206" s="175" t="str">
        <f>Organ12</f>
        <v>OC12</v>
      </c>
      <c r="D206" s="146" t="s">
        <v>347</v>
      </c>
      <c r="E206" s="146" t="str">
        <f>IFERROR(VLOOKUP(D206,Table2[],2,FALSE),"")</f>
        <v>Hektar</v>
      </c>
      <c r="F206" s="146" t="s">
        <v>334</v>
      </c>
      <c r="G206" s="146" t="str">
        <f>IFERROR(VLOOKUP(F206,Table2[],2,FALSE),"")</f>
        <v>t CO2-ækvivalenter</v>
      </c>
      <c r="H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7"/>
    </row>
    <row r="207" spans="1:11" ht="15.75" thickTop="1" x14ac:dyDescent="0.25">
      <c r="A207" s="179" t="s">
        <v>28</v>
      </c>
      <c r="B207" s="173" t="s">
        <v>45</v>
      </c>
      <c r="C207" s="173" t="str">
        <f>Jordbund1</f>
        <v>JB1-10</v>
      </c>
      <c r="D207" s="143" t="s">
        <v>345</v>
      </c>
      <c r="E207" s="143" t="str">
        <f>IFERROR(VLOOKUP(D207,Table2[],2,FALSE),"")</f>
        <v>Hektar</v>
      </c>
      <c r="F207" s="143" t="s">
        <v>13</v>
      </c>
      <c r="G207" s="143" t="str">
        <f>IFERROR(VLOOKUP(F207,Table2[],2,FALSE),"")</f>
        <v>Ton</v>
      </c>
      <c r="H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4"/>
    </row>
    <row r="208" spans="1:11" x14ac:dyDescent="0.25">
      <c r="A208" s="180" t="s">
        <v>28</v>
      </c>
      <c r="B208" s="174" t="s">
        <v>45</v>
      </c>
      <c r="C208" s="174" t="str">
        <f>Jordbund1</f>
        <v>JB1-10</v>
      </c>
      <c r="D208" t="s">
        <v>345</v>
      </c>
      <c r="E208" t="str">
        <f>IFERROR(VLOOKUP(D208,Table2[],2,FALSE),"")</f>
        <v>Hektar</v>
      </c>
      <c r="F208" t="s">
        <v>293</v>
      </c>
      <c r="G208" t="str">
        <f>IFERROR(VLOOKUP(F208,Table2[],2,FALSE),"")</f>
        <v>kg N</v>
      </c>
      <c r="H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5"/>
    </row>
    <row r="209" spans="1:11" ht="15.75" thickBot="1" x14ac:dyDescent="0.3">
      <c r="A209" s="181" t="s">
        <v>28</v>
      </c>
      <c r="B209" s="175" t="s">
        <v>45</v>
      </c>
      <c r="C209" s="175" t="str">
        <f>Jordbund1</f>
        <v>JB1-10</v>
      </c>
      <c r="D209" s="146" t="s">
        <v>345</v>
      </c>
      <c r="E209" s="146" t="str">
        <f>IFERROR(VLOOKUP(D209,Table2[],2,FALSE),"")</f>
        <v>Hektar</v>
      </c>
      <c r="F209" s="146" t="s">
        <v>334</v>
      </c>
      <c r="G209" s="146" t="str">
        <f>IFERROR(VLOOKUP(F209,Table2[],2,FALSE),"")</f>
        <v>t CO2-ækvivalenter</v>
      </c>
      <c r="H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7"/>
    </row>
    <row r="210" spans="1:11" ht="15.75" thickTop="1" x14ac:dyDescent="0.25">
      <c r="A210" s="179" t="s">
        <v>28</v>
      </c>
      <c r="B210" s="173" t="s">
        <v>45</v>
      </c>
      <c r="C210" s="173" t="str">
        <f>Organ6</f>
        <v>OC6</v>
      </c>
      <c r="D210" s="143" t="s">
        <v>345</v>
      </c>
      <c r="E210" s="143" t="str">
        <f>IFERROR(VLOOKUP(D210,Table2[],2,FALSE),"")</f>
        <v>Hektar</v>
      </c>
      <c r="F210" s="143" t="s">
        <v>13</v>
      </c>
      <c r="G210" s="143" t="str">
        <f>IFERROR(VLOOKUP(F210,Table2[],2,FALSE),"")</f>
        <v>Ton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4"/>
    </row>
    <row r="211" spans="1:11" x14ac:dyDescent="0.25">
      <c r="A211" s="180" t="s">
        <v>28</v>
      </c>
      <c r="B211" s="174" t="s">
        <v>45</v>
      </c>
      <c r="C211" s="174" t="str">
        <f>Organ6</f>
        <v>OC6</v>
      </c>
      <c r="D211" t="s">
        <v>345</v>
      </c>
      <c r="E211" t="str">
        <f>IFERROR(VLOOKUP(D211,Table2[],2,FALSE),"")</f>
        <v>Hektar</v>
      </c>
      <c r="F211" t="s">
        <v>293</v>
      </c>
      <c r="G211" t="str">
        <f>IFERROR(VLOOKUP(F211,Table2[],2,FALSE),"")</f>
        <v>kg N</v>
      </c>
      <c r="H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5"/>
    </row>
    <row r="212" spans="1:11" ht="15.75" thickBot="1" x14ac:dyDescent="0.3">
      <c r="A212" s="181" t="s">
        <v>28</v>
      </c>
      <c r="B212" s="175" t="s">
        <v>45</v>
      </c>
      <c r="C212" s="175" t="str">
        <f>Organ6</f>
        <v>OC6</v>
      </c>
      <c r="D212" s="146" t="s">
        <v>345</v>
      </c>
      <c r="E212" s="146" t="str">
        <f>IFERROR(VLOOKUP(D212,Table2[],2,FALSE),"")</f>
        <v>Hektar</v>
      </c>
      <c r="F212" s="146" t="s">
        <v>334</v>
      </c>
      <c r="G212" s="146" t="str">
        <f>IFERROR(VLOOKUP(F212,Table2[],2,FALSE),"")</f>
        <v>t CO2-ækvivalenter</v>
      </c>
      <c r="H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7"/>
    </row>
    <row r="213" spans="1:11" ht="15.75" thickTop="1" x14ac:dyDescent="0.25">
      <c r="A213" s="179" t="s">
        <v>28</v>
      </c>
      <c r="B213" s="173" t="s">
        <v>45</v>
      </c>
      <c r="C213" s="173" t="str">
        <f>Organ12</f>
        <v>OC12</v>
      </c>
      <c r="D213" s="143" t="s">
        <v>345</v>
      </c>
      <c r="E213" s="143" t="str">
        <f>IFERROR(VLOOKUP(D213,Table2[],2,FALSE),"")</f>
        <v>Hektar</v>
      </c>
      <c r="F213" s="143" t="s">
        <v>13</v>
      </c>
      <c r="G213" s="143" t="str">
        <f>IFERROR(VLOOKUP(F213,Table2[],2,FALSE),"")</f>
        <v>Ton</v>
      </c>
      <c r="H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4"/>
    </row>
    <row r="214" spans="1:11" x14ac:dyDescent="0.25">
      <c r="A214" s="180" t="s">
        <v>28</v>
      </c>
      <c r="B214" s="174" t="s">
        <v>45</v>
      </c>
      <c r="C214" s="174" t="str">
        <f>Organ12</f>
        <v>OC12</v>
      </c>
      <c r="D214" t="s">
        <v>345</v>
      </c>
      <c r="E214" t="str">
        <f>IFERROR(VLOOKUP(D214,Table2[],2,FALSE),"")</f>
        <v>Hektar</v>
      </c>
      <c r="F214" t="s">
        <v>293</v>
      </c>
      <c r="G214" t="str">
        <f>IFERROR(VLOOKUP(F214,Table2[],2,FALSE),"")</f>
        <v>kg N</v>
      </c>
      <c r="H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5"/>
    </row>
    <row r="215" spans="1:11" ht="15.75" thickBot="1" x14ac:dyDescent="0.3">
      <c r="A215" s="181" t="s">
        <v>28</v>
      </c>
      <c r="B215" s="175" t="s">
        <v>45</v>
      </c>
      <c r="C215" s="175" t="str">
        <f>Organ12</f>
        <v>OC12</v>
      </c>
      <c r="D215" s="146" t="s">
        <v>345</v>
      </c>
      <c r="E215" s="146" t="str">
        <f>IFERROR(VLOOKUP(D215,Table2[],2,FALSE),"")</f>
        <v>Hektar</v>
      </c>
      <c r="F215" s="146" t="s">
        <v>334</v>
      </c>
      <c r="G215" s="146" t="str">
        <f>IFERROR(VLOOKUP(F215,Table2[],2,FALSE),"")</f>
        <v>t CO2-ækvivalenter</v>
      </c>
      <c r="H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7"/>
    </row>
    <row r="216" spans="1:11" ht="15.75" thickTop="1" x14ac:dyDescent="0.25">
      <c r="A216" s="179" t="s">
        <v>28</v>
      </c>
      <c r="B216" s="173" t="s">
        <v>46</v>
      </c>
      <c r="C216" s="173" t="str">
        <f>Jordbund1</f>
        <v>JB1-10</v>
      </c>
      <c r="D216" s="143" t="s">
        <v>345</v>
      </c>
      <c r="E216" s="143" t="str">
        <f>IFERROR(VLOOKUP(D216,Table2[],2,FALSE),"")</f>
        <v>Hektar</v>
      </c>
      <c r="F216" s="143" t="s">
        <v>13</v>
      </c>
      <c r="G216" s="143" t="str">
        <f>IFERROR(VLOOKUP(F216,Table2[],2,FALSE),"")</f>
        <v>Ton</v>
      </c>
      <c r="H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4"/>
    </row>
    <row r="217" spans="1:11" x14ac:dyDescent="0.25">
      <c r="A217" s="180" t="s">
        <v>28</v>
      </c>
      <c r="B217" s="174" t="s">
        <v>46</v>
      </c>
      <c r="C217" s="174" t="str">
        <f>Jordbund1</f>
        <v>JB1-10</v>
      </c>
      <c r="D217" t="s">
        <v>345</v>
      </c>
      <c r="E217" t="str">
        <f>IFERROR(VLOOKUP(D217,Table2[],2,FALSE),"")</f>
        <v>Hektar</v>
      </c>
      <c r="F217" t="s">
        <v>293</v>
      </c>
      <c r="G217" t="str">
        <f>IFERROR(VLOOKUP(F217,Table2[],2,FALSE),"")</f>
        <v>kg N</v>
      </c>
      <c r="H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5"/>
    </row>
    <row r="218" spans="1:11" ht="15.75" thickBot="1" x14ac:dyDescent="0.3">
      <c r="A218" s="181" t="s">
        <v>28</v>
      </c>
      <c r="B218" s="175" t="s">
        <v>46</v>
      </c>
      <c r="C218" s="175" t="str">
        <f>Jordbund1</f>
        <v>JB1-10</v>
      </c>
      <c r="D218" s="146" t="s">
        <v>345</v>
      </c>
      <c r="E218" s="146" t="str">
        <f>IFERROR(VLOOKUP(D218,Table2[],2,FALSE),"")</f>
        <v>Hektar</v>
      </c>
      <c r="F218" s="146" t="s">
        <v>334</v>
      </c>
      <c r="G218" s="146" t="str">
        <f>IFERROR(VLOOKUP(F218,Table2[],2,FALSE),"")</f>
        <v>t CO2-ækvivalenter</v>
      </c>
      <c r="H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7"/>
    </row>
    <row r="219" spans="1:11" ht="15.75" thickTop="1" x14ac:dyDescent="0.25">
      <c r="A219" s="179" t="s">
        <v>28</v>
      </c>
      <c r="B219" s="173" t="s">
        <v>46</v>
      </c>
      <c r="C219" s="173" t="str">
        <f>Organ6</f>
        <v>OC6</v>
      </c>
      <c r="D219" s="143" t="s">
        <v>345</v>
      </c>
      <c r="E219" s="143" t="str">
        <f>IFERROR(VLOOKUP(D219,Table2[],2,FALSE),"")</f>
        <v>Hektar</v>
      </c>
      <c r="F219" s="143" t="s">
        <v>13</v>
      </c>
      <c r="G219" s="143" t="str">
        <f>IFERROR(VLOOKUP(F219,Table2[],2,FALSE),"")</f>
        <v>Ton</v>
      </c>
      <c r="H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4"/>
    </row>
    <row r="220" spans="1:11" x14ac:dyDescent="0.25">
      <c r="A220" s="180" t="s">
        <v>28</v>
      </c>
      <c r="B220" s="174" t="s">
        <v>46</v>
      </c>
      <c r="C220" s="174" t="str">
        <f>Organ6</f>
        <v>OC6</v>
      </c>
      <c r="D220" t="s">
        <v>345</v>
      </c>
      <c r="E220" t="str">
        <f>IFERROR(VLOOKUP(D220,Table2[],2,FALSE),"")</f>
        <v>Hektar</v>
      </c>
      <c r="F220" t="s">
        <v>293</v>
      </c>
      <c r="G220" t="str">
        <f>IFERROR(VLOOKUP(F220,Table2[],2,FALSE),"")</f>
        <v>kg N</v>
      </c>
      <c r="H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5"/>
    </row>
    <row r="221" spans="1:11" ht="15.75" thickBot="1" x14ac:dyDescent="0.3">
      <c r="A221" s="181" t="s">
        <v>28</v>
      </c>
      <c r="B221" s="175" t="s">
        <v>46</v>
      </c>
      <c r="C221" s="175" t="str">
        <f>Organ6</f>
        <v>OC6</v>
      </c>
      <c r="D221" s="146" t="s">
        <v>345</v>
      </c>
      <c r="E221" s="146" t="str">
        <f>IFERROR(VLOOKUP(D221,Table2[],2,FALSE),"")</f>
        <v>Hektar</v>
      </c>
      <c r="F221" s="146" t="s">
        <v>334</v>
      </c>
      <c r="G221" s="146" t="str">
        <f>IFERROR(VLOOKUP(F221,Table2[],2,FALSE),"")</f>
        <v>t CO2-ækvivalenter</v>
      </c>
      <c r="H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7"/>
    </row>
    <row r="222" spans="1:11" ht="15.75" thickTop="1" x14ac:dyDescent="0.25">
      <c r="A222" s="179" t="s">
        <v>28</v>
      </c>
      <c r="B222" s="173" t="s">
        <v>46</v>
      </c>
      <c r="C222" s="173" t="str">
        <f>Organ12</f>
        <v>OC12</v>
      </c>
      <c r="D222" s="143" t="s">
        <v>345</v>
      </c>
      <c r="E222" s="143" t="str">
        <f>IFERROR(VLOOKUP(D222,Table2[],2,FALSE),"")</f>
        <v>Hektar</v>
      </c>
      <c r="F222" s="143" t="s">
        <v>13</v>
      </c>
      <c r="G222" s="143" t="str">
        <f>IFERROR(VLOOKUP(F222,Table2[],2,FALSE),"")</f>
        <v>Ton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4"/>
    </row>
    <row r="223" spans="1:11" x14ac:dyDescent="0.25">
      <c r="A223" s="180" t="s">
        <v>28</v>
      </c>
      <c r="B223" s="174" t="s">
        <v>46</v>
      </c>
      <c r="C223" s="174" t="str">
        <f>Organ12</f>
        <v>OC12</v>
      </c>
      <c r="D223" t="s">
        <v>345</v>
      </c>
      <c r="E223" t="str">
        <f>IFERROR(VLOOKUP(D223,Table2[],2,FALSE),"")</f>
        <v>Hektar</v>
      </c>
      <c r="F223" t="s">
        <v>293</v>
      </c>
      <c r="G223" t="str">
        <f>IFERROR(VLOOKUP(F223,Table2[],2,FALSE),"")</f>
        <v>kg N</v>
      </c>
      <c r="H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5"/>
    </row>
    <row r="224" spans="1:11" ht="15.75" thickBot="1" x14ac:dyDescent="0.3">
      <c r="A224" s="181" t="s">
        <v>28</v>
      </c>
      <c r="B224" s="175" t="s">
        <v>46</v>
      </c>
      <c r="C224" s="175" t="str">
        <f>Organ12</f>
        <v>OC12</v>
      </c>
      <c r="D224" s="146" t="s">
        <v>345</v>
      </c>
      <c r="E224" s="146" t="str">
        <f>IFERROR(VLOOKUP(D224,Table2[],2,FALSE),"")</f>
        <v>Hektar</v>
      </c>
      <c r="F224" s="146" t="s">
        <v>334</v>
      </c>
      <c r="G224" s="146" t="str">
        <f>IFERROR(VLOOKUP(F224,Table2[],2,FALSE),"")</f>
        <v>t CO2-ækvivalenter</v>
      </c>
      <c r="H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7"/>
    </row>
    <row r="225" spans="1:11" ht="15.75" thickTop="1" x14ac:dyDescent="0.25">
      <c r="A225" s="179" t="s">
        <v>29</v>
      </c>
      <c r="B225" s="173" t="s">
        <v>45</v>
      </c>
      <c r="C225" s="173" t="str">
        <f>Jordbund1</f>
        <v>JB1-10</v>
      </c>
      <c r="D225" s="143" t="s">
        <v>343</v>
      </c>
      <c r="E225" s="143" t="str">
        <f>IFERROR(VLOOKUP(D225,Table2[],2,FALSE),"")</f>
        <v>Hektar</v>
      </c>
      <c r="F225" s="143" t="s">
        <v>14</v>
      </c>
      <c r="G225" s="143" t="str">
        <f>IFERROR(VLOOKUP(F225,Table2[],2,FALSE),"")</f>
        <v>Ton</v>
      </c>
      <c r="H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4"/>
    </row>
    <row r="226" spans="1:11" x14ac:dyDescent="0.25">
      <c r="A226" s="180" t="s">
        <v>29</v>
      </c>
      <c r="B226" s="174" t="s">
        <v>45</v>
      </c>
      <c r="C226" s="174" t="str">
        <f>Jordbund1</f>
        <v>JB1-10</v>
      </c>
      <c r="D226" t="s">
        <v>343</v>
      </c>
      <c r="E226" t="str">
        <f>IFERROR(VLOOKUP(D226,Table2[],2,FALSE),"")</f>
        <v>Hektar</v>
      </c>
      <c r="F226" t="s">
        <v>37</v>
      </c>
      <c r="G226" t="str">
        <f>IFERROR(VLOOKUP(F226,Table2[],2,FALSE),"")</f>
        <v>Ton</v>
      </c>
      <c r="H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5"/>
    </row>
    <row r="227" spans="1:11" x14ac:dyDescent="0.25">
      <c r="A227" s="180" t="s">
        <v>29</v>
      </c>
      <c r="B227" s="174" t="s">
        <v>45</v>
      </c>
      <c r="C227" s="174" t="str">
        <f>Jordbund1</f>
        <v>JB1-10</v>
      </c>
      <c r="D227" t="s">
        <v>343</v>
      </c>
      <c r="E227" t="str">
        <f>IFERROR(VLOOKUP(D227,Table2[],2,FALSE),"")</f>
        <v>Hektar</v>
      </c>
      <c r="F227" t="s">
        <v>293</v>
      </c>
      <c r="G227" t="str">
        <f>IFERROR(VLOOKUP(F227,Table2[],2,FALSE),"")</f>
        <v>kg N</v>
      </c>
      <c r="H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5"/>
    </row>
    <row r="228" spans="1:11" ht="15.75" thickBot="1" x14ac:dyDescent="0.3">
      <c r="A228" s="181" t="s">
        <v>29</v>
      </c>
      <c r="B228" s="175" t="s">
        <v>45</v>
      </c>
      <c r="C228" s="175" t="str">
        <f>Jordbund1</f>
        <v>JB1-10</v>
      </c>
      <c r="D228" s="146" t="s">
        <v>343</v>
      </c>
      <c r="E228" s="146" t="str">
        <f>IFERROR(VLOOKUP(D228,Table2[],2,FALSE),"")</f>
        <v>Hektar</v>
      </c>
      <c r="F228" s="146" t="s">
        <v>334</v>
      </c>
      <c r="G228" s="146" t="str">
        <f>IFERROR(VLOOKUP(F228,Table2[],2,FALSE),"")</f>
        <v>t CO2-ækvivalenter</v>
      </c>
      <c r="H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7"/>
    </row>
    <row r="229" spans="1:11" ht="15.75" thickTop="1" x14ac:dyDescent="0.25">
      <c r="A229" s="179" t="s">
        <v>29</v>
      </c>
      <c r="B229" s="173" t="s">
        <v>45</v>
      </c>
      <c r="C229" s="173" t="str">
        <f>Organ6</f>
        <v>OC6</v>
      </c>
      <c r="D229" s="143" t="s">
        <v>343</v>
      </c>
      <c r="E229" s="143" t="str">
        <f>IFERROR(VLOOKUP(D229,Table2[],2,FALSE),"")</f>
        <v>Hektar</v>
      </c>
      <c r="F229" s="143" t="s">
        <v>14</v>
      </c>
      <c r="G229" s="143" t="str">
        <f>IFERROR(VLOOKUP(F229,Table2[],2,FALSE),"")</f>
        <v>Ton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4"/>
    </row>
    <row r="230" spans="1:11" x14ac:dyDescent="0.25">
      <c r="A230" s="180" t="s">
        <v>29</v>
      </c>
      <c r="B230" s="174" t="s">
        <v>45</v>
      </c>
      <c r="C230" s="174" t="str">
        <f>Organ6</f>
        <v>OC6</v>
      </c>
      <c r="D230" t="s">
        <v>343</v>
      </c>
      <c r="E230" t="str">
        <f>IFERROR(VLOOKUP(D230,Table2[],2,FALSE),"")</f>
        <v>Hektar</v>
      </c>
      <c r="F230" t="s">
        <v>37</v>
      </c>
      <c r="G230" t="str">
        <f>IFERROR(VLOOKUP(F230,Table2[],2,FALSE),"")</f>
        <v>Ton</v>
      </c>
      <c r="H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5"/>
    </row>
    <row r="231" spans="1:11" x14ac:dyDescent="0.25">
      <c r="A231" s="180" t="s">
        <v>29</v>
      </c>
      <c r="B231" s="174" t="s">
        <v>45</v>
      </c>
      <c r="C231" s="174" t="str">
        <f>Organ6</f>
        <v>OC6</v>
      </c>
      <c r="D231" t="s">
        <v>343</v>
      </c>
      <c r="E231" t="str">
        <f>IFERROR(VLOOKUP(D231,Table2[],2,FALSE),"")</f>
        <v>Hektar</v>
      </c>
      <c r="F231" t="s">
        <v>293</v>
      </c>
      <c r="G231" t="str">
        <f>IFERROR(VLOOKUP(F231,Table2[],2,FALSE),"")</f>
        <v>kg N</v>
      </c>
      <c r="H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5"/>
    </row>
    <row r="232" spans="1:11" ht="15.75" thickBot="1" x14ac:dyDescent="0.3">
      <c r="A232" s="181" t="s">
        <v>29</v>
      </c>
      <c r="B232" s="175" t="s">
        <v>45</v>
      </c>
      <c r="C232" s="175" t="str">
        <f>Organ6</f>
        <v>OC6</v>
      </c>
      <c r="D232" s="146" t="s">
        <v>343</v>
      </c>
      <c r="E232" s="146" t="str">
        <f>IFERROR(VLOOKUP(D232,Table2[],2,FALSE),"")</f>
        <v>Hektar</v>
      </c>
      <c r="F232" s="146" t="s">
        <v>334</v>
      </c>
      <c r="G232" s="146" t="str">
        <f>IFERROR(VLOOKUP(F232,Table2[],2,FALSE),"")</f>
        <v>t CO2-ækvivalenter</v>
      </c>
      <c r="H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7"/>
    </row>
    <row r="233" spans="1:11" ht="15.75" thickTop="1" x14ac:dyDescent="0.25">
      <c r="A233" s="179" t="s">
        <v>29</v>
      </c>
      <c r="B233" s="173" t="s">
        <v>45</v>
      </c>
      <c r="C233" s="173" t="str">
        <f>Organ12</f>
        <v>OC12</v>
      </c>
      <c r="D233" s="143" t="s">
        <v>343</v>
      </c>
      <c r="E233" s="143" t="str">
        <f>IFERROR(VLOOKUP(D233,Table2[],2,FALSE),"")</f>
        <v>Hektar</v>
      </c>
      <c r="F233" s="143" t="s">
        <v>14</v>
      </c>
      <c r="G233" s="143" t="str">
        <f>IFERROR(VLOOKUP(F233,Table2[],2,FALSE),"")</f>
        <v>Ton</v>
      </c>
      <c r="H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4"/>
    </row>
    <row r="234" spans="1:11" x14ac:dyDescent="0.25">
      <c r="A234" s="180" t="s">
        <v>29</v>
      </c>
      <c r="B234" s="174" t="s">
        <v>45</v>
      </c>
      <c r="C234" s="174" t="str">
        <f>Organ12</f>
        <v>OC12</v>
      </c>
      <c r="D234" t="s">
        <v>343</v>
      </c>
      <c r="E234" t="str">
        <f>IFERROR(VLOOKUP(D234,Table2[],2,FALSE),"")</f>
        <v>Hektar</v>
      </c>
      <c r="F234" t="s">
        <v>37</v>
      </c>
      <c r="G234" t="str">
        <f>IFERROR(VLOOKUP(F234,Table2[],2,FALSE),"")</f>
        <v>Ton</v>
      </c>
      <c r="H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5"/>
    </row>
    <row r="235" spans="1:11" x14ac:dyDescent="0.25">
      <c r="A235" s="180" t="s">
        <v>29</v>
      </c>
      <c r="B235" s="174" t="s">
        <v>45</v>
      </c>
      <c r="C235" s="174" t="str">
        <f>Organ12</f>
        <v>OC12</v>
      </c>
      <c r="D235" t="s">
        <v>343</v>
      </c>
      <c r="E235" t="str">
        <f>IFERROR(VLOOKUP(D235,Table2[],2,FALSE),"")</f>
        <v>Hektar</v>
      </c>
      <c r="F235" t="s">
        <v>293</v>
      </c>
      <c r="G235" t="str">
        <f>IFERROR(VLOOKUP(F235,Table2[],2,FALSE),"")</f>
        <v>kg N</v>
      </c>
      <c r="H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5"/>
    </row>
    <row r="236" spans="1:11" ht="15.75" thickBot="1" x14ac:dyDescent="0.3">
      <c r="A236" s="181" t="s">
        <v>29</v>
      </c>
      <c r="B236" s="175" t="s">
        <v>45</v>
      </c>
      <c r="C236" s="175" t="str">
        <f>Organ12</f>
        <v>OC12</v>
      </c>
      <c r="D236" s="146" t="s">
        <v>343</v>
      </c>
      <c r="E236" s="146" t="str">
        <f>IFERROR(VLOOKUP(D236,Table2[],2,FALSE),"")</f>
        <v>Hektar</v>
      </c>
      <c r="F236" s="146" t="s">
        <v>334</v>
      </c>
      <c r="G236" s="146" t="str">
        <f>IFERROR(VLOOKUP(F236,Table2[],2,FALSE),"")</f>
        <v>t CO2-ækvivalenter</v>
      </c>
      <c r="H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7"/>
    </row>
    <row r="237" spans="1:11" ht="15.75" thickTop="1" x14ac:dyDescent="0.25">
      <c r="A237" s="179" t="s">
        <v>29</v>
      </c>
      <c r="B237" s="173" t="s">
        <v>46</v>
      </c>
      <c r="C237" s="173" t="str">
        <f>Jordbund1</f>
        <v>JB1-10</v>
      </c>
      <c r="D237" s="143" t="s">
        <v>343</v>
      </c>
      <c r="E237" s="143" t="str">
        <f>IFERROR(VLOOKUP(D237,Table2[],2,FALSE),"")</f>
        <v>Hektar</v>
      </c>
      <c r="F237" s="143" t="s">
        <v>14</v>
      </c>
      <c r="G237" s="143" t="str">
        <f>IFERROR(VLOOKUP(F237,Table2[],2,FALSE),"")</f>
        <v>Ton</v>
      </c>
      <c r="H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4"/>
    </row>
    <row r="238" spans="1:11" x14ac:dyDescent="0.25">
      <c r="A238" s="180" t="s">
        <v>29</v>
      </c>
      <c r="B238" s="174" t="s">
        <v>46</v>
      </c>
      <c r="C238" s="174" t="str">
        <f>Jordbund1</f>
        <v>JB1-10</v>
      </c>
      <c r="D238" t="s">
        <v>343</v>
      </c>
      <c r="E238" t="str">
        <f>IFERROR(VLOOKUP(D238,Table2[],2,FALSE),"")</f>
        <v>Hektar</v>
      </c>
      <c r="F238" t="s">
        <v>37</v>
      </c>
      <c r="G238" t="str">
        <f>IFERROR(VLOOKUP(F238,Table2[],2,FALSE),"")</f>
        <v>Ton</v>
      </c>
      <c r="H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5"/>
    </row>
    <row r="239" spans="1:11" x14ac:dyDescent="0.25">
      <c r="A239" s="180" t="s">
        <v>29</v>
      </c>
      <c r="B239" s="174" t="s">
        <v>46</v>
      </c>
      <c r="C239" s="174" t="str">
        <f>Jordbund1</f>
        <v>JB1-10</v>
      </c>
      <c r="D239" t="s">
        <v>343</v>
      </c>
      <c r="E239" t="str">
        <f>IFERROR(VLOOKUP(D239,Table2[],2,FALSE),"")</f>
        <v>Hektar</v>
      </c>
      <c r="F239" t="s">
        <v>293</v>
      </c>
      <c r="G239" t="str">
        <f>IFERROR(VLOOKUP(F239,Table2[],2,FALSE),"")</f>
        <v>kg N</v>
      </c>
      <c r="H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5"/>
    </row>
    <row r="240" spans="1:11" ht="15.75" thickBot="1" x14ac:dyDescent="0.3">
      <c r="A240" s="181" t="s">
        <v>29</v>
      </c>
      <c r="B240" s="175" t="s">
        <v>46</v>
      </c>
      <c r="C240" s="175" t="str">
        <f>Jordbund1</f>
        <v>JB1-10</v>
      </c>
      <c r="D240" s="146" t="s">
        <v>343</v>
      </c>
      <c r="E240" s="146" t="str">
        <f>IFERROR(VLOOKUP(D240,Table2[],2,FALSE),"")</f>
        <v>Hektar</v>
      </c>
      <c r="F240" s="146" t="s">
        <v>334</v>
      </c>
      <c r="G240" s="146" t="str">
        <f>IFERROR(VLOOKUP(F240,Table2[],2,FALSE),"")</f>
        <v>t CO2-ækvivalenter</v>
      </c>
      <c r="H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7"/>
    </row>
    <row r="241" spans="1:11" ht="15.75" thickTop="1" x14ac:dyDescent="0.25">
      <c r="A241" s="179" t="s">
        <v>29</v>
      </c>
      <c r="B241" s="173" t="s">
        <v>46</v>
      </c>
      <c r="C241" s="173" t="str">
        <f>Organ6</f>
        <v>OC6</v>
      </c>
      <c r="D241" s="143" t="s">
        <v>343</v>
      </c>
      <c r="E241" s="143" t="str">
        <f>IFERROR(VLOOKUP(D241,Table2[],2,FALSE),"")</f>
        <v>Hektar</v>
      </c>
      <c r="F241" s="143" t="s">
        <v>14</v>
      </c>
      <c r="G241" s="143" t="str">
        <f>IFERROR(VLOOKUP(F241,Table2[],2,FALSE),"")</f>
        <v>Ton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4"/>
    </row>
    <row r="242" spans="1:11" x14ac:dyDescent="0.25">
      <c r="A242" s="180" t="s">
        <v>29</v>
      </c>
      <c r="B242" s="174" t="s">
        <v>46</v>
      </c>
      <c r="C242" s="174" t="str">
        <f>Organ6</f>
        <v>OC6</v>
      </c>
      <c r="D242" t="s">
        <v>343</v>
      </c>
      <c r="E242" t="str">
        <f>IFERROR(VLOOKUP(D242,Table2[],2,FALSE),"")</f>
        <v>Hektar</v>
      </c>
      <c r="F242" t="s">
        <v>37</v>
      </c>
      <c r="G242" t="str">
        <f>IFERROR(VLOOKUP(F242,Table2[],2,FALSE),"")</f>
        <v>Ton</v>
      </c>
      <c r="H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5"/>
    </row>
    <row r="243" spans="1:11" x14ac:dyDescent="0.25">
      <c r="A243" s="180" t="s">
        <v>29</v>
      </c>
      <c r="B243" s="174" t="s">
        <v>46</v>
      </c>
      <c r="C243" s="174" t="str">
        <f>Organ6</f>
        <v>OC6</v>
      </c>
      <c r="D243" t="s">
        <v>343</v>
      </c>
      <c r="E243" t="str">
        <f>IFERROR(VLOOKUP(D243,Table2[],2,FALSE),"")</f>
        <v>Hektar</v>
      </c>
      <c r="F243" t="s">
        <v>293</v>
      </c>
      <c r="G243" t="str">
        <f>IFERROR(VLOOKUP(F243,Table2[],2,FALSE),"")</f>
        <v>kg N</v>
      </c>
      <c r="H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5"/>
    </row>
    <row r="244" spans="1:11" ht="15.75" thickBot="1" x14ac:dyDescent="0.3">
      <c r="A244" s="181" t="s">
        <v>29</v>
      </c>
      <c r="B244" s="175" t="s">
        <v>46</v>
      </c>
      <c r="C244" s="175" t="str">
        <f>Organ6</f>
        <v>OC6</v>
      </c>
      <c r="D244" s="146" t="s">
        <v>343</v>
      </c>
      <c r="E244" s="146" t="str">
        <f>IFERROR(VLOOKUP(D244,Table2[],2,FALSE),"")</f>
        <v>Hektar</v>
      </c>
      <c r="F244" s="146" t="s">
        <v>334</v>
      </c>
      <c r="G244" s="146" t="str">
        <f>IFERROR(VLOOKUP(F244,Table2[],2,FALSE),"")</f>
        <v>t CO2-ækvivalenter</v>
      </c>
      <c r="H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7"/>
    </row>
    <row r="245" spans="1:11" ht="15.75" thickTop="1" x14ac:dyDescent="0.25">
      <c r="A245" s="179" t="s">
        <v>29</v>
      </c>
      <c r="B245" s="173" t="s">
        <v>46</v>
      </c>
      <c r="C245" s="173" t="str">
        <f>Organ12</f>
        <v>OC12</v>
      </c>
      <c r="D245" s="143" t="s">
        <v>343</v>
      </c>
      <c r="E245" s="143" t="str">
        <f>IFERROR(VLOOKUP(D245,Table2[],2,FALSE),"")</f>
        <v>Hektar</v>
      </c>
      <c r="F245" s="143" t="s">
        <v>14</v>
      </c>
      <c r="G245" s="143" t="str">
        <f>IFERROR(VLOOKUP(F245,Table2[],2,FALSE),"")</f>
        <v>Ton</v>
      </c>
      <c r="H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4"/>
    </row>
    <row r="246" spans="1:11" x14ac:dyDescent="0.25">
      <c r="A246" s="180" t="s">
        <v>29</v>
      </c>
      <c r="B246" s="174" t="s">
        <v>46</v>
      </c>
      <c r="C246" s="174" t="str">
        <f>Organ12</f>
        <v>OC12</v>
      </c>
      <c r="D246" t="s">
        <v>343</v>
      </c>
      <c r="E246" t="str">
        <f>IFERROR(VLOOKUP(D246,Table2[],2,FALSE),"")</f>
        <v>Hektar</v>
      </c>
      <c r="F246" t="s">
        <v>37</v>
      </c>
      <c r="G246" t="str">
        <f>IFERROR(VLOOKUP(F246,Table2[],2,FALSE),"")</f>
        <v>Ton</v>
      </c>
      <c r="H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5"/>
    </row>
    <row r="247" spans="1:11" x14ac:dyDescent="0.25">
      <c r="A247" s="180" t="s">
        <v>29</v>
      </c>
      <c r="B247" s="174" t="s">
        <v>46</v>
      </c>
      <c r="C247" s="174" t="str">
        <f>Organ12</f>
        <v>OC12</v>
      </c>
      <c r="D247" t="s">
        <v>343</v>
      </c>
      <c r="E247" t="str">
        <f>IFERROR(VLOOKUP(D247,Table2[],2,FALSE),"")</f>
        <v>Hektar</v>
      </c>
      <c r="F247" t="s">
        <v>293</v>
      </c>
      <c r="G247" t="str">
        <f>IFERROR(VLOOKUP(F247,Table2[],2,FALSE),"")</f>
        <v>kg N</v>
      </c>
      <c r="H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5"/>
    </row>
    <row r="248" spans="1:11" ht="15.75" thickBot="1" x14ac:dyDescent="0.3">
      <c r="A248" s="181" t="s">
        <v>29</v>
      </c>
      <c r="B248" s="175" t="s">
        <v>46</v>
      </c>
      <c r="C248" s="175" t="str">
        <f>Organ12</f>
        <v>OC12</v>
      </c>
      <c r="D248" s="146" t="s">
        <v>343</v>
      </c>
      <c r="E248" s="146" t="str">
        <f>IFERROR(VLOOKUP(D248,Table2[],2,FALSE),"")</f>
        <v>Hektar</v>
      </c>
      <c r="F248" s="146" t="s">
        <v>334</v>
      </c>
      <c r="G248" s="146" t="str">
        <f>IFERROR(VLOOKUP(F248,Table2[],2,FALSE),"")</f>
        <v>t CO2-ækvivalenter</v>
      </c>
      <c r="H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7"/>
    </row>
    <row r="249" spans="1:11" ht="15.75" thickTop="1" x14ac:dyDescent="0.25">
      <c r="A249" s="180" t="s">
        <v>30</v>
      </c>
      <c r="B249" s="174" t="s">
        <v>45</v>
      </c>
      <c r="C249" s="174" t="str">
        <f>Jordbund1</f>
        <v>JB1-10</v>
      </c>
      <c r="D249" t="s">
        <v>353</v>
      </c>
      <c r="E249" t="str">
        <f>IFERROR(VLOOKUP(D249,Table2[],2,FALSE),"")</f>
        <v>Hektar</v>
      </c>
      <c r="F249" t="s">
        <v>42</v>
      </c>
      <c r="G249" t="str">
        <f>IFERROR(VLOOKUP(F249,Table2[],2,FALSE),"")</f>
        <v>Ton</v>
      </c>
      <c r="H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5"/>
    </row>
    <row r="250" spans="1:11" x14ac:dyDescent="0.25">
      <c r="A250" s="180" t="s">
        <v>30</v>
      </c>
      <c r="B250" s="174" t="s">
        <v>45</v>
      </c>
      <c r="C250" s="174" t="str">
        <f>Jordbund1</f>
        <v>JB1-10</v>
      </c>
      <c r="D250" t="s">
        <v>353</v>
      </c>
      <c r="E250" t="str">
        <f>IFERROR(VLOOKUP(D250,Table2[],2,FALSE),"")</f>
        <v>Hektar</v>
      </c>
      <c r="F250" t="s">
        <v>293</v>
      </c>
      <c r="G250" t="str">
        <f>IFERROR(VLOOKUP(F250,Table2[],2,FALSE),"")</f>
        <v>kg N</v>
      </c>
      <c r="H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5"/>
    </row>
    <row r="251" spans="1:11" ht="15.75" thickBot="1" x14ac:dyDescent="0.3">
      <c r="A251" s="181" t="s">
        <v>30</v>
      </c>
      <c r="B251" s="175" t="s">
        <v>45</v>
      </c>
      <c r="C251" s="175" t="str">
        <f>Jordbund1</f>
        <v>JB1-10</v>
      </c>
      <c r="D251" s="146" t="s">
        <v>353</v>
      </c>
      <c r="E251" s="146" t="str">
        <f>IFERROR(VLOOKUP(D251,Table2[],2,FALSE),"")</f>
        <v>Hektar</v>
      </c>
      <c r="F251" s="146" t="s">
        <v>334</v>
      </c>
      <c r="G251" s="146" t="str">
        <f>IFERROR(VLOOKUP(F251,Table2[],2,FALSE),"")</f>
        <v>t CO2-ækvivalenter</v>
      </c>
      <c r="H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7"/>
    </row>
    <row r="252" spans="1:11" ht="15.75" thickTop="1" x14ac:dyDescent="0.25">
      <c r="A252" s="179" t="s">
        <v>30</v>
      </c>
      <c r="B252" s="173" t="s">
        <v>45</v>
      </c>
      <c r="C252" s="173" t="str">
        <f>Organ6</f>
        <v>OC6</v>
      </c>
      <c r="D252" s="143" t="s">
        <v>353</v>
      </c>
      <c r="E252" s="143" t="str">
        <f>IFERROR(VLOOKUP(D252,Table2[],2,FALSE),"")</f>
        <v>Hektar</v>
      </c>
      <c r="F252" s="143" t="s">
        <v>42</v>
      </c>
      <c r="G252" s="143" t="str">
        <f>IFERROR(VLOOKUP(F252,Table2[],2,FALSE),"")</f>
        <v>Ton</v>
      </c>
      <c r="H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4"/>
    </row>
    <row r="253" spans="1:11" x14ac:dyDescent="0.25">
      <c r="A253" s="180" t="s">
        <v>30</v>
      </c>
      <c r="B253" s="174" t="s">
        <v>45</v>
      </c>
      <c r="C253" s="174" t="str">
        <f>Organ6</f>
        <v>OC6</v>
      </c>
      <c r="D253" t="s">
        <v>353</v>
      </c>
      <c r="E253" t="str">
        <f>IFERROR(VLOOKUP(D253,Table2[],2,FALSE),"")</f>
        <v>Hektar</v>
      </c>
      <c r="F253" t="s">
        <v>293</v>
      </c>
      <c r="G253" t="str">
        <f>IFERROR(VLOOKUP(F253,Table2[],2,FALSE),"")</f>
        <v>kg N</v>
      </c>
      <c r="H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5"/>
    </row>
    <row r="254" spans="1:11" ht="15.75" thickBot="1" x14ac:dyDescent="0.3">
      <c r="A254" s="181" t="s">
        <v>30</v>
      </c>
      <c r="B254" s="175" t="s">
        <v>45</v>
      </c>
      <c r="C254" s="175" t="str">
        <f>Organ6</f>
        <v>OC6</v>
      </c>
      <c r="D254" s="146" t="s">
        <v>353</v>
      </c>
      <c r="E254" s="146" t="str">
        <f>IFERROR(VLOOKUP(D254,Table2[],2,FALSE),"")</f>
        <v>Hektar</v>
      </c>
      <c r="F254" s="146" t="s">
        <v>334</v>
      </c>
      <c r="G254" s="146" t="str">
        <f>IFERROR(VLOOKUP(F254,Table2[],2,FALSE),"")</f>
        <v>t CO2-ækvivalenter</v>
      </c>
      <c r="H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7"/>
    </row>
    <row r="255" spans="1:11" ht="15.75" thickTop="1" x14ac:dyDescent="0.25">
      <c r="A255" s="179" t="s">
        <v>30</v>
      </c>
      <c r="B255" s="173" t="s">
        <v>45</v>
      </c>
      <c r="C255" s="173" t="str">
        <f>Organ12</f>
        <v>OC12</v>
      </c>
      <c r="D255" s="143" t="s">
        <v>353</v>
      </c>
      <c r="E255" s="143" t="str">
        <f>IFERROR(VLOOKUP(D255,Table2[],2,FALSE),"")</f>
        <v>Hektar</v>
      </c>
      <c r="F255" s="143" t="s">
        <v>42</v>
      </c>
      <c r="G255" s="143" t="str">
        <f>IFERROR(VLOOKUP(F255,Table2[],2,FALSE),"")</f>
        <v>Ton</v>
      </c>
      <c r="H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4"/>
    </row>
    <row r="256" spans="1:11" x14ac:dyDescent="0.25">
      <c r="A256" s="180" t="s">
        <v>30</v>
      </c>
      <c r="B256" s="174" t="s">
        <v>45</v>
      </c>
      <c r="C256" s="174" t="str">
        <f>Organ12</f>
        <v>OC12</v>
      </c>
      <c r="D256" t="s">
        <v>353</v>
      </c>
      <c r="E256" t="str">
        <f>IFERROR(VLOOKUP(D256,Table2[],2,FALSE),"")</f>
        <v>Hektar</v>
      </c>
      <c r="F256" t="s">
        <v>293</v>
      </c>
      <c r="G256" t="str">
        <f>IFERROR(VLOOKUP(F256,Table2[],2,FALSE),"")</f>
        <v>kg N</v>
      </c>
      <c r="H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5"/>
    </row>
    <row r="257" spans="1:11" ht="15.75" thickBot="1" x14ac:dyDescent="0.3">
      <c r="A257" s="181" t="s">
        <v>30</v>
      </c>
      <c r="B257" s="175" t="s">
        <v>45</v>
      </c>
      <c r="C257" s="175" t="str">
        <f>Organ12</f>
        <v>OC12</v>
      </c>
      <c r="D257" s="146" t="s">
        <v>353</v>
      </c>
      <c r="E257" s="146" t="str">
        <f>IFERROR(VLOOKUP(D257,Table2[],2,FALSE),"")</f>
        <v>Hektar</v>
      </c>
      <c r="F257" s="146" t="s">
        <v>334</v>
      </c>
      <c r="G257" s="146" t="str">
        <f>IFERROR(VLOOKUP(F257,Table2[],2,FALSE),"")</f>
        <v>t CO2-ækvivalenter</v>
      </c>
      <c r="H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7"/>
    </row>
    <row r="258" spans="1:11" ht="15.75" thickTop="1" x14ac:dyDescent="0.25">
      <c r="A258" s="179" t="s">
        <v>30</v>
      </c>
      <c r="B258" s="173" t="s">
        <v>46</v>
      </c>
      <c r="C258" s="173" t="str">
        <f>Jordbund1</f>
        <v>JB1-10</v>
      </c>
      <c r="D258" s="143" t="s">
        <v>353</v>
      </c>
      <c r="E258" s="143" t="str">
        <f>IFERROR(VLOOKUP(D258,Table2[],2,FALSE),"")</f>
        <v>Hektar</v>
      </c>
      <c r="F258" s="143" t="s">
        <v>42</v>
      </c>
      <c r="G258" s="143" t="str">
        <f>IFERROR(VLOOKUP(F258,Table2[],2,FALSE),"")</f>
        <v>Ton</v>
      </c>
      <c r="H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4"/>
    </row>
    <row r="259" spans="1:11" x14ac:dyDescent="0.25">
      <c r="A259" s="180" t="s">
        <v>30</v>
      </c>
      <c r="B259" s="174" t="s">
        <v>46</v>
      </c>
      <c r="C259" s="174" t="str">
        <f>Jordbund1</f>
        <v>JB1-10</v>
      </c>
      <c r="D259" t="s">
        <v>353</v>
      </c>
      <c r="E259" t="str">
        <f>IFERROR(VLOOKUP(D259,Table2[],2,FALSE),"")</f>
        <v>Hektar</v>
      </c>
      <c r="F259" t="s">
        <v>293</v>
      </c>
      <c r="G259" t="str">
        <f>IFERROR(VLOOKUP(F259,Table2[],2,FALSE),"")</f>
        <v>kg N</v>
      </c>
      <c r="H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5"/>
    </row>
    <row r="260" spans="1:11" ht="15.75" thickBot="1" x14ac:dyDescent="0.3">
      <c r="A260" s="181" t="s">
        <v>30</v>
      </c>
      <c r="B260" s="175" t="s">
        <v>46</v>
      </c>
      <c r="C260" s="175" t="str">
        <f>Jordbund1</f>
        <v>JB1-10</v>
      </c>
      <c r="D260" s="146" t="s">
        <v>353</v>
      </c>
      <c r="E260" s="146" t="str">
        <f>IFERROR(VLOOKUP(D260,Table2[],2,FALSE),"")</f>
        <v>Hektar</v>
      </c>
      <c r="F260" s="146" t="s">
        <v>334</v>
      </c>
      <c r="G260" s="146" t="str">
        <f>IFERROR(VLOOKUP(F260,Table2[],2,FALSE),"")</f>
        <v>t CO2-ækvivalenter</v>
      </c>
      <c r="H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7"/>
    </row>
    <row r="261" spans="1:11" ht="15.75" thickTop="1" x14ac:dyDescent="0.25">
      <c r="A261" s="179" t="s">
        <v>30</v>
      </c>
      <c r="B261" s="173" t="s">
        <v>46</v>
      </c>
      <c r="C261" s="173" t="str">
        <f>Organ6</f>
        <v>OC6</v>
      </c>
      <c r="D261" s="143" t="s">
        <v>353</v>
      </c>
      <c r="E261" s="143" t="str">
        <f>IFERROR(VLOOKUP(D261,Table2[],2,FALSE),"")</f>
        <v>Hektar</v>
      </c>
      <c r="F261" s="143" t="s">
        <v>42</v>
      </c>
      <c r="G261" s="143" t="str">
        <f>IFERROR(VLOOKUP(F261,Table2[],2,FALSE),"")</f>
        <v>Ton</v>
      </c>
      <c r="H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4"/>
    </row>
    <row r="262" spans="1:11" x14ac:dyDescent="0.25">
      <c r="A262" s="180" t="s">
        <v>30</v>
      </c>
      <c r="B262" s="174" t="s">
        <v>46</v>
      </c>
      <c r="C262" s="174" t="str">
        <f>Organ6</f>
        <v>OC6</v>
      </c>
      <c r="D262" t="s">
        <v>353</v>
      </c>
      <c r="E262" t="str">
        <f>IFERROR(VLOOKUP(D262,Table2[],2,FALSE),"")</f>
        <v>Hektar</v>
      </c>
      <c r="F262" t="s">
        <v>293</v>
      </c>
      <c r="G262" t="str">
        <f>IFERROR(VLOOKUP(F262,Table2[],2,FALSE),"")</f>
        <v>kg N</v>
      </c>
      <c r="H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5"/>
    </row>
    <row r="263" spans="1:11" ht="15.75" thickBot="1" x14ac:dyDescent="0.3">
      <c r="A263" s="181" t="s">
        <v>30</v>
      </c>
      <c r="B263" s="175" t="s">
        <v>46</v>
      </c>
      <c r="C263" s="175" t="str">
        <f>Organ6</f>
        <v>OC6</v>
      </c>
      <c r="D263" s="146" t="s">
        <v>353</v>
      </c>
      <c r="E263" s="146" t="str">
        <f>IFERROR(VLOOKUP(D263,Table2[],2,FALSE),"")</f>
        <v>Hektar</v>
      </c>
      <c r="F263" s="146" t="s">
        <v>334</v>
      </c>
      <c r="G263" s="146" t="str">
        <f>IFERROR(VLOOKUP(F263,Table2[],2,FALSE),"")</f>
        <v>t CO2-ækvivalenter</v>
      </c>
      <c r="H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7"/>
    </row>
    <row r="264" spans="1:11" ht="15.75" thickTop="1" x14ac:dyDescent="0.25">
      <c r="A264" s="179" t="s">
        <v>30</v>
      </c>
      <c r="B264" s="173" t="s">
        <v>46</v>
      </c>
      <c r="C264" s="173" t="str">
        <f>Organ12</f>
        <v>OC12</v>
      </c>
      <c r="D264" s="143" t="s">
        <v>353</v>
      </c>
      <c r="E264" s="143" t="str">
        <f>IFERROR(VLOOKUP(D264,Table2[],2,FALSE),"")</f>
        <v>Hektar</v>
      </c>
      <c r="F264" s="143" t="s">
        <v>42</v>
      </c>
      <c r="G264" s="143" t="str">
        <f>IFERROR(VLOOKUP(F264,Table2[],2,FALSE),"")</f>
        <v>Ton</v>
      </c>
      <c r="H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4"/>
    </row>
    <row r="265" spans="1:11" x14ac:dyDescent="0.25">
      <c r="A265" s="180" t="s">
        <v>30</v>
      </c>
      <c r="B265" s="174" t="s">
        <v>46</v>
      </c>
      <c r="C265" s="174" t="str">
        <f>Organ12</f>
        <v>OC12</v>
      </c>
      <c r="D265" t="s">
        <v>353</v>
      </c>
      <c r="E265" t="str">
        <f>IFERROR(VLOOKUP(D265,Table2[],2,FALSE),"")</f>
        <v>Hektar</v>
      </c>
      <c r="F265" t="s">
        <v>293</v>
      </c>
      <c r="G265" t="str">
        <f>IFERROR(VLOOKUP(F265,Table2[],2,FALSE),"")</f>
        <v>kg N</v>
      </c>
      <c r="H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5"/>
    </row>
    <row r="266" spans="1:11" ht="15.75" thickBot="1" x14ac:dyDescent="0.3">
      <c r="A266" s="181" t="s">
        <v>30</v>
      </c>
      <c r="B266" s="175" t="s">
        <v>46</v>
      </c>
      <c r="C266" s="175" t="str">
        <f>Organ12</f>
        <v>OC12</v>
      </c>
      <c r="D266" s="146" t="s">
        <v>353</v>
      </c>
      <c r="E266" s="146" t="str">
        <f>IFERROR(VLOOKUP(D266,Table2[],2,FALSE),"")</f>
        <v>Hektar</v>
      </c>
      <c r="F266" s="146" t="s">
        <v>334</v>
      </c>
      <c r="G266" s="146" t="str">
        <f>IFERROR(VLOOKUP(F266,Table2[],2,FALSE),"")</f>
        <v>t CO2-ækvivalenter</v>
      </c>
      <c r="H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7"/>
    </row>
    <row r="267" spans="1:11" ht="15.75" thickTop="1" x14ac:dyDescent="0.25">
      <c r="A267" s="179" t="s">
        <v>535</v>
      </c>
      <c r="B267" s="173" t="s">
        <v>45</v>
      </c>
      <c r="C267" s="173" t="str">
        <f>Jordbund1</f>
        <v>JB1-10</v>
      </c>
      <c r="D267" s="143" t="s">
        <v>537</v>
      </c>
      <c r="E267" s="143" t="str">
        <f>IFERROR(VLOOKUP(D267,Table2[],2,FALSE),"")</f>
        <v>Hektar</v>
      </c>
      <c r="F267" s="143" t="s">
        <v>143</v>
      </c>
      <c r="G267" s="143" t="str">
        <f>IFERROR(VLOOKUP(F267,Table2[],2,FALSE),"")</f>
        <v>Ton</v>
      </c>
      <c r="H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4"/>
    </row>
    <row r="268" spans="1:11" x14ac:dyDescent="0.25">
      <c r="A268" s="180" t="s">
        <v>535</v>
      </c>
      <c r="B268" s="174" t="s">
        <v>45</v>
      </c>
      <c r="C268" s="174" t="str">
        <f>Jordbund1</f>
        <v>JB1-10</v>
      </c>
      <c r="D268" t="s">
        <v>537</v>
      </c>
      <c r="E268" t="str">
        <f>IFERROR(VLOOKUP(D268,Table2[],2,FALSE),"")</f>
        <v>Hektar</v>
      </c>
      <c r="F268" t="s">
        <v>293</v>
      </c>
      <c r="G268" t="str">
        <f>IFERROR(VLOOKUP(F268,Table2[],2,FALSE),"")</f>
        <v>kg N</v>
      </c>
      <c r="H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5"/>
    </row>
    <row r="269" spans="1:11" ht="15.75" thickBot="1" x14ac:dyDescent="0.3">
      <c r="A269" s="181" t="s">
        <v>535</v>
      </c>
      <c r="B269" s="175" t="s">
        <v>45</v>
      </c>
      <c r="C269" s="175" t="str">
        <f>Jordbund1</f>
        <v>JB1-10</v>
      </c>
      <c r="D269" s="146" t="s">
        <v>537</v>
      </c>
      <c r="E269" s="146" t="str">
        <f>IFERROR(VLOOKUP(D269,Table2[],2,FALSE),"")</f>
        <v>Hektar</v>
      </c>
      <c r="F269" s="146" t="s">
        <v>334</v>
      </c>
      <c r="G269" s="146" t="str">
        <f>IFERROR(VLOOKUP(F269,Table2[],2,FALSE),"")</f>
        <v>t CO2-ækvivalenter</v>
      </c>
      <c r="H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7"/>
    </row>
    <row r="270" spans="1:11" ht="15.75" thickTop="1" x14ac:dyDescent="0.25">
      <c r="A270" s="179" t="s">
        <v>535</v>
      </c>
      <c r="B270" s="173" t="s">
        <v>45</v>
      </c>
      <c r="C270" s="173" t="str">
        <f>Organ6</f>
        <v>OC6</v>
      </c>
      <c r="D270" s="143" t="s">
        <v>537</v>
      </c>
      <c r="E270" s="143" t="str">
        <f>IFERROR(VLOOKUP(D270,Table2[],2,FALSE),"")</f>
        <v>Hektar</v>
      </c>
      <c r="F270" s="143" t="s">
        <v>143</v>
      </c>
      <c r="G270" s="143" t="str">
        <f>IFERROR(VLOOKUP(F270,Table2[],2,FALSE),"")</f>
        <v>Ton</v>
      </c>
      <c r="H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4"/>
    </row>
    <row r="271" spans="1:11" x14ac:dyDescent="0.25">
      <c r="A271" s="180" t="s">
        <v>535</v>
      </c>
      <c r="B271" s="174" t="s">
        <v>45</v>
      </c>
      <c r="C271" s="174" t="str">
        <f>Organ6</f>
        <v>OC6</v>
      </c>
      <c r="D271" t="s">
        <v>537</v>
      </c>
      <c r="E271" t="str">
        <f>IFERROR(VLOOKUP(D271,Table2[],2,FALSE),"")</f>
        <v>Hektar</v>
      </c>
      <c r="F271" t="s">
        <v>293</v>
      </c>
      <c r="G271" t="str">
        <f>IFERROR(VLOOKUP(F271,Table2[],2,FALSE),"")</f>
        <v>kg N</v>
      </c>
      <c r="H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5"/>
    </row>
    <row r="272" spans="1:11" ht="15.75" thickBot="1" x14ac:dyDescent="0.3">
      <c r="A272" s="181" t="s">
        <v>535</v>
      </c>
      <c r="B272" s="175" t="s">
        <v>45</v>
      </c>
      <c r="C272" s="175" t="str">
        <f>Organ6</f>
        <v>OC6</v>
      </c>
      <c r="D272" s="146" t="s">
        <v>537</v>
      </c>
      <c r="E272" s="146" t="str">
        <f>IFERROR(VLOOKUP(D272,Table2[],2,FALSE),"")</f>
        <v>Hektar</v>
      </c>
      <c r="F272" s="146" t="s">
        <v>334</v>
      </c>
      <c r="G272" s="146" t="str">
        <f>IFERROR(VLOOKUP(F272,Table2[],2,FALSE),"")</f>
        <v>t CO2-ækvivalenter</v>
      </c>
      <c r="H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7"/>
    </row>
    <row r="273" spans="1:11" ht="15.75" thickTop="1" x14ac:dyDescent="0.25">
      <c r="A273" s="179" t="s">
        <v>535</v>
      </c>
      <c r="B273" s="173" t="s">
        <v>45</v>
      </c>
      <c r="C273" s="173" t="str">
        <f>Organ12</f>
        <v>OC12</v>
      </c>
      <c r="D273" s="143" t="s">
        <v>537</v>
      </c>
      <c r="E273" s="143" t="str">
        <f>IFERROR(VLOOKUP(D273,Table2[],2,FALSE),"")</f>
        <v>Hektar</v>
      </c>
      <c r="F273" s="143" t="s">
        <v>143</v>
      </c>
      <c r="G273" s="143" t="str">
        <f>IFERROR(VLOOKUP(F273,Table2[],2,FALSE),"")</f>
        <v>Ton</v>
      </c>
      <c r="H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4"/>
    </row>
    <row r="274" spans="1:11" x14ac:dyDescent="0.25">
      <c r="A274" s="180" t="s">
        <v>535</v>
      </c>
      <c r="B274" s="174" t="s">
        <v>45</v>
      </c>
      <c r="C274" s="174" t="str">
        <f>Organ12</f>
        <v>OC12</v>
      </c>
      <c r="D274" t="s">
        <v>537</v>
      </c>
      <c r="E274" t="str">
        <f>IFERROR(VLOOKUP(D274,Table2[],2,FALSE),"")</f>
        <v>Hektar</v>
      </c>
      <c r="F274" t="s">
        <v>293</v>
      </c>
      <c r="G274" t="str">
        <f>IFERROR(VLOOKUP(F274,Table2[],2,FALSE),"")</f>
        <v>kg N</v>
      </c>
      <c r="H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5"/>
    </row>
    <row r="275" spans="1:11" ht="15.75" thickBot="1" x14ac:dyDescent="0.3">
      <c r="A275" s="181" t="s">
        <v>535</v>
      </c>
      <c r="B275" s="175" t="s">
        <v>45</v>
      </c>
      <c r="C275" s="175" t="str">
        <f>Organ12</f>
        <v>OC12</v>
      </c>
      <c r="D275" s="146" t="s">
        <v>537</v>
      </c>
      <c r="E275" s="146" t="str">
        <f>IFERROR(VLOOKUP(D275,Table2[],2,FALSE),"")</f>
        <v>Hektar</v>
      </c>
      <c r="F275" s="146" t="s">
        <v>334</v>
      </c>
      <c r="G275" s="146" t="str">
        <f>IFERROR(VLOOKUP(F275,Table2[],2,FALSE),"")</f>
        <v>t CO2-ækvivalenter</v>
      </c>
      <c r="H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7"/>
    </row>
    <row r="276" spans="1:11" ht="15.75" thickTop="1" x14ac:dyDescent="0.25">
      <c r="A276" s="179" t="s">
        <v>535</v>
      </c>
      <c r="B276" s="173" t="s">
        <v>46</v>
      </c>
      <c r="C276" s="173" t="str">
        <f>Jordbund1</f>
        <v>JB1-10</v>
      </c>
      <c r="D276" s="143" t="s">
        <v>537</v>
      </c>
      <c r="E276" s="143" t="str">
        <f>IFERROR(VLOOKUP(D276,Table2[],2,FALSE),"")</f>
        <v>Hektar</v>
      </c>
      <c r="F276" s="143" t="s">
        <v>143</v>
      </c>
      <c r="G276" s="143" t="str">
        <f>IFERROR(VLOOKUP(F276,Table2[],2,FALSE),"")</f>
        <v>Ton</v>
      </c>
      <c r="H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4"/>
    </row>
    <row r="277" spans="1:11" x14ac:dyDescent="0.25">
      <c r="A277" s="180" t="s">
        <v>535</v>
      </c>
      <c r="B277" s="174" t="s">
        <v>46</v>
      </c>
      <c r="C277" s="174" t="str">
        <f>Jordbund1</f>
        <v>JB1-10</v>
      </c>
      <c r="D277" t="s">
        <v>537</v>
      </c>
      <c r="E277" t="str">
        <f>IFERROR(VLOOKUP(D277,Table2[],2,FALSE),"")</f>
        <v>Hektar</v>
      </c>
      <c r="F277" t="s">
        <v>293</v>
      </c>
      <c r="G277" t="str">
        <f>IFERROR(VLOOKUP(F277,Table2[],2,FALSE),"")</f>
        <v>kg N</v>
      </c>
      <c r="H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5"/>
    </row>
    <row r="278" spans="1:11" ht="15.75" thickBot="1" x14ac:dyDescent="0.3">
      <c r="A278" s="181" t="s">
        <v>535</v>
      </c>
      <c r="B278" s="175" t="s">
        <v>46</v>
      </c>
      <c r="C278" s="175" t="str">
        <f>Jordbund1</f>
        <v>JB1-10</v>
      </c>
      <c r="D278" s="146" t="s">
        <v>537</v>
      </c>
      <c r="E278" s="146" t="str">
        <f>IFERROR(VLOOKUP(D278,Table2[],2,FALSE),"")</f>
        <v>Hektar</v>
      </c>
      <c r="F278" s="146" t="s">
        <v>334</v>
      </c>
      <c r="G278" s="146" t="str">
        <f>IFERROR(VLOOKUP(F278,Table2[],2,FALSE),"")</f>
        <v>t CO2-ækvivalenter</v>
      </c>
      <c r="H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7"/>
    </row>
    <row r="279" spans="1:11" ht="15.75" thickTop="1" x14ac:dyDescent="0.25">
      <c r="A279" s="179" t="s">
        <v>535</v>
      </c>
      <c r="B279" s="173" t="s">
        <v>46</v>
      </c>
      <c r="C279" s="173" t="str">
        <f>Organ6</f>
        <v>OC6</v>
      </c>
      <c r="D279" s="143" t="s">
        <v>537</v>
      </c>
      <c r="E279" s="143" t="str">
        <f>IFERROR(VLOOKUP(D279,Table2[],2,FALSE),"")</f>
        <v>Hektar</v>
      </c>
      <c r="F279" s="143" t="s">
        <v>143</v>
      </c>
      <c r="G279" s="143" t="str">
        <f>IFERROR(VLOOKUP(F279,Table2[],2,FALSE),"")</f>
        <v>Ton</v>
      </c>
      <c r="H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4"/>
    </row>
    <row r="280" spans="1:11" x14ac:dyDescent="0.25">
      <c r="A280" s="180" t="s">
        <v>535</v>
      </c>
      <c r="B280" s="174" t="s">
        <v>46</v>
      </c>
      <c r="C280" s="174" t="str">
        <f>Organ6</f>
        <v>OC6</v>
      </c>
      <c r="D280" t="s">
        <v>537</v>
      </c>
      <c r="E280" t="str">
        <f>IFERROR(VLOOKUP(D280,Table2[],2,FALSE),"")</f>
        <v>Hektar</v>
      </c>
      <c r="F280" t="s">
        <v>293</v>
      </c>
      <c r="G280" t="str">
        <f>IFERROR(VLOOKUP(F280,Table2[],2,FALSE),"")</f>
        <v>kg N</v>
      </c>
      <c r="H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5"/>
    </row>
    <row r="281" spans="1:11" ht="15.75" thickBot="1" x14ac:dyDescent="0.3">
      <c r="A281" s="181" t="s">
        <v>535</v>
      </c>
      <c r="B281" s="175" t="s">
        <v>46</v>
      </c>
      <c r="C281" s="175" t="str">
        <f>Organ6</f>
        <v>OC6</v>
      </c>
      <c r="D281" s="146" t="s">
        <v>537</v>
      </c>
      <c r="E281" s="146" t="str">
        <f>IFERROR(VLOOKUP(D281,Table2[],2,FALSE),"")</f>
        <v>Hektar</v>
      </c>
      <c r="F281" s="146" t="s">
        <v>334</v>
      </c>
      <c r="G281" s="146" t="str">
        <f>IFERROR(VLOOKUP(F281,Table2[],2,FALSE),"")</f>
        <v>t CO2-ækvivalenter</v>
      </c>
      <c r="H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7"/>
    </row>
    <row r="282" spans="1:11" ht="15.75" thickTop="1" x14ac:dyDescent="0.25">
      <c r="A282" s="179" t="s">
        <v>535</v>
      </c>
      <c r="B282" s="173" t="s">
        <v>46</v>
      </c>
      <c r="C282" s="173" t="str">
        <f>Organ12</f>
        <v>OC12</v>
      </c>
      <c r="D282" s="143" t="s">
        <v>537</v>
      </c>
      <c r="E282" s="143" t="str">
        <f>IFERROR(VLOOKUP(D282,Table2[],2,FALSE),"")</f>
        <v>Hektar</v>
      </c>
      <c r="F282" s="143" t="s">
        <v>143</v>
      </c>
      <c r="G282" s="143" t="str">
        <f>IFERROR(VLOOKUP(F282,Table2[],2,FALSE),"")</f>
        <v>Ton</v>
      </c>
      <c r="H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4"/>
    </row>
    <row r="283" spans="1:11" x14ac:dyDescent="0.25">
      <c r="A283" s="180" t="s">
        <v>535</v>
      </c>
      <c r="B283" s="174" t="s">
        <v>46</v>
      </c>
      <c r="C283" s="174" t="str">
        <f>Organ12</f>
        <v>OC12</v>
      </c>
      <c r="D283" t="s">
        <v>537</v>
      </c>
      <c r="E283" t="str">
        <f>IFERROR(VLOOKUP(D283,Table2[],2,FALSE),"")</f>
        <v>Hektar</v>
      </c>
      <c r="F283" t="s">
        <v>293</v>
      </c>
      <c r="G283" t="str">
        <f>IFERROR(VLOOKUP(F283,Table2[],2,FALSE),"")</f>
        <v>kg N</v>
      </c>
      <c r="H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5"/>
    </row>
    <row r="284" spans="1:11" ht="15.75" thickBot="1" x14ac:dyDescent="0.3">
      <c r="A284" s="181" t="s">
        <v>535</v>
      </c>
      <c r="B284" s="175" t="s">
        <v>46</v>
      </c>
      <c r="C284" s="175" t="str">
        <f>Organ12</f>
        <v>OC12</v>
      </c>
      <c r="D284" s="146" t="s">
        <v>537</v>
      </c>
      <c r="E284" s="146" t="str">
        <f>IFERROR(VLOOKUP(D284,Table2[],2,FALSE),"")</f>
        <v>Hektar</v>
      </c>
      <c r="F284" s="146" t="s">
        <v>334</v>
      </c>
      <c r="G284" s="146" t="str">
        <f>IFERROR(VLOOKUP(F284,Table2[],2,FALSE),"")</f>
        <v>t CO2-ækvivalenter</v>
      </c>
      <c r="H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7"/>
    </row>
    <row r="285" spans="1:11" ht="15.75" thickTop="1" x14ac:dyDescent="0.25">
      <c r="A285" s="179" t="s">
        <v>536</v>
      </c>
      <c r="B285" s="173" t="s">
        <v>45</v>
      </c>
      <c r="C285" s="173" t="str">
        <f>Jordbund1</f>
        <v>JB1-10</v>
      </c>
      <c r="D285" s="143" t="s">
        <v>538</v>
      </c>
      <c r="E285" s="143" t="str">
        <f>IFERROR(VLOOKUP(D285,Table2[],2,FALSE),"")</f>
        <v>Hektar</v>
      </c>
      <c r="F285" s="143" t="s">
        <v>136</v>
      </c>
      <c r="G285" s="143" t="str">
        <f>IFERROR(VLOOKUP(F285,Table2[],2,FALSE),"")</f>
        <v>Ton</v>
      </c>
      <c r="H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4"/>
    </row>
    <row r="286" spans="1:11" x14ac:dyDescent="0.25">
      <c r="A286" s="180" t="s">
        <v>536</v>
      </c>
      <c r="B286" s="174" t="s">
        <v>45</v>
      </c>
      <c r="C286" s="174" t="str">
        <f>Jordbund1</f>
        <v>JB1-10</v>
      </c>
      <c r="D286" t="s">
        <v>538</v>
      </c>
      <c r="E286" t="str">
        <f>IFERROR(VLOOKUP(D286,Table2[],2,FALSE),"")</f>
        <v>Hektar</v>
      </c>
      <c r="F286" t="s">
        <v>293</v>
      </c>
      <c r="G286" t="str">
        <f>IFERROR(VLOOKUP(F286,Table2[],2,FALSE),"")</f>
        <v>kg N</v>
      </c>
      <c r="H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5"/>
    </row>
    <row r="287" spans="1:11" ht="15.75" thickBot="1" x14ac:dyDescent="0.3">
      <c r="A287" s="181" t="s">
        <v>536</v>
      </c>
      <c r="B287" s="175" t="s">
        <v>45</v>
      </c>
      <c r="C287" s="175" t="str">
        <f>Jordbund1</f>
        <v>JB1-10</v>
      </c>
      <c r="D287" s="146" t="s">
        <v>538</v>
      </c>
      <c r="E287" s="146" t="str">
        <f>IFERROR(VLOOKUP(D287,Table2[],2,FALSE),"")</f>
        <v>Hektar</v>
      </c>
      <c r="F287" s="146" t="s">
        <v>334</v>
      </c>
      <c r="G287" s="146" t="str">
        <f>IFERROR(VLOOKUP(F287,Table2[],2,FALSE),"")</f>
        <v>t CO2-ækvivalenter</v>
      </c>
      <c r="H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7"/>
    </row>
    <row r="288" spans="1:11" ht="15.75" thickTop="1" x14ac:dyDescent="0.25">
      <c r="A288" s="179" t="s">
        <v>536</v>
      </c>
      <c r="B288" s="173" t="s">
        <v>45</v>
      </c>
      <c r="C288" s="173" t="str">
        <f>Organ6</f>
        <v>OC6</v>
      </c>
      <c r="D288" s="143" t="s">
        <v>538</v>
      </c>
      <c r="E288" s="143" t="str">
        <f>IFERROR(VLOOKUP(D288,Table2[],2,FALSE),"")</f>
        <v>Hektar</v>
      </c>
      <c r="F288" s="143" t="s">
        <v>136</v>
      </c>
      <c r="G288" s="143" t="str">
        <f>IFERROR(VLOOKUP(F288,Table2[],2,FALSE),"")</f>
        <v>Ton</v>
      </c>
      <c r="H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4"/>
    </row>
    <row r="289" spans="1:11" x14ac:dyDescent="0.25">
      <c r="A289" s="180" t="s">
        <v>536</v>
      </c>
      <c r="B289" s="174" t="s">
        <v>45</v>
      </c>
      <c r="C289" s="174" t="str">
        <f>Organ6</f>
        <v>OC6</v>
      </c>
      <c r="D289" t="s">
        <v>538</v>
      </c>
      <c r="E289" t="str">
        <f>IFERROR(VLOOKUP(D289,Table2[],2,FALSE),"")</f>
        <v>Hektar</v>
      </c>
      <c r="F289" t="s">
        <v>293</v>
      </c>
      <c r="G289" t="str">
        <f>IFERROR(VLOOKUP(F289,Table2[],2,FALSE),"")</f>
        <v>kg N</v>
      </c>
      <c r="H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5"/>
    </row>
    <row r="290" spans="1:11" ht="15.75" thickBot="1" x14ac:dyDescent="0.3">
      <c r="A290" s="181" t="s">
        <v>536</v>
      </c>
      <c r="B290" s="175" t="s">
        <v>45</v>
      </c>
      <c r="C290" s="175" t="str">
        <f>Organ6</f>
        <v>OC6</v>
      </c>
      <c r="D290" s="146" t="s">
        <v>538</v>
      </c>
      <c r="E290" s="146" t="str">
        <f>IFERROR(VLOOKUP(D290,Table2[],2,FALSE),"")</f>
        <v>Hektar</v>
      </c>
      <c r="F290" s="146" t="s">
        <v>334</v>
      </c>
      <c r="G290" s="146" t="str">
        <f>IFERROR(VLOOKUP(F290,Table2[],2,FALSE),"")</f>
        <v>t CO2-ækvivalenter</v>
      </c>
      <c r="H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7"/>
    </row>
    <row r="291" spans="1:11" ht="15.75" thickTop="1" x14ac:dyDescent="0.25">
      <c r="A291" s="179" t="s">
        <v>536</v>
      </c>
      <c r="B291" s="173" t="s">
        <v>45</v>
      </c>
      <c r="C291" s="173" t="str">
        <f>Organ12</f>
        <v>OC12</v>
      </c>
      <c r="D291" s="143" t="s">
        <v>538</v>
      </c>
      <c r="E291" s="143" t="str">
        <f>IFERROR(VLOOKUP(D291,Table2[],2,FALSE),"")</f>
        <v>Hektar</v>
      </c>
      <c r="F291" s="143" t="s">
        <v>136</v>
      </c>
      <c r="G291" s="143" t="str">
        <f>IFERROR(VLOOKUP(F291,Table2[],2,FALSE),"")</f>
        <v>Ton</v>
      </c>
      <c r="H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4"/>
    </row>
    <row r="292" spans="1:11" x14ac:dyDescent="0.25">
      <c r="A292" s="180" t="s">
        <v>536</v>
      </c>
      <c r="B292" s="174" t="s">
        <v>45</v>
      </c>
      <c r="C292" s="174" t="str">
        <f>Organ12</f>
        <v>OC12</v>
      </c>
      <c r="D292" t="s">
        <v>538</v>
      </c>
      <c r="E292" t="str">
        <f>IFERROR(VLOOKUP(D292,Table2[],2,FALSE),"")</f>
        <v>Hektar</v>
      </c>
      <c r="F292" t="s">
        <v>293</v>
      </c>
      <c r="G292" t="str">
        <f>IFERROR(VLOOKUP(F292,Table2[],2,FALSE),"")</f>
        <v>kg N</v>
      </c>
      <c r="H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5"/>
    </row>
    <row r="293" spans="1:11" ht="15.75" thickBot="1" x14ac:dyDescent="0.3">
      <c r="A293" s="181" t="s">
        <v>536</v>
      </c>
      <c r="B293" s="175" t="s">
        <v>45</v>
      </c>
      <c r="C293" s="175" t="str">
        <f>Organ12</f>
        <v>OC12</v>
      </c>
      <c r="D293" s="146" t="s">
        <v>538</v>
      </c>
      <c r="E293" s="146" t="str">
        <f>IFERROR(VLOOKUP(D293,Table2[],2,FALSE),"")</f>
        <v>Hektar</v>
      </c>
      <c r="F293" s="146" t="s">
        <v>334</v>
      </c>
      <c r="G293" s="146" t="str">
        <f>IFERROR(VLOOKUP(F293,Table2[],2,FALSE),"")</f>
        <v>t CO2-ækvivalenter</v>
      </c>
      <c r="H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7"/>
    </row>
    <row r="294" spans="1:11" ht="15.75" thickTop="1" x14ac:dyDescent="0.25">
      <c r="A294" s="179" t="s">
        <v>536</v>
      </c>
      <c r="B294" s="173" t="s">
        <v>46</v>
      </c>
      <c r="C294" s="173" t="str">
        <f>Jordbund1</f>
        <v>JB1-10</v>
      </c>
      <c r="D294" s="143" t="s">
        <v>538</v>
      </c>
      <c r="E294" s="143" t="str">
        <f>IFERROR(VLOOKUP(D294,Table2[],2,FALSE),"")</f>
        <v>Hektar</v>
      </c>
      <c r="F294" s="143" t="s">
        <v>136</v>
      </c>
      <c r="G294" s="143" t="str">
        <f>IFERROR(VLOOKUP(F294,Table2[],2,FALSE),"")</f>
        <v>Ton</v>
      </c>
      <c r="H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4"/>
    </row>
    <row r="295" spans="1:11" x14ac:dyDescent="0.25">
      <c r="A295" s="180" t="s">
        <v>536</v>
      </c>
      <c r="B295" s="174" t="s">
        <v>46</v>
      </c>
      <c r="C295" s="174" t="str">
        <f>Jordbund1</f>
        <v>JB1-10</v>
      </c>
      <c r="D295" t="s">
        <v>538</v>
      </c>
      <c r="E295" t="str">
        <f>IFERROR(VLOOKUP(D295,Table2[],2,FALSE),"")</f>
        <v>Hektar</v>
      </c>
      <c r="F295" t="s">
        <v>293</v>
      </c>
      <c r="G295" t="str">
        <f>IFERROR(VLOOKUP(F295,Table2[],2,FALSE),"")</f>
        <v>kg N</v>
      </c>
      <c r="H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5"/>
    </row>
    <row r="296" spans="1:11" ht="15.75" thickBot="1" x14ac:dyDescent="0.3">
      <c r="A296" s="181" t="s">
        <v>536</v>
      </c>
      <c r="B296" s="175" t="s">
        <v>46</v>
      </c>
      <c r="C296" s="175" t="str">
        <f>Jordbund1</f>
        <v>JB1-10</v>
      </c>
      <c r="D296" s="146" t="s">
        <v>538</v>
      </c>
      <c r="E296" s="146" t="str">
        <f>IFERROR(VLOOKUP(D296,Table2[],2,FALSE),"")</f>
        <v>Hektar</v>
      </c>
      <c r="F296" s="146" t="s">
        <v>334</v>
      </c>
      <c r="G296" s="146" t="str">
        <f>IFERROR(VLOOKUP(F296,Table2[],2,FALSE),"")</f>
        <v>t CO2-ækvivalenter</v>
      </c>
      <c r="H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7"/>
    </row>
    <row r="297" spans="1:11" ht="15.75" thickTop="1" x14ac:dyDescent="0.25">
      <c r="A297" s="179" t="s">
        <v>536</v>
      </c>
      <c r="B297" s="173" t="s">
        <v>46</v>
      </c>
      <c r="C297" s="173" t="str">
        <f>Organ6</f>
        <v>OC6</v>
      </c>
      <c r="D297" s="143" t="s">
        <v>538</v>
      </c>
      <c r="E297" s="143" t="str">
        <f>IFERROR(VLOOKUP(D297,Table2[],2,FALSE),"")</f>
        <v>Hektar</v>
      </c>
      <c r="F297" s="143" t="s">
        <v>136</v>
      </c>
      <c r="G297" s="143" t="str">
        <f>IFERROR(VLOOKUP(F297,Table2[],2,FALSE),"")</f>
        <v>Ton</v>
      </c>
      <c r="H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4"/>
    </row>
    <row r="298" spans="1:11" x14ac:dyDescent="0.25">
      <c r="A298" s="180" t="s">
        <v>536</v>
      </c>
      <c r="B298" s="174" t="s">
        <v>46</v>
      </c>
      <c r="C298" s="174" t="str">
        <f>Organ6</f>
        <v>OC6</v>
      </c>
      <c r="D298" t="s">
        <v>538</v>
      </c>
      <c r="E298" t="str">
        <f>IFERROR(VLOOKUP(D298,Table2[],2,FALSE),"")</f>
        <v>Hektar</v>
      </c>
      <c r="F298" t="s">
        <v>293</v>
      </c>
      <c r="G298" t="str">
        <f>IFERROR(VLOOKUP(F298,Table2[],2,FALSE),"")</f>
        <v>kg N</v>
      </c>
      <c r="H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5"/>
    </row>
    <row r="299" spans="1:11" ht="15.75" thickBot="1" x14ac:dyDescent="0.3">
      <c r="A299" s="181" t="s">
        <v>536</v>
      </c>
      <c r="B299" s="175" t="s">
        <v>46</v>
      </c>
      <c r="C299" s="175" t="str">
        <f>Organ6</f>
        <v>OC6</v>
      </c>
      <c r="D299" s="146" t="s">
        <v>538</v>
      </c>
      <c r="E299" s="146" t="str">
        <f>IFERROR(VLOOKUP(D299,Table2[],2,FALSE),"")</f>
        <v>Hektar</v>
      </c>
      <c r="F299" s="146" t="s">
        <v>334</v>
      </c>
      <c r="G299" s="146" t="str">
        <f>IFERROR(VLOOKUP(F299,Table2[],2,FALSE),"")</f>
        <v>t CO2-ækvivalenter</v>
      </c>
      <c r="H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7"/>
    </row>
    <row r="300" spans="1:11" ht="15.75" thickTop="1" x14ac:dyDescent="0.25">
      <c r="A300" s="179" t="s">
        <v>536</v>
      </c>
      <c r="B300" s="173" t="s">
        <v>46</v>
      </c>
      <c r="C300" s="173" t="str">
        <f>Organ12</f>
        <v>OC12</v>
      </c>
      <c r="D300" s="143" t="s">
        <v>538</v>
      </c>
      <c r="E300" s="143" t="str">
        <f>IFERROR(VLOOKUP(D300,Table2[],2,FALSE),"")</f>
        <v>Hektar</v>
      </c>
      <c r="F300" s="143" t="s">
        <v>136</v>
      </c>
      <c r="G300" s="143" t="str">
        <f>IFERROR(VLOOKUP(F300,Table2[],2,FALSE),"")</f>
        <v>Ton</v>
      </c>
      <c r="H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4"/>
    </row>
    <row r="301" spans="1:11" x14ac:dyDescent="0.25">
      <c r="A301" s="180" t="s">
        <v>536</v>
      </c>
      <c r="B301" s="174" t="s">
        <v>46</v>
      </c>
      <c r="C301" s="174" t="str">
        <f>Organ12</f>
        <v>OC12</v>
      </c>
      <c r="D301" t="s">
        <v>538</v>
      </c>
      <c r="E301" t="str">
        <f>IFERROR(VLOOKUP(D301,Table2[],2,FALSE),"")</f>
        <v>Hektar</v>
      </c>
      <c r="F301" t="s">
        <v>293</v>
      </c>
      <c r="G301" t="str">
        <f>IFERROR(VLOOKUP(F301,Table2[],2,FALSE),"")</f>
        <v>kg N</v>
      </c>
      <c r="H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5"/>
    </row>
    <row r="302" spans="1:11" ht="15.75" thickBot="1" x14ac:dyDescent="0.3">
      <c r="A302" s="181" t="s">
        <v>536</v>
      </c>
      <c r="B302" s="175" t="s">
        <v>46</v>
      </c>
      <c r="C302" s="175" t="str">
        <f>Organ12</f>
        <v>OC12</v>
      </c>
      <c r="D302" s="146" t="s">
        <v>538</v>
      </c>
      <c r="E302" s="146" t="str">
        <f>IFERROR(VLOOKUP(D302,Table2[],2,FALSE),"")</f>
        <v>Hektar</v>
      </c>
      <c r="F302" s="146" t="s">
        <v>334</v>
      </c>
      <c r="G302" s="146" t="str">
        <f>IFERROR(VLOOKUP(F302,Table2[],2,FALSE),"")</f>
        <v>t CO2-ækvivalenter</v>
      </c>
      <c r="H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7"/>
    </row>
    <row r="303" spans="1:11" ht="15.75" thickTop="1" x14ac:dyDescent="0.25">
      <c r="A303" s="179" t="s">
        <v>31</v>
      </c>
      <c r="B303" s="173" t="s">
        <v>45</v>
      </c>
      <c r="C303" s="173" t="str">
        <f>Jordbund1</f>
        <v>JB1-10</v>
      </c>
      <c r="D303" s="143" t="s">
        <v>349</v>
      </c>
      <c r="E303" s="143" t="str">
        <f>IFERROR(VLOOKUP(D303,Table2[],2,FALSE),"")</f>
        <v>Hektar</v>
      </c>
      <c r="F303" s="143" t="s">
        <v>15</v>
      </c>
      <c r="G303" s="143" t="str">
        <f>IFERROR(VLOOKUP(F303,Table2[],2,FALSE),"")</f>
        <v>Ton</v>
      </c>
      <c r="H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4"/>
    </row>
    <row r="304" spans="1:11" x14ac:dyDescent="0.25">
      <c r="A304" s="180" t="s">
        <v>31</v>
      </c>
      <c r="B304" s="174" t="s">
        <v>45</v>
      </c>
      <c r="C304" s="174" t="str">
        <f>Jordbund1</f>
        <v>JB1-10</v>
      </c>
      <c r="D304" t="s">
        <v>349</v>
      </c>
      <c r="E304" t="str">
        <f>IFERROR(VLOOKUP(D304,Table2[],2,FALSE),"")</f>
        <v>Hektar</v>
      </c>
      <c r="F304" t="s">
        <v>293</v>
      </c>
      <c r="G304" t="str">
        <f>IFERROR(VLOOKUP(F304,Table2[],2,FALSE),"")</f>
        <v>kg N</v>
      </c>
      <c r="H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5"/>
    </row>
    <row r="305" spans="1:11" ht="15.75" thickBot="1" x14ac:dyDescent="0.3">
      <c r="A305" s="181" t="s">
        <v>31</v>
      </c>
      <c r="B305" s="175" t="s">
        <v>45</v>
      </c>
      <c r="C305" s="175" t="str">
        <f>Jordbund1</f>
        <v>JB1-10</v>
      </c>
      <c r="D305" s="146" t="s">
        <v>349</v>
      </c>
      <c r="E305" s="146" t="str">
        <f>IFERROR(VLOOKUP(D305,Table2[],2,FALSE),"")</f>
        <v>Hektar</v>
      </c>
      <c r="F305" s="146" t="s">
        <v>334</v>
      </c>
      <c r="G305" s="146" t="str">
        <f>IFERROR(VLOOKUP(F305,Table2[],2,FALSE),"")</f>
        <v>t CO2-ækvivalenter</v>
      </c>
      <c r="H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7"/>
    </row>
    <row r="306" spans="1:11" ht="15.75" thickTop="1" x14ac:dyDescent="0.25">
      <c r="A306" s="179" t="s">
        <v>31</v>
      </c>
      <c r="B306" s="173" t="s">
        <v>45</v>
      </c>
      <c r="C306" s="173" t="str">
        <f>Organ6</f>
        <v>OC6</v>
      </c>
      <c r="D306" s="143" t="s">
        <v>349</v>
      </c>
      <c r="E306" s="143" t="str">
        <f>IFERROR(VLOOKUP(D306,Table2[],2,FALSE),"")</f>
        <v>Hektar</v>
      </c>
      <c r="F306" s="143" t="s">
        <v>15</v>
      </c>
      <c r="G306" s="143" t="str">
        <f>IFERROR(VLOOKUP(F306,Table2[],2,FALSE),"")</f>
        <v>Ton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4"/>
    </row>
    <row r="307" spans="1:11" x14ac:dyDescent="0.25">
      <c r="A307" s="180" t="s">
        <v>31</v>
      </c>
      <c r="B307" s="174" t="s">
        <v>45</v>
      </c>
      <c r="C307" s="174" t="str">
        <f>Organ6</f>
        <v>OC6</v>
      </c>
      <c r="D307" t="s">
        <v>349</v>
      </c>
      <c r="E307" t="str">
        <f>IFERROR(VLOOKUP(D307,Table2[],2,FALSE),"")</f>
        <v>Hektar</v>
      </c>
      <c r="F307" t="s">
        <v>293</v>
      </c>
      <c r="G307" t="str">
        <f>IFERROR(VLOOKUP(F307,Table2[],2,FALSE),"")</f>
        <v>kg N</v>
      </c>
      <c r="H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5"/>
    </row>
    <row r="308" spans="1:11" ht="15.75" thickBot="1" x14ac:dyDescent="0.3">
      <c r="A308" s="181" t="s">
        <v>31</v>
      </c>
      <c r="B308" s="175" t="s">
        <v>45</v>
      </c>
      <c r="C308" s="175" t="str">
        <f>Organ6</f>
        <v>OC6</v>
      </c>
      <c r="D308" s="146" t="s">
        <v>349</v>
      </c>
      <c r="E308" s="146" t="str">
        <f>IFERROR(VLOOKUP(D308,Table2[],2,FALSE),"")</f>
        <v>Hektar</v>
      </c>
      <c r="F308" s="146" t="s">
        <v>334</v>
      </c>
      <c r="G308" s="146" t="str">
        <f>IFERROR(VLOOKUP(F308,Table2[],2,FALSE),"")</f>
        <v>t CO2-ækvivalenter</v>
      </c>
      <c r="H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7"/>
    </row>
    <row r="309" spans="1:11" ht="15.75" thickTop="1" x14ac:dyDescent="0.25">
      <c r="A309" s="179" t="s">
        <v>31</v>
      </c>
      <c r="B309" s="173" t="s">
        <v>45</v>
      </c>
      <c r="C309" s="173" t="str">
        <f>Organ12</f>
        <v>OC12</v>
      </c>
      <c r="D309" s="143" t="s">
        <v>349</v>
      </c>
      <c r="E309" s="143" t="str">
        <f>IFERROR(VLOOKUP(D309,Table2[],2,FALSE),"")</f>
        <v>Hektar</v>
      </c>
      <c r="F309" s="143" t="s">
        <v>15</v>
      </c>
      <c r="G309" s="143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4"/>
    </row>
    <row r="310" spans="1:11" x14ac:dyDescent="0.25">
      <c r="A310" s="180" t="s">
        <v>31</v>
      </c>
      <c r="B310" s="174" t="s">
        <v>45</v>
      </c>
      <c r="C310" s="174" t="str">
        <f>Organ12</f>
        <v>OC12</v>
      </c>
      <c r="D310" t="s">
        <v>349</v>
      </c>
      <c r="E310" t="str">
        <f>IFERROR(VLOOKUP(D310,Table2[],2,FALSE),"")</f>
        <v>Hektar</v>
      </c>
      <c r="F310" t="s">
        <v>293</v>
      </c>
      <c r="G310" t="str">
        <f>IFERROR(VLOOKUP(F310,Table2[],2,FALSE),"")</f>
        <v>kg N</v>
      </c>
      <c r="H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5"/>
    </row>
    <row r="311" spans="1:11" ht="15.75" thickBot="1" x14ac:dyDescent="0.3">
      <c r="A311" s="181" t="s">
        <v>31</v>
      </c>
      <c r="B311" s="175" t="s">
        <v>45</v>
      </c>
      <c r="C311" s="175" t="str">
        <f>Organ12</f>
        <v>OC12</v>
      </c>
      <c r="D311" s="146" t="s">
        <v>349</v>
      </c>
      <c r="E311" s="146" t="str">
        <f>IFERROR(VLOOKUP(D311,Table2[],2,FALSE),"")</f>
        <v>Hektar</v>
      </c>
      <c r="F311" s="146" t="s">
        <v>334</v>
      </c>
      <c r="G311" s="146" t="str">
        <f>IFERROR(VLOOKUP(F311,Table2[],2,FALSE),"")</f>
        <v>t CO2-ækvivalenter</v>
      </c>
      <c r="H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7"/>
    </row>
    <row r="312" spans="1:11" ht="15.75" thickTop="1" x14ac:dyDescent="0.25">
      <c r="A312" s="179" t="s">
        <v>31</v>
      </c>
      <c r="B312" s="173" t="s">
        <v>46</v>
      </c>
      <c r="C312" s="173" t="str">
        <f>Jordbund1</f>
        <v>JB1-10</v>
      </c>
      <c r="D312" s="143" t="s">
        <v>349</v>
      </c>
      <c r="E312" s="143" t="str">
        <f>IFERROR(VLOOKUP(D312,Table2[],2,FALSE),"")</f>
        <v>Hektar</v>
      </c>
      <c r="F312" s="143" t="s">
        <v>15</v>
      </c>
      <c r="G312" s="143" t="str">
        <f>IFERROR(VLOOKUP(F312,Table2[],2,FALSE),"")</f>
        <v>Ton</v>
      </c>
      <c r="H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4"/>
    </row>
    <row r="313" spans="1:11" x14ac:dyDescent="0.25">
      <c r="A313" s="180" t="s">
        <v>31</v>
      </c>
      <c r="B313" s="174" t="s">
        <v>46</v>
      </c>
      <c r="C313" s="174" t="str">
        <f>Jordbund1</f>
        <v>JB1-10</v>
      </c>
      <c r="D313" t="s">
        <v>349</v>
      </c>
      <c r="E313" t="str">
        <f>IFERROR(VLOOKUP(D313,Table2[],2,FALSE),"")</f>
        <v>Hektar</v>
      </c>
      <c r="F313" t="s">
        <v>293</v>
      </c>
      <c r="G313" t="str">
        <f>IFERROR(VLOOKUP(F313,Table2[],2,FALSE),"")</f>
        <v>kg N</v>
      </c>
      <c r="H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5"/>
    </row>
    <row r="314" spans="1:11" ht="15.75" thickBot="1" x14ac:dyDescent="0.3">
      <c r="A314" s="181" t="s">
        <v>31</v>
      </c>
      <c r="B314" s="175" t="s">
        <v>46</v>
      </c>
      <c r="C314" s="175" t="str">
        <f>Jordbund1</f>
        <v>JB1-10</v>
      </c>
      <c r="D314" s="146" t="s">
        <v>349</v>
      </c>
      <c r="E314" s="146" t="str">
        <f>IFERROR(VLOOKUP(D314,Table2[],2,FALSE),"")</f>
        <v>Hektar</v>
      </c>
      <c r="F314" s="146" t="s">
        <v>334</v>
      </c>
      <c r="G314" s="146" t="str">
        <f>IFERROR(VLOOKUP(F314,Table2[],2,FALSE),"")</f>
        <v>t CO2-ækvivalenter</v>
      </c>
      <c r="H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7"/>
    </row>
    <row r="315" spans="1:11" ht="15.75" thickTop="1" x14ac:dyDescent="0.25">
      <c r="A315" s="179" t="s">
        <v>31</v>
      </c>
      <c r="B315" s="173" t="s">
        <v>46</v>
      </c>
      <c r="C315" s="173" t="str">
        <f>Organ6</f>
        <v>OC6</v>
      </c>
      <c r="D315" s="143" t="s">
        <v>349</v>
      </c>
      <c r="E315" s="143" t="str">
        <f>IFERROR(VLOOKUP(D315,Table2[],2,FALSE),"")</f>
        <v>Hektar</v>
      </c>
      <c r="F315" s="143" t="s">
        <v>15</v>
      </c>
      <c r="G315" s="143" t="str">
        <f>IFERROR(VLOOKUP(F315,Table2[],2,FALSE),"")</f>
        <v>Ton</v>
      </c>
      <c r="H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4"/>
    </row>
    <row r="316" spans="1:11" x14ac:dyDescent="0.25">
      <c r="A316" s="180" t="s">
        <v>31</v>
      </c>
      <c r="B316" s="174" t="s">
        <v>46</v>
      </c>
      <c r="C316" s="174" t="str">
        <f>Organ6</f>
        <v>OC6</v>
      </c>
      <c r="D316" t="s">
        <v>349</v>
      </c>
      <c r="E316" t="str">
        <f>IFERROR(VLOOKUP(D316,Table2[],2,FALSE),"")</f>
        <v>Hektar</v>
      </c>
      <c r="F316" t="s">
        <v>293</v>
      </c>
      <c r="G316" t="str">
        <f>IFERROR(VLOOKUP(F316,Table2[],2,FALSE),"")</f>
        <v>kg N</v>
      </c>
      <c r="H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5"/>
    </row>
    <row r="317" spans="1:11" ht="15.75" thickBot="1" x14ac:dyDescent="0.3">
      <c r="A317" s="181" t="s">
        <v>31</v>
      </c>
      <c r="B317" s="175" t="s">
        <v>46</v>
      </c>
      <c r="C317" s="175" t="str">
        <f>Organ6</f>
        <v>OC6</v>
      </c>
      <c r="D317" s="146" t="s">
        <v>349</v>
      </c>
      <c r="E317" s="146" t="str">
        <f>IFERROR(VLOOKUP(D317,Table2[],2,FALSE),"")</f>
        <v>Hektar</v>
      </c>
      <c r="F317" s="146" t="s">
        <v>334</v>
      </c>
      <c r="G317" s="146" t="str">
        <f>IFERROR(VLOOKUP(F317,Table2[],2,FALSE),"")</f>
        <v>t CO2-ækvivalenter</v>
      </c>
      <c r="H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7"/>
    </row>
    <row r="318" spans="1:11" ht="15.75" thickTop="1" x14ac:dyDescent="0.25">
      <c r="A318" s="179" t="s">
        <v>31</v>
      </c>
      <c r="B318" s="173" t="s">
        <v>46</v>
      </c>
      <c r="C318" s="173" t="str">
        <f>Organ12</f>
        <v>OC12</v>
      </c>
      <c r="D318" s="143" t="s">
        <v>349</v>
      </c>
      <c r="E318" s="143" t="str">
        <f>IFERROR(VLOOKUP(D318,Table2[],2,FALSE),"")</f>
        <v>Hektar</v>
      </c>
      <c r="F318" s="143" t="s">
        <v>15</v>
      </c>
      <c r="G318" s="143" t="str">
        <f>IFERROR(VLOOKUP(F318,Table2[],2,FALSE),"")</f>
        <v>Ton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4"/>
    </row>
    <row r="319" spans="1:11" x14ac:dyDescent="0.25">
      <c r="A319" s="180" t="s">
        <v>31</v>
      </c>
      <c r="B319" s="174" t="s">
        <v>46</v>
      </c>
      <c r="C319" s="174" t="str">
        <f>Organ12</f>
        <v>OC12</v>
      </c>
      <c r="D319" t="s">
        <v>349</v>
      </c>
      <c r="E319" t="str">
        <f>IFERROR(VLOOKUP(D319,Table2[],2,FALSE),"")</f>
        <v>Hektar</v>
      </c>
      <c r="F319" t="s">
        <v>293</v>
      </c>
      <c r="G319" t="str">
        <f>IFERROR(VLOOKUP(F319,Table2[],2,FALSE),"")</f>
        <v>kg N</v>
      </c>
      <c r="H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5"/>
    </row>
    <row r="320" spans="1:11" ht="15.75" thickBot="1" x14ac:dyDescent="0.3">
      <c r="A320" s="181" t="s">
        <v>31</v>
      </c>
      <c r="B320" s="175" t="s">
        <v>46</v>
      </c>
      <c r="C320" s="175" t="str">
        <f>Organ12</f>
        <v>OC12</v>
      </c>
      <c r="D320" s="146" t="s">
        <v>349</v>
      </c>
      <c r="E320" s="146" t="str">
        <f>IFERROR(VLOOKUP(D320,Table2[],2,FALSE),"")</f>
        <v>Hektar</v>
      </c>
      <c r="F320" s="146" t="s">
        <v>334</v>
      </c>
      <c r="G320" s="146" t="str">
        <f>IFERROR(VLOOKUP(F320,Table2[],2,FALSE),"")</f>
        <v>t CO2-ækvivalenter</v>
      </c>
      <c r="H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7"/>
    </row>
    <row r="321" spans="1:11" ht="15.75" thickTop="1" x14ac:dyDescent="0.25">
      <c r="A321" s="179" t="s">
        <v>295</v>
      </c>
      <c r="B321" s="173" t="s">
        <v>45</v>
      </c>
      <c r="C321" s="173" t="str">
        <f>Jordbund1</f>
        <v>JB1-10</v>
      </c>
      <c r="D321" s="143" t="s">
        <v>352</v>
      </c>
      <c r="E321" s="143" t="str">
        <f>IFERROR(VLOOKUP(D321,Table2[],2,FALSE),"")</f>
        <v>Hektar</v>
      </c>
      <c r="F321" s="143" t="s">
        <v>167</v>
      </c>
      <c r="G321" s="143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4"/>
    </row>
    <row r="322" spans="1:11" x14ac:dyDescent="0.25">
      <c r="A322" s="180" t="s">
        <v>295</v>
      </c>
      <c r="B322" s="174" t="s">
        <v>45</v>
      </c>
      <c r="C322" s="174" t="str">
        <f>Jordbund1</f>
        <v>JB1-10</v>
      </c>
      <c r="D322" t="s">
        <v>352</v>
      </c>
      <c r="E322" t="str">
        <f>IFERROR(VLOOKUP(D322,Table2[],2,FALSE),"")</f>
        <v>Hektar</v>
      </c>
      <c r="F322" t="s">
        <v>37</v>
      </c>
      <c r="G322" t="str">
        <f>IFERROR(VLOOKUP(F322,Table2[],2,FALSE),"")</f>
        <v>Ton</v>
      </c>
      <c r="H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5"/>
    </row>
    <row r="323" spans="1:11" x14ac:dyDescent="0.25">
      <c r="A323" s="180" t="s">
        <v>295</v>
      </c>
      <c r="B323" s="174" t="s">
        <v>45</v>
      </c>
      <c r="C323" s="174" t="str">
        <f>Jordbund1</f>
        <v>JB1-10</v>
      </c>
      <c r="D323" t="s">
        <v>352</v>
      </c>
      <c r="E323" t="str">
        <f>IFERROR(VLOOKUP(D323,Table2[],2,FALSE),"")</f>
        <v>Hektar</v>
      </c>
      <c r="F323" t="s">
        <v>293</v>
      </c>
      <c r="G323" t="str">
        <f>IFERROR(VLOOKUP(F323,Table2[],2,FALSE),"")</f>
        <v>kg N</v>
      </c>
      <c r="H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5"/>
    </row>
    <row r="324" spans="1:11" ht="15.75" thickBot="1" x14ac:dyDescent="0.3">
      <c r="A324" s="181" t="s">
        <v>295</v>
      </c>
      <c r="B324" s="175" t="s">
        <v>45</v>
      </c>
      <c r="C324" s="175" t="str">
        <f>Jordbund1</f>
        <v>JB1-10</v>
      </c>
      <c r="D324" s="146" t="s">
        <v>352</v>
      </c>
      <c r="E324" s="146" t="str">
        <f>IFERROR(VLOOKUP(D324,Table2[],2,FALSE),"")</f>
        <v>Hektar</v>
      </c>
      <c r="F324" s="146" t="s">
        <v>334</v>
      </c>
      <c r="G324" s="146" t="str">
        <f>IFERROR(VLOOKUP(F324,Table2[],2,FALSE),"")</f>
        <v>t CO2-ækvivalenter</v>
      </c>
      <c r="H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7"/>
    </row>
    <row r="325" spans="1:11" ht="15.75" thickTop="1" x14ac:dyDescent="0.25">
      <c r="A325" s="179" t="s">
        <v>295</v>
      </c>
      <c r="B325" s="173" t="s">
        <v>45</v>
      </c>
      <c r="C325" s="173" t="str">
        <f>Organ6</f>
        <v>OC6</v>
      </c>
      <c r="D325" s="143" t="s">
        <v>352</v>
      </c>
      <c r="E325" s="143" t="str">
        <f>IFERROR(VLOOKUP(D325,Table2[],2,FALSE),"")</f>
        <v>Hektar</v>
      </c>
      <c r="F325" s="143" t="s">
        <v>167</v>
      </c>
      <c r="G325" s="143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4"/>
    </row>
    <row r="326" spans="1:11" x14ac:dyDescent="0.25">
      <c r="A326" s="180" t="s">
        <v>295</v>
      </c>
      <c r="B326" s="174" t="s">
        <v>45</v>
      </c>
      <c r="C326" s="174" t="str">
        <f>Organ6</f>
        <v>OC6</v>
      </c>
      <c r="D326" t="s">
        <v>352</v>
      </c>
      <c r="E326" t="str">
        <f>IFERROR(VLOOKUP(D326,Table2[],2,FALSE),"")</f>
        <v>Hektar</v>
      </c>
      <c r="F326" t="s">
        <v>37</v>
      </c>
      <c r="G326" t="str">
        <f>IFERROR(VLOOKUP(F326,Table2[],2,FALSE),"")</f>
        <v>Ton</v>
      </c>
      <c r="H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5"/>
    </row>
    <row r="327" spans="1:11" x14ac:dyDescent="0.25">
      <c r="A327" s="180" t="s">
        <v>295</v>
      </c>
      <c r="B327" s="174" t="s">
        <v>45</v>
      </c>
      <c r="C327" s="174" t="str">
        <f>Organ6</f>
        <v>OC6</v>
      </c>
      <c r="D327" t="s">
        <v>352</v>
      </c>
      <c r="E327" t="str">
        <f>IFERROR(VLOOKUP(D327,Table2[],2,FALSE),"")</f>
        <v>Hektar</v>
      </c>
      <c r="F327" t="s">
        <v>293</v>
      </c>
      <c r="G327" t="str">
        <f>IFERROR(VLOOKUP(F327,Table2[],2,FALSE),"")</f>
        <v>kg N</v>
      </c>
      <c r="H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5"/>
    </row>
    <row r="328" spans="1:11" ht="15.75" thickBot="1" x14ac:dyDescent="0.3">
      <c r="A328" s="181" t="s">
        <v>295</v>
      </c>
      <c r="B328" s="175" t="s">
        <v>45</v>
      </c>
      <c r="C328" s="175" t="str">
        <f>Organ6</f>
        <v>OC6</v>
      </c>
      <c r="D328" s="146" t="s">
        <v>352</v>
      </c>
      <c r="E328" s="146" t="str">
        <f>IFERROR(VLOOKUP(D328,Table2[],2,FALSE),"")</f>
        <v>Hektar</v>
      </c>
      <c r="F328" s="146" t="s">
        <v>334</v>
      </c>
      <c r="G328" s="146" t="str">
        <f>IFERROR(VLOOKUP(F328,Table2[],2,FALSE),"")</f>
        <v>t CO2-ækvivalenter</v>
      </c>
      <c r="H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7"/>
    </row>
    <row r="329" spans="1:11" ht="15.75" thickTop="1" x14ac:dyDescent="0.25">
      <c r="A329" s="179" t="s">
        <v>295</v>
      </c>
      <c r="B329" s="173" t="s">
        <v>45</v>
      </c>
      <c r="C329" s="173" t="str">
        <f>Organ12</f>
        <v>OC12</v>
      </c>
      <c r="D329" s="143" t="s">
        <v>352</v>
      </c>
      <c r="E329" s="143" t="str">
        <f>IFERROR(VLOOKUP(D329,Table2[],2,FALSE),"")</f>
        <v>Hektar</v>
      </c>
      <c r="F329" s="143" t="s">
        <v>167</v>
      </c>
      <c r="G329" s="143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4"/>
    </row>
    <row r="330" spans="1:11" x14ac:dyDescent="0.25">
      <c r="A330" s="180" t="s">
        <v>295</v>
      </c>
      <c r="B330" s="174" t="s">
        <v>45</v>
      </c>
      <c r="C330" s="174" t="str">
        <f>Organ12</f>
        <v>OC12</v>
      </c>
      <c r="D330" t="s">
        <v>352</v>
      </c>
      <c r="E330" t="str">
        <f>IFERROR(VLOOKUP(D330,Table2[],2,FALSE),"")</f>
        <v>Hektar</v>
      </c>
      <c r="F330" t="s">
        <v>37</v>
      </c>
      <c r="G330" t="str">
        <f>IFERROR(VLOOKUP(F330,Table2[],2,FALSE),"")</f>
        <v>Ton</v>
      </c>
      <c r="H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5"/>
    </row>
    <row r="331" spans="1:11" x14ac:dyDescent="0.25">
      <c r="A331" s="180" t="s">
        <v>295</v>
      </c>
      <c r="B331" s="174" t="s">
        <v>45</v>
      </c>
      <c r="C331" s="174" t="str">
        <f>Organ12</f>
        <v>OC12</v>
      </c>
      <c r="D331" t="s">
        <v>352</v>
      </c>
      <c r="E331" t="str">
        <f>IFERROR(VLOOKUP(D331,Table2[],2,FALSE),"")</f>
        <v>Hektar</v>
      </c>
      <c r="F331" t="s">
        <v>293</v>
      </c>
      <c r="G331" t="str">
        <f>IFERROR(VLOOKUP(F331,Table2[],2,FALSE),"")</f>
        <v>kg N</v>
      </c>
      <c r="H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5"/>
    </row>
    <row r="332" spans="1:11" ht="15.75" thickBot="1" x14ac:dyDescent="0.3">
      <c r="A332" s="181" t="s">
        <v>295</v>
      </c>
      <c r="B332" s="175" t="s">
        <v>45</v>
      </c>
      <c r="C332" s="175" t="str">
        <f>Organ12</f>
        <v>OC12</v>
      </c>
      <c r="D332" s="146" t="s">
        <v>352</v>
      </c>
      <c r="E332" s="146" t="str">
        <f>IFERROR(VLOOKUP(D332,Table2[],2,FALSE),"")</f>
        <v>Hektar</v>
      </c>
      <c r="F332" s="146" t="s">
        <v>334</v>
      </c>
      <c r="G332" s="146" t="str">
        <f>IFERROR(VLOOKUP(F332,Table2[],2,FALSE),"")</f>
        <v>t CO2-ækvivalenter</v>
      </c>
      <c r="H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7"/>
    </row>
    <row r="333" spans="1:11" ht="15.75" thickTop="1" x14ac:dyDescent="0.25">
      <c r="A333" s="179" t="s">
        <v>295</v>
      </c>
      <c r="B333" s="173" t="s">
        <v>46</v>
      </c>
      <c r="C333" s="173" t="str">
        <f>Jordbund1</f>
        <v>JB1-10</v>
      </c>
      <c r="D333" s="143" t="s">
        <v>352</v>
      </c>
      <c r="E333" s="143" t="str">
        <f>IFERROR(VLOOKUP(D333,Table2[],2,FALSE),"")</f>
        <v>Hektar</v>
      </c>
      <c r="F333" s="143" t="s">
        <v>167</v>
      </c>
      <c r="G333" s="143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4"/>
    </row>
    <row r="334" spans="1:11" x14ac:dyDescent="0.25">
      <c r="A334" s="180" t="s">
        <v>295</v>
      </c>
      <c r="B334" s="174" t="s">
        <v>46</v>
      </c>
      <c r="C334" s="174" t="str">
        <f>Jordbund1</f>
        <v>JB1-10</v>
      </c>
      <c r="D334" t="s">
        <v>352</v>
      </c>
      <c r="E334" t="str">
        <f>IFERROR(VLOOKUP(D334,Table2[],2,FALSE),"")</f>
        <v>Hektar</v>
      </c>
      <c r="F334" t="s">
        <v>37</v>
      </c>
      <c r="G334" t="str">
        <f>IFERROR(VLOOKUP(F334,Table2[],2,FALSE),"")</f>
        <v>Ton</v>
      </c>
      <c r="H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5"/>
    </row>
    <row r="335" spans="1:11" x14ac:dyDescent="0.25">
      <c r="A335" s="180" t="s">
        <v>295</v>
      </c>
      <c r="B335" s="174" t="s">
        <v>46</v>
      </c>
      <c r="C335" s="174" t="str">
        <f>Jordbund1</f>
        <v>JB1-10</v>
      </c>
      <c r="D335" t="s">
        <v>352</v>
      </c>
      <c r="E335" t="str">
        <f>IFERROR(VLOOKUP(D335,Table2[],2,FALSE),"")</f>
        <v>Hektar</v>
      </c>
      <c r="F335" t="s">
        <v>293</v>
      </c>
      <c r="G335" t="str">
        <f>IFERROR(VLOOKUP(F335,Table2[],2,FALSE),"")</f>
        <v>kg N</v>
      </c>
      <c r="H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5"/>
    </row>
    <row r="336" spans="1:11" ht="15.75" thickBot="1" x14ac:dyDescent="0.3">
      <c r="A336" s="181" t="s">
        <v>295</v>
      </c>
      <c r="B336" s="175" t="s">
        <v>46</v>
      </c>
      <c r="C336" s="175" t="str">
        <f>Jordbund1</f>
        <v>JB1-10</v>
      </c>
      <c r="D336" s="146" t="s">
        <v>352</v>
      </c>
      <c r="E336" s="146" t="str">
        <f>IFERROR(VLOOKUP(D336,Table2[],2,FALSE),"")</f>
        <v>Hektar</v>
      </c>
      <c r="F336" s="146" t="s">
        <v>334</v>
      </c>
      <c r="G336" s="146" t="str">
        <f>IFERROR(VLOOKUP(F336,Table2[],2,FALSE),"")</f>
        <v>t CO2-ækvivalenter</v>
      </c>
      <c r="H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7"/>
    </row>
    <row r="337" spans="1:11" ht="15.75" thickTop="1" x14ac:dyDescent="0.25">
      <c r="A337" s="179" t="s">
        <v>295</v>
      </c>
      <c r="B337" s="173" t="s">
        <v>46</v>
      </c>
      <c r="C337" s="173" t="str">
        <f>Organ6</f>
        <v>OC6</v>
      </c>
      <c r="D337" s="143" t="s">
        <v>352</v>
      </c>
      <c r="E337" s="143" t="str">
        <f>IFERROR(VLOOKUP(D337,Table2[],2,FALSE),"")</f>
        <v>Hektar</v>
      </c>
      <c r="F337" s="143" t="s">
        <v>167</v>
      </c>
      <c r="G337" s="143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4"/>
    </row>
    <row r="338" spans="1:11" x14ac:dyDescent="0.25">
      <c r="A338" s="180" t="s">
        <v>295</v>
      </c>
      <c r="B338" s="174" t="s">
        <v>46</v>
      </c>
      <c r="C338" s="174" t="str">
        <f>Organ6</f>
        <v>OC6</v>
      </c>
      <c r="D338" t="s">
        <v>352</v>
      </c>
      <c r="E338" t="str">
        <f>IFERROR(VLOOKUP(D338,Table2[],2,FALSE),"")</f>
        <v>Hektar</v>
      </c>
      <c r="F338" t="s">
        <v>37</v>
      </c>
      <c r="G338" t="str">
        <f>IFERROR(VLOOKUP(F338,Table2[],2,FALSE),"")</f>
        <v>Ton</v>
      </c>
      <c r="H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5"/>
    </row>
    <row r="339" spans="1:11" x14ac:dyDescent="0.25">
      <c r="A339" s="180" t="s">
        <v>295</v>
      </c>
      <c r="B339" s="174" t="s">
        <v>46</v>
      </c>
      <c r="C339" s="174" t="str">
        <f>Organ6</f>
        <v>OC6</v>
      </c>
      <c r="D339" t="s">
        <v>352</v>
      </c>
      <c r="E339" t="str">
        <f>IFERROR(VLOOKUP(D339,Table2[],2,FALSE),"")</f>
        <v>Hektar</v>
      </c>
      <c r="F339" t="s">
        <v>293</v>
      </c>
      <c r="G339" t="str">
        <f>IFERROR(VLOOKUP(F339,Table2[],2,FALSE),"")</f>
        <v>kg N</v>
      </c>
      <c r="H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5"/>
    </row>
    <row r="340" spans="1:11" ht="15.75" thickBot="1" x14ac:dyDescent="0.3">
      <c r="A340" s="181" t="s">
        <v>295</v>
      </c>
      <c r="B340" s="175" t="s">
        <v>46</v>
      </c>
      <c r="C340" s="175" t="str">
        <f>Organ6</f>
        <v>OC6</v>
      </c>
      <c r="D340" s="146" t="s">
        <v>352</v>
      </c>
      <c r="E340" s="146" t="str">
        <f>IFERROR(VLOOKUP(D340,Table2[],2,FALSE),"")</f>
        <v>Hektar</v>
      </c>
      <c r="F340" s="146" t="s">
        <v>334</v>
      </c>
      <c r="G340" s="146" t="str">
        <f>IFERROR(VLOOKUP(F340,Table2[],2,FALSE),"")</f>
        <v>t CO2-ækvivalenter</v>
      </c>
      <c r="H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7"/>
    </row>
    <row r="341" spans="1:11" ht="15.75" thickTop="1" x14ac:dyDescent="0.25">
      <c r="A341" s="179" t="s">
        <v>295</v>
      </c>
      <c r="B341" s="173" t="s">
        <v>46</v>
      </c>
      <c r="C341" s="173" t="str">
        <f>Organ12</f>
        <v>OC12</v>
      </c>
      <c r="D341" s="143" t="s">
        <v>352</v>
      </c>
      <c r="E341" s="143" t="str">
        <f>IFERROR(VLOOKUP(D341,Table2[],2,FALSE),"")</f>
        <v>Hektar</v>
      </c>
      <c r="F341" s="143" t="s">
        <v>167</v>
      </c>
      <c r="G341" s="143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4"/>
    </row>
    <row r="342" spans="1:11" x14ac:dyDescent="0.25">
      <c r="A342" s="180" t="s">
        <v>295</v>
      </c>
      <c r="B342" s="174" t="s">
        <v>46</v>
      </c>
      <c r="C342" s="174" t="str">
        <f>Organ12</f>
        <v>OC12</v>
      </c>
      <c r="D342" t="s">
        <v>352</v>
      </c>
      <c r="E342" t="str">
        <f>IFERROR(VLOOKUP(D342,Table2[],2,FALSE),"")</f>
        <v>Hektar</v>
      </c>
      <c r="F342" t="s">
        <v>37</v>
      </c>
      <c r="G342" t="str">
        <f>IFERROR(VLOOKUP(F342,Table2[],2,FALSE),"")</f>
        <v>Ton</v>
      </c>
      <c r="H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5"/>
    </row>
    <row r="343" spans="1:11" x14ac:dyDescent="0.25">
      <c r="A343" s="180" t="s">
        <v>295</v>
      </c>
      <c r="B343" s="174" t="s">
        <v>46</v>
      </c>
      <c r="C343" s="174" t="str">
        <f>Organ12</f>
        <v>OC12</v>
      </c>
      <c r="D343" t="s">
        <v>352</v>
      </c>
      <c r="E343" t="str">
        <f>IFERROR(VLOOKUP(D343,Table2[],2,FALSE),"")</f>
        <v>Hektar</v>
      </c>
      <c r="F343" t="s">
        <v>293</v>
      </c>
      <c r="G343" t="str">
        <f>IFERROR(VLOOKUP(F343,Table2[],2,FALSE),"")</f>
        <v>kg N</v>
      </c>
      <c r="H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5"/>
    </row>
    <row r="344" spans="1:11" ht="15.75" thickBot="1" x14ac:dyDescent="0.3">
      <c r="A344" s="181" t="s">
        <v>295</v>
      </c>
      <c r="B344" s="175" t="s">
        <v>46</v>
      </c>
      <c r="C344" s="175" t="str">
        <f>Organ12</f>
        <v>OC12</v>
      </c>
      <c r="D344" s="146" t="s">
        <v>352</v>
      </c>
      <c r="E344" s="146" t="str">
        <f>IFERROR(VLOOKUP(D344,Table2[],2,FALSE),"")</f>
        <v>Hektar</v>
      </c>
      <c r="F344" s="146" t="s">
        <v>334</v>
      </c>
      <c r="G344" s="146" t="str">
        <f>IFERROR(VLOOKUP(F344,Table2[],2,FALSE),"")</f>
        <v>t CO2-ækvivalenter</v>
      </c>
      <c r="H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7"/>
    </row>
    <row r="345" spans="1:11" ht="15.75" thickTop="1" x14ac:dyDescent="0.25">
      <c r="A345" s="180" t="s">
        <v>296</v>
      </c>
      <c r="B345" s="174" t="s">
        <v>45</v>
      </c>
      <c r="C345" s="174" t="str">
        <f>Jordbund1</f>
        <v>JB1-10</v>
      </c>
      <c r="D345" t="s">
        <v>344</v>
      </c>
      <c r="E345" t="str">
        <f>IFERROR(VLOOKUP(D345,Table2[],2,FALSE),"")</f>
        <v>Hektar</v>
      </c>
      <c r="F345" t="s">
        <v>297</v>
      </c>
      <c r="G345" t="str">
        <f>IFERROR(VLOOKUP(F345,Table2[],2,FALSE),"")</f>
        <v>Ton</v>
      </c>
      <c r="H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5"/>
    </row>
    <row r="346" spans="1:11" x14ac:dyDescent="0.25">
      <c r="A346" s="180" t="s">
        <v>296</v>
      </c>
      <c r="B346" s="174" t="s">
        <v>45</v>
      </c>
      <c r="C346" s="174" t="str">
        <f>Jordbund1</f>
        <v>JB1-10</v>
      </c>
      <c r="D346" t="s">
        <v>344</v>
      </c>
      <c r="E346" t="str">
        <f>IFERROR(VLOOKUP(D346,Table2[],2,FALSE),"")</f>
        <v>Hektar</v>
      </c>
      <c r="F346" t="s">
        <v>37</v>
      </c>
      <c r="G346" t="str">
        <f>IFERROR(VLOOKUP(F346,Table2[],2,FALSE),"")</f>
        <v>Ton</v>
      </c>
      <c r="H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5"/>
    </row>
    <row r="347" spans="1:11" x14ac:dyDescent="0.25">
      <c r="A347" s="180" t="s">
        <v>296</v>
      </c>
      <c r="B347" s="174" t="s">
        <v>45</v>
      </c>
      <c r="C347" s="174" t="str">
        <f>Jordbund1</f>
        <v>JB1-10</v>
      </c>
      <c r="D347" t="s">
        <v>344</v>
      </c>
      <c r="E347" t="str">
        <f>IFERROR(VLOOKUP(D347,Table2[],2,FALSE),"")</f>
        <v>Hektar</v>
      </c>
      <c r="F347" t="s">
        <v>293</v>
      </c>
      <c r="G347" t="str">
        <f>IFERROR(VLOOKUP(F347,Table2[],2,FALSE),"")</f>
        <v>kg N</v>
      </c>
      <c r="H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5"/>
    </row>
    <row r="348" spans="1:11" ht="15.75" thickBot="1" x14ac:dyDescent="0.3">
      <c r="A348" s="181" t="s">
        <v>296</v>
      </c>
      <c r="B348" s="175" t="s">
        <v>45</v>
      </c>
      <c r="C348" s="175" t="str">
        <f>Jordbund1</f>
        <v>JB1-10</v>
      </c>
      <c r="D348" s="146" t="s">
        <v>344</v>
      </c>
      <c r="E348" s="146" t="str">
        <f>IFERROR(VLOOKUP(D348,Table2[],2,FALSE),"")</f>
        <v>Hektar</v>
      </c>
      <c r="F348" s="146" t="s">
        <v>334</v>
      </c>
      <c r="G348" s="146" t="str">
        <f>IFERROR(VLOOKUP(F348,Table2[],2,FALSE),"")</f>
        <v>t CO2-ækvivalenter</v>
      </c>
      <c r="H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7"/>
    </row>
    <row r="349" spans="1:11" ht="15.75" thickTop="1" x14ac:dyDescent="0.25">
      <c r="A349" s="179" t="s">
        <v>296</v>
      </c>
      <c r="B349" s="173" t="s">
        <v>45</v>
      </c>
      <c r="C349" s="173" t="str">
        <f>Organ6</f>
        <v>OC6</v>
      </c>
      <c r="D349" s="143" t="s">
        <v>344</v>
      </c>
      <c r="E349" s="143" t="str">
        <f>IFERROR(VLOOKUP(D349,Table2[],2,FALSE),"")</f>
        <v>Hektar</v>
      </c>
      <c r="F349" s="143" t="s">
        <v>297</v>
      </c>
      <c r="G349" s="143" t="str">
        <f>IFERROR(VLOOKUP(F349,Table2[],2,FALSE),"")</f>
        <v>Ton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4"/>
    </row>
    <row r="350" spans="1:11" x14ac:dyDescent="0.25">
      <c r="A350" s="180" t="s">
        <v>296</v>
      </c>
      <c r="B350" s="174" t="s">
        <v>45</v>
      </c>
      <c r="C350" s="174" t="str">
        <f>Organ6</f>
        <v>OC6</v>
      </c>
      <c r="D350" t="s">
        <v>344</v>
      </c>
      <c r="E350" t="str">
        <f>IFERROR(VLOOKUP(D350,Table2[],2,FALSE),"")</f>
        <v>Hektar</v>
      </c>
      <c r="F350" t="s">
        <v>37</v>
      </c>
      <c r="G350" t="str">
        <f>IFERROR(VLOOKUP(F350,Table2[],2,FALSE),"")</f>
        <v>Ton</v>
      </c>
      <c r="H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5"/>
    </row>
    <row r="351" spans="1:11" x14ac:dyDescent="0.25">
      <c r="A351" s="180" t="s">
        <v>296</v>
      </c>
      <c r="B351" s="174" t="s">
        <v>45</v>
      </c>
      <c r="C351" s="174" t="str">
        <f>Organ6</f>
        <v>OC6</v>
      </c>
      <c r="D351" t="s">
        <v>344</v>
      </c>
      <c r="E351" t="str">
        <f>IFERROR(VLOOKUP(D351,Table2[],2,FALSE),"")</f>
        <v>Hektar</v>
      </c>
      <c r="F351" t="s">
        <v>293</v>
      </c>
      <c r="G351" t="str">
        <f>IFERROR(VLOOKUP(F351,Table2[],2,FALSE),"")</f>
        <v>kg N</v>
      </c>
      <c r="H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5"/>
    </row>
    <row r="352" spans="1:11" ht="15.75" thickBot="1" x14ac:dyDescent="0.3">
      <c r="A352" s="181" t="s">
        <v>296</v>
      </c>
      <c r="B352" s="175" t="s">
        <v>45</v>
      </c>
      <c r="C352" s="175" t="str">
        <f>Organ6</f>
        <v>OC6</v>
      </c>
      <c r="D352" s="146" t="s">
        <v>344</v>
      </c>
      <c r="E352" s="146" t="str">
        <f>IFERROR(VLOOKUP(D352,Table2[],2,FALSE),"")</f>
        <v>Hektar</v>
      </c>
      <c r="F352" s="146" t="s">
        <v>334</v>
      </c>
      <c r="G352" s="146" t="str">
        <f>IFERROR(VLOOKUP(F352,Table2[],2,FALSE),"")</f>
        <v>t CO2-ækvivalenter</v>
      </c>
      <c r="H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7"/>
    </row>
    <row r="353" spans="1:11" ht="15.75" thickTop="1" x14ac:dyDescent="0.25">
      <c r="A353" s="179" t="s">
        <v>296</v>
      </c>
      <c r="B353" s="173" t="s">
        <v>45</v>
      </c>
      <c r="C353" s="173" t="str">
        <f>Organ12</f>
        <v>OC12</v>
      </c>
      <c r="D353" s="143" t="s">
        <v>344</v>
      </c>
      <c r="E353" s="143" t="str">
        <f>IFERROR(VLOOKUP(D353,Table2[],2,FALSE),"")</f>
        <v>Hektar</v>
      </c>
      <c r="F353" s="143" t="s">
        <v>297</v>
      </c>
      <c r="G353" s="143" t="str">
        <f>IFERROR(VLOOKUP(F353,Table2[],2,FALSE),"")</f>
        <v>Ton</v>
      </c>
      <c r="H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4"/>
    </row>
    <row r="354" spans="1:11" x14ac:dyDescent="0.25">
      <c r="A354" s="180" t="s">
        <v>296</v>
      </c>
      <c r="B354" s="174" t="s">
        <v>45</v>
      </c>
      <c r="C354" s="174" t="str">
        <f>Organ12</f>
        <v>OC12</v>
      </c>
      <c r="D354" t="s">
        <v>344</v>
      </c>
      <c r="E354" t="str">
        <f>IFERROR(VLOOKUP(D354,Table2[],2,FALSE),"")</f>
        <v>Hektar</v>
      </c>
      <c r="F354" t="s">
        <v>37</v>
      </c>
      <c r="G354" t="str">
        <f>IFERROR(VLOOKUP(F354,Table2[],2,FALSE),"")</f>
        <v>Ton</v>
      </c>
      <c r="H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5"/>
    </row>
    <row r="355" spans="1:11" x14ac:dyDescent="0.25">
      <c r="A355" s="180" t="s">
        <v>296</v>
      </c>
      <c r="B355" s="174" t="s">
        <v>45</v>
      </c>
      <c r="C355" s="174" t="str">
        <f>Organ12</f>
        <v>OC12</v>
      </c>
      <c r="D355" t="s">
        <v>344</v>
      </c>
      <c r="E355" t="str">
        <f>IFERROR(VLOOKUP(D355,Table2[],2,FALSE),"")</f>
        <v>Hektar</v>
      </c>
      <c r="F355" t="s">
        <v>293</v>
      </c>
      <c r="G355" t="str">
        <f>IFERROR(VLOOKUP(F355,Table2[],2,FALSE),"")</f>
        <v>kg N</v>
      </c>
      <c r="H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5"/>
    </row>
    <row r="356" spans="1:11" ht="15.75" thickBot="1" x14ac:dyDescent="0.3">
      <c r="A356" s="181" t="s">
        <v>296</v>
      </c>
      <c r="B356" s="175" t="s">
        <v>45</v>
      </c>
      <c r="C356" s="175" t="str">
        <f>Organ12</f>
        <v>OC12</v>
      </c>
      <c r="D356" s="146" t="s">
        <v>344</v>
      </c>
      <c r="E356" s="146" t="str">
        <f>IFERROR(VLOOKUP(D356,Table2[],2,FALSE),"")</f>
        <v>Hektar</v>
      </c>
      <c r="F356" s="146" t="s">
        <v>334</v>
      </c>
      <c r="G356" s="146" t="str">
        <f>IFERROR(VLOOKUP(F356,Table2[],2,FALSE),"")</f>
        <v>t CO2-ækvivalenter</v>
      </c>
      <c r="H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7"/>
    </row>
    <row r="357" spans="1:11" ht="15.75" thickTop="1" x14ac:dyDescent="0.25">
      <c r="A357" s="179" t="s">
        <v>296</v>
      </c>
      <c r="B357" s="173" t="s">
        <v>46</v>
      </c>
      <c r="C357" s="173" t="str">
        <f>Jordbund1</f>
        <v>JB1-10</v>
      </c>
      <c r="D357" s="143" t="s">
        <v>344</v>
      </c>
      <c r="E357" s="143" t="str">
        <f>IFERROR(VLOOKUP(D357,Table2[],2,FALSE),"")</f>
        <v>Hektar</v>
      </c>
      <c r="F357" s="143" t="s">
        <v>297</v>
      </c>
      <c r="G357" s="143" t="str">
        <f>IFERROR(VLOOKUP(F357,Table2[],2,FALSE),"")</f>
        <v>Ton</v>
      </c>
      <c r="H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4"/>
    </row>
    <row r="358" spans="1:11" x14ac:dyDescent="0.25">
      <c r="A358" s="180" t="s">
        <v>296</v>
      </c>
      <c r="B358" s="174" t="s">
        <v>46</v>
      </c>
      <c r="C358" s="174" t="str">
        <f>Jordbund1</f>
        <v>JB1-10</v>
      </c>
      <c r="D358" t="s">
        <v>344</v>
      </c>
      <c r="E358" t="str">
        <f>IFERROR(VLOOKUP(D358,Table2[],2,FALSE),"")</f>
        <v>Hektar</v>
      </c>
      <c r="F358" t="s">
        <v>37</v>
      </c>
      <c r="G358" t="str">
        <f>IFERROR(VLOOKUP(F358,Table2[],2,FALSE),"")</f>
        <v>Ton</v>
      </c>
      <c r="H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5"/>
    </row>
    <row r="359" spans="1:11" x14ac:dyDescent="0.25">
      <c r="A359" s="180" t="s">
        <v>296</v>
      </c>
      <c r="B359" s="174" t="s">
        <v>46</v>
      </c>
      <c r="C359" s="174" t="str">
        <f>Jordbund1</f>
        <v>JB1-10</v>
      </c>
      <c r="D359" t="s">
        <v>344</v>
      </c>
      <c r="E359" t="str">
        <f>IFERROR(VLOOKUP(D359,Table2[],2,FALSE),"")</f>
        <v>Hektar</v>
      </c>
      <c r="F359" t="s">
        <v>293</v>
      </c>
      <c r="G359" t="str">
        <f>IFERROR(VLOOKUP(F359,Table2[],2,FALSE),"")</f>
        <v>kg N</v>
      </c>
      <c r="H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5"/>
    </row>
    <row r="360" spans="1:11" ht="15.75" thickBot="1" x14ac:dyDescent="0.3">
      <c r="A360" s="181" t="s">
        <v>296</v>
      </c>
      <c r="B360" s="175" t="s">
        <v>46</v>
      </c>
      <c r="C360" s="175" t="str">
        <f>Jordbund1</f>
        <v>JB1-10</v>
      </c>
      <c r="D360" s="146" t="s">
        <v>344</v>
      </c>
      <c r="E360" s="146" t="str">
        <f>IFERROR(VLOOKUP(D360,Table2[],2,FALSE),"")</f>
        <v>Hektar</v>
      </c>
      <c r="F360" s="146" t="s">
        <v>334</v>
      </c>
      <c r="G360" s="146" t="str">
        <f>IFERROR(VLOOKUP(F360,Table2[],2,FALSE),"")</f>
        <v>t CO2-ækvivalenter</v>
      </c>
      <c r="H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7"/>
    </row>
    <row r="361" spans="1:11" ht="15.75" thickTop="1" x14ac:dyDescent="0.25">
      <c r="A361" s="179" t="s">
        <v>296</v>
      </c>
      <c r="B361" s="173" t="s">
        <v>46</v>
      </c>
      <c r="C361" s="173" t="str">
        <f>Organ6</f>
        <v>OC6</v>
      </c>
      <c r="D361" s="143" t="s">
        <v>344</v>
      </c>
      <c r="E361" s="143" t="str">
        <f>IFERROR(VLOOKUP(D361,Table2[],2,FALSE),"")</f>
        <v>Hektar</v>
      </c>
      <c r="F361" s="143" t="s">
        <v>297</v>
      </c>
      <c r="G361" s="143" t="str">
        <f>IFERROR(VLOOKUP(F361,Table2[],2,FALSE),"")</f>
        <v>Ton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4"/>
    </row>
    <row r="362" spans="1:11" x14ac:dyDescent="0.25">
      <c r="A362" s="180" t="s">
        <v>296</v>
      </c>
      <c r="B362" s="174" t="s">
        <v>46</v>
      </c>
      <c r="C362" s="174" t="str">
        <f>Organ6</f>
        <v>OC6</v>
      </c>
      <c r="D362" t="s">
        <v>344</v>
      </c>
      <c r="E362" t="str">
        <f>IFERROR(VLOOKUP(D362,Table2[],2,FALSE),"")</f>
        <v>Hektar</v>
      </c>
      <c r="F362" t="s">
        <v>37</v>
      </c>
      <c r="G362" t="str">
        <f>IFERROR(VLOOKUP(F362,Table2[],2,FALSE),"")</f>
        <v>Ton</v>
      </c>
      <c r="H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5"/>
    </row>
    <row r="363" spans="1:11" x14ac:dyDescent="0.25">
      <c r="A363" s="180" t="s">
        <v>296</v>
      </c>
      <c r="B363" s="174" t="s">
        <v>46</v>
      </c>
      <c r="C363" s="174" t="str">
        <f>Organ6</f>
        <v>OC6</v>
      </c>
      <c r="D363" t="s">
        <v>344</v>
      </c>
      <c r="E363" t="str">
        <f>IFERROR(VLOOKUP(D363,Table2[],2,FALSE),"")</f>
        <v>Hektar</v>
      </c>
      <c r="F363" t="s">
        <v>293</v>
      </c>
      <c r="G363" t="str">
        <f>IFERROR(VLOOKUP(F363,Table2[],2,FALSE),"")</f>
        <v>kg N</v>
      </c>
      <c r="H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5"/>
    </row>
    <row r="364" spans="1:11" ht="15.75" thickBot="1" x14ac:dyDescent="0.3">
      <c r="A364" s="181" t="s">
        <v>296</v>
      </c>
      <c r="B364" s="175" t="s">
        <v>46</v>
      </c>
      <c r="C364" s="175" t="str">
        <f>Organ6</f>
        <v>OC6</v>
      </c>
      <c r="D364" s="146" t="s">
        <v>344</v>
      </c>
      <c r="E364" s="146" t="str">
        <f>IFERROR(VLOOKUP(D364,Table2[],2,FALSE),"")</f>
        <v>Hektar</v>
      </c>
      <c r="F364" s="146" t="s">
        <v>334</v>
      </c>
      <c r="G364" s="146" t="str">
        <f>IFERROR(VLOOKUP(F364,Table2[],2,FALSE),"")</f>
        <v>t CO2-ækvivalenter</v>
      </c>
      <c r="H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7"/>
    </row>
    <row r="365" spans="1:11" ht="15.75" thickTop="1" x14ac:dyDescent="0.25">
      <c r="A365" s="179" t="s">
        <v>296</v>
      </c>
      <c r="B365" s="173" t="s">
        <v>46</v>
      </c>
      <c r="C365" s="173" t="str">
        <f>Organ12</f>
        <v>OC12</v>
      </c>
      <c r="D365" s="143" t="s">
        <v>344</v>
      </c>
      <c r="E365" s="143" t="str">
        <f>IFERROR(VLOOKUP(D365,Table2[],2,FALSE),"")</f>
        <v>Hektar</v>
      </c>
      <c r="F365" s="143" t="s">
        <v>297</v>
      </c>
      <c r="G365" s="143" t="str">
        <f>IFERROR(VLOOKUP(F365,Table2[],2,FALSE),"")</f>
        <v>Ton</v>
      </c>
      <c r="H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4"/>
    </row>
    <row r="366" spans="1:11" x14ac:dyDescent="0.25">
      <c r="A366" s="180" t="s">
        <v>296</v>
      </c>
      <c r="B366" s="174" t="s">
        <v>46</v>
      </c>
      <c r="C366" s="174" t="str">
        <f>Organ12</f>
        <v>OC12</v>
      </c>
      <c r="D366" t="s">
        <v>344</v>
      </c>
      <c r="E366" t="str">
        <f>IFERROR(VLOOKUP(D366,Table2[],2,FALSE),"")</f>
        <v>Hektar</v>
      </c>
      <c r="F366" t="s">
        <v>37</v>
      </c>
      <c r="G366" t="str">
        <f>IFERROR(VLOOKUP(F366,Table2[],2,FALSE),"")</f>
        <v>Ton</v>
      </c>
      <c r="H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5"/>
    </row>
    <row r="367" spans="1:11" x14ac:dyDescent="0.25">
      <c r="A367" s="180" t="s">
        <v>296</v>
      </c>
      <c r="B367" s="174" t="s">
        <v>46</v>
      </c>
      <c r="C367" s="174" t="str">
        <f>Organ12</f>
        <v>OC12</v>
      </c>
      <c r="D367" t="s">
        <v>344</v>
      </c>
      <c r="E367" t="str">
        <f>IFERROR(VLOOKUP(D367,Table2[],2,FALSE),"")</f>
        <v>Hektar</v>
      </c>
      <c r="F367" t="s">
        <v>293</v>
      </c>
      <c r="G367" t="str">
        <f>IFERROR(VLOOKUP(F367,Table2[],2,FALSE),"")</f>
        <v>kg N</v>
      </c>
      <c r="H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5"/>
    </row>
    <row r="368" spans="1:11" ht="15.75" thickBot="1" x14ac:dyDescent="0.3">
      <c r="A368" s="181" t="s">
        <v>296</v>
      </c>
      <c r="B368" s="175" t="s">
        <v>46</v>
      </c>
      <c r="C368" s="175" t="str">
        <f>Organ12</f>
        <v>OC12</v>
      </c>
      <c r="D368" s="146" t="s">
        <v>344</v>
      </c>
      <c r="E368" s="146" t="str">
        <f>IFERROR(VLOOKUP(D368,Table2[],2,FALSE),"")</f>
        <v>Hektar</v>
      </c>
      <c r="F368" s="146" t="s">
        <v>334</v>
      </c>
      <c r="G368" s="146" t="str">
        <f>IFERROR(VLOOKUP(F368,Table2[],2,FALSE),"")</f>
        <v>t CO2-ækvivalenter</v>
      </c>
      <c r="H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7"/>
    </row>
    <row r="369" spans="1:11" ht="15.75" thickTop="1" x14ac:dyDescent="0.25">
      <c r="A369" s="179" t="s">
        <v>540</v>
      </c>
      <c r="B369" s="173" t="s">
        <v>45</v>
      </c>
      <c r="C369" s="173" t="str">
        <f>Jordbund1</f>
        <v>JB1-10</v>
      </c>
      <c r="D369" s="143" t="s">
        <v>539</v>
      </c>
      <c r="E369" s="143" t="str">
        <f>IFERROR(VLOOKUP(D369,Table2[],2,FALSE),"")</f>
        <v>Hektar</v>
      </c>
      <c r="F369" s="143" t="s">
        <v>138</v>
      </c>
      <c r="G369" s="143" t="str">
        <f>IFERROR(VLOOKUP(F369,Table2[],2,FALSE),"")</f>
        <v>Ton</v>
      </c>
      <c r="H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4"/>
    </row>
    <row r="370" spans="1:11" x14ac:dyDescent="0.25">
      <c r="A370" s="180" t="s">
        <v>540</v>
      </c>
      <c r="B370" s="174" t="s">
        <v>45</v>
      </c>
      <c r="C370" s="174" t="str">
        <f>Jordbund1</f>
        <v>JB1-10</v>
      </c>
      <c r="D370" t="s">
        <v>539</v>
      </c>
      <c r="E370" t="str">
        <f>IFERROR(VLOOKUP(D370,Table2[],2,FALSE),"")</f>
        <v>Hektar</v>
      </c>
      <c r="F370" t="s">
        <v>293</v>
      </c>
      <c r="G370" t="str">
        <f>IFERROR(VLOOKUP(F370,Table2[],2,FALSE),"")</f>
        <v>kg N</v>
      </c>
      <c r="H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5"/>
    </row>
    <row r="371" spans="1:11" ht="15.75" thickBot="1" x14ac:dyDescent="0.3">
      <c r="A371" s="181" t="s">
        <v>540</v>
      </c>
      <c r="B371" s="175" t="s">
        <v>45</v>
      </c>
      <c r="C371" s="175" t="str">
        <f>Jordbund1</f>
        <v>JB1-10</v>
      </c>
      <c r="D371" s="146" t="s">
        <v>539</v>
      </c>
      <c r="E371" s="146" t="str">
        <f>IFERROR(VLOOKUP(D371,Table2[],2,FALSE),"")</f>
        <v>Hektar</v>
      </c>
      <c r="F371" s="146" t="s">
        <v>334</v>
      </c>
      <c r="G371" s="146" t="str">
        <f>IFERROR(VLOOKUP(F371,Table2[],2,FALSE),"")</f>
        <v>t CO2-ækvivalenter</v>
      </c>
      <c r="H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7"/>
    </row>
    <row r="372" spans="1:11" ht="15.75" thickTop="1" x14ac:dyDescent="0.25">
      <c r="A372" s="179" t="s">
        <v>540</v>
      </c>
      <c r="B372" s="173" t="s">
        <v>45</v>
      </c>
      <c r="C372" s="173" t="str">
        <f>Organ6</f>
        <v>OC6</v>
      </c>
      <c r="D372" s="143" t="s">
        <v>539</v>
      </c>
      <c r="E372" s="143" t="str">
        <f>IFERROR(VLOOKUP(D372,Table2[],2,FALSE),"")</f>
        <v>Hektar</v>
      </c>
      <c r="F372" s="143" t="s">
        <v>138</v>
      </c>
      <c r="G372" s="143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4"/>
    </row>
    <row r="373" spans="1:11" x14ac:dyDescent="0.25">
      <c r="A373" s="180" t="s">
        <v>540</v>
      </c>
      <c r="B373" s="174" t="s">
        <v>45</v>
      </c>
      <c r="C373" s="174" t="str">
        <f>Organ6</f>
        <v>OC6</v>
      </c>
      <c r="D373" t="s">
        <v>539</v>
      </c>
      <c r="E373" t="str">
        <f>IFERROR(VLOOKUP(D373,Table2[],2,FALSE),"")</f>
        <v>Hektar</v>
      </c>
      <c r="F373" t="s">
        <v>293</v>
      </c>
      <c r="G373" t="str">
        <f>IFERROR(VLOOKUP(F373,Table2[],2,FALSE),"")</f>
        <v>kg N</v>
      </c>
      <c r="H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5"/>
    </row>
    <row r="374" spans="1:11" ht="15.75" thickBot="1" x14ac:dyDescent="0.3">
      <c r="A374" s="181" t="s">
        <v>540</v>
      </c>
      <c r="B374" s="175" t="s">
        <v>45</v>
      </c>
      <c r="C374" s="175" t="str">
        <f>Organ6</f>
        <v>OC6</v>
      </c>
      <c r="D374" s="146" t="s">
        <v>539</v>
      </c>
      <c r="E374" s="146" t="str">
        <f>IFERROR(VLOOKUP(D374,Table2[],2,FALSE),"")</f>
        <v>Hektar</v>
      </c>
      <c r="F374" s="146" t="s">
        <v>334</v>
      </c>
      <c r="G374" s="146" t="str">
        <f>IFERROR(VLOOKUP(F374,Table2[],2,FALSE),"")</f>
        <v>t CO2-ækvivalenter</v>
      </c>
      <c r="H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7"/>
    </row>
    <row r="375" spans="1:11" ht="15.75" thickTop="1" x14ac:dyDescent="0.25">
      <c r="A375" s="179" t="s">
        <v>540</v>
      </c>
      <c r="B375" s="173" t="s">
        <v>45</v>
      </c>
      <c r="C375" s="173" t="str">
        <f>Organ12</f>
        <v>OC12</v>
      </c>
      <c r="D375" s="143" t="s">
        <v>539</v>
      </c>
      <c r="E375" s="143" t="str">
        <f>IFERROR(VLOOKUP(D375,Table2[],2,FALSE),"")</f>
        <v>Hektar</v>
      </c>
      <c r="F375" s="143" t="s">
        <v>138</v>
      </c>
      <c r="G375" s="143" t="str">
        <f>IFERROR(VLOOKUP(F375,Table2[],2,FALSE),"")</f>
        <v>Ton</v>
      </c>
      <c r="H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4"/>
    </row>
    <row r="376" spans="1:11" x14ac:dyDescent="0.25">
      <c r="A376" s="180" t="s">
        <v>540</v>
      </c>
      <c r="B376" s="174" t="s">
        <v>45</v>
      </c>
      <c r="C376" s="174" t="str">
        <f>Organ12</f>
        <v>OC12</v>
      </c>
      <c r="D376" t="s">
        <v>539</v>
      </c>
      <c r="E376" t="str">
        <f>IFERROR(VLOOKUP(D376,Table2[],2,FALSE),"")</f>
        <v>Hektar</v>
      </c>
      <c r="F376" t="s">
        <v>293</v>
      </c>
      <c r="G376" t="str">
        <f>IFERROR(VLOOKUP(F376,Table2[],2,FALSE),"")</f>
        <v>kg N</v>
      </c>
      <c r="H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5"/>
    </row>
    <row r="377" spans="1:11" ht="15.75" thickBot="1" x14ac:dyDescent="0.3">
      <c r="A377" s="181" t="s">
        <v>540</v>
      </c>
      <c r="B377" s="175" t="s">
        <v>45</v>
      </c>
      <c r="C377" s="175" t="str">
        <f>Organ12</f>
        <v>OC12</v>
      </c>
      <c r="D377" s="146" t="s">
        <v>539</v>
      </c>
      <c r="E377" s="146" t="str">
        <f>IFERROR(VLOOKUP(D377,Table2[],2,FALSE),"")</f>
        <v>Hektar</v>
      </c>
      <c r="F377" s="146" t="s">
        <v>334</v>
      </c>
      <c r="G377" s="146" t="str">
        <f>IFERROR(VLOOKUP(F377,Table2[],2,FALSE),"")</f>
        <v>t CO2-ækvivalenter</v>
      </c>
      <c r="H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7"/>
    </row>
    <row r="378" spans="1:11" ht="15.75" thickTop="1" x14ac:dyDescent="0.25">
      <c r="A378" s="179" t="s">
        <v>540</v>
      </c>
      <c r="B378" s="173" t="s">
        <v>46</v>
      </c>
      <c r="C378" s="173" t="str">
        <f>Jordbund1</f>
        <v>JB1-10</v>
      </c>
      <c r="D378" s="143" t="s">
        <v>539</v>
      </c>
      <c r="E378" s="143" t="str">
        <f>IFERROR(VLOOKUP(D378,Table2[],2,FALSE),"")</f>
        <v>Hektar</v>
      </c>
      <c r="F378" s="143" t="s">
        <v>138</v>
      </c>
      <c r="G378" s="143" t="str">
        <f>IFERROR(VLOOKUP(F378,Table2[],2,FALSE),"")</f>
        <v>Ton</v>
      </c>
      <c r="H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4"/>
    </row>
    <row r="379" spans="1:11" x14ac:dyDescent="0.25">
      <c r="A379" s="180" t="s">
        <v>540</v>
      </c>
      <c r="B379" s="174" t="s">
        <v>46</v>
      </c>
      <c r="C379" s="174" t="str">
        <f>Jordbund1</f>
        <v>JB1-10</v>
      </c>
      <c r="D379" t="s">
        <v>539</v>
      </c>
      <c r="E379" t="str">
        <f>IFERROR(VLOOKUP(D379,Table2[],2,FALSE),"")</f>
        <v>Hektar</v>
      </c>
      <c r="F379" t="s">
        <v>293</v>
      </c>
      <c r="G379" t="str">
        <f>IFERROR(VLOOKUP(F379,Table2[],2,FALSE),"")</f>
        <v>kg N</v>
      </c>
      <c r="H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5"/>
    </row>
    <row r="380" spans="1:11" ht="15.75" thickBot="1" x14ac:dyDescent="0.3">
      <c r="A380" s="181" t="s">
        <v>540</v>
      </c>
      <c r="B380" s="175" t="s">
        <v>46</v>
      </c>
      <c r="C380" s="175" t="str">
        <f>Jordbund1</f>
        <v>JB1-10</v>
      </c>
      <c r="D380" s="146" t="s">
        <v>539</v>
      </c>
      <c r="E380" s="146" t="str">
        <f>IFERROR(VLOOKUP(D380,Table2[],2,FALSE),"")</f>
        <v>Hektar</v>
      </c>
      <c r="F380" s="146" t="s">
        <v>334</v>
      </c>
      <c r="G380" s="146" t="str">
        <f>IFERROR(VLOOKUP(F380,Table2[],2,FALSE),"")</f>
        <v>t CO2-ækvivalenter</v>
      </c>
      <c r="H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7"/>
    </row>
    <row r="381" spans="1:11" ht="15.75" thickTop="1" x14ac:dyDescent="0.25">
      <c r="A381" s="179" t="s">
        <v>540</v>
      </c>
      <c r="B381" s="173" t="s">
        <v>46</v>
      </c>
      <c r="C381" s="173" t="str">
        <f>Organ6</f>
        <v>OC6</v>
      </c>
      <c r="D381" s="143" t="s">
        <v>539</v>
      </c>
      <c r="E381" s="143" t="str">
        <f>IFERROR(VLOOKUP(D381,Table2[],2,FALSE),"")</f>
        <v>Hektar</v>
      </c>
      <c r="F381" s="143" t="s">
        <v>138</v>
      </c>
      <c r="G381" s="143" t="str">
        <f>IFERROR(VLOOKUP(F381,Table2[],2,FALSE),"")</f>
        <v>Ton</v>
      </c>
      <c r="H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4"/>
    </row>
    <row r="382" spans="1:11" x14ac:dyDescent="0.25">
      <c r="A382" s="180" t="s">
        <v>540</v>
      </c>
      <c r="B382" s="174" t="s">
        <v>46</v>
      </c>
      <c r="C382" s="174" t="str">
        <f>Organ6</f>
        <v>OC6</v>
      </c>
      <c r="D382" t="s">
        <v>539</v>
      </c>
      <c r="E382" t="str">
        <f>IFERROR(VLOOKUP(D382,Table2[],2,FALSE),"")</f>
        <v>Hektar</v>
      </c>
      <c r="F382" t="s">
        <v>293</v>
      </c>
      <c r="G382" t="str">
        <f>IFERROR(VLOOKUP(F382,Table2[],2,FALSE),"")</f>
        <v>kg N</v>
      </c>
      <c r="H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5"/>
    </row>
    <row r="383" spans="1:11" ht="15.75" thickBot="1" x14ac:dyDescent="0.3">
      <c r="A383" s="181" t="s">
        <v>540</v>
      </c>
      <c r="B383" s="175" t="s">
        <v>46</v>
      </c>
      <c r="C383" s="175" t="str">
        <f>Organ6</f>
        <v>OC6</v>
      </c>
      <c r="D383" s="146" t="s">
        <v>539</v>
      </c>
      <c r="E383" s="146" t="str">
        <f>IFERROR(VLOOKUP(D383,Table2[],2,FALSE),"")</f>
        <v>Hektar</v>
      </c>
      <c r="F383" s="146" t="s">
        <v>334</v>
      </c>
      <c r="G383" s="146" t="str">
        <f>IFERROR(VLOOKUP(F383,Table2[],2,FALSE),"")</f>
        <v>t CO2-ækvivalenter</v>
      </c>
      <c r="H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7"/>
    </row>
    <row r="384" spans="1:11" ht="15.75" thickTop="1" x14ac:dyDescent="0.25">
      <c r="A384" s="179" t="s">
        <v>540</v>
      </c>
      <c r="B384" s="173" t="s">
        <v>46</v>
      </c>
      <c r="C384" s="173" t="str">
        <f>Organ12</f>
        <v>OC12</v>
      </c>
      <c r="D384" s="143" t="s">
        <v>539</v>
      </c>
      <c r="E384" s="143" t="str">
        <f>IFERROR(VLOOKUP(D384,Table2[],2,FALSE),"")</f>
        <v>Hektar</v>
      </c>
      <c r="F384" s="143" t="s">
        <v>138</v>
      </c>
      <c r="G384" s="143" t="str">
        <f>IFERROR(VLOOKUP(F384,Table2[],2,FALSE),"")</f>
        <v>Ton</v>
      </c>
      <c r="H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4"/>
    </row>
    <row r="385" spans="1:11" x14ac:dyDescent="0.25">
      <c r="A385" s="180" t="s">
        <v>540</v>
      </c>
      <c r="B385" s="174" t="s">
        <v>46</v>
      </c>
      <c r="C385" s="174" t="str">
        <f>Organ12</f>
        <v>OC12</v>
      </c>
      <c r="D385" t="s">
        <v>539</v>
      </c>
      <c r="E385" t="str">
        <f>IFERROR(VLOOKUP(D385,Table2[],2,FALSE),"")</f>
        <v>Hektar</v>
      </c>
      <c r="F385" t="s">
        <v>293</v>
      </c>
      <c r="G385" t="str">
        <f>IFERROR(VLOOKUP(F385,Table2[],2,FALSE),"")</f>
        <v>kg N</v>
      </c>
      <c r="H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5"/>
    </row>
    <row r="386" spans="1:11" ht="15.75" thickBot="1" x14ac:dyDescent="0.3">
      <c r="A386" s="181" t="s">
        <v>540</v>
      </c>
      <c r="B386" s="175" t="s">
        <v>46</v>
      </c>
      <c r="C386" s="175" t="str">
        <f>Organ12</f>
        <v>OC12</v>
      </c>
      <c r="D386" s="146" t="s">
        <v>539</v>
      </c>
      <c r="E386" s="146" t="str">
        <f>IFERROR(VLOOKUP(D386,Table2[],2,FALSE),"")</f>
        <v>Hektar</v>
      </c>
      <c r="F386" s="146" t="s">
        <v>334</v>
      </c>
      <c r="G386" s="146" t="str">
        <f>IFERROR(VLOOKUP(F386,Table2[],2,FALSE),"")</f>
        <v>t CO2-ækvivalenter</v>
      </c>
      <c r="H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7"/>
    </row>
    <row r="387" spans="1:11" ht="15.75" thickTop="1" x14ac:dyDescent="0.25">
      <c r="A387" s="179" t="s">
        <v>32</v>
      </c>
      <c r="B387" s="173" t="s">
        <v>45</v>
      </c>
      <c r="C387" s="173" t="str">
        <f>Jordbund1</f>
        <v>JB1-10</v>
      </c>
      <c r="D387" s="143" t="s">
        <v>351</v>
      </c>
      <c r="E387" s="143" t="str">
        <f>IFERROR(VLOOKUP(D387,Table2[],2,FALSE),"")</f>
        <v>Hektar</v>
      </c>
      <c r="F387" s="143" t="s">
        <v>329</v>
      </c>
      <c r="G387" s="143" t="str">
        <f>IFERROR(VLOOKUP(F387,Table2[],2,FALSE),"")</f>
        <v>Ton</v>
      </c>
      <c r="H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4"/>
    </row>
    <row r="388" spans="1:11" x14ac:dyDescent="0.25">
      <c r="A388" s="180" t="s">
        <v>32</v>
      </c>
      <c r="B388" s="174" t="s">
        <v>45</v>
      </c>
      <c r="C388" s="174" t="str">
        <f>Jordbund1</f>
        <v>JB1-10</v>
      </c>
      <c r="D388" t="s">
        <v>351</v>
      </c>
      <c r="E388" t="str">
        <f>IFERROR(VLOOKUP(D388,Table2[],2,FALSE),"")</f>
        <v>Hektar</v>
      </c>
      <c r="F388" t="s">
        <v>293</v>
      </c>
      <c r="G388" t="str">
        <f>IFERROR(VLOOKUP(F388,Table2[],2,FALSE),"")</f>
        <v>kg N</v>
      </c>
      <c r="H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5"/>
    </row>
    <row r="389" spans="1:11" ht="15.75" thickBot="1" x14ac:dyDescent="0.3">
      <c r="A389" s="181" t="s">
        <v>32</v>
      </c>
      <c r="B389" s="175" t="s">
        <v>45</v>
      </c>
      <c r="C389" s="175" t="str">
        <f>Jordbund1</f>
        <v>JB1-10</v>
      </c>
      <c r="D389" s="146" t="s">
        <v>351</v>
      </c>
      <c r="E389" s="146" t="str">
        <f>IFERROR(VLOOKUP(D389,Table2[],2,FALSE),"")</f>
        <v>Hektar</v>
      </c>
      <c r="F389" s="146" t="s">
        <v>334</v>
      </c>
      <c r="G389" s="146" t="str">
        <f>IFERROR(VLOOKUP(F389,Table2[],2,FALSE),"")</f>
        <v>t CO2-ækvivalenter</v>
      </c>
      <c r="H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7"/>
    </row>
    <row r="390" spans="1:11" ht="15.75" thickTop="1" x14ac:dyDescent="0.25">
      <c r="A390" s="179" t="s">
        <v>32</v>
      </c>
      <c r="B390" s="173" t="s">
        <v>45</v>
      </c>
      <c r="C390" s="173" t="str">
        <f>Organ6</f>
        <v>OC6</v>
      </c>
      <c r="D390" s="143" t="s">
        <v>351</v>
      </c>
      <c r="E390" s="143" t="str">
        <f>IFERROR(VLOOKUP(D390,Table2[],2,FALSE),"")</f>
        <v>Hektar</v>
      </c>
      <c r="F390" s="143" t="s">
        <v>329</v>
      </c>
      <c r="G390" s="143" t="str">
        <f>IFERROR(VLOOKUP(F390,Table2[],2,FALSE),"")</f>
        <v>Ton</v>
      </c>
      <c r="H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4"/>
    </row>
    <row r="391" spans="1:11" x14ac:dyDescent="0.25">
      <c r="A391" s="180" t="s">
        <v>32</v>
      </c>
      <c r="B391" s="174" t="s">
        <v>45</v>
      </c>
      <c r="C391" s="174" t="str">
        <f>Organ6</f>
        <v>OC6</v>
      </c>
      <c r="D391" t="s">
        <v>351</v>
      </c>
      <c r="E391" t="str">
        <f>IFERROR(VLOOKUP(D391,Table2[],2,FALSE),"")</f>
        <v>Hektar</v>
      </c>
      <c r="F391" t="s">
        <v>293</v>
      </c>
      <c r="G391" t="str">
        <f>IFERROR(VLOOKUP(F391,Table2[],2,FALSE),"")</f>
        <v>kg N</v>
      </c>
      <c r="H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5"/>
    </row>
    <row r="392" spans="1:11" ht="15.75" thickBot="1" x14ac:dyDescent="0.3">
      <c r="A392" s="181" t="s">
        <v>32</v>
      </c>
      <c r="B392" s="175" t="s">
        <v>45</v>
      </c>
      <c r="C392" s="175" t="str">
        <f>Organ6</f>
        <v>OC6</v>
      </c>
      <c r="D392" s="146" t="s">
        <v>351</v>
      </c>
      <c r="E392" s="146" t="str">
        <f>IFERROR(VLOOKUP(D392,Table2[],2,FALSE),"")</f>
        <v>Hektar</v>
      </c>
      <c r="F392" s="146" t="s">
        <v>334</v>
      </c>
      <c r="G392" s="146" t="str">
        <f>IFERROR(VLOOKUP(F392,Table2[],2,FALSE),"")</f>
        <v>t CO2-ækvivalenter</v>
      </c>
      <c r="H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7"/>
    </row>
    <row r="393" spans="1:11" ht="15.75" thickTop="1" x14ac:dyDescent="0.25">
      <c r="A393" s="180" t="s">
        <v>32</v>
      </c>
      <c r="B393" s="174" t="s">
        <v>45</v>
      </c>
      <c r="C393" s="174" t="str">
        <f>Organ12</f>
        <v>OC12</v>
      </c>
      <c r="D393" t="s">
        <v>351</v>
      </c>
      <c r="E393" t="str">
        <f>IFERROR(VLOOKUP(D393,Table2[],2,FALSE),"")</f>
        <v>Hektar</v>
      </c>
      <c r="F393" t="s">
        <v>329</v>
      </c>
      <c r="G393" t="str">
        <f>IFERROR(VLOOKUP(F393,Table2[],2,FALSE),"")</f>
        <v>Ton</v>
      </c>
      <c r="H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5"/>
    </row>
    <row r="394" spans="1:11" x14ac:dyDescent="0.25">
      <c r="A394" s="180" t="s">
        <v>32</v>
      </c>
      <c r="B394" s="174" t="s">
        <v>45</v>
      </c>
      <c r="C394" s="174" t="str">
        <f>Organ12</f>
        <v>OC12</v>
      </c>
      <c r="D394" t="s">
        <v>351</v>
      </c>
      <c r="E394" t="str">
        <f>IFERROR(VLOOKUP(D394,Table2[],2,FALSE),"")</f>
        <v>Hektar</v>
      </c>
      <c r="F394" t="s">
        <v>293</v>
      </c>
      <c r="G394" t="str">
        <f>IFERROR(VLOOKUP(F394,Table2[],2,FALSE),"")</f>
        <v>kg N</v>
      </c>
      <c r="H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5"/>
    </row>
    <row r="395" spans="1:11" ht="15.75" thickBot="1" x14ac:dyDescent="0.3">
      <c r="A395" s="181" t="s">
        <v>32</v>
      </c>
      <c r="B395" s="175" t="s">
        <v>45</v>
      </c>
      <c r="C395" s="175" t="str">
        <f>Organ12</f>
        <v>OC12</v>
      </c>
      <c r="D395" s="146" t="s">
        <v>351</v>
      </c>
      <c r="E395" s="146" t="str">
        <f>IFERROR(VLOOKUP(D395,Table2[],2,FALSE),"")</f>
        <v>Hektar</v>
      </c>
      <c r="F395" s="146" t="s">
        <v>334</v>
      </c>
      <c r="G395" s="146" t="str">
        <f>IFERROR(VLOOKUP(F395,Table2[],2,FALSE),"")</f>
        <v>t CO2-ækvivalenter</v>
      </c>
      <c r="H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7"/>
    </row>
    <row r="396" spans="1:11" ht="15.75" thickTop="1" x14ac:dyDescent="0.25">
      <c r="A396" s="179" t="s">
        <v>32</v>
      </c>
      <c r="B396" s="173" t="s">
        <v>46</v>
      </c>
      <c r="C396" s="173" t="str">
        <f>Jordbund1</f>
        <v>JB1-10</v>
      </c>
      <c r="D396" s="143" t="s">
        <v>351</v>
      </c>
      <c r="E396" s="143" t="str">
        <f>IFERROR(VLOOKUP(D396,Table2[],2,FALSE),"")</f>
        <v>Hektar</v>
      </c>
      <c r="F396" s="143" t="s">
        <v>329</v>
      </c>
      <c r="G396" s="143" t="str">
        <f>IFERROR(VLOOKUP(F396,Table2[],2,FALSE),"")</f>
        <v>Ton</v>
      </c>
      <c r="H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4"/>
    </row>
    <row r="397" spans="1:11" x14ac:dyDescent="0.25">
      <c r="A397" s="180" t="s">
        <v>32</v>
      </c>
      <c r="B397" s="174" t="s">
        <v>46</v>
      </c>
      <c r="C397" s="174" t="str">
        <f>Jordbund1</f>
        <v>JB1-10</v>
      </c>
      <c r="D397" t="s">
        <v>351</v>
      </c>
      <c r="E397" t="str">
        <f>IFERROR(VLOOKUP(D397,Table2[],2,FALSE),"")</f>
        <v>Hektar</v>
      </c>
      <c r="F397" t="s">
        <v>293</v>
      </c>
      <c r="G397" t="str">
        <f>IFERROR(VLOOKUP(F397,Table2[],2,FALSE),"")</f>
        <v>kg N</v>
      </c>
      <c r="H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5"/>
    </row>
    <row r="398" spans="1:11" ht="15.75" thickBot="1" x14ac:dyDescent="0.3">
      <c r="A398" s="181" t="s">
        <v>32</v>
      </c>
      <c r="B398" s="175" t="s">
        <v>46</v>
      </c>
      <c r="C398" s="175" t="str">
        <f>Jordbund1</f>
        <v>JB1-10</v>
      </c>
      <c r="D398" s="146" t="s">
        <v>351</v>
      </c>
      <c r="E398" s="146" t="str">
        <f>IFERROR(VLOOKUP(D398,Table2[],2,FALSE),"")</f>
        <v>Hektar</v>
      </c>
      <c r="F398" s="146" t="s">
        <v>334</v>
      </c>
      <c r="G398" s="146" t="str">
        <f>IFERROR(VLOOKUP(F398,Table2[],2,FALSE),"")</f>
        <v>t CO2-ækvivalenter</v>
      </c>
      <c r="H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7"/>
    </row>
    <row r="399" spans="1:11" ht="15.75" thickTop="1" x14ac:dyDescent="0.25">
      <c r="A399" s="179" t="s">
        <v>32</v>
      </c>
      <c r="B399" s="173" t="s">
        <v>46</v>
      </c>
      <c r="C399" s="173" t="str">
        <f>Organ6</f>
        <v>OC6</v>
      </c>
      <c r="D399" s="143" t="s">
        <v>351</v>
      </c>
      <c r="E399" s="143" t="str">
        <f>IFERROR(VLOOKUP(D399,Table2[],2,FALSE),"")</f>
        <v>Hektar</v>
      </c>
      <c r="F399" s="143" t="s">
        <v>329</v>
      </c>
      <c r="G399" s="143" t="str">
        <f>IFERROR(VLOOKUP(F399,Table2[],2,FALSE),"")</f>
        <v>Ton</v>
      </c>
      <c r="H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4"/>
    </row>
    <row r="400" spans="1:11" x14ac:dyDescent="0.25">
      <c r="A400" s="180" t="s">
        <v>32</v>
      </c>
      <c r="B400" s="174" t="s">
        <v>46</v>
      </c>
      <c r="C400" s="174" t="str">
        <f>Organ6</f>
        <v>OC6</v>
      </c>
      <c r="D400" t="s">
        <v>351</v>
      </c>
      <c r="E400" t="str">
        <f>IFERROR(VLOOKUP(D400,Table2[],2,FALSE),"")</f>
        <v>Hektar</v>
      </c>
      <c r="F400" t="s">
        <v>293</v>
      </c>
      <c r="G400" t="str">
        <f>IFERROR(VLOOKUP(F400,Table2[],2,FALSE),"")</f>
        <v>kg N</v>
      </c>
      <c r="H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5"/>
    </row>
    <row r="401" spans="1:11" ht="15.75" thickBot="1" x14ac:dyDescent="0.3">
      <c r="A401" s="181" t="s">
        <v>32</v>
      </c>
      <c r="B401" s="175" t="s">
        <v>46</v>
      </c>
      <c r="C401" s="175" t="str">
        <f>Organ6</f>
        <v>OC6</v>
      </c>
      <c r="D401" s="146" t="s">
        <v>351</v>
      </c>
      <c r="E401" s="146" t="str">
        <f>IFERROR(VLOOKUP(D401,Table2[],2,FALSE),"")</f>
        <v>Hektar</v>
      </c>
      <c r="F401" s="146" t="s">
        <v>334</v>
      </c>
      <c r="G401" s="146" t="str">
        <f>IFERROR(VLOOKUP(F401,Table2[],2,FALSE),"")</f>
        <v>t CO2-ækvivalenter</v>
      </c>
      <c r="H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7"/>
    </row>
    <row r="402" spans="1:11" ht="15.75" thickTop="1" x14ac:dyDescent="0.25">
      <c r="A402" s="179" t="s">
        <v>32</v>
      </c>
      <c r="B402" s="173" t="s">
        <v>46</v>
      </c>
      <c r="C402" s="173" t="str">
        <f>Organ12</f>
        <v>OC12</v>
      </c>
      <c r="D402" s="143" t="s">
        <v>351</v>
      </c>
      <c r="E402" s="143" t="str">
        <f>IFERROR(VLOOKUP(D402,Table2[],2,FALSE),"")</f>
        <v>Hektar</v>
      </c>
      <c r="F402" s="143" t="s">
        <v>329</v>
      </c>
      <c r="G402" s="143" t="str">
        <f>IFERROR(VLOOKUP(F402,Table2[],2,FALSE),"")</f>
        <v>Ton</v>
      </c>
      <c r="H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4"/>
    </row>
    <row r="403" spans="1:11" x14ac:dyDescent="0.25">
      <c r="A403" s="180" t="s">
        <v>32</v>
      </c>
      <c r="B403" s="174" t="s">
        <v>46</v>
      </c>
      <c r="C403" s="174" t="str">
        <f>Organ12</f>
        <v>OC12</v>
      </c>
      <c r="D403" t="s">
        <v>351</v>
      </c>
      <c r="E403" t="str">
        <f>IFERROR(VLOOKUP(D403,Table2[],2,FALSE),"")</f>
        <v>Hektar</v>
      </c>
      <c r="F403" t="s">
        <v>293</v>
      </c>
      <c r="G403" t="str">
        <f>IFERROR(VLOOKUP(F403,Table2[],2,FALSE),"")</f>
        <v>kg N</v>
      </c>
      <c r="H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5"/>
    </row>
    <row r="404" spans="1:11" ht="15.75" thickBot="1" x14ac:dyDescent="0.3">
      <c r="A404" s="181" t="s">
        <v>32</v>
      </c>
      <c r="B404" s="175" t="s">
        <v>46</v>
      </c>
      <c r="C404" s="175" t="str">
        <f>Organ12</f>
        <v>OC12</v>
      </c>
      <c r="D404" s="146" t="s">
        <v>351</v>
      </c>
      <c r="E404" s="146" t="str">
        <f>IFERROR(VLOOKUP(D404,Table2[],2,FALSE),"")</f>
        <v>Hektar</v>
      </c>
      <c r="F404" s="146" t="s">
        <v>334</v>
      </c>
      <c r="G404" s="146" t="str">
        <f>IFERROR(VLOOKUP(F404,Table2[],2,FALSE),"")</f>
        <v>t CO2-ækvivalenter</v>
      </c>
      <c r="H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7"/>
    </row>
    <row r="405" spans="1:11" ht="15.75" thickTop="1" x14ac:dyDescent="0.25">
      <c r="A405" s="179" t="s">
        <v>61</v>
      </c>
      <c r="B405" s="173" t="s">
        <v>45</v>
      </c>
      <c r="C405" s="173" t="str">
        <f>Jordbund1</f>
        <v>JB1-10</v>
      </c>
      <c r="D405" s="143" t="s">
        <v>350</v>
      </c>
      <c r="E405" s="143" t="str">
        <f>IFERROR(VLOOKUP(D405,Table2[],2,FALSE),"")</f>
        <v>Hektar</v>
      </c>
      <c r="F405" s="143" t="s">
        <v>13</v>
      </c>
      <c r="G405" s="143" t="str">
        <f>IFERROR(VLOOKUP(F405,Table2[],2,FALSE),"")</f>
        <v>Ton</v>
      </c>
      <c r="H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4" t="s">
        <v>530</v>
      </c>
    </row>
    <row r="406" spans="1:11" x14ac:dyDescent="0.25">
      <c r="A406" s="180" t="s">
        <v>61</v>
      </c>
      <c r="B406" s="174" t="s">
        <v>45</v>
      </c>
      <c r="C406" s="174" t="str">
        <f>Jordbund1</f>
        <v>JB1-10</v>
      </c>
      <c r="D406" t="s">
        <v>350</v>
      </c>
      <c r="E406" t="str">
        <f>IFERROR(VLOOKUP(D406,Table2[],2,FALSE),"")</f>
        <v>Hektar</v>
      </c>
      <c r="F406" t="s">
        <v>293</v>
      </c>
      <c r="G406" t="str">
        <f>IFERROR(VLOOKUP(F406,Table2[],2,FALSE),"")</f>
        <v>kg N</v>
      </c>
      <c r="H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5" t="s">
        <v>530</v>
      </c>
    </row>
    <row r="407" spans="1:11" ht="15.75" thickBot="1" x14ac:dyDescent="0.3">
      <c r="A407" s="181" t="s">
        <v>61</v>
      </c>
      <c r="B407" s="175" t="s">
        <v>45</v>
      </c>
      <c r="C407" s="175" t="str">
        <f>Jordbund1</f>
        <v>JB1-10</v>
      </c>
      <c r="D407" s="146" t="s">
        <v>350</v>
      </c>
      <c r="E407" s="146" t="str">
        <f>IFERROR(VLOOKUP(D407,Table2[],2,FALSE),"")</f>
        <v>Hektar</v>
      </c>
      <c r="F407" s="146" t="s">
        <v>334</v>
      </c>
      <c r="G407" s="146" t="str">
        <f>IFERROR(VLOOKUP(F407,Table2[],2,FALSE),"")</f>
        <v>t CO2-ækvivalenter</v>
      </c>
      <c r="H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7" t="s">
        <v>530</v>
      </c>
    </row>
    <row r="408" spans="1:11" ht="15.75" thickTop="1" x14ac:dyDescent="0.25">
      <c r="A408" s="179" t="s">
        <v>61</v>
      </c>
      <c r="B408" s="173" t="s">
        <v>45</v>
      </c>
      <c r="C408" s="173" t="str">
        <f>Organ6</f>
        <v>OC6</v>
      </c>
      <c r="D408" s="143" t="s">
        <v>350</v>
      </c>
      <c r="E408" s="143" t="str">
        <f>IFERROR(VLOOKUP(D408,Table2[],2,FALSE),"")</f>
        <v>Hektar</v>
      </c>
      <c r="F408" s="143" t="s">
        <v>13</v>
      </c>
      <c r="G408" s="143" t="str">
        <f>IFERROR(VLOOKUP(F408,Table2[],2,FALSE),"")</f>
        <v>Ton</v>
      </c>
      <c r="H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4" t="s">
        <v>530</v>
      </c>
    </row>
    <row r="409" spans="1:11" x14ac:dyDescent="0.25">
      <c r="A409" s="180" t="s">
        <v>61</v>
      </c>
      <c r="B409" s="174" t="s">
        <v>45</v>
      </c>
      <c r="C409" s="174" t="str">
        <f>Organ6</f>
        <v>OC6</v>
      </c>
      <c r="D409" t="s">
        <v>350</v>
      </c>
      <c r="E409" t="str">
        <f>IFERROR(VLOOKUP(D409,Table2[],2,FALSE),"")</f>
        <v>Hektar</v>
      </c>
      <c r="F409" t="s">
        <v>293</v>
      </c>
      <c r="G409" t="str">
        <f>IFERROR(VLOOKUP(F409,Table2[],2,FALSE),"")</f>
        <v>kg N</v>
      </c>
      <c r="H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5" t="s">
        <v>530</v>
      </c>
    </row>
    <row r="410" spans="1:11" ht="15.75" thickBot="1" x14ac:dyDescent="0.3">
      <c r="A410" s="181" t="s">
        <v>61</v>
      </c>
      <c r="B410" s="175" t="s">
        <v>45</v>
      </c>
      <c r="C410" s="175" t="str">
        <f>Organ6</f>
        <v>OC6</v>
      </c>
      <c r="D410" s="146" t="s">
        <v>350</v>
      </c>
      <c r="E410" s="146" t="str">
        <f>IFERROR(VLOOKUP(D410,Table2[],2,FALSE),"")</f>
        <v>Hektar</v>
      </c>
      <c r="F410" s="146" t="s">
        <v>334</v>
      </c>
      <c r="G410" s="146" t="str">
        <f>IFERROR(VLOOKUP(F410,Table2[],2,FALSE),"")</f>
        <v>t CO2-ækvivalenter</v>
      </c>
      <c r="H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7" t="s">
        <v>530</v>
      </c>
    </row>
    <row r="411" spans="1:11" ht="15.75" thickTop="1" x14ac:dyDescent="0.25">
      <c r="A411" s="179" t="s">
        <v>61</v>
      </c>
      <c r="B411" s="173" t="s">
        <v>45</v>
      </c>
      <c r="C411" s="173" t="str">
        <f>Organ12</f>
        <v>OC12</v>
      </c>
      <c r="D411" s="143" t="s">
        <v>350</v>
      </c>
      <c r="E411" s="143" t="str">
        <f>IFERROR(VLOOKUP(D411,Table2[],2,FALSE),"")</f>
        <v>Hektar</v>
      </c>
      <c r="F411" s="143" t="s">
        <v>13</v>
      </c>
      <c r="G411" s="143" t="str">
        <f>IFERROR(VLOOKUP(F411,Table2[],2,FALSE),"")</f>
        <v>Ton</v>
      </c>
      <c r="H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4" t="s">
        <v>530</v>
      </c>
    </row>
    <row r="412" spans="1:11" x14ac:dyDescent="0.25">
      <c r="A412" s="180" t="s">
        <v>61</v>
      </c>
      <c r="B412" s="174" t="s">
        <v>45</v>
      </c>
      <c r="C412" s="174" t="str">
        <f>Organ12</f>
        <v>OC12</v>
      </c>
      <c r="D412" t="s">
        <v>350</v>
      </c>
      <c r="E412" t="str">
        <f>IFERROR(VLOOKUP(D412,Table2[],2,FALSE),"")</f>
        <v>Hektar</v>
      </c>
      <c r="F412" t="s">
        <v>293</v>
      </c>
      <c r="G412" t="str">
        <f>IFERROR(VLOOKUP(F412,Table2[],2,FALSE),"")</f>
        <v>kg N</v>
      </c>
      <c r="H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5" t="s">
        <v>530</v>
      </c>
    </row>
    <row r="413" spans="1:11" ht="15.75" thickBot="1" x14ac:dyDescent="0.3">
      <c r="A413" s="181" t="s">
        <v>61</v>
      </c>
      <c r="B413" s="175" t="s">
        <v>45</v>
      </c>
      <c r="C413" s="175" t="str">
        <f>Organ12</f>
        <v>OC12</v>
      </c>
      <c r="D413" s="146" t="s">
        <v>350</v>
      </c>
      <c r="E413" s="146" t="str">
        <f>IFERROR(VLOOKUP(D413,Table2[],2,FALSE),"")</f>
        <v>Hektar</v>
      </c>
      <c r="F413" s="146" t="s">
        <v>334</v>
      </c>
      <c r="G413" s="146" t="str">
        <f>IFERROR(VLOOKUP(F413,Table2[],2,FALSE),"")</f>
        <v>t CO2-ækvivalenter</v>
      </c>
      <c r="H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7" t="s">
        <v>530</v>
      </c>
    </row>
    <row r="414" spans="1:11" ht="15.75" thickTop="1" x14ac:dyDescent="0.25">
      <c r="A414" s="179" t="s">
        <v>61</v>
      </c>
      <c r="B414" s="173" t="s">
        <v>46</v>
      </c>
      <c r="C414" s="173" t="str">
        <f>Jordbund1</f>
        <v>JB1-10</v>
      </c>
      <c r="D414" s="143" t="s">
        <v>350</v>
      </c>
      <c r="E414" s="143" t="str">
        <f>IFERROR(VLOOKUP(D414,Table2[],2,FALSE),"")</f>
        <v>Hektar</v>
      </c>
      <c r="F414" s="143" t="s">
        <v>13</v>
      </c>
      <c r="G414" s="143" t="str">
        <f>IFERROR(VLOOKUP(F414,Table2[],2,FALSE),"")</f>
        <v>Ton</v>
      </c>
      <c r="H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4" t="s">
        <v>530</v>
      </c>
    </row>
    <row r="415" spans="1:11" x14ac:dyDescent="0.25">
      <c r="A415" s="180" t="s">
        <v>61</v>
      </c>
      <c r="B415" s="174" t="s">
        <v>46</v>
      </c>
      <c r="C415" s="174" t="str">
        <f>Jordbund1</f>
        <v>JB1-10</v>
      </c>
      <c r="D415" t="s">
        <v>350</v>
      </c>
      <c r="E415" t="str">
        <f>IFERROR(VLOOKUP(D415,Table2[],2,FALSE),"")</f>
        <v>Hektar</v>
      </c>
      <c r="F415" t="s">
        <v>293</v>
      </c>
      <c r="G415" t="str">
        <f>IFERROR(VLOOKUP(F415,Table2[],2,FALSE),"")</f>
        <v>kg N</v>
      </c>
      <c r="H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5" t="s">
        <v>530</v>
      </c>
    </row>
    <row r="416" spans="1:11" ht="15.75" thickBot="1" x14ac:dyDescent="0.3">
      <c r="A416" s="181" t="s">
        <v>61</v>
      </c>
      <c r="B416" s="175" t="s">
        <v>46</v>
      </c>
      <c r="C416" s="175" t="str">
        <f>Jordbund1</f>
        <v>JB1-10</v>
      </c>
      <c r="D416" s="146" t="s">
        <v>350</v>
      </c>
      <c r="E416" s="146" t="str">
        <f>IFERROR(VLOOKUP(D416,Table2[],2,FALSE),"")</f>
        <v>Hektar</v>
      </c>
      <c r="F416" s="146" t="s">
        <v>334</v>
      </c>
      <c r="G416" s="146" t="str">
        <f>IFERROR(VLOOKUP(F416,Table2[],2,FALSE),"")</f>
        <v>t CO2-ækvivalenter</v>
      </c>
      <c r="H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7" t="s">
        <v>530</v>
      </c>
    </row>
    <row r="417" spans="1:14" ht="15.75" thickTop="1" x14ac:dyDescent="0.25">
      <c r="A417" s="179" t="s">
        <v>61</v>
      </c>
      <c r="B417" s="173" t="s">
        <v>46</v>
      </c>
      <c r="C417" s="173" t="str">
        <f>Organ6</f>
        <v>OC6</v>
      </c>
      <c r="D417" s="143" t="s">
        <v>350</v>
      </c>
      <c r="E417" s="143" t="str">
        <f>IFERROR(VLOOKUP(D417,Table2[],2,FALSE),"")</f>
        <v>Hektar</v>
      </c>
      <c r="F417" s="143" t="s">
        <v>13</v>
      </c>
      <c r="G417" s="143" t="str">
        <f>IFERROR(VLOOKUP(F417,Table2[],2,FALSE),"")</f>
        <v>Ton</v>
      </c>
      <c r="H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4" t="s">
        <v>530</v>
      </c>
    </row>
    <row r="418" spans="1:14" x14ac:dyDescent="0.25">
      <c r="A418" s="180" t="s">
        <v>61</v>
      </c>
      <c r="B418" s="174" t="s">
        <v>46</v>
      </c>
      <c r="C418" s="174" t="str">
        <f>Organ6</f>
        <v>OC6</v>
      </c>
      <c r="D418" t="s">
        <v>350</v>
      </c>
      <c r="E418" t="str">
        <f>IFERROR(VLOOKUP(D418,Table2[],2,FALSE),"")</f>
        <v>Hektar</v>
      </c>
      <c r="F418" t="s">
        <v>293</v>
      </c>
      <c r="G418" t="str">
        <f>IFERROR(VLOOKUP(F418,Table2[],2,FALSE),"")</f>
        <v>kg N</v>
      </c>
      <c r="H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5" t="s">
        <v>530</v>
      </c>
    </row>
    <row r="419" spans="1:14" ht="15.75" thickBot="1" x14ac:dyDescent="0.3">
      <c r="A419" s="181" t="s">
        <v>61</v>
      </c>
      <c r="B419" s="175" t="s">
        <v>46</v>
      </c>
      <c r="C419" s="175" t="str">
        <f>Organ6</f>
        <v>OC6</v>
      </c>
      <c r="D419" s="146" t="s">
        <v>350</v>
      </c>
      <c r="E419" s="146" t="str">
        <f>IFERROR(VLOOKUP(D419,Table2[],2,FALSE),"")</f>
        <v>Hektar</v>
      </c>
      <c r="F419" s="146" t="s">
        <v>334</v>
      </c>
      <c r="G419" s="146" t="str">
        <f>IFERROR(VLOOKUP(F419,Table2[],2,FALSE),"")</f>
        <v>t CO2-ækvivalenter</v>
      </c>
      <c r="H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7" t="s">
        <v>530</v>
      </c>
    </row>
    <row r="420" spans="1:14" ht="15.75" thickTop="1" x14ac:dyDescent="0.25">
      <c r="A420" s="179" t="s">
        <v>61</v>
      </c>
      <c r="B420" s="173" t="s">
        <v>46</v>
      </c>
      <c r="C420" s="173" t="str">
        <f>Organ12</f>
        <v>OC12</v>
      </c>
      <c r="D420" s="143" t="s">
        <v>350</v>
      </c>
      <c r="E420" s="143" t="str">
        <f>IFERROR(VLOOKUP(D420,Table2[],2,FALSE),"")</f>
        <v>Hektar</v>
      </c>
      <c r="F420" s="143" t="s">
        <v>13</v>
      </c>
      <c r="G420" s="143" t="str">
        <f>IFERROR(VLOOKUP(F420,Table2[],2,FALSE),"")</f>
        <v>Ton</v>
      </c>
      <c r="H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4" t="s">
        <v>530</v>
      </c>
    </row>
    <row r="421" spans="1:14" x14ac:dyDescent="0.25">
      <c r="A421" s="180" t="s">
        <v>61</v>
      </c>
      <c r="B421" s="174" t="s">
        <v>46</v>
      </c>
      <c r="C421" s="174" t="str">
        <f>Organ12</f>
        <v>OC12</v>
      </c>
      <c r="D421" t="s">
        <v>350</v>
      </c>
      <c r="E421" t="str">
        <f>IFERROR(VLOOKUP(D421,Table2[],2,FALSE),"")</f>
        <v>Hektar</v>
      </c>
      <c r="F421" t="s">
        <v>293</v>
      </c>
      <c r="G421" t="str">
        <f>IFERROR(VLOOKUP(F421,Table2[],2,FALSE),"")</f>
        <v>kg N</v>
      </c>
      <c r="H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5" t="s">
        <v>530</v>
      </c>
    </row>
    <row r="422" spans="1:14" ht="15.75" thickBot="1" x14ac:dyDescent="0.3">
      <c r="A422" s="181" t="s">
        <v>61</v>
      </c>
      <c r="B422" s="175" t="s">
        <v>46</v>
      </c>
      <c r="C422" s="175" t="str">
        <f>Organ12</f>
        <v>OC12</v>
      </c>
      <c r="D422" s="146" t="s">
        <v>350</v>
      </c>
      <c r="E422" s="146" t="str">
        <f>IFERROR(VLOOKUP(D422,Table2[],2,FALSE),"")</f>
        <v>Hektar</v>
      </c>
      <c r="F422" s="146" t="s">
        <v>334</v>
      </c>
      <c r="G422" s="146" t="str">
        <f>IFERROR(VLOOKUP(F422,Table2[],2,FALSE),"")</f>
        <v>t CO2-ækvivalenter</v>
      </c>
      <c r="H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7" t="s">
        <v>530</v>
      </c>
    </row>
    <row r="423" spans="1:14" ht="15.75" thickTop="1" x14ac:dyDescent="0.25">
      <c r="A423" s="180" t="s">
        <v>33</v>
      </c>
      <c r="B423" s="174"/>
      <c r="C423" s="174"/>
      <c r="D423" t="s">
        <v>543</v>
      </c>
      <c r="E423" t="str">
        <f>IFERROR(VLOOKUP(D423,Table2[],2,FALSE),"")</f>
        <v>m3</v>
      </c>
      <c r="F423" t="s">
        <v>298</v>
      </c>
      <c r="G423" t="str">
        <f>IFERROR(VLOOKUP(F423,Table2[],2,FALSE),"")</f>
        <v>m3</v>
      </c>
      <c r="H423" s="193">
        <v>0.48</v>
      </c>
      <c r="I423" s="193">
        <v>0.48</v>
      </c>
      <c r="J423" s="193">
        <v>0.48</v>
      </c>
      <c r="K423" s="145" t="s">
        <v>614</v>
      </c>
    </row>
    <row r="424" spans="1:14" x14ac:dyDescent="0.25">
      <c r="A424" s="180" t="s">
        <v>33</v>
      </c>
      <c r="B424" s="174"/>
      <c r="C424" s="174"/>
      <c r="D424" t="s">
        <v>543</v>
      </c>
      <c r="E424" t="str">
        <f>IFERROR(VLOOKUP(D424,Table2[],2,FALSE),"")</f>
        <v>m3</v>
      </c>
      <c r="F424" t="s">
        <v>395</v>
      </c>
      <c r="G424" t="str">
        <f>IFERROR(VLOOKUP(F424,Table2[],2,FALSE),"")</f>
        <v>m3</v>
      </c>
      <c r="H424" s="193">
        <v>0.52</v>
      </c>
      <c r="I424" s="193">
        <v>0.52</v>
      </c>
      <c r="J424" s="193">
        <v>0.52</v>
      </c>
      <c r="K424" s="145" t="s">
        <v>614</v>
      </c>
    </row>
    <row r="425" spans="1:14" ht="15.75" thickBot="1" x14ac:dyDescent="0.3">
      <c r="A425" s="180" t="s">
        <v>33</v>
      </c>
      <c r="B425" s="174"/>
      <c r="C425" s="174"/>
      <c r="D425" t="s">
        <v>893</v>
      </c>
      <c r="E425" t="str">
        <f>IFERROR(VLOOKUP(D425,Table2[],2,FALSE),"")</f>
        <v>t CO2-ækvivalenter</v>
      </c>
      <c r="F425" t="s">
        <v>334</v>
      </c>
      <c r="G425" t="str">
        <f>IFERROR(VLOOKUP(F425,Table2[],2,FALSE),"")</f>
        <v>t CO2-ækvivalenter</v>
      </c>
      <c r="H425" s="193">
        <v>0.2</v>
      </c>
      <c r="I425" s="193">
        <f>H425</f>
        <v>0.2</v>
      </c>
      <c r="J425" s="193">
        <v>0.37</v>
      </c>
      <c r="K425" s="145"/>
    </row>
    <row r="426" spans="1:14" ht="15.75" thickTop="1" x14ac:dyDescent="0.25">
      <c r="A426" s="179" t="s">
        <v>34</v>
      </c>
      <c r="B426" s="176"/>
      <c r="C426" s="176"/>
      <c r="D426" s="143" t="s">
        <v>292</v>
      </c>
      <c r="E426" s="143" t="str">
        <f>IFERROR(VLOOKUP(D426,Table2[],2,FALSE),"")</f>
        <v>Ton</v>
      </c>
      <c r="F426" s="143" t="s">
        <v>299</v>
      </c>
      <c r="G426" s="143" t="str">
        <f>IFERROR(VLOOKUP(F426,Table2[],2,FALSE),"")</f>
        <v>Ton</v>
      </c>
      <c r="H426" s="195">
        <f>1-H427-H429</f>
        <v>0.64217654203833741</v>
      </c>
      <c r="I426" s="195">
        <f>H426</f>
        <v>0.64217654203833741</v>
      </c>
      <c r="J426" s="195">
        <f>I426</f>
        <v>0.64217654203833741</v>
      </c>
      <c r="K426" s="144" t="s">
        <v>751</v>
      </c>
    </row>
    <row r="427" spans="1:14" x14ac:dyDescent="0.25">
      <c r="A427" s="180" t="s">
        <v>34</v>
      </c>
      <c r="B427" s="178"/>
      <c r="C427" s="178"/>
      <c r="D427" t="s">
        <v>292</v>
      </c>
      <c r="E427" t="str">
        <f>IFERROR(VLOOKUP(D427,Table2[],2,FALSE),"")</f>
        <v>Ton</v>
      </c>
      <c r="F427" t="s">
        <v>492</v>
      </c>
      <c r="G427" t="str">
        <f>IFERROR(VLOOKUP(F427,Table2[],2,FALSE),"")</f>
        <v>Ton</v>
      </c>
      <c r="H427" s="196">
        <f>0.025</f>
        <v>2.5000000000000001E-2</v>
      </c>
      <c r="I427" s="196">
        <f>0.025</f>
        <v>2.5000000000000001E-2</v>
      </c>
      <c r="J427" s="196">
        <f>0.025</f>
        <v>2.5000000000000001E-2</v>
      </c>
      <c r="K427" s="145" t="s">
        <v>413</v>
      </c>
    </row>
    <row r="428" spans="1:14" x14ac:dyDescent="0.25">
      <c r="A428" s="180" t="s">
        <v>34</v>
      </c>
      <c r="B428" s="178"/>
      <c r="C428" s="178"/>
      <c r="D428" t="s">
        <v>292</v>
      </c>
      <c r="E428" t="str">
        <f>IFERROR(VLOOKUP(D428,Table2[],2,FALSE),"")</f>
        <v>Ton</v>
      </c>
      <c r="F428" t="s">
        <v>41</v>
      </c>
      <c r="G428" t="str">
        <f>IFERROR(VLOOKUP(F428,Table2[],2,FALSE),"")</f>
        <v>Ton</v>
      </c>
      <c r="H428" s="389">
        <f>0.003285</f>
        <v>3.2850000000000002E-3</v>
      </c>
      <c r="I428" s="389">
        <f>0.003285</f>
        <v>3.2850000000000002E-3</v>
      </c>
      <c r="J428" s="389">
        <f>0.003285</f>
        <v>3.2850000000000002E-3</v>
      </c>
      <c r="K428" s="145" t="s">
        <v>815</v>
      </c>
    </row>
    <row r="429" spans="1:14" ht="15.75" thickBot="1" x14ac:dyDescent="0.3">
      <c r="A429" s="180" t="s">
        <v>34</v>
      </c>
      <c r="B429" s="178"/>
      <c r="C429" s="178"/>
      <c r="D429" t="s">
        <v>292</v>
      </c>
      <c r="E429" t="str">
        <f>IFERROR(VLOOKUP(D429,Table2[],2,FALSE),"")</f>
        <v>Ton</v>
      </c>
      <c r="F429" t="s">
        <v>420</v>
      </c>
      <c r="G429" t="str">
        <f>IFERROR(VLOOKUP(F429,Table2[],2,FALSE),"")</f>
        <v>Ton</v>
      </c>
      <c r="H429" s="196">
        <f>0.0272+'Procesdata (baggrund)'!$B$10</f>
        <v>0.33282345796166263</v>
      </c>
      <c r="I429" s="196">
        <f>0.0272+'Procesdata (baggrund)'!$B$10</f>
        <v>0.33282345796166263</v>
      </c>
      <c r="J429" s="196">
        <f>0.0272+'Procesdata (baggrund)'!$B$10</f>
        <v>0.33282345796166263</v>
      </c>
      <c r="K429" s="145" t="s">
        <v>751</v>
      </c>
    </row>
    <row r="430" spans="1:14" ht="15.75" thickTop="1" x14ac:dyDescent="0.25">
      <c r="A430" s="179" t="s">
        <v>35</v>
      </c>
      <c r="B430" s="173"/>
      <c r="C430" s="173"/>
      <c r="D430" s="143" t="s">
        <v>290</v>
      </c>
      <c r="E430" s="143" t="str">
        <f>IFERROR(VLOOKUP(D430,Table2[],2,FALSE),"")</f>
        <v>Antal</v>
      </c>
      <c r="F430" s="143" t="s">
        <v>308</v>
      </c>
      <c r="G430" s="143" t="str">
        <f>IFERROR(VLOOKUP(F430,Table2[],2,FALSE),"")</f>
        <v>Ton</v>
      </c>
      <c r="H430" s="195">
        <f>1770.5/18356</f>
        <v>9.6453475702767494E-2</v>
      </c>
      <c r="I430" s="195">
        <f>1770.5/18356</f>
        <v>9.6453475702767494E-2</v>
      </c>
      <c r="J430" s="195">
        <f>1770.5/18356</f>
        <v>9.6453475702767494E-2</v>
      </c>
      <c r="K430" s="144" t="s">
        <v>413</v>
      </c>
    </row>
    <row r="431" spans="1:14" x14ac:dyDescent="0.25">
      <c r="A431" s="180" t="s">
        <v>35</v>
      </c>
      <c r="B431" s="174"/>
      <c r="C431" s="174"/>
      <c r="D431" t="s">
        <v>290</v>
      </c>
      <c r="E431" t="str">
        <f>IFERROR(VLOOKUP(D431,Table2[],2,FALSE),"")</f>
        <v>Antal</v>
      </c>
      <c r="F431" t="s">
        <v>41</v>
      </c>
      <c r="G431" t="str">
        <f>IFERROR(VLOOKUP(F431,Table2[],2,FALSE),"")</f>
        <v>Ton</v>
      </c>
      <c r="H431" s="197">
        <f>21.2/18356*N432</f>
        <v>1.3691762911309652E-3</v>
      </c>
      <c r="I431" s="197">
        <f>21.2/18356*1.6</f>
        <v>1.8478971453475702E-3</v>
      </c>
      <c r="J431" s="197">
        <f>21.2/18356*1.6</f>
        <v>1.8478971453475702E-3</v>
      </c>
      <c r="K431" s="145" t="s">
        <v>500</v>
      </c>
    </row>
    <row r="432" spans="1:14" x14ac:dyDescent="0.25">
      <c r="A432" s="180" t="s">
        <v>35</v>
      </c>
      <c r="B432" s="174"/>
      <c r="C432" s="174"/>
      <c r="D432" t="s">
        <v>290</v>
      </c>
      <c r="E432" t="str">
        <f>IFERROR(VLOOKUP(D432,Table2[],2,FALSE),"")</f>
        <v>Antal</v>
      </c>
      <c r="F432" t="s">
        <v>414</v>
      </c>
      <c r="G432" t="str">
        <f>IFERROR(VLOOKUP(F432,Table2[],2,FALSE),"")</f>
        <v>Ton</v>
      </c>
      <c r="H432" s="197">
        <f>(90.5+67.4)/18356</f>
        <v>8.602091959032469E-3</v>
      </c>
      <c r="I432" s="197">
        <f>(90.5+67.4)/18356</f>
        <v>8.602091959032469E-3</v>
      </c>
      <c r="J432" s="197">
        <f>(90.5+67.4)/18356</f>
        <v>8.602091959032469E-3</v>
      </c>
      <c r="K432" s="145" t="s">
        <v>413</v>
      </c>
      <c r="M432" t="s">
        <v>812</v>
      </c>
      <c r="N432">
        <v>1.1855</v>
      </c>
    </row>
    <row r="433" spans="1:11" x14ac:dyDescent="0.25">
      <c r="A433" s="180" t="s">
        <v>35</v>
      </c>
      <c r="B433" s="174"/>
      <c r="C433" s="174"/>
      <c r="D433" t="s">
        <v>290</v>
      </c>
      <c r="E433" t="str">
        <f>IFERROR(VLOOKUP(D433,Table2[],2,FALSE),"")</f>
        <v>Antal</v>
      </c>
      <c r="F433" t="s">
        <v>415</v>
      </c>
      <c r="G433" t="str">
        <f>IFERROR(VLOOKUP(F433,Table2[],2,FALSE),"")</f>
        <v>Ton</v>
      </c>
      <c r="H433" s="197">
        <f>(151.6+4.2)/18356</f>
        <v>8.4876879494443225E-3</v>
      </c>
      <c r="I433" s="197">
        <f>(151.6+4.2)/18356</f>
        <v>8.4876879494443225E-3</v>
      </c>
      <c r="J433" s="197">
        <f>(151.6+4.2)/18356</f>
        <v>8.4876879494443225E-3</v>
      </c>
      <c r="K433" s="145" t="s">
        <v>413</v>
      </c>
    </row>
    <row r="434" spans="1:11" x14ac:dyDescent="0.25">
      <c r="A434" s="180" t="s">
        <v>35</v>
      </c>
      <c r="B434" s="174"/>
      <c r="C434" s="174"/>
      <c r="D434" t="s">
        <v>291</v>
      </c>
      <c r="E434" t="str">
        <f>IFERROR(VLOOKUP(D434,Table2[],2,FALSE),"")</f>
        <v>Antal</v>
      </c>
      <c r="F434" t="s">
        <v>309</v>
      </c>
      <c r="G434" t="str">
        <f>IFERROR(VLOOKUP(F434,Table2[],2,FALSE),"")</f>
        <v>Ton</v>
      </c>
      <c r="H434" s="196">
        <f>123400/495000</f>
        <v>0.24929292929292929</v>
      </c>
      <c r="I434" s="196">
        <f>123400/495000</f>
        <v>0.24929292929292929</v>
      </c>
      <c r="J434" s="196">
        <f>123400/495000</f>
        <v>0.24929292929292929</v>
      </c>
      <c r="K434" s="145" t="s">
        <v>413</v>
      </c>
    </row>
    <row r="435" spans="1:11" x14ac:dyDescent="0.25">
      <c r="A435" s="180" t="s">
        <v>35</v>
      </c>
      <c r="B435" s="174"/>
      <c r="C435" s="174"/>
      <c r="D435" t="s">
        <v>291</v>
      </c>
      <c r="E435" t="str">
        <f>IFERROR(VLOOKUP(D435,Table2[],2,FALSE),"")</f>
        <v>Antal</v>
      </c>
      <c r="F435" t="s">
        <v>41</v>
      </c>
      <c r="G435" t="str">
        <f>IFERROR(VLOOKUP(F435,Table2[],2,FALSE),"")</f>
        <v>Ton</v>
      </c>
      <c r="H435" s="196">
        <f>(45)/495*N432</f>
        <v>0.10777272727272727</v>
      </c>
      <c r="I435" s="196">
        <f>(45)/495*1.33</f>
        <v>0.12090909090909092</v>
      </c>
      <c r="J435" s="196">
        <f>(45)/495*1.33</f>
        <v>0.12090909090909092</v>
      </c>
      <c r="K435" s="145" t="s">
        <v>500</v>
      </c>
    </row>
    <row r="436" spans="1:11" x14ac:dyDescent="0.25">
      <c r="A436" s="180" t="s">
        <v>35</v>
      </c>
      <c r="B436" s="174"/>
      <c r="C436" s="174"/>
      <c r="D436" t="s">
        <v>291</v>
      </c>
      <c r="E436" t="str">
        <f>IFERROR(VLOOKUP(D436,Table2[],2,FALSE),"")</f>
        <v>Antal</v>
      </c>
      <c r="F436" t="s">
        <v>414</v>
      </c>
      <c r="G436" t="str">
        <f>IFERROR(VLOOKUP(F436,Table2[],2,FALSE),"")</f>
        <v>Ton</v>
      </c>
      <c r="H436" s="196">
        <f>7.9/495</f>
        <v>1.5959595959595962E-2</v>
      </c>
      <c r="I436" s="196">
        <f>7.9/495</f>
        <v>1.5959595959595962E-2</v>
      </c>
      <c r="J436" s="196">
        <f>7.9/495</f>
        <v>1.5959595959595962E-2</v>
      </c>
      <c r="K436" s="145" t="s">
        <v>413</v>
      </c>
    </row>
    <row r="437" spans="1:11" x14ac:dyDescent="0.25">
      <c r="A437" s="180" t="s">
        <v>35</v>
      </c>
      <c r="B437" s="174"/>
      <c r="C437" s="174"/>
      <c r="D437" t="s">
        <v>291</v>
      </c>
      <c r="E437" t="str">
        <f>IFERROR(VLOOKUP(D437,Table2[],2,FALSE),"")</f>
        <v>Antal</v>
      </c>
      <c r="F437" t="s">
        <v>415</v>
      </c>
      <c r="G437" t="str">
        <f>IFERROR(VLOOKUP(F437,Table2[],2,FALSE),"")</f>
        <v>Ton</v>
      </c>
      <c r="H437" s="196">
        <f>(39.5+19.8+4.4+0.1+17.4)/495</f>
        <v>0.16404040404040401</v>
      </c>
      <c r="I437" s="196">
        <f>(39.5+19.8+4.4+0.1+17.4)/495</f>
        <v>0.16404040404040401</v>
      </c>
      <c r="J437" s="196">
        <f>(39.5+19.8+4.4+0.1+17.4)/495</f>
        <v>0.16404040404040401</v>
      </c>
      <c r="K437" s="145" t="s">
        <v>413</v>
      </c>
    </row>
    <row r="438" spans="1:11" x14ac:dyDescent="0.25">
      <c r="A438" s="180" t="s">
        <v>35</v>
      </c>
      <c r="B438" s="174"/>
      <c r="C438" s="174"/>
      <c r="D438" t="s">
        <v>354</v>
      </c>
      <c r="E438" t="str">
        <f>IFERROR(VLOOKUP(D438,Table2[],2,FALSE),"")</f>
        <v>Antal</v>
      </c>
      <c r="F438" t="s">
        <v>355</v>
      </c>
      <c r="G438" t="str">
        <f>IFERROR(VLOOKUP(F438,Table2[],2,FALSE),"")</f>
        <v>Ton</v>
      </c>
      <c r="H438" s="197">
        <f>192000/101500000*(1-0.0023)</f>
        <v>1.8872748768472907E-3</v>
      </c>
      <c r="I438" s="197">
        <f>192000/101500000*(1-0.0023)</f>
        <v>1.8872748768472907E-3</v>
      </c>
      <c r="J438" s="197">
        <f>192000/101500000*(1-0.0023)</f>
        <v>1.8872748768472907E-3</v>
      </c>
      <c r="K438" s="145" t="s">
        <v>413</v>
      </c>
    </row>
    <row r="439" spans="1:11" ht="15.75" thickBot="1" x14ac:dyDescent="0.3">
      <c r="A439" s="180" t="s">
        <v>35</v>
      </c>
      <c r="B439" s="174"/>
      <c r="C439" s="174"/>
      <c r="D439" t="s">
        <v>354</v>
      </c>
      <c r="E439" t="str">
        <f>IFERROR(VLOOKUP(D439,Table2[],2,FALSE),"")</f>
        <v>Antal</v>
      </c>
      <c r="F439" t="s">
        <v>41</v>
      </c>
      <c r="G439" t="str">
        <f>IFERROR(VLOOKUP(F439,Table2[],2,FALSE),"")</f>
        <v>Ton</v>
      </c>
      <c r="H439" s="199">
        <f>192000/101500000*(0.0023)*N432</f>
        <v>5.1578009852216749E-6</v>
      </c>
      <c r="I439" s="199">
        <f>192000/101500000*(0.0023)*1.6</f>
        <v>6.9611822660098529E-6</v>
      </c>
      <c r="J439" s="199">
        <f>192000/101500000*(0.0023)*1.6</f>
        <v>6.9611822660098529E-6</v>
      </c>
      <c r="K439" s="145" t="s">
        <v>500</v>
      </c>
    </row>
    <row r="440" spans="1:11" ht="15.75" thickTop="1" x14ac:dyDescent="0.25">
      <c r="A440" s="179" t="s">
        <v>405</v>
      </c>
      <c r="B440" s="173"/>
      <c r="C440" s="173"/>
      <c r="D440" s="143" t="s">
        <v>11</v>
      </c>
      <c r="E440" s="143" t="str">
        <f>IFERROR(VLOOKUP(D440,Table2[],2,FALSE),"")</f>
        <v>Ton</v>
      </c>
      <c r="F440" s="143" t="s">
        <v>406</v>
      </c>
      <c r="G440" s="143" t="str">
        <f>IFERROR(VLOOKUP(F440,Table2[],2,FALSE),"")</f>
        <v>FE</v>
      </c>
      <c r="H440" s="189">
        <f>VLOOKUP('Processer - data'!$D440,Foder!$A$2:$C$16,3,FALSE)</f>
        <v>899.89334145969838</v>
      </c>
      <c r="I440" s="189">
        <f>VLOOKUP('Processer - data'!$D440,Foder!$A$2:$C$16,3,FALSE)</f>
        <v>899.89334145969838</v>
      </c>
      <c r="J440" s="189">
        <f>VLOOKUP('Processer - data'!$D440,Foder!$A$2:$C$16,3,FALSE)</f>
        <v>899.89334145969838</v>
      </c>
      <c r="K440" s="144"/>
    </row>
    <row r="441" spans="1:11" x14ac:dyDescent="0.25">
      <c r="A441" s="180" t="s">
        <v>405</v>
      </c>
      <c r="B441" s="174"/>
      <c r="C441" s="174"/>
      <c r="D441" t="s">
        <v>37</v>
      </c>
      <c r="E441" t="str">
        <f>IFERROR(VLOOKUP(D441,Table2[],2,FALSE),"")</f>
        <v>Ton</v>
      </c>
      <c r="F441" t="s">
        <v>406</v>
      </c>
      <c r="G441" t="str">
        <f>IFERROR(VLOOKUP(F441,Table2[],2,FALSE),"")</f>
        <v>FE</v>
      </c>
      <c r="H441" s="187">
        <f>VLOOKUP('Processer - data'!$D441,Foder!$A$2:$C$16,3,FALSE)</f>
        <v>190.03476245654693</v>
      </c>
      <c r="I441" s="187">
        <f>VLOOKUP('Processer - data'!$D441,Foder!$A$2:$C$16,3,FALSE)</f>
        <v>190.03476245654693</v>
      </c>
      <c r="J441" s="187">
        <f>VLOOKUP('Processer - data'!$D441,Foder!$A$2:$C$16,3,FALSE)</f>
        <v>190.03476245654693</v>
      </c>
      <c r="K441" s="145"/>
    </row>
    <row r="442" spans="1:11" x14ac:dyDescent="0.25">
      <c r="A442" s="180" t="s">
        <v>405</v>
      </c>
      <c r="B442" s="174"/>
      <c r="C442" s="174"/>
      <c r="D442" t="s">
        <v>178</v>
      </c>
      <c r="E442" t="str">
        <f>IFERROR(VLOOKUP(D442,Table2[],2,FALSE),"")</f>
        <v>Ton</v>
      </c>
      <c r="F442" t="s">
        <v>406</v>
      </c>
      <c r="G442" t="str">
        <f>IFERROR(VLOOKUP(F442,Table2[],2,FALSE),"")</f>
        <v>FE</v>
      </c>
      <c r="H442" s="187">
        <f>VLOOKUP('Processer - data'!$D442,Foder!$A$2:$C$16,3,FALSE)</f>
        <v>250</v>
      </c>
      <c r="I442" s="187">
        <f>VLOOKUP('Processer - data'!$D442,Foder!$A$2:$C$16,3,FALSE)</f>
        <v>250</v>
      </c>
      <c r="J442" s="187">
        <f>VLOOKUP('Processer - data'!$D442,Foder!$A$2:$C$16,3,FALSE)</f>
        <v>250</v>
      </c>
      <c r="K442" s="145"/>
    </row>
    <row r="443" spans="1:11" x14ac:dyDescent="0.25">
      <c r="A443" s="180" t="s">
        <v>405</v>
      </c>
      <c r="B443" s="174"/>
      <c r="C443" s="174"/>
      <c r="D443" t="s">
        <v>14</v>
      </c>
      <c r="E443" t="str">
        <f>IFERROR(VLOOKUP(D443,Table2[],2,FALSE),"")</f>
        <v>Ton</v>
      </c>
      <c r="F443" t="s">
        <v>406</v>
      </c>
      <c r="G443" t="str">
        <f>IFERROR(VLOOKUP(F443,Table2[],2,FALSE),"")</f>
        <v>FE</v>
      </c>
      <c r="H443" s="187">
        <f>VLOOKUP('Processer - data'!$D443,Foder!$A$2:$C$16,3,FALSE)</f>
        <v>1083.3333333333333</v>
      </c>
      <c r="I443" s="187">
        <f>VLOOKUP('Processer - data'!$D443,Foder!$A$2:$C$16,3,FALSE)</f>
        <v>1083.3333333333333</v>
      </c>
      <c r="J443" s="187">
        <f>VLOOKUP('Processer - data'!$D443,Foder!$A$2:$C$16,3,FALSE)</f>
        <v>1083.3333333333333</v>
      </c>
      <c r="K443" s="145"/>
    </row>
    <row r="444" spans="1:11" x14ac:dyDescent="0.25">
      <c r="A444" s="180" t="s">
        <v>405</v>
      </c>
      <c r="B444" s="174"/>
      <c r="C444" s="174"/>
      <c r="D444" t="s">
        <v>42</v>
      </c>
      <c r="E444" t="str">
        <f>IFERROR(VLOOKUP(D444,Table2[],2,FALSE),"")</f>
        <v>Ton</v>
      </c>
      <c r="F444" t="s">
        <v>406</v>
      </c>
      <c r="G444" t="str">
        <f>IFERROR(VLOOKUP(F444,Table2[],2,FALSE),"")</f>
        <v>FE</v>
      </c>
      <c r="H444" s="187">
        <f>VLOOKUP('Processer - data'!$D444,Foder!$A$2:$C$16,3,FALSE)</f>
        <v>152.28966986155484</v>
      </c>
      <c r="I444" s="187">
        <f>VLOOKUP('Processer - data'!$D444,Foder!$A$2:$C$16,3,FALSE)</f>
        <v>152.28966986155484</v>
      </c>
      <c r="J444" s="187">
        <f>VLOOKUP('Processer - data'!$D444,Foder!$A$2:$C$16,3,FALSE)</f>
        <v>152.28966986155484</v>
      </c>
      <c r="K444" s="145"/>
    </row>
    <row r="445" spans="1:11" x14ac:dyDescent="0.25">
      <c r="A445" s="180" t="s">
        <v>405</v>
      </c>
      <c r="B445" s="174"/>
      <c r="C445" s="174"/>
      <c r="D445" t="s">
        <v>15</v>
      </c>
      <c r="E445" t="str">
        <f>IFERROR(VLOOKUP(D445,Table2[],2,FALSE),"")</f>
        <v>Ton</v>
      </c>
      <c r="F445" t="s">
        <v>406</v>
      </c>
      <c r="G445" t="str">
        <f>IFERROR(VLOOKUP(F445,Table2[],2,FALSE),"")</f>
        <v>FE</v>
      </c>
      <c r="H445" s="187">
        <f>VLOOKUP('Processer - data'!$D445,Foder!$A$2:$C$16,3,FALSE)</f>
        <v>264.92478226444973</v>
      </c>
      <c r="I445" s="187">
        <f>VLOOKUP('Processer - data'!$D445,Foder!$A$2:$C$16,3,FALSE)</f>
        <v>264.92478226444973</v>
      </c>
      <c r="J445" s="187">
        <f>VLOOKUP('Processer - data'!$D445,Foder!$A$2:$C$16,3,FALSE)</f>
        <v>264.92478226444973</v>
      </c>
      <c r="K445" s="145"/>
    </row>
    <row r="446" spans="1:11" x14ac:dyDescent="0.25">
      <c r="A446" s="180" t="s">
        <v>405</v>
      </c>
      <c r="B446" s="174"/>
      <c r="C446" s="174"/>
      <c r="D446" t="s">
        <v>710</v>
      </c>
      <c r="E446" t="str">
        <f>IFERROR(VLOOKUP(D446,Table2[],2,FALSE),"")</f>
        <v>Ton</v>
      </c>
      <c r="F446" t="s">
        <v>406</v>
      </c>
      <c r="G446" t="str">
        <f>IFERROR(VLOOKUP(F446,Table2[],2,FALSE),"")</f>
        <v>FE</v>
      </c>
      <c r="H446" s="187">
        <f>VLOOKUP('Processer - data'!$D446,Foder!$A$2:$C$16,3,FALSE)</f>
        <v>1008.3682008368201</v>
      </c>
      <c r="I446" s="187">
        <f>VLOOKUP('Processer - data'!$D446,Foder!$A$2:$C$16,3,FALSE)</f>
        <v>1008.3682008368201</v>
      </c>
      <c r="J446" s="187">
        <f>VLOOKUP('Processer - data'!$D446,Foder!$A$2:$C$16,3,FALSE)</f>
        <v>1008.3682008368201</v>
      </c>
      <c r="K446" s="145"/>
    </row>
    <row r="447" spans="1:11" x14ac:dyDescent="0.25">
      <c r="A447" s="180" t="s">
        <v>405</v>
      </c>
      <c r="B447" s="174"/>
      <c r="C447" s="174"/>
      <c r="D447" t="s">
        <v>300</v>
      </c>
      <c r="E447" t="str">
        <f>IFERROR(VLOOKUP(D447,Table2[],2,FALSE),"")</f>
        <v>Ton</v>
      </c>
      <c r="F447" t="s">
        <v>406</v>
      </c>
      <c r="G447" t="str">
        <f>IFERROR(VLOOKUP(F447,Table2[],2,FALSE),"")</f>
        <v>FE</v>
      </c>
      <c r="H447" s="187">
        <f>VLOOKUP('Processer - data'!$D447,Foder!$A$2:$C$16,3,FALSE)</f>
        <v>1360</v>
      </c>
      <c r="I447" s="187">
        <f>VLOOKUP('Processer - data'!$D447,Foder!$A$2:$C$16,3,FALSE)</f>
        <v>1360</v>
      </c>
      <c r="J447" s="187">
        <f>VLOOKUP('Processer - data'!$D447,Foder!$A$2:$C$16,3,FALSE)</f>
        <v>1360</v>
      </c>
      <c r="K447" s="145"/>
    </row>
    <row r="448" spans="1:11" x14ac:dyDescent="0.25">
      <c r="A448" s="180" t="s">
        <v>405</v>
      </c>
      <c r="B448" s="174"/>
      <c r="C448" s="174"/>
      <c r="D448" t="s">
        <v>301</v>
      </c>
      <c r="E448" t="str">
        <f>IFERROR(VLOOKUP(D448,Table2[],2,FALSE),"")</f>
        <v>Ton</v>
      </c>
      <c r="F448" t="s">
        <v>406</v>
      </c>
      <c r="G448" t="str">
        <f>IFERROR(VLOOKUP(F448,Table2[],2,FALSE),"")</f>
        <v>FE</v>
      </c>
      <c r="H448" s="187">
        <f>VLOOKUP('Processer - data'!$D448,Foder!$A$2:$C$16,3,FALSE)</f>
        <v>1410</v>
      </c>
      <c r="I448" s="187">
        <f>VLOOKUP('Processer - data'!$D448,Foder!$A$2:$C$16,3,FALSE)</f>
        <v>1410</v>
      </c>
      <c r="J448" s="187">
        <f>VLOOKUP('Processer - data'!$D448,Foder!$A$2:$C$16,3,FALSE)</f>
        <v>1410</v>
      </c>
      <c r="K448" s="145"/>
    </row>
    <row r="449" spans="1:15" x14ac:dyDescent="0.25">
      <c r="A449" s="180" t="s">
        <v>405</v>
      </c>
      <c r="B449" s="174"/>
      <c r="C449" s="174"/>
      <c r="D449" t="s">
        <v>13</v>
      </c>
      <c r="E449" t="str">
        <f>IFERROR(VLOOKUP(D449,Table2[],2,FALSE),"")</f>
        <v>Ton</v>
      </c>
      <c r="F449" t="s">
        <v>406</v>
      </c>
      <c r="G449" t="str">
        <f>IFERROR(VLOOKUP(F449,Table2[],2,FALSE),"")</f>
        <v>FE</v>
      </c>
      <c r="H449" s="187">
        <f>VLOOKUP('Processer - data'!$D449,Foder!$A$2:$C$16,3,FALSE)</f>
        <v>166.31286143034919</v>
      </c>
      <c r="I449" s="187">
        <f>VLOOKUP('Processer - data'!$D449,Foder!$A$2:$C$16,3,FALSE)</f>
        <v>166.31286143034919</v>
      </c>
      <c r="J449" s="187">
        <f>VLOOKUP('Processer - data'!$D449,Foder!$A$2:$C$16,3,FALSE)</f>
        <v>166.31286143034919</v>
      </c>
      <c r="K449" s="145"/>
    </row>
    <row r="450" spans="1:15" x14ac:dyDescent="0.25">
      <c r="A450" s="180" t="s">
        <v>405</v>
      </c>
      <c r="B450" s="174"/>
      <c r="C450" s="174"/>
      <c r="D450" t="s">
        <v>420</v>
      </c>
      <c r="E450" t="str">
        <f>IFERROR(VLOOKUP(D450,Table2[],2,FALSE),"")</f>
        <v>Ton</v>
      </c>
      <c r="F450" t="s">
        <v>406</v>
      </c>
      <c r="G450" t="str">
        <f>IFERROR(VLOOKUP(F450,Table2[],2,FALSE),"")</f>
        <v>FE</v>
      </c>
      <c r="H450" s="187">
        <f>VLOOKUP('Processer - data'!$D450,Foder!$A$2:$C$16,3,FALSE)</f>
        <v>96.335697399527191</v>
      </c>
      <c r="I450" s="187">
        <f>VLOOKUP('Processer - data'!$D450,Foder!$A$2:$C$16,3,FALSE)</f>
        <v>96.335697399527191</v>
      </c>
      <c r="J450" s="187">
        <f>VLOOKUP('Processer - data'!$D450,Foder!$A$2:$C$16,3,FALSE)</f>
        <v>96.335697399527191</v>
      </c>
      <c r="K450" s="145"/>
    </row>
    <row r="451" spans="1:15" x14ac:dyDescent="0.25">
      <c r="A451" s="180" t="s">
        <v>405</v>
      </c>
      <c r="B451" s="174"/>
      <c r="C451" s="174"/>
      <c r="D451" t="s">
        <v>647</v>
      </c>
      <c r="E451" t="str">
        <f>IFERROR(VLOOKUP(D451,Table2[],2,FALSE),"")</f>
        <v>Ton</v>
      </c>
      <c r="F451" t="s">
        <v>406</v>
      </c>
      <c r="G451" t="str">
        <f>IFERROR(VLOOKUP(F451,Table2[],2,FALSE),"")</f>
        <v>FE</v>
      </c>
      <c r="H451" s="187">
        <f>VLOOKUP('Processer - data'!$D451,Foder!$A$2:$C$16,3,FALSE)</f>
        <v>309.40000000000003</v>
      </c>
      <c r="I451" s="187">
        <f>VLOOKUP('Processer - data'!$D451,Foder!$A$2:$C$16,3,FALSE)</f>
        <v>309.40000000000003</v>
      </c>
      <c r="J451" s="187">
        <f>VLOOKUP('Processer - data'!$D451,Foder!$A$2:$C$16,3,FALSE)</f>
        <v>309.40000000000003</v>
      </c>
      <c r="K451" s="145"/>
    </row>
    <row r="452" spans="1:15" x14ac:dyDescent="0.25">
      <c r="A452" s="180" t="s">
        <v>405</v>
      </c>
      <c r="B452" s="174"/>
      <c r="C452" s="174"/>
      <c r="D452" t="s">
        <v>645</v>
      </c>
      <c r="E452" t="str">
        <f>IFERROR(VLOOKUP(D452,Table2[],2,FALSE),"")</f>
        <v>Ton</v>
      </c>
      <c r="F452" t="s">
        <v>406</v>
      </c>
      <c r="G452" t="str">
        <f>IFERROR(VLOOKUP(F452,Table2[],2,FALSE),"")</f>
        <v>FE</v>
      </c>
      <c r="H452" s="187">
        <f>VLOOKUP('Processer - data'!$D452,Foder!$A$2:$C$16,3,FALSE)</f>
        <v>198</v>
      </c>
      <c r="I452" s="187">
        <f>VLOOKUP('Processer - data'!$D452,Foder!$A$2:$C$16,3,FALSE)</f>
        <v>198</v>
      </c>
      <c r="J452" s="187">
        <f>VLOOKUP('Processer - data'!$D452,Foder!$A$2:$C$16,3,FALSE)</f>
        <v>198</v>
      </c>
      <c r="K452" s="145"/>
    </row>
    <row r="453" spans="1:15" x14ac:dyDescent="0.25">
      <c r="A453" s="180" t="s">
        <v>405</v>
      </c>
      <c r="B453" s="174"/>
      <c r="C453" s="174"/>
      <c r="D453" t="s">
        <v>414</v>
      </c>
      <c r="E453" t="str">
        <f>IFERROR(VLOOKUP(D453,Table2[],2,FALSE),"")</f>
        <v>Ton</v>
      </c>
      <c r="F453" t="s">
        <v>406</v>
      </c>
      <c r="G453" t="str">
        <f>IFERROR(VLOOKUP(F453,Table2[],2,FALSE),"")</f>
        <v>FE</v>
      </c>
      <c r="H453" s="187">
        <f>VLOOKUP('Processer - data'!$D453,Foder!$A$2:$C$16,3,FALSE)</f>
        <v>2750</v>
      </c>
      <c r="I453" s="187">
        <f>VLOOKUP('Processer - data'!$D453,Foder!$A$2:$C$16,3,FALSE)</f>
        <v>2750</v>
      </c>
      <c r="J453" s="187">
        <f>VLOOKUP('Processer - data'!$D453,Foder!$A$2:$C$16,3,FALSE)</f>
        <v>2750</v>
      </c>
      <c r="K453" s="145"/>
    </row>
    <row r="454" spans="1:15" ht="15.75" thickBot="1" x14ac:dyDescent="0.3">
      <c r="A454" s="181" t="s">
        <v>405</v>
      </c>
      <c r="B454" s="175"/>
      <c r="C454" s="175"/>
      <c r="D454" s="146" t="s">
        <v>487</v>
      </c>
      <c r="E454" s="146" t="str">
        <f>IFERROR(VLOOKUP(D454,Table2[],2,FALSE),"")</f>
        <v>Ton</v>
      </c>
      <c r="F454" s="146" t="s">
        <v>406</v>
      </c>
      <c r="G454" s="146" t="str">
        <f>IFERROR(VLOOKUP(F454,Table2[],2,FALSE),"")</f>
        <v>FE</v>
      </c>
      <c r="H454" s="190">
        <f>VLOOKUP('Processer - data'!$D454,Foder!$A$2:$C$16,3,FALSE)</f>
        <v>743.22820037105748</v>
      </c>
      <c r="I454" s="190">
        <f>VLOOKUP('Processer - data'!$D454,Foder!$A$2:$C$16,3,FALSE)</f>
        <v>743.22820037105748</v>
      </c>
      <c r="J454" s="190">
        <f>VLOOKUP('Processer - data'!$D454,Foder!$A$2:$C$16,3,FALSE)</f>
        <v>743.22820037105748</v>
      </c>
      <c r="K454" s="147"/>
    </row>
    <row r="455" spans="1:15" ht="15.75" thickTop="1" x14ac:dyDescent="0.25">
      <c r="A455" s="180" t="s">
        <v>36</v>
      </c>
      <c r="B455" s="174"/>
      <c r="C455" s="174"/>
      <c r="D455" t="s">
        <v>37</v>
      </c>
      <c r="E455" t="str">
        <f>IFERROR(VLOOKUP(D455,Table2[],2,FALSE),"")</f>
        <v>Ton</v>
      </c>
      <c r="F455" t="s">
        <v>302</v>
      </c>
      <c r="G455" t="str">
        <f>IFERROR(VLOOKUP(F455,Table2[],2,FALSE),"")</f>
        <v>Nm3 CH4</v>
      </c>
      <c r="H455" s="163">
        <f>VLOOKUP('Processer - data'!$D455,Biogasudbytte!$A$2:$C$18,2,FALSE)</f>
        <v>160.6</v>
      </c>
      <c r="I455" s="163">
        <f>VLOOKUP('Processer - data'!$D455,Biogasudbytte!$A$2:$C$18,2,FALSE)</f>
        <v>160.6</v>
      </c>
      <c r="J455" s="163">
        <f>VLOOKUP('Processer - data'!$D455,Biogasudbytte!$A$2:$C$18,2,FALSE)</f>
        <v>160.6</v>
      </c>
      <c r="K455" s="145"/>
    </row>
    <row r="456" spans="1:15" x14ac:dyDescent="0.25">
      <c r="A456" s="180" t="s">
        <v>36</v>
      </c>
      <c r="B456" s="174"/>
      <c r="C456" s="174"/>
      <c r="D456" t="s">
        <v>11</v>
      </c>
      <c r="E456" t="str">
        <f>IFERROR(VLOOKUP(D456,Table2[],2,FALSE),"")</f>
        <v>Ton</v>
      </c>
      <c r="F456" t="s">
        <v>302</v>
      </c>
      <c r="G456" t="str">
        <f>IFERROR(VLOOKUP(F456,Table2[],2,FALSE),"")</f>
        <v>Nm3 CH4</v>
      </c>
      <c r="H456" s="163">
        <f>VLOOKUP('Processer - data'!$D456,Biogasudbytte!$A$2:$C$18,2,FALSE)</f>
        <v>95.4</v>
      </c>
      <c r="I456" s="163">
        <f>VLOOKUP('Processer - data'!$D456,Biogasudbytte!$A$2:$C$18,2,FALSE)</f>
        <v>95.4</v>
      </c>
      <c r="J456" s="163">
        <f>VLOOKUP('Processer - data'!$D456,Biogasudbytte!$A$2:$C$18,2,FALSE)</f>
        <v>95.4</v>
      </c>
      <c r="K456" s="145"/>
    </row>
    <row r="457" spans="1:15" x14ac:dyDescent="0.25">
      <c r="A457" s="180" t="s">
        <v>36</v>
      </c>
      <c r="B457" s="174"/>
      <c r="C457" s="174"/>
      <c r="D457" t="s">
        <v>13</v>
      </c>
      <c r="E457" t="str">
        <f>IFERROR(VLOOKUP(D457,Table2[],2,FALSE),"")</f>
        <v>Ton</v>
      </c>
      <c r="F457" t="s">
        <v>302</v>
      </c>
      <c r="G457" t="str">
        <f>IFERROR(VLOOKUP(F457,Table2[],2,FALSE),"")</f>
        <v>Nm3 CH4</v>
      </c>
      <c r="H457" s="163">
        <f>VLOOKUP('Processer - data'!$D457,Biogasudbytte!$A$2:$C$18,2,FALSE)</f>
        <v>51.25</v>
      </c>
      <c r="I457" s="163">
        <f>VLOOKUP('Processer - data'!$D457,Biogasudbytte!$A$2:$C$18,2,FALSE)</f>
        <v>51.25</v>
      </c>
      <c r="J457" s="163">
        <f>VLOOKUP('Processer - data'!$D457,Biogasudbytte!$A$2:$C$18,2,FALSE)</f>
        <v>51.25</v>
      </c>
      <c r="K457" s="145"/>
      <c r="O457" s="8"/>
    </row>
    <row r="458" spans="1:15" x14ac:dyDescent="0.25">
      <c r="A458" s="180" t="s">
        <v>36</v>
      </c>
      <c r="B458" s="174"/>
      <c r="C458" s="174"/>
      <c r="D458" t="s">
        <v>488</v>
      </c>
      <c r="E458" t="str">
        <f>IFERROR(VLOOKUP(D458,Table2[],2,FALSE),"")</f>
        <v>Ton</v>
      </c>
      <c r="F458" t="s">
        <v>302</v>
      </c>
      <c r="G458" t="str">
        <f>IFERROR(VLOOKUP(F458,Table2[],2,FALSE),"")</f>
        <v>Nm3 CH4</v>
      </c>
      <c r="H458" s="163">
        <f>VLOOKUP('Processer - data'!$D458,Biogasudbytte!$A$2:$C$18,2,FALSE)</f>
        <v>12</v>
      </c>
      <c r="I458" s="163">
        <f>VLOOKUP('Processer - data'!$D458,Biogasudbytte!$A$2:$C$18,2,FALSE)</f>
        <v>12</v>
      </c>
      <c r="J458" s="163">
        <f>VLOOKUP('Processer - data'!$D458,Biogasudbytte!$A$2:$C$18,2,FALSE)</f>
        <v>12</v>
      </c>
      <c r="K458" s="145"/>
      <c r="O458" s="9"/>
    </row>
    <row r="459" spans="1:15" x14ac:dyDescent="0.25">
      <c r="A459" s="180" t="s">
        <v>36</v>
      </c>
      <c r="B459" s="174"/>
      <c r="C459" s="174"/>
      <c r="D459" t="s">
        <v>488</v>
      </c>
      <c r="E459" t="str">
        <f>IFERROR(VLOOKUP(D459,Table2[],2,FALSE),"")</f>
        <v>Ton</v>
      </c>
      <c r="F459" t="s">
        <v>334</v>
      </c>
      <c r="G459" t="str">
        <f>IFERROR(VLOOKUP(F459,Table2[],2,FALSE),"")</f>
        <v>t CO2-ækvivalenter</v>
      </c>
      <c r="H459" s="412">
        <v>0</v>
      </c>
      <c r="I459" s="412">
        <v>0</v>
      </c>
      <c r="J459" s="412">
        <v>0</v>
      </c>
      <c r="K459" s="145" t="s">
        <v>953</v>
      </c>
      <c r="L459">
        <f>-Dyrehold!$U$13*Afgrødedata!$C$66</f>
        <v>-1.2727600045138086E-2</v>
      </c>
      <c r="O459" s="9"/>
    </row>
    <row r="460" spans="1:15" x14ac:dyDescent="0.25">
      <c r="A460" s="180" t="s">
        <v>36</v>
      </c>
      <c r="B460" s="174"/>
      <c r="C460" s="174"/>
      <c r="D460" t="s">
        <v>489</v>
      </c>
      <c r="E460" t="str">
        <f>IFERROR(VLOOKUP(D460,Table2[],2,FALSE),"")</f>
        <v>Ton</v>
      </c>
      <c r="F460" t="s">
        <v>302</v>
      </c>
      <c r="G460" t="str">
        <f>IFERROR(VLOOKUP(F460,Table2[],2,FALSE),"")</f>
        <v>Nm3 CH4</v>
      </c>
      <c r="H460" s="163">
        <f>VLOOKUP('Processer - data'!$D460,Biogasudbytte!$A$2:$C$18,2,FALSE)</f>
        <v>14.1</v>
      </c>
      <c r="I460" s="163">
        <f>VLOOKUP('Processer - data'!$D460,Biogasudbytte!$A$2:$C$18,2,FALSE)</f>
        <v>14.1</v>
      </c>
      <c r="J460" s="163">
        <f>VLOOKUP('Processer - data'!$D460,Biogasudbytte!$A$2:$C$18,2,FALSE)</f>
        <v>14.1</v>
      </c>
      <c r="K460" s="145"/>
      <c r="O460" s="9"/>
    </row>
    <row r="461" spans="1:15" x14ac:dyDescent="0.25">
      <c r="A461" s="180" t="s">
        <v>36</v>
      </c>
      <c r="B461" s="174"/>
      <c r="C461" s="174"/>
      <c r="D461" t="s">
        <v>489</v>
      </c>
      <c r="E461" t="str">
        <f>IFERROR(VLOOKUP(D461,Table2[],2,FALSE),"")</f>
        <v>Ton</v>
      </c>
      <c r="F461" t="s">
        <v>334</v>
      </c>
      <c r="G461" t="str">
        <f>IFERROR(VLOOKUP(F461,Table2[],2,FALSE),"")</f>
        <v>t CO2-ækvivalenter</v>
      </c>
      <c r="H461" s="412">
        <v>0</v>
      </c>
      <c r="I461" s="412">
        <v>0</v>
      </c>
      <c r="J461" s="412">
        <v>0</v>
      </c>
      <c r="K461" s="145" t="s">
        <v>953</v>
      </c>
      <c r="L461">
        <f>-Dyrehold!$U$8*Afgrødedata!$C$64</f>
        <v>-2.942635474487016E-2</v>
      </c>
      <c r="O461" s="9"/>
    </row>
    <row r="462" spans="1:15" x14ac:dyDescent="0.25">
      <c r="A462" s="180" t="s">
        <v>36</v>
      </c>
      <c r="B462" s="174"/>
      <c r="C462" s="174"/>
      <c r="D462" t="s">
        <v>490</v>
      </c>
      <c r="E462" t="str">
        <f>IFERROR(VLOOKUP(D462,Table2[],2,FALSE),"")</f>
        <v>Ton</v>
      </c>
      <c r="F462" t="s">
        <v>302</v>
      </c>
      <c r="G462" t="str">
        <f>IFERROR(VLOOKUP(F462,Table2[],2,FALSE),"")</f>
        <v>Nm3 CH4</v>
      </c>
      <c r="H462" s="163">
        <f>VLOOKUP('Processer - data'!$D462,Biogasudbytte!$A$2:$C$18,2,FALSE)</f>
        <v>13.1</v>
      </c>
      <c r="I462" s="163">
        <f>VLOOKUP('Processer - data'!$D462,Biogasudbytte!$A$2:$C$18,2,FALSE)</f>
        <v>13.1</v>
      </c>
      <c r="J462" s="163">
        <f>VLOOKUP('Processer - data'!$D462,Biogasudbytte!$A$2:$C$18,2,FALSE)</f>
        <v>13.1</v>
      </c>
      <c r="K462" s="145"/>
      <c r="O462" s="9"/>
    </row>
    <row r="463" spans="1:15" x14ac:dyDescent="0.25">
      <c r="A463" s="180" t="s">
        <v>36</v>
      </c>
      <c r="B463" s="174"/>
      <c r="C463" s="174"/>
      <c r="D463" t="s">
        <v>39</v>
      </c>
      <c r="E463" t="str">
        <f>IFERROR(VLOOKUP(D463,Table2[],2,FALSE),"")</f>
        <v>Ton</v>
      </c>
      <c r="F463" t="s">
        <v>302</v>
      </c>
      <c r="G463" t="str">
        <f>IFERROR(VLOOKUP(F463,Table2[],2,FALSE),"")</f>
        <v>Nm3 CH4</v>
      </c>
      <c r="H463" s="163">
        <f>VLOOKUP('Processer - data'!$D463,Biogasudbytte!$A$2:$C$18,2,FALSE)</f>
        <v>60</v>
      </c>
      <c r="I463" s="163">
        <f>VLOOKUP('Processer - data'!$D463,Biogasudbytte!$A$2:$C$18,2,FALSE)</f>
        <v>60</v>
      </c>
      <c r="J463" s="163">
        <f>VLOOKUP('Processer - data'!$D463,Biogasudbytte!$A$2:$C$18,2,FALSE)</f>
        <v>60</v>
      </c>
      <c r="K463" s="145"/>
      <c r="O463" s="8"/>
    </row>
    <row r="464" spans="1:15" x14ac:dyDescent="0.25">
      <c r="A464" s="180" t="s">
        <v>36</v>
      </c>
      <c r="B464" s="174"/>
      <c r="C464" s="174"/>
      <c r="D464" t="s">
        <v>15</v>
      </c>
      <c r="E464" t="str">
        <f>IFERROR(VLOOKUP(D464,Table2[],2,FALSE),"")</f>
        <v>Ton</v>
      </c>
      <c r="F464" t="s">
        <v>302</v>
      </c>
      <c r="G464" t="str">
        <f>IFERROR(VLOOKUP(F464,Table2[],2,FALSE),"")</f>
        <v>Nm3 CH4</v>
      </c>
      <c r="H464" s="163">
        <f>VLOOKUP('Processer - data'!$D464,Biogasudbytte!$A$2:$C$18,2,FALSE)</f>
        <v>100</v>
      </c>
      <c r="I464" s="163">
        <f>VLOOKUP('Processer - data'!$D464,Biogasudbytte!$A$2:$C$18,2,FALSE)</f>
        <v>100</v>
      </c>
      <c r="J464" s="163">
        <f>VLOOKUP('Processer - data'!$D464,Biogasudbytte!$A$2:$C$18,2,FALSE)</f>
        <v>100</v>
      </c>
      <c r="K464" s="145"/>
      <c r="O464" s="8"/>
    </row>
    <row r="465" spans="1:15" x14ac:dyDescent="0.25">
      <c r="A465" s="180" t="s">
        <v>36</v>
      </c>
      <c r="B465" s="174"/>
      <c r="C465" s="174"/>
      <c r="D465" t="s">
        <v>42</v>
      </c>
      <c r="E465" t="str">
        <f>IFERROR(VLOOKUP(D465,Table2[],2,FALSE),"")</f>
        <v>Ton</v>
      </c>
      <c r="F465" t="s">
        <v>302</v>
      </c>
      <c r="G465" t="str">
        <f>IFERROR(VLOOKUP(F465,Table2[],2,FALSE),"")</f>
        <v>Nm3 CH4</v>
      </c>
      <c r="H465" s="163">
        <f>VLOOKUP('Processer - data'!$D465,Biogasudbytte!$A$2:$C$18,2,FALSE)</f>
        <v>75.599999999999994</v>
      </c>
      <c r="I465" s="163">
        <f>VLOOKUP('Processer - data'!$D465,Biogasudbytte!$A$2:$C$18,2,FALSE)</f>
        <v>75.599999999999994</v>
      </c>
      <c r="J465" s="163">
        <f>VLOOKUP('Processer - data'!$D465,Biogasudbytte!$A$2:$C$18,2,FALSE)</f>
        <v>75.599999999999994</v>
      </c>
      <c r="K465" s="145"/>
      <c r="O465" s="8"/>
    </row>
    <row r="466" spans="1:15" x14ac:dyDescent="0.25">
      <c r="A466" s="180" t="s">
        <v>36</v>
      </c>
      <c r="B466" s="174"/>
      <c r="C466" s="174"/>
      <c r="D466" t="s">
        <v>312</v>
      </c>
      <c r="E466" t="str">
        <f>IFERROR(VLOOKUP(D466,Table2[],2,FALSE),"")</f>
        <v>Ton</v>
      </c>
      <c r="F466" t="s">
        <v>302</v>
      </c>
      <c r="G466" t="str">
        <f>IFERROR(VLOOKUP(F466,Table2[],2,FALSE),"")</f>
        <v>Nm3 CH4</v>
      </c>
      <c r="H466" s="163">
        <f>VLOOKUP('Processer - data'!$D466,Biogasudbytte!$A$2:$C$18,2,FALSE)</f>
        <v>94.9</v>
      </c>
      <c r="I466" s="163">
        <f>VLOOKUP('Processer - data'!$D466,Biogasudbytte!$A$2:$C$18,2,FALSE)</f>
        <v>94.9</v>
      </c>
      <c r="J466" s="163">
        <f>VLOOKUP('Processer - data'!$D466,Biogasudbytte!$A$2:$C$18,2,FALSE)</f>
        <v>94.9</v>
      </c>
      <c r="K466" s="145"/>
      <c r="O466" s="8"/>
    </row>
    <row r="467" spans="1:15" x14ac:dyDescent="0.25">
      <c r="A467" s="180" t="s">
        <v>36</v>
      </c>
      <c r="B467" s="174"/>
      <c r="C467" s="174"/>
      <c r="D467" t="s">
        <v>41</v>
      </c>
      <c r="E467" t="str">
        <f>IFERROR(VLOOKUP(D467,Table2[],2,FALSE),"")</f>
        <v>Ton</v>
      </c>
      <c r="F467" t="s">
        <v>302</v>
      </c>
      <c r="G467" t="str">
        <f>IFERROR(VLOOKUP(F467,Table2[],2,FALSE),"")</f>
        <v>Nm3 CH4</v>
      </c>
      <c r="H467" s="163">
        <f>VLOOKUP('Processer - data'!$D467,Biogasudbytte!$A$2:$C$18,2,FALSE)</f>
        <v>120.7</v>
      </c>
      <c r="I467" s="163">
        <f>VLOOKUP('Processer - data'!$D467,Biogasudbytte!$A$2:$C$18,2,FALSE)</f>
        <v>120.7</v>
      </c>
      <c r="J467" s="163">
        <f>VLOOKUP('Processer - data'!$D467,Biogasudbytte!$A$2:$C$18,2,FALSE)</f>
        <v>120.7</v>
      </c>
      <c r="K467" s="145"/>
      <c r="O467" s="8"/>
    </row>
    <row r="468" spans="1:15" x14ac:dyDescent="0.25">
      <c r="A468" s="180" t="s">
        <v>36</v>
      </c>
      <c r="B468" s="174"/>
      <c r="C468" s="174"/>
      <c r="D468" t="s">
        <v>301</v>
      </c>
      <c r="E468" t="str">
        <f>IFERROR(VLOOKUP(D468,Table2[],2,FALSE),"")</f>
        <v>Ton</v>
      </c>
      <c r="F468" t="s">
        <v>302</v>
      </c>
      <c r="G468" t="str">
        <f>IFERROR(VLOOKUP(F468,Table2[],2,FALSE),"")</f>
        <v>Nm3 CH4</v>
      </c>
      <c r="H468" s="163">
        <f>VLOOKUP('Processer - data'!$D468,Biogasudbytte!$A$2:$C$18,2,FALSE)</f>
        <v>25</v>
      </c>
      <c r="I468" s="163">
        <f>VLOOKUP('Processer - data'!$D468,Biogasudbytte!$A$2:$C$18,2,FALSE)</f>
        <v>25</v>
      </c>
      <c r="J468" s="163">
        <f>VLOOKUP('Processer - data'!$D468,Biogasudbytte!$A$2:$C$18,2,FALSE)</f>
        <v>25</v>
      </c>
      <c r="K468" s="145"/>
      <c r="O468" s="8"/>
    </row>
    <row r="469" spans="1:15" x14ac:dyDescent="0.25">
      <c r="A469" s="180" t="s">
        <v>36</v>
      </c>
      <c r="B469" s="174"/>
      <c r="C469" s="174"/>
      <c r="D469" t="s">
        <v>300</v>
      </c>
      <c r="E469" t="str">
        <f>IFERROR(VLOOKUP(D469,Table2[],2,FALSE),"")</f>
        <v>Ton</v>
      </c>
      <c r="F469" t="s">
        <v>302</v>
      </c>
      <c r="G469" t="str">
        <f>IFERROR(VLOOKUP(F469,Table2[],2,FALSE),"")</f>
        <v>Nm3 CH4</v>
      </c>
      <c r="H469" s="163">
        <f>VLOOKUP('Processer - data'!$D469,Biogasudbytte!$A$2:$C$18,2,FALSE)</f>
        <v>25</v>
      </c>
      <c r="I469" s="163">
        <f>VLOOKUP('Processer - data'!$D469,Biogasudbytte!$A$2:$C$18,2,FALSE)</f>
        <v>25</v>
      </c>
      <c r="J469" s="163">
        <f>VLOOKUP('Processer - data'!$D469,Biogasudbytte!$A$2:$C$18,2,FALSE)</f>
        <v>25</v>
      </c>
      <c r="K469" s="145"/>
      <c r="O469" s="8"/>
    </row>
    <row r="470" spans="1:15" x14ac:dyDescent="0.25">
      <c r="A470" s="180" t="s">
        <v>36</v>
      </c>
      <c r="B470" s="174"/>
      <c r="C470" s="174"/>
      <c r="D470" t="s">
        <v>517</v>
      </c>
      <c r="E470" t="str">
        <f>IFERROR(VLOOKUP(D470,Table2[],2,FALSE),"")</f>
        <v>Ton</v>
      </c>
      <c r="F470" t="s">
        <v>302</v>
      </c>
      <c r="G470" t="str">
        <f>IFERROR(VLOOKUP(F470,Table2[],2,FALSE),"")</f>
        <v>Nm3 CH4</v>
      </c>
      <c r="H470" s="163">
        <f>VLOOKUP('Processer - data'!$D470,Biogasudbytte!$A$2:$C$18,2,FALSE)</f>
        <v>47.3</v>
      </c>
      <c r="I470" s="163">
        <f>VLOOKUP('Processer - data'!$D470,Biogasudbytte!$A$2:$C$18,2,FALSE)</f>
        <v>47.3</v>
      </c>
      <c r="J470" s="163">
        <f>VLOOKUP('Processer - data'!$D470,Biogasudbytte!$A$2:$C$18,2,FALSE)</f>
        <v>47.3</v>
      </c>
      <c r="K470" s="145"/>
      <c r="O470" s="8"/>
    </row>
    <row r="471" spans="1:15" x14ac:dyDescent="0.25">
      <c r="A471" s="180" t="s">
        <v>36</v>
      </c>
      <c r="B471" s="174"/>
      <c r="C471" s="174"/>
      <c r="D471" t="s">
        <v>651</v>
      </c>
      <c r="E471" t="str">
        <f>IFERROR(VLOOKUP(D471,Table2[],2,FALSE),"")</f>
        <v>PJ</v>
      </c>
      <c r="F471" t="s">
        <v>302</v>
      </c>
      <c r="G471" t="str">
        <f>IFERROR(VLOOKUP(F471,Table2[],2,FALSE),"")</f>
        <v>Nm3 CH4</v>
      </c>
      <c r="H471" s="163">
        <f>VLOOKUP('Processer - data'!$D471,Biogasudbytte!$A$2:$C$18,2,FALSE)</f>
        <v>15.822453396634783</v>
      </c>
      <c r="I471" s="163">
        <f>VLOOKUP('Processer - data'!$D471,Biogasudbytte!$A$2:$C$18,2,FALSE)</f>
        <v>15.822453396634783</v>
      </c>
      <c r="J471" s="163">
        <f>VLOOKUP('Processer - data'!$D471,Biogasudbytte!$A$2:$C$18,2,FALSE)</f>
        <v>15.822453396634783</v>
      </c>
      <c r="K471" s="145"/>
      <c r="O471" s="8"/>
    </row>
    <row r="472" spans="1:15" x14ac:dyDescent="0.25">
      <c r="A472" s="180" t="s">
        <v>36</v>
      </c>
      <c r="B472" s="174"/>
      <c r="C472" s="174"/>
      <c r="D472" t="s">
        <v>509</v>
      </c>
      <c r="E472" t="str">
        <f>IFERROR(VLOOKUP(D472,Table2[],2,FALSE),"")</f>
        <v>Ton</v>
      </c>
      <c r="F472" t="s">
        <v>302</v>
      </c>
      <c r="G472" t="str">
        <f>IFERROR(VLOOKUP(F472,Table2[],2,FALSE),"")</f>
        <v>Nm3 CH4</v>
      </c>
      <c r="H472" s="163">
        <f>VLOOKUP('Processer - data'!$D472,Biogasudbytte!$A$2:$C$18,2,FALSE)</f>
        <v>423.36</v>
      </c>
      <c r="I472" s="163">
        <f>VLOOKUP('Processer - data'!$D472,Biogasudbytte!$A$2:$C$18,2,FALSE)</f>
        <v>423.36</v>
      </c>
      <c r="J472" s="163">
        <f>VLOOKUP('Processer - data'!$D472,Biogasudbytte!$A$2:$C$18,2,FALSE)</f>
        <v>423.36</v>
      </c>
      <c r="K472" s="145"/>
      <c r="O472" s="8"/>
    </row>
    <row r="473" spans="1:15" x14ac:dyDescent="0.25">
      <c r="A473" s="180" t="s">
        <v>36</v>
      </c>
      <c r="B473" s="174"/>
      <c r="C473" s="174"/>
      <c r="D473" t="s">
        <v>492</v>
      </c>
      <c r="E473" t="str">
        <f>IFERROR(VLOOKUP(D473,Table2[],2,FALSE),"")</f>
        <v>Ton</v>
      </c>
      <c r="F473" t="s">
        <v>302</v>
      </c>
      <c r="G473" t="str">
        <f>IFERROR(VLOOKUP(F473,Table2[],2,FALSE),"")</f>
        <v>Nm3 CH4</v>
      </c>
      <c r="H473" s="163">
        <f>VLOOKUP('Processer - data'!$D473,Biogasudbytte!$A$2:$C$18,2,FALSE)</f>
        <v>13.9</v>
      </c>
      <c r="I473" s="163">
        <f>VLOOKUP('Processer - data'!$D473,Biogasudbytte!$A$2:$C$18,2,FALSE)</f>
        <v>13.9</v>
      </c>
      <c r="J473" s="163">
        <f>VLOOKUP('Processer - data'!$D473,Biogasudbytte!$A$2:$C$18,2,FALSE)</f>
        <v>13.9</v>
      </c>
      <c r="K473" s="145"/>
      <c r="O473" s="8"/>
    </row>
    <row r="474" spans="1:15" ht="15.75" thickBot="1" x14ac:dyDescent="0.3">
      <c r="A474" s="180" t="s">
        <v>36</v>
      </c>
      <c r="B474" s="174"/>
      <c r="C474" s="174"/>
      <c r="D474" t="s">
        <v>342</v>
      </c>
      <c r="E474" t="str">
        <f>IFERROR(VLOOKUP(D474,Table2[],2,FALSE),"")</f>
        <v>Ton</v>
      </c>
      <c r="F474" t="s">
        <v>304</v>
      </c>
      <c r="G474" t="str">
        <f>IFERROR(VLOOKUP(F474,Table2[],2,FALSE),"")</f>
        <v>Ton</v>
      </c>
      <c r="H474" s="193">
        <f>0.9193</f>
        <v>0.91930000000000001</v>
      </c>
      <c r="I474" s="193">
        <f>0.9193</f>
        <v>0.91930000000000001</v>
      </c>
      <c r="J474" s="193">
        <f>0.9193</f>
        <v>0.91930000000000001</v>
      </c>
      <c r="K474" s="145" t="s">
        <v>498</v>
      </c>
      <c r="O474" s="8"/>
    </row>
    <row r="475" spans="1:15" ht="15.75" thickTop="1" x14ac:dyDescent="0.25">
      <c r="A475" s="179" t="s">
        <v>293</v>
      </c>
      <c r="B475" s="173"/>
      <c r="C475" s="173"/>
      <c r="D475" s="143" t="s">
        <v>488</v>
      </c>
      <c r="E475" s="143" t="str">
        <f>IFERROR(VLOOKUP(D475,Table2[],2,FALSE),"")</f>
        <v>Ton</v>
      </c>
      <c r="F475" s="143" t="s">
        <v>293</v>
      </c>
      <c r="G475" s="143" t="str">
        <f>IFERROR(VLOOKUP(F475,Table2[],2,FALSE),"")</f>
        <v>kg N</v>
      </c>
      <c r="H475" s="222">
        <f>5.3</f>
        <v>5.3</v>
      </c>
      <c r="I475" s="222">
        <f t="shared" ref="I475:J480" si="0">H475</f>
        <v>5.3</v>
      </c>
      <c r="J475" s="222">
        <f t="shared" si="0"/>
        <v>5.3</v>
      </c>
      <c r="K475" s="144" t="s">
        <v>542</v>
      </c>
    </row>
    <row r="476" spans="1:15" x14ac:dyDescent="0.25">
      <c r="A476" s="180" t="s">
        <v>293</v>
      </c>
      <c r="B476" s="174"/>
      <c r="C476" s="174"/>
      <c r="D476" t="s">
        <v>489</v>
      </c>
      <c r="E476" t="str">
        <f>IFERROR(VLOOKUP(D476,Table2[],2,FALSE),"")</f>
        <v>Ton</v>
      </c>
      <c r="F476" t="s">
        <v>293</v>
      </c>
      <c r="G476" t="str">
        <f>IFERROR(VLOOKUP(F476,Table2[],2,FALSE),"")</f>
        <v>kg N</v>
      </c>
      <c r="H476" s="223">
        <f>8</f>
        <v>8</v>
      </c>
      <c r="I476" s="223">
        <f t="shared" si="0"/>
        <v>8</v>
      </c>
      <c r="J476" s="223">
        <f t="shared" si="0"/>
        <v>8</v>
      </c>
      <c r="K476" s="145" t="s">
        <v>542</v>
      </c>
    </row>
    <row r="477" spans="1:15" x14ac:dyDescent="0.25">
      <c r="A477" s="180" t="s">
        <v>293</v>
      </c>
      <c r="B477" s="174"/>
      <c r="C477" s="174"/>
      <c r="D477" t="s">
        <v>490</v>
      </c>
      <c r="E477" t="str">
        <f>IFERROR(VLOOKUP(D477,Table2[],2,FALSE),"")</f>
        <v>Ton</v>
      </c>
      <c r="F477" t="s">
        <v>293</v>
      </c>
      <c r="G477" t="str">
        <f>IFERROR(VLOOKUP(F477,Table2[],2,FALSE),"")</f>
        <v>kg N</v>
      </c>
      <c r="H477" s="223">
        <f>7</f>
        <v>7</v>
      </c>
      <c r="I477" s="223">
        <f t="shared" si="0"/>
        <v>7</v>
      </c>
      <c r="J477" s="223">
        <f t="shared" si="0"/>
        <v>7</v>
      </c>
      <c r="K477" s="145" t="s">
        <v>542</v>
      </c>
    </row>
    <row r="478" spans="1:15" x14ac:dyDescent="0.25">
      <c r="A478" s="180" t="s">
        <v>293</v>
      </c>
      <c r="B478" s="174"/>
      <c r="C478" s="174"/>
      <c r="D478" t="s">
        <v>39</v>
      </c>
      <c r="E478" t="str">
        <f>IFERROR(VLOOKUP(D478,Table2[],2,FALSE),"")</f>
        <v>Ton</v>
      </c>
      <c r="F478" t="s">
        <v>293</v>
      </c>
      <c r="G478" t="str">
        <f>IFERROR(VLOOKUP(F478,Table2[],2,FALSE),"")</f>
        <v>kg N</v>
      </c>
      <c r="H478" s="223">
        <v>14</v>
      </c>
      <c r="I478" s="223">
        <f t="shared" si="0"/>
        <v>14</v>
      </c>
      <c r="J478" s="223">
        <f t="shared" si="0"/>
        <v>14</v>
      </c>
      <c r="K478" s="145" t="s">
        <v>542</v>
      </c>
    </row>
    <row r="479" spans="1:15" x14ac:dyDescent="0.25">
      <c r="A479" s="180" t="s">
        <v>293</v>
      </c>
      <c r="B479" s="174"/>
      <c r="C479" s="174"/>
      <c r="D479" t="s">
        <v>304</v>
      </c>
      <c r="E479" t="str">
        <f>IFERROR(VLOOKUP(D479,Table2[],2,FALSE),"")</f>
        <v>Ton</v>
      </c>
      <c r="F479" t="s">
        <v>293</v>
      </c>
      <c r="G479" t="str">
        <f>IFERROR(VLOOKUP(F479,Table2[],2,FALSE),"")</f>
        <v>kg N</v>
      </c>
      <c r="H479" s="194">
        <f>7</f>
        <v>7</v>
      </c>
      <c r="I479" s="194">
        <f t="shared" si="0"/>
        <v>7</v>
      </c>
      <c r="J479" s="194">
        <f t="shared" si="0"/>
        <v>7</v>
      </c>
      <c r="K479" s="145" t="s">
        <v>412</v>
      </c>
    </row>
    <row r="480" spans="1:15" ht="15.75" thickBot="1" x14ac:dyDescent="0.3">
      <c r="A480" s="180" t="s">
        <v>293</v>
      </c>
      <c r="B480" s="174"/>
      <c r="C480" s="174"/>
      <c r="D480" t="s">
        <v>310</v>
      </c>
      <c r="E480" t="str">
        <f>IFERROR(VLOOKUP(D480,Table2[],2,FALSE),"")</f>
        <v>Ton</v>
      </c>
      <c r="F480" t="s">
        <v>293</v>
      </c>
      <c r="G480" t="str">
        <f>IFERROR(VLOOKUP(F480,Table2[],2,FALSE),"")</f>
        <v>kg N</v>
      </c>
      <c r="H480" s="194">
        <v>160</v>
      </c>
      <c r="I480" s="194">
        <f t="shared" si="0"/>
        <v>160</v>
      </c>
      <c r="J480" s="194">
        <f t="shared" si="0"/>
        <v>160</v>
      </c>
      <c r="K480" s="145" t="s">
        <v>411</v>
      </c>
    </row>
    <row r="481" spans="1:11" ht="15.75" thickTop="1" x14ac:dyDescent="0.25">
      <c r="A481" s="179" t="s">
        <v>398</v>
      </c>
      <c r="B481" s="173"/>
      <c r="C481" s="173"/>
      <c r="D481" s="143" t="s">
        <v>37</v>
      </c>
      <c r="E481" s="143" t="str">
        <f>IFERROR(VLOOKUP(D481,Table2[],2,FALSE),"")</f>
        <v>Ton</v>
      </c>
      <c r="F481" s="143" t="s">
        <v>399</v>
      </c>
      <c r="G481" s="143" t="str">
        <f>IFERROR(VLOOKUP(F481,Table2[],2,FALSE),"")</f>
        <v>PJ</v>
      </c>
      <c r="H481" s="143">
        <f>VLOOKUP($D481,Energiindhold!$A$2:$C$10,3,FALSE)</f>
        <v>1.0335806339134365E-5</v>
      </c>
      <c r="I481" s="143">
        <f>VLOOKUP($D481,Energiindhold!$A$2:$C$10,3,FALSE)</f>
        <v>1.0335806339134365E-5</v>
      </c>
      <c r="J481" s="143">
        <f>VLOOKUP($D481,Energiindhold!$A$2:$C$10,3,FALSE)</f>
        <v>1.0335806339134365E-5</v>
      </c>
      <c r="K481" s="144"/>
    </row>
    <row r="482" spans="1:11" x14ac:dyDescent="0.25">
      <c r="A482" s="180" t="s">
        <v>398</v>
      </c>
      <c r="B482" s="174"/>
      <c r="C482" s="174"/>
      <c r="D482" t="s">
        <v>711</v>
      </c>
      <c r="E482" t="str">
        <f>IFERROR(VLOOKUP(D482,Table2[],2,FALSE),"")</f>
        <v>Ton</v>
      </c>
      <c r="F482" t="s">
        <v>399</v>
      </c>
      <c r="G482" t="str">
        <f>IFERROR(VLOOKUP(F482,Table2[],2,FALSE),"")</f>
        <v>PJ</v>
      </c>
      <c r="H482">
        <f>VLOOKUP($D482,Energiindhold!$A$2:$C$10,3,FALSE)</f>
        <v>3.4999999999999997E-5</v>
      </c>
      <c r="I482">
        <f>VLOOKUP($D482,Energiindhold!$A$2:$C$10,3,FALSE)</f>
        <v>3.4999999999999997E-5</v>
      </c>
      <c r="J482">
        <f>VLOOKUP($D482,Energiindhold!$A$2:$C$10,3,FALSE)</f>
        <v>3.4999999999999997E-5</v>
      </c>
      <c r="K482" s="145"/>
    </row>
    <row r="483" spans="1:11" x14ac:dyDescent="0.25">
      <c r="A483" s="180" t="s">
        <v>398</v>
      </c>
      <c r="B483" s="174"/>
      <c r="C483" s="174"/>
      <c r="D483" t="s">
        <v>329</v>
      </c>
      <c r="E483" t="str">
        <f>IFERROR(VLOOKUP(D483,Table2[],2,FALSE),"")</f>
        <v>Ton</v>
      </c>
      <c r="F483" t="s">
        <v>399</v>
      </c>
      <c r="G483" t="str">
        <f>IFERROR(VLOOKUP(F483,Table2[],2,FALSE),"")</f>
        <v>PJ</v>
      </c>
      <c r="H483">
        <f>VLOOKUP($D483,Energiindhold!$A$2:$C$10,3,FALSE)</f>
        <v>1.8399999999999997E-5</v>
      </c>
      <c r="I483">
        <f>VLOOKUP($D483,Energiindhold!$A$2:$C$10,3,FALSE)</f>
        <v>1.8399999999999997E-5</v>
      </c>
      <c r="J483">
        <f>VLOOKUP($D483,Energiindhold!$A$2:$C$10,3,FALSE)</f>
        <v>1.8399999999999997E-5</v>
      </c>
      <c r="K483" s="145"/>
    </row>
    <row r="484" spans="1:11" x14ac:dyDescent="0.25">
      <c r="A484" s="180" t="s">
        <v>398</v>
      </c>
      <c r="B484" s="174"/>
      <c r="C484" s="174"/>
      <c r="D484" t="s">
        <v>395</v>
      </c>
      <c r="E484" t="str">
        <f>IFERROR(VLOOKUP(D484,Table2[],2,FALSE),"")</f>
        <v>m3</v>
      </c>
      <c r="F484" t="s">
        <v>399</v>
      </c>
      <c r="G484" t="str">
        <f>IFERROR(VLOOKUP(F484,Table2[],2,FALSE),"")</f>
        <v>PJ</v>
      </c>
      <c r="H484">
        <f>VLOOKUP($D484,Energiindhold!$A$2:$C$10,3,FALSE)</f>
        <v>1.449356890077532E-5</v>
      </c>
      <c r="I484">
        <f>VLOOKUP($D484,Energiindhold!$A$2:$C$10,3,FALSE)</f>
        <v>1.449356890077532E-5</v>
      </c>
      <c r="J484">
        <f>VLOOKUP($D484,Energiindhold!$A$2:$C$10,3,FALSE)</f>
        <v>1.449356890077532E-5</v>
      </c>
      <c r="K484" s="145"/>
    </row>
    <row r="485" spans="1:11" x14ac:dyDescent="0.25">
      <c r="A485" s="180" t="s">
        <v>398</v>
      </c>
      <c r="B485" s="174"/>
      <c r="C485" s="174"/>
      <c r="D485" t="s">
        <v>517</v>
      </c>
      <c r="E485" t="str">
        <f>IFERROR(VLOOKUP(D485,Table2[],2,FALSE),"")</f>
        <v>Ton</v>
      </c>
      <c r="F485" t="s">
        <v>399</v>
      </c>
      <c r="G485" t="str">
        <f>IFERROR(VLOOKUP(F485,Table2[],2,FALSE),"")</f>
        <v>PJ</v>
      </c>
      <c r="H485">
        <f>VLOOKUP($D485,Energiindhold!$A$2:$C$10,3,FALSE)</f>
        <v>1.7852220520673815E-5</v>
      </c>
      <c r="I485">
        <f>VLOOKUP($D485,Energiindhold!$A$2:$C$10,3,FALSE)</f>
        <v>1.7852220520673815E-5</v>
      </c>
      <c r="J485">
        <f>VLOOKUP($D485,Energiindhold!$A$2:$C$10,3,FALSE)</f>
        <v>1.7852220520673815E-5</v>
      </c>
      <c r="K485" s="145"/>
    </row>
    <row r="486" spans="1:11" x14ac:dyDescent="0.25">
      <c r="A486" s="180" t="s">
        <v>398</v>
      </c>
      <c r="B486" s="174"/>
      <c r="C486" s="174"/>
      <c r="D486" t="s">
        <v>312</v>
      </c>
      <c r="E486" t="str">
        <f>IFERROR(VLOOKUP(D486,Table2[],2,FALSE),"")</f>
        <v>Ton</v>
      </c>
      <c r="F486" t="s">
        <v>399</v>
      </c>
      <c r="G486" t="str">
        <f>IFERROR(VLOOKUP(F486,Table2[],2,FALSE),"")</f>
        <v>PJ</v>
      </c>
      <c r="H486">
        <f>VLOOKUP($D486,Energiindhold!$A$2:$C$10,3,FALSE)</f>
        <v>1.7852220520673815E-5</v>
      </c>
      <c r="I486">
        <f>VLOOKUP($D486,Energiindhold!$A$2:$C$10,3,FALSE)</f>
        <v>1.7852220520673815E-5</v>
      </c>
      <c r="J486">
        <f>VLOOKUP($D486,Energiindhold!$A$2:$C$10,3,FALSE)</f>
        <v>1.7852220520673815E-5</v>
      </c>
      <c r="K486" s="145"/>
    </row>
    <row r="487" spans="1:11" x14ac:dyDescent="0.25">
      <c r="A487" s="180" t="s">
        <v>398</v>
      </c>
      <c r="B487" s="174"/>
      <c r="C487" s="174"/>
      <c r="D487" t="s">
        <v>879</v>
      </c>
      <c r="E487" t="str">
        <f>IFERROR(VLOOKUP(D487,Table2[],2,FALSE),"")</f>
        <v>Ton</v>
      </c>
      <c r="F487" t="s">
        <v>399</v>
      </c>
      <c r="G487" t="str">
        <f>IFERROR(VLOOKUP(F487,Table2[],2,FALSE),"")</f>
        <v>PJ</v>
      </c>
      <c r="H487">
        <f>VLOOKUP($D487,Energiindhold!$A$2:$C$10,3,FALSE)</f>
        <v>3.326857142857142E-5</v>
      </c>
      <c r="I487">
        <f>VLOOKUP($D487,Energiindhold!$A$2:$C$10,3,FALSE)</f>
        <v>3.326857142857142E-5</v>
      </c>
      <c r="J487">
        <f>VLOOKUP($D487,Energiindhold!$A$2:$C$10,3,FALSE)</f>
        <v>3.326857142857142E-5</v>
      </c>
      <c r="K487" s="145"/>
    </row>
    <row r="488" spans="1:11" x14ac:dyDescent="0.25">
      <c r="A488" s="180" t="s">
        <v>398</v>
      </c>
      <c r="B488" s="174"/>
      <c r="C488" s="174"/>
      <c r="D488" t="s">
        <v>867</v>
      </c>
      <c r="E488" t="str">
        <f>IFERROR(VLOOKUP(D488,Table2[],2,FALSE),"")</f>
        <v>Ton</v>
      </c>
      <c r="F488" t="s">
        <v>399</v>
      </c>
      <c r="G488" t="str">
        <f>IFERROR(VLOOKUP(F488,Table2[],2,FALSE),"")</f>
        <v>PJ</v>
      </c>
      <c r="H488">
        <f>VLOOKUP($D488,Energiindhold!$A$2:$C$10,3,FALSE)</f>
        <v>8.9614285714285689E-6</v>
      </c>
      <c r="I488">
        <f>VLOOKUP($D488,Energiindhold!$A$2:$C$10,3,FALSE)</f>
        <v>8.9614285714285689E-6</v>
      </c>
      <c r="J488">
        <f>VLOOKUP($D488,Energiindhold!$A$2:$C$10,3,FALSE)</f>
        <v>8.9614285714285689E-6</v>
      </c>
      <c r="K488" s="145"/>
    </row>
    <row r="489" spans="1:11" ht="15.75" thickBot="1" x14ac:dyDescent="0.3">
      <c r="A489" s="181" t="s">
        <v>398</v>
      </c>
      <c r="B489" s="175"/>
      <c r="C489" s="175"/>
      <c r="D489" s="146" t="s">
        <v>302</v>
      </c>
      <c r="E489" s="146" t="str">
        <f>IFERROR(VLOOKUP(D489,Table2[],2,FALSE),"")</f>
        <v>Nm3 CH4</v>
      </c>
      <c r="F489" s="146" t="s">
        <v>399</v>
      </c>
      <c r="G489" s="146" t="str">
        <f>IFERROR(VLOOKUP(F489,Table2[],2,FALSE),"")</f>
        <v>PJ</v>
      </c>
      <c r="H489" s="146">
        <f>VLOOKUP($D489,Energiindhold!$A$2:$C$10,3,FALSE)</f>
        <v>3.5900000000000004E-8</v>
      </c>
      <c r="I489" s="146">
        <f>VLOOKUP($D489,Energiindhold!$A$2:$C$10,3,FALSE)</f>
        <v>3.5900000000000004E-8</v>
      </c>
      <c r="J489" s="146">
        <f>VLOOKUP($D489,Energiindhold!$A$2:$C$10,3,FALSE)</f>
        <v>3.5900000000000004E-8</v>
      </c>
      <c r="K489" s="147"/>
    </row>
    <row r="490" spans="1:11" ht="15.75" thickTop="1" x14ac:dyDescent="0.25">
      <c r="A490" s="179" t="s">
        <v>646</v>
      </c>
      <c r="B490" s="173"/>
      <c r="C490" s="173"/>
      <c r="D490" s="143" t="s">
        <v>13</v>
      </c>
      <c r="E490" s="143" t="str">
        <f>IFERROR(VLOOKUP(D490,Table2[],2,FALSE),"")</f>
        <v>Ton</v>
      </c>
      <c r="F490" s="143" t="s">
        <v>645</v>
      </c>
      <c r="G490" s="143" t="str">
        <f>IFERROR(VLOOKUP(F490,Table2[],2,FALSE),"")</f>
        <v>Ton</v>
      </c>
      <c r="H490" s="169">
        <f>'Procesdata (baggrund)'!E3</f>
        <v>0.16717139181723129</v>
      </c>
      <c r="I490" s="169">
        <f t="shared" ref="I490:J492" si="1">H490</f>
        <v>0.16717139181723129</v>
      </c>
      <c r="J490" s="169">
        <f t="shared" si="1"/>
        <v>0.16717139181723129</v>
      </c>
      <c r="K490" s="144"/>
    </row>
    <row r="491" spans="1:11" x14ac:dyDescent="0.25">
      <c r="A491" s="180" t="s">
        <v>646</v>
      </c>
      <c r="B491" s="174"/>
      <c r="C491" s="174"/>
      <c r="D491" t="s">
        <v>13</v>
      </c>
      <c r="E491" t="str">
        <f>IFERROR(VLOOKUP(D491,Table2[],2,FALSE),"")</f>
        <v>Ton</v>
      </c>
      <c r="F491" t="s">
        <v>647</v>
      </c>
      <c r="G491" t="str">
        <f>IFERROR(VLOOKUP(F491,Table2[],2,FALSE),"")</f>
        <v>Ton</v>
      </c>
      <c r="H491" s="163">
        <f>'Procesdata (baggrund)'!E4</f>
        <v>0.34417639491782914</v>
      </c>
      <c r="I491" s="163">
        <f t="shared" si="1"/>
        <v>0.34417639491782914</v>
      </c>
      <c r="J491" s="163">
        <f t="shared" si="1"/>
        <v>0.34417639491782914</v>
      </c>
      <c r="K491" s="145"/>
    </row>
    <row r="492" spans="1:11" ht="15.75" thickBot="1" x14ac:dyDescent="0.3">
      <c r="A492" s="181" t="s">
        <v>646</v>
      </c>
      <c r="B492" s="175"/>
      <c r="C492" s="175"/>
      <c r="D492" s="146" t="s">
        <v>13</v>
      </c>
      <c r="E492" s="146" t="str">
        <f>IFERROR(VLOOKUP(D492,Table2[],2,FALSE),"")</f>
        <v>Ton</v>
      </c>
      <c r="F492" s="146" t="s">
        <v>651</v>
      </c>
      <c r="G492" s="146" t="str">
        <f>IFERROR(VLOOKUP(F492,Table2[],2,FALSE),"")</f>
        <v>PJ</v>
      </c>
      <c r="H492" s="170">
        <f>'Procesdata (baggrund)'!E5</f>
        <v>0.48865221326493952</v>
      </c>
      <c r="I492" s="170">
        <f t="shared" si="1"/>
        <v>0.48865221326493952</v>
      </c>
      <c r="J492" s="170">
        <f t="shared" si="1"/>
        <v>0.48865221326493952</v>
      </c>
      <c r="K492" s="147"/>
    </row>
    <row r="493" spans="1:11" ht="15.75" thickTop="1" x14ac:dyDescent="0.25">
      <c r="A493" s="179" t="s">
        <v>712</v>
      </c>
      <c r="B493" s="173"/>
      <c r="C493" s="173"/>
      <c r="D493" s="143" t="s">
        <v>167</v>
      </c>
      <c r="E493" s="143" t="str">
        <f>IFERROR(VLOOKUP(D493,Table2[],2,FALSE),"")</f>
        <v>Ton</v>
      </c>
      <c r="F493" s="143" t="s">
        <v>710</v>
      </c>
      <c r="G493" s="143" t="str">
        <f>IFERROR(VLOOKUP(F493,Table2[],2,FALSE),"")</f>
        <v>Ton</v>
      </c>
      <c r="H493" s="169">
        <v>0.5</v>
      </c>
      <c r="I493" s="169">
        <f t="shared" ref="I493:J497" si="2">H493</f>
        <v>0.5</v>
      </c>
      <c r="J493" s="169">
        <f t="shared" si="2"/>
        <v>0.5</v>
      </c>
      <c r="K493" s="144"/>
    </row>
    <row r="494" spans="1:11" ht="15.75" thickBot="1" x14ac:dyDescent="0.3">
      <c r="A494" s="181" t="s">
        <v>712</v>
      </c>
      <c r="B494" s="175"/>
      <c r="C494" s="175"/>
      <c r="D494" s="146" t="s">
        <v>167</v>
      </c>
      <c r="E494" s="146" t="str">
        <f>IFERROR(VLOOKUP(D494,Table2[],2,FALSE),"")</f>
        <v>Ton</v>
      </c>
      <c r="F494" s="146" t="s">
        <v>711</v>
      </c>
      <c r="G494" s="146" t="str">
        <f>IFERROR(VLOOKUP(F494,Table2[],2,FALSE),"")</f>
        <v>Ton</v>
      </c>
      <c r="H494" s="170">
        <v>0.32</v>
      </c>
      <c r="I494" s="170">
        <f t="shared" si="2"/>
        <v>0.32</v>
      </c>
      <c r="J494" s="170">
        <f t="shared" si="2"/>
        <v>0.32</v>
      </c>
      <c r="K494" s="147"/>
    </row>
    <row r="495" spans="1:11" ht="15.75" thickTop="1" x14ac:dyDescent="0.25">
      <c r="A495" s="179" t="s">
        <v>865</v>
      </c>
      <c r="B495" s="173"/>
      <c r="C495" s="173"/>
      <c r="D495" s="143" t="s">
        <v>37</v>
      </c>
      <c r="E495" s="143" t="str">
        <f>IFERROR(VLOOKUP(D495,Table2[],2,FALSE),"")</f>
        <v>Ton</v>
      </c>
      <c r="F495" s="143" t="s">
        <v>334</v>
      </c>
      <c r="G495" s="143" t="str">
        <f>IFERROR(VLOOKUP(F495,Table2[],2,FALSE),"")</f>
        <v>t CO2-ækvivalenter</v>
      </c>
      <c r="H495" s="169">
        <f>'Procesdata (baggrund)'!B15</f>
        <v>-0.65266666666666662</v>
      </c>
      <c r="I495" s="169">
        <f t="shared" si="2"/>
        <v>-0.65266666666666662</v>
      </c>
      <c r="J495" s="169">
        <f t="shared" si="2"/>
        <v>-0.65266666666666662</v>
      </c>
      <c r="K495" s="144"/>
    </row>
    <row r="496" spans="1:11" x14ac:dyDescent="0.25">
      <c r="A496" s="180" t="s">
        <v>865</v>
      </c>
      <c r="B496" s="174"/>
      <c r="C496" s="174"/>
      <c r="D496" t="s">
        <v>37</v>
      </c>
      <c r="E496" t="str">
        <f>IFERROR(VLOOKUP(D496,Table2[],2,FALSE),"")</f>
        <v>Ton</v>
      </c>
      <c r="F496" t="s">
        <v>879</v>
      </c>
      <c r="G496" t="str">
        <f>IFERROR(VLOOKUP(F496,Table2[],2,FALSE),"")</f>
        <v>Ton</v>
      </c>
      <c r="H496" s="163">
        <f>'Procesdata (baggrund)'!B16</f>
        <v>0.14000000000000001</v>
      </c>
      <c r="I496" s="163">
        <f t="shared" si="2"/>
        <v>0.14000000000000001</v>
      </c>
      <c r="J496" s="163">
        <f t="shared" si="2"/>
        <v>0.14000000000000001</v>
      </c>
      <c r="K496" s="145"/>
    </row>
    <row r="497" spans="1:11" ht="15.75" thickBot="1" x14ac:dyDescent="0.3">
      <c r="A497" s="181" t="s">
        <v>865</v>
      </c>
      <c r="B497" s="175"/>
      <c r="C497" s="175"/>
      <c r="D497" s="146" t="s">
        <v>37</v>
      </c>
      <c r="E497" s="146" t="str">
        <f>IFERROR(VLOOKUP(D497,Table2[],2,FALSE),"")</f>
        <v>Ton</v>
      </c>
      <c r="F497" s="146" t="s">
        <v>867</v>
      </c>
      <c r="G497" s="146" t="str">
        <f>IFERROR(VLOOKUP(F497,Table2[],2,FALSE),"")</f>
        <v>Ton</v>
      </c>
      <c r="H497" s="170">
        <f>'Procesdata (baggrund)'!B17</f>
        <v>0.56000000000000005</v>
      </c>
      <c r="I497" s="170">
        <f t="shared" si="2"/>
        <v>0.56000000000000005</v>
      </c>
      <c r="J497" s="170">
        <f t="shared" si="2"/>
        <v>0.56000000000000005</v>
      </c>
      <c r="K497" s="147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328</v>
      </c>
      <c r="B1" t="s">
        <v>777</v>
      </c>
      <c r="E1" t="s">
        <v>776</v>
      </c>
      <c r="F1" t="s">
        <v>305</v>
      </c>
      <c r="G1" t="s">
        <v>392</v>
      </c>
      <c r="H1" t="s">
        <v>416</v>
      </c>
    </row>
    <row r="2" spans="1:8" x14ac:dyDescent="0.25">
      <c r="A2" s="166" t="s">
        <v>29</v>
      </c>
      <c r="B2" s="166" t="s">
        <v>408</v>
      </c>
      <c r="E2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25">
      <c r="A3" s="165" t="s">
        <v>22</v>
      </c>
      <c r="B3" s="166" t="s">
        <v>408</v>
      </c>
      <c r="E3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66" t="s">
        <v>36</v>
      </c>
      <c r="B4" s="166" t="s">
        <v>417</v>
      </c>
      <c r="E4" t="s">
        <v>571</v>
      </c>
      <c r="F4" t="s">
        <v>62</v>
      </c>
      <c r="G4">
        <v>1</v>
      </c>
      <c r="H4" t="b">
        <f>IF(COUNTIF('Processer - data'!$D:$F,Table2[[#This Row],[Råvare]])&gt;0,TRUE,FALSE)</f>
        <v>1</v>
      </c>
    </row>
    <row r="5" spans="1:8" x14ac:dyDescent="0.25">
      <c r="A5" s="166" t="s">
        <v>340</v>
      </c>
      <c r="B5" s="166" t="s">
        <v>408</v>
      </c>
      <c r="E5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66" t="s">
        <v>405</v>
      </c>
      <c r="B6" s="166" t="s">
        <v>419</v>
      </c>
      <c r="E6" t="s">
        <v>537</v>
      </c>
      <c r="F6" t="s">
        <v>62</v>
      </c>
      <c r="G6">
        <v>1</v>
      </c>
      <c r="H6" t="b">
        <f>IF(COUNTIF('Processer - data'!$D:$F,Table2[[#This Row],[Råvare]])&gt;0,TRUE,FALSE)</f>
        <v>1</v>
      </c>
    </row>
    <row r="7" spans="1:8" x14ac:dyDescent="0.25">
      <c r="A7" s="166" t="s">
        <v>296</v>
      </c>
      <c r="B7" s="166" t="s">
        <v>408</v>
      </c>
      <c r="E7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66" t="s">
        <v>535</v>
      </c>
      <c r="B8" s="166" t="s">
        <v>408</v>
      </c>
      <c r="E8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66" t="s">
        <v>293</v>
      </c>
      <c r="B9" s="166" t="s">
        <v>418</v>
      </c>
      <c r="E9" t="s">
        <v>539</v>
      </c>
      <c r="F9" t="s">
        <v>62</v>
      </c>
      <c r="G9">
        <v>1</v>
      </c>
      <c r="H9" t="b">
        <f>IF(COUNTIF('Processer - data'!$D:$F,Table2[[#This Row],[Råvare]])&gt;0,TRUE,FALSE)</f>
        <v>1</v>
      </c>
    </row>
    <row r="10" spans="1:8" x14ac:dyDescent="0.25">
      <c r="A10" s="166" t="s">
        <v>28</v>
      </c>
      <c r="B10" s="166" t="s">
        <v>408</v>
      </c>
      <c r="E10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66" t="s">
        <v>339</v>
      </c>
      <c r="B11" s="166" t="s">
        <v>408</v>
      </c>
      <c r="E11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66" t="s">
        <v>27</v>
      </c>
      <c r="B12" s="166" t="s">
        <v>408</v>
      </c>
      <c r="E12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66" t="s">
        <v>26</v>
      </c>
      <c r="B13" s="166" t="s">
        <v>408</v>
      </c>
      <c r="E13" t="s">
        <v>538</v>
      </c>
      <c r="F13" t="s">
        <v>62</v>
      </c>
      <c r="G13">
        <v>1</v>
      </c>
      <c r="H13" t="b">
        <f>IF(COUNTIF('Processer - data'!$D:$F,Table2[[#This Row],[Råvare]])&gt;0,TRUE,FALSE)</f>
        <v>1</v>
      </c>
    </row>
    <row r="14" spans="1:8" x14ac:dyDescent="0.25">
      <c r="A14" s="166" t="s">
        <v>540</v>
      </c>
      <c r="B14" s="166" t="s">
        <v>408</v>
      </c>
      <c r="E14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66" t="s">
        <v>294</v>
      </c>
      <c r="B15" s="166" t="s">
        <v>408</v>
      </c>
      <c r="E15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66" t="s">
        <v>25</v>
      </c>
      <c r="B16" s="166" t="s">
        <v>408</v>
      </c>
      <c r="E1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66" t="s">
        <v>341</v>
      </c>
      <c r="B17" s="166" t="s">
        <v>408</v>
      </c>
      <c r="E17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66" t="s">
        <v>31</v>
      </c>
      <c r="B18" s="166" t="s">
        <v>408</v>
      </c>
      <c r="E18" t="s">
        <v>551</v>
      </c>
      <c r="F18" t="s">
        <v>62</v>
      </c>
      <c r="G18">
        <v>1</v>
      </c>
      <c r="H18" t="b">
        <f>IF(COUNTIF('Processer - data'!$D:$F,Table2[[#This Row],[Råvare]])&gt;0,TRUE,FALSE)</f>
        <v>1</v>
      </c>
    </row>
    <row r="19" spans="1:8" x14ac:dyDescent="0.25">
      <c r="A19" s="165" t="s">
        <v>34</v>
      </c>
      <c r="B19" s="166" t="s">
        <v>407</v>
      </c>
      <c r="E19" t="s">
        <v>552</v>
      </c>
      <c r="F19" t="s">
        <v>62</v>
      </c>
      <c r="G19">
        <v>1</v>
      </c>
      <c r="H19" t="b">
        <f>IF(COUNTIF('Processer - data'!$D:$F,Table2[[#This Row],[Råvare]])&gt;0,TRUE,FALSE)</f>
        <v>1</v>
      </c>
    </row>
    <row r="20" spans="1:8" x14ac:dyDescent="0.25">
      <c r="A20" s="165" t="s">
        <v>23</v>
      </c>
      <c r="B20" s="166" t="s">
        <v>408</v>
      </c>
      <c r="E20" t="s">
        <v>553</v>
      </c>
      <c r="F20" t="s">
        <v>62</v>
      </c>
      <c r="G20">
        <v>1</v>
      </c>
      <c r="H20" t="b">
        <f>IF(COUNTIF('Processer - data'!$D:$F,Table2[[#This Row],[Råvare]])&gt;0,TRUE,FALSE)</f>
        <v>1</v>
      </c>
    </row>
    <row r="21" spans="1:8" x14ac:dyDescent="0.25">
      <c r="A21" s="166" t="s">
        <v>536</v>
      </c>
      <c r="B21" s="166" t="s">
        <v>408</v>
      </c>
      <c r="E21" t="s">
        <v>554</v>
      </c>
      <c r="F21" t="s">
        <v>62</v>
      </c>
      <c r="G21">
        <v>1</v>
      </c>
      <c r="H21" t="b">
        <f>IF(COUNTIF('Processer - data'!$D:$F,Table2[[#This Row],[Råvare]])&gt;0,TRUE,FALSE)</f>
        <v>1</v>
      </c>
    </row>
    <row r="22" spans="1:8" x14ac:dyDescent="0.25">
      <c r="A22" s="166" t="s">
        <v>61</v>
      </c>
      <c r="B22" s="166" t="s">
        <v>408</v>
      </c>
      <c r="E22" t="s">
        <v>555</v>
      </c>
      <c r="F22" t="s">
        <v>62</v>
      </c>
      <c r="G22">
        <v>1</v>
      </c>
      <c r="H22" t="b">
        <f>IF(COUNTIF('Processer - data'!$D:$F,Table2[[#This Row],[Råvare]])&gt;0,TRUE,FALSE)</f>
        <v>1</v>
      </c>
    </row>
    <row r="23" spans="1:8" x14ac:dyDescent="0.25">
      <c r="A23" s="166" t="s">
        <v>32</v>
      </c>
      <c r="B23" s="166" t="s">
        <v>408</v>
      </c>
      <c r="E23" t="s">
        <v>556</v>
      </c>
      <c r="F23" t="s">
        <v>62</v>
      </c>
      <c r="G23">
        <v>1</v>
      </c>
      <c r="H23" t="b">
        <f>IF(COUNTIF('Processer - data'!$D:$F,Table2[[#This Row],[Råvare]])&gt;0,TRUE,FALSE)</f>
        <v>1</v>
      </c>
    </row>
    <row r="24" spans="1:8" x14ac:dyDescent="0.25">
      <c r="A24" s="166" t="s">
        <v>646</v>
      </c>
      <c r="B24" s="166" t="s">
        <v>659</v>
      </c>
      <c r="E24" t="s">
        <v>557</v>
      </c>
      <c r="F24" t="s">
        <v>62</v>
      </c>
      <c r="G24">
        <v>1</v>
      </c>
      <c r="H24" t="b">
        <f>IF(COUNTIF('Processer - data'!$D:$F,Table2[[#This Row],[Råvare]])&gt;0,TRUE,FALSE)</f>
        <v>1</v>
      </c>
    </row>
    <row r="25" spans="1:8" x14ac:dyDescent="0.25">
      <c r="A25" s="166" t="s">
        <v>865</v>
      </c>
      <c r="B25" s="166" t="s">
        <v>866</v>
      </c>
      <c r="E25" t="s">
        <v>558</v>
      </c>
      <c r="F25" t="s">
        <v>62</v>
      </c>
      <c r="G25">
        <v>1</v>
      </c>
      <c r="H25" t="b">
        <f>IF(COUNTIF('Processer - data'!$D:$F,Table2[[#This Row],[Råvare]])&gt;0,TRUE,FALSE)</f>
        <v>1</v>
      </c>
    </row>
    <row r="26" spans="1:8" x14ac:dyDescent="0.25">
      <c r="A26" s="166" t="s">
        <v>712</v>
      </c>
      <c r="B26" s="166" t="s">
        <v>407</v>
      </c>
      <c r="E26" t="s">
        <v>559</v>
      </c>
      <c r="F26" t="s">
        <v>62</v>
      </c>
      <c r="G26">
        <v>1</v>
      </c>
      <c r="H26" t="b">
        <f>IF(COUNTIF('Processer - data'!$D:$F,Table2[[#This Row],[Råvare]])&gt;0,TRUE,FALSE)</f>
        <v>1</v>
      </c>
    </row>
    <row r="27" spans="1:8" x14ac:dyDescent="0.25">
      <c r="A27" s="192" t="s">
        <v>295</v>
      </c>
      <c r="B27" s="166" t="s">
        <v>408</v>
      </c>
      <c r="E27" t="s">
        <v>560</v>
      </c>
      <c r="F27" t="s">
        <v>62</v>
      </c>
      <c r="G27">
        <v>1</v>
      </c>
      <c r="H27" t="b">
        <f>IF(COUNTIF('Processer - data'!$D:$F,Table2[[#This Row],[Råvare]])&gt;0,TRUE,FALSE)</f>
        <v>1</v>
      </c>
    </row>
    <row r="28" spans="1:8" x14ac:dyDescent="0.25">
      <c r="A28" s="166" t="s">
        <v>30</v>
      </c>
      <c r="B28" s="166" t="s">
        <v>408</v>
      </c>
      <c r="E28" t="s">
        <v>561</v>
      </c>
      <c r="F28" t="s">
        <v>62</v>
      </c>
      <c r="G28">
        <v>1</v>
      </c>
      <c r="H28" t="b">
        <f>IF(COUNTIF('Processer - data'!$D:$F,Table2[[#This Row],[Råvare]])&gt;0,TRUE,FALSE)</f>
        <v>1</v>
      </c>
    </row>
    <row r="29" spans="1:8" x14ac:dyDescent="0.25">
      <c r="A29" s="166" t="s">
        <v>544</v>
      </c>
      <c r="B29" s="166" t="s">
        <v>408</v>
      </c>
      <c r="E29" t="s">
        <v>562</v>
      </c>
      <c r="F29" t="s">
        <v>62</v>
      </c>
      <c r="G29">
        <v>1</v>
      </c>
      <c r="H29" t="b">
        <f>IF(COUNTIF('Processer - data'!$D:$F,Table2[[#This Row],[Råvare]])&gt;0,TRUE,FALSE)</f>
        <v>1</v>
      </c>
    </row>
    <row r="30" spans="1:8" x14ac:dyDescent="0.25">
      <c r="A30" s="166" t="s">
        <v>35</v>
      </c>
      <c r="B30" s="166" t="s">
        <v>407</v>
      </c>
      <c r="E30" t="s">
        <v>563</v>
      </c>
      <c r="F30" t="s">
        <v>62</v>
      </c>
      <c r="G30">
        <v>1</v>
      </c>
      <c r="H30" t="b">
        <f>IF(COUNTIF('Processer - data'!$D:$F,Table2[[#This Row],[Råvare]])&gt;0,TRUE,FALSE)</f>
        <v>1</v>
      </c>
    </row>
    <row r="31" spans="1:8" x14ac:dyDescent="0.25">
      <c r="A31" s="166" t="s">
        <v>21</v>
      </c>
      <c r="B31" s="166" t="s">
        <v>408</v>
      </c>
      <c r="E31" t="s">
        <v>564</v>
      </c>
      <c r="F31" t="s">
        <v>62</v>
      </c>
      <c r="G31">
        <v>1</v>
      </c>
      <c r="H31" t="b">
        <f>IF(COUNTIF('Processer - data'!$D:$F,Table2[[#This Row],[Råvare]])&gt;0,TRUE,FALSE)</f>
        <v>1</v>
      </c>
    </row>
    <row r="32" spans="1:8" x14ac:dyDescent="0.25">
      <c r="A32" s="165" t="s">
        <v>24</v>
      </c>
      <c r="B32" s="166" t="s">
        <v>408</v>
      </c>
      <c r="E32" t="s">
        <v>565</v>
      </c>
      <c r="F32" t="s">
        <v>62</v>
      </c>
      <c r="G32">
        <v>1</v>
      </c>
      <c r="H32" t="b">
        <f>IF(COUNTIF('Processer - data'!$D:$F,Table2[[#This Row],[Råvare]])&gt;0,TRUE,FALSE)</f>
        <v>1</v>
      </c>
    </row>
    <row r="33" spans="1:8" x14ac:dyDescent="0.25">
      <c r="A33" s="166" t="s">
        <v>398</v>
      </c>
      <c r="B33" s="166" t="s">
        <v>409</v>
      </c>
      <c r="E33" t="s">
        <v>566</v>
      </c>
      <c r="F33" t="s">
        <v>62</v>
      </c>
      <c r="G33">
        <v>1</v>
      </c>
      <c r="H33" t="b">
        <f>IF(COUNTIF('Processer - data'!$D:$F,Table2[[#This Row],[Råvare]])&gt;0,TRUE,FALSE)</f>
        <v>1</v>
      </c>
    </row>
    <row r="34" spans="1:8" x14ac:dyDescent="0.25">
      <c r="A34" s="166" t="s">
        <v>33</v>
      </c>
      <c r="B34" s="166" t="s">
        <v>407</v>
      </c>
      <c r="E34" t="s">
        <v>567</v>
      </c>
      <c r="F34" t="s">
        <v>62</v>
      </c>
      <c r="G34">
        <v>1</v>
      </c>
      <c r="H34" t="b">
        <f>IF(COUNTIF('Processer - data'!$D:$F,Table2[[#This Row],[Råvare]])&gt;0,TRUE,FALSE)</f>
        <v>1</v>
      </c>
    </row>
    <row r="35" spans="1:8" x14ac:dyDescent="0.25">
      <c r="E35" t="s">
        <v>568</v>
      </c>
      <c r="F35" t="s">
        <v>62</v>
      </c>
      <c r="G35">
        <v>1</v>
      </c>
      <c r="H35" t="b">
        <f>IF(COUNTIF('Processer - data'!$D:$F,Table2[[#This Row],[Råvare]])&gt;0,TRUE,FALSE)</f>
        <v>1</v>
      </c>
    </row>
    <row r="36" spans="1:8" x14ac:dyDescent="0.25">
      <c r="E36" t="s">
        <v>569</v>
      </c>
      <c r="F36" t="s">
        <v>62</v>
      </c>
      <c r="G36">
        <v>1</v>
      </c>
      <c r="H36" t="b">
        <f>IF(COUNTIF('Processer - data'!$D:$F,Table2[[#This Row],[Råvare]])&gt;0,TRUE,FALSE)</f>
        <v>1</v>
      </c>
    </row>
    <row r="37" spans="1:8" x14ac:dyDescent="0.25">
      <c r="E37" t="s">
        <v>570</v>
      </c>
      <c r="F37" t="s">
        <v>62</v>
      </c>
      <c r="G37">
        <v>1</v>
      </c>
      <c r="H37" t="b">
        <f>IF(COUNTIF('Processer - data'!$D:$F,Table2[[#This Row],[Råvare]])&gt;0,TRUE,FALSE)</f>
        <v>1</v>
      </c>
    </row>
    <row r="38" spans="1:8" x14ac:dyDescent="0.25">
      <c r="E38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25">
      <c r="E39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25">
      <c r="E41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25">
      <c r="E42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25">
      <c r="E43" t="s">
        <v>651</v>
      </c>
      <c r="F43" t="s">
        <v>400</v>
      </c>
      <c r="H43" t="b">
        <f>IF(COUNTIF('Processer - data'!$D:$F,Table2[[#This Row],[Råvare]])&gt;0,TRUE,FALSE)</f>
        <v>1</v>
      </c>
    </row>
    <row r="44" spans="1:8" x14ac:dyDescent="0.25">
      <c r="E44" t="s">
        <v>334</v>
      </c>
      <c r="F44" t="s">
        <v>335</v>
      </c>
      <c r="H44" t="b">
        <f>IF(COUNTIF('Processer - data'!$D:$F,Table2[[#This Row],[Råvare]])&gt;0,TRUE,FALSE)</f>
        <v>1</v>
      </c>
    </row>
    <row r="45" spans="1:8" x14ac:dyDescent="0.25">
      <c r="E45" t="s">
        <v>893</v>
      </c>
      <c r="F45" t="s">
        <v>335</v>
      </c>
      <c r="H45" t="b">
        <f>IF(COUNTIF('Processer - data'!$D:$F,Table2[[#This Row],[Råvare]])&gt;0,TRUE,FALSE)</f>
        <v>1</v>
      </c>
    </row>
    <row r="46" spans="1:8" x14ac:dyDescent="0.25">
      <c r="E46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25">
      <c r="E47" t="s">
        <v>399</v>
      </c>
      <c r="F47" t="s">
        <v>400</v>
      </c>
      <c r="H47" t="b">
        <f>IF(COUNTIF('Processer - data'!$D:$F,Table2[[#This Row],[Råvare]])&gt;0,TRUE,FALSE)</f>
        <v>1</v>
      </c>
    </row>
    <row r="48" spans="1:8" x14ac:dyDescent="0.25">
      <c r="E48" t="s">
        <v>647</v>
      </c>
      <c r="F48" t="s">
        <v>307</v>
      </c>
      <c r="H48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306</v>
      </c>
      <c r="G49">
        <v>1</v>
      </c>
      <c r="H49" t="b">
        <f>IF(COUNTIF('Processer - data'!$D:$F,Table2[[#This Row],[Råvare]])&gt;0,TRUE,FALSE)</f>
        <v>1</v>
      </c>
    </row>
    <row r="50" spans="5:8" x14ac:dyDescent="0.25">
      <c r="E50" t="s">
        <v>490</v>
      </c>
      <c r="F50" t="s">
        <v>307</v>
      </c>
      <c r="H50" t="b">
        <f>IF(COUNTIF('Processer - data'!$D:$F,Table2[[#This Row],[Råvare]])&gt;0,TRUE,FALSE)</f>
        <v>1</v>
      </c>
    </row>
    <row r="51" spans="5:8" x14ac:dyDescent="0.25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25">
      <c r="E52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25">
      <c r="E53" t="s">
        <v>297</v>
      </c>
      <c r="F53" t="s">
        <v>307</v>
      </c>
      <c r="H53" t="b">
        <f>IF(COUNTIF('Processer - data'!$D:$F,Table2[[#This Row],[Råvare]])&gt;0,TRUE,FALSE)</f>
        <v>1</v>
      </c>
    </row>
    <row r="54" spans="5:8" x14ac:dyDescent="0.25">
      <c r="E54" t="s">
        <v>143</v>
      </c>
      <c r="F54" t="s">
        <v>307</v>
      </c>
      <c r="H54" t="b">
        <f>IF(COUNTIF('Processer - data'!$D:$F,Table2[[#This Row],[Råvare]])&gt;0,TRUE,FALSE)</f>
        <v>1</v>
      </c>
    </row>
    <row r="55" spans="5:8" x14ac:dyDescent="0.25">
      <c r="E55" t="s">
        <v>509</v>
      </c>
      <c r="F55" t="s">
        <v>307</v>
      </c>
      <c r="H55" t="b">
        <f>IF(COUNTIF('Processer - data'!$D:$F,Table2[[#This Row],[Råvare]])&gt;0,TRUE,FALSE)</f>
        <v>1</v>
      </c>
    </row>
    <row r="56" spans="5:8" x14ac:dyDescent="0.25">
      <c r="E5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25">
      <c r="E57" t="s">
        <v>13</v>
      </c>
      <c r="F57" t="s">
        <v>307</v>
      </c>
      <c r="H57" t="b">
        <f>IF(COUNTIF('Processer - data'!$D:$F,Table2[[#This Row],[Råvare]])&gt;0,TRUE,FALSE)</f>
        <v>1</v>
      </c>
    </row>
    <row r="58" spans="5:8" x14ac:dyDescent="0.25">
      <c r="E58" t="s">
        <v>645</v>
      </c>
      <c r="F58" t="s">
        <v>307</v>
      </c>
      <c r="H58" t="b">
        <f>IF(COUNTIF('Processer - data'!$D:$F,Table2[[#This Row],[Råvare]])&gt;0,TRUE,FALSE)</f>
        <v>1</v>
      </c>
    </row>
    <row r="59" spans="5:8" x14ac:dyDescent="0.25">
      <c r="E59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25">
      <c r="E60" t="s">
        <v>37</v>
      </c>
      <c r="F60" t="s">
        <v>307</v>
      </c>
      <c r="H60" t="b">
        <f>IF(COUNTIF('Processer - data'!$D:$F,Table2[[#This Row],[Råvare]])&gt;0,TRUE,FALSE)</f>
        <v>1</v>
      </c>
    </row>
    <row r="61" spans="5:8" x14ac:dyDescent="0.25">
      <c r="E61" t="s">
        <v>517</v>
      </c>
      <c r="F61" t="s">
        <v>307</v>
      </c>
      <c r="H61" t="b">
        <f>IF(COUNTIF('Processer - data'!$D:$F,Table2[[#This Row],[Råvare]])&gt;0,TRUE,FALSE)</f>
        <v>1</v>
      </c>
    </row>
    <row r="62" spans="5:8" x14ac:dyDescent="0.25">
      <c r="E62" t="s">
        <v>487</v>
      </c>
      <c r="F62" t="s">
        <v>307</v>
      </c>
      <c r="H62" t="b">
        <f>IF(COUNTIF('Processer - data'!$D:$F,Table2[[#This Row],[Råvare]])&gt;0,TRUE,FALSE)</f>
        <v>1</v>
      </c>
    </row>
    <row r="63" spans="5:8" x14ac:dyDescent="0.25">
      <c r="E63" t="s">
        <v>41</v>
      </c>
      <c r="F63" t="s">
        <v>307</v>
      </c>
      <c r="H63" t="b">
        <f>IF(COUNTIF('Processer - data'!$D:$F,Table2[[#This Row],[Råvare]])&gt;0,TRUE,FALSE)</f>
        <v>1</v>
      </c>
    </row>
    <row r="64" spans="5:8" x14ac:dyDescent="0.25">
      <c r="E64" t="s">
        <v>138</v>
      </c>
      <c r="F64" t="s">
        <v>307</v>
      </c>
      <c r="H64" t="b">
        <f>IF(COUNTIF('Processer - data'!$D:$F,Table2[[#This Row],[Råvare]])&gt;0,TRUE,FALSE)</f>
        <v>1</v>
      </c>
    </row>
    <row r="65" spans="5:8" x14ac:dyDescent="0.25">
      <c r="E65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25">
      <c r="E6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25">
      <c r="E68" t="s">
        <v>310</v>
      </c>
      <c r="F68" t="s">
        <v>307</v>
      </c>
      <c r="H68" t="b">
        <f>IF(COUNTIF('Processer - data'!$D:$F,Table2[[#This Row],[Råvare]])&gt;0,TRUE,FALSE)</f>
        <v>1</v>
      </c>
    </row>
    <row r="69" spans="5:8" x14ac:dyDescent="0.25">
      <c r="E69" t="s">
        <v>489</v>
      </c>
      <c r="F69" t="s">
        <v>307</v>
      </c>
      <c r="H69" t="b">
        <f>IF(COUNTIF('Processer - data'!$D:$F,Table2[[#This Row],[Råvare]])&gt;0,TRUE,FALSE)</f>
        <v>1</v>
      </c>
    </row>
    <row r="70" spans="5:8" x14ac:dyDescent="0.25">
      <c r="E70" t="s">
        <v>420</v>
      </c>
      <c r="F70" t="s">
        <v>307</v>
      </c>
      <c r="H70" t="b">
        <f>IF(COUNTIF('Processer - data'!$D:$F,Table2[[#This Row],[Råvare]])&gt;0,TRUE,FALSE)</f>
        <v>1</v>
      </c>
    </row>
    <row r="71" spans="5:8" x14ac:dyDescent="0.25">
      <c r="E71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25">
      <c r="E72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25">
      <c r="E73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25">
      <c r="E75" t="s">
        <v>309</v>
      </c>
      <c r="F75" t="s">
        <v>307</v>
      </c>
      <c r="H75" t="b">
        <f>IF(COUNTIF('Processer - data'!$D:$F,Table2[[#This Row],[Råvare]])&gt;0,TRUE,FALSE)</f>
        <v>1</v>
      </c>
    </row>
    <row r="76" spans="5:8" x14ac:dyDescent="0.25">
      <c r="E76" t="s">
        <v>136</v>
      </c>
      <c r="F76" t="s">
        <v>307</v>
      </c>
      <c r="H76" t="b">
        <f>IF(COUNTIF('Processer - data'!$D:$F,Table2[[#This Row],[Råvare]])&gt;0,TRUE,FALSE)</f>
        <v>1</v>
      </c>
    </row>
    <row r="77" spans="5:8" x14ac:dyDescent="0.25">
      <c r="E77" t="s">
        <v>329</v>
      </c>
      <c r="F77" t="s">
        <v>307</v>
      </c>
      <c r="H77" t="b">
        <f>IF(COUNTIF('Processer - data'!$D:$F,Table2[[#This Row],[Råvare]])&gt;0,TRUE,FALSE)</f>
        <v>1</v>
      </c>
    </row>
    <row r="78" spans="5:8" x14ac:dyDescent="0.25">
      <c r="E78" t="s">
        <v>867</v>
      </c>
      <c r="F78" t="s">
        <v>307</v>
      </c>
      <c r="H78" t="b">
        <f>IF(COUNTIF('Processer - data'!$D:$F,Table2[[#This Row],[Råvare]])&gt;0,TRUE,FALSE)</f>
        <v>1</v>
      </c>
    </row>
    <row r="79" spans="5:8" x14ac:dyDescent="0.25">
      <c r="E79" t="s">
        <v>879</v>
      </c>
      <c r="F79" t="s">
        <v>307</v>
      </c>
      <c r="H79" t="b">
        <f>IF(COUNTIF('Processer - data'!$D:$F,Table2[[#This Row],[Råvare]])&gt;0,TRUE,FALSE)</f>
        <v>1</v>
      </c>
    </row>
    <row r="80" spans="5:8" x14ac:dyDescent="0.25">
      <c r="E80" t="s">
        <v>292</v>
      </c>
      <c r="F80" t="s">
        <v>307</v>
      </c>
      <c r="H80" t="b">
        <f>IF(COUNTIF('Processer - data'!$D:$F,Table2[[#This Row],[Råvare]])&gt;0,TRUE,FALSE)</f>
        <v>1</v>
      </c>
    </row>
    <row r="81" spans="5:8" x14ac:dyDescent="0.25">
      <c r="E81" t="s">
        <v>167</v>
      </c>
      <c r="F81" t="s">
        <v>307</v>
      </c>
      <c r="H81" t="b">
        <f>IF(COUNTIF('Processer - data'!$D:$F,Table2[[#This Row],[Råvare]])&gt;0,TRUE,FALSE)</f>
        <v>1</v>
      </c>
    </row>
    <row r="82" spans="5:8" x14ac:dyDescent="0.25">
      <c r="E82" t="s">
        <v>710</v>
      </c>
      <c r="F82" t="s">
        <v>307</v>
      </c>
      <c r="H82" t="b">
        <f>IF(COUNTIF('Processer - data'!$D:$F,Table2[[#This Row],[Råvare]])&gt;0,TRUE,FALSE)</f>
        <v>1</v>
      </c>
    </row>
    <row r="83" spans="5:8" x14ac:dyDescent="0.25">
      <c r="E83" t="s">
        <v>711</v>
      </c>
      <c r="F83" t="s">
        <v>307</v>
      </c>
      <c r="H83" t="b">
        <f>IF(COUNTIF('Processer - data'!$D:$F,Table2[[#This Row],[Råvare]])&gt;0,TRUE,FALSE)</f>
        <v>1</v>
      </c>
    </row>
    <row r="84" spans="5:8" x14ac:dyDescent="0.25">
      <c r="E84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25">
      <c r="E85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25">
      <c r="E86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25">
      <c r="E87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25">
      <c r="E88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25">
      <c r="E89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25">
      <c r="E90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25">
      <c r="E91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25">
      <c r="E93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25">
      <c r="E94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25">
      <c r="E95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25">
      <c r="E97" t="s">
        <v>395</v>
      </c>
      <c r="F97" t="s">
        <v>615</v>
      </c>
      <c r="H97" t="b">
        <f>IF(COUNTIF('Processer - data'!$D:$F,Table2[[#This Row],[Råvare]])&gt;0,TRUE,FALSE)</f>
        <v>1</v>
      </c>
    </row>
    <row r="98" spans="5:8" x14ac:dyDescent="0.25">
      <c r="E98" t="s">
        <v>543</v>
      </c>
      <c r="F98" t="s">
        <v>615</v>
      </c>
      <c r="H98" t="b">
        <f>IF(COUNTIF('Processer - data'!$D:$F,Table2[[#This Row],[Råvare]])&gt;0,TRUE,FALSE)</f>
        <v>1</v>
      </c>
    </row>
    <row r="99" spans="5:8" x14ac:dyDescent="0.25">
      <c r="E99" t="s">
        <v>298</v>
      </c>
      <c r="F99" t="s">
        <v>615</v>
      </c>
      <c r="H9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O25"/>
  <sheetViews>
    <sheetView workbookViewId="0">
      <selection activeCell="O4" sqref="O4:O6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15" x14ac:dyDescent="0.25">
      <c r="A1" s="2" t="s">
        <v>656</v>
      </c>
    </row>
    <row r="2" spans="1:15" x14ac:dyDescent="0.25">
      <c r="A2" s="7"/>
      <c r="B2" s="7" t="s">
        <v>950</v>
      </c>
      <c r="C2" s="7" t="s">
        <v>491</v>
      </c>
      <c r="D2" s="7" t="s">
        <v>652</v>
      </c>
      <c r="E2" s="7" t="s">
        <v>654</v>
      </c>
      <c r="F2" s="7" t="s">
        <v>653</v>
      </c>
      <c r="G2" s="7" t="s">
        <v>655</v>
      </c>
      <c r="H2" s="1" t="s">
        <v>658</v>
      </c>
      <c r="I2" s="1" t="s">
        <v>802</v>
      </c>
    </row>
    <row r="3" spans="1:15" x14ac:dyDescent="0.25">
      <c r="A3" s="7" t="s">
        <v>430</v>
      </c>
      <c r="B3" s="297">
        <v>0.18</v>
      </c>
      <c r="C3" s="7">
        <v>3600</v>
      </c>
      <c r="D3" s="7">
        <f>C3/B3</f>
        <v>20000</v>
      </c>
      <c r="E3" s="7">
        <f>D3/$D$6</f>
        <v>0.16717139181723129</v>
      </c>
      <c r="F3" s="7">
        <v>1.1000000000000001</v>
      </c>
      <c r="G3" s="7">
        <f>F3*C3/D3</f>
        <v>0.19800000000000001</v>
      </c>
      <c r="L3" s="1" t="s">
        <v>951</v>
      </c>
      <c r="M3" s="1">
        <v>887000</v>
      </c>
    </row>
    <row r="4" spans="1:15" x14ac:dyDescent="0.25">
      <c r="A4" s="7" t="s">
        <v>650</v>
      </c>
      <c r="B4" s="297">
        <v>0.34</v>
      </c>
      <c r="C4" s="7">
        <v>14000</v>
      </c>
      <c r="D4" s="7">
        <f>C4/B4</f>
        <v>41176.470588235294</v>
      </c>
      <c r="E4" s="7">
        <f>D4/$D$6</f>
        <v>0.34417639491782914</v>
      </c>
      <c r="F4" s="7">
        <v>0.91</v>
      </c>
      <c r="G4" s="7">
        <f>F4*C4/D4</f>
        <v>0.30940000000000001</v>
      </c>
      <c r="L4" s="1" t="s">
        <v>952</v>
      </c>
      <c r="M4" s="1">
        <v>296000</v>
      </c>
      <c r="N4" s="1">
        <f>SUM(M3:M4)/SUM($M$3:$M$6)</f>
        <v>0.17004455943653873</v>
      </c>
      <c r="O4" s="1">
        <f>C3/$C$6</f>
        <v>0.17910447761194029</v>
      </c>
    </row>
    <row r="5" spans="1:15" x14ac:dyDescent="0.25">
      <c r="A5" s="7" t="s">
        <v>651</v>
      </c>
      <c r="B5" s="298">
        <f>2450/57292</f>
        <v>4.2763387558472386E-2</v>
      </c>
      <c r="C5" s="7">
        <v>2500</v>
      </c>
      <c r="D5" s="7">
        <f>C5/B5</f>
        <v>58461.224489795917</v>
      </c>
      <c r="E5" s="7">
        <f>D5/$D$6</f>
        <v>0.48865221326493952</v>
      </c>
      <c r="F5" s="7"/>
      <c r="G5" s="7"/>
      <c r="H5" s="1">
        <v>370</v>
      </c>
      <c r="I5" s="1">
        <f>H5*B5</f>
        <v>15.822453396634783</v>
      </c>
      <c r="L5" s="1" t="s">
        <v>647</v>
      </c>
      <c r="M5" s="1">
        <v>4870000</v>
      </c>
      <c r="N5" s="1">
        <f>M5/SUM($M$3:$M$6)</f>
        <v>0.70001437401178668</v>
      </c>
      <c r="O5" s="1">
        <f t="shared" ref="O5:O6" si="0">C4/$C$6</f>
        <v>0.69651741293532343</v>
      </c>
    </row>
    <row r="6" spans="1:15" x14ac:dyDescent="0.25">
      <c r="A6" s="7"/>
      <c r="B6" s="7"/>
      <c r="C6" s="7">
        <f>SUM(C3:C5)</f>
        <v>20100</v>
      </c>
      <c r="D6" s="7">
        <f>SUM(D3:D5)</f>
        <v>119637.69507803122</v>
      </c>
      <c r="E6" s="7">
        <f>SUM(E3:E5)</f>
        <v>1</v>
      </c>
      <c r="F6" s="7"/>
      <c r="G6" s="7"/>
      <c r="L6" s="1" t="s">
        <v>651</v>
      </c>
      <c r="M6" s="1">
        <v>904000</v>
      </c>
      <c r="N6" s="1">
        <f>M6/SUM($M$3:$M$6)</f>
        <v>0.12994106655167456</v>
      </c>
      <c r="O6" s="1">
        <f t="shared" si="0"/>
        <v>0.12437810945273632</v>
      </c>
    </row>
    <row r="7" spans="1:15" x14ac:dyDescent="0.25">
      <c r="A7" s="1" t="s">
        <v>67</v>
      </c>
      <c r="B7" s="164" t="s">
        <v>657</v>
      </c>
    </row>
    <row r="9" spans="1:15" x14ac:dyDescent="0.25">
      <c r="A9" s="2" t="s">
        <v>768</v>
      </c>
    </row>
    <row r="10" spans="1:15" x14ac:dyDescent="0.25">
      <c r="A10" s="7" t="s">
        <v>750</v>
      </c>
      <c r="B10" s="7">
        <f>B11/B12</f>
        <v>0.30562345796166263</v>
      </c>
    </row>
    <row r="11" spans="1:15" x14ac:dyDescent="0.25">
      <c r="A11" s="7" t="s">
        <v>752</v>
      </c>
      <c r="B11" s="7">
        <f>(1582.7+27.63)*1000000</f>
        <v>1610330000.0000002</v>
      </c>
    </row>
    <row r="12" spans="1:15" x14ac:dyDescent="0.25">
      <c r="A12" s="7" t="s">
        <v>769</v>
      </c>
      <c r="B12" s="7">
        <f>4786000000+483000000</f>
        <v>5269000000</v>
      </c>
    </row>
    <row r="14" spans="1:15" x14ac:dyDescent="0.25">
      <c r="A14" s="2" t="s">
        <v>865</v>
      </c>
    </row>
    <row r="15" spans="1:15" x14ac:dyDescent="0.25">
      <c r="A15" s="422" t="s">
        <v>868</v>
      </c>
      <c r="B15" s="422">
        <f>H22</f>
        <v>-0.65266666666666662</v>
      </c>
      <c r="C15" s="422" t="s">
        <v>877</v>
      </c>
    </row>
    <row r="16" spans="1:15" x14ac:dyDescent="0.25">
      <c r="A16" s="422" t="s">
        <v>879</v>
      </c>
      <c r="B16" s="422">
        <f>B23/1000</f>
        <v>0.14000000000000001</v>
      </c>
      <c r="C16" s="422" t="s">
        <v>878</v>
      </c>
    </row>
    <row r="17" spans="1:12" x14ac:dyDescent="0.25">
      <c r="A17" s="422" t="s">
        <v>867</v>
      </c>
      <c r="B17" s="422">
        <f>B24/1000</f>
        <v>0.56000000000000005</v>
      </c>
      <c r="C17" s="422" t="s">
        <v>878</v>
      </c>
    </row>
    <row r="19" spans="1:12" ht="15.75" thickBot="1" x14ac:dyDescent="0.3">
      <c r="A19" t="s">
        <v>869</v>
      </c>
      <c r="B19"/>
      <c r="C19"/>
      <c r="D19"/>
      <c r="E19"/>
      <c r="F19"/>
      <c r="G19"/>
      <c r="H19" t="s">
        <v>882</v>
      </c>
      <c r="I19"/>
      <c r="J19"/>
      <c r="K19"/>
      <c r="L19"/>
    </row>
    <row r="20" spans="1:12" ht="15.75" thickBot="1" x14ac:dyDescent="0.3">
      <c r="A20" s="413"/>
      <c r="B20" s="413" t="s">
        <v>870</v>
      </c>
      <c r="C20" s="414"/>
      <c r="D20" s="413" t="s">
        <v>400</v>
      </c>
      <c r="E20" s="414"/>
      <c r="F20" s="156" t="s">
        <v>871</v>
      </c>
      <c r="G20" s="156"/>
      <c r="H20" s="423" t="s">
        <v>872</v>
      </c>
      <c r="I20" s="423" t="s">
        <v>803</v>
      </c>
      <c r="J20" s="423"/>
      <c r="K20" s="415" t="s">
        <v>873</v>
      </c>
      <c r="L20" s="415" t="s">
        <v>874</v>
      </c>
    </row>
    <row r="21" spans="1:12" x14ac:dyDescent="0.25">
      <c r="A21" s="416" t="s">
        <v>37</v>
      </c>
      <c r="B21" s="416">
        <v>1000</v>
      </c>
      <c r="C21" s="417">
        <v>1</v>
      </c>
      <c r="D21" s="416">
        <f>16.4/1000000</f>
        <v>1.6399999999999999E-5</v>
      </c>
      <c r="E21" s="417">
        <v>1</v>
      </c>
      <c r="F21" s="416">
        <v>420</v>
      </c>
      <c r="G21" s="418"/>
      <c r="H21" s="423"/>
      <c r="I21" s="423"/>
      <c r="J21" s="423"/>
      <c r="K21" s="415" t="s">
        <v>875</v>
      </c>
      <c r="L21" s="415">
        <v>12</v>
      </c>
    </row>
    <row r="22" spans="1:12" x14ac:dyDescent="0.25">
      <c r="A22" s="415" t="s">
        <v>334</v>
      </c>
      <c r="B22" s="415">
        <v>300</v>
      </c>
      <c r="C22" s="419">
        <v>0.3</v>
      </c>
      <c r="D22" s="415">
        <f>$D$21*E22</f>
        <v>6.740399999999999E-6</v>
      </c>
      <c r="E22" s="420">
        <v>0.41099999999999998</v>
      </c>
      <c r="F22" s="415">
        <v>178</v>
      </c>
      <c r="G22" s="421">
        <v>0.42</v>
      </c>
      <c r="H22" s="423">
        <f>-(F22*(2*L22/L21)+F22)/1000</f>
        <v>-0.65266666666666662</v>
      </c>
      <c r="I22" s="423">
        <f>D22/(B22/1000)</f>
        <v>2.2467999999999999E-5</v>
      </c>
      <c r="J22" s="423"/>
      <c r="K22" s="415" t="s">
        <v>876</v>
      </c>
      <c r="L22" s="415">
        <v>16</v>
      </c>
    </row>
    <row r="23" spans="1:12" x14ac:dyDescent="0.25">
      <c r="A23" s="415" t="s">
        <v>879</v>
      </c>
      <c r="B23" s="415">
        <v>140</v>
      </c>
      <c r="C23" s="419">
        <v>0.14000000000000001</v>
      </c>
      <c r="D23" s="415">
        <f>$D$21*E23</f>
        <v>4.6575999999999992E-6</v>
      </c>
      <c r="E23" s="420">
        <v>0.28399999999999997</v>
      </c>
      <c r="F23" s="415">
        <v>98</v>
      </c>
      <c r="G23" s="421">
        <v>0.23</v>
      </c>
      <c r="H23" s="423"/>
      <c r="I23" s="423">
        <f>D23/(B23/1000)</f>
        <v>3.326857142857142E-5</v>
      </c>
      <c r="J23" s="423"/>
      <c r="K23" s="415"/>
      <c r="L23" s="415"/>
    </row>
    <row r="24" spans="1:12" x14ac:dyDescent="0.25">
      <c r="A24" s="415" t="s">
        <v>867</v>
      </c>
      <c r="B24" s="415">
        <v>560</v>
      </c>
      <c r="C24" s="419">
        <v>0.56000000000000005</v>
      </c>
      <c r="D24" s="415">
        <f>$D$21*E24</f>
        <v>5.0183999999999993E-6</v>
      </c>
      <c r="E24" s="420">
        <v>0.30599999999999999</v>
      </c>
      <c r="F24" s="415">
        <v>144</v>
      </c>
      <c r="G24" s="421">
        <v>0.34</v>
      </c>
      <c r="H24" s="423"/>
      <c r="I24" s="423">
        <f>D24/(B24/1000)</f>
        <v>8.9614285714285689E-6</v>
      </c>
      <c r="J24" s="423"/>
      <c r="K24" s="415"/>
      <c r="L24" s="415"/>
    </row>
    <row r="25" spans="1:12" x14ac:dyDescent="0.25">
      <c r="A25" s="1" t="s">
        <v>881</v>
      </c>
    </row>
  </sheetData>
  <hyperlinks>
    <hyperlink ref="B7" r:id="rId1" xr:uid="{B217941A-69AA-4F3E-B90B-78D02F0D282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workbookViewId="0">
      <selection activeCell="C20" sqref="C20:C21"/>
    </sheetView>
  </sheetViews>
  <sheetFormatPr defaultColWidth="9.140625" defaultRowHeight="15" x14ac:dyDescent="0.25"/>
  <cols>
    <col min="1" max="1" width="29.42578125" style="46" customWidth="1"/>
    <col min="2" max="2" width="27.85546875" style="46" customWidth="1"/>
    <col min="3" max="3" width="50.28515625" style="46" customWidth="1"/>
    <col min="4" max="4" width="21.28515625" style="46" customWidth="1"/>
    <col min="5" max="5" width="13" style="46" customWidth="1"/>
    <col min="6" max="6" width="15.28515625" style="46" customWidth="1"/>
    <col min="7" max="8" width="8.85546875" style="46" customWidth="1"/>
    <col min="9" max="9" width="13.42578125" style="46" customWidth="1"/>
    <col min="10" max="10" width="17.140625" style="46" customWidth="1"/>
    <col min="11" max="16384" width="9.140625" style="46"/>
  </cols>
  <sheetData>
    <row r="1" spans="1:5" ht="18.75" x14ac:dyDescent="0.3">
      <c r="A1" s="368" t="s">
        <v>778</v>
      </c>
    </row>
    <row r="2" spans="1:5" x14ac:dyDescent="0.25">
      <c r="A2" s="40"/>
      <c r="B2" s="40" t="s">
        <v>51</v>
      </c>
      <c r="C2" s="40" t="s">
        <v>52</v>
      </c>
    </row>
    <row r="3" spans="1:5" x14ac:dyDescent="0.25">
      <c r="A3" s="40" t="s">
        <v>779</v>
      </c>
      <c r="B3" s="364">
        <f>D23/C23</f>
        <v>0.77115679138975135</v>
      </c>
      <c r="C3" s="364">
        <f>E23/C23</f>
        <v>0.22884320861024854</v>
      </c>
    </row>
    <row r="6" spans="1:5" x14ac:dyDescent="0.25">
      <c r="A6" s="71"/>
      <c r="B6" s="5" t="s">
        <v>51</v>
      </c>
      <c r="C6" s="5" t="s">
        <v>52</v>
      </c>
      <c r="D6" s="70"/>
      <c r="E6" s="70"/>
    </row>
    <row r="7" spans="1:5" x14ac:dyDescent="0.25">
      <c r="A7" s="365" t="str">
        <f>Bebyg</f>
        <v>Bebyggelse &amp; infrastruktur</v>
      </c>
      <c r="B7" s="367">
        <f>SUM(D15:D17)/SUM($C15:$C17)</f>
        <v>0.69807972734599422</v>
      </c>
      <c r="C7" s="367">
        <f>SUM(E15:E17)/SUM($C15:$C17)</f>
        <v>0.30192027265400578</v>
      </c>
      <c r="D7" s="70"/>
      <c r="E7" s="70"/>
    </row>
    <row r="8" spans="1:5" x14ac:dyDescent="0.25">
      <c r="A8" s="365" t="str">
        <f>Afgrøder</f>
        <v>Landbrugsafgrøder</v>
      </c>
      <c r="B8" s="367">
        <f>D18/$C18</f>
        <v>0.77910074969845278</v>
      </c>
      <c r="C8" s="367">
        <f>E18/$C18</f>
        <v>0.22089925030154708</v>
      </c>
      <c r="D8" s="70"/>
      <c r="E8" s="70"/>
    </row>
    <row r="9" spans="1:5" x14ac:dyDescent="0.25">
      <c r="A9" s="365" t="str">
        <f>SkovAreal</f>
        <v>Skov</v>
      </c>
      <c r="B9" s="367">
        <f>D19/$C19</f>
        <v>0.7735718099305926</v>
      </c>
      <c r="C9" s="367">
        <f>E19/$C19</f>
        <v>0.22642819006940737</v>
      </c>
      <c r="D9" s="70"/>
      <c r="E9" s="70"/>
    </row>
    <row r="10" spans="1:5" x14ac:dyDescent="0.25">
      <c r="A10" s="365" t="str">
        <f>NaturAreal</f>
        <v>Natur</v>
      </c>
      <c r="B10" s="367">
        <f>SUM(D20:D21)/SUM($C20:$C21)</f>
        <v>0.82141478769433085</v>
      </c>
      <c r="C10" s="367">
        <f>SUM(E20:E21)/SUM($C20:$C21)</f>
        <v>0.17858521230566929</v>
      </c>
      <c r="D10" s="70"/>
      <c r="E10" s="70"/>
    </row>
    <row r="11" spans="1:5" ht="15.75" thickBot="1" x14ac:dyDescent="0.3">
      <c r="A11" s="366" t="str">
        <f>IKareal</f>
        <v>Ikke klassificeret</v>
      </c>
      <c r="B11" s="367">
        <f>D22/$C22</f>
        <v>0.70816884300030369</v>
      </c>
      <c r="C11" s="367">
        <f>E22/$C22</f>
        <v>0.29183115699969636</v>
      </c>
      <c r="D11" s="70"/>
      <c r="E11" s="70"/>
    </row>
    <row r="12" spans="1:5" x14ac:dyDescent="0.25">
      <c r="A12" s="71"/>
      <c r="B12" s="70"/>
      <c r="C12" s="70"/>
      <c r="D12" s="70"/>
      <c r="E12" s="70"/>
    </row>
    <row r="13" spans="1:5" x14ac:dyDescent="0.25">
      <c r="A13" s="1"/>
      <c r="B13" s="1"/>
      <c r="C13" s="1"/>
      <c r="D13" s="1"/>
      <c r="E13" s="1"/>
    </row>
    <row r="14" spans="1:5" x14ac:dyDescent="0.25">
      <c r="A14" s="7"/>
      <c r="B14" s="7" t="s">
        <v>100</v>
      </c>
      <c r="C14" s="67" t="s">
        <v>99</v>
      </c>
      <c r="D14" s="69" t="s">
        <v>51</v>
      </c>
      <c r="E14" s="69" t="s">
        <v>52</v>
      </c>
    </row>
    <row r="15" spans="1:5" x14ac:dyDescent="0.25">
      <c r="A15" s="67" t="s">
        <v>93</v>
      </c>
      <c r="B15" s="67" t="str">
        <f>Bebyg</f>
        <v>Bebyggelse &amp; infrastruktur</v>
      </c>
      <c r="C15" s="68">
        <f>SUMIF(Arealanvendelse!$C$28:$C$52,A15,Arealanvendelse!$D$28:$D$52)*100</f>
        <v>235919.99999999997</v>
      </c>
      <c r="D15" s="68">
        <f>$C15*INDEX(K$28:K$52,MATCH($A15,$C$28:$C$52,0))</f>
        <v>173613.41085600306</v>
      </c>
      <c r="E15" s="68">
        <f t="shared" ref="E15:E23" si="0">$C15*INDEX(L$28:L$52,MATCH($A15,$C$28:$C$52,0))</f>
        <v>62306.589143996935</v>
      </c>
    </row>
    <row r="16" spans="1:5" x14ac:dyDescent="0.25">
      <c r="A16" s="67" t="s">
        <v>88</v>
      </c>
      <c r="B16" s="67" t="str">
        <f>Bebyg</f>
        <v>Bebyggelse &amp; infrastruktur</v>
      </c>
      <c r="C16" s="68">
        <f>SUMIF(Arealanvendelse!$C$28:$C$52,A16,Arealanvendelse!$D$28:$D$52)*100</f>
        <v>313700</v>
      </c>
      <c r="D16" s="68">
        <f t="shared" ref="D16:D23" si="1">$C16*INDEX(K$28:K$52,MATCH($A16,$C$28:$C$52,0))</f>
        <v>212291.90242033335</v>
      </c>
      <c r="E16" s="68">
        <f t="shared" si="0"/>
        <v>101408.09757966665</v>
      </c>
    </row>
    <row r="17" spans="1:12" x14ac:dyDescent="0.25">
      <c r="A17" s="67" t="s">
        <v>85</v>
      </c>
      <c r="B17" s="67" t="str">
        <f>Bebyg</f>
        <v>Bebyggelse &amp; infrastruktur</v>
      </c>
      <c r="C17" s="68">
        <f>SUMIF(Arealanvendelse!$C$28:$C$52,A17,Arealanvendelse!$D$28:$D$52)*100</f>
        <v>42500</v>
      </c>
      <c r="D17" s="68">
        <f t="shared" si="1"/>
        <v>27441.654879773687</v>
      </c>
      <c r="E17" s="68">
        <f t="shared" si="0"/>
        <v>15058.34512022631</v>
      </c>
    </row>
    <row r="18" spans="1:12" x14ac:dyDescent="0.25">
      <c r="A18" s="67" t="s">
        <v>82</v>
      </c>
      <c r="B18" s="67" t="str">
        <f>Afgrøder</f>
        <v>Landbrugsafgrøder</v>
      </c>
      <c r="C18" s="68">
        <f>SUMIF(Arealanvendelse!$C$28:$C$52,A18,Arealanvendelse!$D$28:$D$52)*100</f>
        <v>2578670</v>
      </c>
      <c r="D18" s="68">
        <f t="shared" si="1"/>
        <v>2009043.7302249093</v>
      </c>
      <c r="E18" s="68">
        <f t="shared" si="0"/>
        <v>569626.26977509039</v>
      </c>
    </row>
    <row r="19" spans="1:12" x14ac:dyDescent="0.25">
      <c r="A19" s="67" t="s">
        <v>77</v>
      </c>
      <c r="B19" s="67" t="str">
        <f>SkovAreal</f>
        <v>Skov</v>
      </c>
      <c r="C19" s="68">
        <f>SUMIF(Arealanvendelse!$C$28:$C$52,A19,Arealanvendelse!$D$28:$D$52)*100</f>
        <v>562410</v>
      </c>
      <c r="D19" s="68">
        <f t="shared" si="1"/>
        <v>435064.52162306459</v>
      </c>
      <c r="E19" s="68">
        <f t="shared" si="0"/>
        <v>127345.4783769354</v>
      </c>
    </row>
    <row r="20" spans="1:12" x14ac:dyDescent="0.25">
      <c r="A20" s="67" t="s">
        <v>76</v>
      </c>
      <c r="B20" s="67" t="str">
        <f>NaturAreal</f>
        <v>Natur</v>
      </c>
      <c r="C20" s="68">
        <f>SUMIF(Arealanvendelse!$C$28:$C$52,A20,Arealanvendelse!$D$28:$D$52)*100</f>
        <v>388670</v>
      </c>
      <c r="D20" s="68">
        <f t="shared" si="1"/>
        <v>332057.930153322</v>
      </c>
      <c r="E20" s="68">
        <f t="shared" si="0"/>
        <v>56612.069846678038</v>
      </c>
    </row>
    <row r="21" spans="1:12" x14ac:dyDescent="0.25">
      <c r="A21" s="67" t="s">
        <v>73</v>
      </c>
      <c r="B21" s="67" t="str">
        <f>NaturAreal</f>
        <v>Natur</v>
      </c>
      <c r="C21" s="68">
        <f>SUMIF(Arealanvendelse!$C$28:$C$52,A21,Arealanvendelse!$D$28:$D$52)*100</f>
        <v>116920</v>
      </c>
      <c r="D21" s="68">
        <f t="shared" si="1"/>
        <v>83241.172357054718</v>
      </c>
      <c r="E21" s="68">
        <f t="shared" si="0"/>
        <v>33678.827642945296</v>
      </c>
    </row>
    <row r="22" spans="1:12" x14ac:dyDescent="0.25">
      <c r="A22" s="67" t="s">
        <v>70</v>
      </c>
      <c r="B22" s="67" t="str">
        <f>IKareal</f>
        <v>Ikke klassificeret</v>
      </c>
      <c r="C22" s="68">
        <f>SUMIF(Arealanvendelse!$C$28:$C$52,A22,Arealanvendelse!$D$28:$D$52)*100</f>
        <v>66640</v>
      </c>
      <c r="D22" s="68">
        <f t="shared" si="1"/>
        <v>47192.371697540235</v>
      </c>
      <c r="E22" s="68">
        <f t="shared" si="0"/>
        <v>19447.628302459765</v>
      </c>
    </row>
    <row r="23" spans="1:12" x14ac:dyDescent="0.25">
      <c r="A23" s="67" t="s">
        <v>57</v>
      </c>
      <c r="B23" s="67"/>
      <c r="C23" s="66">
        <f>SUM(C15:C22)</f>
        <v>4305430</v>
      </c>
      <c r="D23" s="68">
        <f t="shared" si="1"/>
        <v>3320161.5843531773</v>
      </c>
      <c r="E23" s="68">
        <f t="shared" si="0"/>
        <v>985268.41564682231</v>
      </c>
    </row>
    <row r="24" spans="1:12" ht="15.75" thickBot="1" x14ac:dyDescent="0.3"/>
    <row r="25" spans="1:12" s="63" customFormat="1" ht="17.25" x14ac:dyDescent="0.3">
      <c r="A25" s="65" t="s">
        <v>98</v>
      </c>
      <c r="B25" s="64"/>
      <c r="C25" s="64"/>
      <c r="D25" s="64"/>
      <c r="E25" s="64"/>
      <c r="F25" s="64"/>
      <c r="G25" s="64"/>
      <c r="H25" s="64"/>
      <c r="I25" s="64"/>
    </row>
    <row r="26" spans="1:12" s="53" customFormat="1" x14ac:dyDescent="0.25">
      <c r="A26" s="62" t="s">
        <v>97</v>
      </c>
      <c r="B26" s="57"/>
      <c r="C26" s="57"/>
      <c r="D26" s="57"/>
      <c r="E26" s="57"/>
      <c r="F26" s="57"/>
      <c r="G26" s="57"/>
      <c r="H26" s="57"/>
      <c r="I26" s="57"/>
    </row>
    <row r="27" spans="1:12" s="53" customFormat="1" x14ac:dyDescent="0.25">
      <c r="A27" s="58"/>
      <c r="B27" s="57"/>
      <c r="C27" s="57"/>
      <c r="D27" s="59" t="s">
        <v>96</v>
      </c>
      <c r="E27" s="59" t="s">
        <v>56</v>
      </c>
      <c r="F27" s="59" t="s">
        <v>55</v>
      </c>
      <c r="G27" s="59" t="s">
        <v>54</v>
      </c>
      <c r="H27" s="59" t="s">
        <v>53</v>
      </c>
      <c r="I27" s="59" t="s">
        <v>50</v>
      </c>
      <c r="J27" s="61"/>
      <c r="K27" s="53" t="s">
        <v>51</v>
      </c>
      <c r="L27" s="53" t="s">
        <v>52</v>
      </c>
    </row>
    <row r="28" spans="1:12" s="53" customFormat="1" x14ac:dyDescent="0.25">
      <c r="A28" s="60" t="s">
        <v>95</v>
      </c>
      <c r="B28" s="59" t="s">
        <v>94</v>
      </c>
      <c r="C28" s="59" t="s">
        <v>57</v>
      </c>
      <c r="D28" s="54">
        <v>43054.2</v>
      </c>
      <c r="E28" s="55">
        <v>2555.4</v>
      </c>
      <c r="F28" s="55">
        <v>7216.8</v>
      </c>
      <c r="G28" s="55">
        <v>12094.6</v>
      </c>
      <c r="H28" s="55">
        <v>12986.9</v>
      </c>
      <c r="I28" s="55">
        <v>7848.9</v>
      </c>
      <c r="J28" s="54"/>
      <c r="K28" s="53">
        <f>SUM(G28:I28)/SUM(E28:I28)</f>
        <v>0.77115679138975135</v>
      </c>
      <c r="L28" s="53">
        <f>SUM(E28:F28)/SUM(E28:I28)</f>
        <v>0.22884320861024854</v>
      </c>
    </row>
    <row r="29" spans="1:12" s="53" customFormat="1" x14ac:dyDescent="0.25">
      <c r="A29" s="58"/>
      <c r="B29" s="57"/>
      <c r="C29" s="59" t="s">
        <v>93</v>
      </c>
      <c r="D29" s="54">
        <v>2359.1999999999998</v>
      </c>
      <c r="E29" s="55">
        <v>237.6</v>
      </c>
      <c r="F29" s="55">
        <v>384.7</v>
      </c>
      <c r="G29" s="55">
        <v>634.5</v>
      </c>
      <c r="H29" s="55">
        <v>708.9</v>
      </c>
      <c r="I29" s="55">
        <v>390.6</v>
      </c>
      <c r="J29" s="54"/>
      <c r="K29" s="53">
        <f t="shared" ref="K29:K52" si="2">SUM(G29:I29)/SUM(E29:I29)</f>
        <v>0.73589950345881261</v>
      </c>
      <c r="L29" s="53">
        <f t="shared" ref="L29:L52" si="3">SUM(E29:F29)/SUM(E29:I29)</f>
        <v>0.26410049654118745</v>
      </c>
    </row>
    <row r="30" spans="1:12" s="53" customFormat="1" x14ac:dyDescent="0.25">
      <c r="A30" s="58"/>
      <c r="B30" s="57"/>
      <c r="C30" s="56" t="s">
        <v>92</v>
      </c>
      <c r="D30" s="54">
        <v>1387.5</v>
      </c>
      <c r="E30" s="55">
        <v>174</v>
      </c>
      <c r="F30" s="55">
        <v>224.6</v>
      </c>
      <c r="G30" s="55">
        <v>391.6</v>
      </c>
      <c r="H30" s="55">
        <v>394.9</v>
      </c>
      <c r="I30" s="55">
        <v>200.8</v>
      </c>
      <c r="J30" s="54"/>
      <c r="K30" s="53">
        <f t="shared" si="2"/>
        <v>0.71238906125983115</v>
      </c>
      <c r="L30" s="53">
        <f t="shared" si="3"/>
        <v>0.28761093874016891</v>
      </c>
    </row>
    <row r="31" spans="1:12" s="53" customFormat="1" x14ac:dyDescent="0.25">
      <c r="A31" s="58"/>
      <c r="B31" s="57"/>
      <c r="C31" s="56" t="s">
        <v>91</v>
      </c>
      <c r="D31" s="54">
        <v>877.1</v>
      </c>
      <c r="E31" s="55">
        <v>42.3</v>
      </c>
      <c r="F31" s="55">
        <v>141.5</v>
      </c>
      <c r="G31" s="55">
        <v>219.1</v>
      </c>
      <c r="H31" s="55">
        <v>292.10000000000002</v>
      </c>
      <c r="I31" s="55">
        <v>180.9</v>
      </c>
      <c r="J31" s="54"/>
      <c r="K31" s="53">
        <f t="shared" si="2"/>
        <v>0.79015869391483051</v>
      </c>
      <c r="L31" s="53">
        <f t="shared" si="3"/>
        <v>0.20984130608516957</v>
      </c>
    </row>
    <row r="32" spans="1:12" s="53" customFormat="1" x14ac:dyDescent="0.25">
      <c r="A32" s="58"/>
      <c r="B32" s="57"/>
      <c r="C32" s="56" t="s">
        <v>90</v>
      </c>
      <c r="D32" s="54">
        <v>69.5</v>
      </c>
      <c r="E32" s="55">
        <v>10.7</v>
      </c>
      <c r="F32" s="55">
        <v>15.2</v>
      </c>
      <c r="G32" s="55">
        <v>18.100000000000001</v>
      </c>
      <c r="H32" s="55">
        <v>18.2</v>
      </c>
      <c r="I32" s="55">
        <v>7.1</v>
      </c>
      <c r="J32" s="54"/>
      <c r="K32" s="53">
        <f t="shared" si="2"/>
        <v>0.6262626262626263</v>
      </c>
      <c r="L32" s="53">
        <f t="shared" si="3"/>
        <v>0.37373737373737376</v>
      </c>
    </row>
    <row r="33" spans="1:12" s="53" customFormat="1" x14ac:dyDescent="0.25">
      <c r="A33" s="58"/>
      <c r="B33" s="57"/>
      <c r="C33" s="56" t="s">
        <v>89</v>
      </c>
      <c r="D33" s="54">
        <v>25.1</v>
      </c>
      <c r="E33" s="55">
        <v>10.6</v>
      </c>
      <c r="F33" s="55">
        <v>3.3</v>
      </c>
      <c r="G33" s="55">
        <v>5.7</v>
      </c>
      <c r="H33" s="55">
        <v>3.7</v>
      </c>
      <c r="I33" s="55">
        <v>1.8</v>
      </c>
      <c r="J33" s="54"/>
      <c r="K33" s="53">
        <f t="shared" si="2"/>
        <v>0.44621513944223118</v>
      </c>
      <c r="L33" s="53">
        <f t="shared" si="3"/>
        <v>0.55378486055776888</v>
      </c>
    </row>
    <row r="34" spans="1:12" s="53" customFormat="1" x14ac:dyDescent="0.25">
      <c r="A34" s="58"/>
      <c r="B34" s="57"/>
      <c r="C34" s="59" t="s">
        <v>88</v>
      </c>
      <c r="D34" s="54">
        <v>3137</v>
      </c>
      <c r="E34" s="55">
        <v>447</v>
      </c>
      <c r="F34" s="55">
        <v>565.4</v>
      </c>
      <c r="G34" s="55">
        <v>823.4</v>
      </c>
      <c r="H34" s="55">
        <v>832.1</v>
      </c>
      <c r="I34" s="55">
        <v>463.9</v>
      </c>
      <c r="J34" s="54"/>
      <c r="K34" s="53">
        <f t="shared" si="2"/>
        <v>0.67673542371798967</v>
      </c>
      <c r="L34" s="53">
        <f t="shared" si="3"/>
        <v>0.32326457628201033</v>
      </c>
    </row>
    <row r="35" spans="1:12" s="53" customFormat="1" x14ac:dyDescent="0.25">
      <c r="A35" s="58"/>
      <c r="B35" s="57"/>
      <c r="C35" s="56" t="s">
        <v>87</v>
      </c>
      <c r="D35" s="54">
        <v>700.4</v>
      </c>
      <c r="E35" s="55">
        <v>108.7</v>
      </c>
      <c r="F35" s="55">
        <v>114.4</v>
      </c>
      <c r="G35" s="55">
        <v>189</v>
      </c>
      <c r="H35" s="55">
        <v>187</v>
      </c>
      <c r="I35" s="55">
        <v>101</v>
      </c>
      <c r="J35" s="54"/>
      <c r="K35" s="53">
        <f t="shared" si="2"/>
        <v>0.68133123839451504</v>
      </c>
      <c r="L35" s="53">
        <f t="shared" si="3"/>
        <v>0.31866876160548496</v>
      </c>
    </row>
    <row r="36" spans="1:12" s="53" customFormat="1" x14ac:dyDescent="0.25">
      <c r="A36" s="58"/>
      <c r="B36" s="57"/>
      <c r="C36" s="56" t="s">
        <v>86</v>
      </c>
      <c r="D36" s="54">
        <v>2436.5</v>
      </c>
      <c r="E36" s="55">
        <v>338.3</v>
      </c>
      <c r="F36" s="55">
        <v>451</v>
      </c>
      <c r="G36" s="55">
        <v>634.5</v>
      </c>
      <c r="H36" s="55">
        <v>645.1</v>
      </c>
      <c r="I36" s="55">
        <v>362.8</v>
      </c>
      <c r="J36" s="54"/>
      <c r="K36" s="53">
        <f t="shared" si="2"/>
        <v>0.67541226302586654</v>
      </c>
      <c r="L36" s="53">
        <f t="shared" si="3"/>
        <v>0.32458773697413329</v>
      </c>
    </row>
    <row r="37" spans="1:12" s="53" customFormat="1" x14ac:dyDescent="0.25">
      <c r="A37" s="58"/>
      <c r="B37" s="57"/>
      <c r="C37" s="59" t="s">
        <v>85</v>
      </c>
      <c r="D37" s="54">
        <v>425</v>
      </c>
      <c r="E37" s="55">
        <v>81.900000000000006</v>
      </c>
      <c r="F37" s="55">
        <v>68.400000000000006</v>
      </c>
      <c r="G37" s="55">
        <v>103.4</v>
      </c>
      <c r="H37" s="55">
        <v>107.1</v>
      </c>
      <c r="I37" s="55">
        <v>63.4</v>
      </c>
      <c r="J37" s="54"/>
      <c r="K37" s="53">
        <f t="shared" si="2"/>
        <v>0.64568599717114561</v>
      </c>
      <c r="L37" s="53">
        <f t="shared" si="3"/>
        <v>0.35431400282885434</v>
      </c>
    </row>
    <row r="38" spans="1:12" s="53" customFormat="1" x14ac:dyDescent="0.25">
      <c r="A38" s="58"/>
      <c r="B38" s="57"/>
      <c r="C38" s="56" t="s">
        <v>84</v>
      </c>
      <c r="D38" s="54">
        <v>49.7</v>
      </c>
      <c r="E38" s="55">
        <v>4.7</v>
      </c>
      <c r="F38" s="55">
        <v>9.9</v>
      </c>
      <c r="G38" s="55">
        <v>8.8000000000000007</v>
      </c>
      <c r="H38" s="55">
        <v>14</v>
      </c>
      <c r="I38" s="55">
        <v>12.2</v>
      </c>
      <c r="J38" s="54"/>
      <c r="K38" s="53">
        <f t="shared" si="2"/>
        <v>0.70564516129032251</v>
      </c>
      <c r="L38" s="53">
        <f t="shared" si="3"/>
        <v>0.29435483870967738</v>
      </c>
    </row>
    <row r="39" spans="1:12" s="53" customFormat="1" x14ac:dyDescent="0.25">
      <c r="A39" s="58"/>
      <c r="B39" s="57"/>
      <c r="C39" s="56" t="s">
        <v>83</v>
      </c>
      <c r="D39" s="54">
        <v>375.3</v>
      </c>
      <c r="E39" s="55">
        <v>77.2</v>
      </c>
      <c r="F39" s="55">
        <v>58.4</v>
      </c>
      <c r="G39" s="55">
        <v>94.6</v>
      </c>
      <c r="H39" s="55">
        <v>93.1</v>
      </c>
      <c r="I39" s="55">
        <v>51.3</v>
      </c>
      <c r="J39" s="54"/>
      <c r="K39" s="53">
        <f t="shared" si="2"/>
        <v>0.63801388147357185</v>
      </c>
      <c r="L39" s="53">
        <f t="shared" si="3"/>
        <v>0.3619861185264282</v>
      </c>
    </row>
    <row r="40" spans="1:12" s="53" customFormat="1" x14ac:dyDescent="0.25">
      <c r="A40" s="58"/>
      <c r="B40" s="57"/>
      <c r="C40" s="59" t="s">
        <v>82</v>
      </c>
      <c r="D40" s="54">
        <v>25786.7</v>
      </c>
      <c r="E40" s="55">
        <v>978.7</v>
      </c>
      <c r="F40" s="55">
        <v>4716.8999999999996</v>
      </c>
      <c r="G40" s="55">
        <v>7690.3</v>
      </c>
      <c r="H40" s="55">
        <v>7746.3</v>
      </c>
      <c r="I40" s="55">
        <v>4651.5</v>
      </c>
      <c r="J40" s="54"/>
      <c r="K40" s="53">
        <f t="shared" si="2"/>
        <v>0.77910074969845278</v>
      </c>
      <c r="L40" s="53">
        <f t="shared" si="3"/>
        <v>0.22089925030154708</v>
      </c>
    </row>
    <row r="41" spans="1:12" s="53" customFormat="1" x14ac:dyDescent="0.25">
      <c r="A41" s="58"/>
      <c r="B41" s="57"/>
      <c r="C41" s="56" t="s">
        <v>81</v>
      </c>
      <c r="D41" s="54">
        <v>23344.799999999999</v>
      </c>
      <c r="E41" s="55">
        <v>806</v>
      </c>
      <c r="F41" s="55">
        <v>4319.5</v>
      </c>
      <c r="G41" s="55">
        <v>7013.9</v>
      </c>
      <c r="H41" s="55">
        <v>6963.4</v>
      </c>
      <c r="I41" s="55">
        <v>4240</v>
      </c>
      <c r="J41" s="54"/>
      <c r="K41" s="53">
        <f t="shared" si="2"/>
        <v>0.78042479908151552</v>
      </c>
      <c r="L41" s="53">
        <f t="shared" si="3"/>
        <v>0.21957520091848451</v>
      </c>
    </row>
    <row r="42" spans="1:12" s="53" customFormat="1" x14ac:dyDescent="0.25">
      <c r="A42" s="58"/>
      <c r="B42" s="57"/>
      <c r="C42" s="56" t="s">
        <v>80</v>
      </c>
      <c r="D42" s="54">
        <v>357.3</v>
      </c>
      <c r="E42" s="55">
        <v>10.3</v>
      </c>
      <c r="F42" s="55">
        <v>53.4</v>
      </c>
      <c r="G42" s="55">
        <v>113.2</v>
      </c>
      <c r="H42" s="55">
        <v>108.5</v>
      </c>
      <c r="I42" s="55">
        <v>71.8</v>
      </c>
      <c r="J42" s="54"/>
      <c r="K42" s="53">
        <f t="shared" si="2"/>
        <v>0.82166853303471443</v>
      </c>
      <c r="L42" s="53">
        <f t="shared" si="3"/>
        <v>0.17833146696528557</v>
      </c>
    </row>
    <row r="43" spans="1:12" s="53" customFormat="1" x14ac:dyDescent="0.25">
      <c r="A43" s="58"/>
      <c r="B43" s="57"/>
      <c r="C43" s="56" t="s">
        <v>79</v>
      </c>
      <c r="D43" s="54">
        <v>1870.1</v>
      </c>
      <c r="E43" s="55">
        <v>147.6</v>
      </c>
      <c r="F43" s="55">
        <v>308</v>
      </c>
      <c r="G43" s="55">
        <v>500.8</v>
      </c>
      <c r="H43" s="55">
        <v>601.70000000000005</v>
      </c>
      <c r="I43" s="55">
        <v>311.10000000000002</v>
      </c>
      <c r="J43" s="54"/>
      <c r="K43" s="53">
        <f t="shared" si="2"/>
        <v>0.75625936229402935</v>
      </c>
      <c r="L43" s="53">
        <f t="shared" si="3"/>
        <v>0.24374063770597046</v>
      </c>
    </row>
    <row r="44" spans="1:12" s="53" customFormat="1" x14ac:dyDescent="0.25">
      <c r="A44" s="58"/>
      <c r="B44" s="57"/>
      <c r="C44" s="56" t="s">
        <v>78</v>
      </c>
      <c r="D44" s="54">
        <v>214.5</v>
      </c>
      <c r="E44" s="55">
        <v>14.7</v>
      </c>
      <c r="F44" s="55">
        <v>36</v>
      </c>
      <c r="G44" s="55">
        <v>62.3</v>
      </c>
      <c r="H44" s="55">
        <v>72.8</v>
      </c>
      <c r="I44" s="55">
        <v>28.6</v>
      </c>
      <c r="J44" s="54"/>
      <c r="K44" s="53">
        <f t="shared" si="2"/>
        <v>0.76352611940298498</v>
      </c>
      <c r="L44" s="53">
        <f t="shared" si="3"/>
        <v>0.23647388059701493</v>
      </c>
    </row>
    <row r="45" spans="1:12" s="53" customFormat="1" x14ac:dyDescent="0.25">
      <c r="A45" s="58"/>
      <c r="B45" s="57"/>
      <c r="C45" s="59" t="s">
        <v>77</v>
      </c>
      <c r="D45" s="54">
        <v>5624.1</v>
      </c>
      <c r="E45" s="55">
        <v>420</v>
      </c>
      <c r="F45" s="55">
        <v>852.3</v>
      </c>
      <c r="G45" s="55">
        <v>1416.8</v>
      </c>
      <c r="H45" s="55">
        <v>2010</v>
      </c>
      <c r="I45" s="55">
        <v>919.9</v>
      </c>
      <c r="J45" s="54"/>
      <c r="K45" s="53">
        <f t="shared" si="2"/>
        <v>0.7735718099305926</v>
      </c>
      <c r="L45" s="53">
        <f t="shared" si="3"/>
        <v>0.22642819006940737</v>
      </c>
    </row>
    <row r="46" spans="1:12" s="53" customFormat="1" x14ac:dyDescent="0.25">
      <c r="A46" s="58"/>
      <c r="B46" s="57"/>
      <c r="C46" s="59" t="s">
        <v>76</v>
      </c>
      <c r="D46" s="54">
        <v>3886.7</v>
      </c>
      <c r="E46" s="55">
        <v>193.2</v>
      </c>
      <c r="F46" s="55">
        <v>354</v>
      </c>
      <c r="G46" s="55">
        <v>983.9</v>
      </c>
      <c r="H46" s="55">
        <v>1140.3</v>
      </c>
      <c r="I46" s="55">
        <v>1085.4000000000001</v>
      </c>
      <c r="J46" s="54"/>
      <c r="K46" s="53">
        <f t="shared" si="2"/>
        <v>0.85434412265758097</v>
      </c>
      <c r="L46" s="53">
        <f t="shared" si="3"/>
        <v>0.14565587734241911</v>
      </c>
    </row>
    <row r="47" spans="1:12" s="53" customFormat="1" x14ac:dyDescent="0.25">
      <c r="A47" s="58"/>
      <c r="B47" s="57"/>
      <c r="C47" s="56" t="s">
        <v>75</v>
      </c>
      <c r="D47" s="54">
        <v>1521.9</v>
      </c>
      <c r="E47" s="55">
        <v>65.2</v>
      </c>
      <c r="F47" s="55">
        <v>68.8</v>
      </c>
      <c r="G47" s="55">
        <v>313.7</v>
      </c>
      <c r="H47" s="55">
        <v>498.6</v>
      </c>
      <c r="I47" s="55">
        <v>522.9</v>
      </c>
      <c r="J47" s="54"/>
      <c r="K47" s="53">
        <f t="shared" si="2"/>
        <v>0.90879390144296213</v>
      </c>
      <c r="L47" s="53">
        <f t="shared" si="3"/>
        <v>9.120609855703786E-2</v>
      </c>
    </row>
    <row r="48" spans="1:12" s="53" customFormat="1" x14ac:dyDescent="0.25">
      <c r="A48" s="58"/>
      <c r="B48" s="57"/>
      <c r="C48" s="56" t="s">
        <v>74</v>
      </c>
      <c r="D48" s="54">
        <v>2364.8000000000002</v>
      </c>
      <c r="E48" s="55">
        <v>128</v>
      </c>
      <c r="F48" s="55">
        <v>285.2</v>
      </c>
      <c r="G48" s="55">
        <v>670.2</v>
      </c>
      <c r="H48" s="55">
        <v>641.70000000000005</v>
      </c>
      <c r="I48" s="55">
        <v>562.6</v>
      </c>
      <c r="J48" s="54"/>
      <c r="K48" s="53">
        <f t="shared" si="2"/>
        <v>0.81938191196398125</v>
      </c>
      <c r="L48" s="53">
        <f t="shared" si="3"/>
        <v>0.18061808803601867</v>
      </c>
    </row>
    <row r="49" spans="1:12" s="53" customFormat="1" x14ac:dyDescent="0.25">
      <c r="A49" s="58"/>
      <c r="B49" s="57"/>
      <c r="C49" s="59" t="s">
        <v>73</v>
      </c>
      <c r="D49" s="54">
        <v>1169.2</v>
      </c>
      <c r="E49" s="55">
        <v>127.3</v>
      </c>
      <c r="F49" s="55">
        <v>152.80000000000001</v>
      </c>
      <c r="G49" s="55">
        <v>274.2</v>
      </c>
      <c r="H49" s="55">
        <v>248.8</v>
      </c>
      <c r="I49" s="55">
        <v>169.3</v>
      </c>
      <c r="J49" s="54"/>
      <c r="K49" s="53">
        <f t="shared" si="2"/>
        <v>0.71194981489099141</v>
      </c>
      <c r="L49" s="53">
        <f t="shared" si="3"/>
        <v>0.28805018510900871</v>
      </c>
    </row>
    <row r="50" spans="1:12" s="53" customFormat="1" x14ac:dyDescent="0.25">
      <c r="A50" s="58"/>
      <c r="B50" s="57"/>
      <c r="C50" s="56" t="s">
        <v>72</v>
      </c>
      <c r="D50" s="54">
        <v>765.5</v>
      </c>
      <c r="E50" s="55">
        <v>114.6</v>
      </c>
      <c r="F50" s="55">
        <v>95.7</v>
      </c>
      <c r="G50" s="55">
        <v>132.80000000000001</v>
      </c>
      <c r="H50" s="55">
        <v>138.30000000000001</v>
      </c>
      <c r="I50" s="55">
        <v>89.5</v>
      </c>
      <c r="J50" s="54"/>
      <c r="K50" s="53">
        <f t="shared" si="2"/>
        <v>0.63163426169206505</v>
      </c>
      <c r="L50" s="53">
        <f t="shared" si="3"/>
        <v>0.36836573830793479</v>
      </c>
    </row>
    <row r="51" spans="1:12" s="53" customFormat="1" x14ac:dyDescent="0.25">
      <c r="A51" s="58"/>
      <c r="B51" s="57"/>
      <c r="C51" s="56" t="s">
        <v>71</v>
      </c>
      <c r="D51" s="54">
        <v>403.7</v>
      </c>
      <c r="E51" s="55">
        <v>12.6</v>
      </c>
      <c r="F51" s="55">
        <v>57.1</v>
      </c>
      <c r="G51" s="55">
        <v>141.4</v>
      </c>
      <c r="H51" s="55">
        <v>110.5</v>
      </c>
      <c r="I51" s="55">
        <v>79.8</v>
      </c>
      <c r="J51" s="54"/>
      <c r="K51" s="53">
        <f t="shared" si="2"/>
        <v>0.82635774788241145</v>
      </c>
      <c r="L51" s="53">
        <f t="shared" si="3"/>
        <v>0.17364225211758844</v>
      </c>
    </row>
    <row r="52" spans="1:12" s="47" customFormat="1" ht="15.75" thickBot="1" x14ac:dyDescent="0.3">
      <c r="A52" s="52"/>
      <c r="B52" s="51"/>
      <c r="C52" s="50" t="s">
        <v>70</v>
      </c>
      <c r="D52" s="48">
        <v>666.4</v>
      </c>
      <c r="E52" s="49">
        <v>69.8</v>
      </c>
      <c r="F52" s="49">
        <v>122.4</v>
      </c>
      <c r="G52" s="49">
        <v>168.1</v>
      </c>
      <c r="H52" s="49">
        <v>193.4</v>
      </c>
      <c r="I52" s="49">
        <v>104.9</v>
      </c>
      <c r="J52" s="48"/>
      <c r="K52" s="47">
        <f t="shared" si="2"/>
        <v>0.70816884300030369</v>
      </c>
      <c r="L52" s="47">
        <f t="shared" si="3"/>
        <v>0.29183115699969636</v>
      </c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B17" sqref="B17:C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0"/>
      <c r="B1" s="11"/>
      <c r="C1" s="11"/>
      <c r="D1" s="11"/>
      <c r="E1" s="11"/>
      <c r="F1" s="12"/>
      <c r="G1" s="13"/>
    </row>
    <row r="2" spans="1:7" x14ac:dyDescent="0.25">
      <c r="A2" s="14"/>
      <c r="B2" s="15" t="s">
        <v>47</v>
      </c>
      <c r="C2" s="15" t="s">
        <v>48</v>
      </c>
      <c r="D2" s="15" t="s">
        <v>49</v>
      </c>
      <c r="G2" s="16"/>
    </row>
    <row r="3" spans="1:7" x14ac:dyDescent="0.25">
      <c r="A3" s="14" t="s">
        <v>50</v>
      </c>
      <c r="B3" s="17">
        <f>SUMIFS(Arealanvendelse!$D$28:$J$28,Arealanvendelse!$D$27:$J$27,A3)*100</f>
        <v>784890</v>
      </c>
      <c r="C3" s="18">
        <f>1000*(H29+H35)</f>
        <v>25100</v>
      </c>
      <c r="D3" s="19">
        <f>C3/$C$8</f>
        <v>0.18592592592592594</v>
      </c>
      <c r="F3" s="1" t="s">
        <v>51</v>
      </c>
      <c r="G3" s="16" t="s">
        <v>52</v>
      </c>
    </row>
    <row r="4" spans="1:7" x14ac:dyDescent="0.25">
      <c r="A4" s="14" t="s">
        <v>53</v>
      </c>
      <c r="B4" s="17">
        <f>SUMIFS(Arealanvendelse!$D$28:$J$28,Arealanvendelse!$D$27:$J$27,A4)*100</f>
        <v>1298690</v>
      </c>
      <c r="C4" s="18">
        <f>1000*(H54+H48+H60)</f>
        <v>47900</v>
      </c>
      <c r="D4" s="19">
        <f>C4/$C$8</f>
        <v>0.35481481481481481</v>
      </c>
      <c r="F4" s="20">
        <f>SUM(D3:D5)</f>
        <v>0.86814814814814811</v>
      </c>
      <c r="G4" s="21">
        <f>SUM(D6:D7)</f>
        <v>0.13185185185185186</v>
      </c>
    </row>
    <row r="5" spans="1:7" x14ac:dyDescent="0.25">
      <c r="A5" s="14" t="s">
        <v>54</v>
      </c>
      <c r="B5" s="17">
        <f>SUMIFS(Arealanvendelse!$D$28:$J$28,Arealanvendelse!$D$27:$J$27,A5)*100</f>
        <v>1209460</v>
      </c>
      <c r="C5" s="18">
        <f>1000*(H41+H66*(100*SUM(Arealanvendelse!$J$28:$J$28)/($B$6+$B$7+100*SUM(Arealanvendelse!$J$28:$J$28))))</f>
        <v>44200</v>
      </c>
      <c r="D5" s="19">
        <f>C5/$C$8</f>
        <v>0.32740740740740742</v>
      </c>
      <c r="G5" s="16"/>
    </row>
    <row r="6" spans="1:7" x14ac:dyDescent="0.25">
      <c r="A6" s="14" t="s">
        <v>55</v>
      </c>
      <c r="B6" s="17">
        <f>SUMIFS(Arealanvendelse!$D$28:$J$28,Arealanvendelse!$D$27:$J$27,A6)*100</f>
        <v>721680</v>
      </c>
      <c r="C6" s="22">
        <f>1000*(H66*(B6/($B$6+$B$7+100*SUM(Arealanvendelse!$J$28:$J$28))))</f>
        <v>13145.355191256831</v>
      </c>
      <c r="D6" s="19">
        <f>C6/$C$8</f>
        <v>9.7373001416717272E-2</v>
      </c>
      <c r="G6" s="16"/>
    </row>
    <row r="7" spans="1:7" ht="15.75" thickBot="1" x14ac:dyDescent="0.3">
      <c r="A7" s="23" t="s">
        <v>56</v>
      </c>
      <c r="B7" s="24">
        <f>SUMIFS(Arealanvendelse!$D$28:$J$28,Arealanvendelse!$D$27:$J$27,A7)*100</f>
        <v>255540</v>
      </c>
      <c r="C7" s="25">
        <f>1000*(H66*(B7/($B$6+$B$7+100*SUM(Arealanvendelse!$J$28:$J$28))))</f>
        <v>4654.64480874317</v>
      </c>
      <c r="D7" s="19">
        <f>C7/$C$8</f>
        <v>3.4478850435134593E-2</v>
      </c>
      <c r="G7" s="16"/>
    </row>
    <row r="8" spans="1:7" x14ac:dyDescent="0.25">
      <c r="A8" s="26" t="s">
        <v>57</v>
      </c>
      <c r="B8" s="27">
        <f>SUM(B3:B7)</f>
        <v>4270260</v>
      </c>
      <c r="C8" s="28">
        <f>SUM(C3:C7)</f>
        <v>135000</v>
      </c>
      <c r="D8" s="29">
        <f>SUM(D3:D7)</f>
        <v>0.99999999999999989</v>
      </c>
      <c r="G8" s="16"/>
    </row>
    <row r="9" spans="1:7" x14ac:dyDescent="0.25">
      <c r="A9" s="30"/>
      <c r="B9" s="31"/>
      <c r="C9" s="31"/>
      <c r="D9" s="32"/>
      <c r="E9" s="33"/>
      <c r="F9" s="33"/>
      <c r="G9" s="34"/>
    </row>
    <row r="10" spans="1:7" x14ac:dyDescent="0.25">
      <c r="A10" s="35"/>
      <c r="B10" s="465" t="s">
        <v>58</v>
      </c>
      <c r="C10" s="465"/>
      <c r="D10" s="465"/>
      <c r="E10" s="465"/>
      <c r="F10" s="465"/>
      <c r="G10" s="466"/>
    </row>
    <row r="11" spans="1:7" x14ac:dyDescent="0.25">
      <c r="A11" s="36"/>
      <c r="B11" s="465" t="s">
        <v>65</v>
      </c>
      <c r="C11" s="465"/>
      <c r="D11" s="465"/>
      <c r="E11" s="465"/>
      <c r="F11" s="465"/>
      <c r="G11" s="466"/>
    </row>
    <row r="12" spans="1:7" ht="28.5" customHeight="1" x14ac:dyDescent="0.25">
      <c r="A12" s="37"/>
      <c r="B12" s="467" t="s">
        <v>59</v>
      </c>
      <c r="C12" s="467"/>
      <c r="D12" s="467"/>
      <c r="E12" s="467"/>
      <c r="F12" s="467"/>
      <c r="G12" s="468"/>
    </row>
    <row r="13" spans="1:7" x14ac:dyDescent="0.25">
      <c r="A13" s="39"/>
      <c r="G13" s="16"/>
    </row>
    <row r="14" spans="1:7" x14ac:dyDescent="0.25">
      <c r="A14" s="38" t="s">
        <v>62</v>
      </c>
      <c r="B14" s="40" t="s">
        <v>60</v>
      </c>
      <c r="C14" s="7" t="s">
        <v>61</v>
      </c>
      <c r="D14" s="7" t="s">
        <v>57</v>
      </c>
      <c r="E14" s="7" t="s">
        <v>63</v>
      </c>
      <c r="G14" s="16"/>
    </row>
    <row r="15" spans="1:7" x14ac:dyDescent="0.25">
      <c r="A15" s="38" t="str">
        <f>Organ12</f>
        <v>OC12</v>
      </c>
      <c r="B15" s="41">
        <v>50394</v>
      </c>
      <c r="C15" s="41">
        <v>27838</v>
      </c>
      <c r="D15" s="41">
        <v>78232</v>
      </c>
      <c r="E15" s="41">
        <v>129000</v>
      </c>
      <c r="G15" s="16"/>
    </row>
    <row r="16" spans="1:7" x14ac:dyDescent="0.25">
      <c r="A16" s="38" t="str">
        <f>Organ6</f>
        <v>OC6</v>
      </c>
      <c r="B16" s="41">
        <v>77009</v>
      </c>
      <c r="C16" s="41">
        <v>23493</v>
      </c>
      <c r="D16" s="41">
        <v>100502</v>
      </c>
      <c r="E16" s="41">
        <v>162000</v>
      </c>
      <c r="G16" s="16"/>
    </row>
    <row r="17" spans="1:10" x14ac:dyDescent="0.25">
      <c r="A17" s="38" t="s">
        <v>64</v>
      </c>
      <c r="B17" s="41">
        <v>127403</v>
      </c>
      <c r="C17" s="41">
        <v>51331</v>
      </c>
      <c r="D17" s="41">
        <v>178734</v>
      </c>
      <c r="E17" s="41">
        <v>291000</v>
      </c>
      <c r="G17" s="16"/>
    </row>
    <row r="18" spans="1:10" ht="15.75" thickBot="1" x14ac:dyDescent="0.3">
      <c r="A18" s="42"/>
      <c r="B18" s="43"/>
      <c r="C18" s="43"/>
      <c r="D18" s="43"/>
      <c r="E18" s="43"/>
      <c r="F18" s="43"/>
      <c r="G18" s="44"/>
    </row>
    <row r="21" spans="1:10" ht="15.75" thickBot="1" x14ac:dyDescent="0.3">
      <c r="A21" s="105" t="s">
        <v>129</v>
      </c>
      <c r="B21" s="72"/>
      <c r="C21" s="72"/>
      <c r="D21" s="72"/>
      <c r="E21" s="72"/>
      <c r="F21" s="72"/>
      <c r="G21" s="72"/>
      <c r="H21" s="73"/>
      <c r="I21" s="72"/>
      <c r="J21" s="72"/>
    </row>
    <row r="22" spans="1:10" x14ac:dyDescent="0.25">
      <c r="A22" s="104" t="s">
        <v>128</v>
      </c>
      <c r="B22" s="103" t="s">
        <v>127</v>
      </c>
      <c r="C22" s="102" t="s">
        <v>126</v>
      </c>
      <c r="D22" s="102" t="s">
        <v>125</v>
      </c>
      <c r="E22" s="102" t="s">
        <v>124</v>
      </c>
      <c r="F22" s="102" t="s">
        <v>123</v>
      </c>
      <c r="G22" s="102" t="s">
        <v>122</v>
      </c>
      <c r="H22" s="101" t="s">
        <v>121</v>
      </c>
      <c r="I22" s="100" t="s">
        <v>120</v>
      </c>
      <c r="J22" s="99" t="s">
        <v>101</v>
      </c>
    </row>
    <row r="23" spans="1:10" ht="16.5" thickBot="1" x14ac:dyDescent="0.3">
      <c r="A23" s="98" t="s">
        <v>119</v>
      </c>
      <c r="B23" s="97">
        <v>1</v>
      </c>
      <c r="C23" s="96">
        <v>2</v>
      </c>
      <c r="D23" s="96" t="s">
        <v>118</v>
      </c>
      <c r="E23" s="96" t="s">
        <v>117</v>
      </c>
      <c r="F23" s="96">
        <v>7</v>
      </c>
      <c r="G23" s="95" t="s">
        <v>116</v>
      </c>
      <c r="H23" s="94">
        <v>11</v>
      </c>
      <c r="I23" s="93">
        <v>12</v>
      </c>
      <c r="J23" s="92"/>
    </row>
    <row r="24" spans="1:10" ht="22.5" x14ac:dyDescent="0.25">
      <c r="A24" s="90" t="s">
        <v>115</v>
      </c>
      <c r="B24" s="83">
        <v>1.3</v>
      </c>
      <c r="C24" s="83">
        <v>0.7</v>
      </c>
      <c r="D24" s="83">
        <v>3</v>
      </c>
      <c r="E24" s="83">
        <v>1.5</v>
      </c>
      <c r="F24" s="83">
        <v>0.2</v>
      </c>
      <c r="G24" s="83">
        <v>0</v>
      </c>
      <c r="H24" s="89">
        <v>4.7</v>
      </c>
      <c r="I24" s="81">
        <v>0.1</v>
      </c>
      <c r="J24" s="81">
        <v>11.4</v>
      </c>
    </row>
    <row r="25" spans="1:10" x14ac:dyDescent="0.25">
      <c r="A25" s="86" t="s">
        <v>105</v>
      </c>
      <c r="B25" s="83">
        <v>0.9</v>
      </c>
      <c r="C25" s="83">
        <v>0.9</v>
      </c>
      <c r="D25" s="83">
        <v>0.5</v>
      </c>
      <c r="E25" s="83">
        <v>0.1</v>
      </c>
      <c r="F25" s="83">
        <v>0</v>
      </c>
      <c r="G25" s="83">
        <v>0</v>
      </c>
      <c r="H25" s="89">
        <v>0.8</v>
      </c>
      <c r="I25" s="81">
        <v>0</v>
      </c>
      <c r="J25" s="81">
        <v>3.2</v>
      </c>
    </row>
    <row r="26" spans="1:10" x14ac:dyDescent="0.25">
      <c r="A26" s="86" t="s">
        <v>104</v>
      </c>
      <c r="B26" s="83">
        <v>0.7</v>
      </c>
      <c r="C26" s="83">
        <v>1</v>
      </c>
      <c r="D26" s="83">
        <v>1.1000000000000001</v>
      </c>
      <c r="E26" s="83">
        <v>0.4</v>
      </c>
      <c r="F26" s="83">
        <v>0</v>
      </c>
      <c r="G26" s="83">
        <v>0</v>
      </c>
      <c r="H26" s="89">
        <v>1.5</v>
      </c>
      <c r="I26" s="81">
        <v>0</v>
      </c>
      <c r="J26" s="81">
        <v>4.8</v>
      </c>
    </row>
    <row r="27" spans="1:10" x14ac:dyDescent="0.25">
      <c r="A27" s="86" t="s">
        <v>103</v>
      </c>
      <c r="B27" s="83">
        <v>2.1</v>
      </c>
      <c r="C27" s="83">
        <v>6.5</v>
      </c>
      <c r="D27" s="83">
        <v>1.8</v>
      </c>
      <c r="E27" s="83">
        <v>0.9</v>
      </c>
      <c r="F27" s="83">
        <v>0.2</v>
      </c>
      <c r="G27" s="83">
        <v>0</v>
      </c>
      <c r="H27" s="89">
        <v>2.4</v>
      </c>
      <c r="I27" s="81">
        <v>0.7</v>
      </c>
      <c r="J27" s="81">
        <v>14.5</v>
      </c>
    </row>
    <row r="28" spans="1:10" ht="15.75" thickBot="1" x14ac:dyDescent="0.3">
      <c r="A28" s="88" t="s">
        <v>107</v>
      </c>
      <c r="B28" s="76">
        <v>0.1</v>
      </c>
      <c r="C28" s="76">
        <v>0</v>
      </c>
      <c r="D28" s="76">
        <v>0.2</v>
      </c>
      <c r="E28" s="76">
        <v>0.2</v>
      </c>
      <c r="F28" s="76">
        <v>0</v>
      </c>
      <c r="G28" s="76">
        <v>0</v>
      </c>
      <c r="H28" s="91">
        <v>0</v>
      </c>
      <c r="I28" s="74">
        <v>0</v>
      </c>
      <c r="J28" s="74">
        <v>0.5</v>
      </c>
    </row>
    <row r="29" spans="1:10" ht="15.75" thickBot="1" x14ac:dyDescent="0.3">
      <c r="A29" s="79" t="s">
        <v>101</v>
      </c>
      <c r="B29" s="76">
        <v>5</v>
      </c>
      <c r="C29" s="76">
        <v>9.1</v>
      </c>
      <c r="D29" s="76">
        <v>6.6</v>
      </c>
      <c r="E29" s="76">
        <v>3.1</v>
      </c>
      <c r="F29" s="76">
        <v>0.4</v>
      </c>
      <c r="G29" s="76">
        <v>0</v>
      </c>
      <c r="H29" s="91">
        <v>9.3000000000000007</v>
      </c>
      <c r="I29" s="74">
        <v>0.7</v>
      </c>
      <c r="J29" s="74">
        <v>34.4</v>
      </c>
    </row>
    <row r="30" spans="1:10" ht="33.75" x14ac:dyDescent="0.25">
      <c r="A30" s="90" t="s">
        <v>114</v>
      </c>
      <c r="B30" s="83">
        <v>0.8</v>
      </c>
      <c r="C30" s="83">
        <v>6.1</v>
      </c>
      <c r="D30" s="83">
        <v>2.2000000000000002</v>
      </c>
      <c r="E30" s="83">
        <v>0.2</v>
      </c>
      <c r="F30" s="83">
        <v>0.1</v>
      </c>
      <c r="G30" s="83">
        <v>0.1</v>
      </c>
      <c r="H30" s="89">
        <v>3.7</v>
      </c>
      <c r="I30" s="81">
        <v>0</v>
      </c>
      <c r="J30" s="81">
        <v>13.2</v>
      </c>
    </row>
    <row r="31" spans="1:10" x14ac:dyDescent="0.25">
      <c r="A31" s="86" t="s">
        <v>105</v>
      </c>
      <c r="B31" s="83">
        <v>0.1</v>
      </c>
      <c r="C31" s="83">
        <v>3.7</v>
      </c>
      <c r="D31" s="83">
        <v>2.1</v>
      </c>
      <c r="E31" s="83">
        <v>0.4</v>
      </c>
      <c r="F31" s="83">
        <v>0.1</v>
      </c>
      <c r="G31" s="83">
        <v>0</v>
      </c>
      <c r="H31" s="89">
        <v>3.1</v>
      </c>
      <c r="I31" s="81">
        <v>0</v>
      </c>
      <c r="J31" s="81">
        <v>9.6</v>
      </c>
    </row>
    <row r="32" spans="1:10" x14ac:dyDescent="0.25">
      <c r="A32" s="86" t="s">
        <v>104</v>
      </c>
      <c r="B32" s="83">
        <v>3</v>
      </c>
      <c r="C32" s="83">
        <v>8.6999999999999993</v>
      </c>
      <c r="D32" s="83">
        <v>2.5</v>
      </c>
      <c r="E32" s="83">
        <v>0.7</v>
      </c>
      <c r="F32" s="83">
        <v>0.3</v>
      </c>
      <c r="G32" s="83">
        <v>0.3</v>
      </c>
      <c r="H32" s="89">
        <v>2.8</v>
      </c>
      <c r="I32" s="81">
        <v>0</v>
      </c>
      <c r="J32" s="81">
        <v>18.3</v>
      </c>
    </row>
    <row r="33" spans="1:10" x14ac:dyDescent="0.25">
      <c r="A33" s="86" t="s">
        <v>103</v>
      </c>
      <c r="B33" s="83">
        <v>1.6</v>
      </c>
      <c r="C33" s="85">
        <v>18.899999999999999</v>
      </c>
      <c r="D33" s="84">
        <v>11.7</v>
      </c>
      <c r="E33" s="83">
        <v>2.1</v>
      </c>
      <c r="F33" s="83">
        <v>1.4</v>
      </c>
      <c r="G33" s="83">
        <v>0.2</v>
      </c>
      <c r="H33" s="89">
        <v>6.1</v>
      </c>
      <c r="I33" s="81">
        <v>0.1</v>
      </c>
      <c r="J33" s="81">
        <v>42</v>
      </c>
    </row>
    <row r="34" spans="1:10" ht="15.75" thickBot="1" x14ac:dyDescent="0.3">
      <c r="A34" s="88" t="s">
        <v>107</v>
      </c>
      <c r="B34" s="76">
        <v>1.8</v>
      </c>
      <c r="C34" s="76">
        <v>1</v>
      </c>
      <c r="D34" s="76">
        <v>0.2</v>
      </c>
      <c r="E34" s="76">
        <v>0</v>
      </c>
      <c r="F34" s="76">
        <v>0</v>
      </c>
      <c r="G34" s="76">
        <v>0</v>
      </c>
      <c r="H34" s="91">
        <v>0</v>
      </c>
      <c r="I34" s="74">
        <v>0</v>
      </c>
      <c r="J34" s="74">
        <v>3.1</v>
      </c>
    </row>
    <row r="35" spans="1:10" ht="15.75" thickBot="1" x14ac:dyDescent="0.3">
      <c r="A35" s="79" t="s">
        <v>101</v>
      </c>
      <c r="B35" s="76">
        <v>7.3</v>
      </c>
      <c r="C35" s="77">
        <v>38.4</v>
      </c>
      <c r="D35" s="78">
        <v>18.600000000000001</v>
      </c>
      <c r="E35" s="76">
        <v>3.4</v>
      </c>
      <c r="F35" s="76">
        <v>1.9</v>
      </c>
      <c r="G35" s="76">
        <v>0.6</v>
      </c>
      <c r="H35" s="75">
        <v>15.8</v>
      </c>
      <c r="I35" s="74">
        <v>0.1</v>
      </c>
      <c r="J35" s="74">
        <v>86.2</v>
      </c>
    </row>
    <row r="36" spans="1:10" ht="33.75" x14ac:dyDescent="0.25">
      <c r="A36" s="90" t="s">
        <v>113</v>
      </c>
      <c r="B36" s="83">
        <v>17.7</v>
      </c>
      <c r="C36" s="83">
        <v>3.8</v>
      </c>
      <c r="D36" s="83">
        <v>4.7</v>
      </c>
      <c r="E36" s="83">
        <v>0.8</v>
      </c>
      <c r="F36" s="83">
        <v>1.4</v>
      </c>
      <c r="G36" s="83">
        <v>8.8000000000000007</v>
      </c>
      <c r="H36" s="82">
        <v>18.899999999999999</v>
      </c>
      <c r="I36" s="81">
        <v>0</v>
      </c>
      <c r="J36" s="81">
        <v>56</v>
      </c>
    </row>
    <row r="37" spans="1:10" x14ac:dyDescent="0.25">
      <c r="A37" s="86" t="s">
        <v>105</v>
      </c>
      <c r="B37" s="83">
        <v>7.2</v>
      </c>
      <c r="C37" s="83">
        <v>0.7</v>
      </c>
      <c r="D37" s="83">
        <v>2.2000000000000002</v>
      </c>
      <c r="E37" s="83">
        <v>0.1</v>
      </c>
      <c r="F37" s="83">
        <v>0.1</v>
      </c>
      <c r="G37" s="83">
        <v>0.7</v>
      </c>
      <c r="H37" s="89">
        <v>7.4</v>
      </c>
      <c r="I37" s="81">
        <v>0.1</v>
      </c>
      <c r="J37" s="81">
        <v>18.600000000000001</v>
      </c>
    </row>
    <row r="38" spans="1:10" x14ac:dyDescent="0.25">
      <c r="A38" s="86" t="s">
        <v>104</v>
      </c>
      <c r="B38" s="83">
        <v>8</v>
      </c>
      <c r="C38" s="83">
        <v>0.2</v>
      </c>
      <c r="D38" s="83">
        <v>1.3</v>
      </c>
      <c r="E38" s="83">
        <v>0.1</v>
      </c>
      <c r="F38" s="83">
        <v>0</v>
      </c>
      <c r="G38" s="83">
        <v>0.1</v>
      </c>
      <c r="H38" s="89">
        <v>5.5</v>
      </c>
      <c r="I38" s="81">
        <v>0</v>
      </c>
      <c r="J38" s="81">
        <v>15.2</v>
      </c>
    </row>
    <row r="39" spans="1:10" x14ac:dyDescent="0.25">
      <c r="A39" s="86" t="s">
        <v>103</v>
      </c>
      <c r="B39" s="83">
        <v>16.899999999999999</v>
      </c>
      <c r="C39" s="83">
        <v>0.5</v>
      </c>
      <c r="D39" s="83">
        <v>4.5</v>
      </c>
      <c r="E39" s="83">
        <v>0.4</v>
      </c>
      <c r="F39" s="83">
        <v>1.4</v>
      </c>
      <c r="G39" s="83">
        <v>3.7</v>
      </c>
      <c r="H39" s="82">
        <v>12.3</v>
      </c>
      <c r="I39" s="81">
        <v>0</v>
      </c>
      <c r="J39" s="81">
        <v>39.700000000000003</v>
      </c>
    </row>
    <row r="40" spans="1:10" ht="15.75" thickBot="1" x14ac:dyDescent="0.3">
      <c r="A40" s="88" t="s">
        <v>107</v>
      </c>
      <c r="B40" s="76">
        <v>2.8</v>
      </c>
      <c r="C40" s="76">
        <v>0.3</v>
      </c>
      <c r="D40" s="76">
        <v>0.7</v>
      </c>
      <c r="E40" s="76">
        <v>0.1</v>
      </c>
      <c r="F40" s="76">
        <v>0.4</v>
      </c>
      <c r="G40" s="76">
        <v>0.4</v>
      </c>
      <c r="H40" s="91">
        <v>0.1</v>
      </c>
      <c r="I40" s="74">
        <v>0</v>
      </c>
      <c r="J40" s="74">
        <v>4.9000000000000004</v>
      </c>
    </row>
    <row r="41" spans="1:10" ht="15.75" thickBot="1" x14ac:dyDescent="0.3">
      <c r="A41" s="79" t="s">
        <v>101</v>
      </c>
      <c r="B41" s="76">
        <v>52.6</v>
      </c>
      <c r="C41" s="76">
        <v>5.5</v>
      </c>
      <c r="D41" s="78">
        <v>13.4</v>
      </c>
      <c r="E41" s="76">
        <v>1.5</v>
      </c>
      <c r="F41" s="76">
        <v>3.3</v>
      </c>
      <c r="G41" s="76">
        <v>13.8</v>
      </c>
      <c r="H41" s="75">
        <v>44.2</v>
      </c>
      <c r="I41" s="74">
        <v>0.1</v>
      </c>
      <c r="J41" s="74">
        <v>134.4</v>
      </c>
    </row>
    <row r="42" spans="1:10" x14ac:dyDescent="0.25">
      <c r="A42" s="461" t="s">
        <v>112</v>
      </c>
      <c r="B42" s="85" t="s">
        <v>111</v>
      </c>
      <c r="C42" s="463">
        <v>1.6</v>
      </c>
      <c r="D42" s="463">
        <v>1</v>
      </c>
      <c r="E42" s="463">
        <v>0.3</v>
      </c>
      <c r="F42" s="463">
        <v>0.3</v>
      </c>
      <c r="G42" s="463">
        <v>0</v>
      </c>
      <c r="H42" s="469">
        <v>5.9</v>
      </c>
      <c r="I42" s="471">
        <v>0</v>
      </c>
      <c r="J42" s="459">
        <v>12.2</v>
      </c>
    </row>
    <row r="43" spans="1:10" x14ac:dyDescent="0.25">
      <c r="A43" s="462"/>
      <c r="B43" s="83">
        <v>3.2</v>
      </c>
      <c r="C43" s="464"/>
      <c r="D43" s="464"/>
      <c r="E43" s="464"/>
      <c r="F43" s="464"/>
      <c r="G43" s="464"/>
      <c r="H43" s="470"/>
      <c r="I43" s="472"/>
      <c r="J43" s="460"/>
    </row>
    <row r="44" spans="1:10" x14ac:dyDescent="0.25">
      <c r="A44" s="86" t="s">
        <v>105</v>
      </c>
      <c r="B44" s="83">
        <v>1.6</v>
      </c>
      <c r="C44" s="83">
        <v>0.5</v>
      </c>
      <c r="D44" s="83">
        <v>1.3</v>
      </c>
      <c r="E44" s="83">
        <v>0.1</v>
      </c>
      <c r="F44" s="83">
        <v>0</v>
      </c>
      <c r="G44" s="83">
        <v>0</v>
      </c>
      <c r="H44" s="89">
        <v>3.2</v>
      </c>
      <c r="I44" s="81">
        <v>0</v>
      </c>
      <c r="J44" s="81">
        <v>6.6</v>
      </c>
    </row>
    <row r="45" spans="1:10" x14ac:dyDescent="0.25">
      <c r="A45" s="86" t="s">
        <v>104</v>
      </c>
      <c r="B45" s="83">
        <v>2.1</v>
      </c>
      <c r="C45" s="83">
        <v>0.9</v>
      </c>
      <c r="D45" s="83">
        <v>1</v>
      </c>
      <c r="E45" s="83">
        <v>0.1</v>
      </c>
      <c r="F45" s="83">
        <v>0.1</v>
      </c>
      <c r="G45" s="83">
        <v>0</v>
      </c>
      <c r="H45" s="89">
        <v>4</v>
      </c>
      <c r="I45" s="81">
        <v>1</v>
      </c>
      <c r="J45" s="81">
        <v>9.1999999999999993</v>
      </c>
    </row>
    <row r="46" spans="1:10" x14ac:dyDescent="0.25">
      <c r="A46" s="86" t="s">
        <v>103</v>
      </c>
      <c r="B46" s="83">
        <v>8.5</v>
      </c>
      <c r="C46" s="85">
        <v>10.8</v>
      </c>
      <c r="D46" s="83">
        <v>9.8000000000000007</v>
      </c>
      <c r="E46" s="83">
        <v>1.9</v>
      </c>
      <c r="F46" s="83">
        <v>1.1000000000000001</v>
      </c>
      <c r="G46" s="83">
        <v>0.2</v>
      </c>
      <c r="H46" s="82">
        <v>16.600000000000001</v>
      </c>
      <c r="I46" s="81">
        <v>1</v>
      </c>
      <c r="J46" s="81">
        <v>50</v>
      </c>
    </row>
    <row r="47" spans="1:10" ht="15.75" thickBot="1" x14ac:dyDescent="0.3">
      <c r="A47" s="88" t="s">
        <v>107</v>
      </c>
      <c r="B47" s="76">
        <v>0.2</v>
      </c>
      <c r="C47" s="76">
        <v>0.2</v>
      </c>
      <c r="D47" s="76">
        <v>0.5</v>
      </c>
      <c r="E47" s="76">
        <v>0</v>
      </c>
      <c r="F47" s="76">
        <v>0</v>
      </c>
      <c r="G47" s="76">
        <v>0</v>
      </c>
      <c r="H47" s="91">
        <v>0</v>
      </c>
      <c r="I47" s="74">
        <v>0</v>
      </c>
      <c r="J47" s="74">
        <v>1</v>
      </c>
    </row>
    <row r="48" spans="1:10" ht="15.75" thickBot="1" x14ac:dyDescent="0.3">
      <c r="A48" s="79" t="s">
        <v>101</v>
      </c>
      <c r="B48" s="76">
        <v>15.6</v>
      </c>
      <c r="C48" s="77">
        <v>13.9</v>
      </c>
      <c r="D48" s="78">
        <v>13.5</v>
      </c>
      <c r="E48" s="76">
        <v>2.4</v>
      </c>
      <c r="F48" s="76">
        <v>1.5</v>
      </c>
      <c r="G48" s="76">
        <v>0.3</v>
      </c>
      <c r="H48" s="75">
        <v>29.7</v>
      </c>
      <c r="I48" s="74">
        <v>2</v>
      </c>
      <c r="J48" s="74">
        <v>79</v>
      </c>
    </row>
    <row r="49" spans="1:10" ht="33.75" x14ac:dyDescent="0.25">
      <c r="A49" s="90" t="s">
        <v>110</v>
      </c>
      <c r="B49" s="83">
        <v>1.9</v>
      </c>
      <c r="C49" s="83">
        <v>0</v>
      </c>
      <c r="D49" s="83">
        <v>1.8</v>
      </c>
      <c r="E49" s="83">
        <v>0.4</v>
      </c>
      <c r="F49" s="83">
        <v>0</v>
      </c>
      <c r="G49" s="83">
        <v>0.1</v>
      </c>
      <c r="H49" s="89">
        <v>4.8</v>
      </c>
      <c r="I49" s="81">
        <v>0</v>
      </c>
      <c r="J49" s="81">
        <v>8.8000000000000007</v>
      </c>
    </row>
    <row r="50" spans="1:10" x14ac:dyDescent="0.25">
      <c r="A50" s="86" t="s">
        <v>105</v>
      </c>
      <c r="B50" s="83">
        <v>0.3</v>
      </c>
      <c r="C50" s="83">
        <v>0</v>
      </c>
      <c r="D50" s="83">
        <v>0.6</v>
      </c>
      <c r="E50" s="83">
        <v>0</v>
      </c>
      <c r="F50" s="83">
        <v>0</v>
      </c>
      <c r="G50" s="83">
        <v>0</v>
      </c>
      <c r="H50" s="89">
        <v>0.9</v>
      </c>
      <c r="I50" s="81">
        <v>0</v>
      </c>
      <c r="J50" s="81">
        <v>1.9</v>
      </c>
    </row>
    <row r="51" spans="1:10" x14ac:dyDescent="0.25">
      <c r="A51" s="86" t="s">
        <v>104</v>
      </c>
      <c r="B51" s="83">
        <v>0.5</v>
      </c>
      <c r="C51" s="83">
        <v>0.1</v>
      </c>
      <c r="D51" s="83">
        <v>0.9</v>
      </c>
      <c r="E51" s="83">
        <v>0.2</v>
      </c>
      <c r="F51" s="83">
        <v>0.1</v>
      </c>
      <c r="G51" s="83">
        <v>0</v>
      </c>
      <c r="H51" s="89">
        <v>1.6</v>
      </c>
      <c r="I51" s="81">
        <v>0</v>
      </c>
      <c r="J51" s="81">
        <v>3.4</v>
      </c>
    </row>
    <row r="52" spans="1:10" x14ac:dyDescent="0.25">
      <c r="A52" s="86" t="s">
        <v>103</v>
      </c>
      <c r="B52" s="83">
        <v>2.2999999999999998</v>
      </c>
      <c r="C52" s="83">
        <v>0</v>
      </c>
      <c r="D52" s="83">
        <v>4.5</v>
      </c>
      <c r="E52" s="83">
        <v>2.2000000000000002</v>
      </c>
      <c r="F52" s="83">
        <v>0.5</v>
      </c>
      <c r="G52" s="83">
        <v>0.3</v>
      </c>
      <c r="H52" s="89">
        <v>5</v>
      </c>
      <c r="I52" s="81">
        <v>0</v>
      </c>
      <c r="J52" s="81">
        <v>14.8</v>
      </c>
    </row>
    <row r="53" spans="1:10" ht="15.75" thickBot="1" x14ac:dyDescent="0.3">
      <c r="A53" s="88" t="s">
        <v>107</v>
      </c>
      <c r="B53" s="76">
        <v>0.2</v>
      </c>
      <c r="C53" s="76">
        <v>0</v>
      </c>
      <c r="D53" s="76">
        <v>0.6</v>
      </c>
      <c r="E53" s="76">
        <v>0.6</v>
      </c>
      <c r="F53" s="76">
        <v>0.1</v>
      </c>
      <c r="G53" s="76">
        <v>0</v>
      </c>
      <c r="H53" s="91">
        <v>0.1</v>
      </c>
      <c r="I53" s="74">
        <v>0</v>
      </c>
      <c r="J53" s="74">
        <v>1.6</v>
      </c>
    </row>
    <row r="54" spans="1:10" ht="15.75" thickBot="1" x14ac:dyDescent="0.3">
      <c r="A54" s="79" t="s">
        <v>101</v>
      </c>
      <c r="B54" s="76">
        <v>5.2</v>
      </c>
      <c r="C54" s="76">
        <v>0.1</v>
      </c>
      <c r="D54" s="76">
        <v>8.3000000000000007</v>
      </c>
      <c r="E54" s="76">
        <v>3.4</v>
      </c>
      <c r="F54" s="76">
        <v>0.7</v>
      </c>
      <c r="G54" s="76">
        <v>0.4</v>
      </c>
      <c r="H54" s="75">
        <v>12.4</v>
      </c>
      <c r="I54" s="74">
        <v>0</v>
      </c>
      <c r="J54" s="74">
        <v>30.5</v>
      </c>
    </row>
    <row r="55" spans="1:10" ht="33.75" x14ac:dyDescent="0.25">
      <c r="A55" s="90" t="s">
        <v>109</v>
      </c>
      <c r="B55" s="83">
        <v>0.4</v>
      </c>
      <c r="C55" s="83">
        <v>0.1</v>
      </c>
      <c r="D55" s="83">
        <v>0.6</v>
      </c>
      <c r="E55" s="83">
        <v>0.6</v>
      </c>
      <c r="F55" s="83">
        <v>0.1</v>
      </c>
      <c r="G55" s="83">
        <v>0</v>
      </c>
      <c r="H55" s="89">
        <v>1.4</v>
      </c>
      <c r="I55" s="81">
        <v>0</v>
      </c>
      <c r="J55" s="81">
        <v>3.3</v>
      </c>
    </row>
    <row r="56" spans="1:10" x14ac:dyDescent="0.25">
      <c r="A56" s="86" t="s">
        <v>105</v>
      </c>
      <c r="B56" s="83">
        <v>0.2</v>
      </c>
      <c r="C56" s="83">
        <v>0.2</v>
      </c>
      <c r="D56" s="83">
        <v>0.1</v>
      </c>
      <c r="E56" s="83">
        <v>0.2</v>
      </c>
      <c r="F56" s="83">
        <v>0</v>
      </c>
      <c r="G56" s="83">
        <v>0</v>
      </c>
      <c r="H56" s="89">
        <v>0.7</v>
      </c>
      <c r="I56" s="81">
        <v>0</v>
      </c>
      <c r="J56" s="81">
        <v>1.5</v>
      </c>
    </row>
    <row r="57" spans="1:10" x14ac:dyDescent="0.25">
      <c r="A57" s="86" t="s">
        <v>104</v>
      </c>
      <c r="B57" s="83">
        <v>0.6</v>
      </c>
      <c r="C57" s="83">
        <v>0</v>
      </c>
      <c r="D57" s="83">
        <v>0.1</v>
      </c>
      <c r="E57" s="83">
        <v>0.1</v>
      </c>
      <c r="F57" s="83">
        <v>0</v>
      </c>
      <c r="G57" s="83">
        <v>0</v>
      </c>
      <c r="H57" s="89">
        <v>0.8</v>
      </c>
      <c r="I57" s="81">
        <v>0</v>
      </c>
      <c r="J57" s="81">
        <v>1.6</v>
      </c>
    </row>
    <row r="58" spans="1:10" x14ac:dyDescent="0.25">
      <c r="A58" s="86" t="s">
        <v>103</v>
      </c>
      <c r="B58" s="83">
        <v>0.9</v>
      </c>
      <c r="C58" s="83">
        <v>0.4</v>
      </c>
      <c r="D58" s="83">
        <v>1.9</v>
      </c>
      <c r="E58" s="83">
        <v>3.8</v>
      </c>
      <c r="F58" s="83">
        <v>0.7</v>
      </c>
      <c r="G58" s="83">
        <v>0.2</v>
      </c>
      <c r="H58" s="89">
        <v>2.8</v>
      </c>
      <c r="I58" s="81">
        <v>0.1</v>
      </c>
      <c r="J58" s="81">
        <v>10.8</v>
      </c>
    </row>
    <row r="59" spans="1:10" ht="15.75" thickBot="1" x14ac:dyDescent="0.3">
      <c r="A59" s="88" t="s">
        <v>107</v>
      </c>
      <c r="B59" s="76">
        <v>0.1</v>
      </c>
      <c r="C59" s="76">
        <v>0.2</v>
      </c>
      <c r="D59" s="76">
        <v>0.3</v>
      </c>
      <c r="E59" s="76">
        <v>0.6</v>
      </c>
      <c r="F59" s="76">
        <v>0.2</v>
      </c>
      <c r="G59" s="76">
        <v>0</v>
      </c>
      <c r="H59" s="91">
        <v>0.1</v>
      </c>
      <c r="I59" s="74">
        <v>0</v>
      </c>
      <c r="J59" s="74">
        <v>1.3</v>
      </c>
    </row>
    <row r="60" spans="1:10" ht="15.75" thickBot="1" x14ac:dyDescent="0.3">
      <c r="A60" s="79" t="s">
        <v>101</v>
      </c>
      <c r="B60" s="76">
        <v>2.2999999999999998</v>
      </c>
      <c r="C60" s="76">
        <v>0.9</v>
      </c>
      <c r="D60" s="76">
        <v>3</v>
      </c>
      <c r="E60" s="76">
        <v>5.2</v>
      </c>
      <c r="F60" s="76">
        <v>1</v>
      </c>
      <c r="G60" s="76">
        <v>0.2</v>
      </c>
      <c r="H60" s="91">
        <v>5.8</v>
      </c>
      <c r="I60" s="74">
        <v>0.1</v>
      </c>
      <c r="J60" s="74">
        <v>18.600000000000001</v>
      </c>
    </row>
    <row r="61" spans="1:10" ht="33.75" x14ac:dyDescent="0.25">
      <c r="A61" s="90" t="s">
        <v>108</v>
      </c>
      <c r="B61" s="83">
        <v>0</v>
      </c>
      <c r="C61" s="83">
        <v>0</v>
      </c>
      <c r="D61" s="83">
        <v>0</v>
      </c>
      <c r="E61" s="83">
        <v>0</v>
      </c>
      <c r="F61" s="83">
        <v>0</v>
      </c>
      <c r="G61" s="83">
        <v>0</v>
      </c>
      <c r="H61" s="89">
        <v>0</v>
      </c>
      <c r="I61" s="81">
        <v>0</v>
      </c>
      <c r="J61" s="81">
        <v>0</v>
      </c>
    </row>
    <row r="62" spans="1:10" x14ac:dyDescent="0.25">
      <c r="A62" s="86" t="s">
        <v>105</v>
      </c>
      <c r="B62" s="83">
        <v>0</v>
      </c>
      <c r="C62" s="83">
        <v>0</v>
      </c>
      <c r="D62" s="83">
        <v>0</v>
      </c>
      <c r="E62" s="83">
        <v>0</v>
      </c>
      <c r="F62" s="83">
        <v>0</v>
      </c>
      <c r="G62" s="83">
        <v>0</v>
      </c>
      <c r="H62" s="89">
        <v>0</v>
      </c>
      <c r="I62" s="81">
        <v>0</v>
      </c>
      <c r="J62" s="81">
        <v>0</v>
      </c>
    </row>
    <row r="63" spans="1:10" x14ac:dyDescent="0.25">
      <c r="A63" s="86" t="s">
        <v>104</v>
      </c>
      <c r="B63" s="83">
        <v>0</v>
      </c>
      <c r="C63" s="83">
        <v>0</v>
      </c>
      <c r="D63" s="83">
        <v>0</v>
      </c>
      <c r="E63" s="83">
        <v>0</v>
      </c>
      <c r="F63" s="83">
        <v>0</v>
      </c>
      <c r="G63" s="83">
        <v>0</v>
      </c>
      <c r="H63" s="89">
        <v>0</v>
      </c>
      <c r="I63" s="81">
        <v>0</v>
      </c>
      <c r="J63" s="81">
        <v>0</v>
      </c>
    </row>
    <row r="64" spans="1:10" x14ac:dyDescent="0.25">
      <c r="A64" s="86" t="s">
        <v>103</v>
      </c>
      <c r="B64" s="83">
        <v>0</v>
      </c>
      <c r="C64" s="83">
        <v>0</v>
      </c>
      <c r="D64" s="83">
        <v>0</v>
      </c>
      <c r="E64" s="83">
        <v>0</v>
      </c>
      <c r="F64" s="83">
        <v>0</v>
      </c>
      <c r="G64" s="83">
        <v>0</v>
      </c>
      <c r="H64" s="89">
        <v>0</v>
      </c>
      <c r="I64" s="81">
        <v>0</v>
      </c>
      <c r="J64" s="81">
        <v>0</v>
      </c>
    </row>
    <row r="65" spans="1:10" ht="15.75" thickBot="1" x14ac:dyDescent="0.3">
      <c r="A65" s="88" t="s">
        <v>107</v>
      </c>
      <c r="B65" s="76">
        <v>5.9</v>
      </c>
      <c r="C65" s="76">
        <v>8.9</v>
      </c>
      <c r="D65" s="78">
        <v>15</v>
      </c>
      <c r="E65" s="78">
        <v>10.6</v>
      </c>
      <c r="F65" s="76">
        <v>3.1</v>
      </c>
      <c r="G65" s="76">
        <v>0.2</v>
      </c>
      <c r="H65" s="75">
        <v>17.8</v>
      </c>
      <c r="I65" s="74">
        <v>3</v>
      </c>
      <c r="J65" s="74">
        <v>64.3</v>
      </c>
    </row>
    <row r="66" spans="1:10" ht="15.75" thickBot="1" x14ac:dyDescent="0.3">
      <c r="A66" s="79" t="s">
        <v>101</v>
      </c>
      <c r="B66" s="76">
        <v>5.9</v>
      </c>
      <c r="C66" s="76">
        <v>8.9</v>
      </c>
      <c r="D66" s="78">
        <v>15</v>
      </c>
      <c r="E66" s="78">
        <v>10.6</v>
      </c>
      <c r="F66" s="76">
        <v>3.1</v>
      </c>
      <c r="G66" s="76">
        <v>0.2</v>
      </c>
      <c r="H66" s="75">
        <v>17.8</v>
      </c>
      <c r="I66" s="74">
        <v>3</v>
      </c>
      <c r="J66" s="74">
        <v>64.3</v>
      </c>
    </row>
    <row r="67" spans="1:10" ht="22.5" x14ac:dyDescent="0.25">
      <c r="A67" s="87" t="s">
        <v>106</v>
      </c>
      <c r="B67" s="83">
        <v>25.2</v>
      </c>
      <c r="C67" s="85">
        <v>12.3</v>
      </c>
      <c r="D67" s="84">
        <v>13.1</v>
      </c>
      <c r="E67" s="83">
        <v>3.8</v>
      </c>
      <c r="F67" s="83">
        <v>2.1</v>
      </c>
      <c r="G67" s="83">
        <v>9</v>
      </c>
      <c r="H67" s="82">
        <v>39.299999999999997</v>
      </c>
      <c r="I67" s="81">
        <v>0.1</v>
      </c>
      <c r="J67" s="81">
        <v>105</v>
      </c>
    </row>
    <row r="68" spans="1:10" x14ac:dyDescent="0.25">
      <c r="A68" s="86" t="s">
        <v>105</v>
      </c>
      <c r="B68" s="83">
        <v>10.3</v>
      </c>
      <c r="C68" s="83">
        <v>6</v>
      </c>
      <c r="D68" s="83">
        <v>6.9</v>
      </c>
      <c r="E68" s="83">
        <v>1</v>
      </c>
      <c r="F68" s="83">
        <v>0.3</v>
      </c>
      <c r="G68" s="83">
        <v>0.8</v>
      </c>
      <c r="H68" s="82">
        <v>16.100000000000001</v>
      </c>
      <c r="I68" s="81">
        <v>0.1</v>
      </c>
      <c r="J68" s="81">
        <v>41.4</v>
      </c>
    </row>
    <row r="69" spans="1:10" x14ac:dyDescent="0.25">
      <c r="A69" s="86" t="s">
        <v>104</v>
      </c>
      <c r="B69" s="83">
        <v>14.9</v>
      </c>
      <c r="C69" s="85">
        <v>10.9</v>
      </c>
      <c r="D69" s="83">
        <v>6.8</v>
      </c>
      <c r="E69" s="83">
        <v>1.5</v>
      </c>
      <c r="F69" s="83">
        <v>0.5</v>
      </c>
      <c r="G69" s="83">
        <v>0.4</v>
      </c>
      <c r="H69" s="82">
        <v>16.100000000000001</v>
      </c>
      <c r="I69" s="81">
        <v>1</v>
      </c>
      <c r="J69" s="81">
        <v>52.4</v>
      </c>
    </row>
    <row r="70" spans="1:10" x14ac:dyDescent="0.25">
      <c r="A70" s="86" t="s">
        <v>103</v>
      </c>
      <c r="B70" s="83">
        <v>32.299999999999997</v>
      </c>
      <c r="C70" s="85">
        <v>37.1</v>
      </c>
      <c r="D70" s="84">
        <v>34.1</v>
      </c>
      <c r="E70" s="84">
        <v>11.3</v>
      </c>
      <c r="F70" s="83">
        <v>5.3</v>
      </c>
      <c r="G70" s="83">
        <v>4.5999999999999996</v>
      </c>
      <c r="H70" s="82">
        <v>45.2</v>
      </c>
      <c r="I70" s="81">
        <v>1.9</v>
      </c>
      <c r="J70" s="81">
        <v>171.8</v>
      </c>
    </row>
    <row r="71" spans="1:10" ht="16.5" thickBot="1" x14ac:dyDescent="0.3">
      <c r="A71" s="80" t="s">
        <v>102</v>
      </c>
      <c r="B71" s="76">
        <v>11.1</v>
      </c>
      <c r="C71" s="77">
        <v>10.5</v>
      </c>
      <c r="D71" s="78">
        <v>17.5</v>
      </c>
      <c r="E71" s="78">
        <v>12.1</v>
      </c>
      <c r="F71" s="76">
        <v>3.8</v>
      </c>
      <c r="G71" s="76">
        <v>0.6</v>
      </c>
      <c r="H71" s="75">
        <v>18.100000000000001</v>
      </c>
      <c r="I71" s="74">
        <v>3</v>
      </c>
      <c r="J71" s="74">
        <v>76.599999999999994</v>
      </c>
    </row>
    <row r="72" spans="1:10" ht="15.75" thickBot="1" x14ac:dyDescent="0.3">
      <c r="A72" s="79" t="s">
        <v>101</v>
      </c>
      <c r="B72" s="76">
        <v>93.9</v>
      </c>
      <c r="C72" s="77">
        <v>76.8</v>
      </c>
      <c r="D72" s="78">
        <v>78.400000000000006</v>
      </c>
      <c r="E72" s="78">
        <v>29.7</v>
      </c>
      <c r="F72" s="77">
        <v>12</v>
      </c>
      <c r="G72" s="76">
        <v>15.5</v>
      </c>
      <c r="H72" s="75">
        <v>134.9</v>
      </c>
      <c r="I72" s="74">
        <v>6.1</v>
      </c>
      <c r="J72" s="74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2" customWidth="1"/>
    <col min="2" max="2" width="19.5703125" style="72" customWidth="1"/>
    <col min="3" max="3" width="25.7109375" style="72" customWidth="1"/>
    <col min="4" max="4" width="21.28515625" style="72" customWidth="1"/>
    <col min="5" max="5" width="13.28515625" style="72" customWidth="1"/>
    <col min="6" max="6" width="21.28515625" style="72" customWidth="1"/>
    <col min="7" max="7" width="17.28515625" style="72" customWidth="1"/>
    <col min="8" max="8" width="20.42578125" style="72" customWidth="1"/>
    <col min="9" max="9" width="19.85546875" style="72" customWidth="1"/>
    <col min="10" max="10" width="20" style="72" customWidth="1"/>
    <col min="11" max="16384" width="8.85546875" style="72"/>
  </cols>
  <sheetData>
    <row r="1" spans="1:9" x14ac:dyDescent="0.25">
      <c r="A1" s="72" t="s">
        <v>62</v>
      </c>
      <c r="B1" s="119" t="s">
        <v>195</v>
      </c>
      <c r="C1" s="119" t="s">
        <v>194</v>
      </c>
      <c r="D1" s="118" t="s">
        <v>99</v>
      </c>
      <c r="E1" s="118" t="s">
        <v>56</v>
      </c>
      <c r="F1" s="118" t="s">
        <v>55</v>
      </c>
      <c r="G1" s="118" t="s">
        <v>54</v>
      </c>
      <c r="H1" s="118" t="s">
        <v>53</v>
      </c>
      <c r="I1" s="118" t="s">
        <v>50</v>
      </c>
    </row>
    <row r="2" spans="1:9" x14ac:dyDescent="0.25">
      <c r="C2" s="72" t="s">
        <v>11</v>
      </c>
      <c r="D2" s="72">
        <f t="shared" ref="D2:D13" si="0">SUMIF($D$20:$D$81,$C2,E$20:E$81)</f>
        <v>1371329</v>
      </c>
      <c r="E2" s="72">
        <f t="shared" ref="E2:I10" si="1">SUMIF($D$20:$D$81,$C2,F$20:F$81)</f>
        <v>50991</v>
      </c>
      <c r="F2" s="72">
        <f t="shared" si="1"/>
        <v>281422</v>
      </c>
      <c r="G2" s="72">
        <f t="shared" si="1"/>
        <v>384925</v>
      </c>
      <c r="H2" s="72">
        <f t="shared" si="1"/>
        <v>417632</v>
      </c>
      <c r="I2" s="72">
        <f t="shared" si="1"/>
        <v>236359</v>
      </c>
    </row>
    <row r="3" spans="1:9" x14ac:dyDescent="0.25">
      <c r="C3" s="72" t="s">
        <v>14</v>
      </c>
      <c r="D3" s="72">
        <f t="shared" si="0"/>
        <v>79310</v>
      </c>
      <c r="E3" s="72">
        <f t="shared" si="1"/>
        <v>1931</v>
      </c>
      <c r="F3" s="72">
        <f t="shared" si="1"/>
        <v>5340</v>
      </c>
      <c r="G3" s="72">
        <f t="shared" si="1"/>
        <v>25315</v>
      </c>
      <c r="H3" s="72">
        <f t="shared" si="1"/>
        <v>24674</v>
      </c>
      <c r="I3" s="72">
        <f t="shared" si="1"/>
        <v>22050</v>
      </c>
    </row>
    <row r="4" spans="1:9" x14ac:dyDescent="0.25">
      <c r="C4" s="72" t="s">
        <v>167</v>
      </c>
      <c r="D4" s="72">
        <f t="shared" si="0"/>
        <v>165218</v>
      </c>
      <c r="E4" s="72">
        <f t="shared" si="1"/>
        <v>7751</v>
      </c>
      <c r="F4" s="72">
        <f t="shared" si="1"/>
        <v>37807</v>
      </c>
      <c r="G4" s="72">
        <f t="shared" si="1"/>
        <v>40248</v>
      </c>
      <c r="H4" s="72">
        <f t="shared" si="1"/>
        <v>47888</v>
      </c>
      <c r="I4" s="72">
        <f t="shared" si="1"/>
        <v>31524</v>
      </c>
    </row>
    <row r="5" spans="1:9" x14ac:dyDescent="0.25">
      <c r="C5" s="72" t="s">
        <v>13</v>
      </c>
      <c r="D5" s="72">
        <f t="shared" si="0"/>
        <v>293751</v>
      </c>
      <c r="E5" s="72">
        <f t="shared" si="1"/>
        <v>10328</v>
      </c>
      <c r="F5" s="72">
        <f t="shared" si="1"/>
        <v>21452</v>
      </c>
      <c r="G5" s="72">
        <f t="shared" si="1"/>
        <v>99408</v>
      </c>
      <c r="H5" s="72">
        <f t="shared" si="1"/>
        <v>88778</v>
      </c>
      <c r="I5" s="72">
        <f t="shared" si="1"/>
        <v>73785</v>
      </c>
    </row>
    <row r="6" spans="1:9" x14ac:dyDescent="0.25">
      <c r="C6" s="72" t="s">
        <v>12</v>
      </c>
      <c r="D6" s="72">
        <f t="shared" si="0"/>
        <v>13008</v>
      </c>
      <c r="E6" s="72">
        <f t="shared" si="1"/>
        <v>533</v>
      </c>
      <c r="F6" s="72">
        <f t="shared" si="1"/>
        <v>3752</v>
      </c>
      <c r="G6" s="72">
        <f t="shared" si="1"/>
        <v>3547</v>
      </c>
      <c r="H6" s="72">
        <f t="shared" si="1"/>
        <v>4303</v>
      </c>
      <c r="I6" s="72">
        <f t="shared" si="1"/>
        <v>873</v>
      </c>
    </row>
    <row r="7" spans="1:9" x14ac:dyDescent="0.25">
      <c r="C7" s="72" t="s">
        <v>178</v>
      </c>
      <c r="D7" s="72">
        <f t="shared" si="0"/>
        <v>56805</v>
      </c>
      <c r="E7" s="72">
        <f t="shared" si="1"/>
        <v>504</v>
      </c>
      <c r="F7" s="72">
        <f t="shared" si="1"/>
        <v>2350</v>
      </c>
      <c r="G7" s="72">
        <f t="shared" si="1"/>
        <v>16023</v>
      </c>
      <c r="H7" s="72">
        <f t="shared" si="1"/>
        <v>27129</v>
      </c>
      <c r="I7" s="72">
        <f t="shared" si="1"/>
        <v>10800</v>
      </c>
    </row>
    <row r="8" spans="1:9" x14ac:dyDescent="0.25">
      <c r="C8" s="72" t="s">
        <v>42</v>
      </c>
      <c r="D8" s="72">
        <f t="shared" si="0"/>
        <v>33542</v>
      </c>
      <c r="E8" s="72">
        <f t="shared" si="1"/>
        <v>97</v>
      </c>
      <c r="F8" s="72">
        <f t="shared" si="1"/>
        <v>28390</v>
      </c>
      <c r="G8" s="72">
        <f t="shared" si="1"/>
        <v>2111</v>
      </c>
      <c r="H8" s="72">
        <f t="shared" si="1"/>
        <v>1095</v>
      </c>
      <c r="I8" s="72">
        <f t="shared" si="1"/>
        <v>1851</v>
      </c>
    </row>
    <row r="9" spans="1:9" x14ac:dyDescent="0.25">
      <c r="C9" s="72" t="s">
        <v>15</v>
      </c>
      <c r="D9" s="72">
        <f t="shared" si="0"/>
        <v>186289</v>
      </c>
      <c r="E9" s="72">
        <f t="shared" si="1"/>
        <v>2671</v>
      </c>
      <c r="F9" s="72">
        <f t="shared" si="1"/>
        <v>5611</v>
      </c>
      <c r="G9" s="72">
        <f t="shared" si="1"/>
        <v>91175</v>
      </c>
      <c r="H9" s="72">
        <f t="shared" si="1"/>
        <v>53495</v>
      </c>
      <c r="I9" s="72">
        <f t="shared" si="1"/>
        <v>33337</v>
      </c>
    </row>
    <row r="10" spans="1:9" x14ac:dyDescent="0.25">
      <c r="C10" s="72" t="s">
        <v>143</v>
      </c>
      <c r="D10" s="72">
        <f t="shared" si="0"/>
        <v>5213</v>
      </c>
      <c r="E10" s="72">
        <f t="shared" si="1"/>
        <v>276</v>
      </c>
      <c r="F10" s="72">
        <f t="shared" si="1"/>
        <v>1657</v>
      </c>
      <c r="G10" s="72">
        <f t="shared" si="1"/>
        <v>2345</v>
      </c>
      <c r="H10" s="72">
        <f t="shared" si="1"/>
        <v>653</v>
      </c>
      <c r="I10" s="72">
        <f t="shared" si="1"/>
        <v>283</v>
      </c>
    </row>
    <row r="11" spans="1:9" x14ac:dyDescent="0.25">
      <c r="C11" s="72" t="s">
        <v>136</v>
      </c>
      <c r="D11" s="72">
        <f>SUMIF($D$20:$D$81,$C11,E$20:E$81)-D14</f>
        <v>71837</v>
      </c>
      <c r="E11" s="177">
        <f>L19-E14</f>
        <v>3222.8552811220056</v>
      </c>
      <c r="F11" s="177">
        <f>M19-F14</f>
        <v>10579.702246493733</v>
      </c>
      <c r="G11" s="177">
        <f>N19-G14</f>
        <v>17423.923544743702</v>
      </c>
      <c r="H11" s="177">
        <f>O19-H14</f>
        <v>22342.455380414547</v>
      </c>
      <c r="I11" s="177">
        <f>P19-I14</f>
        <v>18261.063547226015</v>
      </c>
    </row>
    <row r="12" spans="1:9" x14ac:dyDescent="0.25">
      <c r="C12" s="72" t="s">
        <v>297</v>
      </c>
      <c r="D12" s="72">
        <f t="shared" si="0"/>
        <v>110335</v>
      </c>
      <c r="E12" s="72">
        <f t="shared" ref="E12:I13" si="2">SUMIF($D$20:$D$81,$C12,F$20:F$81)</f>
        <v>4425</v>
      </c>
      <c r="F12" s="72">
        <f t="shared" si="2"/>
        <v>40993</v>
      </c>
      <c r="G12" s="72">
        <f t="shared" si="2"/>
        <v>31128</v>
      </c>
      <c r="H12" s="72">
        <f t="shared" si="2"/>
        <v>22739</v>
      </c>
      <c r="I12" s="72">
        <f t="shared" si="2"/>
        <v>11051</v>
      </c>
    </row>
    <row r="13" spans="1:9" x14ac:dyDescent="0.25">
      <c r="C13" s="72" t="s">
        <v>138</v>
      </c>
      <c r="D13" s="72">
        <f t="shared" si="0"/>
        <v>19484</v>
      </c>
      <c r="E13" s="72">
        <f t="shared" si="2"/>
        <v>399</v>
      </c>
      <c r="F13" s="72">
        <f t="shared" si="2"/>
        <v>2630</v>
      </c>
      <c r="G13" s="72">
        <f t="shared" si="2"/>
        <v>5835</v>
      </c>
      <c r="H13" s="72">
        <f t="shared" si="2"/>
        <v>6664</v>
      </c>
      <c r="I13" s="72">
        <f t="shared" si="2"/>
        <v>3957</v>
      </c>
    </row>
    <row r="14" spans="1:9" x14ac:dyDescent="0.25">
      <c r="C14" s="72" t="s">
        <v>329</v>
      </c>
      <c r="D14" s="72">
        <v>8740</v>
      </c>
      <c r="E14" s="177">
        <f>L19/SUM($L$19:$P$19)*$D$14</f>
        <v>392.14471887799431</v>
      </c>
      <c r="F14" s="177">
        <f>M19/SUM($L$19:$P$19)*$D$14</f>
        <v>1287.2977535062678</v>
      </c>
      <c r="G14" s="177">
        <f>N19/SUM($L$19:$P$19)*$D$14</f>
        <v>2120.0764552562987</v>
      </c>
      <c r="H14" s="177">
        <f>O19/SUM($L$19:$P$19)*$D$14</f>
        <v>2718.5446195854538</v>
      </c>
      <c r="I14" s="177">
        <f>P19/SUM($L$19:$P$19)*$D$14</f>
        <v>2221.9364527739854</v>
      </c>
    </row>
    <row r="15" spans="1:9" x14ac:dyDescent="0.25">
      <c r="C15" s="72" t="s">
        <v>61</v>
      </c>
      <c r="D15" s="72">
        <f t="shared" ref="D15:I15" si="3">SUMIF($D$20:$D$81,$C15,E$20:E$81)</f>
        <v>224492</v>
      </c>
      <c r="E15" s="72">
        <f t="shared" si="3"/>
        <v>16402</v>
      </c>
      <c r="F15" s="72">
        <f t="shared" si="3"/>
        <v>27890</v>
      </c>
      <c r="G15" s="72">
        <f t="shared" si="3"/>
        <v>63892</v>
      </c>
      <c r="H15" s="72">
        <f t="shared" si="3"/>
        <v>65494</v>
      </c>
      <c r="I15" s="72">
        <f t="shared" si="3"/>
        <v>50814</v>
      </c>
    </row>
    <row r="16" spans="1:9" x14ac:dyDescent="0.25">
      <c r="B16" s="72" t="s">
        <v>47</v>
      </c>
      <c r="D16" s="72">
        <f>SUM(D2:D15)</f>
        <v>2639353</v>
      </c>
    </row>
    <row r="17" spans="1:16" ht="17.25" x14ac:dyDescent="0.3">
      <c r="A17" s="117" t="s">
        <v>193</v>
      </c>
      <c r="B17" s="109"/>
      <c r="C17" s="109"/>
      <c r="D17" s="109"/>
      <c r="E17" s="109"/>
      <c r="F17" s="109"/>
      <c r="G17" s="109"/>
      <c r="H17" s="109"/>
      <c r="I17" s="109"/>
      <c r="J17" s="109"/>
    </row>
    <row r="18" spans="1:16" x14ac:dyDescent="0.25">
      <c r="A18" s="116" t="s">
        <v>97</v>
      </c>
      <c r="B18" s="109"/>
      <c r="C18" s="109"/>
      <c r="D18" s="109"/>
      <c r="E18" s="109"/>
      <c r="F18" s="109"/>
      <c r="G18" s="109"/>
      <c r="H18" s="109"/>
      <c r="I18" s="109"/>
      <c r="J18" s="109"/>
      <c r="L18" s="72" t="s">
        <v>331</v>
      </c>
    </row>
    <row r="19" spans="1:16" x14ac:dyDescent="0.25">
      <c r="A19" s="109"/>
      <c r="B19" s="109"/>
      <c r="C19" s="109"/>
      <c r="D19" s="115" t="s">
        <v>100</v>
      </c>
      <c r="E19" s="114" t="s">
        <v>99</v>
      </c>
      <c r="F19" s="114" t="s">
        <v>56</v>
      </c>
      <c r="G19" s="114" t="s">
        <v>55</v>
      </c>
      <c r="H19" s="114" t="s">
        <v>54</v>
      </c>
      <c r="I19" s="114" t="s">
        <v>53</v>
      </c>
      <c r="J19" s="114" t="s">
        <v>50</v>
      </c>
      <c r="L19" s="72">
        <f>SUMIF($D$20:$D$81,$C11,F$20:F$81)</f>
        <v>3615</v>
      </c>
      <c r="M19" s="72">
        <f>SUMIF($D$20:$D$81,$C11,G$20:G$81)</f>
        <v>11867</v>
      </c>
      <c r="N19" s="72">
        <f>SUMIF($D$20:$D$81,$C11,H$20:H$81)</f>
        <v>19544</v>
      </c>
      <c r="O19" s="72">
        <f>SUMIF($D$20:$D$81,$C11,I$20:I$81)</f>
        <v>25061</v>
      </c>
      <c r="P19" s="72">
        <f>SUMIF($D$20:$D$81,$C11,J$20:J$81)</f>
        <v>20483</v>
      </c>
    </row>
    <row r="20" spans="1:16" x14ac:dyDescent="0.25">
      <c r="A20" s="114" t="s">
        <v>62</v>
      </c>
      <c r="B20" s="112">
        <v>1</v>
      </c>
      <c r="C20" s="108" t="s">
        <v>192</v>
      </c>
      <c r="D20" s="107"/>
      <c r="E20" s="110">
        <v>556307</v>
      </c>
      <c r="F20" s="110">
        <v>23767</v>
      </c>
      <c r="G20" s="110">
        <v>137890</v>
      </c>
      <c r="H20" s="110">
        <v>154824</v>
      </c>
      <c r="I20" s="110">
        <v>145579</v>
      </c>
      <c r="J20" s="110">
        <v>94247</v>
      </c>
    </row>
    <row r="21" spans="1:16" x14ac:dyDescent="0.25">
      <c r="A21" s="109"/>
      <c r="B21" s="109">
        <v>1</v>
      </c>
      <c r="C21" s="108" t="s">
        <v>191</v>
      </c>
      <c r="D21" s="107"/>
      <c r="E21" s="110">
        <v>13793</v>
      </c>
      <c r="F21" s="110">
        <v>1138</v>
      </c>
      <c r="G21" s="110">
        <v>2431</v>
      </c>
      <c r="H21" s="110">
        <v>5032</v>
      </c>
      <c r="I21" s="110">
        <v>3172</v>
      </c>
      <c r="J21" s="110">
        <v>2020</v>
      </c>
    </row>
    <row r="22" spans="1:16" x14ac:dyDescent="0.25">
      <c r="A22" s="109"/>
      <c r="B22" s="109">
        <v>1</v>
      </c>
      <c r="C22" s="108" t="s">
        <v>190</v>
      </c>
      <c r="D22" s="107"/>
      <c r="E22" s="110">
        <v>570100</v>
      </c>
      <c r="F22" s="110">
        <v>24905</v>
      </c>
      <c r="G22" s="110">
        <v>140322</v>
      </c>
      <c r="H22" s="110">
        <v>159857</v>
      </c>
      <c r="I22" s="110">
        <v>148751</v>
      </c>
      <c r="J22" s="110">
        <v>96267</v>
      </c>
    </row>
    <row r="23" spans="1:16" x14ac:dyDescent="0.25">
      <c r="A23" s="109"/>
      <c r="B23" s="109">
        <v>1</v>
      </c>
      <c r="C23" s="108" t="s">
        <v>189</v>
      </c>
      <c r="D23" s="107"/>
      <c r="E23" s="110">
        <v>146311</v>
      </c>
      <c r="F23" s="110">
        <v>4793</v>
      </c>
      <c r="G23" s="110">
        <v>10370</v>
      </c>
      <c r="H23" s="110">
        <v>40495</v>
      </c>
      <c r="I23" s="110">
        <v>55738</v>
      </c>
      <c r="J23" s="110">
        <v>34915</v>
      </c>
    </row>
    <row r="24" spans="1:16" x14ac:dyDescent="0.25">
      <c r="A24" s="109"/>
      <c r="B24" s="109">
        <v>1</v>
      </c>
      <c r="C24" s="108" t="s">
        <v>188</v>
      </c>
      <c r="D24" s="107"/>
      <c r="E24" s="110">
        <v>100085</v>
      </c>
      <c r="F24" s="110">
        <v>3354</v>
      </c>
      <c r="G24" s="110">
        <v>9789</v>
      </c>
      <c r="H24" s="110">
        <v>29044</v>
      </c>
      <c r="I24" s="110">
        <v>39659</v>
      </c>
      <c r="J24" s="110">
        <v>18240</v>
      </c>
    </row>
    <row r="25" spans="1:16" x14ac:dyDescent="0.25">
      <c r="A25" s="109"/>
      <c r="B25" s="109">
        <v>1</v>
      </c>
      <c r="C25" s="108" t="s">
        <v>187</v>
      </c>
      <c r="D25" s="107"/>
      <c r="E25" s="110">
        <v>484883</v>
      </c>
      <c r="F25" s="110">
        <v>15560</v>
      </c>
      <c r="G25" s="110">
        <v>114463</v>
      </c>
      <c r="H25" s="110">
        <v>132196</v>
      </c>
      <c r="I25" s="110">
        <v>151849</v>
      </c>
      <c r="J25" s="110">
        <v>70816</v>
      </c>
    </row>
    <row r="26" spans="1:16" x14ac:dyDescent="0.25">
      <c r="A26" s="109"/>
      <c r="B26" s="109">
        <v>1</v>
      </c>
      <c r="C26" s="108" t="s">
        <v>186</v>
      </c>
      <c r="D26" s="107"/>
      <c r="E26" s="110">
        <v>584968</v>
      </c>
      <c r="F26" s="110">
        <v>18914</v>
      </c>
      <c r="G26" s="110">
        <v>124251</v>
      </c>
      <c r="H26" s="110">
        <v>161240</v>
      </c>
      <c r="I26" s="110">
        <v>191508</v>
      </c>
      <c r="J26" s="110">
        <v>89055</v>
      </c>
    </row>
    <row r="27" spans="1:16" x14ac:dyDescent="0.25">
      <c r="A27" s="109"/>
      <c r="B27" s="109">
        <v>1</v>
      </c>
      <c r="C27" s="108" t="s">
        <v>185</v>
      </c>
      <c r="D27" s="107"/>
      <c r="E27" s="110">
        <v>48799</v>
      </c>
      <c r="F27" s="110">
        <v>1732</v>
      </c>
      <c r="G27" s="110">
        <v>3471</v>
      </c>
      <c r="H27" s="110">
        <v>16997</v>
      </c>
      <c r="I27" s="110">
        <v>14273</v>
      </c>
      <c r="J27" s="110">
        <v>12326</v>
      </c>
    </row>
    <row r="28" spans="1:16" x14ac:dyDescent="0.25">
      <c r="A28" s="109"/>
      <c r="B28" s="109">
        <v>1</v>
      </c>
      <c r="C28" s="108" t="s">
        <v>184</v>
      </c>
      <c r="D28" s="107"/>
      <c r="E28" s="110">
        <v>21151</v>
      </c>
      <c r="F28" s="110">
        <v>649</v>
      </c>
      <c r="G28" s="110">
        <v>3007</v>
      </c>
      <c r="H28" s="110">
        <v>6337</v>
      </c>
      <c r="I28" s="110">
        <v>7363</v>
      </c>
      <c r="J28" s="110">
        <v>3795</v>
      </c>
    </row>
    <row r="29" spans="1:16" x14ac:dyDescent="0.25">
      <c r="A29" s="109"/>
      <c r="B29" s="109">
        <v>1</v>
      </c>
      <c r="C29" s="114" t="s">
        <v>183</v>
      </c>
      <c r="D29" s="113" t="s">
        <v>11</v>
      </c>
      <c r="E29" s="112">
        <v>1371329</v>
      </c>
      <c r="F29" s="112">
        <v>50991</v>
      </c>
      <c r="G29" s="112">
        <v>281422</v>
      </c>
      <c r="H29" s="112">
        <v>384925</v>
      </c>
      <c r="I29" s="112">
        <v>417632</v>
      </c>
      <c r="J29" s="112">
        <v>236359</v>
      </c>
      <c r="K29" s="111">
        <v>1</v>
      </c>
    </row>
    <row r="30" spans="1:16" x14ac:dyDescent="0.25">
      <c r="A30" s="109"/>
      <c r="B30" s="109">
        <v>2</v>
      </c>
      <c r="C30" s="114" t="s">
        <v>182</v>
      </c>
      <c r="D30" s="113" t="s">
        <v>14</v>
      </c>
      <c r="E30" s="112">
        <v>22230</v>
      </c>
      <c r="F30" s="112">
        <v>1233</v>
      </c>
      <c r="G30" s="112">
        <v>3588</v>
      </c>
      <c r="H30" s="112">
        <v>6808</v>
      </c>
      <c r="I30" s="112">
        <v>6167</v>
      </c>
      <c r="J30" s="112">
        <v>4434</v>
      </c>
      <c r="K30" s="111">
        <v>2</v>
      </c>
    </row>
    <row r="31" spans="1:16" x14ac:dyDescent="0.25">
      <c r="A31" s="109"/>
      <c r="B31" s="109">
        <v>3</v>
      </c>
      <c r="C31" s="108" t="s">
        <v>181</v>
      </c>
      <c r="D31" s="107"/>
      <c r="E31" s="110">
        <v>8151</v>
      </c>
      <c r="F31" s="110">
        <v>37</v>
      </c>
      <c r="G31" s="110">
        <v>751</v>
      </c>
      <c r="H31" s="110">
        <v>1906</v>
      </c>
      <c r="I31" s="110">
        <v>4193</v>
      </c>
      <c r="J31" s="110">
        <v>1264</v>
      </c>
    </row>
    <row r="32" spans="1:16" x14ac:dyDescent="0.25">
      <c r="A32" s="109"/>
      <c r="B32" s="109">
        <v>3</v>
      </c>
      <c r="C32" s="108" t="s">
        <v>180</v>
      </c>
      <c r="D32" s="107"/>
      <c r="E32" s="110">
        <v>35773</v>
      </c>
      <c r="F32" s="106" t="s">
        <v>130</v>
      </c>
      <c r="G32" s="106" t="s">
        <v>130</v>
      </c>
      <c r="H32" s="110">
        <v>9687</v>
      </c>
      <c r="I32" s="110">
        <v>18600</v>
      </c>
      <c r="J32" s="110">
        <v>7486</v>
      </c>
    </row>
    <row r="33" spans="1:11" x14ac:dyDescent="0.25">
      <c r="A33" s="109"/>
      <c r="B33" s="109">
        <v>3</v>
      </c>
      <c r="C33" s="108" t="s">
        <v>179</v>
      </c>
      <c r="D33" s="107"/>
      <c r="E33" s="110">
        <v>12881</v>
      </c>
      <c r="F33" s="110">
        <v>466</v>
      </c>
      <c r="G33" s="110">
        <v>1599</v>
      </c>
      <c r="H33" s="110">
        <v>4430</v>
      </c>
      <c r="I33" s="110">
        <v>4336</v>
      </c>
      <c r="J33" s="110">
        <v>2050</v>
      </c>
    </row>
    <row r="34" spans="1:11" x14ac:dyDescent="0.25">
      <c r="A34" s="109"/>
      <c r="B34" s="109">
        <v>3</v>
      </c>
      <c r="C34" s="108" t="s">
        <v>178</v>
      </c>
      <c r="D34" s="107" t="s">
        <v>178</v>
      </c>
      <c r="E34" s="110">
        <v>56805</v>
      </c>
      <c r="F34" s="110">
        <v>504</v>
      </c>
      <c r="G34" s="110">
        <v>2350</v>
      </c>
      <c r="H34" s="110">
        <v>16023</v>
      </c>
      <c r="I34" s="110">
        <v>27129</v>
      </c>
      <c r="J34" s="110">
        <v>10800</v>
      </c>
    </row>
    <row r="35" spans="1:11" x14ac:dyDescent="0.25">
      <c r="A35" s="109"/>
      <c r="B35" s="109">
        <v>3</v>
      </c>
      <c r="C35" s="108" t="s">
        <v>177</v>
      </c>
      <c r="D35" s="107" t="s">
        <v>42</v>
      </c>
      <c r="E35" s="110">
        <v>29083</v>
      </c>
      <c r="F35" s="110">
        <v>65</v>
      </c>
      <c r="G35" s="110">
        <v>28268</v>
      </c>
      <c r="H35" s="110">
        <v>743</v>
      </c>
      <c r="I35" s="110">
        <v>8</v>
      </c>
      <c r="J35" s="106" t="s">
        <v>130</v>
      </c>
    </row>
    <row r="36" spans="1:11" x14ac:dyDescent="0.25">
      <c r="A36" s="109"/>
      <c r="B36" s="109">
        <v>3</v>
      </c>
      <c r="C36" s="108" t="s">
        <v>176</v>
      </c>
      <c r="D36" s="107" t="s">
        <v>42</v>
      </c>
      <c r="E36" s="110">
        <v>4459</v>
      </c>
      <c r="F36" s="110">
        <v>32</v>
      </c>
      <c r="G36" s="110">
        <v>122</v>
      </c>
      <c r="H36" s="110">
        <v>1368</v>
      </c>
      <c r="I36" s="110">
        <v>1087</v>
      </c>
      <c r="J36" s="110">
        <v>1851</v>
      </c>
    </row>
    <row r="37" spans="1:11" x14ac:dyDescent="0.25">
      <c r="A37" s="109"/>
      <c r="B37" s="109">
        <v>3</v>
      </c>
      <c r="C37" s="114" t="s">
        <v>175</v>
      </c>
      <c r="D37" s="113"/>
      <c r="E37" s="112">
        <v>90347</v>
      </c>
      <c r="F37" s="112">
        <v>600</v>
      </c>
      <c r="G37" s="112">
        <v>30740</v>
      </c>
      <c r="H37" s="112">
        <v>18133</v>
      </c>
      <c r="I37" s="112">
        <v>28223</v>
      </c>
      <c r="J37" s="112">
        <v>12651</v>
      </c>
      <c r="K37" s="111">
        <v>3</v>
      </c>
    </row>
    <row r="38" spans="1:11" x14ac:dyDescent="0.25">
      <c r="A38" s="109"/>
      <c r="B38" s="109">
        <v>4</v>
      </c>
      <c r="C38" s="108" t="s">
        <v>174</v>
      </c>
      <c r="D38" s="107"/>
      <c r="E38" s="110">
        <v>164379</v>
      </c>
      <c r="F38" s="110">
        <v>7751</v>
      </c>
      <c r="G38" s="110">
        <v>37517</v>
      </c>
      <c r="H38" s="110">
        <v>39869</v>
      </c>
      <c r="I38" s="110">
        <v>47764</v>
      </c>
      <c r="J38" s="110">
        <v>31478</v>
      </c>
    </row>
    <row r="39" spans="1:11" x14ac:dyDescent="0.25">
      <c r="A39" s="109"/>
      <c r="B39" s="109">
        <v>4</v>
      </c>
      <c r="C39" s="108" t="s">
        <v>173</v>
      </c>
      <c r="D39" s="107"/>
      <c r="E39" s="106" t="s">
        <v>130</v>
      </c>
      <c r="F39" s="106" t="s">
        <v>130</v>
      </c>
      <c r="G39" s="106" t="s">
        <v>130</v>
      </c>
      <c r="H39" s="106" t="s">
        <v>130</v>
      </c>
      <c r="I39" s="106" t="s">
        <v>130</v>
      </c>
      <c r="J39" s="106" t="s">
        <v>130</v>
      </c>
    </row>
    <row r="40" spans="1:11" x14ac:dyDescent="0.25">
      <c r="A40" s="109"/>
      <c r="B40" s="109">
        <v>4</v>
      </c>
      <c r="C40" s="108" t="s">
        <v>172</v>
      </c>
      <c r="D40" s="107"/>
      <c r="E40" s="110">
        <v>164379</v>
      </c>
      <c r="F40" s="110">
        <v>7751</v>
      </c>
      <c r="G40" s="110">
        <v>37517</v>
      </c>
      <c r="H40" s="110">
        <v>39869</v>
      </c>
      <c r="I40" s="110">
        <v>47764</v>
      </c>
      <c r="J40" s="110">
        <v>31478</v>
      </c>
    </row>
    <row r="41" spans="1:11" x14ac:dyDescent="0.25">
      <c r="A41" s="109"/>
      <c r="B41" s="109">
        <v>4</v>
      </c>
      <c r="C41" s="108" t="s">
        <v>171</v>
      </c>
      <c r="D41" s="107"/>
      <c r="E41" s="110">
        <v>839</v>
      </c>
      <c r="F41" s="106" t="s">
        <v>130</v>
      </c>
      <c r="G41" s="110">
        <v>289</v>
      </c>
      <c r="H41" s="110">
        <v>379</v>
      </c>
      <c r="I41" s="110">
        <v>124</v>
      </c>
      <c r="J41" s="110">
        <v>47</v>
      </c>
    </row>
    <row r="42" spans="1:11" x14ac:dyDescent="0.25">
      <c r="A42" s="109"/>
      <c r="B42" s="109">
        <v>4</v>
      </c>
      <c r="C42" s="108" t="s">
        <v>170</v>
      </c>
      <c r="D42" s="107"/>
      <c r="E42" s="106" t="s">
        <v>130</v>
      </c>
      <c r="F42" s="106" t="s">
        <v>130</v>
      </c>
      <c r="G42" s="106" t="s">
        <v>130</v>
      </c>
      <c r="H42" s="106" t="s">
        <v>130</v>
      </c>
      <c r="I42" s="106" t="s">
        <v>130</v>
      </c>
      <c r="J42" s="106" t="s">
        <v>130</v>
      </c>
    </row>
    <row r="43" spans="1:11" x14ac:dyDescent="0.25">
      <c r="A43" s="109"/>
      <c r="B43" s="109">
        <v>4</v>
      </c>
      <c r="C43" s="108" t="s">
        <v>169</v>
      </c>
      <c r="D43" s="107"/>
      <c r="E43" s="110">
        <v>839</v>
      </c>
      <c r="F43" s="106" t="s">
        <v>130</v>
      </c>
      <c r="G43" s="110">
        <v>289</v>
      </c>
      <c r="H43" s="110">
        <v>379</v>
      </c>
      <c r="I43" s="110">
        <v>124</v>
      </c>
      <c r="J43" s="110">
        <v>47</v>
      </c>
    </row>
    <row r="44" spans="1:11" x14ac:dyDescent="0.25">
      <c r="A44" s="109"/>
      <c r="B44" s="109">
        <v>4</v>
      </c>
      <c r="C44" s="108" t="s">
        <v>168</v>
      </c>
      <c r="D44" s="107" t="s">
        <v>167</v>
      </c>
      <c r="E44" s="110">
        <v>165218</v>
      </c>
      <c r="F44" s="110">
        <v>7751</v>
      </c>
      <c r="G44" s="110">
        <v>37807</v>
      </c>
      <c r="H44" s="110">
        <v>40248</v>
      </c>
      <c r="I44" s="110">
        <v>47888</v>
      </c>
      <c r="J44" s="110">
        <v>31524</v>
      </c>
      <c r="K44" s="111"/>
    </row>
    <row r="45" spans="1:11" x14ac:dyDescent="0.25">
      <c r="A45" s="109"/>
      <c r="B45" s="109">
        <v>4</v>
      </c>
      <c r="C45" s="108" t="s">
        <v>166</v>
      </c>
      <c r="D45" s="107" t="s">
        <v>136</v>
      </c>
      <c r="E45" s="110">
        <v>100</v>
      </c>
      <c r="F45" s="106" t="s">
        <v>130</v>
      </c>
      <c r="G45" s="106" t="s">
        <v>130</v>
      </c>
      <c r="H45" s="106" t="s">
        <v>130</v>
      </c>
      <c r="I45" s="110">
        <v>91</v>
      </c>
      <c r="J45" s="110">
        <v>6</v>
      </c>
    </row>
    <row r="46" spans="1:11" x14ac:dyDescent="0.25">
      <c r="A46" s="109"/>
      <c r="B46" s="109">
        <v>4</v>
      </c>
      <c r="C46" s="108" t="s">
        <v>165</v>
      </c>
      <c r="D46" s="107" t="s">
        <v>136</v>
      </c>
      <c r="E46" s="110">
        <v>957</v>
      </c>
      <c r="F46" s="110">
        <v>18</v>
      </c>
      <c r="G46" s="110">
        <v>389</v>
      </c>
      <c r="H46" s="110">
        <v>48</v>
      </c>
      <c r="I46" s="110">
        <v>453</v>
      </c>
      <c r="J46" s="110">
        <v>49</v>
      </c>
    </row>
    <row r="47" spans="1:11" x14ac:dyDescent="0.25">
      <c r="A47" s="109"/>
      <c r="B47" s="109">
        <v>4</v>
      </c>
      <c r="C47" s="114" t="s">
        <v>164</v>
      </c>
      <c r="D47" s="113"/>
      <c r="E47" s="112">
        <v>166275</v>
      </c>
      <c r="F47" s="112">
        <v>7770</v>
      </c>
      <c r="G47" s="112">
        <v>38196</v>
      </c>
      <c r="H47" s="112">
        <v>40296</v>
      </c>
      <c r="I47" s="112">
        <v>48433</v>
      </c>
      <c r="J47" s="112">
        <v>31579</v>
      </c>
      <c r="K47" s="111">
        <v>4</v>
      </c>
    </row>
    <row r="48" spans="1:11" x14ac:dyDescent="0.25">
      <c r="A48" s="109"/>
      <c r="B48" s="109">
        <v>5</v>
      </c>
      <c r="C48" s="114" t="s">
        <v>163</v>
      </c>
      <c r="D48" s="113" t="s">
        <v>297</v>
      </c>
      <c r="E48" s="112">
        <v>110335</v>
      </c>
      <c r="F48" s="112">
        <v>4425</v>
      </c>
      <c r="G48" s="112">
        <v>40993</v>
      </c>
      <c r="H48" s="112">
        <v>31128</v>
      </c>
      <c r="I48" s="112">
        <v>22739</v>
      </c>
      <c r="J48" s="112">
        <v>11051</v>
      </c>
      <c r="K48" s="111">
        <v>5</v>
      </c>
    </row>
    <row r="49" spans="1:11" x14ac:dyDescent="0.25">
      <c r="A49" s="109"/>
      <c r="B49" s="109">
        <v>6</v>
      </c>
      <c r="C49" s="108" t="s">
        <v>162</v>
      </c>
      <c r="D49" s="107" t="s">
        <v>14</v>
      </c>
      <c r="E49" s="110">
        <v>825</v>
      </c>
      <c r="F49" s="110">
        <v>46</v>
      </c>
      <c r="G49" s="110">
        <v>230</v>
      </c>
      <c r="H49" s="110">
        <v>346</v>
      </c>
      <c r="I49" s="110">
        <v>131</v>
      </c>
      <c r="J49" s="110">
        <v>72</v>
      </c>
    </row>
    <row r="50" spans="1:11" x14ac:dyDescent="0.25">
      <c r="A50" s="109"/>
      <c r="B50" s="109">
        <v>6</v>
      </c>
      <c r="C50" s="108" t="s">
        <v>161</v>
      </c>
      <c r="D50" s="107" t="s">
        <v>15</v>
      </c>
      <c r="E50" s="110">
        <v>186289</v>
      </c>
      <c r="F50" s="110">
        <v>2671</v>
      </c>
      <c r="G50" s="110">
        <v>5611</v>
      </c>
      <c r="H50" s="110">
        <v>91175</v>
      </c>
      <c r="I50" s="110">
        <v>53495</v>
      </c>
      <c r="J50" s="110">
        <v>33337</v>
      </c>
    </row>
    <row r="51" spans="1:11" x14ac:dyDescent="0.25">
      <c r="A51" s="109"/>
      <c r="B51" s="109">
        <v>6</v>
      </c>
      <c r="C51" s="108" t="s">
        <v>160</v>
      </c>
      <c r="D51" s="107" t="s">
        <v>14</v>
      </c>
      <c r="E51" s="110">
        <v>56255</v>
      </c>
      <c r="F51" s="110">
        <v>652</v>
      </c>
      <c r="G51" s="110">
        <v>1522</v>
      </c>
      <c r="H51" s="110">
        <v>18161</v>
      </c>
      <c r="I51" s="110">
        <v>18376</v>
      </c>
      <c r="J51" s="110">
        <v>17544</v>
      </c>
    </row>
    <row r="52" spans="1:11" x14ac:dyDescent="0.25">
      <c r="A52" s="109"/>
      <c r="B52" s="109">
        <v>6</v>
      </c>
      <c r="C52" s="108" t="s">
        <v>159</v>
      </c>
      <c r="D52" s="107" t="s">
        <v>14</v>
      </c>
      <c r="E52" s="106" t="s">
        <v>130</v>
      </c>
      <c r="F52" s="106" t="s">
        <v>130</v>
      </c>
      <c r="G52" s="106" t="s">
        <v>130</v>
      </c>
      <c r="H52" s="106" t="s">
        <v>130</v>
      </c>
      <c r="I52" s="106" t="s">
        <v>130</v>
      </c>
      <c r="J52" s="106" t="s">
        <v>130</v>
      </c>
    </row>
    <row r="53" spans="1:11" x14ac:dyDescent="0.25">
      <c r="A53" s="109"/>
      <c r="B53" s="109">
        <v>6</v>
      </c>
      <c r="C53" s="108" t="s">
        <v>158</v>
      </c>
      <c r="D53" s="107" t="s">
        <v>13</v>
      </c>
      <c r="E53" s="110">
        <v>285937</v>
      </c>
      <c r="F53" s="110">
        <v>9765</v>
      </c>
      <c r="G53" s="110">
        <v>19135</v>
      </c>
      <c r="H53" s="110">
        <v>97327</v>
      </c>
      <c r="I53" s="110">
        <v>86875</v>
      </c>
      <c r="J53" s="110">
        <v>72835</v>
      </c>
    </row>
    <row r="54" spans="1:11" x14ac:dyDescent="0.25">
      <c r="A54" s="109"/>
      <c r="B54" s="109">
        <v>6</v>
      </c>
      <c r="C54" s="114" t="s">
        <v>157</v>
      </c>
      <c r="D54" s="113"/>
      <c r="E54" s="112">
        <v>529305</v>
      </c>
      <c r="F54" s="112">
        <v>13133</v>
      </c>
      <c r="G54" s="112">
        <v>26499</v>
      </c>
      <c r="H54" s="112">
        <v>207009</v>
      </c>
      <c r="I54" s="112">
        <v>158876</v>
      </c>
      <c r="J54" s="112">
        <v>123788</v>
      </c>
      <c r="K54" s="111">
        <v>6</v>
      </c>
    </row>
    <row r="55" spans="1:11" x14ac:dyDescent="0.25">
      <c r="A55" s="109"/>
      <c r="B55" s="109">
        <v>7</v>
      </c>
      <c r="C55" s="108" t="s">
        <v>156</v>
      </c>
      <c r="D55" s="107"/>
      <c r="E55" s="110">
        <v>9582</v>
      </c>
      <c r="F55" s="110">
        <v>464</v>
      </c>
      <c r="G55" s="110">
        <v>1609</v>
      </c>
      <c r="H55" s="110">
        <v>2463</v>
      </c>
      <c r="I55" s="110">
        <v>4207</v>
      </c>
      <c r="J55" s="110">
        <v>838</v>
      </c>
    </row>
    <row r="56" spans="1:11" x14ac:dyDescent="0.25">
      <c r="A56" s="109"/>
      <c r="B56" s="109">
        <v>7</v>
      </c>
      <c r="C56" s="108" t="s">
        <v>155</v>
      </c>
      <c r="D56" s="107"/>
      <c r="E56" s="110">
        <v>3427</v>
      </c>
      <c r="F56" s="110">
        <v>69</v>
      </c>
      <c r="G56" s="110">
        <v>2143</v>
      </c>
      <c r="H56" s="110">
        <v>1084</v>
      </c>
      <c r="I56" s="110">
        <v>96</v>
      </c>
      <c r="J56" s="110">
        <v>35</v>
      </c>
    </row>
    <row r="57" spans="1:11" x14ac:dyDescent="0.25">
      <c r="A57" s="109"/>
      <c r="B57" s="109">
        <v>7</v>
      </c>
      <c r="C57" s="108" t="s">
        <v>154</v>
      </c>
      <c r="D57" s="107" t="s">
        <v>12</v>
      </c>
      <c r="E57" s="110">
        <v>13008</v>
      </c>
      <c r="F57" s="110">
        <v>533</v>
      </c>
      <c r="G57" s="110">
        <v>3752</v>
      </c>
      <c r="H57" s="110">
        <v>3547</v>
      </c>
      <c r="I57" s="110">
        <v>4303</v>
      </c>
      <c r="J57" s="110">
        <v>873</v>
      </c>
    </row>
    <row r="58" spans="1:11" x14ac:dyDescent="0.25">
      <c r="A58" s="109"/>
      <c r="B58" s="109">
        <v>7</v>
      </c>
      <c r="C58" s="108" t="s">
        <v>153</v>
      </c>
      <c r="D58" s="107" t="s">
        <v>136</v>
      </c>
      <c r="E58" s="110">
        <v>63</v>
      </c>
      <c r="F58" s="110">
        <v>6</v>
      </c>
      <c r="G58" s="110">
        <v>40</v>
      </c>
      <c r="H58" s="110">
        <v>13</v>
      </c>
      <c r="I58" s="106" t="s">
        <v>130</v>
      </c>
      <c r="J58" s="106" t="s">
        <v>130</v>
      </c>
    </row>
    <row r="59" spans="1:11" x14ac:dyDescent="0.25">
      <c r="A59" s="109"/>
      <c r="B59" s="109">
        <v>7</v>
      </c>
      <c r="C59" s="108" t="s">
        <v>152</v>
      </c>
      <c r="D59" s="107"/>
      <c r="E59" s="110">
        <v>1495</v>
      </c>
      <c r="F59" s="110">
        <v>93</v>
      </c>
      <c r="G59" s="110">
        <v>443</v>
      </c>
      <c r="H59" s="110">
        <v>786</v>
      </c>
      <c r="I59" s="110">
        <v>130</v>
      </c>
      <c r="J59" s="110">
        <v>42</v>
      </c>
    </row>
    <row r="60" spans="1:11" x14ac:dyDescent="0.25">
      <c r="A60" s="109"/>
      <c r="B60" s="109">
        <v>7</v>
      </c>
      <c r="C60" s="108" t="s">
        <v>151</v>
      </c>
      <c r="D60" s="107"/>
      <c r="E60" s="110">
        <v>298</v>
      </c>
      <c r="F60" s="110">
        <v>15</v>
      </c>
      <c r="G60" s="110">
        <v>116</v>
      </c>
      <c r="H60" s="110">
        <v>132</v>
      </c>
      <c r="I60" s="110">
        <v>31</v>
      </c>
      <c r="J60" s="106" t="s">
        <v>130</v>
      </c>
    </row>
    <row r="61" spans="1:11" x14ac:dyDescent="0.25">
      <c r="A61" s="109"/>
      <c r="B61" s="109">
        <v>7</v>
      </c>
      <c r="C61" s="108" t="s">
        <v>150</v>
      </c>
      <c r="D61" s="107"/>
      <c r="E61" s="110">
        <v>1139</v>
      </c>
      <c r="F61" s="110">
        <v>62</v>
      </c>
      <c r="G61" s="110">
        <v>372</v>
      </c>
      <c r="H61" s="110">
        <v>374</v>
      </c>
      <c r="I61" s="110">
        <v>209</v>
      </c>
      <c r="J61" s="110">
        <v>123</v>
      </c>
    </row>
    <row r="62" spans="1:11" x14ac:dyDescent="0.25">
      <c r="A62" s="109"/>
      <c r="B62" s="109">
        <v>7</v>
      </c>
      <c r="C62" s="108" t="s">
        <v>149</v>
      </c>
      <c r="D62" s="107"/>
      <c r="E62" s="106" t="s">
        <v>130</v>
      </c>
      <c r="F62" s="106" t="s">
        <v>130</v>
      </c>
      <c r="G62" s="106" t="s">
        <v>130</v>
      </c>
      <c r="H62" s="106" t="s">
        <v>130</v>
      </c>
      <c r="I62" s="106" t="s">
        <v>130</v>
      </c>
      <c r="J62" s="106" t="s">
        <v>130</v>
      </c>
    </row>
    <row r="63" spans="1:11" x14ac:dyDescent="0.25">
      <c r="A63" s="109"/>
      <c r="B63" s="109">
        <v>7</v>
      </c>
      <c r="C63" s="108" t="s">
        <v>148</v>
      </c>
      <c r="D63" s="107"/>
      <c r="E63" s="106" t="s">
        <v>130</v>
      </c>
      <c r="F63" s="106" t="s">
        <v>130</v>
      </c>
      <c r="G63" s="106" t="s">
        <v>130</v>
      </c>
      <c r="H63" s="106" t="s">
        <v>130</v>
      </c>
      <c r="I63" s="106" t="s">
        <v>130</v>
      </c>
      <c r="J63" s="106" t="s">
        <v>130</v>
      </c>
    </row>
    <row r="64" spans="1:11" x14ac:dyDescent="0.25">
      <c r="A64" s="109"/>
      <c r="B64" s="109">
        <v>7</v>
      </c>
      <c r="C64" s="108" t="s">
        <v>147</v>
      </c>
      <c r="D64" s="107"/>
      <c r="E64" s="110">
        <v>671</v>
      </c>
      <c r="F64" s="110">
        <v>8</v>
      </c>
      <c r="G64" s="110">
        <v>319</v>
      </c>
      <c r="H64" s="110">
        <v>317</v>
      </c>
      <c r="I64" s="110">
        <v>21</v>
      </c>
      <c r="J64" s="110">
        <v>5</v>
      </c>
    </row>
    <row r="65" spans="1:11" x14ac:dyDescent="0.25">
      <c r="A65" s="109"/>
      <c r="B65" s="109">
        <v>7</v>
      </c>
      <c r="C65" s="108" t="s">
        <v>146</v>
      </c>
      <c r="D65" s="107"/>
      <c r="E65" s="110">
        <v>427</v>
      </c>
      <c r="F65" s="110">
        <v>22</v>
      </c>
      <c r="G65" s="110">
        <v>130</v>
      </c>
      <c r="H65" s="110">
        <v>176</v>
      </c>
      <c r="I65" s="110">
        <v>86</v>
      </c>
      <c r="J65" s="110">
        <v>14</v>
      </c>
    </row>
    <row r="66" spans="1:11" x14ac:dyDescent="0.25">
      <c r="A66" s="109"/>
      <c r="B66" s="109">
        <v>7</v>
      </c>
      <c r="C66" s="108" t="s">
        <v>145</v>
      </c>
      <c r="D66" s="107"/>
      <c r="E66" s="110">
        <v>1183</v>
      </c>
      <c r="F66" s="110">
        <v>75</v>
      </c>
      <c r="G66" s="110">
        <v>277</v>
      </c>
      <c r="H66" s="110">
        <v>559</v>
      </c>
      <c r="I66" s="110">
        <v>177</v>
      </c>
      <c r="J66" s="110">
        <v>94</v>
      </c>
    </row>
    <row r="67" spans="1:11" x14ac:dyDescent="0.25">
      <c r="A67" s="109"/>
      <c r="B67" s="109">
        <v>7</v>
      </c>
      <c r="C67" s="108" t="s">
        <v>144</v>
      </c>
      <c r="D67" s="107" t="s">
        <v>143</v>
      </c>
      <c r="E67" s="110">
        <v>5213</v>
      </c>
      <c r="F67" s="110">
        <v>276</v>
      </c>
      <c r="G67" s="110">
        <v>1657</v>
      </c>
      <c r="H67" s="110">
        <v>2345</v>
      </c>
      <c r="I67" s="110">
        <v>653</v>
      </c>
      <c r="J67" s="110">
        <v>283</v>
      </c>
    </row>
    <row r="68" spans="1:11" x14ac:dyDescent="0.25">
      <c r="A68" s="109"/>
      <c r="B68" s="109">
        <v>7</v>
      </c>
      <c r="C68" s="108" t="s">
        <v>142</v>
      </c>
      <c r="D68" s="107" t="s">
        <v>136</v>
      </c>
      <c r="E68" s="110">
        <v>1882</v>
      </c>
      <c r="F68" s="110">
        <v>72</v>
      </c>
      <c r="G68" s="110">
        <v>197</v>
      </c>
      <c r="H68" s="110">
        <v>1012</v>
      </c>
      <c r="I68" s="110">
        <v>548</v>
      </c>
      <c r="J68" s="110">
        <v>53</v>
      </c>
    </row>
    <row r="69" spans="1:11" x14ac:dyDescent="0.25">
      <c r="A69" s="109"/>
      <c r="B69" s="109">
        <v>7</v>
      </c>
      <c r="C69" s="114" t="s">
        <v>141</v>
      </c>
      <c r="D69" s="113"/>
      <c r="E69" s="112">
        <v>20167</v>
      </c>
      <c r="F69" s="112">
        <v>887</v>
      </c>
      <c r="G69" s="112">
        <v>5645</v>
      </c>
      <c r="H69" s="112">
        <v>6918</v>
      </c>
      <c r="I69" s="112">
        <v>5508</v>
      </c>
      <c r="J69" s="112">
        <v>1209</v>
      </c>
      <c r="K69" s="111">
        <v>7</v>
      </c>
    </row>
    <row r="70" spans="1:11" x14ac:dyDescent="0.25">
      <c r="A70" s="109"/>
      <c r="B70" s="109">
        <v>8</v>
      </c>
      <c r="C70" s="114" t="s">
        <v>140</v>
      </c>
      <c r="D70" s="113" t="s">
        <v>61</v>
      </c>
      <c r="E70" s="112">
        <v>224492</v>
      </c>
      <c r="F70" s="112">
        <v>16402</v>
      </c>
      <c r="G70" s="112">
        <v>27890</v>
      </c>
      <c r="H70" s="112">
        <v>63892</v>
      </c>
      <c r="I70" s="112">
        <v>65494</v>
      </c>
      <c r="J70" s="112">
        <v>50814</v>
      </c>
      <c r="K70" s="111">
        <v>8</v>
      </c>
    </row>
    <row r="71" spans="1:11" x14ac:dyDescent="0.25">
      <c r="A71" s="109"/>
      <c r="B71" s="109">
        <v>9</v>
      </c>
      <c r="C71" s="114" t="s">
        <v>139</v>
      </c>
      <c r="D71" s="113" t="s">
        <v>13</v>
      </c>
      <c r="E71" s="112">
        <v>7814</v>
      </c>
      <c r="F71" s="112">
        <v>563</v>
      </c>
      <c r="G71" s="112">
        <v>2317</v>
      </c>
      <c r="H71" s="112">
        <v>2081</v>
      </c>
      <c r="I71" s="112">
        <v>1903</v>
      </c>
      <c r="J71" s="112">
        <v>950</v>
      </c>
      <c r="K71" s="111">
        <v>9</v>
      </c>
    </row>
    <row r="72" spans="1:11" x14ac:dyDescent="0.25">
      <c r="A72" s="109"/>
      <c r="B72" s="109">
        <v>10</v>
      </c>
      <c r="C72" s="114" t="s">
        <v>138</v>
      </c>
      <c r="D72" s="113" t="s">
        <v>138</v>
      </c>
      <c r="E72" s="112">
        <v>19484</v>
      </c>
      <c r="F72" s="112">
        <v>399</v>
      </c>
      <c r="G72" s="112">
        <v>2630</v>
      </c>
      <c r="H72" s="112">
        <v>5835</v>
      </c>
      <c r="I72" s="112">
        <v>6664</v>
      </c>
      <c r="J72" s="112">
        <v>3957</v>
      </c>
      <c r="K72" s="111">
        <v>10</v>
      </c>
    </row>
    <row r="73" spans="1:11" x14ac:dyDescent="0.25">
      <c r="A73" s="109"/>
      <c r="B73" s="109">
        <v>11</v>
      </c>
      <c r="C73" s="114" t="s">
        <v>137</v>
      </c>
      <c r="D73" s="113" t="s">
        <v>136</v>
      </c>
      <c r="E73" s="112">
        <v>77575</v>
      </c>
      <c r="F73" s="112">
        <v>3519</v>
      </c>
      <c r="G73" s="112">
        <v>11241</v>
      </c>
      <c r="H73" s="112">
        <v>18471</v>
      </c>
      <c r="I73" s="112">
        <v>23969</v>
      </c>
      <c r="J73" s="112">
        <v>20375</v>
      </c>
      <c r="K73" s="111">
        <v>11</v>
      </c>
    </row>
    <row r="74" spans="1:11" x14ac:dyDescent="0.25">
      <c r="A74" s="109"/>
      <c r="B74" s="109">
        <v>11</v>
      </c>
      <c r="C74" s="108" t="s">
        <v>135</v>
      </c>
      <c r="D74" s="107"/>
      <c r="E74" s="110">
        <v>8690</v>
      </c>
      <c r="F74" s="110">
        <v>181</v>
      </c>
      <c r="G74" s="110">
        <v>625</v>
      </c>
      <c r="H74" s="110">
        <v>2473</v>
      </c>
      <c r="I74" s="110">
        <v>2791</v>
      </c>
      <c r="J74" s="110">
        <v>2620</v>
      </c>
    </row>
    <row r="75" spans="1:11" x14ac:dyDescent="0.25">
      <c r="A75" s="109"/>
      <c r="B75" s="109">
        <v>11</v>
      </c>
      <c r="C75" s="108" t="s">
        <v>134</v>
      </c>
      <c r="D75" s="107"/>
      <c r="E75" s="110">
        <v>68885</v>
      </c>
      <c r="F75" s="110">
        <v>3338</v>
      </c>
      <c r="G75" s="110">
        <v>10616</v>
      </c>
      <c r="H75" s="110">
        <v>15998</v>
      </c>
      <c r="I75" s="110">
        <v>21178</v>
      </c>
      <c r="J75" s="110">
        <v>17755</v>
      </c>
    </row>
    <row r="76" spans="1:11" x14ac:dyDescent="0.25">
      <c r="A76" s="109"/>
      <c r="B76" s="109"/>
      <c r="C76" s="108" t="s">
        <v>133</v>
      </c>
      <c r="D76" s="107"/>
      <c r="E76" s="110">
        <v>2639353</v>
      </c>
      <c r="F76" s="110">
        <v>99922</v>
      </c>
      <c r="G76" s="110">
        <v>471162</v>
      </c>
      <c r="H76" s="110">
        <v>785496</v>
      </c>
      <c r="I76" s="110">
        <v>785607</v>
      </c>
      <c r="J76" s="110">
        <v>497167</v>
      </c>
    </row>
    <row r="77" spans="1:11" x14ac:dyDescent="0.25">
      <c r="A77" s="109"/>
      <c r="B77" s="109"/>
      <c r="C77" s="108" t="s">
        <v>132</v>
      </c>
      <c r="D77" s="107"/>
      <c r="E77" s="110">
        <v>7814</v>
      </c>
      <c r="F77" s="110">
        <v>563</v>
      </c>
      <c r="G77" s="110">
        <v>2317</v>
      </c>
      <c r="H77" s="110">
        <v>2081</v>
      </c>
      <c r="I77" s="110">
        <v>1903</v>
      </c>
      <c r="J77" s="110">
        <v>950</v>
      </c>
    </row>
    <row r="78" spans="1:11" x14ac:dyDescent="0.25">
      <c r="A78" s="109"/>
      <c r="B78" s="109"/>
      <c r="C78" s="108" t="s">
        <v>131</v>
      </c>
      <c r="D78" s="107"/>
      <c r="E78" s="106" t="s">
        <v>130</v>
      </c>
      <c r="F78" s="106" t="s">
        <v>130</v>
      </c>
      <c r="G78" s="106" t="s">
        <v>130</v>
      </c>
      <c r="H78" s="106" t="s">
        <v>130</v>
      </c>
      <c r="I78" s="106" t="s">
        <v>130</v>
      </c>
      <c r="J78" s="106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35" t="s">
        <v>356</v>
      </c>
      <c r="C1" s="240"/>
      <c r="D1" s="240"/>
      <c r="E1" s="240"/>
      <c r="F1" s="240"/>
      <c r="G1" s="240"/>
      <c r="H1" s="240"/>
      <c r="I1" s="336"/>
      <c r="K1" s="335" t="s">
        <v>357</v>
      </c>
      <c r="L1" s="240"/>
      <c r="M1" s="240"/>
      <c r="N1" s="240"/>
      <c r="O1" s="240"/>
      <c r="P1" s="240"/>
      <c r="Q1" s="240"/>
      <c r="R1" s="336"/>
      <c r="T1" s="335" t="s">
        <v>885</v>
      </c>
      <c r="U1" s="240"/>
      <c r="V1" s="240"/>
      <c r="W1" s="240"/>
      <c r="X1" s="240"/>
      <c r="Y1" s="240"/>
      <c r="Z1" s="240"/>
      <c r="AA1" s="336"/>
    </row>
    <row r="2" spans="1:27" x14ac:dyDescent="0.25">
      <c r="B2" s="337" t="s">
        <v>62</v>
      </c>
      <c r="C2" t="s">
        <v>723</v>
      </c>
      <c r="F2" s="162"/>
      <c r="G2" s="162" t="s">
        <v>745</v>
      </c>
      <c r="H2" s="162"/>
      <c r="I2" s="344"/>
      <c r="K2" s="337" t="s">
        <v>62</v>
      </c>
      <c r="L2" t="s">
        <v>723</v>
      </c>
      <c r="O2" s="162"/>
      <c r="P2" s="162" t="s">
        <v>745</v>
      </c>
      <c r="Q2" s="162"/>
      <c r="R2" s="344"/>
      <c r="T2" s="337" t="s">
        <v>62</v>
      </c>
      <c r="U2" t="s">
        <v>723</v>
      </c>
      <c r="X2" s="162"/>
      <c r="Y2" s="162" t="s">
        <v>745</v>
      </c>
      <c r="Z2" s="162"/>
      <c r="AA2" s="344"/>
    </row>
    <row r="3" spans="1:27" x14ac:dyDescent="0.25">
      <c r="B3" s="337" t="s">
        <v>767</v>
      </c>
      <c r="C3" t="str">
        <f>Jordbund1</f>
        <v>JB1-10</v>
      </c>
      <c r="D3" t="str">
        <f>Organ6</f>
        <v>OC6</v>
      </c>
      <c r="E3" t="str">
        <f>Organ12</f>
        <v>OC12</v>
      </c>
      <c r="F3" s="162"/>
      <c r="G3" t="str">
        <f>Jordbund1</f>
        <v>JB1-10</v>
      </c>
      <c r="H3" t="str">
        <f>Organ6</f>
        <v>OC6</v>
      </c>
      <c r="I3" s="338" t="str">
        <f>Organ12</f>
        <v>OC12</v>
      </c>
      <c r="J3" s="162"/>
      <c r="K3" s="337" t="s">
        <v>767</v>
      </c>
      <c r="L3" t="str">
        <f>Jordbund1</f>
        <v>JB1-10</v>
      </c>
      <c r="M3" t="str">
        <f>Organ6</f>
        <v>OC6</v>
      </c>
      <c r="N3" t="str">
        <f>Organ12</f>
        <v>OC12</v>
      </c>
      <c r="O3" s="162"/>
      <c r="P3" t="str">
        <f>Jordbund1</f>
        <v>JB1-10</v>
      </c>
      <c r="Q3" t="str">
        <f>Organ6</f>
        <v>OC6</v>
      </c>
      <c r="R3" s="338" t="str">
        <f>Organ12</f>
        <v>OC12</v>
      </c>
      <c r="T3" s="337" t="s">
        <v>767</v>
      </c>
      <c r="U3" t="str">
        <f>Jordbund1</f>
        <v>JB1-10</v>
      </c>
      <c r="V3" t="str">
        <f>Organ6</f>
        <v>OC6</v>
      </c>
      <c r="W3" t="str">
        <f>Organ12</f>
        <v>OC12</v>
      </c>
      <c r="X3" s="162"/>
      <c r="Y3" t="str">
        <f>Jordbund1</f>
        <v>JB1-10</v>
      </c>
      <c r="Z3" t="str">
        <f>Organ6</f>
        <v>OC6</v>
      </c>
      <c r="AA3" s="338" t="str">
        <f>Organ12</f>
        <v>OC12</v>
      </c>
    </row>
    <row r="4" spans="1:27" x14ac:dyDescent="0.25">
      <c r="A4" s="162" t="s">
        <v>11</v>
      </c>
      <c r="B4" s="337">
        <f>SUM(Afgrødefordeling!G2:I2)</f>
        <v>1038916</v>
      </c>
      <c r="C4">
        <f>$B4*F21</f>
        <v>1004007.0034807447</v>
      </c>
      <c r="D4">
        <f>$B4*G21</f>
        <v>23471.392533795915</v>
      </c>
      <c r="E4">
        <f t="shared" ref="E4:E17" si="0">$B4*H21</f>
        <v>11437.603985459307</v>
      </c>
      <c r="F4" s="162" t="s">
        <v>11</v>
      </c>
      <c r="G4" s="326">
        <f>C4/SUM(C$4:C$17)</f>
        <v>0.52078807763652124</v>
      </c>
      <c r="H4" s="326">
        <f t="shared" ref="H4:I17" si="1">D4/SUM(D$4:D$17)</f>
        <v>0.29260742948449031</v>
      </c>
      <c r="I4" s="339">
        <f t="shared" si="1"/>
        <v>0.19001733521339526</v>
      </c>
      <c r="J4" s="208"/>
      <c r="K4" s="337">
        <f>SUM(Afgrødefordeling!E2:F2)</f>
        <v>332413</v>
      </c>
      <c r="L4">
        <f t="shared" ref="L4:L17" si="2">$K4*F21</f>
        <v>321243.46920063294</v>
      </c>
      <c r="M4">
        <f t="shared" ref="M4:M17" si="3">$K4*G21</f>
        <v>7509.9392119639133</v>
      </c>
      <c r="N4">
        <f t="shared" ref="N4:N17" si="4">$K4*H21</f>
        <v>3659.5915874031057</v>
      </c>
      <c r="O4" s="162" t="s">
        <v>11</v>
      </c>
      <c r="P4" s="326">
        <f>L4/SUM(L$4:L$17)</f>
        <v>0.59758624874726696</v>
      </c>
      <c r="Q4" s="326">
        <f t="shared" ref="Q4:R17" si="5">M4/SUM(M$4:M$17)</f>
        <v>0.38313743571343106</v>
      </c>
      <c r="R4" s="339">
        <f t="shared" si="5"/>
        <v>0.26300634149592406</v>
      </c>
      <c r="S4" s="208"/>
      <c r="T4" s="337">
        <f>SUM(B4,K4)</f>
        <v>1371329</v>
      </c>
      <c r="U4">
        <f>SUM(C4,L4)</f>
        <v>1325250.4726813775</v>
      </c>
      <c r="V4">
        <f>SUM(D4,M4)</f>
        <v>30981.331745759828</v>
      </c>
      <c r="W4">
        <f>SUM(E4,N4)</f>
        <v>15097.195572862413</v>
      </c>
      <c r="X4" s="162" t="s">
        <v>11</v>
      </c>
      <c r="Y4" s="326">
        <f>U4/SUM(U$4:U$17)</f>
        <v>0.53753334285647836</v>
      </c>
      <c r="Z4" s="326">
        <f>V4/SUM(V$4:V$17)</f>
        <v>0.3103851136120081</v>
      </c>
      <c r="AA4" s="339">
        <f>W4/SUM(W$4:W$17)</f>
        <v>0.20372190135299265</v>
      </c>
    </row>
    <row r="5" spans="1:27" x14ac:dyDescent="0.25">
      <c r="A5" s="162" t="s">
        <v>14</v>
      </c>
      <c r="B5" s="337">
        <f>SUM(Afgrødefordeling!G3:I3)</f>
        <v>72039</v>
      </c>
      <c r="C5">
        <f t="shared" ref="C5:C17" si="6">$B5*F22</f>
        <v>69368.365239349441</v>
      </c>
      <c r="D5">
        <f t="shared" ref="D5:D17" si="7">$B5*G22</f>
        <v>2012.0664181985262</v>
      </c>
      <c r="E5">
        <f t="shared" si="0"/>
        <v>658.56834245203004</v>
      </c>
      <c r="F5" s="162" t="s">
        <v>14</v>
      </c>
      <c r="G5" s="326">
        <f t="shared" ref="G5:G17" si="8">C5/SUM(C$4:C$17)</f>
        <v>3.5982037432552356E-2</v>
      </c>
      <c r="H5" s="326">
        <f t="shared" si="1"/>
        <v>2.5083538683672694E-2</v>
      </c>
      <c r="I5" s="339">
        <f t="shared" si="1"/>
        <v>1.0941050385004404E-2</v>
      </c>
      <c r="J5" s="208"/>
      <c r="K5" s="337">
        <f>SUM(Afgrødefordeling!E3:F3)</f>
        <v>7271</v>
      </c>
      <c r="L5">
        <f t="shared" si="2"/>
        <v>7001.4489881218469</v>
      </c>
      <c r="M5">
        <f t="shared" si="3"/>
        <v>203.08076079236918</v>
      </c>
      <c r="N5">
        <f t="shared" si="4"/>
        <v>66.470251085782849</v>
      </c>
      <c r="O5" s="162" t="s">
        <v>14</v>
      </c>
      <c r="P5" s="326">
        <f t="shared" ref="P5:P17" si="9">L5/SUM(L$4:L$17)</f>
        <v>1.3024294772492263E-2</v>
      </c>
      <c r="Q5" s="326">
        <f t="shared" si="5"/>
        <v>1.0360648699894549E-2</v>
      </c>
      <c r="R5" s="339">
        <f t="shared" si="5"/>
        <v>4.777062450510427E-3</v>
      </c>
      <c r="S5" s="208"/>
      <c r="T5" s="337">
        <f t="shared" ref="T5:T17" si="10">SUM(B5,K5)</f>
        <v>79310</v>
      </c>
      <c r="U5">
        <f t="shared" ref="U5:U17" si="11">SUM(C5,L5)</f>
        <v>76369.814227471288</v>
      </c>
      <c r="V5">
        <f t="shared" ref="V5:V17" si="12">SUM(D5,M5)</f>
        <v>2215.1471789908956</v>
      </c>
      <c r="W5">
        <f t="shared" ref="W5:W17" si="13">SUM(E5,N5)</f>
        <v>725.03859353781286</v>
      </c>
      <c r="X5" s="162" t="s">
        <v>14</v>
      </c>
      <c r="Y5" s="326">
        <f t="shared" ref="Y5:Y17" si="14">U5/SUM(U$4:U$17)</f>
        <v>3.0976273829928767E-2</v>
      </c>
      <c r="Z5" s="326">
        <f t="shared" ref="Z5:Z17" si="15">V5/SUM(V$4:V$17)</f>
        <v>2.2192354881984948E-2</v>
      </c>
      <c r="AA5" s="339">
        <f t="shared" ref="AA5:AA17" si="16">W5/SUM(W$4:W$17)</f>
        <v>9.7836873157640305E-3</v>
      </c>
    </row>
    <row r="6" spans="1:27" x14ac:dyDescent="0.25">
      <c r="A6" s="162" t="s">
        <v>167</v>
      </c>
      <c r="B6" s="337">
        <f>SUM(Afgrødefordeling!G4:I4)</f>
        <v>119660</v>
      </c>
      <c r="C6">
        <f t="shared" si="6"/>
        <v>116652.69730542703</v>
      </c>
      <c r="D6">
        <f t="shared" si="7"/>
        <v>2154.4865125770075</v>
      </c>
      <c r="E6">
        <f t="shared" si="0"/>
        <v>852.8161819959488</v>
      </c>
      <c r="F6" s="162" t="s">
        <v>167</v>
      </c>
      <c r="G6" s="326">
        <f t="shared" si="8"/>
        <v>6.0508874709232517E-2</v>
      </c>
      <c r="H6" s="326">
        <f t="shared" si="1"/>
        <v>2.68590267661553E-2</v>
      </c>
      <c r="I6" s="339">
        <f t="shared" si="1"/>
        <v>1.4168164812818053E-2</v>
      </c>
      <c r="J6" s="208"/>
      <c r="K6" s="337">
        <f>SUM(Afgrødefordeling!E4:F4)</f>
        <v>45558</v>
      </c>
      <c r="L6">
        <f t="shared" si="2"/>
        <v>44413.03346014244</v>
      </c>
      <c r="M6">
        <f t="shared" si="3"/>
        <v>820.27491676402565</v>
      </c>
      <c r="N6">
        <f t="shared" si="4"/>
        <v>324.69162309352697</v>
      </c>
      <c r="O6" s="162" t="s">
        <v>167</v>
      </c>
      <c r="P6" s="326">
        <f t="shared" si="9"/>
        <v>8.2618389494347674E-2</v>
      </c>
      <c r="Q6" s="326">
        <f t="shared" si="5"/>
        <v>4.184827857039744E-2</v>
      </c>
      <c r="R6" s="339">
        <f t="shared" si="5"/>
        <v>2.3334832279686194E-2</v>
      </c>
      <c r="S6" s="208"/>
      <c r="T6" s="337">
        <f t="shared" si="10"/>
        <v>165218</v>
      </c>
      <c r="U6">
        <f t="shared" si="11"/>
        <v>161065.73076556949</v>
      </c>
      <c r="V6">
        <f t="shared" si="12"/>
        <v>2974.7614293410334</v>
      </c>
      <c r="W6">
        <f t="shared" si="13"/>
        <v>1177.5078050894758</v>
      </c>
      <c r="X6" s="162" t="s">
        <v>167</v>
      </c>
      <c r="Y6" s="326">
        <f t="shared" si="14"/>
        <v>6.5329688585482673E-2</v>
      </c>
      <c r="Z6" s="326">
        <f t="shared" si="15"/>
        <v>2.9802516941222323E-2</v>
      </c>
      <c r="AA6" s="339">
        <f t="shared" si="16"/>
        <v>1.5889317175039771E-2</v>
      </c>
    </row>
    <row r="7" spans="1:27" x14ac:dyDescent="0.25">
      <c r="A7" s="162" t="s">
        <v>13</v>
      </c>
      <c r="B7" s="337">
        <f>SUM(Afgrødefordeling!G5:I5)</f>
        <v>261971</v>
      </c>
      <c r="C7">
        <f t="shared" si="6"/>
        <v>222420.00470920876</v>
      </c>
      <c r="D7">
        <f t="shared" si="7"/>
        <v>19882.362025663842</v>
      </c>
      <c r="E7">
        <f t="shared" si="0"/>
        <v>19668.633265127406</v>
      </c>
      <c r="F7" s="162" t="s">
        <v>13</v>
      </c>
      <c r="G7" s="326">
        <f t="shared" si="8"/>
        <v>0.1153713931066581</v>
      </c>
      <c r="H7" s="326">
        <f t="shared" si="1"/>
        <v>0.247864579659376</v>
      </c>
      <c r="I7" s="339">
        <f t="shared" si="1"/>
        <v>0.32676260561918435</v>
      </c>
      <c r="J7" s="208"/>
      <c r="K7" s="337">
        <f>SUM(Afgrødefordeling!E5:F5)</f>
        <v>31780</v>
      </c>
      <c r="L7">
        <f t="shared" si="2"/>
        <v>26982.023772320808</v>
      </c>
      <c r="M7">
        <f t="shared" si="3"/>
        <v>2411.9519533673456</v>
      </c>
      <c r="N7">
        <f t="shared" si="4"/>
        <v>2386.024274311847</v>
      </c>
      <c r="O7" s="162" t="s">
        <v>13</v>
      </c>
      <c r="P7" s="326">
        <f t="shared" si="9"/>
        <v>5.0192728928725582E-2</v>
      </c>
      <c r="Q7" s="326">
        <f t="shared" si="5"/>
        <v>0.12305147357318001</v>
      </c>
      <c r="R7" s="339">
        <f t="shared" si="5"/>
        <v>0.17147801882246</v>
      </c>
      <c r="S7" s="208"/>
      <c r="T7" s="337">
        <f t="shared" si="10"/>
        <v>293751</v>
      </c>
      <c r="U7">
        <f t="shared" si="11"/>
        <v>249402.02848152956</v>
      </c>
      <c r="V7">
        <f t="shared" si="12"/>
        <v>22294.313979031187</v>
      </c>
      <c r="W7">
        <f t="shared" si="13"/>
        <v>22054.657539439253</v>
      </c>
      <c r="X7" s="162" t="s">
        <v>13</v>
      </c>
      <c r="Y7" s="326">
        <f t="shared" si="14"/>
        <v>0.10115967422642448</v>
      </c>
      <c r="Z7" s="326">
        <f t="shared" si="15"/>
        <v>0.22335460702816423</v>
      </c>
      <c r="AA7" s="339">
        <f t="shared" si="16"/>
        <v>0.29760605179547317</v>
      </c>
    </row>
    <row r="8" spans="1:27" x14ac:dyDescent="0.25">
      <c r="A8" s="162" t="s">
        <v>12</v>
      </c>
      <c r="B8" s="337">
        <f>SUM(Afgrødefordeling!G6:I6)</f>
        <v>8723</v>
      </c>
      <c r="C8">
        <f t="shared" si="6"/>
        <v>8607.1483465005567</v>
      </c>
      <c r="D8">
        <f t="shared" si="7"/>
        <v>92.990555049124993</v>
      </c>
      <c r="E8">
        <f t="shared" si="0"/>
        <v>22.861098450319325</v>
      </c>
      <c r="F8" s="162" t="s">
        <v>12</v>
      </c>
      <c r="G8" s="326">
        <f t="shared" si="8"/>
        <v>4.464610531367031E-3</v>
      </c>
      <c r="H8" s="326">
        <f t="shared" si="1"/>
        <v>1.1592719622443278E-3</v>
      </c>
      <c r="I8" s="339">
        <f t="shared" si="1"/>
        <v>3.7980026350827641E-4</v>
      </c>
      <c r="J8" s="208"/>
      <c r="K8" s="337">
        <f>SUM(Afgrødefordeling!E6:F6)</f>
        <v>4285</v>
      </c>
      <c r="L8">
        <f t="shared" si="2"/>
        <v>4228.0901828218366</v>
      </c>
      <c r="M8">
        <f t="shared" si="3"/>
        <v>45.679757925656375</v>
      </c>
      <c r="N8">
        <f t="shared" si="4"/>
        <v>11.230059252506971</v>
      </c>
      <c r="O8" s="162" t="s">
        <v>12</v>
      </c>
      <c r="P8" s="326">
        <f t="shared" si="9"/>
        <v>7.865213752064254E-3</v>
      </c>
      <c r="Q8" s="326">
        <f t="shared" si="5"/>
        <v>2.3304616484464778E-3</v>
      </c>
      <c r="R8" s="339">
        <f t="shared" si="5"/>
        <v>8.0707825675165219E-4</v>
      </c>
      <c r="S8" s="208"/>
      <c r="T8" s="337">
        <f t="shared" si="10"/>
        <v>13008</v>
      </c>
      <c r="U8">
        <f t="shared" si="11"/>
        <v>12835.238529322392</v>
      </c>
      <c r="V8">
        <f t="shared" si="12"/>
        <v>138.67031297478138</v>
      </c>
      <c r="W8">
        <f t="shared" si="13"/>
        <v>34.091157702826294</v>
      </c>
      <c r="X8" s="162" t="s">
        <v>12</v>
      </c>
      <c r="Y8" s="326">
        <f t="shared" si="14"/>
        <v>5.2060865589185204E-3</v>
      </c>
      <c r="Z8" s="326">
        <f t="shared" si="15"/>
        <v>1.3892624500617522E-3</v>
      </c>
      <c r="AA8" s="339">
        <f t="shared" si="16"/>
        <v>4.600268594935945E-4</v>
      </c>
    </row>
    <row r="9" spans="1:27" x14ac:dyDescent="0.25">
      <c r="A9" s="162" t="s">
        <v>178</v>
      </c>
      <c r="B9" s="337">
        <f>SUM(Afgrødefordeling!G7:I7)</f>
        <v>53952</v>
      </c>
      <c r="C9">
        <f t="shared" si="6"/>
        <v>51273.875513650157</v>
      </c>
      <c r="D9">
        <f t="shared" si="7"/>
        <v>1468.0798414882997</v>
      </c>
      <c r="E9">
        <f t="shared" si="0"/>
        <v>1210.0446448615455</v>
      </c>
      <c r="F9" s="162" t="s">
        <v>178</v>
      </c>
      <c r="G9" s="326">
        <f t="shared" si="8"/>
        <v>2.6596251788237935E-2</v>
      </c>
      <c r="H9" s="326">
        <f t="shared" si="1"/>
        <v>1.8301899560384409E-2</v>
      </c>
      <c r="I9" s="339">
        <f t="shared" si="1"/>
        <v>2.0102939321744374E-2</v>
      </c>
      <c r="J9" s="208"/>
      <c r="K9" s="337">
        <f>SUM(Afgrødefordeling!E7:F7)</f>
        <v>2854</v>
      </c>
      <c r="L9">
        <f t="shared" si="2"/>
        <v>2712.3302327245983</v>
      </c>
      <c r="M9">
        <f t="shared" si="3"/>
        <v>77.659769194980868</v>
      </c>
      <c r="N9">
        <f t="shared" si="4"/>
        <v>64.009998080420573</v>
      </c>
      <c r="O9" s="162" t="s">
        <v>178</v>
      </c>
      <c r="P9" s="326">
        <f t="shared" si="9"/>
        <v>5.0455539319474536E-3</v>
      </c>
      <c r="Q9" s="326">
        <f t="shared" si="5"/>
        <v>3.9619980918168913E-3</v>
      </c>
      <c r="R9" s="339">
        <f t="shared" si="5"/>
        <v>4.6002497853152241E-3</v>
      </c>
      <c r="S9" s="208"/>
      <c r="T9" s="337">
        <f t="shared" si="10"/>
        <v>56806</v>
      </c>
      <c r="U9">
        <f t="shared" si="11"/>
        <v>53986.205746374755</v>
      </c>
      <c r="V9">
        <f t="shared" si="12"/>
        <v>1545.7396106832807</v>
      </c>
      <c r="W9">
        <f t="shared" si="13"/>
        <v>1274.054642941966</v>
      </c>
      <c r="X9" s="162" t="s">
        <v>178</v>
      </c>
      <c r="Y9" s="326">
        <f t="shared" si="14"/>
        <v>2.189728375215861E-2</v>
      </c>
      <c r="Z9" s="326">
        <f t="shared" si="15"/>
        <v>1.5485924511368826E-2</v>
      </c>
      <c r="AA9" s="339">
        <f t="shared" si="16"/>
        <v>1.7192122406779854E-2</v>
      </c>
    </row>
    <row r="10" spans="1:27" x14ac:dyDescent="0.25">
      <c r="A10" s="162" t="s">
        <v>42</v>
      </c>
      <c r="B10" s="337">
        <f>SUM(Afgrødefordeling!G8:I8)</f>
        <v>5057</v>
      </c>
      <c r="C10">
        <f t="shared" si="6"/>
        <v>5005.3989577717884</v>
      </c>
      <c r="D10">
        <f t="shared" si="7"/>
        <v>38.515543575920923</v>
      </c>
      <c r="E10">
        <f t="shared" si="0"/>
        <v>13.085498652291111</v>
      </c>
      <c r="F10" s="162" t="s">
        <v>42</v>
      </c>
      <c r="G10" s="326">
        <f t="shared" si="8"/>
        <v>2.5963485234511219E-3</v>
      </c>
      <c r="H10" s="326">
        <f t="shared" si="1"/>
        <v>4.801561809645839E-4</v>
      </c>
      <c r="I10" s="339">
        <f t="shared" si="1"/>
        <v>2.1739444616266637E-4</v>
      </c>
      <c r="J10" s="208"/>
      <c r="K10" s="337">
        <f>SUM(Afgrødefordeling!E8:F8)</f>
        <v>28487</v>
      </c>
      <c r="L10">
        <f t="shared" si="2"/>
        <v>28196.321951758935</v>
      </c>
      <c r="M10">
        <f t="shared" si="3"/>
        <v>216.96505632732041</v>
      </c>
      <c r="N10">
        <f t="shared" si="4"/>
        <v>73.712991913746663</v>
      </c>
      <c r="O10" s="162" t="s">
        <v>42</v>
      </c>
      <c r="P10" s="326">
        <f t="shared" si="9"/>
        <v>5.2451600979001756E-2</v>
      </c>
      <c r="Q10" s="326">
        <f t="shared" si="5"/>
        <v>1.1068989105563098E-2</v>
      </c>
      <c r="R10" s="339">
        <f t="shared" si="5"/>
        <v>5.2975813997076116E-3</v>
      </c>
      <c r="S10" s="208"/>
      <c r="T10" s="337">
        <f t="shared" si="10"/>
        <v>33544</v>
      </c>
      <c r="U10">
        <f t="shared" si="11"/>
        <v>33201.720909530726</v>
      </c>
      <c r="V10">
        <f t="shared" si="12"/>
        <v>255.48059990324134</v>
      </c>
      <c r="W10">
        <f t="shared" si="13"/>
        <v>86.798490566037771</v>
      </c>
      <c r="X10" s="162" t="s">
        <v>42</v>
      </c>
      <c r="Y10" s="326">
        <f t="shared" si="14"/>
        <v>1.3466912404096722E-2</v>
      </c>
      <c r="Z10" s="326">
        <f t="shared" si="15"/>
        <v>2.5595211877063469E-3</v>
      </c>
      <c r="AA10" s="339">
        <f t="shared" si="16"/>
        <v>1.1712608111448329E-3</v>
      </c>
    </row>
    <row r="11" spans="1:27" x14ac:dyDescent="0.25">
      <c r="A11" s="162" t="s">
        <v>15</v>
      </c>
      <c r="B11" s="337">
        <f>SUM(Afgrødefordeling!G9:I9)</f>
        <v>178007</v>
      </c>
      <c r="C11">
        <f t="shared" si="6"/>
        <v>171407.91225809458</v>
      </c>
      <c r="D11">
        <f t="shared" si="7"/>
        <v>4971.7778828726805</v>
      </c>
      <c r="E11">
        <f t="shared" si="0"/>
        <v>1627.3098590327256</v>
      </c>
      <c r="F11" s="162" t="s">
        <v>15</v>
      </c>
      <c r="G11" s="326">
        <f t="shared" si="8"/>
        <v>8.8910930707760349E-2</v>
      </c>
      <c r="H11" s="326">
        <f t="shared" si="1"/>
        <v>6.1980947409938016E-2</v>
      </c>
      <c r="I11" s="339">
        <f t="shared" si="1"/>
        <v>2.7035127582052489E-2</v>
      </c>
      <c r="J11" s="208"/>
      <c r="K11" s="337">
        <f>SUM(Afgrødefordeling!E9:F9)</f>
        <v>8282</v>
      </c>
      <c r="L11">
        <f t="shared" si="2"/>
        <v>7974.969126616028</v>
      </c>
      <c r="M11">
        <f t="shared" si="3"/>
        <v>231.31823145129991</v>
      </c>
      <c r="N11">
        <f t="shared" si="4"/>
        <v>75.712641932671374</v>
      </c>
      <c r="O11" s="162" t="s">
        <v>15</v>
      </c>
      <c r="P11" s="326">
        <f t="shared" si="9"/>
        <v>1.4835264654900416E-2</v>
      </c>
      <c r="Q11" s="326">
        <f t="shared" si="5"/>
        <v>1.180125052022097E-2</v>
      </c>
      <c r="R11" s="339">
        <f t="shared" si="5"/>
        <v>5.4412915988347344E-3</v>
      </c>
      <c r="S11" s="208"/>
      <c r="T11" s="337">
        <f t="shared" si="10"/>
        <v>186289</v>
      </c>
      <c r="U11">
        <f t="shared" si="11"/>
        <v>179382.88138471061</v>
      </c>
      <c r="V11">
        <f t="shared" si="12"/>
        <v>5203.0961143239801</v>
      </c>
      <c r="W11">
        <f t="shared" si="13"/>
        <v>1703.0225009653971</v>
      </c>
      <c r="X11" s="162" t="s">
        <v>15</v>
      </c>
      <c r="Y11" s="326">
        <f t="shared" si="14"/>
        <v>7.2759287296729286E-2</v>
      </c>
      <c r="Z11" s="326">
        <f t="shared" si="15"/>
        <v>5.2126990273737149E-2</v>
      </c>
      <c r="AA11" s="339">
        <f t="shared" si="16"/>
        <v>2.2980624465595331E-2</v>
      </c>
    </row>
    <row r="12" spans="1:27" x14ac:dyDescent="0.25">
      <c r="A12" s="162" t="s">
        <v>143</v>
      </c>
      <c r="B12" s="337">
        <f>SUM(Afgrødefordeling!G10:I10)</f>
        <v>3281</v>
      </c>
      <c r="C12">
        <f t="shared" si="6"/>
        <v>3149.6677342606863</v>
      </c>
      <c r="D12">
        <f t="shared" si="7"/>
        <v>84.698510248354609</v>
      </c>
      <c r="E12">
        <f t="shared" si="0"/>
        <v>46.633755490958848</v>
      </c>
      <c r="F12" s="162" t="s">
        <v>143</v>
      </c>
      <c r="G12" s="326">
        <f t="shared" si="8"/>
        <v>1.6337629108489173E-3</v>
      </c>
      <c r="H12" s="326">
        <f t="shared" si="1"/>
        <v>1.0558987213584255E-3</v>
      </c>
      <c r="I12" s="339">
        <f t="shared" si="1"/>
        <v>7.7474460216058903E-4</v>
      </c>
      <c r="J12" s="208"/>
      <c r="K12" s="337">
        <f>SUM(Afgrødefordeling!E10:F10)</f>
        <v>1933</v>
      </c>
      <c r="L12">
        <f t="shared" si="2"/>
        <v>1855.6256416720228</v>
      </c>
      <c r="M12">
        <f t="shared" si="3"/>
        <v>49.900097625745033</v>
      </c>
      <c r="N12">
        <f t="shared" si="4"/>
        <v>27.47426070223208</v>
      </c>
      <c r="O12" s="162" t="s">
        <v>143</v>
      </c>
      <c r="P12" s="326">
        <f t="shared" si="9"/>
        <v>3.4518876571883301E-3</v>
      </c>
      <c r="Q12" s="326">
        <f t="shared" si="5"/>
        <v>2.5457723300503447E-3</v>
      </c>
      <c r="R12" s="339">
        <f t="shared" si="5"/>
        <v>1.9745112589809222E-3</v>
      </c>
      <c r="S12" s="208"/>
      <c r="T12" s="337">
        <f t="shared" si="10"/>
        <v>5214</v>
      </c>
      <c r="U12">
        <f t="shared" si="11"/>
        <v>5005.2933759327088</v>
      </c>
      <c r="V12">
        <f t="shared" si="12"/>
        <v>134.59860787409963</v>
      </c>
      <c r="W12">
        <f t="shared" si="13"/>
        <v>74.108016193190934</v>
      </c>
      <c r="X12" s="162" t="s">
        <v>143</v>
      </c>
      <c r="Y12" s="326">
        <f t="shared" si="14"/>
        <v>2.0301913757470973E-3</v>
      </c>
      <c r="Z12" s="326">
        <f t="shared" si="15"/>
        <v>1.3484702510484653E-3</v>
      </c>
      <c r="AA12" s="339">
        <f t="shared" si="16"/>
        <v>1.0000152605503254E-3</v>
      </c>
    </row>
    <row r="13" spans="1:27" x14ac:dyDescent="0.25">
      <c r="A13" s="162" t="s">
        <v>136</v>
      </c>
      <c r="B13" s="337">
        <f>SUM(Afgrødefordeling!G11:I11)</f>
        <v>58027.442472384268</v>
      </c>
      <c r="C13">
        <f t="shared" si="6"/>
        <v>55704.71297072139</v>
      </c>
      <c r="D13">
        <f t="shared" si="7"/>
        <v>1497.9695004367711</v>
      </c>
      <c r="E13">
        <f t="shared" si="0"/>
        <v>824.76000122610435</v>
      </c>
      <c r="F13" s="162" t="s">
        <v>136</v>
      </c>
      <c r="G13" s="326">
        <f t="shared" si="8"/>
        <v>2.8894569741786228E-2</v>
      </c>
      <c r="H13" s="326">
        <f t="shared" si="1"/>
        <v>1.8674520667567855E-2</v>
      </c>
      <c r="I13" s="339">
        <f t="shared" si="1"/>
        <v>1.3702056639031946E-2</v>
      </c>
      <c r="J13" s="208"/>
      <c r="K13" s="337">
        <f>SUM(Afgrødefordeling!E11:F11)</f>
        <v>13802.557527615738</v>
      </c>
      <c r="L13">
        <f t="shared" si="2"/>
        <v>13250.067081684927</v>
      </c>
      <c r="M13">
        <f t="shared" si="3"/>
        <v>356.31089917898981</v>
      </c>
      <c r="N13">
        <f t="shared" si="4"/>
        <v>196.17954675182133</v>
      </c>
      <c r="O13" s="162" t="s">
        <v>136</v>
      </c>
      <c r="P13" s="326">
        <f t="shared" si="9"/>
        <v>2.4648152078224853E-2</v>
      </c>
      <c r="Q13" s="326">
        <f t="shared" si="5"/>
        <v>1.8178049165924595E-2</v>
      </c>
      <c r="R13" s="339">
        <f t="shared" si="5"/>
        <v>1.4098968050185802E-2</v>
      </c>
      <c r="S13" s="208"/>
      <c r="T13" s="337">
        <f t="shared" si="10"/>
        <v>71830</v>
      </c>
      <c r="U13">
        <f t="shared" si="11"/>
        <v>68954.78005240632</v>
      </c>
      <c r="V13">
        <f t="shared" si="12"/>
        <v>1854.2803996157609</v>
      </c>
      <c r="W13">
        <f t="shared" si="13"/>
        <v>1020.9395479779257</v>
      </c>
      <c r="X13" s="162" t="s">
        <v>136</v>
      </c>
      <c r="Y13" s="326">
        <f t="shared" si="14"/>
        <v>2.7968670218625629E-2</v>
      </c>
      <c r="Z13" s="326">
        <f t="shared" si="15"/>
        <v>1.8577026876258396E-2</v>
      </c>
      <c r="AA13" s="339">
        <f t="shared" si="16"/>
        <v>1.3776581543024526E-2</v>
      </c>
    </row>
    <row r="14" spans="1:27" x14ac:dyDescent="0.25">
      <c r="A14" s="162" t="s">
        <v>297</v>
      </c>
      <c r="B14" s="337">
        <f>SUM(Afgrødefordeling!G12:I12)</f>
        <v>64918</v>
      </c>
      <c r="C14">
        <f t="shared" si="6"/>
        <v>58596.458946278646</v>
      </c>
      <c r="D14">
        <f t="shared" si="7"/>
        <v>3697.4304770356175</v>
      </c>
      <c r="E14">
        <f t="shared" si="0"/>
        <v>2624.1105766857345</v>
      </c>
      <c r="F14" s="162" t="s">
        <v>297</v>
      </c>
      <c r="G14" s="326">
        <f t="shared" si="8"/>
        <v>3.0394546158686284E-2</v>
      </c>
      <c r="H14" s="326">
        <f t="shared" si="1"/>
        <v>4.6094224108143921E-2</v>
      </c>
      <c r="I14" s="339">
        <f t="shared" si="1"/>
        <v>4.3595363130338828E-2</v>
      </c>
      <c r="J14" s="208"/>
      <c r="K14" s="337">
        <f>SUM(Afgrødefordeling!E12:F12)</f>
        <v>45418</v>
      </c>
      <c r="L14">
        <f t="shared" si="2"/>
        <v>40995.316744540556</v>
      </c>
      <c r="M14">
        <f t="shared" si="3"/>
        <v>2586.8002311532036</v>
      </c>
      <c r="N14">
        <f t="shared" si="4"/>
        <v>1835.8830243062432</v>
      </c>
      <c r="O14" s="162" t="s">
        <v>297</v>
      </c>
      <c r="P14" s="326">
        <f t="shared" si="9"/>
        <v>7.6260655541220079E-2</v>
      </c>
      <c r="Q14" s="326">
        <f t="shared" si="5"/>
        <v>0.13197177490971568</v>
      </c>
      <c r="R14" s="339">
        <f t="shared" si="5"/>
        <v>0.13194064586313403</v>
      </c>
      <c r="S14" s="208"/>
      <c r="T14" s="337">
        <f t="shared" si="10"/>
        <v>110336</v>
      </c>
      <c r="U14">
        <f t="shared" si="11"/>
        <v>99591.775690819195</v>
      </c>
      <c r="V14">
        <f t="shared" si="12"/>
        <v>6284.2307081888212</v>
      </c>
      <c r="W14">
        <f t="shared" si="13"/>
        <v>4459.9936009919775</v>
      </c>
      <c r="X14" s="162" t="s">
        <v>297</v>
      </c>
      <c r="Y14" s="326">
        <f t="shared" si="14"/>
        <v>4.0395307311065158E-2</v>
      </c>
      <c r="Z14" s="326">
        <f t="shared" si="15"/>
        <v>6.2958289796312947E-2</v>
      </c>
      <c r="AA14" s="339">
        <f t="shared" si="16"/>
        <v>6.0183255362306794E-2</v>
      </c>
    </row>
    <row r="15" spans="1:27" x14ac:dyDescent="0.25">
      <c r="A15" s="162" t="s">
        <v>138</v>
      </c>
      <c r="B15" s="337">
        <f>SUM(Afgrødefordeling!G13:I13)</f>
        <v>16456</v>
      </c>
      <c r="C15">
        <f t="shared" si="6"/>
        <v>15797.297237120956</v>
      </c>
      <c r="D15">
        <f t="shared" si="7"/>
        <v>424.80910839589251</v>
      </c>
      <c r="E15">
        <f t="shared" si="0"/>
        <v>233.8936544831511</v>
      </c>
      <c r="F15" s="162" t="s">
        <v>138</v>
      </c>
      <c r="G15" s="326">
        <f t="shared" si="8"/>
        <v>8.1942098326515649E-3</v>
      </c>
      <c r="H15" s="326">
        <f t="shared" si="1"/>
        <v>5.2959065402847453E-3</v>
      </c>
      <c r="I15" s="339">
        <f t="shared" si="1"/>
        <v>3.8857656730126948E-3</v>
      </c>
      <c r="J15" s="208"/>
      <c r="K15" s="337">
        <f>SUM(Afgrødefordeling!E13:F13)</f>
        <v>3029</v>
      </c>
      <c r="L15">
        <f t="shared" si="2"/>
        <v>2907.7548208093931</v>
      </c>
      <c r="M15">
        <f t="shared" si="3"/>
        <v>78.193169016234719</v>
      </c>
      <c r="N15">
        <f t="shared" si="4"/>
        <v>43.052010174371944</v>
      </c>
      <c r="O15" s="162" t="s">
        <v>138</v>
      </c>
      <c r="P15" s="326">
        <f t="shared" si="9"/>
        <v>5.4090883153768499E-3</v>
      </c>
      <c r="Q15" s="326">
        <f t="shared" si="5"/>
        <v>3.9892107541244148E-3</v>
      </c>
      <c r="R15" s="339">
        <f t="shared" si="5"/>
        <v>3.0940479065976268E-3</v>
      </c>
      <c r="S15" s="208"/>
      <c r="T15" s="337">
        <f t="shared" si="10"/>
        <v>19485</v>
      </c>
      <c r="U15">
        <f t="shared" si="11"/>
        <v>18705.052057930348</v>
      </c>
      <c r="V15">
        <f t="shared" si="12"/>
        <v>503.00227741212723</v>
      </c>
      <c r="W15">
        <f t="shared" si="13"/>
        <v>276.94566465752303</v>
      </c>
      <c r="X15" s="162" t="s">
        <v>138</v>
      </c>
      <c r="Y15" s="326">
        <f t="shared" si="14"/>
        <v>7.5869349743828522E-3</v>
      </c>
      <c r="Z15" s="326">
        <f t="shared" si="15"/>
        <v>5.0393062603911291E-3</v>
      </c>
      <c r="AA15" s="339">
        <f t="shared" si="16"/>
        <v>3.7371111146572858E-3</v>
      </c>
    </row>
    <row r="16" spans="1:27" x14ac:dyDescent="0.25">
      <c r="A16" s="162" t="s">
        <v>329</v>
      </c>
      <c r="B16" s="337">
        <f>SUM(Afgrødefordeling!G14:I14)</f>
        <v>7060.5575276157379</v>
      </c>
      <c r="C16">
        <f t="shared" si="6"/>
        <v>5810.7527780874962</v>
      </c>
      <c r="D16">
        <f t="shared" si="7"/>
        <v>697.69320083554544</v>
      </c>
      <c r="E16">
        <f t="shared" si="0"/>
        <v>552.11154869269581</v>
      </c>
      <c r="F16" s="162" t="s">
        <v>329</v>
      </c>
      <c r="G16" s="326">
        <f t="shared" si="8"/>
        <v>3.0140932866304453E-3</v>
      </c>
      <c r="H16" s="326">
        <f t="shared" si="1"/>
        <v>8.6978313609362562E-3</v>
      </c>
      <c r="I16" s="339">
        <f t="shared" si="1"/>
        <v>9.1724425287411978E-3</v>
      </c>
      <c r="J16" s="208"/>
      <c r="K16" s="337">
        <f>SUM(Afgrødefordeling!E14:F14)</f>
        <v>1679.4424723842621</v>
      </c>
      <c r="L16">
        <f t="shared" si="2"/>
        <v>1382.1606826196935</v>
      </c>
      <c r="M16">
        <f t="shared" si="3"/>
        <v>165.95510901142939</v>
      </c>
      <c r="N16">
        <f t="shared" si="4"/>
        <v>131.32668075313907</v>
      </c>
      <c r="O16" s="162" t="s">
        <v>329</v>
      </c>
      <c r="P16" s="326">
        <f t="shared" si="9"/>
        <v>2.5711346585440159E-3</v>
      </c>
      <c r="Q16" s="326">
        <f t="shared" si="5"/>
        <v>8.4665951501828891E-3</v>
      </c>
      <c r="R16" s="339">
        <f t="shared" si="5"/>
        <v>9.4381433066404435E-3</v>
      </c>
      <c r="S16" s="208"/>
      <c r="T16" s="337">
        <f t="shared" si="10"/>
        <v>8740</v>
      </c>
      <c r="U16">
        <f t="shared" si="11"/>
        <v>7192.9134607071901</v>
      </c>
      <c r="V16">
        <f t="shared" si="12"/>
        <v>863.64830984697483</v>
      </c>
      <c r="W16">
        <f t="shared" si="13"/>
        <v>683.43822944583485</v>
      </c>
      <c r="X16" s="162" t="s">
        <v>329</v>
      </c>
      <c r="Y16" s="326">
        <f t="shared" si="14"/>
        <v>2.9175094799916215E-3</v>
      </c>
      <c r="Z16" s="326">
        <f t="shared" si="15"/>
        <v>8.6524227225758237E-3</v>
      </c>
      <c r="AA16" s="339">
        <f t="shared" si="16"/>
        <v>9.2223310540071532E-3</v>
      </c>
    </row>
    <row r="17" spans="1:27" ht="15.75" thickBot="1" x14ac:dyDescent="0.3">
      <c r="A17" s="162" t="s">
        <v>61</v>
      </c>
      <c r="B17" s="340">
        <f>SUM(Afgrødefordeling!G15:I15)</f>
        <v>180200</v>
      </c>
      <c r="C17" s="341">
        <f t="shared" si="6"/>
        <v>140059.66485275724</v>
      </c>
      <c r="D17" s="341">
        <f t="shared" si="7"/>
        <v>19720.343681186703</v>
      </c>
      <c r="E17" s="341">
        <f t="shared" si="0"/>
        <v>20419.991466056061</v>
      </c>
      <c r="F17" s="345" t="s">
        <v>61</v>
      </c>
      <c r="G17" s="342">
        <f t="shared" si="8"/>
        <v>7.2650293633615873E-2</v>
      </c>
      <c r="H17" s="342">
        <f t="shared" si="1"/>
        <v>0.24584476889448309</v>
      </c>
      <c r="I17" s="343">
        <f t="shared" si="1"/>
        <v>0.33924520978284484</v>
      </c>
      <c r="J17" s="208"/>
      <c r="K17" s="340">
        <f>SUM(Afgrødefordeling!E15:F15)</f>
        <v>44292</v>
      </c>
      <c r="L17" s="341">
        <f t="shared" si="2"/>
        <v>34425.764015861954</v>
      </c>
      <c r="M17" s="341">
        <f t="shared" si="3"/>
        <v>4847.1335312270894</v>
      </c>
      <c r="N17" s="341">
        <f t="shared" si="4"/>
        <v>5019.10245291096</v>
      </c>
      <c r="O17" s="345" t="s">
        <v>61</v>
      </c>
      <c r="P17" s="342">
        <f t="shared" si="9"/>
        <v>6.4039786488699332E-2</v>
      </c>
      <c r="Q17" s="342">
        <f t="shared" si="5"/>
        <v>0.24728806176705159</v>
      </c>
      <c r="R17" s="343">
        <f t="shared" si="5"/>
        <v>0.36071122752527124</v>
      </c>
      <c r="S17" s="208"/>
      <c r="T17" s="340">
        <f t="shared" si="10"/>
        <v>224492</v>
      </c>
      <c r="U17" s="341">
        <f t="shared" si="11"/>
        <v>174485.4288686192</v>
      </c>
      <c r="V17" s="341">
        <f t="shared" si="12"/>
        <v>24567.477212413793</v>
      </c>
      <c r="W17" s="341">
        <f t="shared" si="13"/>
        <v>25439.093918967021</v>
      </c>
      <c r="X17" s="345" t="s">
        <v>61</v>
      </c>
      <c r="Y17" s="342">
        <f t="shared" si="14"/>
        <v>7.0772837129970206E-2</v>
      </c>
      <c r="Z17" s="342">
        <f t="shared" si="15"/>
        <v>0.24612819320715937</v>
      </c>
      <c r="AA17" s="343">
        <f t="shared" si="16"/>
        <v>0.34327571348317099</v>
      </c>
    </row>
    <row r="19" spans="1:27" x14ac:dyDescent="0.25">
      <c r="B19" t="s">
        <v>721</v>
      </c>
      <c r="F19" t="s">
        <v>722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06">
        <f>C47+C48+D47+D48</f>
        <v>1319772.3796480037</v>
      </c>
      <c r="C21" s="306">
        <f>E47+E48</f>
        <v>30853.266431994874</v>
      </c>
      <c r="D21" s="306">
        <f>F47+F48</f>
        <v>15034.789375999229</v>
      </c>
      <c r="E21" s="306">
        <f>SUM(B21:D21)</f>
        <v>1365660.4354559979</v>
      </c>
      <c r="F21" s="9">
        <f t="shared" ref="F21:F34" si="17">B21/$E21</f>
        <v>0.96639863423101069</v>
      </c>
      <c r="G21" s="9">
        <f t="shared" ref="G21:G34" si="18">C21/$E21</f>
        <v>2.259219468541818E-2</v>
      </c>
      <c r="H21" s="9">
        <f t="shared" ref="H21:H34" si="19">D21/$E21</f>
        <v>1.1009171083571056E-2</v>
      </c>
    </row>
    <row r="22" spans="1:27" x14ac:dyDescent="0.25">
      <c r="A22" t="s">
        <v>14</v>
      </c>
      <c r="B22" s="306">
        <f>C50+D50</f>
        <v>184592.82739200146</v>
      </c>
      <c r="C22" s="306">
        <f>E50</f>
        <v>5354.2133759997832</v>
      </c>
      <c r="D22" s="306">
        <f>F50</f>
        <v>1752.4846080000284</v>
      </c>
      <c r="E22" s="306">
        <f t="shared" ref="E22:E34" si="20">SUM(B22:D22)</f>
        <v>191699.52537600129</v>
      </c>
      <c r="F22" s="9">
        <f t="shared" si="17"/>
        <v>0.96292793125042597</v>
      </c>
      <c r="G22" s="9">
        <f t="shared" si="18"/>
        <v>2.7930238040485379E-2</v>
      </c>
      <c r="H22" s="9">
        <f t="shared" si="19"/>
        <v>9.1418307090885501E-3</v>
      </c>
    </row>
    <row r="23" spans="1:27" x14ac:dyDescent="0.25">
      <c r="A23" t="s">
        <v>167</v>
      </c>
      <c r="B23" s="306">
        <f>C57+D57</f>
        <v>160896.53324799926</v>
      </c>
      <c r="C23" s="306">
        <f>E57</f>
        <v>2971.636480000067</v>
      </c>
      <c r="D23" s="306">
        <f>F57</f>
        <v>1176.2708480000085</v>
      </c>
      <c r="E23" s="306">
        <f t="shared" si="20"/>
        <v>165044.44057599935</v>
      </c>
      <c r="F23" s="9">
        <f t="shared" si="17"/>
        <v>0.97486793669920635</v>
      </c>
      <c r="G23" s="9">
        <f t="shared" si="18"/>
        <v>1.8005068632600766E-2</v>
      </c>
      <c r="H23" s="9">
        <f t="shared" si="19"/>
        <v>7.126994668192786E-3</v>
      </c>
    </row>
    <row r="24" spans="1:27" x14ac:dyDescent="0.25">
      <c r="A24" t="s">
        <v>13</v>
      </c>
      <c r="B24" s="306">
        <f>SUM(C42,C44,C40,C58,D42,D44,D40,D58)</f>
        <v>349496.61081599921</v>
      </c>
      <c r="C24" s="306">
        <f>SUM(E42,E44,E40,E58)</f>
        <v>31241.875711994078</v>
      </c>
      <c r="D24" s="306">
        <f>SUM(F42,F44,F40,F58)</f>
        <v>30906.035967996911</v>
      </c>
      <c r="E24" s="306">
        <f t="shared" si="20"/>
        <v>411644.52249599021</v>
      </c>
      <c r="F24" s="9">
        <f t="shared" si="17"/>
        <v>0.8490252917659159</v>
      </c>
      <c r="G24" s="9">
        <f t="shared" si="18"/>
        <v>7.5895278582987585E-2</v>
      </c>
      <c r="H24" s="9">
        <f t="shared" si="19"/>
        <v>7.5079429651096513E-2</v>
      </c>
    </row>
    <row r="25" spans="1:27" x14ac:dyDescent="0.25">
      <c r="A25" t="s">
        <v>12</v>
      </c>
      <c r="B25" s="306">
        <f>C45+D45</f>
        <v>14404.881919999816</v>
      </c>
      <c r="C25" s="306">
        <f>E45</f>
        <v>155.62854399999989</v>
      </c>
      <c r="D25" s="306">
        <f>F45</f>
        <v>38.260223999999972</v>
      </c>
      <c r="E25" s="306">
        <f t="shared" si="20"/>
        <v>14598.770687999815</v>
      </c>
      <c r="F25" s="9">
        <f t="shared" si="17"/>
        <v>0.98671882912995024</v>
      </c>
      <c r="G25" s="9">
        <f t="shared" si="18"/>
        <v>1.0660386913805456E-2</v>
      </c>
      <c r="H25" s="9">
        <f t="shared" si="19"/>
        <v>2.6207839562443339E-3</v>
      </c>
    </row>
    <row r="26" spans="1:27" x14ac:dyDescent="0.25">
      <c r="A26" t="s">
        <v>178</v>
      </c>
      <c r="B26" s="306">
        <f>C46+D46</f>
        <v>53989.796864000178</v>
      </c>
      <c r="C26" s="306">
        <f>E46</f>
        <v>1545.8424320000133</v>
      </c>
      <c r="D26" s="306">
        <f>F46</f>
        <v>1274.1393920000037</v>
      </c>
      <c r="E26" s="306">
        <f t="shared" si="20"/>
        <v>56809.778688000195</v>
      </c>
      <c r="F26" s="9">
        <f t="shared" si="17"/>
        <v>0.95036097852999246</v>
      </c>
      <c r="G26" s="9">
        <f t="shared" si="18"/>
        <v>2.7210851154513268E-2</v>
      </c>
      <c r="H26" s="9">
        <f t="shared" si="19"/>
        <v>2.2428170315494246E-2</v>
      </c>
    </row>
    <row r="27" spans="1:27" x14ac:dyDescent="0.25">
      <c r="A27" t="s">
        <v>42</v>
      </c>
      <c r="B27" s="306">
        <f>C41+D41+C59+D59</f>
        <v>33088.070143999983</v>
      </c>
      <c r="C27" s="306">
        <f>E41+E59</f>
        <v>254.60607999999976</v>
      </c>
      <c r="D27" s="306">
        <f>F41+F59</f>
        <v>86.501375999999993</v>
      </c>
      <c r="E27" s="306">
        <f t="shared" si="20"/>
        <v>33429.177599999981</v>
      </c>
      <c r="F27" s="9">
        <f t="shared" si="17"/>
        <v>0.98979611583385174</v>
      </c>
      <c r="G27" s="9">
        <f t="shared" si="18"/>
        <v>7.6162830879811984E-3</v>
      </c>
      <c r="H27" s="9">
        <f t="shared" si="19"/>
        <v>2.587601078167117E-3</v>
      </c>
    </row>
    <row r="28" spans="1:27" x14ac:dyDescent="0.25">
      <c r="A28" t="s">
        <v>15</v>
      </c>
      <c r="B28" s="306">
        <f>C50+D50</f>
        <v>184592.82739200146</v>
      </c>
      <c r="C28" s="306">
        <f>E50</f>
        <v>5354.2133759997832</v>
      </c>
      <c r="D28" s="306">
        <f>F50</f>
        <v>1752.4846080000284</v>
      </c>
      <c r="E28" s="306">
        <f t="shared" si="20"/>
        <v>191699.52537600129</v>
      </c>
      <c r="F28" s="9">
        <f t="shared" si="17"/>
        <v>0.96292793125042597</v>
      </c>
      <c r="G28" s="9">
        <f t="shared" si="18"/>
        <v>2.7930238040485379E-2</v>
      </c>
      <c r="H28" s="9">
        <f t="shared" si="19"/>
        <v>9.1418307090885501E-3</v>
      </c>
    </row>
    <row r="29" spans="1:27" x14ac:dyDescent="0.25">
      <c r="A29" t="s">
        <v>143</v>
      </c>
      <c r="B29" s="306">
        <f>C38+D38</f>
        <v>226640.62873599993</v>
      </c>
      <c r="C29" s="306">
        <f>E38</f>
        <v>6094.6503680000005</v>
      </c>
      <c r="D29" s="306">
        <f>F38</f>
        <v>3355.6249599999983</v>
      </c>
      <c r="E29" s="306">
        <f t="shared" si="20"/>
        <v>236090.90406399991</v>
      </c>
      <c r="F29" s="9">
        <f t="shared" si="17"/>
        <v>0.95997187877497303</v>
      </c>
      <c r="G29" s="9">
        <f t="shared" si="18"/>
        <v>2.5814846159205915E-2</v>
      </c>
      <c r="H29" s="9">
        <f t="shared" si="19"/>
        <v>1.4213275065821044E-2</v>
      </c>
    </row>
    <row r="30" spans="1:27" x14ac:dyDescent="0.25">
      <c r="A30" t="s">
        <v>136</v>
      </c>
      <c r="B30" s="306">
        <f>C38+D38</f>
        <v>226640.62873599993</v>
      </c>
      <c r="C30" s="306">
        <f>E38</f>
        <v>6094.6503680000005</v>
      </c>
      <c r="D30" s="306">
        <f>F38</f>
        <v>3355.6249599999983</v>
      </c>
      <c r="E30" s="306">
        <f t="shared" si="20"/>
        <v>236090.90406399991</v>
      </c>
      <c r="F30" s="9">
        <f t="shared" si="17"/>
        <v>0.95997187877497303</v>
      </c>
      <c r="G30" s="9">
        <f t="shared" si="18"/>
        <v>2.5814846159205915E-2</v>
      </c>
      <c r="H30" s="9">
        <f t="shared" si="19"/>
        <v>1.4213275065821044E-2</v>
      </c>
    </row>
    <row r="31" spans="1:27" x14ac:dyDescent="0.25">
      <c r="A31" t="s">
        <v>297</v>
      </c>
      <c r="B31" s="306">
        <f>C42+D42</f>
        <v>236731.80902400045</v>
      </c>
      <c r="C31" s="306">
        <f>E42</f>
        <v>14937.752575997654</v>
      </c>
      <c r="D31" s="306">
        <f>F42</f>
        <v>10601.501439999198</v>
      </c>
      <c r="E31" s="306">
        <f t="shared" si="20"/>
        <v>262271.0630399973</v>
      </c>
      <c r="F31" s="9">
        <f t="shared" si="17"/>
        <v>0.90262267701221</v>
      </c>
      <c r="G31" s="9">
        <f t="shared" si="18"/>
        <v>5.695539722473917E-2</v>
      </c>
      <c r="H31" s="9">
        <f t="shared" si="19"/>
        <v>4.0421925763050842E-2</v>
      </c>
    </row>
    <row r="32" spans="1:27" x14ac:dyDescent="0.25">
      <c r="A32" t="s">
        <v>138</v>
      </c>
      <c r="B32" s="306">
        <f>C38+D38</f>
        <v>226640.62873599993</v>
      </c>
      <c r="C32" s="306">
        <f>E38</f>
        <v>6094.6503680000005</v>
      </c>
      <c r="D32" s="306">
        <f>F38</f>
        <v>3355.6249599999983</v>
      </c>
      <c r="E32" s="306">
        <f t="shared" si="20"/>
        <v>236090.90406399991</v>
      </c>
      <c r="F32" s="9">
        <f t="shared" si="17"/>
        <v>0.95997187877497303</v>
      </c>
      <c r="G32" s="9">
        <f t="shared" si="18"/>
        <v>2.5814846159205915E-2</v>
      </c>
      <c r="H32" s="9">
        <f t="shared" si="19"/>
        <v>1.4213275065821044E-2</v>
      </c>
    </row>
    <row r="33" spans="1:10" x14ac:dyDescent="0.25">
      <c r="A33" t="s">
        <v>329</v>
      </c>
      <c r="B33" s="306">
        <f>SUM(C51:D56)+C39+D39</f>
        <v>7038.0328960000279</v>
      </c>
      <c r="C33" s="306">
        <f>SUM(E51:E56)+E39</f>
        <v>845.05190399999913</v>
      </c>
      <c r="D33" s="306">
        <f>SUM(F51:F56)+F39</f>
        <v>668.72217599999976</v>
      </c>
      <c r="E33" s="306">
        <f t="shared" si="20"/>
        <v>8551.8069760000271</v>
      </c>
      <c r="F33" s="9">
        <f t="shared" si="17"/>
        <v>0.82298781014956401</v>
      </c>
      <c r="G33" s="9">
        <f t="shared" si="18"/>
        <v>9.8815596092331218E-2</v>
      </c>
      <c r="H33" s="9">
        <f t="shared" si="19"/>
        <v>7.8196593758104671E-2</v>
      </c>
    </row>
    <row r="34" spans="1:10" x14ac:dyDescent="0.25">
      <c r="A34" t="s">
        <v>61</v>
      </c>
      <c r="B34" s="306">
        <f>C43+D43</f>
        <v>132314.75967999725</v>
      </c>
      <c r="C34" s="306">
        <f>E43</f>
        <v>18629.864191994773</v>
      </c>
      <c r="D34" s="306">
        <f>F43</f>
        <v>19290.823423997452</v>
      </c>
      <c r="E34" s="306">
        <f t="shared" si="20"/>
        <v>170235.44729598946</v>
      </c>
      <c r="F34" s="9">
        <f t="shared" si="17"/>
        <v>0.77724564291208242</v>
      </c>
      <c r="G34" s="9">
        <f t="shared" si="18"/>
        <v>0.10943586948494287</v>
      </c>
      <c r="H34" s="9">
        <f t="shared" si="19"/>
        <v>0.1133184876029748</v>
      </c>
    </row>
    <row r="36" spans="1:10" x14ac:dyDescent="0.25">
      <c r="A36" t="s">
        <v>766</v>
      </c>
    </row>
    <row r="37" spans="1:10" x14ac:dyDescent="0.25">
      <c r="A37" s="307" t="s">
        <v>746</v>
      </c>
      <c r="B37" s="424"/>
      <c r="C37" s="307" t="str">
        <f>Jordbund1</f>
        <v>JB1-10</v>
      </c>
      <c r="D37" s="307" t="str">
        <f>Jordbund1</f>
        <v>JB1-10</v>
      </c>
      <c r="E37" s="307" t="str">
        <f>Organ6</f>
        <v>OC6</v>
      </c>
      <c r="F37" s="307" t="str">
        <f>Organ12</f>
        <v>OC12</v>
      </c>
      <c r="G37" s="307" t="s">
        <v>749</v>
      </c>
      <c r="H37" s="307" t="s">
        <v>724</v>
      </c>
    </row>
    <row r="38" spans="1:10" x14ac:dyDescent="0.25">
      <c r="A38" s="322" t="s">
        <v>747</v>
      </c>
      <c r="B38" s="425"/>
      <c r="C38" s="323">
        <v>211475.16313599993</v>
      </c>
      <c r="D38" s="323">
        <v>15165.465599999985</v>
      </c>
      <c r="E38" s="323">
        <v>6094.6503680000005</v>
      </c>
      <c r="F38" s="323">
        <v>3355.6249599999983</v>
      </c>
      <c r="G38" s="324">
        <f>SUM(C38:F38)</f>
        <v>236090.90406399991</v>
      </c>
      <c r="H38" s="325">
        <f t="shared" ref="H38:H61" si="21">E38+F38</f>
        <v>9450.2753279999997</v>
      </c>
      <c r="I38" s="9"/>
      <c r="J38" t="s">
        <v>748</v>
      </c>
    </row>
    <row r="39" spans="1:10" x14ac:dyDescent="0.25">
      <c r="A39" s="308" t="s">
        <v>725</v>
      </c>
      <c r="B39" t="s">
        <v>329</v>
      </c>
      <c r="C39" s="309">
        <v>15.248640000000002</v>
      </c>
      <c r="D39" s="309">
        <v>1.940736</v>
      </c>
      <c r="E39" s="309">
        <v>1.84832</v>
      </c>
      <c r="F39" s="309">
        <v>1.7559040000000001</v>
      </c>
      <c r="G39" s="310">
        <f t="shared" ref="G39:G61" si="22">SUM(C39:F39)</f>
        <v>20.793600000000005</v>
      </c>
      <c r="H39" s="311">
        <f t="shared" si="21"/>
        <v>3.6042240000000003</v>
      </c>
      <c r="I39" s="9"/>
    </row>
    <row r="40" spans="1:10" x14ac:dyDescent="0.25">
      <c r="A40" s="308" t="s">
        <v>726</v>
      </c>
      <c r="B40" t="s">
        <v>13</v>
      </c>
      <c r="C40" s="309">
        <v>73.285888000000028</v>
      </c>
      <c r="D40" s="309">
        <v>3.049728</v>
      </c>
      <c r="E40" s="309">
        <v>3.142144</v>
      </c>
      <c r="F40" s="309">
        <v>0.64691200000000004</v>
      </c>
      <c r="G40" s="310">
        <f t="shared" si="22"/>
        <v>80.124672000000032</v>
      </c>
      <c r="H40" s="311">
        <f t="shared" si="21"/>
        <v>3.789056</v>
      </c>
      <c r="I40" s="9"/>
    </row>
    <row r="41" spans="1:10" x14ac:dyDescent="0.25">
      <c r="A41" s="308" t="s">
        <v>727</v>
      </c>
      <c r="B41" t="s">
        <v>42</v>
      </c>
      <c r="C41" s="309">
        <v>3930.2676479999996</v>
      </c>
      <c r="D41" s="309">
        <v>379.82975999999979</v>
      </c>
      <c r="E41" s="309">
        <v>79.108095999999961</v>
      </c>
      <c r="F41" s="309">
        <v>23.196415999999999</v>
      </c>
      <c r="G41" s="310">
        <f t="shared" si="22"/>
        <v>4412.4019199999993</v>
      </c>
      <c r="H41" s="311">
        <f t="shared" si="21"/>
        <v>102.30451199999996</v>
      </c>
      <c r="I41" s="9"/>
    </row>
    <row r="42" spans="1:10" ht="30" x14ac:dyDescent="0.25">
      <c r="A42" s="308" t="s">
        <v>728</v>
      </c>
      <c r="B42" t="s">
        <v>13</v>
      </c>
      <c r="C42" s="309">
        <v>208091.7209600049</v>
      </c>
      <c r="D42" s="309">
        <v>28640.08806399555</v>
      </c>
      <c r="E42" s="309">
        <v>14937.752575997654</v>
      </c>
      <c r="F42" s="312">
        <v>10601.501439999198</v>
      </c>
      <c r="G42" s="310">
        <f t="shared" si="22"/>
        <v>262271.0630399973</v>
      </c>
      <c r="H42" s="312">
        <f t="shared" si="21"/>
        <v>25539.254015996852</v>
      </c>
      <c r="I42" s="9"/>
    </row>
    <row r="43" spans="1:10" x14ac:dyDescent="0.25">
      <c r="A43" s="308" t="s">
        <v>729</v>
      </c>
      <c r="B43" s="426" t="s">
        <v>13</v>
      </c>
      <c r="C43" s="309">
        <v>110825.72928000614</v>
      </c>
      <c r="D43" s="309">
        <v>21489.030399991108</v>
      </c>
      <c r="E43" s="309">
        <v>18629.864191994773</v>
      </c>
      <c r="F43" s="313">
        <v>19290.823423997452</v>
      </c>
      <c r="G43" s="310">
        <f t="shared" si="22"/>
        <v>170235.44729598946</v>
      </c>
      <c r="H43" s="314">
        <f t="shared" si="21"/>
        <v>37920.687615992225</v>
      </c>
      <c r="I43" s="9"/>
    </row>
    <row r="44" spans="1:10" x14ac:dyDescent="0.25">
      <c r="A44" s="308" t="s">
        <v>730</v>
      </c>
      <c r="B44" t="s">
        <v>13</v>
      </c>
      <c r="C44" s="309">
        <v>90259.749888005244</v>
      </c>
      <c r="D44" s="309">
        <v>22425.20447999347</v>
      </c>
      <c r="E44" s="309">
        <v>16300.334079996423</v>
      </c>
      <c r="F44" s="309">
        <v>20303.055871997716</v>
      </c>
      <c r="G44" s="310">
        <f t="shared" si="22"/>
        <v>149288.34431999284</v>
      </c>
      <c r="H44" s="311">
        <f t="shared" si="21"/>
        <v>36603.389951994141</v>
      </c>
      <c r="I44" s="9"/>
    </row>
    <row r="45" spans="1:10" x14ac:dyDescent="0.25">
      <c r="A45" s="308" t="s">
        <v>731</v>
      </c>
      <c r="B45" t="s">
        <v>12</v>
      </c>
      <c r="C45" s="309">
        <v>13805.286911999812</v>
      </c>
      <c r="D45" s="309">
        <v>599.5950080000033</v>
      </c>
      <c r="E45" s="309">
        <v>155.62854399999989</v>
      </c>
      <c r="F45" s="309">
        <v>38.260223999999972</v>
      </c>
      <c r="G45" s="310">
        <f t="shared" si="22"/>
        <v>14598.770687999815</v>
      </c>
      <c r="H45" s="311">
        <f t="shared" si="21"/>
        <v>193.88876799999986</v>
      </c>
      <c r="I45" s="9"/>
    </row>
    <row r="46" spans="1:10" x14ac:dyDescent="0.25">
      <c r="A46" s="308" t="s">
        <v>178</v>
      </c>
      <c r="B46" t="s">
        <v>178</v>
      </c>
      <c r="C46" s="309">
        <v>48738.904576000285</v>
      </c>
      <c r="D46" s="309">
        <v>5250.8922879998936</v>
      </c>
      <c r="E46" s="309">
        <v>1545.8424320000133</v>
      </c>
      <c r="F46" s="309">
        <v>1274.1393920000037</v>
      </c>
      <c r="G46" s="310">
        <f t="shared" si="22"/>
        <v>56809.778688000195</v>
      </c>
      <c r="H46" s="311">
        <f t="shared" si="21"/>
        <v>2819.9818240000168</v>
      </c>
      <c r="I46" s="9"/>
    </row>
    <row r="47" spans="1:10" x14ac:dyDescent="0.25">
      <c r="A47" s="308" t="s">
        <v>732</v>
      </c>
      <c r="B47" t="s">
        <v>11</v>
      </c>
      <c r="C47" s="309">
        <v>743359.37075199408</v>
      </c>
      <c r="D47" s="309">
        <v>43981.32889600304</v>
      </c>
      <c r="E47" s="309">
        <v>16210.41331199711</v>
      </c>
      <c r="F47" s="315">
        <v>7501.03705599962</v>
      </c>
      <c r="G47" s="310">
        <f t="shared" si="22"/>
        <v>811052.15001599386</v>
      </c>
      <c r="H47" s="316">
        <f t="shared" si="21"/>
        <v>23711.450367996731</v>
      </c>
      <c r="I47" s="9"/>
    </row>
    <row r="48" spans="1:10" x14ac:dyDescent="0.25">
      <c r="A48" s="308" t="s">
        <v>733</v>
      </c>
      <c r="B48" t="s">
        <v>11</v>
      </c>
      <c r="C48" s="309">
        <v>494124.60108800628</v>
      </c>
      <c r="D48" s="309">
        <v>38307.078912000463</v>
      </c>
      <c r="E48" s="309">
        <v>14642.853119997766</v>
      </c>
      <c r="F48" s="315">
        <v>7533.7523199996103</v>
      </c>
      <c r="G48" s="310">
        <f t="shared" si="22"/>
        <v>554608.28544000408</v>
      </c>
      <c r="H48" s="316">
        <f t="shared" si="21"/>
        <v>22176.605439997376</v>
      </c>
      <c r="I48" s="9"/>
    </row>
    <row r="49" spans="1:9" x14ac:dyDescent="0.25">
      <c r="A49" s="308" t="s">
        <v>734</v>
      </c>
      <c r="B49" s="426"/>
      <c r="C49" s="309">
        <v>86.131711999999993</v>
      </c>
      <c r="D49" s="309">
        <v>10.350592000000001</v>
      </c>
      <c r="E49" s="309">
        <v>9.2416000000000036</v>
      </c>
      <c r="F49" s="309">
        <v>2.5876480000000002</v>
      </c>
      <c r="G49" s="310">
        <f t="shared" si="22"/>
        <v>108.31155200000001</v>
      </c>
      <c r="H49" s="311">
        <f t="shared" si="21"/>
        <v>11.829248000000003</v>
      </c>
      <c r="I49" s="9"/>
    </row>
    <row r="50" spans="1:9" x14ac:dyDescent="0.25">
      <c r="A50" s="308" t="s">
        <v>735</v>
      </c>
      <c r="B50" t="s">
        <v>15</v>
      </c>
      <c r="C50" s="309">
        <v>168888.20684800297</v>
      </c>
      <c r="D50" s="309">
        <v>15704.620543998477</v>
      </c>
      <c r="E50" s="309">
        <v>5354.2133759997832</v>
      </c>
      <c r="F50" s="315">
        <v>1752.4846080000284</v>
      </c>
      <c r="G50" s="310">
        <f t="shared" si="22"/>
        <v>191699.52537600129</v>
      </c>
      <c r="H50" s="316">
        <f t="shared" si="21"/>
        <v>7106.6979839998112</v>
      </c>
      <c r="I50" s="9"/>
    </row>
    <row r="51" spans="1:9" x14ac:dyDescent="0.25">
      <c r="A51" s="308" t="s">
        <v>736</v>
      </c>
      <c r="B51" t="s">
        <v>329</v>
      </c>
      <c r="C51" s="309">
        <v>61.918719999999993</v>
      </c>
      <c r="D51" s="309">
        <v>15.987968000000006</v>
      </c>
      <c r="E51" s="309">
        <v>33.824256000000005</v>
      </c>
      <c r="F51" s="309">
        <v>7.3008640000000016</v>
      </c>
      <c r="G51" s="310">
        <f t="shared" si="22"/>
        <v>119.03180800000001</v>
      </c>
      <c r="H51" s="311">
        <f t="shared" si="21"/>
        <v>41.12512000000001</v>
      </c>
      <c r="I51" s="9"/>
    </row>
    <row r="52" spans="1:9" x14ac:dyDescent="0.25">
      <c r="A52" s="308" t="s">
        <v>737</v>
      </c>
      <c r="B52" t="s">
        <v>329</v>
      </c>
      <c r="C52" s="309">
        <v>1267.3006080000034</v>
      </c>
      <c r="D52" s="309">
        <v>296.28569599999986</v>
      </c>
      <c r="E52" s="309">
        <v>298.22643199999976</v>
      </c>
      <c r="F52" s="309">
        <v>244.07065599999987</v>
      </c>
      <c r="G52" s="310">
        <f t="shared" si="22"/>
        <v>2105.8833920000029</v>
      </c>
      <c r="H52" s="311">
        <f t="shared" si="21"/>
        <v>542.29708799999958</v>
      </c>
      <c r="I52" s="9"/>
    </row>
    <row r="53" spans="1:9" x14ac:dyDescent="0.25">
      <c r="A53" s="308" t="s">
        <v>738</v>
      </c>
      <c r="B53" t="s">
        <v>329</v>
      </c>
      <c r="C53" s="309">
        <v>787.6615680000001</v>
      </c>
      <c r="D53" s="309">
        <v>136.77567999999974</v>
      </c>
      <c r="E53" s="309">
        <v>87.887615999999952</v>
      </c>
      <c r="F53" s="309">
        <v>49.350143999999986</v>
      </c>
      <c r="G53" s="310">
        <f t="shared" si="22"/>
        <v>1061.6750079999997</v>
      </c>
      <c r="H53" s="311">
        <f t="shared" si="21"/>
        <v>137.23775999999992</v>
      </c>
      <c r="I53" s="9"/>
    </row>
    <row r="54" spans="1:9" ht="30" x14ac:dyDescent="0.25">
      <c r="A54" s="308" t="s">
        <v>739</v>
      </c>
      <c r="B54" t="s">
        <v>329</v>
      </c>
      <c r="C54" s="309">
        <v>0.36966399999999999</v>
      </c>
      <c r="D54" s="309">
        <v>9.2415999999999998E-2</v>
      </c>
      <c r="E54" s="309">
        <v>9.2415999999999998E-2</v>
      </c>
      <c r="F54" s="309">
        <v>0</v>
      </c>
      <c r="G54" s="310">
        <f t="shared" si="22"/>
        <v>0.55449599999999999</v>
      </c>
      <c r="H54" s="311">
        <f t="shared" si="21"/>
        <v>9.2415999999999998E-2</v>
      </c>
      <c r="I54" s="9"/>
    </row>
    <row r="55" spans="1:9" x14ac:dyDescent="0.25">
      <c r="A55" s="308" t="s">
        <v>740</v>
      </c>
      <c r="B55" t="s">
        <v>329</v>
      </c>
      <c r="C55" s="309">
        <v>1993.5055360000119</v>
      </c>
      <c r="D55" s="309">
        <v>314.67647999999991</v>
      </c>
      <c r="E55" s="309">
        <v>289.44691199999971</v>
      </c>
      <c r="F55" s="309">
        <v>302.93964799999998</v>
      </c>
      <c r="G55" s="310">
        <f t="shared" si="22"/>
        <v>2900.5685760000119</v>
      </c>
      <c r="H55" s="311">
        <f t="shared" si="21"/>
        <v>592.38655999999969</v>
      </c>
      <c r="I55" s="9"/>
    </row>
    <row r="56" spans="1:9" x14ac:dyDescent="0.25">
      <c r="A56" s="308" t="s">
        <v>741</v>
      </c>
      <c r="B56" t="s">
        <v>329</v>
      </c>
      <c r="C56" s="309">
        <v>1918.4637440000135</v>
      </c>
      <c r="D56" s="309">
        <v>227.80543999999972</v>
      </c>
      <c r="E56" s="309">
        <v>133.72595199999981</v>
      </c>
      <c r="F56" s="309">
        <v>63.304959999999973</v>
      </c>
      <c r="G56" s="310">
        <f t="shared" si="22"/>
        <v>2343.3000960000131</v>
      </c>
      <c r="H56" s="311">
        <f t="shared" si="21"/>
        <v>197.03091199999977</v>
      </c>
      <c r="I56" s="9"/>
    </row>
    <row r="57" spans="1:9" x14ac:dyDescent="0.25">
      <c r="A57" s="308" t="s">
        <v>742</v>
      </c>
      <c r="B57" t="s">
        <v>167</v>
      </c>
      <c r="C57" s="309">
        <v>152559.31622399975</v>
      </c>
      <c r="D57" s="309">
        <v>8337.2170239995157</v>
      </c>
      <c r="E57" s="309">
        <v>2971.636480000067</v>
      </c>
      <c r="F57" s="315">
        <v>1176.2708480000085</v>
      </c>
      <c r="G57" s="310">
        <f t="shared" si="22"/>
        <v>165044.44057599935</v>
      </c>
      <c r="H57" s="316">
        <f t="shared" si="21"/>
        <v>4147.9073280000757</v>
      </c>
      <c r="I57" s="9"/>
    </row>
    <row r="58" spans="1:9" x14ac:dyDescent="0.25">
      <c r="A58" s="308" t="s">
        <v>743</v>
      </c>
      <c r="B58" t="s">
        <v>13</v>
      </c>
      <c r="C58" s="309">
        <v>3.2345599999999997</v>
      </c>
      <c r="D58" s="309">
        <v>0.27724799999999999</v>
      </c>
      <c r="E58" s="309">
        <v>0.64691200000000004</v>
      </c>
      <c r="F58" s="309">
        <v>0.83174400000000004</v>
      </c>
      <c r="G58" s="310">
        <f t="shared" si="22"/>
        <v>4.9904639999999993</v>
      </c>
      <c r="H58" s="311">
        <f t="shared" si="21"/>
        <v>1.478656</v>
      </c>
      <c r="I58" s="9"/>
    </row>
    <row r="59" spans="1:9" x14ac:dyDescent="0.25">
      <c r="A59" s="308" t="s">
        <v>177</v>
      </c>
      <c r="B59" t="s">
        <v>42</v>
      </c>
      <c r="C59" s="309">
        <v>28433.261055999981</v>
      </c>
      <c r="D59" s="309">
        <v>344.71167999999966</v>
      </c>
      <c r="E59" s="309">
        <v>175.4979839999998</v>
      </c>
      <c r="F59" s="309">
        <v>63.304959999999987</v>
      </c>
      <c r="G59" s="310">
        <f t="shared" si="22"/>
        <v>29016.775679999984</v>
      </c>
      <c r="H59" s="311">
        <f t="shared" si="21"/>
        <v>238.8029439999998</v>
      </c>
      <c r="I59" s="9"/>
    </row>
    <row r="60" spans="1:9" x14ac:dyDescent="0.25">
      <c r="A60" s="308" t="s">
        <v>744</v>
      </c>
      <c r="B60" s="426"/>
      <c r="C60" s="309">
        <v>40.663039999999995</v>
      </c>
      <c r="D60" s="309">
        <v>8.0401920000000029</v>
      </c>
      <c r="E60" s="309">
        <v>9.3340160000000036</v>
      </c>
      <c r="F60" s="309">
        <v>6.5615360000000003</v>
      </c>
      <c r="G60" s="310">
        <f t="shared" si="22"/>
        <v>64.598784000000009</v>
      </c>
      <c r="H60" s="311">
        <f t="shared" si="21"/>
        <v>15.895552000000004</v>
      </c>
      <c r="I60" s="9"/>
    </row>
    <row r="61" spans="1:9" x14ac:dyDescent="0.25">
      <c r="A61" s="317" t="s">
        <v>57</v>
      </c>
      <c r="B61" s="427"/>
      <c r="C61" s="318">
        <f>SUM(C38:C60)</f>
        <v>2280739.3620480192</v>
      </c>
      <c r="D61" s="318">
        <f>SUM(D38:D60)</f>
        <v>201640.34483198149</v>
      </c>
      <c r="E61" s="318">
        <f>SUM(E38:E60)</f>
        <v>97965.211135983569</v>
      </c>
      <c r="F61" s="318">
        <f>SUM(F38:F60)</f>
        <v>73592.801535993625</v>
      </c>
      <c r="G61" s="318">
        <f t="shared" si="22"/>
        <v>2653937.7195519782</v>
      </c>
      <c r="H61" s="319">
        <f t="shared" si="21"/>
        <v>171558.01267197719</v>
      </c>
      <c r="I61" s="320"/>
    </row>
    <row r="62" spans="1:9" x14ac:dyDescent="0.25">
      <c r="E62" s="321"/>
    </row>
    <row r="63" spans="1:9" x14ac:dyDescent="0.25">
      <c r="B63" s="301"/>
      <c r="C63" s="301"/>
      <c r="D63" s="301"/>
      <c r="E63" s="301"/>
    </row>
    <row r="64" spans="1:9" x14ac:dyDescent="0.25">
      <c r="B64" s="301"/>
      <c r="C64" s="301"/>
      <c r="D64" s="301"/>
      <c r="E64" s="301"/>
    </row>
    <row r="65" spans="2:5" x14ac:dyDescent="0.25">
      <c r="B65" s="301"/>
      <c r="C65" s="301"/>
      <c r="D65" s="301"/>
      <c r="E65" s="301"/>
    </row>
    <row r="66" spans="2:5" x14ac:dyDescent="0.25">
      <c r="B66" s="301"/>
      <c r="C66" s="301"/>
      <c r="D66" s="301"/>
      <c r="E66" s="301"/>
    </row>
    <row r="67" spans="2:5" x14ac:dyDescent="0.25">
      <c r="B67" s="301"/>
      <c r="C67" s="301"/>
      <c r="D67" s="301"/>
      <c r="E67" s="301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C11" sqref="C11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7"/>
      <c r="B2" s="7" t="s">
        <v>66</v>
      </c>
      <c r="C2" s="7" t="s">
        <v>69</v>
      </c>
      <c r="D2" s="7" t="s">
        <v>268</v>
      </c>
      <c r="E2" s="7" t="s">
        <v>266</v>
      </c>
      <c r="F2" s="7" t="s">
        <v>267</v>
      </c>
      <c r="G2" s="230" t="s">
        <v>510</v>
      </c>
      <c r="H2" s="230" t="s">
        <v>510</v>
      </c>
      <c r="I2" s="230" t="s">
        <v>510</v>
      </c>
      <c r="J2" s="217" t="s">
        <v>493</v>
      </c>
      <c r="K2" s="218" t="s">
        <v>494</v>
      </c>
      <c r="L2" s="219" t="s">
        <v>495</v>
      </c>
    </row>
    <row r="3" spans="1:15" ht="42.75" customHeight="1" x14ac:dyDescent="0.25">
      <c r="A3" s="7"/>
      <c r="B3" s="7"/>
      <c r="C3" s="7"/>
      <c r="D3" s="7"/>
      <c r="E3" s="7"/>
      <c r="F3" s="7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7"/>
      <c r="B4" s="7" t="s">
        <v>515</v>
      </c>
      <c r="C4" s="7" t="s">
        <v>37</v>
      </c>
      <c r="D4" s="7" t="s">
        <v>514</v>
      </c>
      <c r="E4" s="7" t="s">
        <v>266</v>
      </c>
      <c r="F4" s="7" t="s">
        <v>267</v>
      </c>
      <c r="G4" s="6" t="str">
        <f>CONCATENATE("Kvælstofnorm-",G3)</f>
        <v>Kvælstofnorm-JB1-10</v>
      </c>
      <c r="H4" s="6" t="str">
        <f>CONCATENATE("Kvælstofnorm-",H3)</f>
        <v>Kvælstofnorm-OC6</v>
      </c>
      <c r="I4" s="6" t="str">
        <f>CONCATENATE("Kvælstofnorm-",I3)</f>
        <v>Kvælstofnorm-OC12</v>
      </c>
      <c r="J4" s="6" t="str">
        <f>CONCATENATE("CO2-",J3)</f>
        <v>CO2-JB1-10</v>
      </c>
      <c r="K4" s="6" t="str">
        <f>CONCATENATE("CO2-",K3)</f>
        <v>CO2-OC6</v>
      </c>
      <c r="L4" s="6" t="str">
        <f>CONCATENATE("CO2-",L3)</f>
        <v>CO2-OC12</v>
      </c>
    </row>
    <row r="5" spans="1:15" x14ac:dyDescent="0.25">
      <c r="A5" s="7" t="str" cm="1">
        <f t="array" ref="A5:A18">Afgrødefordeling!$C$2:$C$15</f>
        <v>Korn</v>
      </c>
      <c r="B5" s="212">
        <v>70.099999999999994</v>
      </c>
      <c r="C5" s="45">
        <f>B5*0.55</f>
        <v>38.555</v>
      </c>
      <c r="D5" s="45">
        <v>0.67</v>
      </c>
      <c r="E5" s="210">
        <v>1.2</v>
      </c>
      <c r="F5" s="210">
        <v>1.4</v>
      </c>
      <c r="G5" s="231">
        <v>160</v>
      </c>
      <c r="H5" s="233">
        <f>AVERAGE(G5,I5)</f>
        <v>130</v>
      </c>
      <c r="I5" s="231">
        <v>100</v>
      </c>
      <c r="J5" s="273">
        <f t="shared" ref="J5:L18" si="0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73">
        <f t="shared" si="0"/>
        <v>15.99169436748546</v>
      </c>
      <c r="L5" s="273">
        <f t="shared" si="0"/>
        <v>40.951694367485452</v>
      </c>
      <c r="M5" s="243"/>
    </row>
    <row r="6" spans="1:15" x14ac:dyDescent="0.25">
      <c r="A6" s="7" t="str">
        <v>Bælgsæd</v>
      </c>
      <c r="B6" s="212">
        <v>38.6</v>
      </c>
      <c r="C6" s="45">
        <v>19.309999999999999</v>
      </c>
      <c r="D6" s="45">
        <v>0.56999999999999995</v>
      </c>
      <c r="E6" s="210">
        <v>1.2</v>
      </c>
      <c r="F6" s="210">
        <v>1.4</v>
      </c>
      <c r="G6" s="231">
        <v>0</v>
      </c>
      <c r="H6" s="233">
        <f t="shared" ref="H6:H18" si="1">AVERAGE(G6,I6)</f>
        <v>0</v>
      </c>
      <c r="I6" s="231">
        <v>0</v>
      </c>
      <c r="J6" s="273">
        <f t="shared" si="0"/>
        <v>2.2736943674854606</v>
      </c>
      <c r="K6" s="273">
        <f t="shared" si="0"/>
        <v>15.99169436748546</v>
      </c>
      <c r="L6" s="273">
        <f t="shared" si="0"/>
        <v>40.951694367485452</v>
      </c>
    </row>
    <row r="7" spans="1:15" x14ac:dyDescent="0.25">
      <c r="A7" s="7" t="str">
        <v>Raps</v>
      </c>
      <c r="B7" s="212">
        <v>44</v>
      </c>
      <c r="C7" s="45">
        <f>B7*0.9</f>
        <v>39.6</v>
      </c>
      <c r="D7" s="45">
        <v>0.55000000000000004</v>
      </c>
      <c r="E7" s="210">
        <v>1.2</v>
      </c>
      <c r="F7" s="210">
        <v>1.4</v>
      </c>
      <c r="G7" s="231">
        <v>175</v>
      </c>
      <c r="H7" s="233">
        <f t="shared" si="1"/>
        <v>145</v>
      </c>
      <c r="I7" s="231">
        <v>115</v>
      </c>
      <c r="J7" s="273">
        <f t="shared" si="0"/>
        <v>2.2736943674854606</v>
      </c>
      <c r="K7" s="273">
        <f t="shared" si="0"/>
        <v>15.99169436748546</v>
      </c>
      <c r="L7" s="273">
        <f t="shared" si="0"/>
        <v>40.951694367485452</v>
      </c>
      <c r="M7" s="7" t="s">
        <v>499</v>
      </c>
      <c r="N7" s="7"/>
      <c r="O7" s="7"/>
    </row>
    <row r="8" spans="1:15" x14ac:dyDescent="0.25">
      <c r="A8" s="7" t="str">
        <v>Græs</v>
      </c>
      <c r="B8" s="212">
        <v>496.2</v>
      </c>
      <c r="C8" s="7"/>
      <c r="D8" s="45">
        <v>0.78</v>
      </c>
      <c r="E8" s="210">
        <v>1.2</v>
      </c>
      <c r="F8" s="210">
        <v>1.4</v>
      </c>
      <c r="G8" s="231">
        <v>155</v>
      </c>
      <c r="H8" s="233">
        <f t="shared" si="1"/>
        <v>130</v>
      </c>
      <c r="I8" s="231">
        <v>105</v>
      </c>
      <c r="J8" s="273">
        <f t="shared" si="0"/>
        <v>2.2736943674854606</v>
      </c>
      <c r="K8" s="273">
        <f t="shared" si="0"/>
        <v>15.99169436748546</v>
      </c>
      <c r="L8" s="273">
        <f t="shared" si="0"/>
        <v>40.951694367485452</v>
      </c>
      <c r="M8" s="7" t="s">
        <v>515</v>
      </c>
      <c r="N8" s="7" t="s">
        <v>293</v>
      </c>
      <c r="O8" s="7" t="s">
        <v>516</v>
      </c>
    </row>
    <row r="9" spans="1:15" x14ac:dyDescent="0.25">
      <c r="A9" s="7" t="str">
        <v>Grøntsager</v>
      </c>
      <c r="B9" s="212">
        <v>207.5</v>
      </c>
      <c r="C9" s="7"/>
      <c r="D9" s="45">
        <v>0.56999999999999995</v>
      </c>
      <c r="E9" s="210">
        <v>1.2</v>
      </c>
      <c r="F9" s="210">
        <v>1.4</v>
      </c>
      <c r="G9" s="231">
        <v>200</v>
      </c>
      <c r="H9" s="233">
        <f t="shared" si="1"/>
        <v>195</v>
      </c>
      <c r="I9" s="231">
        <v>190</v>
      </c>
      <c r="J9" s="273">
        <f t="shared" si="0"/>
        <v>2.2736943674854606</v>
      </c>
      <c r="K9" s="273">
        <f t="shared" si="0"/>
        <v>15.99169436748546</v>
      </c>
      <c r="L9" s="273">
        <f t="shared" si="0"/>
        <v>40.951694367485452</v>
      </c>
      <c r="M9" s="212">
        <f>3790.19083969466</f>
        <v>3790.1908396946601</v>
      </c>
      <c r="N9" s="231">
        <v>2100</v>
      </c>
      <c r="O9" s="237">
        <f>J9*0.2</f>
        <v>0.45473887349709213</v>
      </c>
    </row>
    <row r="10" spans="1:15" x14ac:dyDescent="0.25">
      <c r="A10" s="7" t="str">
        <v>Kartofler</v>
      </c>
      <c r="B10" s="213">
        <f>(243.8+1677+487.3)/(8.1+35.8+12.8)*10</f>
        <v>424.70899470899468</v>
      </c>
      <c r="C10" s="7"/>
      <c r="D10" s="45">
        <v>0.56999999999999995</v>
      </c>
      <c r="E10" s="210">
        <v>1.2</v>
      </c>
      <c r="F10" s="210">
        <v>1.4</v>
      </c>
      <c r="G10" s="231">
        <v>150</v>
      </c>
      <c r="H10" s="233">
        <f t="shared" si="1"/>
        <v>120</v>
      </c>
      <c r="I10" s="231">
        <v>90</v>
      </c>
      <c r="J10" s="273">
        <f t="shared" si="0"/>
        <v>2.2736943674854606</v>
      </c>
      <c r="K10" s="273">
        <f t="shared" si="0"/>
        <v>15.99169436748546</v>
      </c>
      <c r="L10" s="273">
        <f t="shared" si="0"/>
        <v>40.951694367485452</v>
      </c>
    </row>
    <row r="11" spans="1:15" x14ac:dyDescent="0.25">
      <c r="A11" s="7" t="str">
        <v>Roer</v>
      </c>
      <c r="B11" s="213">
        <f>(2339.9+382.1)/(29+4.5)*10</f>
        <v>812.53731343283573</v>
      </c>
      <c r="C11" s="7"/>
      <c r="D11" s="45">
        <v>0.56999999999999995</v>
      </c>
      <c r="E11" s="210">
        <v>1.2</v>
      </c>
      <c r="F11" s="210">
        <v>1.4</v>
      </c>
      <c r="G11" s="231">
        <v>135</v>
      </c>
      <c r="H11" s="233">
        <f t="shared" si="1"/>
        <v>105</v>
      </c>
      <c r="I11" s="231">
        <v>75</v>
      </c>
      <c r="J11" s="273">
        <f t="shared" si="0"/>
        <v>2.2736943674854606</v>
      </c>
      <c r="K11" s="273">
        <f t="shared" si="0"/>
        <v>15.99169436748546</v>
      </c>
      <c r="L11" s="273">
        <f t="shared" si="0"/>
        <v>40.951694367485452</v>
      </c>
    </row>
    <row r="12" spans="1:15" x14ac:dyDescent="0.25">
      <c r="A12" s="7" t="str">
        <v>Majs</v>
      </c>
      <c r="B12" s="212">
        <v>445.1</v>
      </c>
      <c r="C12" s="7"/>
      <c r="D12" s="45">
        <v>0.83</v>
      </c>
      <c r="E12" s="210">
        <v>1.2</v>
      </c>
      <c r="F12" s="210">
        <v>1.4</v>
      </c>
      <c r="G12" s="231">
        <v>160</v>
      </c>
      <c r="H12" s="233">
        <f t="shared" si="1"/>
        <v>130</v>
      </c>
      <c r="I12" s="231">
        <v>100</v>
      </c>
      <c r="J12" s="273">
        <f t="shared" si="0"/>
        <v>2.2736943674854606</v>
      </c>
      <c r="K12" s="273">
        <f t="shared" si="0"/>
        <v>15.99169436748546</v>
      </c>
      <c r="L12" s="273">
        <f t="shared" si="0"/>
        <v>40.951694367485452</v>
      </c>
    </row>
    <row r="13" spans="1:15" x14ac:dyDescent="0.25">
      <c r="A13" s="7" t="str">
        <v>Frugt</v>
      </c>
      <c r="B13" s="212">
        <v>84.9</v>
      </c>
      <c r="C13" s="7"/>
      <c r="D13" s="45">
        <v>0.56999999999999995</v>
      </c>
      <c r="E13" s="210">
        <v>1.2</v>
      </c>
      <c r="F13" s="210">
        <v>1.4</v>
      </c>
      <c r="G13" s="231">
        <v>140</v>
      </c>
      <c r="H13" s="233">
        <f t="shared" si="1"/>
        <v>140</v>
      </c>
      <c r="I13" s="231">
        <v>140</v>
      </c>
      <c r="J13" s="273">
        <f t="shared" si="0"/>
        <v>1.9656943674854606</v>
      </c>
      <c r="K13" s="273">
        <f t="shared" si="0"/>
        <v>10.661694367485461</v>
      </c>
      <c r="L13" s="273">
        <f t="shared" si="0"/>
        <v>28.501694367485467</v>
      </c>
    </row>
    <row r="14" spans="1:15" x14ac:dyDescent="0.25">
      <c r="A14" s="7" t="str">
        <v>Øvrige</v>
      </c>
      <c r="B14" s="224">
        <f>AVERAGE(B5:B12,B15)</f>
        <v>297.95943508186303</v>
      </c>
      <c r="C14" s="7"/>
      <c r="D14" s="45">
        <v>0.56999999999999995</v>
      </c>
      <c r="E14" s="210">
        <v>1.2</v>
      </c>
      <c r="F14" s="210">
        <v>1.4</v>
      </c>
      <c r="G14" s="232">
        <f>AVERAGE(G5,G7:G13,G15:G18)</f>
        <v>142.08333333333334</v>
      </c>
      <c r="H14" s="232">
        <f t="shared" si="1"/>
        <v>125</v>
      </c>
      <c r="I14" s="232">
        <f>AVERAGE(I5,I7:I13,I15:I18)</f>
        <v>107.91666666666667</v>
      </c>
      <c r="J14" s="273">
        <f t="shared" si="0"/>
        <v>2.2736943674854606</v>
      </c>
      <c r="K14" s="273">
        <f t="shared" si="0"/>
        <v>15.99169436748546</v>
      </c>
      <c r="L14" s="273">
        <f t="shared" si="0"/>
        <v>40.951694367485452</v>
      </c>
    </row>
    <row r="15" spans="1:15" x14ac:dyDescent="0.25">
      <c r="A15" s="7" t="str">
        <v>Frø</v>
      </c>
      <c r="B15" s="224">
        <f>(1575.5+133882.9)/10/(3.5+91.3)</f>
        <v>142.8886075949367</v>
      </c>
      <c r="C15" s="216">
        <v>40</v>
      </c>
      <c r="D15" s="45">
        <v>0.56999999999999995</v>
      </c>
      <c r="E15" s="210">
        <v>1.2</v>
      </c>
      <c r="F15" s="210">
        <v>1.4</v>
      </c>
      <c r="G15" s="231">
        <v>150</v>
      </c>
      <c r="H15" s="233">
        <f t="shared" si="1"/>
        <v>135</v>
      </c>
      <c r="I15" s="231">
        <v>120</v>
      </c>
      <c r="J15" s="273">
        <f t="shared" si="0"/>
        <v>2.2736943674854606</v>
      </c>
      <c r="K15" s="273">
        <f t="shared" si="0"/>
        <v>15.99169436748546</v>
      </c>
      <c r="L15" s="273">
        <f t="shared" si="0"/>
        <v>40.951694367485452</v>
      </c>
    </row>
    <row r="16" spans="1:15" x14ac:dyDescent="0.25">
      <c r="A16" s="7" t="str">
        <v>Juletræer</v>
      </c>
      <c r="B16" s="212">
        <v>500</v>
      </c>
      <c r="C16" s="7"/>
      <c r="D16" s="45">
        <v>0.56999999999999995</v>
      </c>
      <c r="E16" s="210">
        <v>1.2</v>
      </c>
      <c r="F16" s="210">
        <v>1.4</v>
      </c>
      <c r="G16" s="231">
        <v>110</v>
      </c>
      <c r="H16" s="233">
        <f t="shared" si="1"/>
        <v>100</v>
      </c>
      <c r="I16" s="231">
        <v>90</v>
      </c>
      <c r="J16" s="273">
        <f t="shared" si="0"/>
        <v>1.9656943674854606</v>
      </c>
      <c r="K16" s="273">
        <f t="shared" si="0"/>
        <v>10.661694367485461</v>
      </c>
      <c r="L16" s="273">
        <f t="shared" si="0"/>
        <v>28.501694367485467</v>
      </c>
    </row>
    <row r="17" spans="1:13" x14ac:dyDescent="0.25">
      <c r="A17" s="7" t="str">
        <v>Pil &amp; poppel</v>
      </c>
      <c r="B17" s="221">
        <f>100/0.41</f>
        <v>243.90243902439025</v>
      </c>
      <c r="C17" s="7"/>
      <c r="D17" s="45">
        <v>0.56999999999999995</v>
      </c>
      <c r="E17" s="210">
        <v>1.2</v>
      </c>
      <c r="F17" s="210">
        <v>1.4</v>
      </c>
      <c r="G17" s="231">
        <v>120</v>
      </c>
      <c r="H17" s="233">
        <f t="shared" si="1"/>
        <v>120</v>
      </c>
      <c r="I17" s="231">
        <v>120</v>
      </c>
      <c r="J17" s="273">
        <f t="shared" si="0"/>
        <v>1.9656943674854606</v>
      </c>
      <c r="K17" s="273">
        <f t="shared" si="0"/>
        <v>10.661694367485461</v>
      </c>
      <c r="L17" s="273">
        <f t="shared" si="0"/>
        <v>28.501694367485467</v>
      </c>
    </row>
    <row r="18" spans="1:13" x14ac:dyDescent="0.25">
      <c r="A18" s="1" t="str">
        <v>Permanent græs</v>
      </c>
      <c r="B18" s="212">
        <v>137.9</v>
      </c>
      <c r="C18" s="7"/>
      <c r="D18" s="210">
        <v>1</v>
      </c>
      <c r="E18" s="210">
        <v>1.2</v>
      </c>
      <c r="F18" s="210">
        <v>1.4</v>
      </c>
      <c r="G18" s="231">
        <v>50</v>
      </c>
      <c r="H18" s="233">
        <f t="shared" si="1"/>
        <v>50</v>
      </c>
      <c r="I18" s="231">
        <v>50</v>
      </c>
      <c r="J18" s="273">
        <f t="shared" si="0"/>
        <v>1.9656943674854606</v>
      </c>
      <c r="K18" s="273">
        <f t="shared" si="0"/>
        <v>10.661694367485461</v>
      </c>
      <c r="L18" s="273">
        <f t="shared" si="0"/>
        <v>28.501694367485467</v>
      </c>
      <c r="M18" s="243"/>
    </row>
    <row r="20" spans="1:13" x14ac:dyDescent="0.25">
      <c r="A20" s="214" t="s">
        <v>541</v>
      </c>
    </row>
    <row r="21" spans="1:13" x14ac:dyDescent="0.25">
      <c r="A21" s="215" t="s">
        <v>68</v>
      </c>
    </row>
    <row r="22" spans="1:13" x14ac:dyDescent="0.25">
      <c r="A22" s="209" t="s">
        <v>496</v>
      </c>
    </row>
    <row r="23" spans="1:13" x14ac:dyDescent="0.25">
      <c r="A23" s="220" t="s">
        <v>332</v>
      </c>
      <c r="B23" s="220" t="s">
        <v>497</v>
      </c>
    </row>
    <row r="24" spans="1:13" x14ac:dyDescent="0.25">
      <c r="A24" s="211" t="s">
        <v>412</v>
      </c>
    </row>
    <row r="25" spans="1:13" x14ac:dyDescent="0.25">
      <c r="A25" s="3" t="s">
        <v>511</v>
      </c>
    </row>
    <row r="26" spans="1:13" x14ac:dyDescent="0.25">
      <c r="A26" s="234" t="s">
        <v>512</v>
      </c>
    </row>
    <row r="27" spans="1:13" x14ac:dyDescent="0.25">
      <c r="A27" s="198"/>
    </row>
    <row r="28" spans="1:13" ht="15.75" thickBot="1" x14ac:dyDescent="0.3">
      <c r="A28" s="2" t="s">
        <v>422</v>
      </c>
      <c r="I28"/>
    </row>
    <row r="29" spans="1:13" x14ac:dyDescent="0.25">
      <c r="A29" s="260"/>
      <c r="B29" s="245"/>
      <c r="C29" s="264" t="str">
        <f>Organ12</f>
        <v>OC12</v>
      </c>
      <c r="D29" s="264" t="str">
        <f>Organ12</f>
        <v>OC12</v>
      </c>
      <c r="E29" s="264" t="str">
        <f>Organ6</f>
        <v>OC6</v>
      </c>
      <c r="F29" s="264" t="str">
        <f>Organ6</f>
        <v>OC6</v>
      </c>
      <c r="G29" s="157" t="str">
        <f>Jordbund1</f>
        <v>JB1-10</v>
      </c>
      <c r="H29" s="246" t="str">
        <f>Jordbund1</f>
        <v>JB1-10</v>
      </c>
      <c r="I29" s="267" t="s">
        <v>520</v>
      </c>
    </row>
    <row r="30" spans="1:13" x14ac:dyDescent="0.25">
      <c r="A30" s="261" t="s">
        <v>423</v>
      </c>
      <c r="B30" s="262"/>
      <c r="C30" s="262" t="s">
        <v>424</v>
      </c>
      <c r="D30" s="262" t="s">
        <v>519</v>
      </c>
      <c r="E30" s="262" t="s">
        <v>424</v>
      </c>
      <c r="F30" s="262" t="s">
        <v>425</v>
      </c>
      <c r="G30" s="244" t="s">
        <v>424</v>
      </c>
      <c r="H30" s="247" t="s">
        <v>425</v>
      </c>
      <c r="I30" s="164" t="s">
        <v>428</v>
      </c>
      <c r="J30" s="265"/>
    </row>
    <row r="31" spans="1:13" x14ac:dyDescent="0.25">
      <c r="A31" s="261" t="s">
        <v>521</v>
      </c>
      <c r="B31" s="262" t="s">
        <v>426</v>
      </c>
      <c r="C31" s="7">
        <v>42.17</v>
      </c>
      <c r="D31" s="7">
        <v>30.8</v>
      </c>
      <c r="E31" s="7">
        <v>21.08</v>
      </c>
      <c r="F31" s="7">
        <v>15.4</v>
      </c>
      <c r="G31" s="225">
        <v>0.5</v>
      </c>
      <c r="H31" s="248"/>
      <c r="I31" s="164" t="s">
        <v>429</v>
      </c>
      <c r="J31" s="164"/>
    </row>
    <row r="32" spans="1:13" x14ac:dyDescent="0.25">
      <c r="A32" s="261" t="s">
        <v>522</v>
      </c>
      <c r="B32" s="262" t="s">
        <v>426</v>
      </c>
      <c r="C32" s="7">
        <v>-7.2</v>
      </c>
      <c r="D32" s="7">
        <v>-6.8</v>
      </c>
      <c r="E32" s="7">
        <v>-7.2</v>
      </c>
      <c r="F32" s="7">
        <v>-6.8</v>
      </c>
      <c r="G32" s="225"/>
      <c r="H32" s="248"/>
      <c r="I32" s="226" t="s">
        <v>534</v>
      </c>
    </row>
    <row r="33" spans="1:10" x14ac:dyDescent="0.25">
      <c r="A33" s="263" t="s">
        <v>523</v>
      </c>
      <c r="B33" s="262" t="s">
        <v>426</v>
      </c>
      <c r="C33" s="7">
        <v>3.87</v>
      </c>
      <c r="D33" s="7">
        <v>2.44</v>
      </c>
      <c r="E33" s="7">
        <v>0</v>
      </c>
      <c r="F33" s="7">
        <v>0</v>
      </c>
      <c r="G33" s="225">
        <f>0.602-G34</f>
        <v>-0.19200000000000006</v>
      </c>
      <c r="H33" s="248">
        <f>IF(F33&lt;&gt;0,F33*F33/D33,0)</f>
        <v>0</v>
      </c>
      <c r="I33" s="226" t="s">
        <v>533</v>
      </c>
      <c r="J33"/>
    </row>
    <row r="34" spans="1:10" x14ac:dyDescent="0.25">
      <c r="A34" s="274" t="s">
        <v>524</v>
      </c>
      <c r="B34" s="275" t="s">
        <v>426</v>
      </c>
      <c r="C34" s="244">
        <v>0.78</v>
      </c>
      <c r="D34" s="244">
        <v>0.78</v>
      </c>
      <c r="E34" s="244">
        <v>0.78</v>
      </c>
      <c r="F34" s="244">
        <v>0.78</v>
      </c>
      <c r="G34" s="225">
        <v>0.79400000000000004</v>
      </c>
      <c r="H34" s="248">
        <v>0.79400000000000004</v>
      </c>
    </row>
    <row r="35" spans="1:10" x14ac:dyDescent="0.25">
      <c r="A35" s="274" t="s">
        <v>525</v>
      </c>
      <c r="B35" s="275" t="s">
        <v>426</v>
      </c>
      <c r="C35" s="244">
        <v>0.01</v>
      </c>
      <c r="D35" s="244">
        <v>0.01</v>
      </c>
      <c r="E35" s="244">
        <v>0.01</v>
      </c>
      <c r="F35" s="244">
        <v>0.01</v>
      </c>
      <c r="G35" s="225"/>
      <c r="H35" s="248"/>
      <c r="J35" s="266"/>
    </row>
    <row r="36" spans="1:10" x14ac:dyDescent="0.25">
      <c r="A36" s="274" t="s">
        <v>526</v>
      </c>
      <c r="B36" s="275" t="s">
        <v>426</v>
      </c>
      <c r="C36" s="244">
        <v>0.15</v>
      </c>
      <c r="D36" s="244">
        <v>0.1</v>
      </c>
      <c r="E36" s="244">
        <v>0.15</v>
      </c>
      <c r="F36" s="244">
        <v>0.1</v>
      </c>
      <c r="G36" s="225"/>
      <c r="H36" s="248"/>
      <c r="J36" s="191"/>
    </row>
    <row r="37" spans="1:10" ht="15.75" thickBot="1" x14ac:dyDescent="0.3">
      <c r="A37" s="269" t="s">
        <v>527</v>
      </c>
      <c r="B37" s="270" t="s">
        <v>426</v>
      </c>
      <c r="C37" s="271">
        <v>0.4</v>
      </c>
      <c r="D37" s="271">
        <v>0.4</v>
      </c>
      <c r="E37" s="271">
        <v>0.4</v>
      </c>
      <c r="F37" s="271">
        <v>0.4</v>
      </c>
      <c r="G37" s="271">
        <f>IF(E37&lt;&gt;0,E37*E37/C37,0)</f>
        <v>0.40000000000000008</v>
      </c>
      <c r="H37" s="272">
        <f>IF(F37&lt;&gt;0,F37*F37/D37,0)</f>
        <v>0.40000000000000008</v>
      </c>
      <c r="I37" s="1" t="s">
        <v>531</v>
      </c>
    </row>
    <row r="38" spans="1:10" x14ac:dyDescent="0.25">
      <c r="A38" s="256" t="s">
        <v>427</v>
      </c>
      <c r="B38" s="257" t="s">
        <v>426</v>
      </c>
      <c r="C38" s="258">
        <f t="shared" ref="C38:H38" si="2">SUM(C31:C32)</f>
        <v>34.97</v>
      </c>
      <c r="D38" s="258">
        <f t="shared" si="2"/>
        <v>24</v>
      </c>
      <c r="E38" s="258">
        <f t="shared" si="2"/>
        <v>13.879999999999999</v>
      </c>
      <c r="F38" s="258">
        <f t="shared" si="2"/>
        <v>8.6000000000000014</v>
      </c>
      <c r="G38" s="258">
        <f t="shared" si="2"/>
        <v>0.5</v>
      </c>
      <c r="H38" s="259">
        <f t="shared" si="2"/>
        <v>0</v>
      </c>
    </row>
    <row r="39" spans="1:10" x14ac:dyDescent="0.25">
      <c r="A39" s="249" t="s">
        <v>528</v>
      </c>
      <c r="B39" s="250" t="s">
        <v>426</v>
      </c>
      <c r="C39" s="210">
        <f t="shared" ref="C39:H39" si="3">SUM(C33:C36)</f>
        <v>4.8100000000000005</v>
      </c>
      <c r="D39" s="210">
        <f t="shared" si="3"/>
        <v>3.3299999999999996</v>
      </c>
      <c r="E39" s="210">
        <f t="shared" si="3"/>
        <v>0.94000000000000006</v>
      </c>
      <c r="F39" s="210">
        <f t="shared" si="3"/>
        <v>0.89</v>
      </c>
      <c r="G39" s="210">
        <f t="shared" si="3"/>
        <v>0.60199999999999998</v>
      </c>
      <c r="H39" s="251">
        <f t="shared" si="3"/>
        <v>0.79400000000000004</v>
      </c>
    </row>
    <row r="40" spans="1:10" ht="15.75" thickBot="1" x14ac:dyDescent="0.3">
      <c r="A40" s="252" t="s">
        <v>529</v>
      </c>
      <c r="B40" s="253" t="s">
        <v>426</v>
      </c>
      <c r="C40" s="254">
        <f t="shared" ref="C40:H40" si="4">C37</f>
        <v>0.4</v>
      </c>
      <c r="D40" s="254">
        <f t="shared" si="4"/>
        <v>0.4</v>
      </c>
      <c r="E40" s="254">
        <f t="shared" si="4"/>
        <v>0.4</v>
      </c>
      <c r="F40" s="254">
        <f t="shared" si="4"/>
        <v>0.4</v>
      </c>
      <c r="G40" s="254">
        <f t="shared" si="4"/>
        <v>0.40000000000000008</v>
      </c>
      <c r="H40" s="255">
        <f t="shared" si="4"/>
        <v>0.40000000000000008</v>
      </c>
    </row>
    <row r="41" spans="1:10" x14ac:dyDescent="0.25">
      <c r="J41"/>
    </row>
    <row r="42" spans="1:10" ht="15.75" thickBot="1" x14ac:dyDescent="0.3">
      <c r="A42" s="1" t="s">
        <v>862</v>
      </c>
      <c r="B42" s="1" t="s">
        <v>861</v>
      </c>
      <c r="J42" s="341" t="s">
        <v>850</v>
      </c>
    </row>
    <row r="43" spans="1:10" ht="15.75" thickBot="1" x14ac:dyDescent="0.3">
      <c r="A43" s="391" t="s">
        <v>821</v>
      </c>
      <c r="B43" s="393">
        <v>11041.260135196238</v>
      </c>
      <c r="D43" s="1">
        <f>SUM(D44:D53)</f>
        <v>1.1716943674854605</v>
      </c>
      <c r="E43" s="1" t="s">
        <v>820</v>
      </c>
      <c r="F43" s="1" t="s">
        <v>837</v>
      </c>
      <c r="I43" s="341" t="s">
        <v>863</v>
      </c>
      <c r="J43" s="396">
        <v>2019</v>
      </c>
    </row>
    <row r="44" spans="1:10" x14ac:dyDescent="0.25">
      <c r="A44" s="390" t="s">
        <v>822</v>
      </c>
      <c r="B44" s="392">
        <v>3767.3551588371374</v>
      </c>
      <c r="C44" s="1" t="s">
        <v>836</v>
      </c>
      <c r="F44" s="1">
        <v>2578370</v>
      </c>
      <c r="I44" s="398" t="s">
        <v>838</v>
      </c>
      <c r="J44" s="397">
        <v>27.011008109722574</v>
      </c>
    </row>
    <row r="45" spans="1:10" x14ac:dyDescent="0.25">
      <c r="A45" s="390" t="s">
        <v>823</v>
      </c>
      <c r="B45" s="392">
        <v>2952.39814048791</v>
      </c>
      <c r="C45" s="1" t="s">
        <v>819</v>
      </c>
      <c r="D45" s="404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398" t="s">
        <v>839</v>
      </c>
      <c r="J45" s="397">
        <v>13.494661638352639</v>
      </c>
    </row>
    <row r="46" spans="1:10" x14ac:dyDescent="0.25">
      <c r="A46" s="390" t="s">
        <v>824</v>
      </c>
      <c r="B46" s="392" t="s">
        <v>825</v>
      </c>
      <c r="F46" s="1">
        <v>2578370</v>
      </c>
      <c r="I46" s="398" t="s">
        <v>840</v>
      </c>
      <c r="J46" s="397">
        <v>4.2965611392438922E-2</v>
      </c>
    </row>
    <row r="47" spans="1:10" x14ac:dyDescent="0.25">
      <c r="A47" s="390" t="s">
        <v>826</v>
      </c>
      <c r="B47" s="392">
        <v>4072.8452465785531</v>
      </c>
      <c r="C47" s="1" t="s">
        <v>818</v>
      </c>
      <c r="D47" s="404">
        <f>(B47*1000-E47)/F46</f>
        <v>1.6416267822611006</v>
      </c>
      <c r="E47" s="1">
        <v>-159876</v>
      </c>
      <c r="F47" s="1">
        <v>2578370</v>
      </c>
      <c r="I47" s="398" t="s">
        <v>841</v>
      </c>
      <c r="J47" s="402"/>
    </row>
    <row r="48" spans="1:10" x14ac:dyDescent="0.25">
      <c r="A48" s="390" t="s">
        <v>827</v>
      </c>
      <c r="B48" s="392" t="s">
        <v>825</v>
      </c>
      <c r="F48" s="1">
        <v>2578370</v>
      </c>
      <c r="I48" s="398" t="s">
        <v>842</v>
      </c>
      <c r="J48" s="397">
        <v>5.411826658030066E-3</v>
      </c>
    </row>
    <row r="49" spans="1:10" x14ac:dyDescent="0.25">
      <c r="A49" s="390" t="s">
        <v>828</v>
      </c>
      <c r="B49" s="392">
        <v>4.4812370430000001</v>
      </c>
      <c r="D49" s="1">
        <f>B49/F49</f>
        <v>1.7380116286646214E-6</v>
      </c>
      <c r="F49" s="1">
        <v>2578370</v>
      </c>
      <c r="I49" s="398" t="s">
        <v>843</v>
      </c>
      <c r="J49" s="397">
        <v>0.47525986757812505</v>
      </c>
    </row>
    <row r="50" spans="1:10" x14ac:dyDescent="0.25">
      <c r="A50" s="390" t="s">
        <v>829</v>
      </c>
      <c r="B50" s="392">
        <v>239.91601891630901</v>
      </c>
      <c r="D50" s="1">
        <f>B50/F50</f>
        <v>9.3049492088532299E-5</v>
      </c>
      <c r="F50" s="1">
        <v>2578370</v>
      </c>
      <c r="I50" s="398" t="s">
        <v>844</v>
      </c>
      <c r="J50" s="397">
        <v>41.882892458812613</v>
      </c>
    </row>
    <row r="51" spans="1:10" x14ac:dyDescent="0.25">
      <c r="A51" s="390" t="s">
        <v>830</v>
      </c>
      <c r="B51" s="392">
        <v>1.39333333333333</v>
      </c>
      <c r="D51" s="1">
        <f>B51/F51</f>
        <v>5.4039309072527606E-7</v>
      </c>
      <c r="F51" s="1">
        <v>2578370</v>
      </c>
      <c r="I51" s="398" t="s">
        <v>845</v>
      </c>
      <c r="J51" s="397">
        <v>0.58710980836771465</v>
      </c>
    </row>
    <row r="52" spans="1:10" x14ac:dyDescent="0.25">
      <c r="A52" s="390" t="s">
        <v>831</v>
      </c>
      <c r="B52" s="392">
        <v>2.871</v>
      </c>
      <c r="D52" s="1">
        <f>B52/F52</f>
        <v>1.1134941843102424E-6</v>
      </c>
      <c r="F52" s="1">
        <v>2578370</v>
      </c>
      <c r="I52" s="398" t="s">
        <v>846</v>
      </c>
      <c r="J52" s="397">
        <v>1.1986960661131167</v>
      </c>
    </row>
    <row r="53" spans="1:10" x14ac:dyDescent="0.25">
      <c r="A53" s="390" t="s">
        <v>832</v>
      </c>
      <c r="B53" s="392" t="s">
        <v>833</v>
      </c>
      <c r="F53" s="1">
        <v>2578370</v>
      </c>
      <c r="I53" s="398" t="s">
        <v>847</v>
      </c>
      <c r="J53" s="403">
        <v>2.5311427660799999E-3</v>
      </c>
    </row>
    <row r="54" spans="1:10" x14ac:dyDescent="0.25">
      <c r="A54" s="405" t="s">
        <v>834</v>
      </c>
      <c r="I54" s="398" t="s">
        <v>848</v>
      </c>
      <c r="J54" s="399">
        <v>3.2264792749629999E-4</v>
      </c>
    </row>
    <row r="55" spans="1:10" ht="15.75" thickBot="1" x14ac:dyDescent="0.3">
      <c r="A55" s="390" t="s">
        <v>835</v>
      </c>
      <c r="B55" s="392">
        <v>4586.0116630635248</v>
      </c>
      <c r="I55" s="394" t="s">
        <v>849</v>
      </c>
      <c r="J55" s="403">
        <v>1.4385168E-3</v>
      </c>
    </row>
    <row r="56" spans="1:10" ht="15.75" thickBot="1" x14ac:dyDescent="0.3">
      <c r="B56" s="243">
        <f>SUM(B44,B45,B47,B55)</f>
        <v>15378.610208967126</v>
      </c>
      <c r="I56" s="400" t="s">
        <v>101</v>
      </c>
      <c r="J56" s="395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860</v>
      </c>
      <c r="B62" s="1" t="s">
        <v>859</v>
      </c>
    </row>
    <row r="63" spans="1:10" ht="15.75" thickBot="1" x14ac:dyDescent="0.3">
      <c r="A63" s="408"/>
      <c r="B63" s="396">
        <v>2019</v>
      </c>
      <c r="C63" s="1" t="s">
        <v>858</v>
      </c>
    </row>
    <row r="64" spans="1:10" x14ac:dyDescent="0.25">
      <c r="A64" s="409" t="s">
        <v>853</v>
      </c>
      <c r="B64" s="406">
        <v>12.32</v>
      </c>
      <c r="C64" s="411">
        <f>1-B65/B64</f>
        <v>0.40827922077922074</v>
      </c>
    </row>
    <row r="65" spans="1:3" x14ac:dyDescent="0.25">
      <c r="A65" s="409" t="s">
        <v>854</v>
      </c>
      <c r="B65" s="406">
        <v>7.29</v>
      </c>
      <c r="C65" s="411"/>
    </row>
    <row r="66" spans="1:3" x14ac:dyDescent="0.25">
      <c r="A66" s="409" t="s">
        <v>855</v>
      </c>
      <c r="B66" s="406">
        <v>13.33</v>
      </c>
      <c r="C66" s="411">
        <f>1-B67/B66</f>
        <v>0.2235558889722431</v>
      </c>
    </row>
    <row r="67" spans="1:3" x14ac:dyDescent="0.25">
      <c r="A67" s="409" t="s">
        <v>856</v>
      </c>
      <c r="B67" s="406">
        <v>10.35</v>
      </c>
      <c r="C67" s="411"/>
    </row>
    <row r="68" spans="1:3" ht="15.75" thickBot="1" x14ac:dyDescent="0.3">
      <c r="A68" s="410" t="s">
        <v>857</v>
      </c>
      <c r="B68" s="407">
        <v>10.14</v>
      </c>
      <c r="C68" s="411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B5" sqref="B5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44"/>
      <c r="B1" s="244" t="s">
        <v>396</v>
      </c>
      <c r="C1" s="244" t="s">
        <v>397</v>
      </c>
      <c r="D1" s="244" t="s">
        <v>479</v>
      </c>
      <c r="E1" s="244" t="s">
        <v>481</v>
      </c>
      <c r="F1" s="244" t="s">
        <v>480</v>
      </c>
    </row>
    <row r="2" spans="1:18" x14ac:dyDescent="0.25">
      <c r="A2" s="244" t="s">
        <v>11</v>
      </c>
      <c r="B2" s="244">
        <f>SUMIF($D$23:$D$63,A2,$E$23:$E$63)/SUMIF($D$23:$D$63,A2,$F$23:$F$63)</f>
        <v>0.89989334145969835</v>
      </c>
      <c r="C2" s="244">
        <f>B2*1000</f>
        <v>899.89334145969838</v>
      </c>
      <c r="D2" s="244">
        <f>SUMIF($D$23:$D$63,$A2,E$23:E$63)</f>
        <v>5906</v>
      </c>
      <c r="E2" s="369">
        <f>D2/SUM($D$2:$D$16)</f>
        <v>0.39994582515067378</v>
      </c>
      <c r="F2" s="244" t="s">
        <v>474</v>
      </c>
      <c r="I2" s="244" t="s">
        <v>486</v>
      </c>
      <c r="J2" s="244"/>
      <c r="P2" s="244" t="s">
        <v>482</v>
      </c>
      <c r="Q2" s="244" t="s">
        <v>484</v>
      </c>
      <c r="R2" s="244" t="s">
        <v>485</v>
      </c>
    </row>
    <row r="3" spans="1:18" x14ac:dyDescent="0.25">
      <c r="A3" s="244" t="s">
        <v>37</v>
      </c>
      <c r="B3" s="244">
        <f>SUMIF($D$23:$D$63,A3,$E$23:$E$63)/SUMIF($D$23:$D$63,A3,$F$23:$F$63)</f>
        <v>0.19003476245654694</v>
      </c>
      <c r="C3" s="244">
        <f t="shared" ref="C3:C16" si="0">B3*1000</f>
        <v>190.03476245654693</v>
      </c>
      <c r="D3" s="244">
        <f>SUMIF($D$23:$D$63,$A3,E$23:E$63)</f>
        <v>164</v>
      </c>
      <c r="E3" s="369">
        <f t="shared" ref="E3:E15" si="1">D3/SUM($D$2:$D$16)</f>
        <v>1.1105844111871065E-2</v>
      </c>
      <c r="F3" s="244" t="s">
        <v>474</v>
      </c>
      <c r="I3" s="244" t="s">
        <v>11</v>
      </c>
      <c r="J3" s="244">
        <f>Q3/SUM($Q$3,$Q$5,$Q$9)</f>
        <v>0.30717549045955389</v>
      </c>
      <c r="P3" s="244" t="s">
        <v>11</v>
      </c>
      <c r="Q3" s="244">
        <f>I23+I31</f>
        <v>1143</v>
      </c>
      <c r="R3" s="244">
        <f>J23+J31</f>
        <v>1125</v>
      </c>
    </row>
    <row r="4" spans="1:18" x14ac:dyDescent="0.25">
      <c r="A4" s="244" t="s">
        <v>178</v>
      </c>
      <c r="B4" s="244">
        <v>0.25</v>
      </c>
      <c r="C4" s="244">
        <f t="shared" si="0"/>
        <v>250</v>
      </c>
      <c r="D4" s="244">
        <f t="shared" ref="D4:D13" si="2">SUMIF($D$23:$D$63,$A4,E$23:E$63)</f>
        <v>0</v>
      </c>
      <c r="E4" s="369">
        <f t="shared" si="1"/>
        <v>0</v>
      </c>
      <c r="F4" s="244" t="s">
        <v>338</v>
      </c>
      <c r="I4" s="244" t="s">
        <v>167</v>
      </c>
      <c r="J4" s="244">
        <f>Q5/SUM($Q$3,$Q$5,$Q$9)</f>
        <v>0.62644450416554687</v>
      </c>
      <c r="P4" s="244" t="s">
        <v>14</v>
      </c>
      <c r="Q4" s="244">
        <f>I30</f>
        <v>8</v>
      </c>
      <c r="R4" s="244">
        <f>J30</f>
        <v>8</v>
      </c>
    </row>
    <row r="5" spans="1:18" x14ac:dyDescent="0.25">
      <c r="A5" s="244" t="s">
        <v>14</v>
      </c>
      <c r="B5" s="244">
        <f>SUMIF($D$23:$D$63,A5,$E$23:$E$63)/SUMIF($D$23:$D$63,A5,$F$23:$F$63)</f>
        <v>1.0833333333333333</v>
      </c>
      <c r="C5" s="244">
        <f>B5*1000</f>
        <v>1083.3333333333333</v>
      </c>
      <c r="D5" s="244">
        <f t="shared" si="2"/>
        <v>78</v>
      </c>
      <c r="E5" s="369">
        <f t="shared" si="1"/>
        <v>5.2820478093045303E-3</v>
      </c>
      <c r="F5" s="244" t="s">
        <v>474</v>
      </c>
      <c r="I5" s="244" t="s">
        <v>42</v>
      </c>
      <c r="J5" s="244">
        <f>Q9/SUM($Q$3,$Q$5,$Q$9)</f>
        <v>6.6380005374899215E-2</v>
      </c>
      <c r="P5" s="244" t="s">
        <v>483</v>
      </c>
      <c r="Q5" s="244">
        <f>I34</f>
        <v>2331</v>
      </c>
      <c r="R5" s="244">
        <f>J34</f>
        <v>2034</v>
      </c>
    </row>
    <row r="6" spans="1:18" x14ac:dyDescent="0.25">
      <c r="A6" s="244" t="s">
        <v>42</v>
      </c>
      <c r="B6" s="244">
        <f>SUMIF($D$23:$D$63,A6,$E$23:$E$63)/SUMIF($D$23:$D$63,A6,$F$23:$F$63)</f>
        <v>0.15228966986155484</v>
      </c>
      <c r="C6" s="244">
        <f t="shared" si="0"/>
        <v>152.28966986155484</v>
      </c>
      <c r="D6" s="244">
        <f t="shared" si="2"/>
        <v>143</v>
      </c>
      <c r="E6" s="369">
        <f t="shared" si="1"/>
        <v>9.683754317058306E-3</v>
      </c>
      <c r="F6" s="244" t="s">
        <v>474</v>
      </c>
      <c r="P6" s="244" t="s">
        <v>453</v>
      </c>
      <c r="Q6" s="244">
        <f>I41</f>
        <v>5</v>
      </c>
      <c r="R6" s="244">
        <f>J41</f>
        <v>148</v>
      </c>
    </row>
    <row r="7" spans="1:18" x14ac:dyDescent="0.25">
      <c r="A7" s="244" t="s">
        <v>15</v>
      </c>
      <c r="B7" s="244">
        <f>SUMIF($D$23:$D$63,A7,$E$23:$E$63)/SUMIF($D$23:$D$63,A7,$F$23:$F$63)</f>
        <v>0.26492478226444971</v>
      </c>
      <c r="C7" s="244">
        <f t="shared" si="0"/>
        <v>264.92478226444973</v>
      </c>
      <c r="D7" s="244">
        <f t="shared" si="2"/>
        <v>1673</v>
      </c>
      <c r="E7" s="369">
        <f t="shared" si="1"/>
        <v>0.1132931536534164</v>
      </c>
      <c r="F7" s="244" t="s">
        <v>474</v>
      </c>
      <c r="P7" s="244" t="s">
        <v>455</v>
      </c>
      <c r="Q7" s="244">
        <f>I43</f>
        <v>159</v>
      </c>
      <c r="R7" s="244">
        <f>J43</f>
        <v>248</v>
      </c>
    </row>
    <row r="8" spans="1:18" x14ac:dyDescent="0.25">
      <c r="A8" s="244" t="s">
        <v>710</v>
      </c>
      <c r="B8" s="244">
        <f>SUMIF($D$23:$D$63,A8,$E$23:$E$63)/SUMIF($D$23:$D$63,A8,$F$23:$F$63)</f>
        <v>1.00836820083682</v>
      </c>
      <c r="C8" s="244">
        <f>B8*1000</f>
        <v>1008.3682008368201</v>
      </c>
      <c r="D8" s="244">
        <f>SUMIF($D$23:$D$63,$A8,E$23:E$63)</f>
        <v>241</v>
      </c>
      <c r="E8" s="369">
        <f t="shared" si="1"/>
        <v>1.6320173359517843E-2</v>
      </c>
      <c r="F8" s="244" t="s">
        <v>474</v>
      </c>
      <c r="P8" s="244" t="s">
        <v>462</v>
      </c>
      <c r="Q8" s="244">
        <f>I50</f>
        <v>79</v>
      </c>
      <c r="R8" s="244">
        <f>J50</f>
        <v>28</v>
      </c>
    </row>
    <row r="9" spans="1:18" x14ac:dyDescent="0.25">
      <c r="A9" s="244" t="s">
        <v>300</v>
      </c>
      <c r="B9" s="244">
        <v>1.36</v>
      </c>
      <c r="C9" s="244">
        <f t="shared" si="0"/>
        <v>1360</v>
      </c>
      <c r="D9" s="244">
        <f t="shared" si="2"/>
        <v>0</v>
      </c>
      <c r="E9" s="369">
        <f t="shared" si="1"/>
        <v>0</v>
      </c>
      <c r="F9" s="244" t="s">
        <v>337</v>
      </c>
      <c r="P9" s="244" t="s">
        <v>464</v>
      </c>
      <c r="Q9" s="244">
        <f>I54</f>
        <v>247</v>
      </c>
      <c r="R9" s="244">
        <f>J54</f>
        <v>1764</v>
      </c>
    </row>
    <row r="10" spans="1:18" x14ac:dyDescent="0.25">
      <c r="A10" s="244" t="s">
        <v>301</v>
      </c>
      <c r="B10" s="244">
        <v>1.41</v>
      </c>
      <c r="C10" s="244">
        <f t="shared" si="0"/>
        <v>1410</v>
      </c>
      <c r="D10" s="244">
        <f t="shared" si="2"/>
        <v>0</v>
      </c>
      <c r="E10" s="369">
        <f t="shared" si="1"/>
        <v>0</v>
      </c>
      <c r="F10" s="244" t="s">
        <v>337</v>
      </c>
    </row>
    <row r="11" spans="1:18" x14ac:dyDescent="0.25">
      <c r="A11" s="244" t="s">
        <v>13</v>
      </c>
      <c r="B11" s="244">
        <f>SUMIF($D$23:$D$63,A11,$E$23:$E$63)/SUMIF($D$23:$D$63,A11,$F$23:$F$63)</f>
        <v>0.16631286143034918</v>
      </c>
      <c r="C11" s="244">
        <f t="shared" si="0"/>
        <v>166.31286143034919</v>
      </c>
      <c r="D11" s="244">
        <f t="shared" si="2"/>
        <v>2272</v>
      </c>
      <c r="E11" s="369">
        <f t="shared" si="1"/>
        <v>0.15385657208640888</v>
      </c>
      <c r="F11" s="244" t="s">
        <v>474</v>
      </c>
    </row>
    <row r="12" spans="1:18" x14ac:dyDescent="0.25">
      <c r="A12" s="244" t="s">
        <v>420</v>
      </c>
      <c r="B12" s="244">
        <f>SUMIF($D$23:$D$63,A12,$E$23:$E$63)/SUMIF($D$23:$D$63,A12,$F$23:$F$63)</f>
        <v>9.6335697399527187E-2</v>
      </c>
      <c r="C12" s="244">
        <f t="shared" si="0"/>
        <v>96.335697399527191</v>
      </c>
      <c r="D12" s="244">
        <f t="shared" si="2"/>
        <v>163</v>
      </c>
      <c r="E12" s="369">
        <f t="shared" si="1"/>
        <v>1.1038125550213313E-2</v>
      </c>
      <c r="F12" s="244" t="s">
        <v>474</v>
      </c>
    </row>
    <row r="13" spans="1:18" x14ac:dyDescent="0.25">
      <c r="A13" s="244" t="s">
        <v>647</v>
      </c>
      <c r="B13" s="244">
        <f>'Procesdata (baggrund)'!G4</f>
        <v>0.30940000000000001</v>
      </c>
      <c r="C13" s="244">
        <f t="shared" si="0"/>
        <v>309.40000000000003</v>
      </c>
      <c r="D13" s="244">
        <f t="shared" si="2"/>
        <v>0</v>
      </c>
      <c r="E13" s="369">
        <f t="shared" si="1"/>
        <v>0</v>
      </c>
      <c r="F13" s="244" t="s">
        <v>648</v>
      </c>
    </row>
    <row r="14" spans="1:18" x14ac:dyDescent="0.25">
      <c r="A14" s="244" t="s">
        <v>645</v>
      </c>
      <c r="B14" s="244">
        <f>'Procesdata (baggrund)'!G3</f>
        <v>0.19800000000000001</v>
      </c>
      <c r="C14" s="244">
        <f>B14*1000</f>
        <v>198</v>
      </c>
      <c r="D14" s="244">
        <v>0</v>
      </c>
      <c r="E14" s="369">
        <v>0</v>
      </c>
      <c r="F14" s="244" t="s">
        <v>649</v>
      </c>
    </row>
    <row r="15" spans="1:18" x14ac:dyDescent="0.25">
      <c r="A15" s="244" t="s">
        <v>414</v>
      </c>
      <c r="B15" s="244">
        <f>SUMIF($D$23:$D$63,A15,$E$23:$E$63)/SUMIF($D$23:$D$63,A15,$F$23:$F$63)</f>
        <v>2.75</v>
      </c>
      <c r="C15" s="244">
        <f t="shared" si="0"/>
        <v>2750</v>
      </c>
      <c r="D15" s="244">
        <f>SUMIF($D$23:$D$63,$A15,E$23:E$63)</f>
        <v>121</v>
      </c>
      <c r="E15" s="369">
        <f t="shared" si="1"/>
        <v>8.1939459605877979E-3</v>
      </c>
      <c r="F15" s="244" t="s">
        <v>474</v>
      </c>
    </row>
    <row r="16" spans="1:18" x14ac:dyDescent="0.25">
      <c r="A16" s="244" t="s">
        <v>487</v>
      </c>
      <c r="B16" s="244">
        <f>SUMIF($H$23:$H$63,A16,$I$23:$I$63)/SUMIF($H$23:$H$63,A16,$J$23:$J$63)</f>
        <v>0.74322820037105752</v>
      </c>
      <c r="C16" s="244">
        <f t="shared" si="0"/>
        <v>743.22820037105748</v>
      </c>
      <c r="D16" s="244">
        <f>SUMIF($H$23:$H$63,$A16,I$23:I$63)</f>
        <v>4006</v>
      </c>
      <c r="E16" s="369">
        <f>D16/SUM($D$2:$D$16)</f>
        <v>0.27128055800094808</v>
      </c>
      <c r="F16" s="244"/>
    </row>
    <row r="18" spans="1:11" ht="17.25" x14ac:dyDescent="0.3">
      <c r="A18" s="200" t="s">
        <v>431</v>
      </c>
    </row>
    <row r="19" spans="1:11" x14ac:dyDescent="0.25">
      <c r="A19" s="201" t="s">
        <v>97</v>
      </c>
      <c r="E19" t="s">
        <v>475</v>
      </c>
      <c r="H19" t="s">
        <v>476</v>
      </c>
    </row>
    <row r="20" spans="1:11" x14ac:dyDescent="0.25">
      <c r="D20" t="s">
        <v>477</v>
      </c>
      <c r="E20" s="118" t="s">
        <v>433</v>
      </c>
      <c r="F20" s="202" t="s">
        <v>432</v>
      </c>
      <c r="G20" s="202" t="s">
        <v>396</v>
      </c>
      <c r="H20" s="202" t="s">
        <v>478</v>
      </c>
      <c r="I20" s="202" t="s">
        <v>433</v>
      </c>
      <c r="J20" s="118" t="s">
        <v>432</v>
      </c>
      <c r="K20" s="118" t="s">
        <v>396</v>
      </c>
    </row>
    <row r="21" spans="1:11" x14ac:dyDescent="0.25">
      <c r="A21" s="202" t="s">
        <v>433</v>
      </c>
      <c r="B21" s="202" t="s">
        <v>434</v>
      </c>
      <c r="C21" s="202" t="s">
        <v>435</v>
      </c>
      <c r="D21" s="202"/>
      <c r="E21" s="184">
        <v>10908</v>
      </c>
      <c r="F21" s="184" t="s">
        <v>130</v>
      </c>
      <c r="G21" s="184" t="str">
        <f t="shared" ref="G21:G63" si="3">IFERROR(E21/F21,"")</f>
        <v/>
      </c>
      <c r="H21" s="184"/>
      <c r="I21" s="184">
        <v>4007</v>
      </c>
      <c r="J21" s="276" t="s">
        <v>130</v>
      </c>
      <c r="K21" s="203" t="str">
        <f t="shared" ref="K21:K63" si="4">IFERROR(I21/J21,"")</f>
        <v/>
      </c>
    </row>
    <row r="22" spans="1:11" x14ac:dyDescent="0.25">
      <c r="C22" s="202" t="s">
        <v>436</v>
      </c>
      <c r="D22" s="202"/>
      <c r="E22" s="184">
        <v>6444</v>
      </c>
      <c r="F22" s="184" t="s">
        <v>130</v>
      </c>
      <c r="G22" s="184" t="str">
        <f t="shared" si="3"/>
        <v/>
      </c>
      <c r="H22" s="184"/>
      <c r="I22" s="184">
        <v>3759</v>
      </c>
      <c r="J22" s="276" t="s">
        <v>130</v>
      </c>
      <c r="K22" s="203" t="str">
        <f t="shared" si="4"/>
        <v/>
      </c>
    </row>
    <row r="23" spans="1:11" x14ac:dyDescent="0.25">
      <c r="C23" s="202" t="s">
        <v>437</v>
      </c>
      <c r="D23" s="202" t="s">
        <v>11</v>
      </c>
      <c r="E23" s="277">
        <v>5666</v>
      </c>
      <c r="F23" s="184">
        <v>5770</v>
      </c>
      <c r="G23" s="184">
        <f t="shared" si="3"/>
        <v>0.98197573656845749</v>
      </c>
      <c r="H23" s="72" t="s">
        <v>487</v>
      </c>
      <c r="I23" s="184">
        <v>1036</v>
      </c>
      <c r="J23" s="278">
        <v>1011</v>
      </c>
      <c r="K23" s="203">
        <f t="shared" si="4"/>
        <v>1.0247279920870425</v>
      </c>
    </row>
    <row r="24" spans="1:11" x14ac:dyDescent="0.25">
      <c r="C24" s="204" t="s">
        <v>438</v>
      </c>
      <c r="D24" s="204"/>
      <c r="E24" s="279">
        <v>2591</v>
      </c>
      <c r="F24" s="279">
        <v>2530</v>
      </c>
      <c r="G24" s="279">
        <f t="shared" si="3"/>
        <v>1.024110671936759</v>
      </c>
      <c r="H24" s="279"/>
      <c r="I24" s="279">
        <v>247</v>
      </c>
      <c r="J24" s="278">
        <v>241</v>
      </c>
      <c r="K24" s="203">
        <f t="shared" si="4"/>
        <v>1.0248962655601659</v>
      </c>
    </row>
    <row r="25" spans="1:11" x14ac:dyDescent="0.25">
      <c r="C25" s="204" t="s">
        <v>189</v>
      </c>
      <c r="D25" s="204"/>
      <c r="E25" s="279">
        <v>379</v>
      </c>
      <c r="F25" s="279">
        <v>379</v>
      </c>
      <c r="G25" s="279">
        <f t="shared" si="3"/>
        <v>1</v>
      </c>
      <c r="H25" s="279"/>
      <c r="I25" s="279">
        <v>61</v>
      </c>
      <c r="J25" s="278">
        <v>61</v>
      </c>
      <c r="K25" s="203">
        <f t="shared" si="4"/>
        <v>1</v>
      </c>
    </row>
    <row r="26" spans="1:11" x14ac:dyDescent="0.25">
      <c r="C26" s="204" t="s">
        <v>439</v>
      </c>
      <c r="D26" s="204"/>
      <c r="E26" s="279">
        <v>2475</v>
      </c>
      <c r="F26" s="279">
        <v>2591</v>
      </c>
      <c r="G26" s="279">
        <f t="shared" si="3"/>
        <v>0.95522964106522579</v>
      </c>
      <c r="H26" s="279"/>
      <c r="I26" s="279">
        <v>85</v>
      </c>
      <c r="J26" s="278">
        <v>89</v>
      </c>
      <c r="K26" s="203">
        <f t="shared" si="4"/>
        <v>0.9550561797752809</v>
      </c>
    </row>
    <row r="27" spans="1:11" x14ac:dyDescent="0.25">
      <c r="C27" s="204" t="s">
        <v>440</v>
      </c>
      <c r="D27" s="204"/>
      <c r="E27" s="279">
        <v>187</v>
      </c>
      <c r="F27" s="279">
        <v>236</v>
      </c>
      <c r="G27" s="279">
        <f t="shared" si="3"/>
        <v>0.7923728813559322</v>
      </c>
      <c r="H27" s="279"/>
      <c r="I27" s="279">
        <v>7</v>
      </c>
      <c r="J27" s="278">
        <v>9</v>
      </c>
      <c r="K27" s="203">
        <f t="shared" si="4"/>
        <v>0.77777777777777779</v>
      </c>
    </row>
    <row r="28" spans="1:11" x14ac:dyDescent="0.25">
      <c r="C28" s="204" t="s">
        <v>441</v>
      </c>
      <c r="D28" s="204"/>
      <c r="E28" s="279">
        <v>33</v>
      </c>
      <c r="F28" s="279">
        <v>33</v>
      </c>
      <c r="G28" s="279">
        <f t="shared" si="3"/>
        <v>1</v>
      </c>
      <c r="H28" s="279"/>
      <c r="I28" s="279">
        <v>14</v>
      </c>
      <c r="J28" s="278">
        <v>14</v>
      </c>
      <c r="K28" s="203">
        <f t="shared" si="4"/>
        <v>1</v>
      </c>
    </row>
    <row r="29" spans="1:11" x14ac:dyDescent="0.25">
      <c r="C29" s="204" t="s">
        <v>442</v>
      </c>
      <c r="D29" s="204"/>
      <c r="E29" s="279">
        <v>2</v>
      </c>
      <c r="F29" s="279">
        <v>1</v>
      </c>
      <c r="G29" s="279">
        <f t="shared" si="3"/>
        <v>2</v>
      </c>
      <c r="H29" s="279"/>
      <c r="I29" s="279">
        <v>621</v>
      </c>
      <c r="J29" s="278">
        <v>596</v>
      </c>
      <c r="K29" s="203">
        <f t="shared" si="4"/>
        <v>1.0419463087248322</v>
      </c>
    </row>
    <row r="30" spans="1:11" x14ac:dyDescent="0.25">
      <c r="C30" s="202" t="s">
        <v>14</v>
      </c>
      <c r="D30" s="202" t="s">
        <v>14</v>
      </c>
      <c r="E30" s="277">
        <v>78</v>
      </c>
      <c r="F30" s="184">
        <v>72</v>
      </c>
      <c r="G30" s="184">
        <f t="shared" si="3"/>
        <v>1.0833333333333333</v>
      </c>
      <c r="H30" s="72" t="s">
        <v>487</v>
      </c>
      <c r="I30" s="184">
        <v>8</v>
      </c>
      <c r="J30" s="278">
        <v>8</v>
      </c>
      <c r="K30" s="203">
        <f t="shared" si="4"/>
        <v>1</v>
      </c>
    </row>
    <row r="31" spans="1:11" x14ac:dyDescent="0.25">
      <c r="C31" s="202" t="s">
        <v>443</v>
      </c>
      <c r="D31" s="202" t="s">
        <v>11</v>
      </c>
      <c r="E31" s="277">
        <v>27</v>
      </c>
      <c r="F31" s="184">
        <v>31</v>
      </c>
      <c r="G31" s="184">
        <f t="shared" si="3"/>
        <v>0.87096774193548387</v>
      </c>
      <c r="H31" s="72" t="s">
        <v>487</v>
      </c>
      <c r="I31" s="184">
        <v>107</v>
      </c>
      <c r="J31" s="278">
        <v>114</v>
      </c>
      <c r="K31" s="203">
        <f t="shared" si="4"/>
        <v>0.93859649122807021</v>
      </c>
    </row>
    <row r="32" spans="1:11" x14ac:dyDescent="0.25">
      <c r="C32" s="204" t="s">
        <v>444</v>
      </c>
      <c r="D32" s="204"/>
      <c r="E32" s="279">
        <v>23</v>
      </c>
      <c r="F32" s="279">
        <v>27</v>
      </c>
      <c r="G32" s="279">
        <f t="shared" si="3"/>
        <v>0.85185185185185186</v>
      </c>
      <c r="H32" s="279"/>
      <c r="I32" s="279">
        <v>56</v>
      </c>
      <c r="J32" s="278">
        <v>64</v>
      </c>
      <c r="K32" s="203">
        <f t="shared" si="4"/>
        <v>0.875</v>
      </c>
    </row>
    <row r="33" spans="3:11" x14ac:dyDescent="0.25">
      <c r="C33" s="204" t="s">
        <v>445</v>
      </c>
      <c r="D33" s="204"/>
      <c r="E33" s="279">
        <v>4</v>
      </c>
      <c r="F33" s="279">
        <v>4</v>
      </c>
      <c r="G33" s="279">
        <f t="shared" si="3"/>
        <v>1</v>
      </c>
      <c r="H33" s="279"/>
      <c r="I33" s="279">
        <v>51</v>
      </c>
      <c r="J33" s="278">
        <v>50</v>
      </c>
      <c r="K33" s="203">
        <f t="shared" si="4"/>
        <v>1.02</v>
      </c>
    </row>
    <row r="34" spans="3:11" x14ac:dyDescent="0.25">
      <c r="C34" s="202" t="s">
        <v>446</v>
      </c>
      <c r="D34" s="202"/>
      <c r="E34" s="277">
        <v>275</v>
      </c>
      <c r="F34" s="184">
        <v>274</v>
      </c>
      <c r="G34" s="184">
        <f t="shared" si="3"/>
        <v>1.0036496350364963</v>
      </c>
      <c r="H34" s="72" t="s">
        <v>487</v>
      </c>
      <c r="I34" s="184">
        <v>2331</v>
      </c>
      <c r="J34" s="278">
        <v>2034</v>
      </c>
      <c r="K34" s="203">
        <f t="shared" si="4"/>
        <v>1.1460176991150441</v>
      </c>
    </row>
    <row r="35" spans="3:11" x14ac:dyDescent="0.25">
      <c r="C35" s="204" t="s">
        <v>447</v>
      </c>
      <c r="D35" s="204"/>
      <c r="E35" s="279">
        <v>0</v>
      </c>
      <c r="F35" s="279">
        <v>0</v>
      </c>
      <c r="G35" s="279" t="str">
        <f t="shared" si="3"/>
        <v/>
      </c>
      <c r="H35" s="279"/>
      <c r="I35" s="279">
        <v>284</v>
      </c>
      <c r="J35" s="278">
        <v>289</v>
      </c>
      <c r="K35" s="203">
        <f t="shared" si="4"/>
        <v>0.98269896193771622</v>
      </c>
    </row>
    <row r="36" spans="3:11" x14ac:dyDescent="0.25">
      <c r="C36" s="204" t="s">
        <v>448</v>
      </c>
      <c r="D36" s="204"/>
      <c r="E36" s="279">
        <v>0</v>
      </c>
      <c r="F36" s="279">
        <v>0</v>
      </c>
      <c r="G36" s="279" t="str">
        <f t="shared" si="3"/>
        <v/>
      </c>
      <c r="H36" s="279"/>
      <c r="I36" s="279">
        <v>1758</v>
      </c>
      <c r="J36" s="278">
        <v>1457</v>
      </c>
      <c r="K36" s="203">
        <f t="shared" si="4"/>
        <v>1.2065888812628689</v>
      </c>
    </row>
    <row r="37" spans="3:11" x14ac:dyDescent="0.25">
      <c r="C37" s="204" t="s">
        <v>449</v>
      </c>
      <c r="D37" s="204" t="s">
        <v>710</v>
      </c>
      <c r="E37" s="279">
        <v>241</v>
      </c>
      <c r="F37" s="279">
        <v>239</v>
      </c>
      <c r="G37" s="279">
        <f t="shared" si="3"/>
        <v>1.00836820083682</v>
      </c>
      <c r="H37" s="279"/>
      <c r="I37" s="279">
        <v>256</v>
      </c>
      <c r="J37" s="278">
        <v>254</v>
      </c>
      <c r="K37" s="203">
        <f t="shared" si="4"/>
        <v>1.0078740157480315</v>
      </c>
    </row>
    <row r="38" spans="3:11" x14ac:dyDescent="0.25">
      <c r="C38" s="204" t="s">
        <v>450</v>
      </c>
      <c r="D38" s="204"/>
      <c r="E38" s="279">
        <v>34</v>
      </c>
      <c r="F38" s="279">
        <v>35</v>
      </c>
      <c r="G38" s="279">
        <f t="shared" si="3"/>
        <v>0.97142857142857142</v>
      </c>
      <c r="H38" s="279"/>
      <c r="I38" s="279">
        <v>32</v>
      </c>
      <c r="J38" s="278">
        <v>34</v>
      </c>
      <c r="K38" s="203">
        <f t="shared" si="4"/>
        <v>0.94117647058823528</v>
      </c>
    </row>
    <row r="39" spans="3:11" x14ac:dyDescent="0.25">
      <c r="C39" s="202" t="s">
        <v>451</v>
      </c>
      <c r="D39" s="202"/>
      <c r="E39" s="184">
        <v>0</v>
      </c>
      <c r="F39" s="184">
        <v>0</v>
      </c>
      <c r="G39" s="184" t="str">
        <f t="shared" si="3"/>
        <v/>
      </c>
      <c r="H39" s="72" t="s">
        <v>487</v>
      </c>
      <c r="I39" s="184">
        <v>1</v>
      </c>
      <c r="J39" s="278">
        <v>1</v>
      </c>
      <c r="K39" s="203">
        <f t="shared" si="4"/>
        <v>1</v>
      </c>
    </row>
    <row r="40" spans="3:11" x14ac:dyDescent="0.25">
      <c r="C40" s="202" t="s">
        <v>452</v>
      </c>
      <c r="D40" s="202"/>
      <c r="E40" s="280">
        <v>55</v>
      </c>
      <c r="F40" s="184">
        <v>113</v>
      </c>
      <c r="G40" s="184">
        <f t="shared" si="3"/>
        <v>0.48672566371681414</v>
      </c>
      <c r="H40" s="72" t="s">
        <v>487</v>
      </c>
      <c r="I40" s="184">
        <v>33</v>
      </c>
      <c r="J40" s="278">
        <v>178</v>
      </c>
      <c r="K40" s="203">
        <f t="shared" si="4"/>
        <v>0.1853932584269663</v>
      </c>
    </row>
    <row r="41" spans="3:11" x14ac:dyDescent="0.25">
      <c r="C41" s="204" t="s">
        <v>453</v>
      </c>
      <c r="D41" s="204"/>
      <c r="E41" s="279">
        <v>55</v>
      </c>
      <c r="F41" s="279">
        <v>113</v>
      </c>
      <c r="G41" s="279">
        <f t="shared" si="3"/>
        <v>0.48672566371681414</v>
      </c>
      <c r="H41" s="279"/>
      <c r="I41" s="279">
        <v>5</v>
      </c>
      <c r="J41" s="278">
        <v>148</v>
      </c>
      <c r="K41" s="203">
        <f t="shared" si="4"/>
        <v>3.3783783783783786E-2</v>
      </c>
    </row>
    <row r="42" spans="3:11" x14ac:dyDescent="0.25">
      <c r="C42" s="204" t="s">
        <v>454</v>
      </c>
      <c r="D42" s="204"/>
      <c r="E42" s="279">
        <v>0</v>
      </c>
      <c r="F42" s="279">
        <v>0</v>
      </c>
      <c r="G42" s="279" t="str">
        <f t="shared" si="3"/>
        <v/>
      </c>
      <c r="H42" s="279"/>
      <c r="I42" s="279">
        <v>28</v>
      </c>
      <c r="J42" s="278">
        <v>30</v>
      </c>
      <c r="K42" s="203">
        <f t="shared" si="4"/>
        <v>0.93333333333333335</v>
      </c>
    </row>
    <row r="43" spans="3:11" x14ac:dyDescent="0.25">
      <c r="C43" s="205" t="s">
        <v>455</v>
      </c>
      <c r="D43" s="205"/>
      <c r="E43" s="281">
        <v>58</v>
      </c>
      <c r="F43" s="281">
        <v>120</v>
      </c>
      <c r="G43" s="281">
        <f t="shared" si="3"/>
        <v>0.48333333333333334</v>
      </c>
      <c r="H43" s="72" t="s">
        <v>487</v>
      </c>
      <c r="I43" s="281">
        <v>159</v>
      </c>
      <c r="J43" s="278">
        <v>248</v>
      </c>
      <c r="K43" s="203">
        <f t="shared" si="4"/>
        <v>0.6411290322580645</v>
      </c>
    </row>
    <row r="44" spans="3:11" x14ac:dyDescent="0.25">
      <c r="C44" s="202" t="s">
        <v>456</v>
      </c>
      <c r="D44" s="202" t="s">
        <v>414</v>
      </c>
      <c r="E44" s="282" t="s">
        <v>130</v>
      </c>
      <c r="F44" s="283" t="s">
        <v>130</v>
      </c>
      <c r="G44" s="283" t="str">
        <f t="shared" si="3"/>
        <v/>
      </c>
      <c r="H44" s="283"/>
      <c r="I44" s="283" t="s">
        <v>130</v>
      </c>
      <c r="J44" s="276" t="s">
        <v>130</v>
      </c>
      <c r="K44" s="203" t="str">
        <f t="shared" si="4"/>
        <v/>
      </c>
    </row>
    <row r="45" spans="3:11" x14ac:dyDescent="0.25">
      <c r="C45" s="202" t="s">
        <v>457</v>
      </c>
      <c r="D45" s="202"/>
      <c r="E45" s="277">
        <v>58</v>
      </c>
      <c r="F45" s="184">
        <v>120</v>
      </c>
      <c r="G45" s="184">
        <f t="shared" si="3"/>
        <v>0.48333333333333334</v>
      </c>
      <c r="H45" s="184"/>
      <c r="I45" s="184">
        <v>159</v>
      </c>
      <c r="J45" s="278">
        <v>248</v>
      </c>
      <c r="K45" s="203">
        <f t="shared" si="4"/>
        <v>0.6411290322580645</v>
      </c>
    </row>
    <row r="46" spans="3:11" x14ac:dyDescent="0.25">
      <c r="C46" s="202" t="s">
        <v>458</v>
      </c>
      <c r="D46" s="202" t="s">
        <v>420</v>
      </c>
      <c r="E46" s="277">
        <v>163</v>
      </c>
      <c r="F46" s="184">
        <v>1692</v>
      </c>
      <c r="G46" s="184">
        <f t="shared" si="3"/>
        <v>9.6335697399527187E-2</v>
      </c>
      <c r="H46" s="72" t="s">
        <v>487</v>
      </c>
      <c r="I46" s="184">
        <v>5</v>
      </c>
      <c r="J46" s="278">
        <v>4</v>
      </c>
      <c r="K46" s="203">
        <f t="shared" si="4"/>
        <v>1.25</v>
      </c>
    </row>
    <row r="47" spans="3:11" x14ac:dyDescent="0.25">
      <c r="C47" s="204" t="s">
        <v>459</v>
      </c>
      <c r="D47" s="204"/>
      <c r="E47" s="279">
        <v>18</v>
      </c>
      <c r="F47" s="279">
        <v>75</v>
      </c>
      <c r="G47" s="279">
        <f t="shared" si="3"/>
        <v>0.24</v>
      </c>
      <c r="H47" s="279"/>
      <c r="I47" s="279">
        <v>0</v>
      </c>
      <c r="J47" s="278">
        <v>0</v>
      </c>
      <c r="K47" s="203" t="str">
        <f t="shared" si="4"/>
        <v/>
      </c>
    </row>
    <row r="48" spans="3:11" x14ac:dyDescent="0.25">
      <c r="C48" s="204" t="s">
        <v>460</v>
      </c>
      <c r="D48" s="204"/>
      <c r="E48" s="279">
        <v>42</v>
      </c>
      <c r="F48" s="279">
        <v>34</v>
      </c>
      <c r="G48" s="279">
        <f t="shared" si="3"/>
        <v>1.2352941176470589</v>
      </c>
      <c r="H48" s="279"/>
      <c r="I48" s="279">
        <v>5</v>
      </c>
      <c r="J48" s="278">
        <v>4</v>
      </c>
      <c r="K48" s="203">
        <f t="shared" si="4"/>
        <v>1.25</v>
      </c>
    </row>
    <row r="49" spans="3:11" x14ac:dyDescent="0.25">
      <c r="C49" s="204" t="s">
        <v>461</v>
      </c>
      <c r="D49" s="204"/>
      <c r="E49" s="279">
        <v>103</v>
      </c>
      <c r="F49" s="279">
        <v>1583</v>
      </c>
      <c r="G49" s="279">
        <f t="shared" si="3"/>
        <v>6.5066329753632343E-2</v>
      </c>
      <c r="H49" s="279"/>
      <c r="I49" s="279">
        <v>0</v>
      </c>
      <c r="J49" s="278">
        <v>0</v>
      </c>
      <c r="K49" s="203" t="str">
        <f t="shared" si="4"/>
        <v/>
      </c>
    </row>
    <row r="50" spans="3:11" x14ac:dyDescent="0.25">
      <c r="C50" s="202" t="s">
        <v>462</v>
      </c>
      <c r="D50" s="202" t="s">
        <v>414</v>
      </c>
      <c r="E50" s="280">
        <v>121</v>
      </c>
      <c r="F50" s="184">
        <v>44</v>
      </c>
      <c r="G50" s="184">
        <f t="shared" si="3"/>
        <v>2.75</v>
      </c>
      <c r="H50" s="72" t="s">
        <v>487</v>
      </c>
      <c r="I50" s="184">
        <v>79</v>
      </c>
      <c r="J50" s="278">
        <v>28</v>
      </c>
      <c r="K50" s="203">
        <f t="shared" si="4"/>
        <v>2.8214285714285716</v>
      </c>
    </row>
    <row r="51" spans="3:11" x14ac:dyDescent="0.25">
      <c r="C51" s="202" t="s">
        <v>463</v>
      </c>
      <c r="D51" s="202"/>
      <c r="E51" s="184">
        <v>4464</v>
      </c>
      <c r="F51" s="184" t="s">
        <v>130</v>
      </c>
      <c r="G51" s="184" t="str">
        <f t="shared" si="3"/>
        <v/>
      </c>
      <c r="H51" s="184"/>
      <c r="I51" s="184">
        <v>247</v>
      </c>
      <c r="J51" s="276" t="s">
        <v>130</v>
      </c>
      <c r="K51" s="203" t="str">
        <f t="shared" si="4"/>
        <v/>
      </c>
    </row>
    <row r="52" spans="3:11" x14ac:dyDescent="0.25">
      <c r="C52" s="206" t="s">
        <v>175</v>
      </c>
      <c r="D52" s="206"/>
      <c r="E52" s="284">
        <v>143</v>
      </c>
      <c r="F52" s="284">
        <v>939</v>
      </c>
      <c r="G52" s="284">
        <f t="shared" si="3"/>
        <v>0.15228966986155484</v>
      </c>
      <c r="H52" s="284"/>
      <c r="I52" s="284">
        <v>247</v>
      </c>
      <c r="J52" s="278">
        <v>1764</v>
      </c>
      <c r="K52" s="203">
        <f t="shared" si="4"/>
        <v>0.14002267573696145</v>
      </c>
    </row>
    <row r="53" spans="3:11" x14ac:dyDescent="0.25">
      <c r="C53" s="202" t="s">
        <v>178</v>
      </c>
      <c r="D53" s="202" t="s">
        <v>178</v>
      </c>
      <c r="E53" s="277">
        <v>0</v>
      </c>
      <c r="F53" s="184">
        <v>0</v>
      </c>
      <c r="G53" s="184" t="str">
        <f t="shared" si="3"/>
        <v/>
      </c>
      <c r="H53" s="184"/>
      <c r="I53" s="184">
        <v>0</v>
      </c>
      <c r="J53" s="278">
        <v>0</v>
      </c>
      <c r="K53" s="203" t="str">
        <f t="shared" si="4"/>
        <v/>
      </c>
    </row>
    <row r="54" spans="3:11" x14ac:dyDescent="0.25">
      <c r="C54" s="202" t="s">
        <v>464</v>
      </c>
      <c r="D54" s="202" t="s">
        <v>42</v>
      </c>
      <c r="E54" s="277">
        <v>100</v>
      </c>
      <c r="F54" s="184">
        <v>701</v>
      </c>
      <c r="G54" s="184">
        <f t="shared" si="3"/>
        <v>0.14265335235378032</v>
      </c>
      <c r="H54" s="72" t="s">
        <v>487</v>
      </c>
      <c r="I54" s="184">
        <v>247</v>
      </c>
      <c r="J54" s="278">
        <v>1764</v>
      </c>
      <c r="K54" s="203">
        <f t="shared" si="4"/>
        <v>0.14002267573696145</v>
      </c>
    </row>
    <row r="55" spans="3:11" x14ac:dyDescent="0.25">
      <c r="C55" s="202" t="s">
        <v>465</v>
      </c>
      <c r="D55" s="202" t="s">
        <v>42</v>
      </c>
      <c r="E55" s="277">
        <v>43</v>
      </c>
      <c r="F55" s="184">
        <v>238</v>
      </c>
      <c r="G55" s="184">
        <f t="shared" si="3"/>
        <v>0.18067226890756302</v>
      </c>
      <c r="H55" s="184"/>
      <c r="I55" s="184">
        <v>0</v>
      </c>
      <c r="J55" s="278">
        <v>0</v>
      </c>
      <c r="K55" s="203" t="str">
        <f t="shared" si="4"/>
        <v/>
      </c>
    </row>
    <row r="56" spans="3:11" x14ac:dyDescent="0.25">
      <c r="C56" s="202" t="s">
        <v>466</v>
      </c>
      <c r="D56" s="202" t="s">
        <v>42</v>
      </c>
      <c r="E56" s="283" t="s">
        <v>130</v>
      </c>
      <c r="F56" s="283" t="s">
        <v>130</v>
      </c>
      <c r="G56" s="283" t="str">
        <f t="shared" si="3"/>
        <v/>
      </c>
      <c r="H56" s="283"/>
      <c r="I56" s="283" t="s">
        <v>130</v>
      </c>
      <c r="J56" s="276" t="s">
        <v>130</v>
      </c>
      <c r="K56" s="203" t="str">
        <f t="shared" si="4"/>
        <v/>
      </c>
    </row>
    <row r="57" spans="3:11" x14ac:dyDescent="0.25">
      <c r="C57" s="206" t="s">
        <v>467</v>
      </c>
      <c r="D57" s="206"/>
      <c r="E57" s="284">
        <v>4157</v>
      </c>
      <c r="F57" s="284">
        <v>20738</v>
      </c>
      <c r="G57" s="284">
        <f t="shared" si="3"/>
        <v>0.20045327418265985</v>
      </c>
      <c r="H57" s="284"/>
      <c r="I57" s="284">
        <v>0</v>
      </c>
      <c r="J57" s="278">
        <v>0</v>
      </c>
      <c r="K57" s="203" t="str">
        <f t="shared" si="4"/>
        <v/>
      </c>
    </row>
    <row r="58" spans="3:11" x14ac:dyDescent="0.25">
      <c r="C58" s="202" t="s">
        <v>468</v>
      </c>
      <c r="D58" s="202" t="s">
        <v>15</v>
      </c>
      <c r="E58" s="277">
        <v>1673</v>
      </c>
      <c r="F58" s="184">
        <v>6315</v>
      </c>
      <c r="G58" s="184">
        <f t="shared" si="3"/>
        <v>0.26492478226444971</v>
      </c>
      <c r="H58" s="184"/>
      <c r="I58" s="184">
        <v>0</v>
      </c>
      <c r="J58" s="278">
        <v>0</v>
      </c>
      <c r="K58" s="203" t="str">
        <f t="shared" si="4"/>
        <v/>
      </c>
    </row>
    <row r="59" spans="3:11" x14ac:dyDescent="0.25">
      <c r="C59" s="202" t="s">
        <v>469</v>
      </c>
      <c r="D59" s="202" t="s">
        <v>11</v>
      </c>
      <c r="E59" s="277">
        <v>213</v>
      </c>
      <c r="F59" s="184">
        <v>762</v>
      </c>
      <c r="G59" s="184">
        <f t="shared" si="3"/>
        <v>0.27952755905511811</v>
      </c>
      <c r="H59" s="184"/>
      <c r="I59" s="184">
        <v>0</v>
      </c>
      <c r="J59" s="278">
        <v>0</v>
      </c>
      <c r="K59" s="203" t="str">
        <f t="shared" si="4"/>
        <v/>
      </c>
    </row>
    <row r="60" spans="3:11" x14ac:dyDescent="0.25">
      <c r="C60" s="202" t="s">
        <v>470</v>
      </c>
      <c r="D60" s="202" t="s">
        <v>13</v>
      </c>
      <c r="E60" s="277">
        <v>1690</v>
      </c>
      <c r="F60" s="184">
        <v>9946</v>
      </c>
      <c r="G60" s="184">
        <f t="shared" si="3"/>
        <v>0.16991755479589785</v>
      </c>
      <c r="H60" s="184"/>
      <c r="I60" s="184">
        <v>0</v>
      </c>
      <c r="J60" s="278">
        <v>0</v>
      </c>
      <c r="K60" s="203" t="str">
        <f t="shared" si="4"/>
        <v/>
      </c>
    </row>
    <row r="61" spans="3:11" x14ac:dyDescent="0.25">
      <c r="C61" s="202" t="s">
        <v>471</v>
      </c>
      <c r="D61" s="202" t="s">
        <v>13</v>
      </c>
      <c r="E61" s="277">
        <v>529</v>
      </c>
      <c r="F61" s="184">
        <v>3318</v>
      </c>
      <c r="G61" s="184">
        <f t="shared" si="3"/>
        <v>0.15943339361060879</v>
      </c>
      <c r="H61" s="184"/>
      <c r="I61" s="184">
        <v>0</v>
      </c>
      <c r="J61" s="278">
        <v>0</v>
      </c>
      <c r="K61" s="203" t="str">
        <f t="shared" si="4"/>
        <v/>
      </c>
    </row>
    <row r="62" spans="3:11" x14ac:dyDescent="0.25">
      <c r="C62" s="202" t="s">
        <v>472</v>
      </c>
      <c r="D62" s="202" t="s">
        <v>13</v>
      </c>
      <c r="E62" s="277">
        <v>53</v>
      </c>
      <c r="F62" s="184">
        <v>397</v>
      </c>
      <c r="G62" s="184">
        <f t="shared" si="3"/>
        <v>0.13350125944584382</v>
      </c>
      <c r="H62" s="184"/>
      <c r="I62" s="184">
        <v>0</v>
      </c>
      <c r="J62" s="278">
        <v>0</v>
      </c>
      <c r="K62" s="203" t="str">
        <f t="shared" si="4"/>
        <v/>
      </c>
    </row>
    <row r="63" spans="3:11" x14ac:dyDescent="0.25">
      <c r="C63" s="202" t="s">
        <v>37</v>
      </c>
      <c r="D63" s="202" t="s">
        <v>37</v>
      </c>
      <c r="E63" s="277">
        <v>164</v>
      </c>
      <c r="F63" s="184">
        <v>863</v>
      </c>
      <c r="G63" s="184">
        <f t="shared" si="3"/>
        <v>0.19003476245654694</v>
      </c>
      <c r="H63" s="184"/>
      <c r="I63" s="184">
        <v>0</v>
      </c>
      <c r="J63" s="278">
        <v>0</v>
      </c>
      <c r="K63" s="203" t="str">
        <f t="shared" si="4"/>
        <v/>
      </c>
    </row>
    <row r="65" spans="1:1" ht="315" x14ac:dyDescent="0.25">
      <c r="A65" s="207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topLeftCell="C1" workbookViewId="0">
      <selection activeCell="M11" sqref="M11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2" t="s">
        <v>265</v>
      </c>
    </row>
    <row r="2" spans="1:21" x14ac:dyDescent="0.25">
      <c r="A2" s="371" t="s">
        <v>780</v>
      </c>
    </row>
    <row r="3" spans="1:21" x14ac:dyDescent="0.25">
      <c r="A3" s="7"/>
      <c r="B3" s="7"/>
      <c r="C3" s="7" t="s">
        <v>501</v>
      </c>
      <c r="D3" s="7" t="s">
        <v>502</v>
      </c>
      <c r="E3" s="7" t="s">
        <v>303</v>
      </c>
      <c r="F3" s="7" t="s">
        <v>38</v>
      </c>
      <c r="G3" s="7" t="s">
        <v>39</v>
      </c>
      <c r="H3" s="7" t="s">
        <v>504</v>
      </c>
      <c r="I3" s="7" t="s">
        <v>505</v>
      </c>
      <c r="J3" s="7" t="s">
        <v>326</v>
      </c>
      <c r="K3" s="7" t="s">
        <v>41</v>
      </c>
      <c r="L3" s="7" t="s">
        <v>507</v>
      </c>
      <c r="M3" s="7" t="s">
        <v>518</v>
      </c>
      <c r="N3" s="1" t="s">
        <v>638</v>
      </c>
      <c r="O3" s="1" t="s">
        <v>639</v>
      </c>
      <c r="P3" s="1" t="s">
        <v>808</v>
      </c>
    </row>
    <row r="4" spans="1:21" x14ac:dyDescent="0.25">
      <c r="A4" s="7" t="s">
        <v>305</v>
      </c>
      <c r="B4" s="7"/>
      <c r="C4" s="7" t="s">
        <v>781</v>
      </c>
      <c r="D4" s="7" t="s">
        <v>503</v>
      </c>
      <c r="E4" s="7" t="s">
        <v>503</v>
      </c>
      <c r="F4" s="7" t="s">
        <v>503</v>
      </c>
      <c r="G4" s="7" t="s">
        <v>503</v>
      </c>
      <c r="H4" s="7" t="s">
        <v>782</v>
      </c>
      <c r="I4" s="7" t="s">
        <v>506</v>
      </c>
      <c r="J4" s="7" t="s">
        <v>506</v>
      </c>
      <c r="K4" s="7" t="s">
        <v>503</v>
      </c>
      <c r="L4" s="7" t="s">
        <v>503</v>
      </c>
      <c r="M4" s="7"/>
      <c r="O4" s="268">
        <v>1.1000000000000001</v>
      </c>
      <c r="P4" s="1" t="s">
        <v>809</v>
      </c>
    </row>
    <row r="5" spans="1:21" x14ac:dyDescent="0.25">
      <c r="A5" s="7" t="s">
        <v>16</v>
      </c>
      <c r="B5" s="7" t="s">
        <v>45</v>
      </c>
      <c r="C5" s="370">
        <f>1111*0.77</f>
        <v>855.47</v>
      </c>
      <c r="D5" s="370"/>
      <c r="E5" s="370"/>
      <c r="F5" s="372">
        <f>17657*(1-0)*1000/I5</f>
        <v>1.4953335295833323</v>
      </c>
      <c r="G5" s="372">
        <f>2515*(1-0.1)*1000/I5</f>
        <v>0.19169096925932338</v>
      </c>
      <c r="H5" s="372">
        <f>(H13-H60)/(H15-SUM(H58:H61))</f>
        <v>1.3861685078371839</v>
      </c>
      <c r="I5" s="273">
        <f>J5-I6</f>
        <v>11808068</v>
      </c>
      <c r="J5" s="273">
        <f>SUM(E22:E26)</f>
        <v>12298992</v>
      </c>
      <c r="K5" s="372">
        <f>87.68*1000/SUM(I5:I6)*K12</f>
        <v>1.5668203052737979E-2</v>
      </c>
      <c r="L5" s="372">
        <f>18/1000*365/100</f>
        <v>6.5699999999999995E-2</v>
      </c>
      <c r="M5" s="372">
        <f t="shared" ref="M5:M10" si="0">N5*28/1000</f>
        <v>0.12546743028681259</v>
      </c>
      <c r="N5" s="243">
        <f>1.07565542995116+S13</f>
        <v>4.4809796531004498</v>
      </c>
      <c r="O5" s="1" t="s">
        <v>628</v>
      </c>
    </row>
    <row r="6" spans="1:21" x14ac:dyDescent="0.25">
      <c r="A6" s="7"/>
      <c r="B6" s="7" t="s">
        <v>46</v>
      </c>
      <c r="C6" s="370">
        <f>1111*0.77</f>
        <v>855.47</v>
      </c>
      <c r="D6" s="370"/>
      <c r="E6" s="370"/>
      <c r="F6" s="372">
        <f>17657*(0)*1000/I6</f>
        <v>0</v>
      </c>
      <c r="G6" s="372">
        <f>2515*(0.1)*1000/I6</f>
        <v>0.51229925609666671</v>
      </c>
      <c r="H6" s="372">
        <f>H60/SUM(H58:H61)</f>
        <v>0.47263527552126194</v>
      </c>
      <c r="I6" s="273">
        <f>SUM(H58:H61)</f>
        <v>490924</v>
      </c>
      <c r="J6" s="273"/>
      <c r="K6" s="372">
        <f>K5</f>
        <v>1.5668203052737979E-2</v>
      </c>
      <c r="L6" s="372">
        <f>35/1000*(365-200)/100</f>
        <v>5.7750000000000003E-2</v>
      </c>
      <c r="M6" s="372">
        <f t="shared" si="0"/>
        <v>0.13801417331549384</v>
      </c>
      <c r="N6" s="243">
        <f>N5*O4</f>
        <v>4.9290776184104947</v>
      </c>
      <c r="O6" s="1" t="s">
        <v>628</v>
      </c>
    </row>
    <row r="7" spans="1:21" ht="15.75" thickBot="1" x14ac:dyDescent="0.3">
      <c r="A7" s="7" t="s">
        <v>17</v>
      </c>
      <c r="B7" s="7" t="s">
        <v>45</v>
      </c>
      <c r="C7" s="370">
        <f>3400*0.77</f>
        <v>2618</v>
      </c>
      <c r="D7" s="370">
        <f>4786000000/1000/I7</f>
        <v>3.7771765723503732</v>
      </c>
      <c r="E7" s="370"/>
      <c r="F7" s="372">
        <f>14050*(1-0.09)*1000/I7</f>
        <v>10.090491238149957</v>
      </c>
      <c r="G7" s="372">
        <f>261*(1-0.04)*1000/I7</f>
        <v>0.19774537441874415</v>
      </c>
      <c r="H7" s="372">
        <f>(464000-23400)/I7</f>
        <v>0.34772753819004898</v>
      </c>
      <c r="I7" s="273">
        <f>J7-I8</f>
        <v>1267084</v>
      </c>
      <c r="J7" s="273">
        <f>SUM(D22:D26)</f>
        <v>1491432</v>
      </c>
      <c r="K7" s="372">
        <f>(21+8.2)*1000/SUM(I7:I8)*K12</f>
        <v>4.3029625219252375E-2</v>
      </c>
      <c r="L7" s="372">
        <f>3/1000*365/100</f>
        <v>1.095E-2</v>
      </c>
      <c r="M7" s="372">
        <f t="shared" si="0"/>
        <v>3.1715240866672119</v>
      </c>
      <c r="N7" s="243">
        <f>((N14+S8)*M14+(N15+S9)*M15)/J7</f>
        <v>113.26871738097185</v>
      </c>
      <c r="R7" s="341" t="s">
        <v>863</v>
      </c>
      <c r="S7" s="1" t="s">
        <v>851</v>
      </c>
      <c r="U7" s="1" t="s">
        <v>864</v>
      </c>
    </row>
    <row r="8" spans="1:21" x14ac:dyDescent="0.25">
      <c r="A8" s="7"/>
      <c r="B8" s="7" t="s">
        <v>46</v>
      </c>
      <c r="C8" s="370">
        <f>3400*0.77</f>
        <v>2618</v>
      </c>
      <c r="D8" s="370">
        <f>483000000/1000/I8</f>
        <v>2.1529053078253426</v>
      </c>
      <c r="E8" s="370"/>
      <c r="F8" s="372">
        <f>14050*(0.09)*1000/I8</f>
        <v>5.636332840052062</v>
      </c>
      <c r="G8" s="372">
        <f>261*(0.04)*1000/I8</f>
        <v>4.6534847647404926E-2</v>
      </c>
      <c r="H8" s="372">
        <f>23400/I8</f>
        <v>0.10430224472694208</v>
      </c>
      <c r="I8" s="273">
        <f>SUM(H36:H51)</f>
        <v>224348</v>
      </c>
      <c r="J8" s="273"/>
      <c r="K8" s="372">
        <f>K7</f>
        <v>4.3029625219252375E-2</v>
      </c>
      <c r="L8" s="372">
        <f>8/1000*(365-200)/100</f>
        <v>1.32E-2</v>
      </c>
      <c r="M8" s="372">
        <f t="shared" si="0"/>
        <v>2.6521826227537644</v>
      </c>
      <c r="N8" s="243">
        <f>(N14*M14+N15*M15)/J7*O4</f>
        <v>94.720807955491594</v>
      </c>
      <c r="R8" s="398" t="s">
        <v>838</v>
      </c>
      <c r="S8" s="397">
        <v>47.66881225916778</v>
      </c>
      <c r="U8" s="1">
        <f>((S8)*M14+(S9)*M15)*25/1000/(F7*I7+F8*I8)</f>
        <v>7.2074093530179004E-2</v>
      </c>
    </row>
    <row r="9" spans="1:21" ht="22.5" x14ac:dyDescent="0.25">
      <c r="A9" s="7" t="s">
        <v>18</v>
      </c>
      <c r="B9" s="7" t="s">
        <v>45</v>
      </c>
      <c r="C9" s="370">
        <f>24*0.77</f>
        <v>18.48</v>
      </c>
      <c r="D9" s="370"/>
      <c r="E9" s="370">
        <f>220000000/1000/I9</f>
        <v>1.1120887382109748E-2</v>
      </c>
      <c r="F9" s="372">
        <f>8883/I9*46496/(46496+14973)</f>
        <v>3.3965332371824528E-4</v>
      </c>
      <c r="G9" s="372">
        <f>157070/I9*5445008/(5445008+297894)</f>
        <v>7.5279568763122248E-3</v>
      </c>
      <c r="H9" s="372">
        <f>105567000/I9</f>
        <v>5.3363578103053619</v>
      </c>
      <c r="I9" s="273">
        <f>J9-I10</f>
        <v>19782594</v>
      </c>
      <c r="J9" s="273">
        <f>SUM(F22:F26)</f>
        <v>23059881</v>
      </c>
      <c r="K9" s="372">
        <f>154000*3.2%/J9*K12</f>
        <v>4.6967971777477953E-4</v>
      </c>
      <c r="L9" s="372">
        <f>0.12/1000*365/100</f>
        <v>4.3799999999999997E-4</v>
      </c>
      <c r="M9" s="372">
        <f t="shared" si="0"/>
        <v>7.99210246451366E-4</v>
      </c>
      <c r="N9" s="243">
        <f>0.00308299593513136+S14</f>
        <v>2.8543223087548784E-2</v>
      </c>
      <c r="R9" s="398" t="s">
        <v>839</v>
      </c>
      <c r="S9" s="397">
        <v>14.592057308217106</v>
      </c>
    </row>
    <row r="10" spans="1:21" x14ac:dyDescent="0.25">
      <c r="A10" s="7"/>
      <c r="B10" s="7" t="s">
        <v>46</v>
      </c>
      <c r="C10" s="370">
        <f>24*0.77</f>
        <v>18.48</v>
      </c>
      <c r="D10" s="370"/>
      <c r="E10" s="370">
        <f>15000000/1000/I10</f>
        <v>4.5769564887054442E-3</v>
      </c>
      <c r="F10" s="372">
        <f>8883/I10*14973/(46496+14973)</f>
        <v>6.6023396673266124E-4</v>
      </c>
      <c r="G10" s="372">
        <f>157070/I10*297894/(5445008+297894)</f>
        <v>2.4860457648070043E-3</v>
      </c>
      <c r="H10" s="372">
        <f>SUM(H70:H71)/I10</f>
        <v>0.37369537669419861</v>
      </c>
      <c r="I10" s="273">
        <f>SUM(H65:H78)</f>
        <v>3277287</v>
      </c>
      <c r="J10" s="273"/>
      <c r="K10" s="372">
        <f>K9</f>
        <v>4.6967971777477953E-4</v>
      </c>
      <c r="L10" s="372">
        <f>0.5/1000*(365-200)/100</f>
        <v>8.25E-4</v>
      </c>
      <c r="M10" s="372">
        <f t="shared" si="0"/>
        <v>8.7913127109650257E-4</v>
      </c>
      <c r="N10" s="243">
        <f>N9*O4</f>
        <v>3.1397545396303662E-2</v>
      </c>
      <c r="R10" s="398" t="s">
        <v>840</v>
      </c>
      <c r="S10" s="397">
        <v>0.19571412612000011</v>
      </c>
    </row>
    <row r="11" spans="1:21" x14ac:dyDescent="0.25">
      <c r="A11" s="1" t="s">
        <v>325</v>
      </c>
      <c r="C11" s="1" t="s">
        <v>783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816</v>
      </c>
      <c r="L11" s="1" t="s">
        <v>709</v>
      </c>
      <c r="M11" s="294" t="s">
        <v>643</v>
      </c>
      <c r="R11" s="398" t="s">
        <v>842</v>
      </c>
      <c r="S11" s="397">
        <v>0.46338099649199982</v>
      </c>
    </row>
    <row r="12" spans="1:21" x14ac:dyDescent="0.25">
      <c r="K12" s="1">
        <v>2.1978</v>
      </c>
      <c r="R12" s="398" t="s">
        <v>843</v>
      </c>
      <c r="S12" s="397">
        <v>2.7157706718750001</v>
      </c>
    </row>
    <row r="13" spans="1:21" x14ac:dyDescent="0.25">
      <c r="A13" s="69" t="s">
        <v>306</v>
      </c>
      <c r="B13" s="69"/>
      <c r="C13" s="69" t="s">
        <v>17</v>
      </c>
      <c r="D13" s="69" t="s">
        <v>16</v>
      </c>
      <c r="E13" s="69" t="s">
        <v>18</v>
      </c>
      <c r="G13" s="7" t="s">
        <v>290</v>
      </c>
      <c r="H13" s="233">
        <f>16.6*1000000</f>
        <v>16600000.000000002</v>
      </c>
      <c r="L13" s="7"/>
      <c r="M13" s="7" t="s">
        <v>640</v>
      </c>
      <c r="N13" s="346" t="s">
        <v>643</v>
      </c>
      <c r="O13" s="7"/>
      <c r="R13" s="398" t="s">
        <v>844</v>
      </c>
      <c r="S13" s="397">
        <v>3.4053242231492895</v>
      </c>
      <c r="U13" s="1">
        <f>S13*J5*25/1000/(F5*J5)</f>
        <v>5.6932519664996864E-2</v>
      </c>
    </row>
    <row r="14" spans="1:21" x14ac:dyDescent="0.25">
      <c r="A14" s="7" t="s">
        <v>356</v>
      </c>
      <c r="B14" s="7" t="s">
        <v>45</v>
      </c>
      <c r="C14" s="225">
        <f>SUM(D24:D26)-C15</f>
        <v>1184629</v>
      </c>
      <c r="D14" s="225">
        <f>SUM(E24:E26)-D15</f>
        <v>10266966</v>
      </c>
      <c r="E14" s="225">
        <f>SUM(F24:F26)-E15</f>
        <v>18212034</v>
      </c>
      <c r="G14" s="7" t="s">
        <v>323</v>
      </c>
      <c r="H14" s="233">
        <f>15.2*1000000</f>
        <v>15200000</v>
      </c>
      <c r="I14" s="1">
        <f>H14/SUM(H13:H14)</f>
        <v>0.4779874213836478</v>
      </c>
      <c r="L14" s="7" t="s">
        <v>642</v>
      </c>
      <c r="M14" s="7">
        <v>566639</v>
      </c>
      <c r="N14" s="7">
        <v>160.59029405341599</v>
      </c>
      <c r="O14" s="7" t="s">
        <v>626</v>
      </c>
      <c r="R14" s="398" t="s">
        <v>845</v>
      </c>
      <c r="S14" s="397">
        <v>2.5460227152417424E-2</v>
      </c>
    </row>
    <row r="15" spans="1:21" x14ac:dyDescent="0.25">
      <c r="A15" s="7" t="s">
        <v>356</v>
      </c>
      <c r="B15" s="7" t="s">
        <v>46</v>
      </c>
      <c r="C15" s="225">
        <f>SUM(E36:G51)</f>
        <v>207835</v>
      </c>
      <c r="D15" s="225">
        <f>SUM(E58:G61)</f>
        <v>475477</v>
      </c>
      <c r="E15" s="225">
        <f>SUM(E65:G78)</f>
        <v>3062300</v>
      </c>
      <c r="G15" s="7" t="s">
        <v>322</v>
      </c>
      <c r="H15" s="233">
        <f>SUM(E22:E26)</f>
        <v>12298992</v>
      </c>
      <c r="L15" s="7" t="s">
        <v>641</v>
      </c>
      <c r="M15" s="7">
        <f>J7-M14</f>
        <v>924793</v>
      </c>
      <c r="N15" s="7">
        <v>40.474166115923701</v>
      </c>
      <c r="O15" s="7" t="s">
        <v>627</v>
      </c>
      <c r="R15" s="398" t="s">
        <v>846</v>
      </c>
      <c r="S15" s="397">
        <v>0.48616573334049179</v>
      </c>
    </row>
    <row r="16" spans="1:21" x14ac:dyDescent="0.25">
      <c r="A16" s="7" t="s">
        <v>357</v>
      </c>
      <c r="B16" s="7" t="s">
        <v>45</v>
      </c>
      <c r="C16" s="225">
        <f>SUM(D22:D23)-C17</f>
        <v>82455</v>
      </c>
      <c r="D16" s="225">
        <f>SUM(E22:E23)-D17</f>
        <v>1541102</v>
      </c>
      <c r="E16" s="225">
        <f>SUM(F22:F23)-E17</f>
        <v>1570560</v>
      </c>
      <c r="G16" s="7" t="s">
        <v>67</v>
      </c>
      <c r="H16" s="7" t="s">
        <v>324</v>
      </c>
      <c r="R16" s="398" t="s">
        <v>847</v>
      </c>
      <c r="S16" s="397">
        <v>0.32571647999999997</v>
      </c>
    </row>
    <row r="17" spans="1:19" x14ac:dyDescent="0.25">
      <c r="A17" s="7" t="s">
        <v>357</v>
      </c>
      <c r="B17" s="7" t="s">
        <v>46</v>
      </c>
      <c r="C17" s="225">
        <f>SUM(C36:D51)</f>
        <v>16513</v>
      </c>
      <c r="D17" s="225">
        <f>SUM(C58:D61)</f>
        <v>15447</v>
      </c>
      <c r="E17" s="225">
        <f>SUM(C65:D78)</f>
        <v>214987</v>
      </c>
      <c r="R17" s="398" t="s">
        <v>848</v>
      </c>
      <c r="S17" s="397">
        <v>3.432424760598936</v>
      </c>
    </row>
    <row r="18" spans="1:19" ht="15.75" thickBot="1" x14ac:dyDescent="0.3">
      <c r="R18" s="394" t="s">
        <v>849</v>
      </c>
      <c r="S18" s="401">
        <v>1.3538981647058823E-3</v>
      </c>
    </row>
    <row r="19" spans="1:19" ht="17.25" x14ac:dyDescent="0.3">
      <c r="A19" s="479" t="s">
        <v>264</v>
      </c>
      <c r="B19" s="479"/>
      <c r="C19" s="479"/>
      <c r="D19" s="33"/>
      <c r="E19" s="33"/>
      <c r="F19" s="33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25">
      <c r="A20" s="140" t="s">
        <v>97</v>
      </c>
      <c r="B20" s="141"/>
      <c r="C20" s="141"/>
      <c r="D20" s="141"/>
      <c r="E20" s="141"/>
      <c r="F20" s="141"/>
      <c r="L20" s="202" t="s">
        <v>629</v>
      </c>
      <c r="M20">
        <f>SUM(O31:S31)</f>
        <v>88812</v>
      </c>
      <c r="N20" s="203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0"/>
      <c r="B21" s="40"/>
      <c r="C21" s="40"/>
      <c r="D21" s="67" t="s">
        <v>263</v>
      </c>
      <c r="E21" s="67" t="s">
        <v>262</v>
      </c>
      <c r="F21" s="67" t="s">
        <v>261</v>
      </c>
      <c r="L21" s="202" t="s">
        <v>630</v>
      </c>
      <c r="M21">
        <f>SUM(O32:S32)</f>
        <v>1650625</v>
      </c>
      <c r="N21">
        <f>AVERAGE(0.285,0.303)/100</f>
        <v>2.9399999999999999E-3</v>
      </c>
      <c r="O21">
        <f>(M21)*N21</f>
        <v>4852.8374999999996</v>
      </c>
      <c r="P21">
        <f t="shared" ref="P21:Q24" si="1">N21*25</f>
        <v>7.3499999999999996E-2</v>
      </c>
      <c r="Q21">
        <f t="shared" si="1"/>
        <v>121320.93749999999</v>
      </c>
      <c r="R21"/>
      <c r="S21"/>
    </row>
    <row r="22" spans="1:19" x14ac:dyDescent="0.25">
      <c r="A22" s="67" t="s">
        <v>260</v>
      </c>
      <c r="B22" s="67" t="s">
        <v>259</v>
      </c>
      <c r="C22" s="67" t="s">
        <v>56</v>
      </c>
      <c r="D22" s="373">
        <v>29506</v>
      </c>
      <c r="E22" s="373">
        <v>287584</v>
      </c>
      <c r="F22" s="373">
        <v>864637</v>
      </c>
      <c r="L22" s="202" t="s">
        <v>631</v>
      </c>
      <c r="M22">
        <f>SUM(O33:S33)</f>
        <v>13845238</v>
      </c>
      <c r="N22">
        <f>AVERAGE(0.011,0.012,0.013,0.015,0.017,0.021,0.075)/1000</f>
        <v>2.3428571428571429E-5</v>
      </c>
      <c r="O22">
        <f>(M22)*N22</f>
        <v>324.37414742857146</v>
      </c>
      <c r="P22">
        <f t="shared" si="1"/>
        <v>5.8571428571428576E-4</v>
      </c>
      <c r="Q22">
        <f t="shared" si="1"/>
        <v>8109.3536857142863</v>
      </c>
      <c r="R22"/>
      <c r="S22"/>
    </row>
    <row r="23" spans="1:19" x14ac:dyDescent="0.25">
      <c r="A23" s="40"/>
      <c r="B23" s="40"/>
      <c r="C23" s="67" t="s">
        <v>55</v>
      </c>
      <c r="D23" s="373">
        <v>69462</v>
      </c>
      <c r="E23" s="373">
        <v>1268965</v>
      </c>
      <c r="F23" s="373">
        <v>920910</v>
      </c>
      <c r="L23" s="202" t="s">
        <v>632</v>
      </c>
      <c r="M23">
        <f>SUM(O34:S34)</f>
        <v>6032794</v>
      </c>
      <c r="N23" s="203">
        <f>0.021/100</f>
        <v>2.1000000000000001E-4</v>
      </c>
      <c r="O23">
        <f>(M23)*N23</f>
        <v>1266.8867400000001</v>
      </c>
      <c r="P23">
        <f t="shared" si="1"/>
        <v>5.2500000000000003E-3</v>
      </c>
      <c r="Q23">
        <f t="shared" si="1"/>
        <v>31672.168500000003</v>
      </c>
      <c r="R23"/>
      <c r="S23"/>
    </row>
    <row r="24" spans="1:19" x14ac:dyDescent="0.25">
      <c r="A24" s="40"/>
      <c r="B24" s="40"/>
      <c r="C24" s="67" t="s">
        <v>54</v>
      </c>
      <c r="D24" s="373">
        <v>571543</v>
      </c>
      <c r="E24" s="373">
        <v>3681778</v>
      </c>
      <c r="F24" s="373">
        <v>9783918</v>
      </c>
      <c r="L24" s="202" t="s">
        <v>633</v>
      </c>
      <c r="M24">
        <f>SUM(O35:S35)</f>
        <v>22462628</v>
      </c>
      <c r="N24"/>
      <c r="O24">
        <f>SUM(O20:O23)/SUM(M24:M24)</f>
        <v>2.877111666287921E-4</v>
      </c>
      <c r="P24"/>
      <c r="Q24">
        <f t="shared" si="1"/>
        <v>7.1927791657198023E-3</v>
      </c>
      <c r="R24"/>
      <c r="S24"/>
    </row>
    <row r="25" spans="1:19" x14ac:dyDescent="0.25">
      <c r="A25" s="40"/>
      <c r="B25" s="40"/>
      <c r="C25" s="67" t="s">
        <v>53</v>
      </c>
      <c r="D25" s="373">
        <v>475308</v>
      </c>
      <c r="E25" s="373">
        <v>4307984</v>
      </c>
      <c r="F25" s="373">
        <v>4748413</v>
      </c>
      <c r="L25"/>
      <c r="M25"/>
      <c r="N25"/>
      <c r="O25"/>
      <c r="P25"/>
      <c r="Q25"/>
      <c r="R25"/>
      <c r="S25"/>
    </row>
    <row r="26" spans="1:19" x14ac:dyDescent="0.25">
      <c r="A26" s="40"/>
      <c r="B26" s="40"/>
      <c r="C26" s="67" t="s">
        <v>50</v>
      </c>
      <c r="D26" s="373">
        <v>345613</v>
      </c>
      <c r="E26" s="373">
        <v>2752681</v>
      </c>
      <c r="F26" s="373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258</v>
      </c>
      <c r="B28"/>
      <c r="C28"/>
      <c r="D28"/>
      <c r="E28"/>
      <c r="F28"/>
      <c r="G28"/>
      <c r="H28"/>
      <c r="I28"/>
      <c r="L28" s="200" t="s">
        <v>634</v>
      </c>
      <c r="M28"/>
      <c r="N28"/>
      <c r="O28"/>
      <c r="P28"/>
      <c r="Q28"/>
      <c r="R28"/>
      <c r="S28"/>
    </row>
    <row r="29" spans="1:19" ht="15.75" thickBot="1" x14ac:dyDescent="0.3">
      <c r="A29" s="473" t="s">
        <v>257</v>
      </c>
      <c r="B29" s="473" t="s">
        <v>256</v>
      </c>
      <c r="C29" s="139"/>
      <c r="D29" s="139"/>
      <c r="E29" s="127" t="s">
        <v>255</v>
      </c>
      <c r="F29" s="139"/>
      <c r="G29" s="139"/>
      <c r="H29" s="475" t="s">
        <v>254</v>
      </c>
      <c r="I29" s="477" t="s">
        <v>253</v>
      </c>
      <c r="L29" s="201" t="s">
        <v>97</v>
      </c>
      <c r="M29"/>
      <c r="N29"/>
      <c r="O29"/>
      <c r="P29"/>
      <c r="Q29"/>
      <c r="R29"/>
      <c r="S29"/>
    </row>
    <row r="30" spans="1:19" ht="15.75" thickBot="1" x14ac:dyDescent="0.3">
      <c r="A30" s="474"/>
      <c r="B30" s="474"/>
      <c r="C30" s="138" t="s">
        <v>252</v>
      </c>
      <c r="D30" s="123" t="s">
        <v>251</v>
      </c>
      <c r="E30" s="123" t="s">
        <v>250</v>
      </c>
      <c r="F30" s="123" t="s">
        <v>249</v>
      </c>
      <c r="G30" s="123" t="s">
        <v>248</v>
      </c>
      <c r="H30" s="476"/>
      <c r="I30" s="478"/>
      <c r="L30"/>
      <c r="M30"/>
      <c r="N30"/>
      <c r="O30" s="202" t="s">
        <v>56</v>
      </c>
      <c r="P30" s="202" t="s">
        <v>55</v>
      </c>
      <c r="Q30" s="202" t="s">
        <v>54</v>
      </c>
      <c r="R30" s="202" t="s">
        <v>53</v>
      </c>
      <c r="S30" s="202" t="s">
        <v>50</v>
      </c>
    </row>
    <row r="31" spans="1:19" ht="23.25" thickBot="1" x14ac:dyDescent="0.3">
      <c r="A31" s="123">
        <v>1101</v>
      </c>
      <c r="B31" s="123" t="s">
        <v>247</v>
      </c>
      <c r="C31" s="120">
        <v>5</v>
      </c>
      <c r="D31" s="121">
        <v>2</v>
      </c>
      <c r="E31" s="121">
        <v>2</v>
      </c>
      <c r="F31" s="122">
        <v>1</v>
      </c>
      <c r="G31" s="121">
        <v>12</v>
      </c>
      <c r="H31" s="135">
        <v>22</v>
      </c>
      <c r="I31" s="120">
        <v>-8</v>
      </c>
      <c r="L31" s="202" t="s">
        <v>260</v>
      </c>
      <c r="M31" s="202" t="s">
        <v>259</v>
      </c>
      <c r="N31" s="202" t="s">
        <v>629</v>
      </c>
      <c r="O31" s="203">
        <v>193</v>
      </c>
      <c r="P31" s="203">
        <v>9306</v>
      </c>
      <c r="Q31" s="203">
        <v>52101</v>
      </c>
      <c r="R31" s="203">
        <v>17005</v>
      </c>
      <c r="S31" s="203">
        <v>10207</v>
      </c>
    </row>
    <row r="32" spans="1:19" ht="23.25" thickBot="1" x14ac:dyDescent="0.3">
      <c r="A32" s="123">
        <v>1102</v>
      </c>
      <c r="B32" s="123" t="s">
        <v>246</v>
      </c>
      <c r="C32" s="120">
        <v>3</v>
      </c>
      <c r="D32" s="121">
        <v>18</v>
      </c>
      <c r="E32" s="121">
        <v>23</v>
      </c>
      <c r="F32" s="122">
        <v>10</v>
      </c>
      <c r="G32" s="121">
        <v>46</v>
      </c>
      <c r="H32" s="134">
        <v>100</v>
      </c>
      <c r="I32" s="120">
        <v>-6</v>
      </c>
      <c r="L32"/>
      <c r="M32"/>
      <c r="N32" s="202" t="s">
        <v>630</v>
      </c>
      <c r="O32" s="203">
        <v>70</v>
      </c>
      <c r="P32" s="203">
        <v>85115</v>
      </c>
      <c r="Q32" s="203">
        <v>660688</v>
      </c>
      <c r="R32" s="203">
        <v>515966</v>
      </c>
      <c r="S32" s="203">
        <v>388786</v>
      </c>
    </row>
    <row r="33" spans="1:19" ht="23.25" thickBot="1" x14ac:dyDescent="0.3">
      <c r="A33" s="123">
        <v>1103</v>
      </c>
      <c r="B33" s="123" t="s">
        <v>245</v>
      </c>
      <c r="C33" s="120">
        <v>2</v>
      </c>
      <c r="D33" s="121">
        <v>11</v>
      </c>
      <c r="E33" s="121">
        <v>11</v>
      </c>
      <c r="F33" s="122">
        <v>9</v>
      </c>
      <c r="G33" s="121">
        <v>3</v>
      </c>
      <c r="H33" s="135">
        <v>36</v>
      </c>
      <c r="I33" s="120">
        <v>20</v>
      </c>
      <c r="L33"/>
      <c r="M33"/>
      <c r="N33" s="202" t="s">
        <v>631</v>
      </c>
      <c r="O33" s="293" t="s">
        <v>130</v>
      </c>
      <c r="P33" s="203">
        <v>3690</v>
      </c>
      <c r="Q33" s="203">
        <v>5540224</v>
      </c>
      <c r="R33" s="203">
        <v>2453606</v>
      </c>
      <c r="S33" s="203">
        <v>5847718</v>
      </c>
    </row>
    <row r="34" spans="1:19" ht="23.25" thickBot="1" x14ac:dyDescent="0.3">
      <c r="A34" s="123">
        <v>1104</v>
      </c>
      <c r="B34" s="123" t="s">
        <v>244</v>
      </c>
      <c r="C34" s="120" t="s">
        <v>19</v>
      </c>
      <c r="D34" s="122" t="s">
        <v>19</v>
      </c>
      <c r="E34" s="121" t="s">
        <v>19</v>
      </c>
      <c r="F34" s="122" t="s">
        <v>19</v>
      </c>
      <c r="G34" s="121" t="s">
        <v>19</v>
      </c>
      <c r="H34" s="137" t="s">
        <v>19</v>
      </c>
      <c r="I34" s="120">
        <v>-4</v>
      </c>
      <c r="L34"/>
      <c r="M34"/>
      <c r="N34" s="202" t="s">
        <v>632</v>
      </c>
      <c r="O34" s="203">
        <v>18906</v>
      </c>
      <c r="P34" s="203">
        <v>572397</v>
      </c>
      <c r="Q34" s="203">
        <v>3351237</v>
      </c>
      <c r="R34" s="203">
        <v>1609934</v>
      </c>
      <c r="S34" s="203">
        <v>480320</v>
      </c>
    </row>
    <row r="35" spans="1:19" ht="15.75" thickBot="1" x14ac:dyDescent="0.3">
      <c r="A35" s="123">
        <v>9911</v>
      </c>
      <c r="B35" s="123" t="s">
        <v>243</v>
      </c>
      <c r="C35" s="120" t="s">
        <v>19</v>
      </c>
      <c r="D35" s="122" t="s">
        <v>19</v>
      </c>
      <c r="E35" s="121" t="s">
        <v>19</v>
      </c>
      <c r="F35" s="122">
        <v>4</v>
      </c>
      <c r="G35" s="121" t="s">
        <v>19</v>
      </c>
      <c r="H35" s="135">
        <v>4</v>
      </c>
      <c r="I35" s="120">
        <v>2</v>
      </c>
      <c r="L35"/>
      <c r="M35"/>
      <c r="N35" s="202" t="s">
        <v>633</v>
      </c>
      <c r="O35" s="203">
        <v>864325</v>
      </c>
      <c r="P35" s="203">
        <v>670509</v>
      </c>
      <c r="Q35" s="203">
        <v>9604250</v>
      </c>
      <c r="R35" s="203">
        <v>4596512</v>
      </c>
      <c r="S35" s="203">
        <v>6727032</v>
      </c>
    </row>
    <row r="36" spans="1:19" ht="23.25" thickBot="1" x14ac:dyDescent="0.3">
      <c r="A36" s="123">
        <v>1201</v>
      </c>
      <c r="B36" s="123" t="s">
        <v>242</v>
      </c>
      <c r="C36" s="122">
        <v>848</v>
      </c>
      <c r="D36" s="120">
        <v>2359</v>
      </c>
      <c r="E36" s="120">
        <v>24420</v>
      </c>
      <c r="F36" s="121">
        <v>22801</v>
      </c>
      <c r="G36" s="120">
        <v>18657</v>
      </c>
      <c r="H36" s="136">
        <v>69085</v>
      </c>
      <c r="I36" s="120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3">
        <v>1202</v>
      </c>
      <c r="B37" s="123" t="s">
        <v>241</v>
      </c>
      <c r="C37" s="122">
        <v>505</v>
      </c>
      <c r="D37" s="120">
        <v>1349</v>
      </c>
      <c r="E37" s="120">
        <v>8183</v>
      </c>
      <c r="F37" s="121">
        <v>6354</v>
      </c>
      <c r="G37" s="120">
        <v>6057</v>
      </c>
      <c r="H37" s="136">
        <v>22448</v>
      </c>
      <c r="I37" s="120">
        <v>72</v>
      </c>
      <c r="L37" s="207" t="s">
        <v>635</v>
      </c>
      <c r="M37"/>
      <c r="N37"/>
      <c r="O37"/>
      <c r="P37"/>
      <c r="Q37"/>
      <c r="R37"/>
      <c r="S37"/>
    </row>
    <row r="38" spans="1:19" ht="23.25" thickBot="1" x14ac:dyDescent="0.3">
      <c r="A38" s="123">
        <v>1203</v>
      </c>
      <c r="B38" s="123" t="s">
        <v>240</v>
      </c>
      <c r="C38" s="122">
        <v>1082</v>
      </c>
      <c r="D38" s="120">
        <v>3051</v>
      </c>
      <c r="E38" s="120">
        <v>22312</v>
      </c>
      <c r="F38" s="121">
        <v>17972</v>
      </c>
      <c r="G38" s="120">
        <v>14772</v>
      </c>
      <c r="H38" s="136">
        <v>59189</v>
      </c>
      <c r="I38" s="120">
        <v>276</v>
      </c>
    </row>
    <row r="39" spans="1:19" ht="23.25" thickBot="1" x14ac:dyDescent="0.3">
      <c r="A39" s="123">
        <v>1204</v>
      </c>
      <c r="B39" s="123" t="s">
        <v>239</v>
      </c>
      <c r="C39" s="122">
        <v>659</v>
      </c>
      <c r="D39" s="121">
        <v>495</v>
      </c>
      <c r="E39" s="120">
        <v>10929</v>
      </c>
      <c r="F39" s="121">
        <v>12310</v>
      </c>
      <c r="G39" s="120">
        <v>8777</v>
      </c>
      <c r="H39" s="136">
        <v>33170</v>
      </c>
      <c r="I39" s="120">
        <v>2916</v>
      </c>
    </row>
    <row r="40" spans="1:19" ht="23.25" thickBot="1" x14ac:dyDescent="0.3">
      <c r="A40" s="123">
        <v>1205</v>
      </c>
      <c r="B40" s="123" t="s">
        <v>238</v>
      </c>
      <c r="C40" s="122">
        <v>247</v>
      </c>
      <c r="D40" s="121">
        <v>554</v>
      </c>
      <c r="E40" s="120">
        <v>1582</v>
      </c>
      <c r="F40" s="121">
        <v>1770</v>
      </c>
      <c r="G40" s="120">
        <v>1399</v>
      </c>
      <c r="H40" s="136">
        <v>5552</v>
      </c>
      <c r="I40" s="120">
        <v>803</v>
      </c>
    </row>
    <row r="41" spans="1:19" ht="23.25" thickBot="1" x14ac:dyDescent="0.3">
      <c r="A41" s="123">
        <v>1206</v>
      </c>
      <c r="B41" s="123" t="s">
        <v>237</v>
      </c>
      <c r="C41" s="122">
        <v>16</v>
      </c>
      <c r="D41" s="121">
        <v>20</v>
      </c>
      <c r="E41" s="121">
        <v>74</v>
      </c>
      <c r="F41" s="122">
        <v>75</v>
      </c>
      <c r="G41" s="121">
        <v>75</v>
      </c>
      <c r="H41" s="134">
        <v>260</v>
      </c>
      <c r="I41" s="120">
        <v>52</v>
      </c>
    </row>
    <row r="42" spans="1:19" ht="23.25" thickBot="1" x14ac:dyDescent="0.3">
      <c r="A42" s="123">
        <v>1231</v>
      </c>
      <c r="B42" s="123" t="s">
        <v>236</v>
      </c>
      <c r="C42" s="122">
        <v>251</v>
      </c>
      <c r="D42" s="120">
        <v>1073</v>
      </c>
      <c r="E42" s="120">
        <v>2693</v>
      </c>
      <c r="F42" s="121">
        <v>3331</v>
      </c>
      <c r="G42" s="120">
        <v>1718</v>
      </c>
      <c r="H42" s="136">
        <v>9066</v>
      </c>
      <c r="I42" s="120">
        <v>-1262</v>
      </c>
    </row>
    <row r="43" spans="1:19" ht="15.75" thickBot="1" x14ac:dyDescent="0.3">
      <c r="A43" s="123">
        <v>1232</v>
      </c>
      <c r="B43" s="123" t="s">
        <v>235</v>
      </c>
      <c r="C43" s="122">
        <v>141</v>
      </c>
      <c r="D43" s="121">
        <v>378</v>
      </c>
      <c r="E43" s="120">
        <v>1131</v>
      </c>
      <c r="F43" s="121">
        <v>688</v>
      </c>
      <c r="G43" s="120">
        <v>533</v>
      </c>
      <c r="H43" s="136">
        <v>2871</v>
      </c>
      <c r="I43" s="120">
        <v>-47</v>
      </c>
    </row>
    <row r="44" spans="1:19" ht="23.25" thickBot="1" x14ac:dyDescent="0.3">
      <c r="A44" s="123">
        <v>1233</v>
      </c>
      <c r="B44" s="123" t="s">
        <v>234</v>
      </c>
      <c r="C44" s="122">
        <v>495</v>
      </c>
      <c r="D44" s="121">
        <v>970</v>
      </c>
      <c r="E44" s="120">
        <v>2301</v>
      </c>
      <c r="F44" s="121">
        <v>2635</v>
      </c>
      <c r="G44" s="120">
        <v>1321</v>
      </c>
      <c r="H44" s="136">
        <v>7722</v>
      </c>
      <c r="I44" s="120">
        <v>-335</v>
      </c>
    </row>
    <row r="45" spans="1:19" ht="15.75" thickBot="1" x14ac:dyDescent="0.3">
      <c r="A45" s="123">
        <v>1234</v>
      </c>
      <c r="B45" s="123" t="s">
        <v>233</v>
      </c>
      <c r="C45" s="122">
        <v>75</v>
      </c>
      <c r="D45" s="121">
        <v>163</v>
      </c>
      <c r="E45" s="121">
        <v>950</v>
      </c>
      <c r="F45" s="121">
        <v>2513</v>
      </c>
      <c r="G45" s="120">
        <v>573</v>
      </c>
      <c r="H45" s="136">
        <v>4274</v>
      </c>
      <c r="I45" s="120">
        <v>684</v>
      </c>
    </row>
    <row r="46" spans="1:19" ht="15.75" thickBot="1" x14ac:dyDescent="0.3">
      <c r="A46" s="123">
        <v>1235</v>
      </c>
      <c r="B46" s="123" t="s">
        <v>232</v>
      </c>
      <c r="C46" s="122">
        <v>26</v>
      </c>
      <c r="D46" s="121">
        <v>42</v>
      </c>
      <c r="E46" s="121">
        <v>296</v>
      </c>
      <c r="F46" s="121">
        <v>693</v>
      </c>
      <c r="G46" s="120">
        <v>112</v>
      </c>
      <c r="H46" s="136">
        <v>1169</v>
      </c>
      <c r="I46" s="120">
        <v>-144</v>
      </c>
    </row>
    <row r="47" spans="1:19" ht="15.75" thickBot="1" x14ac:dyDescent="0.3">
      <c r="A47" s="123">
        <v>1236</v>
      </c>
      <c r="B47" s="123" t="s">
        <v>231</v>
      </c>
      <c r="C47" s="120" t="s">
        <v>19</v>
      </c>
      <c r="D47" s="121">
        <v>15</v>
      </c>
      <c r="E47" s="121">
        <v>14</v>
      </c>
      <c r="F47" s="122">
        <v>17</v>
      </c>
      <c r="G47" s="121">
        <v>11</v>
      </c>
      <c r="H47" s="135">
        <v>57</v>
      </c>
      <c r="I47" s="120">
        <v>-5</v>
      </c>
    </row>
    <row r="48" spans="1:19" ht="23.25" thickBot="1" x14ac:dyDescent="0.3">
      <c r="A48" s="123">
        <v>1241</v>
      </c>
      <c r="B48" s="123" t="s">
        <v>230</v>
      </c>
      <c r="C48" s="122">
        <v>23</v>
      </c>
      <c r="D48" s="121">
        <v>91</v>
      </c>
      <c r="E48" s="121">
        <v>262</v>
      </c>
      <c r="F48" s="121">
        <v>190</v>
      </c>
      <c r="G48" s="120">
        <v>127</v>
      </c>
      <c r="H48" s="134">
        <v>693</v>
      </c>
      <c r="I48" s="120">
        <v>22</v>
      </c>
    </row>
    <row r="49" spans="1:9" ht="23.25" thickBot="1" x14ac:dyDescent="0.3">
      <c r="A49" s="132">
        <v>1242</v>
      </c>
      <c r="B49" s="132" t="s">
        <v>229</v>
      </c>
      <c r="C49" s="130">
        <v>369</v>
      </c>
      <c r="D49" s="129">
        <v>271</v>
      </c>
      <c r="E49" s="128">
        <v>1733</v>
      </c>
      <c r="F49" s="129">
        <v>1437</v>
      </c>
      <c r="G49" s="128">
        <v>993</v>
      </c>
      <c r="H49" s="133">
        <v>4803</v>
      </c>
      <c r="I49" s="120">
        <v>143</v>
      </c>
    </row>
    <row r="50" spans="1:9" x14ac:dyDescent="0.25">
      <c r="A50" s="132">
        <v>1243</v>
      </c>
      <c r="B50" s="131"/>
      <c r="C50" s="130">
        <v>294</v>
      </c>
      <c r="D50" s="128">
        <v>643</v>
      </c>
      <c r="E50" s="129">
        <v>736</v>
      </c>
      <c r="F50" s="129">
        <v>1319</v>
      </c>
      <c r="G50" s="128">
        <v>985</v>
      </c>
      <c r="H50" s="128">
        <v>3977</v>
      </c>
      <c r="I50" s="128">
        <v>-34</v>
      </c>
    </row>
    <row r="51" spans="1:9" ht="15.75" thickBot="1" x14ac:dyDescent="0.3">
      <c r="A51" s="123">
        <v>9912</v>
      </c>
      <c r="B51" s="123" t="s">
        <v>228</v>
      </c>
      <c r="C51" s="120" t="s">
        <v>19</v>
      </c>
      <c r="D51" s="121">
        <v>8</v>
      </c>
      <c r="E51" s="121">
        <v>2</v>
      </c>
      <c r="F51" s="122">
        <v>2</v>
      </c>
      <c r="G51" s="121" t="s">
        <v>19</v>
      </c>
      <c r="H51" s="120">
        <v>12</v>
      </c>
      <c r="I51" s="120">
        <v>9</v>
      </c>
    </row>
    <row r="52" spans="1:9" ht="23.25" thickBot="1" x14ac:dyDescent="0.3">
      <c r="A52" s="123">
        <v>1300</v>
      </c>
      <c r="B52" s="123" t="s">
        <v>227</v>
      </c>
      <c r="C52" s="121">
        <v>1587</v>
      </c>
      <c r="D52" s="120">
        <v>2265</v>
      </c>
      <c r="E52" s="120">
        <v>4166</v>
      </c>
      <c r="F52" s="121">
        <v>1559</v>
      </c>
      <c r="G52" s="120">
        <v>1718</v>
      </c>
      <c r="H52" s="120">
        <v>11295</v>
      </c>
      <c r="I52" s="120">
        <v>106</v>
      </c>
    </row>
    <row r="53" spans="1:9" ht="15.75" thickBot="1" x14ac:dyDescent="0.3">
      <c r="A53" s="123">
        <v>9913</v>
      </c>
      <c r="B53" s="123" t="s">
        <v>226</v>
      </c>
      <c r="C53" s="122">
        <v>20</v>
      </c>
      <c r="D53" s="121">
        <v>59</v>
      </c>
      <c r="E53" s="121">
        <v>59</v>
      </c>
      <c r="F53" s="122">
        <v>2</v>
      </c>
      <c r="G53" s="121" t="s">
        <v>19</v>
      </c>
      <c r="H53" s="120">
        <v>140</v>
      </c>
      <c r="I53" s="120">
        <v>37</v>
      </c>
    </row>
    <row r="54" spans="1:9" ht="23.25" thickBot="1" x14ac:dyDescent="0.3">
      <c r="A54" s="123">
        <v>1401</v>
      </c>
      <c r="B54" s="123" t="s">
        <v>225</v>
      </c>
      <c r="C54" s="120" t="s">
        <v>19</v>
      </c>
      <c r="D54" s="121">
        <v>5</v>
      </c>
      <c r="E54" s="121">
        <v>23</v>
      </c>
      <c r="F54" s="122">
        <v>1</v>
      </c>
      <c r="G54" s="121" t="s">
        <v>19</v>
      </c>
      <c r="H54" s="120">
        <v>29</v>
      </c>
      <c r="I54" s="120">
        <v>16</v>
      </c>
    </row>
    <row r="55" spans="1:9" ht="23.25" thickBot="1" x14ac:dyDescent="0.3">
      <c r="A55" s="123">
        <v>1402</v>
      </c>
      <c r="B55" s="123" t="s">
        <v>224</v>
      </c>
      <c r="C55" s="122">
        <v>66</v>
      </c>
      <c r="D55" s="121">
        <v>76</v>
      </c>
      <c r="E55" s="121">
        <v>94</v>
      </c>
      <c r="F55" s="122">
        <v>52</v>
      </c>
      <c r="G55" s="120">
        <v>102</v>
      </c>
      <c r="H55" s="120">
        <v>390</v>
      </c>
      <c r="I55" s="120">
        <v>31</v>
      </c>
    </row>
    <row r="56" spans="1:9" ht="23.25" thickBot="1" x14ac:dyDescent="0.3">
      <c r="A56" s="123">
        <v>1403</v>
      </c>
      <c r="B56" s="123" t="s">
        <v>223</v>
      </c>
      <c r="C56" s="122">
        <v>75</v>
      </c>
      <c r="D56" s="121">
        <v>52</v>
      </c>
      <c r="E56" s="121">
        <v>1</v>
      </c>
      <c r="F56" s="121">
        <v>1476</v>
      </c>
      <c r="G56" s="121" t="s">
        <v>19</v>
      </c>
      <c r="H56" s="120">
        <v>1604</v>
      </c>
      <c r="I56" s="120">
        <v>-148</v>
      </c>
    </row>
    <row r="57" spans="1:9" ht="15.75" thickBot="1" x14ac:dyDescent="0.3">
      <c r="A57" s="123">
        <v>9914</v>
      </c>
      <c r="B57" s="123" t="s">
        <v>222</v>
      </c>
      <c r="C57" s="120" t="s">
        <v>19</v>
      </c>
      <c r="D57" s="121">
        <v>3</v>
      </c>
      <c r="E57" s="121">
        <v>9</v>
      </c>
      <c r="F57" s="122">
        <v>40</v>
      </c>
      <c r="G57" s="121" t="s">
        <v>19</v>
      </c>
      <c r="H57" s="120">
        <v>52</v>
      </c>
      <c r="I57" s="120">
        <v>18</v>
      </c>
    </row>
    <row r="58" spans="1:9" ht="34.5" thickBot="1" x14ac:dyDescent="0.3">
      <c r="A58" s="123">
        <v>1501</v>
      </c>
      <c r="B58" s="123" t="s">
        <v>221</v>
      </c>
      <c r="C58" s="122">
        <v>57</v>
      </c>
      <c r="D58" s="121">
        <v>450</v>
      </c>
      <c r="E58" s="120">
        <v>4506</v>
      </c>
      <c r="F58" s="121">
        <v>5750</v>
      </c>
      <c r="G58" s="120">
        <v>1898</v>
      </c>
      <c r="H58" s="120">
        <v>12661</v>
      </c>
      <c r="I58" s="120">
        <v>-1498</v>
      </c>
    </row>
    <row r="59" spans="1:9" ht="34.5" thickBot="1" x14ac:dyDescent="0.3">
      <c r="A59" s="123">
        <v>1511</v>
      </c>
      <c r="B59" s="123" t="s">
        <v>220</v>
      </c>
      <c r="C59" s="122">
        <v>655</v>
      </c>
      <c r="D59" s="120">
        <v>4922</v>
      </c>
      <c r="E59" s="120">
        <v>104993</v>
      </c>
      <c r="F59" s="120">
        <v>108801</v>
      </c>
      <c r="G59" s="120">
        <v>26855</v>
      </c>
      <c r="H59" s="120">
        <v>246226</v>
      </c>
      <c r="I59" s="120">
        <v>-2138</v>
      </c>
    </row>
    <row r="60" spans="1:9" ht="23.25" thickBot="1" x14ac:dyDescent="0.3">
      <c r="A60" s="123">
        <v>1512</v>
      </c>
      <c r="B60" s="123" t="s">
        <v>219</v>
      </c>
      <c r="C60" s="121">
        <v>1641</v>
      </c>
      <c r="D60" s="120">
        <v>7721</v>
      </c>
      <c r="E60" s="120">
        <v>85643</v>
      </c>
      <c r="F60" s="120">
        <v>100177</v>
      </c>
      <c r="G60" s="120">
        <v>36846</v>
      </c>
      <c r="H60" s="120">
        <v>232028</v>
      </c>
      <c r="I60" s="120">
        <v>5677</v>
      </c>
    </row>
    <row r="61" spans="1:9" ht="15.75" thickBot="1" x14ac:dyDescent="0.3">
      <c r="A61" s="123">
        <v>9915</v>
      </c>
      <c r="B61" s="123" t="s">
        <v>218</v>
      </c>
      <c r="C61" s="120" t="s">
        <v>19</v>
      </c>
      <c r="D61" s="121">
        <v>1</v>
      </c>
      <c r="E61" s="121">
        <v>4</v>
      </c>
      <c r="F61" s="122">
        <v>4</v>
      </c>
      <c r="G61" s="121" t="s">
        <v>19</v>
      </c>
      <c r="H61" s="120">
        <v>9</v>
      </c>
      <c r="I61" s="120">
        <v>-3</v>
      </c>
    </row>
    <row r="62" spans="1:9" ht="23.25" thickBot="1" x14ac:dyDescent="0.3">
      <c r="A62" s="123">
        <v>2101</v>
      </c>
      <c r="B62" s="123" t="s">
        <v>217</v>
      </c>
      <c r="C62" s="120" t="s">
        <v>19</v>
      </c>
      <c r="D62" s="121">
        <v>17</v>
      </c>
      <c r="E62" s="121">
        <v>30</v>
      </c>
      <c r="F62" s="122" t="s">
        <v>19</v>
      </c>
      <c r="G62" s="121">
        <v>13</v>
      </c>
      <c r="H62" s="120">
        <v>60</v>
      </c>
      <c r="I62" s="120">
        <v>-28</v>
      </c>
    </row>
    <row r="63" spans="1:9" ht="23.25" thickBot="1" x14ac:dyDescent="0.3">
      <c r="A63" s="123">
        <v>2102</v>
      </c>
      <c r="B63" s="123" t="s">
        <v>216</v>
      </c>
      <c r="C63" s="120" t="s">
        <v>19</v>
      </c>
      <c r="D63" s="121">
        <v>33</v>
      </c>
      <c r="E63" s="121">
        <v>140</v>
      </c>
      <c r="F63" s="122">
        <v>75</v>
      </c>
      <c r="G63" s="121" t="s">
        <v>19</v>
      </c>
      <c r="H63" s="120">
        <v>248</v>
      </c>
      <c r="I63" s="120">
        <v>-71</v>
      </c>
    </row>
    <row r="64" spans="1:9" ht="15.75" thickBot="1" x14ac:dyDescent="0.3">
      <c r="A64" s="127">
        <v>9921</v>
      </c>
      <c r="B64" s="127" t="s">
        <v>215</v>
      </c>
      <c r="C64" s="124" t="s">
        <v>19</v>
      </c>
      <c r="D64" s="126" t="s">
        <v>19</v>
      </c>
      <c r="E64" s="125" t="s">
        <v>19</v>
      </c>
      <c r="F64" s="126" t="s">
        <v>19</v>
      </c>
      <c r="G64" s="125">
        <v>50</v>
      </c>
      <c r="H64" s="124">
        <v>50</v>
      </c>
      <c r="I64" s="124">
        <v>50</v>
      </c>
    </row>
    <row r="65" spans="1:9" ht="23.25" thickBot="1" x14ac:dyDescent="0.3">
      <c r="A65" s="123">
        <v>3102</v>
      </c>
      <c r="B65" s="123" t="s">
        <v>214</v>
      </c>
      <c r="C65" s="122">
        <v>6712</v>
      </c>
      <c r="D65" s="120">
        <v>166472</v>
      </c>
      <c r="E65" s="120">
        <v>293520</v>
      </c>
      <c r="F65" s="120">
        <v>541007</v>
      </c>
      <c r="G65" s="120">
        <v>271753</v>
      </c>
      <c r="H65" s="120">
        <v>1279464</v>
      </c>
      <c r="I65" s="120">
        <v>132051</v>
      </c>
    </row>
    <row r="66" spans="1:9" ht="23.25" thickBot="1" x14ac:dyDescent="0.3">
      <c r="A66" s="123">
        <v>3105</v>
      </c>
      <c r="B66" s="123" t="s">
        <v>213</v>
      </c>
      <c r="C66" s="120" t="s">
        <v>19</v>
      </c>
      <c r="D66" s="121">
        <v>24</v>
      </c>
      <c r="E66" s="121" t="s">
        <v>19</v>
      </c>
      <c r="F66" s="122" t="s">
        <v>19</v>
      </c>
      <c r="G66" s="121" t="s">
        <v>19</v>
      </c>
      <c r="H66" s="120">
        <v>24</v>
      </c>
      <c r="I66" s="120">
        <v>-836</v>
      </c>
    </row>
    <row r="67" spans="1:9" ht="23.25" thickBot="1" x14ac:dyDescent="0.3">
      <c r="A67" s="123">
        <v>3111</v>
      </c>
      <c r="B67" s="123" t="s">
        <v>212</v>
      </c>
      <c r="C67" s="120" t="s">
        <v>19</v>
      </c>
      <c r="D67" s="120">
        <v>25005</v>
      </c>
      <c r="E67" s="120">
        <v>101840</v>
      </c>
      <c r="F67" s="120">
        <v>166634</v>
      </c>
      <c r="G67" s="120">
        <v>251586</v>
      </c>
      <c r="H67" s="120">
        <v>545065</v>
      </c>
      <c r="I67" s="120">
        <v>-1729</v>
      </c>
    </row>
    <row r="68" spans="1:9" ht="23.25" thickBot="1" x14ac:dyDescent="0.3">
      <c r="A68" s="123">
        <v>3112</v>
      </c>
      <c r="B68" s="123" t="s">
        <v>211</v>
      </c>
      <c r="C68" s="120" t="s">
        <v>19</v>
      </c>
      <c r="D68" s="121">
        <v>50</v>
      </c>
      <c r="E68" s="121" t="s">
        <v>19</v>
      </c>
      <c r="F68" s="122" t="s">
        <v>19</v>
      </c>
      <c r="G68" s="121" t="s">
        <v>19</v>
      </c>
      <c r="H68" s="120">
        <v>50</v>
      </c>
      <c r="I68" s="120">
        <v>-1</v>
      </c>
    </row>
    <row r="69" spans="1:9" ht="23.25" thickBot="1" x14ac:dyDescent="0.3">
      <c r="A69" s="123">
        <v>9931</v>
      </c>
      <c r="B69" s="123" t="s">
        <v>210</v>
      </c>
      <c r="C69" s="122">
        <v>200</v>
      </c>
      <c r="D69" s="121">
        <v>50</v>
      </c>
      <c r="E69" s="121" t="s">
        <v>19</v>
      </c>
      <c r="F69" s="122">
        <v>72</v>
      </c>
      <c r="G69" s="121" t="s">
        <v>19</v>
      </c>
      <c r="H69" s="120">
        <v>322</v>
      </c>
      <c r="I69" s="120">
        <v>57</v>
      </c>
    </row>
    <row r="70" spans="1:9" ht="23.25" thickBot="1" x14ac:dyDescent="0.3">
      <c r="A70" s="123">
        <v>3281</v>
      </c>
      <c r="B70" s="123" t="s">
        <v>209</v>
      </c>
      <c r="C70" s="120" t="s">
        <v>19</v>
      </c>
      <c r="D70" s="120">
        <v>7443</v>
      </c>
      <c r="E70" s="120">
        <v>292682</v>
      </c>
      <c r="F70" s="121">
        <v>24810</v>
      </c>
      <c r="G70" s="120">
        <v>899700</v>
      </c>
      <c r="H70" s="120">
        <v>1224635</v>
      </c>
      <c r="I70" s="120">
        <v>-9013</v>
      </c>
    </row>
    <row r="71" spans="1:9" ht="23.25" thickBot="1" x14ac:dyDescent="0.3">
      <c r="A71" s="123">
        <v>9932</v>
      </c>
      <c r="B71" s="123" t="s">
        <v>208</v>
      </c>
      <c r="C71" s="120" t="s">
        <v>19</v>
      </c>
      <c r="D71" s="122" t="s">
        <v>19</v>
      </c>
      <c r="E71" s="120">
        <v>72</v>
      </c>
      <c r="F71" s="122" t="s">
        <v>19</v>
      </c>
      <c r="G71" s="121" t="s">
        <v>19</v>
      </c>
      <c r="H71" s="120">
        <v>72</v>
      </c>
      <c r="I71" s="120">
        <v>1</v>
      </c>
    </row>
    <row r="72" spans="1:9" ht="23.25" thickBot="1" x14ac:dyDescent="0.3">
      <c r="A72" s="123">
        <v>3301</v>
      </c>
      <c r="B72" s="123" t="s">
        <v>207</v>
      </c>
      <c r="C72" s="120" t="s">
        <v>19</v>
      </c>
      <c r="D72" s="121">
        <v>50</v>
      </c>
      <c r="E72" s="121">
        <v>50</v>
      </c>
      <c r="F72" s="121">
        <v>1005</v>
      </c>
      <c r="G72" s="121" t="s">
        <v>19</v>
      </c>
      <c r="H72" s="120">
        <v>1105</v>
      </c>
      <c r="I72" s="120">
        <v>-303</v>
      </c>
    </row>
    <row r="73" spans="1:9" ht="23.25" thickBot="1" x14ac:dyDescent="0.3">
      <c r="A73" s="123">
        <v>3302</v>
      </c>
      <c r="B73" s="123" t="s">
        <v>206</v>
      </c>
      <c r="C73" s="120" t="s">
        <v>19</v>
      </c>
      <c r="D73" s="122" t="s">
        <v>19</v>
      </c>
      <c r="E73" s="121">
        <v>50</v>
      </c>
      <c r="F73" s="121">
        <v>160</v>
      </c>
      <c r="G73" s="121" t="s">
        <v>19</v>
      </c>
      <c r="H73" s="120">
        <v>210</v>
      </c>
      <c r="I73" s="120">
        <v>60</v>
      </c>
    </row>
    <row r="74" spans="1:9" ht="15.75" thickBot="1" x14ac:dyDescent="0.3">
      <c r="A74" s="123">
        <v>9933</v>
      </c>
      <c r="B74" s="123" t="s">
        <v>205</v>
      </c>
      <c r="C74" s="120" t="s">
        <v>19</v>
      </c>
      <c r="D74" s="121">
        <v>2</v>
      </c>
      <c r="E74" s="121" t="s">
        <v>19</v>
      </c>
      <c r="F74" s="122" t="s">
        <v>19</v>
      </c>
      <c r="G74" s="121">
        <v>102</v>
      </c>
      <c r="H74" s="120">
        <v>104</v>
      </c>
      <c r="I74" s="120">
        <v>-9</v>
      </c>
    </row>
    <row r="75" spans="1:9" ht="23.25" thickBot="1" x14ac:dyDescent="0.3">
      <c r="A75" s="123">
        <v>3400</v>
      </c>
      <c r="B75" s="123" t="s">
        <v>204</v>
      </c>
      <c r="C75" s="122">
        <v>363</v>
      </c>
      <c r="D75" s="120">
        <v>2327</v>
      </c>
      <c r="E75" s="121">
        <v>450</v>
      </c>
      <c r="F75" s="121">
        <v>2901</v>
      </c>
      <c r="G75" s="121">
        <v>80</v>
      </c>
      <c r="H75" s="120">
        <v>6121</v>
      </c>
      <c r="I75" s="120">
        <v>-2162</v>
      </c>
    </row>
    <row r="76" spans="1:9" ht="15.75" thickBot="1" x14ac:dyDescent="0.3">
      <c r="A76" s="123">
        <v>9934</v>
      </c>
      <c r="B76" s="123" t="s">
        <v>203</v>
      </c>
      <c r="C76" s="120" t="s">
        <v>19</v>
      </c>
      <c r="D76" s="122" t="s">
        <v>19</v>
      </c>
      <c r="E76" s="121">
        <v>12</v>
      </c>
      <c r="F76" s="122" t="s">
        <v>19</v>
      </c>
      <c r="G76" s="121" t="s">
        <v>19</v>
      </c>
      <c r="H76" s="120">
        <v>12</v>
      </c>
      <c r="I76" s="120">
        <v>0</v>
      </c>
    </row>
    <row r="77" spans="1:9" ht="23.25" thickBot="1" x14ac:dyDescent="0.3">
      <c r="A77" s="123">
        <v>3500</v>
      </c>
      <c r="B77" s="123" t="s">
        <v>202</v>
      </c>
      <c r="C77" s="122">
        <v>423</v>
      </c>
      <c r="D77" s="120">
        <v>5846</v>
      </c>
      <c r="E77" s="120">
        <v>3283</v>
      </c>
      <c r="F77" s="120">
        <v>152100</v>
      </c>
      <c r="G77" s="120">
        <v>58205</v>
      </c>
      <c r="H77" s="120">
        <v>219857</v>
      </c>
      <c r="I77" s="120">
        <v>-17037</v>
      </c>
    </row>
    <row r="78" spans="1:9" ht="23.25" thickBot="1" x14ac:dyDescent="0.3">
      <c r="A78" s="123">
        <v>9935</v>
      </c>
      <c r="B78" s="123" t="s">
        <v>201</v>
      </c>
      <c r="C78" s="120" t="s">
        <v>19</v>
      </c>
      <c r="D78" s="121">
        <v>20</v>
      </c>
      <c r="E78" s="121">
        <v>24</v>
      </c>
      <c r="F78" s="122" t="s">
        <v>19</v>
      </c>
      <c r="G78" s="121">
        <v>202</v>
      </c>
      <c r="H78" s="120">
        <v>246</v>
      </c>
      <c r="I78" s="120">
        <v>149</v>
      </c>
    </row>
    <row r="79" spans="1:9" ht="23.25" thickBot="1" x14ac:dyDescent="0.3">
      <c r="A79" s="123">
        <v>4701</v>
      </c>
      <c r="B79" s="123" t="s">
        <v>200</v>
      </c>
      <c r="C79" s="120" t="s">
        <v>19</v>
      </c>
      <c r="D79" s="122" t="s">
        <v>19</v>
      </c>
      <c r="E79" s="121" t="s">
        <v>19</v>
      </c>
      <c r="F79" s="122" t="s">
        <v>19</v>
      </c>
      <c r="G79" s="121" t="s">
        <v>19</v>
      </c>
      <c r="H79" s="120" t="s">
        <v>19</v>
      </c>
      <c r="I79" s="120">
        <v>-2</v>
      </c>
    </row>
    <row r="80" spans="1:9" ht="57" thickBot="1" x14ac:dyDescent="0.3">
      <c r="A80" s="123">
        <v>5001</v>
      </c>
      <c r="B80" s="123" t="s">
        <v>199</v>
      </c>
      <c r="C80" s="122">
        <v>38</v>
      </c>
      <c r="D80" s="121">
        <v>52</v>
      </c>
      <c r="E80" s="121">
        <v>41</v>
      </c>
      <c r="F80" s="122">
        <v>20</v>
      </c>
      <c r="G80" s="121">
        <v>25</v>
      </c>
      <c r="H80" s="120">
        <v>176</v>
      </c>
      <c r="I80" s="120">
        <v>-111</v>
      </c>
    </row>
    <row r="81" spans="1:9" ht="23.25" thickBot="1" x14ac:dyDescent="0.3">
      <c r="A81" s="123">
        <v>5002</v>
      </c>
      <c r="B81" s="123" t="s">
        <v>198</v>
      </c>
      <c r="C81" s="122">
        <v>40</v>
      </c>
      <c r="D81" s="121">
        <v>350</v>
      </c>
      <c r="E81" s="121" t="s">
        <v>19</v>
      </c>
      <c r="F81" s="122" t="s">
        <v>19</v>
      </c>
      <c r="G81" s="121">
        <v>53</v>
      </c>
      <c r="H81" s="120">
        <v>443</v>
      </c>
      <c r="I81" s="120">
        <v>-222</v>
      </c>
    </row>
    <row r="82" spans="1:9" ht="15.75" thickBot="1" x14ac:dyDescent="0.3">
      <c r="A82" s="123">
        <v>6000</v>
      </c>
      <c r="B82" s="123" t="s">
        <v>197</v>
      </c>
      <c r="C82" s="122">
        <v>134</v>
      </c>
      <c r="D82" s="121">
        <v>36</v>
      </c>
      <c r="E82" s="121">
        <v>8</v>
      </c>
      <c r="F82" s="121">
        <v>375</v>
      </c>
      <c r="G82" s="121">
        <v>78</v>
      </c>
      <c r="H82" s="120">
        <v>631</v>
      </c>
      <c r="I82" s="120">
        <v>358</v>
      </c>
    </row>
    <row r="83" spans="1:9" ht="15.75" thickBot="1" x14ac:dyDescent="0.3">
      <c r="A83" s="123">
        <v>9999</v>
      </c>
      <c r="B83" s="123" t="s">
        <v>196</v>
      </c>
      <c r="C83" s="120" t="s">
        <v>19</v>
      </c>
      <c r="D83" s="121">
        <v>23</v>
      </c>
      <c r="E83" s="121">
        <v>200</v>
      </c>
      <c r="F83" s="122" t="s">
        <v>19</v>
      </c>
      <c r="G83" s="121">
        <v>5</v>
      </c>
      <c r="H83" s="120">
        <v>228</v>
      </c>
      <c r="I83" s="120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C27" sqref="C27:G27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47" t="s">
        <v>770</v>
      </c>
      <c r="B1" s="8"/>
    </row>
    <row r="2" spans="1:23" ht="18.75" x14ac:dyDescent="0.3">
      <c r="A2" s="350"/>
      <c r="B2" s="351"/>
      <c r="C2" s="483" t="s">
        <v>771</v>
      </c>
      <c r="D2" s="484"/>
      <c r="E2" s="484"/>
      <c r="F2" s="485"/>
      <c r="G2" s="244"/>
      <c r="H2" s="244"/>
      <c r="I2" s="244"/>
    </row>
    <row r="3" spans="1:23" x14ac:dyDescent="0.25">
      <c r="A3" s="244" t="s">
        <v>622</v>
      </c>
      <c r="B3" s="244"/>
      <c r="C3" s="229">
        <v>10</v>
      </c>
      <c r="D3" s="229">
        <v>20</v>
      </c>
      <c r="E3" s="229">
        <v>30</v>
      </c>
      <c r="F3" s="229">
        <v>40</v>
      </c>
      <c r="G3" s="244" t="s">
        <v>607</v>
      </c>
      <c r="H3" s="244" t="s">
        <v>64</v>
      </c>
      <c r="I3" s="244" t="s">
        <v>784</v>
      </c>
      <c r="L3" t="s">
        <v>692</v>
      </c>
      <c r="M3" t="s">
        <v>693</v>
      </c>
      <c r="R3" t="s">
        <v>892</v>
      </c>
      <c r="U3" s="163"/>
      <c r="W3" s="449" t="e" cm="1">
        <f t="array" aca="1" ref="W3" ca="1">INDIRECT("["&amp;Overblik!$B$7&amp;".xlsm]Skovbrug!C9")</f>
        <v>#REF!</v>
      </c>
    </row>
    <row r="4" spans="1:23" ht="14.25" customHeight="1" x14ac:dyDescent="0.25">
      <c r="A4" s="244" t="s">
        <v>545</v>
      </c>
      <c r="B4" s="244" t="s">
        <v>543</v>
      </c>
      <c r="C4" s="244"/>
      <c r="D4" s="244"/>
      <c r="E4" s="244"/>
      <c r="F4" s="244"/>
      <c r="G4" s="376">
        <f>H4</f>
        <v>6.824202983588485</v>
      </c>
      <c r="H4" s="376">
        <f>(4.7+0.3+1.2)*M4</f>
        <v>6.824202983588485</v>
      </c>
      <c r="I4" s="244" t="s">
        <v>620</v>
      </c>
      <c r="L4">
        <f>(2907+204+727)*1000/Arealanvendelse!C19</f>
        <v>6.824202983588485</v>
      </c>
      <c r="M4">
        <f>L4/(4.7+0.3+1.2)</f>
        <v>1.1006779005787879</v>
      </c>
      <c r="S4" s="435">
        <v>10</v>
      </c>
      <c r="T4" s="435">
        <v>20</v>
      </c>
      <c r="U4" s="435">
        <v>30</v>
      </c>
      <c r="V4" s="435">
        <v>40</v>
      </c>
      <c r="W4" s="436">
        <v>100</v>
      </c>
    </row>
    <row r="5" spans="1:23" x14ac:dyDescent="0.25">
      <c r="A5" s="244" t="s">
        <v>545</v>
      </c>
      <c r="B5" s="244" t="s">
        <v>395</v>
      </c>
      <c r="C5" s="348"/>
      <c r="D5" s="348"/>
      <c r="E5" s="348"/>
      <c r="F5" s="348"/>
      <c r="G5" s="374">
        <f>(139+1763+205)/3826</f>
        <v>0.55070569785676948</v>
      </c>
      <c r="H5" s="376"/>
      <c r="I5" s="244"/>
      <c r="L5" t="s">
        <v>694</v>
      </c>
      <c r="M5" s="1" t="s">
        <v>604</v>
      </c>
      <c r="R5" t="s">
        <v>546</v>
      </c>
      <c r="S5" s="437" t="e">
        <f t="shared" ref="S5:W9" ca="1" si="0">SUMIFS(C$19:C$28,$A$19:$A$28,$R5,$B$19:$B$28,"Hugst")/SUMIF($A$6:$A$15,$R5,$H$6:$H$15)*$W$3</f>
        <v>#REF!</v>
      </c>
      <c r="T5" s="437" t="e">
        <f t="shared" ca="1" si="0"/>
        <v>#REF!</v>
      </c>
      <c r="U5" s="437" t="e">
        <f t="shared" ca="1" si="0"/>
        <v>#REF!</v>
      </c>
      <c r="V5" s="437" t="e">
        <f t="shared" ca="1" si="0"/>
        <v>#REF!</v>
      </c>
      <c r="W5" s="437" t="e">
        <f t="shared" ca="1" si="0"/>
        <v>#REF!</v>
      </c>
    </row>
    <row r="6" spans="1:23" x14ac:dyDescent="0.25">
      <c r="A6" s="7" t="s">
        <v>546</v>
      </c>
      <c r="B6" s="244" t="s">
        <v>543</v>
      </c>
      <c r="C6" s="273">
        <f>C19*(1-C20)</f>
        <v>0</v>
      </c>
      <c r="D6" s="273">
        <f>D19*(1-D20)</f>
        <v>0</v>
      </c>
      <c r="E6" s="273">
        <f>E19*(1-E20)</f>
        <v>0</v>
      </c>
      <c r="F6" s="273">
        <f>F19*(1-F20)</f>
        <v>1.9074743425132601</v>
      </c>
      <c r="G6" s="233"/>
      <c r="H6" s="376">
        <f>(3.1+0+0.9)*M4</f>
        <v>4.4027116023151516</v>
      </c>
      <c r="I6" s="244" t="s">
        <v>619</v>
      </c>
      <c r="L6" t="s">
        <v>546</v>
      </c>
      <c r="M6" s="1" t="s">
        <v>605</v>
      </c>
      <c r="R6" t="s">
        <v>547</v>
      </c>
      <c r="S6" s="437" t="e">
        <f t="shared" ca="1" si="0"/>
        <v>#REF!</v>
      </c>
      <c r="T6" s="437" t="e">
        <f t="shared" ca="1" si="0"/>
        <v>#REF!</v>
      </c>
      <c r="U6" s="437" t="e">
        <f t="shared" ca="1" si="0"/>
        <v>#REF!</v>
      </c>
      <c r="V6" s="437" t="e">
        <f t="shared" ca="1" si="0"/>
        <v>#REF!</v>
      </c>
      <c r="W6" s="437" t="e">
        <f t="shared" ca="1" si="0"/>
        <v>#REF!</v>
      </c>
    </row>
    <row r="7" spans="1:23" x14ac:dyDescent="0.25">
      <c r="A7" s="7" t="s">
        <v>546</v>
      </c>
      <c r="B7" s="244" t="s">
        <v>395</v>
      </c>
      <c r="C7" s="273">
        <f>C19*C20</f>
        <v>0</v>
      </c>
      <c r="D7" s="273">
        <f>D19*D20</f>
        <v>0</v>
      </c>
      <c r="E7" s="273">
        <f>E19*E20</f>
        <v>0</v>
      </c>
      <c r="F7" s="273">
        <f>F19*F20</f>
        <v>0.99644182071588216</v>
      </c>
      <c r="G7" s="233"/>
      <c r="H7" s="376"/>
      <c r="I7" s="244"/>
      <c r="L7" t="s">
        <v>547</v>
      </c>
      <c r="M7" s="1" t="s">
        <v>606</v>
      </c>
      <c r="R7" t="s">
        <v>548</v>
      </c>
      <c r="S7" s="437" t="e">
        <f t="shared" ca="1" si="0"/>
        <v>#REF!</v>
      </c>
      <c r="T7" s="437" t="e">
        <f t="shared" ca="1" si="0"/>
        <v>#REF!</v>
      </c>
      <c r="U7" s="437" t="e">
        <f t="shared" ca="1" si="0"/>
        <v>#REF!</v>
      </c>
      <c r="V7" s="437" t="e">
        <f t="shared" ca="1" si="0"/>
        <v>#REF!</v>
      </c>
      <c r="W7" s="437" t="e">
        <f t="shared" ca="1" si="0"/>
        <v>#REF!</v>
      </c>
    </row>
    <row r="8" spans="1:23" x14ac:dyDescent="0.25">
      <c r="A8" s="7" t="s">
        <v>547</v>
      </c>
      <c r="B8" s="244" t="s">
        <v>543</v>
      </c>
      <c r="C8" s="273">
        <f>C21*(1-C22)</f>
        <v>0</v>
      </c>
      <c r="D8" s="273">
        <f t="shared" ref="D8:F14" si="1">D21*(1-D22)</f>
        <v>2.2834402547600621</v>
      </c>
      <c r="E8" s="273">
        <f t="shared" si="1"/>
        <v>2.4148286821172875</v>
      </c>
      <c r="F8" s="273">
        <f t="shared" si="1"/>
        <v>1.1100056793972521</v>
      </c>
      <c r="G8" s="233"/>
      <c r="H8" s="376">
        <f>(6.2+0.7+1.6)*M4</f>
        <v>9.355762154919697</v>
      </c>
      <c r="I8" s="244" t="s">
        <v>617</v>
      </c>
      <c r="L8" t="s">
        <v>548</v>
      </c>
      <c r="M8" s="1" t="s">
        <v>610</v>
      </c>
      <c r="R8" t="s">
        <v>549</v>
      </c>
      <c r="S8" s="437" t="e">
        <f t="shared" ca="1" si="0"/>
        <v>#REF!</v>
      </c>
      <c r="T8" s="437" t="e">
        <f t="shared" ca="1" si="0"/>
        <v>#REF!</v>
      </c>
      <c r="U8" s="437" t="e">
        <f t="shared" ca="1" si="0"/>
        <v>#REF!</v>
      </c>
      <c r="V8" s="437" t="e">
        <f t="shared" ca="1" si="0"/>
        <v>#REF!</v>
      </c>
      <c r="W8" s="437" t="e">
        <f t="shared" ca="1" si="0"/>
        <v>#REF!</v>
      </c>
    </row>
    <row r="9" spans="1:23" x14ac:dyDescent="0.25">
      <c r="A9" s="7" t="s">
        <v>547</v>
      </c>
      <c r="B9" s="244" t="s">
        <v>395</v>
      </c>
      <c r="C9" s="273">
        <f>C21*C22</f>
        <v>0</v>
      </c>
      <c r="D9" s="273">
        <f>D21*D22</f>
        <v>0.57086006369001541</v>
      </c>
      <c r="E9" s="273">
        <f>E21*E22</f>
        <v>0.83590223611752268</v>
      </c>
      <c r="F9" s="273">
        <f>F21*F22</f>
        <v>0.55500283969862618</v>
      </c>
      <c r="G9" s="233"/>
      <c r="H9" s="376"/>
      <c r="I9" s="244"/>
      <c r="L9" t="s">
        <v>549</v>
      </c>
      <c r="M9" s="1" t="s">
        <v>611</v>
      </c>
      <c r="R9" t="s">
        <v>550</v>
      </c>
      <c r="S9" s="437" t="e">
        <f ca="1">SUMIFS(C$19:C$28,$A$19:$A$28,$R9,$B$19:$B$28,"Hugst")/SUMIF($A$6:$A$15,$R9,$H$6:$H$15)*$W$3</f>
        <v>#REF!</v>
      </c>
      <c r="T9" s="437" t="e">
        <f t="shared" ca="1" si="0"/>
        <v>#REF!</v>
      </c>
      <c r="U9" s="437" t="e">
        <f t="shared" ca="1" si="0"/>
        <v>#REF!</v>
      </c>
      <c r="V9" s="437" t="e">
        <f t="shared" ca="1" si="0"/>
        <v>#REF!</v>
      </c>
      <c r="W9" s="437" t="e">
        <f t="shared" ca="1" si="0"/>
        <v>#REF!</v>
      </c>
    </row>
    <row r="10" spans="1:23" x14ac:dyDescent="0.25">
      <c r="A10" s="7" t="s">
        <v>548</v>
      </c>
      <c r="B10" s="244" t="s">
        <v>543</v>
      </c>
      <c r="C10" s="273">
        <f>C23*(1-C24)</f>
        <v>0</v>
      </c>
      <c r="D10" s="273">
        <f t="shared" si="1"/>
        <v>0</v>
      </c>
      <c r="E10" s="273">
        <f t="shared" si="1"/>
        <v>0</v>
      </c>
      <c r="F10" s="273">
        <f t="shared" si="1"/>
        <v>1.3985083913236362</v>
      </c>
      <c r="G10" s="233"/>
      <c r="H10" s="376">
        <f>(4.4+0.1+0.9)*$M$4</f>
        <v>5.9436606631254554</v>
      </c>
      <c r="I10" s="244" t="s">
        <v>618</v>
      </c>
      <c r="L10" t="s">
        <v>550</v>
      </c>
      <c r="M10" s="1" t="s">
        <v>612</v>
      </c>
    </row>
    <row r="11" spans="1:23" x14ac:dyDescent="0.25">
      <c r="A11" s="7" t="s">
        <v>548</v>
      </c>
      <c r="B11" s="244" t="s">
        <v>395</v>
      </c>
      <c r="C11" s="273">
        <f>C23*C24</f>
        <v>0</v>
      </c>
      <c r="D11" s="273">
        <f>D23*D24</f>
        <v>0</v>
      </c>
      <c r="E11" s="273">
        <f>E23*E24</f>
        <v>0</v>
      </c>
      <c r="F11" s="273">
        <f>F23*F24</f>
        <v>0.7628227589038018</v>
      </c>
      <c r="G11" s="233"/>
      <c r="H11" s="376"/>
      <c r="I11" s="244"/>
    </row>
    <row r="12" spans="1:23" x14ac:dyDescent="0.25">
      <c r="A12" s="7" t="s">
        <v>549</v>
      </c>
      <c r="B12" s="244" t="s">
        <v>543</v>
      </c>
      <c r="C12" s="273">
        <f>C25*(1-C26)</f>
        <v>0</v>
      </c>
      <c r="D12" s="273">
        <f t="shared" si="1"/>
        <v>0.5798693329878496</v>
      </c>
      <c r="E12" s="273">
        <f t="shared" si="1"/>
        <v>0.62416490703553229</v>
      </c>
      <c r="F12" s="273">
        <f t="shared" si="1"/>
        <v>0.51591315655536585</v>
      </c>
      <c r="G12" s="233"/>
      <c r="H12" s="376">
        <f>(4.4+0.1+0.9)*$M$4</f>
        <v>5.9436606631254554</v>
      </c>
      <c r="I12" s="244" t="s">
        <v>618</v>
      </c>
    </row>
    <row r="13" spans="1:23" x14ac:dyDescent="0.25">
      <c r="A13" s="7" t="s">
        <v>549</v>
      </c>
      <c r="B13" s="244" t="s">
        <v>395</v>
      </c>
      <c r="C13" s="273">
        <f>C25*C26</f>
        <v>0</v>
      </c>
      <c r="D13" s="273">
        <f>D25*D26</f>
        <v>2.0295426654574724</v>
      </c>
      <c r="E13" s="273">
        <f>E25*E26</f>
        <v>0.82550842543409109</v>
      </c>
      <c r="F13" s="273">
        <f>F25*F26</f>
        <v>0.28140717630292689</v>
      </c>
      <c r="G13" s="233"/>
      <c r="H13" s="376"/>
      <c r="I13" s="244"/>
    </row>
    <row r="14" spans="1:23" x14ac:dyDescent="0.25">
      <c r="A14" s="7" t="s">
        <v>550</v>
      </c>
      <c r="B14" s="244" t="s">
        <v>543</v>
      </c>
      <c r="C14" s="273">
        <f>C27*(1-C28)</f>
        <v>0</v>
      </c>
      <c r="D14" s="273">
        <f t="shared" si="1"/>
        <v>0</v>
      </c>
      <c r="E14" s="273">
        <f t="shared" si="1"/>
        <v>0</v>
      </c>
      <c r="F14" s="273">
        <f t="shared" si="1"/>
        <v>0</v>
      </c>
      <c r="G14" s="377"/>
      <c r="H14" s="376">
        <f>(4.4+0.1+0.9)*$M$4</f>
        <v>5.9436606631254554</v>
      </c>
      <c r="I14" s="244" t="s">
        <v>618</v>
      </c>
    </row>
    <row r="15" spans="1:23" x14ac:dyDescent="0.25">
      <c r="A15" s="7" t="s">
        <v>550</v>
      </c>
      <c r="B15" s="244" t="s">
        <v>395</v>
      </c>
      <c r="C15" s="273">
        <f>C27*C28</f>
        <v>0</v>
      </c>
      <c r="D15" s="273">
        <f>D27*D28</f>
        <v>0</v>
      </c>
      <c r="E15" s="273">
        <f>E27*E28</f>
        <v>0</v>
      </c>
      <c r="F15" s="273">
        <f>F27*F28</f>
        <v>0</v>
      </c>
      <c r="G15" s="349"/>
      <c r="H15" s="244"/>
      <c r="I15" s="244"/>
    </row>
    <row r="16" spans="1:23" x14ac:dyDescent="0.25">
      <c r="H16" s="191"/>
    </row>
    <row r="18" spans="1:15" x14ac:dyDescent="0.25">
      <c r="A18" s="244"/>
      <c r="B18" s="244"/>
      <c r="C18" s="229">
        <v>10</v>
      </c>
      <c r="D18" s="229">
        <v>20</v>
      </c>
      <c r="E18" s="229">
        <v>30</v>
      </c>
      <c r="F18" s="229">
        <v>40</v>
      </c>
      <c r="G18" s="229">
        <v>100</v>
      </c>
    </row>
    <row r="19" spans="1:15" x14ac:dyDescent="0.25">
      <c r="A19" s="244" t="s">
        <v>546</v>
      </c>
      <c r="B19" s="244" t="s">
        <v>616</v>
      </c>
      <c r="C19" s="378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378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378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73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73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25">
      <c r="A20" s="244" t="s">
        <v>546</v>
      </c>
      <c r="B20" s="244" t="s">
        <v>398</v>
      </c>
      <c r="C20" s="379">
        <f>AVERAGE(C22,C24)</f>
        <v>0.9285714285714286</v>
      </c>
      <c r="D20" s="379">
        <f>AVERAGE(D22,D24)</f>
        <v>0.48888888888888882</v>
      </c>
      <c r="E20" s="379">
        <f>AVERAGE(E22,E24)</f>
        <v>0.41329365079365077</v>
      </c>
      <c r="F20" s="379">
        <f>AVERAGE(F22,F24)</f>
        <v>0.34313725490196079</v>
      </c>
      <c r="G20" s="379">
        <f>AVERAGE(G22,G24)</f>
        <v>0.43545751633986929</v>
      </c>
      <c r="K20" s="233">
        <v>10</v>
      </c>
      <c r="L20" s="233">
        <v>20</v>
      </c>
      <c r="M20" s="233">
        <v>30</v>
      </c>
      <c r="N20" s="233">
        <v>40</v>
      </c>
      <c r="O20" s="233">
        <v>100</v>
      </c>
    </row>
    <row r="21" spans="1:15" x14ac:dyDescent="0.25">
      <c r="A21" s="244" t="s">
        <v>547</v>
      </c>
      <c r="B21" s="244" t="s">
        <v>616</v>
      </c>
      <c r="C21" s="378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73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73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73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73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244" t="s">
        <v>547</v>
      </c>
      <c r="J21" s="244" t="s">
        <v>616</v>
      </c>
      <c r="K21" s="375">
        <f>1-K22-K23</f>
        <v>0.125</v>
      </c>
      <c r="L21" s="375">
        <f>1-L22-L23</f>
        <v>0.6</v>
      </c>
      <c r="M21" s="375">
        <f>1-M22-M23</f>
        <v>0.65</v>
      </c>
      <c r="N21" s="375">
        <f>1-N22-N23</f>
        <v>0.6</v>
      </c>
      <c r="O21" s="375">
        <f>1-O22-O23</f>
        <v>0.5</v>
      </c>
    </row>
    <row r="22" spans="1:15" x14ac:dyDescent="0.25">
      <c r="A22" s="244" t="s">
        <v>547</v>
      </c>
      <c r="B22" s="244" t="s">
        <v>398</v>
      </c>
      <c r="C22" s="379">
        <f>K22/SUM(K21:K22)</f>
        <v>0.8571428571428571</v>
      </c>
      <c r="D22" s="379">
        <f>L22/SUM(L21:L22)</f>
        <v>0.19999999999999998</v>
      </c>
      <c r="E22" s="379">
        <f>M22/SUM(M21:M22)</f>
        <v>0.25714285714285717</v>
      </c>
      <c r="F22" s="379">
        <f>N22/SUM(N21:N22)</f>
        <v>0.33333333333333337</v>
      </c>
      <c r="G22" s="379">
        <f>O22/SUM(O21:O22)</f>
        <v>0.44444444444444448</v>
      </c>
      <c r="I22" s="244" t="s">
        <v>547</v>
      </c>
      <c r="J22" s="244" t="s">
        <v>398</v>
      </c>
      <c r="K22" s="379">
        <f t="shared" ref="K22:O23" si="2">AVERAGE(AVERAGEIF($B$31:$J$31,K$20,$B39:$J39),AVERAGEIF($B$31:$J$31,K$20,$B47:$J47))/100</f>
        <v>0.75</v>
      </c>
      <c r="L22" s="379">
        <f t="shared" si="2"/>
        <v>0.15</v>
      </c>
      <c r="M22" s="379">
        <f t="shared" si="2"/>
        <v>0.22500000000000001</v>
      </c>
      <c r="N22" s="379">
        <f t="shared" si="2"/>
        <v>0.3</v>
      </c>
      <c r="O22" s="379">
        <f t="shared" si="2"/>
        <v>0.4</v>
      </c>
    </row>
    <row r="23" spans="1:15" x14ac:dyDescent="0.25">
      <c r="A23" s="244" t="s">
        <v>548</v>
      </c>
      <c r="B23" s="244" t="s">
        <v>616</v>
      </c>
      <c r="C23" s="378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378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378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73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73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244" t="s">
        <v>547</v>
      </c>
      <c r="J23" s="244" t="s">
        <v>621</v>
      </c>
      <c r="K23" s="379">
        <f t="shared" si="2"/>
        <v>0.125</v>
      </c>
      <c r="L23" s="379">
        <f t="shared" si="2"/>
        <v>0.25</v>
      </c>
      <c r="M23" s="379">
        <f t="shared" si="2"/>
        <v>0.125</v>
      </c>
      <c r="N23" s="379">
        <f t="shared" si="2"/>
        <v>0.1</v>
      </c>
      <c r="O23" s="379">
        <f t="shared" si="2"/>
        <v>0.1</v>
      </c>
    </row>
    <row r="24" spans="1:15" x14ac:dyDescent="0.25">
      <c r="A24" s="244" t="s">
        <v>548</v>
      </c>
      <c r="B24" s="244" t="s">
        <v>398</v>
      </c>
      <c r="C24" s="379">
        <f>K25/SUM(K24:K25)</f>
        <v>1</v>
      </c>
      <c r="D24" s="379">
        <f>L25/SUM(L24:L25)</f>
        <v>0.77777777777777768</v>
      </c>
      <c r="E24" s="379">
        <f>M25/SUM(M24:M25)</f>
        <v>0.56944444444444442</v>
      </c>
      <c r="F24" s="379">
        <f>N25/SUM(N24:N25)</f>
        <v>0.35294117647058826</v>
      </c>
      <c r="G24" s="379">
        <f>O25/SUM(O24:O25)</f>
        <v>0.42647058823529416</v>
      </c>
      <c r="H24" t="s">
        <v>618</v>
      </c>
      <c r="I24" s="244" t="s">
        <v>548</v>
      </c>
      <c r="J24" s="244" t="s">
        <v>616</v>
      </c>
      <c r="K24" s="375">
        <f>1-K25-K26</f>
        <v>0</v>
      </c>
      <c r="L24" s="375">
        <f>1-L25-L26</f>
        <v>0.20000000000000004</v>
      </c>
      <c r="M24" s="375">
        <f>1-M25-M26</f>
        <v>0.38750000000000007</v>
      </c>
      <c r="N24" s="375">
        <f>1-N25-N26</f>
        <v>0.54999999999999993</v>
      </c>
      <c r="O24" s="375">
        <f>1-O25-O26</f>
        <v>0.48749999999999993</v>
      </c>
    </row>
    <row r="25" spans="1:15" x14ac:dyDescent="0.25">
      <c r="A25" s="244" t="s">
        <v>549</v>
      </c>
      <c r="B25" s="244" t="s">
        <v>616</v>
      </c>
      <c r="C25" s="378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73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73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73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73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244" t="s">
        <v>548</v>
      </c>
      <c r="J25" s="244" t="s">
        <v>398</v>
      </c>
      <c r="K25" s="379">
        <f>AVERAGE(AVERAGEIF($B$31:$J$31,K$20,$B35:$J35),AVERAGEIF($B$31:$J$31,K$20,$B43:$J43))/100</f>
        <v>0.85</v>
      </c>
      <c r="L25" s="379">
        <f t="shared" ref="L25:O26" si="3">AVERAGE(AVERAGEIF($B$31:$J$31,L$20,$B35:$J35),AVERAGEIF($B$31:$J$31,L$20,$B43:$J43))/100</f>
        <v>0.7</v>
      </c>
      <c r="M25" s="379">
        <f t="shared" si="3"/>
        <v>0.51249999999999996</v>
      </c>
      <c r="N25" s="379">
        <f t="shared" si="3"/>
        <v>0.3</v>
      </c>
      <c r="O25" s="379">
        <f t="shared" si="3"/>
        <v>0.36249999999999999</v>
      </c>
    </row>
    <row r="26" spans="1:15" x14ac:dyDescent="0.25">
      <c r="A26" s="244" t="s">
        <v>549</v>
      </c>
      <c r="B26" s="244" t="s">
        <v>398</v>
      </c>
      <c r="C26" s="379">
        <f>C24</f>
        <v>1</v>
      </c>
      <c r="D26" s="379">
        <f>D24</f>
        <v>0.77777777777777768</v>
      </c>
      <c r="E26" s="379">
        <f>E24</f>
        <v>0.56944444444444442</v>
      </c>
      <c r="F26" s="379">
        <f>F24</f>
        <v>0.35294117647058826</v>
      </c>
      <c r="G26" s="379">
        <f>G24</f>
        <v>0.42647058823529416</v>
      </c>
      <c r="I26" s="244" t="s">
        <v>548</v>
      </c>
      <c r="J26" s="244" t="s">
        <v>621</v>
      </c>
      <c r="K26" s="379">
        <f>AVERAGE(AVERAGEIF($B$31:$J$31,K$20,$B36:$J36),AVERAGEIF($B$31:$J$31,K$20,$B44:$J44))/100</f>
        <v>0.15</v>
      </c>
      <c r="L26" s="379">
        <f t="shared" si="3"/>
        <v>0.1</v>
      </c>
      <c r="M26" s="379">
        <f t="shared" si="3"/>
        <v>0.1</v>
      </c>
      <c r="N26" s="379">
        <f t="shared" si="3"/>
        <v>0.15</v>
      </c>
      <c r="O26" s="379">
        <f t="shared" si="3"/>
        <v>0.15</v>
      </c>
    </row>
    <row r="27" spans="1:15" x14ac:dyDescent="0.25">
      <c r="A27" s="244" t="s">
        <v>550</v>
      </c>
      <c r="B27" s="244" t="s">
        <v>616</v>
      </c>
      <c r="C27" s="378">
        <f>IFERROR($H14*SUMIFS('Kulstofoptag,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D27" s="378">
        <f>IFERROR($H14*SUMIFS('Kulstofoptag,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E27" s="378">
        <f>IFERROR($H14*SUMIFS('Kulstofoptag,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F27" s="378">
        <f>IFERROR($H14*SUMIFS('Kulstofoptag,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  <c r="G27" s="378">
        <f>IFERROR($H14*SUMIFS('Kulstofoptag,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høst")),0)</f>
        <v>0</v>
      </c>
    </row>
    <row r="28" spans="1:15" x14ac:dyDescent="0.25">
      <c r="A28" s="244" t="s">
        <v>550</v>
      </c>
      <c r="B28" s="244" t="s">
        <v>398</v>
      </c>
      <c r="C28" s="379">
        <f>C24</f>
        <v>1</v>
      </c>
      <c r="D28" s="379">
        <f>D24</f>
        <v>0.77777777777777768</v>
      </c>
      <c r="E28" s="379">
        <f>E24</f>
        <v>0.56944444444444442</v>
      </c>
      <c r="F28" s="379">
        <f>F24</f>
        <v>0.35294117647058826</v>
      </c>
      <c r="G28" s="379">
        <f>G24</f>
        <v>0.42647058823529416</v>
      </c>
    </row>
    <row r="30" spans="1:15" x14ac:dyDescent="0.25">
      <c r="A30" t="s">
        <v>801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380" t="s">
        <v>785</v>
      </c>
      <c r="B32" s="381" t="s">
        <v>798</v>
      </c>
      <c r="C32" s="381" t="s">
        <v>793</v>
      </c>
      <c r="D32" s="381" t="s">
        <v>794</v>
      </c>
      <c r="E32" s="381" t="s">
        <v>799</v>
      </c>
      <c r="F32" s="381" t="s">
        <v>795</v>
      </c>
      <c r="G32" s="381" t="s">
        <v>796</v>
      </c>
      <c r="H32" s="381" t="s">
        <v>797</v>
      </c>
      <c r="I32" s="381" t="s">
        <v>786</v>
      </c>
      <c r="J32" s="381" t="s">
        <v>800</v>
      </c>
    </row>
    <row r="33" spans="1:10" ht="15.75" thickBot="1" x14ac:dyDescent="0.3">
      <c r="A33" s="480" t="s">
        <v>787</v>
      </c>
      <c r="B33" s="481"/>
      <c r="C33" s="382"/>
      <c r="D33" s="382"/>
      <c r="E33" s="482"/>
      <c r="F33" s="482"/>
      <c r="G33" s="382"/>
      <c r="H33" s="382"/>
      <c r="I33" s="382"/>
      <c r="J33" s="383"/>
    </row>
    <row r="34" spans="1:10" ht="15.75" thickBot="1" x14ac:dyDescent="0.3">
      <c r="A34" s="384" t="s">
        <v>788</v>
      </c>
      <c r="B34" s="385">
        <v>0</v>
      </c>
      <c r="C34" s="385">
        <v>0</v>
      </c>
      <c r="D34" s="385">
        <v>20</v>
      </c>
      <c r="E34" s="385">
        <v>30</v>
      </c>
      <c r="F34" s="385">
        <v>40</v>
      </c>
      <c r="G34" s="385">
        <v>50</v>
      </c>
      <c r="H34" s="385">
        <v>55</v>
      </c>
      <c r="I34" s="385">
        <v>50</v>
      </c>
      <c r="J34" s="385">
        <v>45</v>
      </c>
    </row>
    <row r="35" spans="1:10" ht="15.75" thickBot="1" x14ac:dyDescent="0.3">
      <c r="A35" s="384" t="s">
        <v>789</v>
      </c>
      <c r="B35" s="385">
        <v>80</v>
      </c>
      <c r="C35" s="385">
        <v>90</v>
      </c>
      <c r="D35" s="385">
        <v>70</v>
      </c>
      <c r="E35" s="385">
        <v>60</v>
      </c>
      <c r="F35" s="385">
        <v>50</v>
      </c>
      <c r="G35" s="385">
        <v>35</v>
      </c>
      <c r="H35" s="385">
        <v>30</v>
      </c>
      <c r="I35" s="385">
        <v>35</v>
      </c>
      <c r="J35" s="385">
        <v>40</v>
      </c>
    </row>
    <row r="36" spans="1:10" ht="15.75" thickBot="1" x14ac:dyDescent="0.3">
      <c r="A36" s="384" t="s">
        <v>790</v>
      </c>
      <c r="B36" s="385">
        <v>20</v>
      </c>
      <c r="C36" s="385">
        <v>10</v>
      </c>
      <c r="D36" s="385">
        <v>10</v>
      </c>
      <c r="E36" s="385">
        <v>10</v>
      </c>
      <c r="F36" s="385">
        <v>10</v>
      </c>
      <c r="G36" s="385">
        <v>15</v>
      </c>
      <c r="H36" s="385">
        <v>15</v>
      </c>
      <c r="I36" s="385">
        <v>15</v>
      </c>
      <c r="J36" s="385">
        <v>15</v>
      </c>
    </row>
    <row r="37" spans="1:10" ht="15.75" thickBot="1" x14ac:dyDescent="0.3">
      <c r="A37" s="480" t="s">
        <v>791</v>
      </c>
      <c r="B37" s="481"/>
      <c r="C37" s="382"/>
      <c r="D37" s="382"/>
      <c r="E37" s="482"/>
      <c r="F37" s="482"/>
      <c r="G37" s="382"/>
      <c r="H37" s="382"/>
      <c r="I37" s="382"/>
      <c r="J37" s="383"/>
    </row>
    <row r="38" spans="1:10" ht="15.75" thickBot="1" x14ac:dyDescent="0.3">
      <c r="A38" s="384" t="s">
        <v>788</v>
      </c>
      <c r="B38" s="385">
        <v>0</v>
      </c>
      <c r="C38" s="385">
        <v>25</v>
      </c>
      <c r="D38" s="385">
        <v>60</v>
      </c>
      <c r="E38" s="385">
        <v>65</v>
      </c>
      <c r="F38" s="385">
        <v>65</v>
      </c>
      <c r="G38" s="385">
        <v>60</v>
      </c>
      <c r="H38" s="385">
        <v>60</v>
      </c>
      <c r="I38" s="385">
        <v>50</v>
      </c>
      <c r="J38" s="385">
        <v>50</v>
      </c>
    </row>
    <row r="39" spans="1:10" ht="15.75" thickBot="1" x14ac:dyDescent="0.3">
      <c r="A39" s="384" t="s">
        <v>789</v>
      </c>
      <c r="B39" s="385">
        <v>90</v>
      </c>
      <c r="C39" s="385">
        <v>60</v>
      </c>
      <c r="D39" s="385">
        <v>15</v>
      </c>
      <c r="E39" s="385">
        <v>20</v>
      </c>
      <c r="F39" s="385">
        <v>25</v>
      </c>
      <c r="G39" s="385">
        <v>30</v>
      </c>
      <c r="H39" s="385">
        <v>30</v>
      </c>
      <c r="I39" s="385">
        <v>40</v>
      </c>
      <c r="J39" s="385">
        <v>40</v>
      </c>
    </row>
    <row r="40" spans="1:10" ht="15.75" thickBot="1" x14ac:dyDescent="0.3">
      <c r="A40" s="384" t="s">
        <v>790</v>
      </c>
      <c r="B40" s="385">
        <v>10</v>
      </c>
      <c r="C40" s="385">
        <v>15</v>
      </c>
      <c r="D40" s="385">
        <v>25</v>
      </c>
      <c r="E40" s="385">
        <v>15</v>
      </c>
      <c r="F40" s="385">
        <v>10</v>
      </c>
      <c r="G40" s="385">
        <v>10</v>
      </c>
      <c r="H40" s="385">
        <v>10</v>
      </c>
      <c r="I40" s="385">
        <v>10</v>
      </c>
      <c r="J40" s="385">
        <v>10</v>
      </c>
    </row>
    <row r="41" spans="1:10" ht="15.75" thickBot="1" x14ac:dyDescent="0.3">
      <c r="A41" s="480" t="s">
        <v>792</v>
      </c>
      <c r="B41" s="481"/>
      <c r="C41" s="382"/>
      <c r="D41" s="382"/>
      <c r="E41" s="482"/>
      <c r="F41" s="482"/>
      <c r="G41" s="382"/>
      <c r="H41" s="382"/>
      <c r="I41" s="382"/>
      <c r="J41" s="383"/>
    </row>
    <row r="42" spans="1:10" ht="15.75" thickBot="1" x14ac:dyDescent="0.3">
      <c r="A42" s="384" t="s">
        <v>788</v>
      </c>
      <c r="B42" s="385">
        <v>0</v>
      </c>
      <c r="C42" s="385">
        <v>0</v>
      </c>
      <c r="D42" s="385">
        <v>20</v>
      </c>
      <c r="E42" s="385">
        <v>35</v>
      </c>
      <c r="F42" s="385">
        <v>50</v>
      </c>
      <c r="G42" s="385">
        <v>55</v>
      </c>
      <c r="H42" s="385">
        <v>60</v>
      </c>
      <c r="I42" s="385">
        <v>55</v>
      </c>
      <c r="J42" s="385">
        <v>45</v>
      </c>
    </row>
    <row r="43" spans="1:10" ht="15.75" thickBot="1" x14ac:dyDescent="0.3">
      <c r="A43" s="384" t="s">
        <v>789</v>
      </c>
      <c r="B43" s="385">
        <v>80</v>
      </c>
      <c r="C43" s="385">
        <v>90</v>
      </c>
      <c r="D43" s="385">
        <v>70</v>
      </c>
      <c r="E43" s="385">
        <v>55</v>
      </c>
      <c r="F43" s="385">
        <v>40</v>
      </c>
      <c r="G43" s="385">
        <v>30</v>
      </c>
      <c r="H43" s="385">
        <v>25</v>
      </c>
      <c r="I43" s="385">
        <v>30</v>
      </c>
      <c r="J43" s="385">
        <v>40</v>
      </c>
    </row>
    <row r="44" spans="1:10" ht="15.75" thickBot="1" x14ac:dyDescent="0.3">
      <c r="A44" s="384" t="s">
        <v>790</v>
      </c>
      <c r="B44" s="385">
        <v>20</v>
      </c>
      <c r="C44" s="385">
        <v>10</v>
      </c>
      <c r="D44" s="385">
        <v>10</v>
      </c>
      <c r="E44" s="385">
        <v>10</v>
      </c>
      <c r="F44" s="385">
        <v>10</v>
      </c>
      <c r="G44" s="385">
        <v>15</v>
      </c>
      <c r="H44" s="385">
        <v>15</v>
      </c>
      <c r="I44" s="385">
        <v>15</v>
      </c>
      <c r="J44" s="385">
        <v>15</v>
      </c>
    </row>
    <row r="45" spans="1:10" ht="15.75" thickBot="1" x14ac:dyDescent="0.3">
      <c r="A45" s="480" t="s">
        <v>791</v>
      </c>
      <c r="B45" s="481"/>
      <c r="C45" s="382"/>
      <c r="D45" s="382"/>
      <c r="E45" s="482"/>
      <c r="F45" s="482"/>
      <c r="G45" s="382"/>
      <c r="H45" s="382"/>
      <c r="I45" s="382"/>
      <c r="J45" s="383"/>
    </row>
    <row r="46" spans="1:10" ht="15.75" thickBot="1" x14ac:dyDescent="0.3">
      <c r="A46" s="384" t="s">
        <v>788</v>
      </c>
      <c r="B46" s="385">
        <v>0</v>
      </c>
      <c r="C46" s="385">
        <v>25</v>
      </c>
      <c r="D46" s="385">
        <v>60</v>
      </c>
      <c r="E46" s="385">
        <v>65</v>
      </c>
      <c r="F46" s="385">
        <v>65</v>
      </c>
      <c r="G46" s="385">
        <v>60</v>
      </c>
      <c r="H46" s="385">
        <v>60</v>
      </c>
      <c r="I46" s="385">
        <v>50</v>
      </c>
      <c r="J46" s="385">
        <v>50</v>
      </c>
    </row>
    <row r="47" spans="1:10" ht="15.75" thickBot="1" x14ac:dyDescent="0.3">
      <c r="A47" s="384" t="s">
        <v>789</v>
      </c>
      <c r="B47" s="385">
        <v>90</v>
      </c>
      <c r="C47" s="385">
        <v>60</v>
      </c>
      <c r="D47" s="385">
        <v>15</v>
      </c>
      <c r="E47" s="385">
        <v>20</v>
      </c>
      <c r="F47" s="385">
        <v>25</v>
      </c>
      <c r="G47" s="385">
        <v>30</v>
      </c>
      <c r="H47" s="385">
        <v>30</v>
      </c>
      <c r="I47" s="385">
        <v>40</v>
      </c>
      <c r="J47" s="385">
        <v>40</v>
      </c>
    </row>
    <row r="48" spans="1:10" ht="15.75" thickBot="1" x14ac:dyDescent="0.3">
      <c r="A48" s="384" t="s">
        <v>790</v>
      </c>
      <c r="B48" s="385">
        <v>10</v>
      </c>
      <c r="C48" s="385">
        <v>15</v>
      </c>
      <c r="D48" s="385">
        <v>25</v>
      </c>
      <c r="E48" s="385">
        <v>15</v>
      </c>
      <c r="F48" s="385">
        <v>10</v>
      </c>
      <c r="G48" s="385">
        <v>10</v>
      </c>
      <c r="H48" s="385">
        <v>10</v>
      </c>
      <c r="I48" s="385">
        <v>10</v>
      </c>
      <c r="J48" s="385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D12" sqref="D12:I12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44" t="s">
        <v>613</v>
      </c>
      <c r="B1" s="244"/>
      <c r="C1" s="244"/>
      <c r="D1" s="229">
        <v>10</v>
      </c>
      <c r="E1" s="229">
        <v>20</v>
      </c>
      <c r="F1" s="229">
        <v>30</v>
      </c>
      <c r="G1" s="229">
        <v>40</v>
      </c>
      <c r="H1" s="229">
        <v>100</v>
      </c>
      <c r="I1" s="244" t="s">
        <v>607</v>
      </c>
    </row>
    <row r="2" spans="1:14" x14ac:dyDescent="0.25">
      <c r="A2" s="7" t="s">
        <v>604</v>
      </c>
      <c r="B2" s="244" t="s">
        <v>545</v>
      </c>
      <c r="C2" s="244" t="s">
        <v>608</v>
      </c>
      <c r="D2" s="225">
        <f>B74</f>
        <v>1</v>
      </c>
      <c r="E2" s="225">
        <f>C74</f>
        <v>1</v>
      </c>
      <c r="F2" s="225">
        <f>D74</f>
        <v>1</v>
      </c>
      <c r="G2" s="225">
        <f>E74</f>
        <v>1</v>
      </c>
      <c r="H2" s="225">
        <f>F74</f>
        <v>1</v>
      </c>
      <c r="I2" s="225">
        <f>F74</f>
        <v>1</v>
      </c>
    </row>
    <row r="3" spans="1:14" x14ac:dyDescent="0.25">
      <c r="A3" s="7"/>
      <c r="B3" s="244" t="s">
        <v>545</v>
      </c>
      <c r="C3" s="244" t="s">
        <v>609</v>
      </c>
      <c r="D3" s="370">
        <v>5</v>
      </c>
      <c r="E3" s="370">
        <v>5</v>
      </c>
      <c r="F3" s="370">
        <v>5</v>
      </c>
      <c r="G3" s="370">
        <v>5</v>
      </c>
      <c r="H3" s="370">
        <v>5</v>
      </c>
      <c r="I3" s="370">
        <v>5</v>
      </c>
      <c r="J3" s="371" t="s">
        <v>894</v>
      </c>
      <c r="K3" s="371"/>
      <c r="N3" s="1"/>
    </row>
    <row r="4" spans="1:14" x14ac:dyDescent="0.25">
      <c r="A4" s="7" t="s">
        <v>605</v>
      </c>
      <c r="B4" s="7" t="s">
        <v>546</v>
      </c>
      <c r="C4" s="244" t="s">
        <v>608</v>
      </c>
      <c r="D4" s="225">
        <f>AVERAGE(B32,B29)</f>
        <v>2.5</v>
      </c>
      <c r="E4" s="225">
        <f t="shared" ref="E4:G5" si="0">AVERAGE(C32,C29)</f>
        <v>5.5</v>
      </c>
      <c r="F4" s="225">
        <f t="shared" si="0"/>
        <v>14</v>
      </c>
      <c r="G4" s="225">
        <f t="shared" si="0"/>
        <v>14.5</v>
      </c>
      <c r="H4" s="225">
        <f>AVERAGE(F32,F29)</f>
        <v>5.5</v>
      </c>
      <c r="I4" s="225">
        <f>AVERAGE(F32,F29)</f>
        <v>5.5</v>
      </c>
      <c r="N4" s="1"/>
    </row>
    <row r="5" spans="1:14" x14ac:dyDescent="0.25">
      <c r="A5" s="7"/>
      <c r="B5" s="7" t="s">
        <v>546</v>
      </c>
      <c r="C5" s="244" t="s">
        <v>609</v>
      </c>
      <c r="D5" s="225">
        <f>AVERAGE(B33,B30)</f>
        <v>0</v>
      </c>
      <c r="E5" s="225">
        <f t="shared" si="0"/>
        <v>0</v>
      </c>
      <c r="F5" s="225">
        <f t="shared" si="0"/>
        <v>0</v>
      </c>
      <c r="G5" s="225">
        <f t="shared" si="0"/>
        <v>15.5</v>
      </c>
      <c r="H5" s="225">
        <f>AVERAGE(F33,F30)</f>
        <v>8</v>
      </c>
      <c r="I5" s="225">
        <f>AVERAGE(F33,F30)</f>
        <v>8</v>
      </c>
      <c r="N5" s="1"/>
    </row>
    <row r="6" spans="1:14" x14ac:dyDescent="0.25">
      <c r="A6" s="7" t="s">
        <v>606</v>
      </c>
      <c r="B6" s="7" t="s">
        <v>547</v>
      </c>
      <c r="C6" s="244" t="s">
        <v>608</v>
      </c>
      <c r="D6" s="225">
        <f t="shared" ref="D6:H7" si="1">AVERAGE(B47,B50)</f>
        <v>12.5</v>
      </c>
      <c r="E6" s="225">
        <f t="shared" si="1"/>
        <v>16</v>
      </c>
      <c r="F6" s="225">
        <f t="shared" si="1"/>
        <v>0.5</v>
      </c>
      <c r="G6" s="225">
        <f t="shared" si="1"/>
        <v>12.5</v>
      </c>
      <c r="H6" s="225">
        <f t="shared" si="1"/>
        <v>6</v>
      </c>
      <c r="I6" s="225">
        <f>AVERAGE(F47,F50)</f>
        <v>6</v>
      </c>
      <c r="N6" s="1"/>
    </row>
    <row r="7" spans="1:14" x14ac:dyDescent="0.25">
      <c r="A7" s="7"/>
      <c r="B7" s="7" t="s">
        <v>547</v>
      </c>
      <c r="C7" s="244" t="s">
        <v>609</v>
      </c>
      <c r="D7" s="225">
        <f t="shared" si="1"/>
        <v>0</v>
      </c>
      <c r="E7" s="225">
        <f t="shared" si="1"/>
        <v>18</v>
      </c>
      <c r="F7" s="225">
        <f t="shared" si="1"/>
        <v>20.5</v>
      </c>
      <c r="G7" s="225">
        <f t="shared" si="1"/>
        <v>10.5</v>
      </c>
      <c r="H7" s="225">
        <f t="shared" si="1"/>
        <v>10</v>
      </c>
      <c r="I7" s="225">
        <f>AVERAGE(F48,F51)</f>
        <v>10</v>
      </c>
      <c r="N7" s="1"/>
    </row>
    <row r="8" spans="1:14" x14ac:dyDescent="0.25">
      <c r="A8" s="7" t="s">
        <v>610</v>
      </c>
      <c r="B8" s="7" t="s">
        <v>548</v>
      </c>
      <c r="C8" s="244" t="s">
        <v>608</v>
      </c>
      <c r="D8" s="225">
        <f t="shared" ref="D8:H9" si="2">AVERAGE(B23,B26,B20,B17)</f>
        <v>2.5</v>
      </c>
      <c r="E8" s="225">
        <f t="shared" si="2"/>
        <v>4.25</v>
      </c>
      <c r="F8" s="225">
        <f t="shared" si="2"/>
        <v>13.75</v>
      </c>
      <c r="G8" s="225">
        <f t="shared" si="2"/>
        <v>13.25</v>
      </c>
      <c r="H8" s="225">
        <f t="shared" si="2"/>
        <v>5.25</v>
      </c>
      <c r="I8" s="225">
        <f>AVERAGE(F23,F26,F20,F17)</f>
        <v>5.25</v>
      </c>
      <c r="N8" s="1"/>
    </row>
    <row r="9" spans="1:14" x14ac:dyDescent="0.25">
      <c r="A9" s="7"/>
      <c r="B9" s="7" t="s">
        <v>548</v>
      </c>
      <c r="C9" s="244" t="s">
        <v>609</v>
      </c>
      <c r="D9" s="225">
        <f t="shared" si="2"/>
        <v>0</v>
      </c>
      <c r="E9" s="225">
        <f t="shared" si="2"/>
        <v>0</v>
      </c>
      <c r="F9" s="225">
        <f t="shared" si="2"/>
        <v>0</v>
      </c>
      <c r="G9" s="225">
        <f t="shared" si="2"/>
        <v>4</v>
      </c>
      <c r="H9" s="225">
        <f t="shared" si="2"/>
        <v>7</v>
      </c>
      <c r="I9" s="225">
        <f>AVERAGE(F24,F27,F21,F18)</f>
        <v>7</v>
      </c>
    </row>
    <row r="10" spans="1:14" x14ac:dyDescent="0.25">
      <c r="A10" s="7" t="s">
        <v>611</v>
      </c>
      <c r="B10" s="7" t="s">
        <v>549</v>
      </c>
      <c r="C10" s="244" t="s">
        <v>608</v>
      </c>
      <c r="D10" s="225">
        <f t="shared" ref="D10:H11" si="3">AVERAGE(B41,B44)</f>
        <v>9.5</v>
      </c>
      <c r="E10" s="225">
        <f t="shared" si="3"/>
        <v>8</v>
      </c>
      <c r="F10" s="225">
        <f t="shared" si="3"/>
        <v>4.5</v>
      </c>
      <c r="G10" s="225">
        <f t="shared" si="3"/>
        <v>13</v>
      </c>
      <c r="H10" s="225">
        <f t="shared" si="3"/>
        <v>5.5</v>
      </c>
      <c r="I10" s="225">
        <f>AVERAGE(F41,F44)</f>
        <v>5.5</v>
      </c>
    </row>
    <row r="11" spans="1:14" x14ac:dyDescent="0.25">
      <c r="A11" s="7"/>
      <c r="B11" s="7" t="s">
        <v>549</v>
      </c>
      <c r="C11" s="244" t="s">
        <v>609</v>
      </c>
      <c r="D11" s="225">
        <f t="shared" si="3"/>
        <v>0</v>
      </c>
      <c r="E11" s="225">
        <f t="shared" si="3"/>
        <v>18</v>
      </c>
      <c r="F11" s="225">
        <f t="shared" si="3"/>
        <v>10</v>
      </c>
      <c r="G11" s="225">
        <f t="shared" si="3"/>
        <v>5.5</v>
      </c>
      <c r="H11" s="225">
        <f t="shared" si="3"/>
        <v>7.5</v>
      </c>
      <c r="I11" s="225">
        <f>AVERAGE(F42,F45)</f>
        <v>7.5</v>
      </c>
    </row>
    <row r="12" spans="1:14" x14ac:dyDescent="0.25">
      <c r="A12" s="7" t="s">
        <v>947</v>
      </c>
      <c r="B12" s="7" t="s">
        <v>550</v>
      </c>
      <c r="C12" s="244" t="s">
        <v>608</v>
      </c>
      <c r="D12" s="448">
        <v>10</v>
      </c>
      <c r="E12" s="448">
        <v>10</v>
      </c>
      <c r="F12" s="448">
        <v>10</v>
      </c>
      <c r="G12" s="448">
        <v>10</v>
      </c>
      <c r="H12" s="448">
        <v>10</v>
      </c>
      <c r="I12" s="448">
        <v>10</v>
      </c>
    </row>
    <row r="13" spans="1:14" x14ac:dyDescent="0.25">
      <c r="A13" s="244" t="s">
        <v>948</v>
      </c>
      <c r="B13" s="7" t="s">
        <v>550</v>
      </c>
      <c r="C13" s="244" t="s">
        <v>609</v>
      </c>
      <c r="D13" s="448">
        <f>AVERAGE(B66)</f>
        <v>0</v>
      </c>
      <c r="E13" s="448">
        <f t="shared" ref="E13:I13" si="4">AVERAGE(C66)</f>
        <v>0</v>
      </c>
      <c r="F13" s="448">
        <f t="shared" si="4"/>
        <v>0</v>
      </c>
      <c r="G13" s="448">
        <f t="shared" si="4"/>
        <v>0</v>
      </c>
      <c r="H13" s="448">
        <f t="shared" si="4"/>
        <v>0</v>
      </c>
      <c r="I13" s="448">
        <f t="shared" si="4"/>
        <v>0</v>
      </c>
    </row>
    <row r="14" spans="1:14" ht="15.75" thickBot="1" x14ac:dyDescent="0.3"/>
    <row r="15" spans="1:14" ht="15.75" thickBot="1" x14ac:dyDescent="0.3">
      <c r="A15" s="285" t="s">
        <v>1</v>
      </c>
      <c r="B15" s="286" t="s">
        <v>572</v>
      </c>
      <c r="C15" s="287" t="s">
        <v>573</v>
      </c>
      <c r="D15" s="287" t="s">
        <v>574</v>
      </c>
      <c r="E15" s="287" t="s">
        <v>575</v>
      </c>
      <c r="F15" s="287" t="s">
        <v>576</v>
      </c>
      <c r="G15" s="287" t="s">
        <v>577</v>
      </c>
      <c r="H15" s="291"/>
    </row>
    <row r="16" spans="1:14" ht="15.75" thickBot="1" x14ac:dyDescent="0.3">
      <c r="A16" s="288" t="s">
        <v>578</v>
      </c>
      <c r="B16" s="289">
        <v>28</v>
      </c>
      <c r="C16" s="289">
        <v>90</v>
      </c>
      <c r="D16" s="289">
        <v>306</v>
      </c>
      <c r="E16" s="289">
        <v>425</v>
      </c>
      <c r="F16" s="289">
        <v>792</v>
      </c>
      <c r="G16" s="289"/>
      <c r="H16" s="292"/>
    </row>
    <row r="17" spans="1:8" ht="15.75" thickBot="1" x14ac:dyDescent="0.3">
      <c r="A17" s="288" t="s">
        <v>579</v>
      </c>
      <c r="B17" s="289">
        <v>3</v>
      </c>
      <c r="C17" s="289">
        <v>6</v>
      </c>
      <c r="D17" s="289">
        <v>22</v>
      </c>
      <c r="E17" s="289">
        <v>12</v>
      </c>
      <c r="F17" s="289">
        <v>6</v>
      </c>
      <c r="G17" s="289">
        <v>8</v>
      </c>
      <c r="H17" s="292"/>
    </row>
    <row r="18" spans="1:8" ht="15.75" thickBot="1" x14ac:dyDescent="0.3">
      <c r="A18" s="288" t="s">
        <v>580</v>
      </c>
      <c r="B18" s="289">
        <v>0</v>
      </c>
      <c r="C18" s="289">
        <v>0</v>
      </c>
      <c r="D18" s="289">
        <v>0</v>
      </c>
      <c r="E18" s="289">
        <v>11</v>
      </c>
      <c r="F18" s="289">
        <v>11</v>
      </c>
      <c r="G18" s="289">
        <v>8</v>
      </c>
      <c r="H18" s="292"/>
    </row>
    <row r="19" spans="1:8" ht="15.75" thickBot="1" x14ac:dyDescent="0.3">
      <c r="A19" s="288" t="s">
        <v>581</v>
      </c>
      <c r="B19" s="289">
        <v>17</v>
      </c>
      <c r="C19" s="289">
        <v>37</v>
      </c>
      <c r="D19" s="289">
        <v>104</v>
      </c>
      <c r="E19" s="289">
        <v>270</v>
      </c>
      <c r="F19" s="289">
        <v>657</v>
      </c>
      <c r="G19" s="289"/>
      <c r="H19" s="292"/>
    </row>
    <row r="20" spans="1:8" ht="15.75" thickBot="1" x14ac:dyDescent="0.3">
      <c r="A20" s="288" t="s">
        <v>579</v>
      </c>
      <c r="B20" s="289">
        <v>2</v>
      </c>
      <c r="C20" s="289">
        <v>2</v>
      </c>
      <c r="D20" s="289">
        <v>7</v>
      </c>
      <c r="E20" s="289">
        <v>17</v>
      </c>
      <c r="F20" s="289">
        <v>6</v>
      </c>
      <c r="G20" s="289">
        <v>7</v>
      </c>
      <c r="H20" s="292"/>
    </row>
    <row r="21" spans="1:8" ht="15.75" thickBot="1" x14ac:dyDescent="0.3">
      <c r="A21" s="288" t="s">
        <v>580</v>
      </c>
      <c r="B21" s="289">
        <v>0</v>
      </c>
      <c r="C21" s="289">
        <v>0</v>
      </c>
      <c r="D21" s="289">
        <v>0</v>
      </c>
      <c r="E21" s="289">
        <v>0</v>
      </c>
      <c r="F21" s="289">
        <v>8</v>
      </c>
      <c r="G21" s="289">
        <v>5</v>
      </c>
      <c r="H21" s="292"/>
    </row>
    <row r="22" spans="1:8" ht="15.75" thickBot="1" x14ac:dyDescent="0.3">
      <c r="A22" s="288" t="s">
        <v>582</v>
      </c>
      <c r="B22" s="289">
        <v>30</v>
      </c>
      <c r="C22" s="289">
        <v>101</v>
      </c>
      <c r="D22" s="289">
        <v>285</v>
      </c>
      <c r="E22" s="289">
        <v>384</v>
      </c>
      <c r="F22" s="289">
        <v>634</v>
      </c>
      <c r="G22" s="289"/>
      <c r="H22" s="292"/>
    </row>
    <row r="23" spans="1:8" ht="15.75" thickBot="1" x14ac:dyDescent="0.3">
      <c r="A23" s="288" t="s">
        <v>579</v>
      </c>
      <c r="B23" s="289">
        <v>3</v>
      </c>
      <c r="C23" s="289">
        <v>7</v>
      </c>
      <c r="D23" s="289">
        <v>18</v>
      </c>
      <c r="E23" s="289">
        <v>10</v>
      </c>
      <c r="F23" s="289">
        <v>4</v>
      </c>
      <c r="G23" s="289">
        <v>6</v>
      </c>
      <c r="H23" s="292"/>
    </row>
    <row r="24" spans="1:8" ht="15.75" thickBot="1" x14ac:dyDescent="0.3">
      <c r="A24" s="288" t="s">
        <v>580</v>
      </c>
      <c r="B24" s="289">
        <v>0</v>
      </c>
      <c r="C24" s="289">
        <v>0</v>
      </c>
      <c r="D24" s="289">
        <v>0</v>
      </c>
      <c r="E24" s="289">
        <v>5</v>
      </c>
      <c r="F24" s="289">
        <v>5</v>
      </c>
      <c r="G24" s="289">
        <v>4</v>
      </c>
      <c r="H24" s="292"/>
    </row>
    <row r="25" spans="1:8" ht="15.75" thickBot="1" x14ac:dyDescent="0.3">
      <c r="A25" s="288" t="s">
        <v>583</v>
      </c>
      <c r="B25" s="289">
        <v>18</v>
      </c>
      <c r="C25" s="289">
        <v>41</v>
      </c>
      <c r="D25" s="289">
        <v>118</v>
      </c>
      <c r="E25" s="289">
        <v>260</v>
      </c>
      <c r="F25" s="289">
        <v>567</v>
      </c>
      <c r="G25" s="289"/>
      <c r="H25" s="292"/>
    </row>
    <row r="26" spans="1:8" ht="15.75" thickBot="1" x14ac:dyDescent="0.3">
      <c r="A26" s="288" t="s">
        <v>579</v>
      </c>
      <c r="B26" s="289">
        <v>2</v>
      </c>
      <c r="C26" s="289">
        <v>2</v>
      </c>
      <c r="D26" s="289">
        <v>8</v>
      </c>
      <c r="E26" s="289">
        <v>14</v>
      </c>
      <c r="F26" s="289">
        <v>5</v>
      </c>
      <c r="G26" s="289">
        <v>6</v>
      </c>
      <c r="H26" s="292"/>
    </row>
    <row r="27" spans="1:8" ht="15.75" thickBot="1" x14ac:dyDescent="0.3">
      <c r="A27" s="288" t="s">
        <v>580</v>
      </c>
      <c r="B27" s="289">
        <v>0</v>
      </c>
      <c r="C27" s="289">
        <v>0</v>
      </c>
      <c r="D27" s="289">
        <v>0</v>
      </c>
      <c r="E27" s="289">
        <v>0</v>
      </c>
      <c r="F27" s="289">
        <v>4</v>
      </c>
      <c r="G27" s="289">
        <v>2</v>
      </c>
      <c r="H27" s="292"/>
    </row>
    <row r="28" spans="1:8" ht="26.25" thickBot="1" x14ac:dyDescent="0.3">
      <c r="A28" s="288" t="s">
        <v>584</v>
      </c>
      <c r="B28" s="289">
        <v>33</v>
      </c>
      <c r="C28" s="289">
        <v>116</v>
      </c>
      <c r="D28" s="289">
        <v>322</v>
      </c>
      <c r="E28" s="289">
        <v>452</v>
      </c>
      <c r="F28" s="289">
        <v>753</v>
      </c>
      <c r="G28" s="289"/>
      <c r="H28" s="292"/>
    </row>
    <row r="29" spans="1:8" ht="15.75" thickBot="1" x14ac:dyDescent="0.3">
      <c r="A29" s="288" t="s">
        <v>579</v>
      </c>
      <c r="B29" s="289">
        <v>3</v>
      </c>
      <c r="C29" s="289">
        <v>8</v>
      </c>
      <c r="D29" s="289">
        <v>21</v>
      </c>
      <c r="E29" s="289">
        <v>13</v>
      </c>
      <c r="F29" s="289">
        <v>5</v>
      </c>
      <c r="G29" s="289">
        <v>8</v>
      </c>
      <c r="H29" s="292"/>
    </row>
    <row r="30" spans="1:8" ht="15.75" thickBot="1" x14ac:dyDescent="0.3">
      <c r="A30" s="288" t="s">
        <v>580</v>
      </c>
      <c r="B30" s="289">
        <v>0</v>
      </c>
      <c r="C30" s="289">
        <v>0</v>
      </c>
      <c r="D30" s="289">
        <v>0</v>
      </c>
      <c r="E30" s="289">
        <v>23</v>
      </c>
      <c r="F30" s="289">
        <v>9</v>
      </c>
      <c r="G30" s="289">
        <v>8</v>
      </c>
      <c r="H30" s="292"/>
    </row>
    <row r="31" spans="1:8" ht="26.25" thickBot="1" x14ac:dyDescent="0.3">
      <c r="A31" s="288" t="s">
        <v>585</v>
      </c>
      <c r="B31" s="289">
        <v>19</v>
      </c>
      <c r="C31" s="289">
        <v>47</v>
      </c>
      <c r="D31" s="289">
        <v>118</v>
      </c>
      <c r="E31" s="289">
        <v>278</v>
      </c>
      <c r="F31" s="289">
        <v>648</v>
      </c>
      <c r="G31" s="289"/>
      <c r="H31" s="292"/>
    </row>
    <row r="32" spans="1:8" ht="15.75" thickBot="1" x14ac:dyDescent="0.3">
      <c r="A32" s="288" t="s">
        <v>579</v>
      </c>
      <c r="B32" s="289">
        <v>2</v>
      </c>
      <c r="C32" s="289">
        <v>3</v>
      </c>
      <c r="D32" s="289">
        <v>7</v>
      </c>
      <c r="E32" s="289">
        <v>16</v>
      </c>
      <c r="F32" s="289">
        <v>6</v>
      </c>
      <c r="G32" s="289">
        <v>6</v>
      </c>
      <c r="H32" s="292"/>
    </row>
    <row r="33" spans="1:8" ht="15.75" thickBot="1" x14ac:dyDescent="0.3">
      <c r="A33" s="288" t="s">
        <v>580</v>
      </c>
      <c r="B33" s="289">
        <v>0</v>
      </c>
      <c r="C33" s="289">
        <v>0</v>
      </c>
      <c r="D33" s="289">
        <v>0</v>
      </c>
      <c r="E33" s="289">
        <v>8</v>
      </c>
      <c r="F33" s="289">
        <v>7</v>
      </c>
      <c r="G33" s="289">
        <v>5</v>
      </c>
      <c r="H33" s="292"/>
    </row>
    <row r="34" spans="1:8" ht="26.25" thickBot="1" x14ac:dyDescent="0.3">
      <c r="A34" s="288" t="s">
        <v>586</v>
      </c>
      <c r="B34" s="289">
        <v>29</v>
      </c>
      <c r="C34" s="289">
        <v>85</v>
      </c>
      <c r="D34" s="289">
        <v>267</v>
      </c>
      <c r="E34" s="289">
        <v>370</v>
      </c>
      <c r="F34" s="289">
        <v>676</v>
      </c>
      <c r="G34" s="289"/>
      <c r="H34" s="292"/>
    </row>
    <row r="35" spans="1:8" ht="15.75" thickBot="1" x14ac:dyDescent="0.3">
      <c r="A35" s="288" t="s">
        <v>579</v>
      </c>
      <c r="B35" s="289">
        <v>3</v>
      </c>
      <c r="C35" s="289">
        <v>6</v>
      </c>
      <c r="D35" s="289">
        <v>18</v>
      </c>
      <c r="E35" s="289">
        <v>10</v>
      </c>
      <c r="F35" s="289">
        <v>5</v>
      </c>
      <c r="G35" s="289">
        <v>7</v>
      </c>
      <c r="H35" s="292"/>
    </row>
    <row r="36" spans="1:8" ht="15.75" thickBot="1" x14ac:dyDescent="0.3">
      <c r="A36" s="288" t="s">
        <v>580</v>
      </c>
      <c r="B36" s="289">
        <v>0</v>
      </c>
      <c r="C36" s="289">
        <v>0</v>
      </c>
      <c r="D36" s="289">
        <v>0</v>
      </c>
      <c r="E36" s="289">
        <v>9</v>
      </c>
      <c r="F36" s="289">
        <v>9</v>
      </c>
      <c r="G36" s="289">
        <v>6</v>
      </c>
      <c r="H36" s="292"/>
    </row>
    <row r="37" spans="1:8" ht="26.25" thickBot="1" x14ac:dyDescent="0.3">
      <c r="A37" s="288" t="s">
        <v>587</v>
      </c>
      <c r="B37" s="289">
        <v>19</v>
      </c>
      <c r="C37" s="289">
        <v>41</v>
      </c>
      <c r="D37" s="289">
        <v>102</v>
      </c>
      <c r="E37" s="289">
        <v>242</v>
      </c>
      <c r="F37" s="289">
        <v>566</v>
      </c>
      <c r="G37" s="289"/>
      <c r="H37" s="292"/>
    </row>
    <row r="38" spans="1:8" ht="15.75" thickBot="1" x14ac:dyDescent="0.3">
      <c r="A38" s="288" t="s">
        <v>579</v>
      </c>
      <c r="B38" s="289">
        <v>2</v>
      </c>
      <c r="C38" s="289">
        <v>2</v>
      </c>
      <c r="D38" s="289">
        <v>6</v>
      </c>
      <c r="E38" s="289">
        <v>14</v>
      </c>
      <c r="F38" s="289">
        <v>5</v>
      </c>
      <c r="G38" s="289">
        <v>6</v>
      </c>
      <c r="H38" s="292"/>
    </row>
    <row r="39" spans="1:8" ht="15.75" thickBot="1" x14ac:dyDescent="0.3">
      <c r="A39" s="288" t="s">
        <v>580</v>
      </c>
      <c r="B39" s="289">
        <v>0</v>
      </c>
      <c r="C39" s="289">
        <v>0</v>
      </c>
      <c r="D39" s="289">
        <v>0</v>
      </c>
      <c r="E39" s="289">
        <v>0</v>
      </c>
      <c r="F39" s="289">
        <v>6</v>
      </c>
      <c r="G39" s="289">
        <v>4</v>
      </c>
      <c r="H39" s="292"/>
    </row>
    <row r="40" spans="1:8" ht="26.25" thickBot="1" x14ac:dyDescent="0.3">
      <c r="A40" s="288" t="s">
        <v>588</v>
      </c>
      <c r="B40" s="289">
        <v>109</v>
      </c>
      <c r="C40" s="289">
        <v>90</v>
      </c>
      <c r="D40" s="289">
        <v>306</v>
      </c>
      <c r="E40" s="289">
        <v>425</v>
      </c>
      <c r="F40" s="289">
        <v>792</v>
      </c>
      <c r="G40" s="289"/>
      <c r="H40" s="292"/>
    </row>
    <row r="41" spans="1:8" ht="15.75" thickBot="1" x14ac:dyDescent="0.3">
      <c r="A41" s="288" t="s">
        <v>579</v>
      </c>
      <c r="B41" s="289">
        <v>11</v>
      </c>
      <c r="C41" s="289">
        <v>-2</v>
      </c>
      <c r="D41" s="289">
        <v>22</v>
      </c>
      <c r="E41" s="289">
        <v>12</v>
      </c>
      <c r="F41" s="289">
        <v>6</v>
      </c>
      <c r="G41" s="289">
        <v>8</v>
      </c>
      <c r="H41" s="292"/>
    </row>
    <row r="42" spans="1:8" ht="15.75" thickBot="1" x14ac:dyDescent="0.3">
      <c r="A42" s="288" t="s">
        <v>580</v>
      </c>
      <c r="B42" s="289">
        <v>0</v>
      </c>
      <c r="C42" s="289">
        <v>29</v>
      </c>
      <c r="D42" s="289">
        <v>0</v>
      </c>
      <c r="E42" s="289">
        <v>11</v>
      </c>
      <c r="F42" s="289">
        <v>11</v>
      </c>
      <c r="G42" s="289">
        <v>11</v>
      </c>
      <c r="H42" s="292"/>
    </row>
    <row r="43" spans="1:8" ht="26.25" thickBot="1" x14ac:dyDescent="0.3">
      <c r="A43" s="288" t="s">
        <v>589</v>
      </c>
      <c r="B43" s="289">
        <v>77</v>
      </c>
      <c r="C43" s="289">
        <v>252</v>
      </c>
      <c r="D43" s="289">
        <v>118</v>
      </c>
      <c r="E43" s="289">
        <v>260</v>
      </c>
      <c r="F43" s="289">
        <v>567</v>
      </c>
      <c r="G43" s="289"/>
      <c r="H43" s="292"/>
    </row>
    <row r="44" spans="1:8" ht="15.75" thickBot="1" x14ac:dyDescent="0.3">
      <c r="A44" s="288" t="s">
        <v>579</v>
      </c>
      <c r="B44" s="289">
        <v>8</v>
      </c>
      <c r="C44" s="289">
        <v>18</v>
      </c>
      <c r="D44" s="289">
        <v>-13</v>
      </c>
      <c r="E44" s="289">
        <v>14</v>
      </c>
      <c r="F44" s="289">
        <v>5</v>
      </c>
      <c r="G44" s="289">
        <v>6</v>
      </c>
      <c r="H44" s="292"/>
    </row>
    <row r="45" spans="1:8" ht="15.75" thickBot="1" x14ac:dyDescent="0.3">
      <c r="A45" s="288" t="s">
        <v>580</v>
      </c>
      <c r="B45" s="289">
        <v>0</v>
      </c>
      <c r="C45" s="289">
        <v>7</v>
      </c>
      <c r="D45" s="289">
        <v>20</v>
      </c>
      <c r="E45" s="289">
        <v>0</v>
      </c>
      <c r="F45" s="289">
        <v>4</v>
      </c>
      <c r="G45" s="289">
        <v>5</v>
      </c>
      <c r="H45" s="292"/>
    </row>
    <row r="46" spans="1:8" ht="26.25" thickBot="1" x14ac:dyDescent="0.3">
      <c r="A46" s="288" t="s">
        <v>590</v>
      </c>
      <c r="B46" s="289">
        <v>171</v>
      </c>
      <c r="C46" s="289">
        <v>296</v>
      </c>
      <c r="D46" s="289">
        <v>435</v>
      </c>
      <c r="E46" s="289">
        <v>535</v>
      </c>
      <c r="F46" s="289">
        <v>818</v>
      </c>
      <c r="G46" s="289"/>
      <c r="H46" s="292"/>
    </row>
    <row r="47" spans="1:8" ht="15.75" thickBot="1" x14ac:dyDescent="0.3">
      <c r="A47" s="288" t="s">
        <v>579</v>
      </c>
      <c r="B47" s="289">
        <v>17</v>
      </c>
      <c r="C47" s="289">
        <v>12</v>
      </c>
      <c r="D47" s="289">
        <v>14</v>
      </c>
      <c r="E47" s="289">
        <v>10</v>
      </c>
      <c r="F47" s="289" t="s">
        <v>591</v>
      </c>
      <c r="G47" s="289"/>
      <c r="H47" s="292"/>
    </row>
    <row r="48" spans="1:8" ht="15.75" thickBot="1" x14ac:dyDescent="0.3">
      <c r="A48" s="288" t="s">
        <v>580</v>
      </c>
      <c r="B48" s="289">
        <v>0</v>
      </c>
      <c r="C48" s="289">
        <v>29</v>
      </c>
      <c r="D48" s="289">
        <v>21</v>
      </c>
      <c r="E48" s="289">
        <v>16</v>
      </c>
      <c r="F48" s="289">
        <v>10</v>
      </c>
      <c r="G48" s="289">
        <v>13</v>
      </c>
      <c r="H48" s="292"/>
    </row>
    <row r="49" spans="1:8" ht="26.25" thickBot="1" x14ac:dyDescent="0.3">
      <c r="A49" s="288" t="s">
        <v>592</v>
      </c>
      <c r="B49" s="289">
        <v>82</v>
      </c>
      <c r="C49" s="289">
        <v>280</v>
      </c>
      <c r="D49" s="289">
        <v>148</v>
      </c>
      <c r="E49" s="289">
        <v>294</v>
      </c>
      <c r="F49" s="289">
        <v>626</v>
      </c>
      <c r="G49" s="289"/>
      <c r="H49" s="292"/>
    </row>
    <row r="50" spans="1:8" ht="15.75" thickBot="1" x14ac:dyDescent="0.3">
      <c r="A50" s="288" t="s">
        <v>579</v>
      </c>
      <c r="B50" s="289">
        <v>8</v>
      </c>
      <c r="C50" s="289">
        <v>20</v>
      </c>
      <c r="D50" s="289">
        <v>-13</v>
      </c>
      <c r="E50" s="289">
        <v>15</v>
      </c>
      <c r="F50" s="289">
        <v>6</v>
      </c>
      <c r="G50" s="289">
        <v>6</v>
      </c>
      <c r="H50" s="292"/>
    </row>
    <row r="51" spans="1:8" ht="15.75" thickBot="1" x14ac:dyDescent="0.3">
      <c r="A51" s="288" t="s">
        <v>580</v>
      </c>
      <c r="B51" s="289">
        <v>0</v>
      </c>
      <c r="C51" s="289">
        <v>7</v>
      </c>
      <c r="D51" s="289">
        <v>20</v>
      </c>
      <c r="E51" s="289">
        <v>5</v>
      </c>
      <c r="F51" s="289" t="s">
        <v>593</v>
      </c>
      <c r="G51" s="289"/>
      <c r="H51" s="292"/>
    </row>
    <row r="52" spans="1:8" ht="26.25" thickBot="1" x14ac:dyDescent="0.3">
      <c r="A52" s="288" t="s">
        <v>594</v>
      </c>
      <c r="B52" s="289">
        <v>134</v>
      </c>
      <c r="C52" s="289">
        <v>372</v>
      </c>
      <c r="D52" s="289">
        <v>397</v>
      </c>
      <c r="E52" s="289">
        <v>524</v>
      </c>
      <c r="F52" s="289">
        <v>741</v>
      </c>
      <c r="G52" s="289"/>
      <c r="H52" s="292"/>
    </row>
    <row r="53" spans="1:8" ht="15.75" thickBot="1" x14ac:dyDescent="0.3">
      <c r="A53" s="288" t="s">
        <v>579</v>
      </c>
      <c r="B53" s="289">
        <v>13</v>
      </c>
      <c r="C53" s="289">
        <v>24</v>
      </c>
      <c r="D53" s="289">
        <v>2</v>
      </c>
      <c r="E53" s="289">
        <v>13</v>
      </c>
      <c r="F53" s="289">
        <v>4</v>
      </c>
      <c r="G53" s="289">
        <v>7</v>
      </c>
      <c r="H53" s="292"/>
    </row>
    <row r="54" spans="1:8" ht="15.75" thickBot="1" x14ac:dyDescent="0.3">
      <c r="A54" s="288" t="s">
        <v>580</v>
      </c>
      <c r="B54" s="289">
        <v>0</v>
      </c>
      <c r="C54" s="289">
        <v>8</v>
      </c>
      <c r="D54" s="289">
        <v>22</v>
      </c>
      <c r="E54" s="289">
        <v>17</v>
      </c>
      <c r="F54" s="289">
        <v>11</v>
      </c>
      <c r="G54" s="289">
        <v>11</v>
      </c>
      <c r="H54" s="292"/>
    </row>
    <row r="55" spans="1:8" ht="26.25" thickBot="1" x14ac:dyDescent="0.3">
      <c r="A55" s="288" t="s">
        <v>595</v>
      </c>
      <c r="B55" s="289">
        <v>96</v>
      </c>
      <c r="C55" s="289">
        <v>234</v>
      </c>
      <c r="D55" s="289">
        <v>256</v>
      </c>
      <c r="E55" s="289">
        <v>394</v>
      </c>
      <c r="F55" s="289">
        <v>708</v>
      </c>
      <c r="G55" s="289"/>
      <c r="H55" s="292"/>
    </row>
    <row r="56" spans="1:8" ht="15.75" thickBot="1" x14ac:dyDescent="0.3">
      <c r="A56" s="288" t="s">
        <v>579</v>
      </c>
      <c r="B56" s="289">
        <v>10</v>
      </c>
      <c r="C56" s="289">
        <v>14</v>
      </c>
      <c r="D56" s="289">
        <v>2</v>
      </c>
      <c r="E56" s="289">
        <v>14</v>
      </c>
      <c r="F56" s="289">
        <v>5</v>
      </c>
      <c r="G56" s="289">
        <v>7</v>
      </c>
      <c r="H56" s="292"/>
    </row>
    <row r="57" spans="1:8" ht="15.75" thickBot="1" x14ac:dyDescent="0.3">
      <c r="A57" s="288" t="s">
        <v>580</v>
      </c>
      <c r="B57" s="289">
        <v>0</v>
      </c>
      <c r="C57" s="289">
        <v>8</v>
      </c>
      <c r="D57" s="289">
        <v>12</v>
      </c>
      <c r="E57" s="289">
        <v>10</v>
      </c>
      <c r="F57" s="289">
        <v>9</v>
      </c>
      <c r="G57" s="289">
        <v>9</v>
      </c>
      <c r="H57" s="292"/>
    </row>
    <row r="58" spans="1:8" ht="26.25" thickBot="1" x14ac:dyDescent="0.3">
      <c r="A58" s="288" t="s">
        <v>596</v>
      </c>
      <c r="B58" s="289">
        <v>25</v>
      </c>
      <c r="C58" s="289">
        <v>55</v>
      </c>
      <c r="D58" s="289">
        <v>89</v>
      </c>
      <c r="E58" s="289">
        <v>148</v>
      </c>
      <c r="F58" s="289">
        <v>609</v>
      </c>
      <c r="G58" s="289"/>
      <c r="H58" s="292"/>
    </row>
    <row r="59" spans="1:8" ht="15.75" thickBot="1" x14ac:dyDescent="0.3">
      <c r="A59" s="288" t="s">
        <v>579</v>
      </c>
      <c r="B59" s="289">
        <v>3</v>
      </c>
      <c r="C59" s="289">
        <v>3</v>
      </c>
      <c r="D59" s="289">
        <v>3</v>
      </c>
      <c r="E59" s="289">
        <v>6</v>
      </c>
      <c r="F59" s="289">
        <v>8</v>
      </c>
      <c r="G59" s="289">
        <v>6</v>
      </c>
      <c r="H59" s="292"/>
    </row>
    <row r="60" spans="1:8" ht="15.75" thickBot="1" x14ac:dyDescent="0.3">
      <c r="A60" s="288" t="s">
        <v>580</v>
      </c>
      <c r="B60" s="289">
        <v>0</v>
      </c>
      <c r="C60" s="289">
        <v>0</v>
      </c>
      <c r="D60" s="289">
        <v>1</v>
      </c>
      <c r="E60" s="289">
        <v>5</v>
      </c>
      <c r="F60" s="289">
        <v>4</v>
      </c>
      <c r="G60" s="289">
        <v>3</v>
      </c>
      <c r="H60" s="292"/>
    </row>
    <row r="61" spans="1:8" ht="26.25" thickBot="1" x14ac:dyDescent="0.3">
      <c r="A61" s="288" t="s">
        <v>597</v>
      </c>
      <c r="B61" s="289">
        <v>24</v>
      </c>
      <c r="C61" s="289">
        <v>48</v>
      </c>
      <c r="D61" s="289">
        <v>81</v>
      </c>
      <c r="E61" s="289">
        <v>114</v>
      </c>
      <c r="F61" s="289">
        <v>562</v>
      </c>
      <c r="G61" s="289"/>
      <c r="H61" s="292"/>
    </row>
    <row r="62" spans="1:8" ht="15.75" thickBot="1" x14ac:dyDescent="0.3">
      <c r="A62" s="288" t="s">
        <v>579</v>
      </c>
      <c r="B62" s="289">
        <v>2</v>
      </c>
      <c r="C62" s="289">
        <v>2</v>
      </c>
      <c r="D62" s="289">
        <v>3</v>
      </c>
      <c r="E62" s="289">
        <v>3</v>
      </c>
      <c r="F62" s="289">
        <v>7</v>
      </c>
      <c r="G62" s="289">
        <v>6</v>
      </c>
      <c r="H62" s="292"/>
    </row>
    <row r="63" spans="1:8" ht="15.75" thickBot="1" x14ac:dyDescent="0.3">
      <c r="A63" s="288" t="s">
        <v>580</v>
      </c>
      <c r="B63" s="289">
        <v>0</v>
      </c>
      <c r="C63" s="289">
        <v>0</v>
      </c>
      <c r="D63" s="289">
        <v>0</v>
      </c>
      <c r="E63" s="289">
        <v>3</v>
      </c>
      <c r="F63" s="289">
        <v>2</v>
      </c>
      <c r="G63" s="289">
        <v>2</v>
      </c>
      <c r="H63" s="292"/>
    </row>
    <row r="64" spans="1:8" ht="26.25" thickBot="1" x14ac:dyDescent="0.3">
      <c r="A64" s="288" t="s">
        <v>598</v>
      </c>
      <c r="B64" s="289">
        <v>27</v>
      </c>
      <c r="C64" s="289">
        <v>55</v>
      </c>
      <c r="D64" s="289">
        <v>92</v>
      </c>
      <c r="E64" s="289">
        <v>129</v>
      </c>
      <c r="F64" s="289">
        <v>213</v>
      </c>
      <c r="G64" s="289"/>
      <c r="H64" s="292"/>
    </row>
    <row r="65" spans="1:8" ht="15.75" thickBot="1" x14ac:dyDescent="0.3">
      <c r="A65" s="288" t="s">
        <v>579</v>
      </c>
      <c r="B65" s="289">
        <v>3</v>
      </c>
      <c r="C65" s="289">
        <v>3</v>
      </c>
      <c r="D65" s="289">
        <v>4</v>
      </c>
      <c r="E65" s="289">
        <v>4</v>
      </c>
      <c r="F65" s="289">
        <v>1</v>
      </c>
      <c r="G65" s="289">
        <v>2</v>
      </c>
      <c r="H65" s="292"/>
    </row>
    <row r="66" spans="1:8" ht="15.75" thickBot="1" x14ac:dyDescent="0.3">
      <c r="A66" s="288" t="s">
        <v>580</v>
      </c>
      <c r="B66" s="289">
        <v>0</v>
      </c>
      <c r="C66" s="289">
        <v>0</v>
      </c>
      <c r="D66" s="289">
        <v>0</v>
      </c>
      <c r="E66" s="289">
        <v>0</v>
      </c>
      <c r="F66" s="289">
        <v>0</v>
      </c>
      <c r="G66" s="289">
        <v>0</v>
      </c>
      <c r="H66" s="292"/>
    </row>
    <row r="67" spans="1:8" ht="26.25" thickBot="1" x14ac:dyDescent="0.3">
      <c r="A67" s="288" t="s">
        <v>599</v>
      </c>
      <c r="B67" s="289">
        <v>46</v>
      </c>
      <c r="C67" s="289">
        <v>118</v>
      </c>
      <c r="D67" s="289">
        <v>272</v>
      </c>
      <c r="E67" s="289">
        <v>366</v>
      </c>
      <c r="F67" s="289">
        <v>609</v>
      </c>
      <c r="G67" s="289"/>
      <c r="H67" s="292"/>
    </row>
    <row r="68" spans="1:8" ht="15.75" thickBot="1" x14ac:dyDescent="0.3">
      <c r="A68" s="288" t="s">
        <v>579</v>
      </c>
      <c r="B68" s="289">
        <v>5</v>
      </c>
      <c r="C68" s="289">
        <v>7</v>
      </c>
      <c r="D68" s="289">
        <v>15</v>
      </c>
      <c r="E68" s="289">
        <v>9</v>
      </c>
      <c r="F68" s="289">
        <v>4</v>
      </c>
      <c r="G68" s="289">
        <v>6</v>
      </c>
      <c r="H68" s="292"/>
    </row>
    <row r="69" spans="1:8" ht="15.75" thickBot="1" x14ac:dyDescent="0.3">
      <c r="A69" s="288" t="s">
        <v>580</v>
      </c>
      <c r="B69" s="289">
        <v>0</v>
      </c>
      <c r="C69" s="289">
        <v>0</v>
      </c>
      <c r="D69" s="289">
        <v>2</v>
      </c>
      <c r="E69" s="289">
        <v>10</v>
      </c>
      <c r="F69" s="289">
        <v>8</v>
      </c>
      <c r="G69" s="289">
        <v>6</v>
      </c>
      <c r="H69" s="292"/>
    </row>
    <row r="70" spans="1:8" ht="26.25" thickBot="1" x14ac:dyDescent="0.3">
      <c r="A70" s="288" t="s">
        <v>600</v>
      </c>
      <c r="B70" s="289">
        <v>33</v>
      </c>
      <c r="C70" s="289">
        <v>80</v>
      </c>
      <c r="D70" s="289">
        <v>177</v>
      </c>
      <c r="E70" s="289">
        <v>303</v>
      </c>
      <c r="F70" s="289">
        <v>609</v>
      </c>
      <c r="G70" s="289"/>
      <c r="H70" s="292"/>
    </row>
    <row r="71" spans="1:8" ht="15.75" thickBot="1" x14ac:dyDescent="0.3">
      <c r="A71" s="288" t="s">
        <v>579</v>
      </c>
      <c r="B71" s="289">
        <v>3</v>
      </c>
      <c r="C71" s="289">
        <v>5</v>
      </c>
      <c r="D71" s="289">
        <v>10</v>
      </c>
      <c r="E71" s="289">
        <v>13</v>
      </c>
      <c r="F71" s="289">
        <v>5</v>
      </c>
      <c r="G71" s="289">
        <v>6</v>
      </c>
      <c r="H71" s="292"/>
    </row>
    <row r="72" spans="1:8" ht="15.75" thickBot="1" x14ac:dyDescent="0.3">
      <c r="A72" s="288" t="s">
        <v>580</v>
      </c>
      <c r="B72" s="289">
        <v>0</v>
      </c>
      <c r="C72" s="289">
        <v>0</v>
      </c>
      <c r="D72" s="289">
        <v>0</v>
      </c>
      <c r="E72" s="289">
        <v>0</v>
      </c>
      <c r="F72" s="289">
        <v>0</v>
      </c>
      <c r="G72" s="289">
        <v>0</v>
      </c>
      <c r="H72" s="292"/>
    </row>
    <row r="73" spans="1:8" ht="26.25" thickBot="1" x14ac:dyDescent="0.3">
      <c r="A73" s="288" t="s">
        <v>601</v>
      </c>
      <c r="B73" s="289">
        <v>300</v>
      </c>
      <c r="C73" s="289">
        <v>308</v>
      </c>
      <c r="D73" s="289">
        <v>315</v>
      </c>
      <c r="E73" s="289">
        <v>323</v>
      </c>
      <c r="F73" s="289">
        <v>369</v>
      </c>
      <c r="G73" s="289"/>
      <c r="H73" s="292"/>
    </row>
    <row r="74" spans="1:8" ht="15.75" thickBot="1" x14ac:dyDescent="0.3">
      <c r="A74" s="288" t="s">
        <v>579</v>
      </c>
      <c r="B74" s="289">
        <v>1</v>
      </c>
      <c r="C74" s="289">
        <v>1</v>
      </c>
      <c r="D74" s="289">
        <v>1</v>
      </c>
      <c r="E74" s="289">
        <v>1</v>
      </c>
      <c r="F74" s="289">
        <v>1</v>
      </c>
      <c r="G74" s="289">
        <v>1</v>
      </c>
      <c r="H74" s="292"/>
    </row>
    <row r="75" spans="1:8" ht="15.75" thickBot="1" x14ac:dyDescent="0.3">
      <c r="A75" s="288" t="s">
        <v>580</v>
      </c>
      <c r="B75" s="289">
        <v>8</v>
      </c>
      <c r="C75" s="289">
        <v>8</v>
      </c>
      <c r="D75" s="289">
        <v>8</v>
      </c>
      <c r="E75" s="289">
        <v>8</v>
      </c>
      <c r="F75" s="289">
        <v>8</v>
      </c>
      <c r="G75" s="289">
        <v>8</v>
      </c>
      <c r="H75" s="292"/>
    </row>
    <row r="76" spans="1:8" ht="15.75" thickBot="1" x14ac:dyDescent="0.3">
      <c r="A76" s="288" t="s">
        <v>602</v>
      </c>
      <c r="B76" s="289">
        <v>841</v>
      </c>
      <c r="C76" s="289">
        <v>995</v>
      </c>
      <c r="D76" s="289">
        <v>995</v>
      </c>
      <c r="E76" s="289">
        <v>995</v>
      </c>
      <c r="F76" s="289">
        <v>995</v>
      </c>
      <c r="G76" s="289"/>
      <c r="H76" s="292"/>
    </row>
    <row r="77" spans="1:8" ht="15.75" thickBot="1" x14ac:dyDescent="0.3">
      <c r="A77" s="288" t="s">
        <v>579</v>
      </c>
      <c r="B77" s="289">
        <v>-9</v>
      </c>
      <c r="C77" s="289">
        <v>15</v>
      </c>
      <c r="D77" s="289">
        <v>0</v>
      </c>
      <c r="E77" s="289">
        <v>0</v>
      </c>
      <c r="F77" s="289">
        <v>0</v>
      </c>
      <c r="G77" s="289">
        <v>1</v>
      </c>
      <c r="H77" s="292"/>
    </row>
    <row r="78" spans="1:8" ht="15.75" thickBot="1" x14ac:dyDescent="0.3">
      <c r="A78" s="288" t="s">
        <v>580</v>
      </c>
      <c r="B78" s="289">
        <v>0</v>
      </c>
      <c r="C78" s="289">
        <v>0</v>
      </c>
      <c r="D78" s="289">
        <v>0</v>
      </c>
      <c r="E78" s="289">
        <v>0</v>
      </c>
      <c r="F78" s="289">
        <v>0</v>
      </c>
      <c r="G78" s="289">
        <v>0</v>
      </c>
      <c r="H78" s="292"/>
    </row>
    <row r="79" spans="1:8" ht="26.25" thickBot="1" x14ac:dyDescent="0.3">
      <c r="A79" s="288" t="s">
        <v>603</v>
      </c>
      <c r="B79" s="289">
        <v>425</v>
      </c>
      <c r="C79" s="289">
        <v>467</v>
      </c>
      <c r="D79" s="289">
        <v>509</v>
      </c>
      <c r="E79" s="289">
        <v>551</v>
      </c>
      <c r="F79" s="289">
        <v>626</v>
      </c>
      <c r="G79" s="289"/>
      <c r="H79" s="292"/>
    </row>
    <row r="80" spans="1:8" ht="15.75" thickBot="1" x14ac:dyDescent="0.3">
      <c r="A80" s="288" t="s">
        <v>579</v>
      </c>
      <c r="B80" s="289">
        <v>4</v>
      </c>
      <c r="C80" s="289">
        <v>4</v>
      </c>
      <c r="D80" s="289">
        <v>4</v>
      </c>
      <c r="E80" s="289">
        <v>4</v>
      </c>
      <c r="F80" s="289">
        <v>2</v>
      </c>
      <c r="G80" s="289">
        <v>2</v>
      </c>
      <c r="H80" s="292"/>
    </row>
    <row r="81" spans="1:8" ht="15.75" thickBot="1" x14ac:dyDescent="0.3">
      <c r="A81" s="288" t="s">
        <v>580</v>
      </c>
      <c r="B81" s="289">
        <v>0</v>
      </c>
      <c r="C81" s="289">
        <v>0</v>
      </c>
      <c r="D81" s="289">
        <v>0</v>
      </c>
      <c r="E81" s="289">
        <v>0</v>
      </c>
      <c r="F81" s="289">
        <v>0</v>
      </c>
      <c r="G81" s="289">
        <v>0</v>
      </c>
      <c r="H81" s="29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82" t="s">
        <v>389</v>
      </c>
      <c r="B8" s="72"/>
      <c r="C8" s="72"/>
      <c r="D8" s="72"/>
    </row>
    <row r="9" spans="1:4" x14ac:dyDescent="0.25">
      <c r="A9" s="183" t="s">
        <v>359</v>
      </c>
      <c r="B9" s="72"/>
      <c r="C9" s="72"/>
      <c r="D9" s="72"/>
    </row>
    <row r="10" spans="1:4" x14ac:dyDescent="0.25">
      <c r="A10" s="72"/>
      <c r="B10" s="72"/>
      <c r="C10" s="72"/>
      <c r="D10" s="118" t="s">
        <v>57</v>
      </c>
    </row>
    <row r="11" spans="1:4" x14ac:dyDescent="0.25">
      <c r="A11" s="118" t="s">
        <v>57</v>
      </c>
      <c r="B11" s="118" t="s">
        <v>390</v>
      </c>
      <c r="C11" s="118" t="s">
        <v>56</v>
      </c>
      <c r="D11" s="184">
        <v>1835562</v>
      </c>
    </row>
    <row r="12" spans="1:4" x14ac:dyDescent="0.25">
      <c r="A12" s="72"/>
      <c r="B12" s="72"/>
      <c r="C12" s="118" t="s">
        <v>55</v>
      </c>
      <c r="D12" s="184">
        <v>836738</v>
      </c>
    </row>
    <row r="13" spans="1:4" x14ac:dyDescent="0.25">
      <c r="A13" s="72"/>
      <c r="B13" s="72"/>
      <c r="C13" s="118" t="s">
        <v>54</v>
      </c>
      <c r="D13" s="184">
        <v>1223348</v>
      </c>
    </row>
    <row r="14" spans="1:4" x14ac:dyDescent="0.25">
      <c r="A14" s="72"/>
      <c r="B14" s="72"/>
      <c r="C14" s="118" t="s">
        <v>53</v>
      </c>
      <c r="D14" s="184">
        <v>1320678</v>
      </c>
    </row>
    <row r="15" spans="1:4" x14ac:dyDescent="0.25">
      <c r="A15" s="72"/>
      <c r="B15" s="72"/>
      <c r="C15" s="118" t="s">
        <v>50</v>
      </c>
      <c r="D15" s="184">
        <v>589755</v>
      </c>
    </row>
    <row r="19" spans="1:28" x14ac:dyDescent="0.25">
      <c r="B19" s="118">
        <v>2046</v>
      </c>
      <c r="C19" s="118">
        <v>2047</v>
      </c>
      <c r="D19" s="118">
        <v>2048</v>
      </c>
      <c r="E19" s="118">
        <v>2049</v>
      </c>
      <c r="F19" s="118">
        <v>2050</v>
      </c>
    </row>
    <row r="20" spans="1:28" x14ac:dyDescent="0.25">
      <c r="A20" s="118" t="s">
        <v>56</v>
      </c>
      <c r="B20" s="184">
        <f>AB32+AB32-AA32</f>
        <v>2042332</v>
      </c>
      <c r="C20" s="184">
        <f>B20+B20-AB32</f>
        <v>2046472</v>
      </c>
      <c r="D20" s="184">
        <f>C20+C20-B20</f>
        <v>2050612</v>
      </c>
      <c r="E20" s="184">
        <f t="shared" ref="E20:F24" si="0">D20+D20-C20</f>
        <v>2054752</v>
      </c>
      <c r="F20" s="184">
        <f t="shared" si="0"/>
        <v>2058892</v>
      </c>
    </row>
    <row r="21" spans="1:28" x14ac:dyDescent="0.25">
      <c r="A21" s="118" t="s">
        <v>55</v>
      </c>
      <c r="B21" s="184">
        <f>AB33+AB33-AA33</f>
        <v>875096</v>
      </c>
      <c r="C21" s="184">
        <f>B21+B21-AB33</f>
        <v>875572</v>
      </c>
      <c r="D21" s="184">
        <f>C21+C21-B21</f>
        <v>876048</v>
      </c>
      <c r="E21" s="184">
        <f t="shared" si="0"/>
        <v>876524</v>
      </c>
      <c r="F21" s="184">
        <f t="shared" si="0"/>
        <v>877000</v>
      </c>
    </row>
    <row r="22" spans="1:28" x14ac:dyDescent="0.25">
      <c r="A22" s="118" t="s">
        <v>54</v>
      </c>
      <c r="B22" s="184">
        <f>AB34+AB34-AA34</f>
        <v>1269966</v>
      </c>
      <c r="C22" s="184">
        <f>B22+B22-AB34</f>
        <v>1270625</v>
      </c>
      <c r="D22" s="184">
        <f>C22+C22-B22</f>
        <v>1271284</v>
      </c>
      <c r="E22" s="184">
        <f t="shared" si="0"/>
        <v>1271943</v>
      </c>
      <c r="F22" s="184">
        <f t="shared" si="0"/>
        <v>1272602</v>
      </c>
    </row>
    <row r="23" spans="1:28" x14ac:dyDescent="0.25">
      <c r="A23" s="118" t="s">
        <v>53</v>
      </c>
      <c r="B23" s="184">
        <f>AB35+AB35-AA35</f>
        <v>1474294</v>
      </c>
      <c r="C23" s="184">
        <f>B23+B23-AB35</f>
        <v>1477863</v>
      </c>
      <c r="D23" s="184">
        <f>C23+C23-B23</f>
        <v>1481432</v>
      </c>
      <c r="E23" s="184">
        <f t="shared" si="0"/>
        <v>1485001</v>
      </c>
      <c r="F23" s="184">
        <f t="shared" si="0"/>
        <v>1488570</v>
      </c>
    </row>
    <row r="24" spans="1:28" x14ac:dyDescent="0.25">
      <c r="A24" s="118" t="s">
        <v>50</v>
      </c>
      <c r="B24" s="184">
        <f>AB36+AB36-AA36</f>
        <v>603918</v>
      </c>
      <c r="C24" s="184">
        <f>B24+B24-AB36</f>
        <v>603935</v>
      </c>
      <c r="D24" s="184">
        <f>C24+C24-B24</f>
        <v>603952</v>
      </c>
      <c r="E24" s="184">
        <f t="shared" si="0"/>
        <v>603969</v>
      </c>
      <c r="F24" s="184">
        <f t="shared" si="0"/>
        <v>603986</v>
      </c>
    </row>
    <row r="25" spans="1:28" x14ac:dyDescent="0.25">
      <c r="A25" t="s">
        <v>391</v>
      </c>
    </row>
    <row r="28" spans="1:28" x14ac:dyDescent="0.25">
      <c r="A28" s="186" t="s">
        <v>388</v>
      </c>
    </row>
    <row r="29" spans="1:28" ht="17.25" x14ac:dyDescent="0.3">
      <c r="A29" s="182" t="s">
        <v>358</v>
      </c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</row>
    <row r="30" spans="1:28" x14ac:dyDescent="0.25">
      <c r="A30" s="183" t="s">
        <v>359</v>
      </c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</row>
    <row r="31" spans="1:28" x14ac:dyDescent="0.25">
      <c r="A31" s="72"/>
      <c r="B31" s="72"/>
      <c r="C31" s="118" t="s">
        <v>360</v>
      </c>
      <c r="D31" s="118" t="s">
        <v>361</v>
      </c>
      <c r="E31" s="118" t="s">
        <v>362</v>
      </c>
      <c r="F31" s="118" t="s">
        <v>363</v>
      </c>
      <c r="G31" s="118" t="s">
        <v>364</v>
      </c>
      <c r="H31" s="118" t="s">
        <v>365</v>
      </c>
      <c r="I31" s="118" t="s">
        <v>366</v>
      </c>
      <c r="J31" s="118" t="s">
        <v>367</v>
      </c>
      <c r="K31" s="118" t="s">
        <v>368</v>
      </c>
      <c r="L31" s="118" t="s">
        <v>369</v>
      </c>
      <c r="M31" s="118" t="s">
        <v>370</v>
      </c>
      <c r="N31" s="118" t="s">
        <v>371</v>
      </c>
      <c r="O31" s="118" t="s">
        <v>372</v>
      </c>
      <c r="P31" s="118" t="s">
        <v>373</v>
      </c>
      <c r="Q31" s="118" t="s">
        <v>374</v>
      </c>
      <c r="R31" s="118" t="s">
        <v>375</v>
      </c>
      <c r="S31" s="118" t="s">
        <v>376</v>
      </c>
      <c r="T31" s="118" t="s">
        <v>377</v>
      </c>
      <c r="U31" s="118" t="s">
        <v>378</v>
      </c>
      <c r="V31" s="118" t="s">
        <v>379</v>
      </c>
      <c r="W31" s="118" t="s">
        <v>380</v>
      </c>
      <c r="X31" s="118" t="s">
        <v>381</v>
      </c>
      <c r="Y31" s="118" t="s">
        <v>382</v>
      </c>
      <c r="Z31" s="118" t="s">
        <v>383</v>
      </c>
      <c r="AA31" s="118" t="s">
        <v>384</v>
      </c>
      <c r="AB31" s="118" t="s">
        <v>385</v>
      </c>
    </row>
    <row r="32" spans="1:28" x14ac:dyDescent="0.25">
      <c r="A32" s="118" t="s">
        <v>386</v>
      </c>
      <c r="B32" s="118" t="s">
        <v>56</v>
      </c>
      <c r="C32" s="184">
        <v>1845939</v>
      </c>
      <c r="D32" s="184">
        <v>1857234</v>
      </c>
      <c r="E32" s="184">
        <v>1867895</v>
      </c>
      <c r="F32" s="184">
        <v>1878409</v>
      </c>
      <c r="G32" s="184">
        <v>1888669</v>
      </c>
      <c r="H32" s="184">
        <v>1898884</v>
      </c>
      <c r="I32" s="184">
        <v>1909204</v>
      </c>
      <c r="J32" s="184">
        <v>1919555</v>
      </c>
      <c r="K32" s="184">
        <v>1929748</v>
      </c>
      <c r="L32" s="184">
        <v>1939576</v>
      </c>
      <c r="M32" s="184">
        <v>1948934</v>
      </c>
      <c r="N32" s="184">
        <v>1957789</v>
      </c>
      <c r="O32" s="184">
        <v>1966080</v>
      </c>
      <c r="P32" s="184">
        <v>1973810</v>
      </c>
      <c r="Q32" s="184">
        <v>1980994</v>
      </c>
      <c r="R32" s="184">
        <v>1987707</v>
      </c>
      <c r="S32" s="184">
        <v>1993983</v>
      </c>
      <c r="T32" s="184">
        <v>1999944</v>
      </c>
      <c r="U32" s="184">
        <v>2005628</v>
      </c>
      <c r="V32" s="184">
        <v>2010997</v>
      </c>
      <c r="W32" s="184">
        <v>2016064</v>
      </c>
      <c r="X32" s="184">
        <v>2020862</v>
      </c>
      <c r="Y32" s="184">
        <v>2025426</v>
      </c>
      <c r="Z32" s="184">
        <v>2029805</v>
      </c>
      <c r="AA32" s="184">
        <v>2034052</v>
      </c>
      <c r="AB32" s="184">
        <v>2038192</v>
      </c>
    </row>
    <row r="33" spans="1:28" x14ac:dyDescent="0.25">
      <c r="A33" s="72"/>
      <c r="B33" s="118" t="s">
        <v>55</v>
      </c>
      <c r="C33" s="184">
        <v>837359</v>
      </c>
      <c r="D33" s="184">
        <v>839107</v>
      </c>
      <c r="E33" s="184">
        <v>840758</v>
      </c>
      <c r="F33" s="184">
        <v>842419</v>
      </c>
      <c r="G33" s="184">
        <v>844122</v>
      </c>
      <c r="H33" s="184">
        <v>845869</v>
      </c>
      <c r="I33" s="184">
        <v>847704</v>
      </c>
      <c r="J33" s="184">
        <v>849622</v>
      </c>
      <c r="K33" s="184">
        <v>851577</v>
      </c>
      <c r="L33" s="184">
        <v>853535</v>
      </c>
      <c r="M33" s="184">
        <v>855467</v>
      </c>
      <c r="N33" s="184">
        <v>857368</v>
      </c>
      <c r="O33" s="184">
        <v>859244</v>
      </c>
      <c r="P33" s="184">
        <v>861118</v>
      </c>
      <c r="Q33" s="184">
        <v>862957</v>
      </c>
      <c r="R33" s="184">
        <v>864714</v>
      </c>
      <c r="S33" s="184">
        <v>866319</v>
      </c>
      <c r="T33" s="184">
        <v>867756</v>
      </c>
      <c r="U33" s="184">
        <v>869030</v>
      </c>
      <c r="V33" s="184">
        <v>870151</v>
      </c>
      <c r="W33" s="184">
        <v>871151</v>
      </c>
      <c r="X33" s="184">
        <v>872053</v>
      </c>
      <c r="Y33" s="184">
        <v>872857</v>
      </c>
      <c r="Z33" s="184">
        <v>873553</v>
      </c>
      <c r="AA33" s="184">
        <v>874144</v>
      </c>
      <c r="AB33" s="184">
        <v>874620</v>
      </c>
    </row>
    <row r="34" spans="1:28" x14ac:dyDescent="0.25">
      <c r="A34" s="72"/>
      <c r="B34" s="118" t="s">
        <v>54</v>
      </c>
      <c r="C34" s="184">
        <v>1223105</v>
      </c>
      <c r="D34" s="184">
        <v>1225070</v>
      </c>
      <c r="E34" s="184">
        <v>1226987</v>
      </c>
      <c r="F34" s="184">
        <v>1228920</v>
      </c>
      <c r="G34" s="184">
        <v>1230960</v>
      </c>
      <c r="H34" s="184">
        <v>1233151</v>
      </c>
      <c r="I34" s="184">
        <v>1235577</v>
      </c>
      <c r="J34" s="184">
        <v>1238222</v>
      </c>
      <c r="K34" s="184">
        <v>1240924</v>
      </c>
      <c r="L34" s="184">
        <v>1243567</v>
      </c>
      <c r="M34" s="184">
        <v>1246089</v>
      </c>
      <c r="N34" s="184">
        <v>1248469</v>
      </c>
      <c r="O34" s="184">
        <v>1250748</v>
      </c>
      <c r="P34" s="184">
        <v>1252953</v>
      </c>
      <c r="Q34" s="184">
        <v>1255059</v>
      </c>
      <c r="R34" s="184">
        <v>1257081</v>
      </c>
      <c r="S34" s="184">
        <v>1258976</v>
      </c>
      <c r="T34" s="184">
        <v>1260716</v>
      </c>
      <c r="U34" s="184">
        <v>1262287</v>
      </c>
      <c r="V34" s="184">
        <v>1263677</v>
      </c>
      <c r="W34" s="184">
        <v>1264918</v>
      </c>
      <c r="X34" s="184">
        <v>1266028</v>
      </c>
      <c r="Y34" s="184">
        <v>1267016</v>
      </c>
      <c r="Z34" s="184">
        <v>1267881</v>
      </c>
      <c r="AA34" s="184">
        <v>1268648</v>
      </c>
      <c r="AB34" s="184">
        <v>1269307</v>
      </c>
    </row>
    <row r="35" spans="1:28" x14ac:dyDescent="0.25">
      <c r="A35" s="72"/>
      <c r="B35" s="118" t="s">
        <v>53</v>
      </c>
      <c r="C35" s="184">
        <v>1326339</v>
      </c>
      <c r="D35" s="184">
        <v>1333013</v>
      </c>
      <c r="E35" s="184">
        <v>1339553</v>
      </c>
      <c r="F35" s="184">
        <v>1346003</v>
      </c>
      <c r="G35" s="184">
        <v>1352509</v>
      </c>
      <c r="H35" s="184">
        <v>1359192</v>
      </c>
      <c r="I35" s="184">
        <v>1366154</v>
      </c>
      <c r="J35" s="184">
        <v>1373348</v>
      </c>
      <c r="K35" s="184">
        <v>1380617</v>
      </c>
      <c r="L35" s="184">
        <v>1387810</v>
      </c>
      <c r="M35" s="184">
        <v>1394826</v>
      </c>
      <c r="N35" s="184">
        <v>1401603</v>
      </c>
      <c r="O35" s="184">
        <v>1408105</v>
      </c>
      <c r="P35" s="184">
        <v>1414301</v>
      </c>
      <c r="Q35" s="184">
        <v>1420221</v>
      </c>
      <c r="R35" s="184">
        <v>1425914</v>
      </c>
      <c r="S35" s="184">
        <v>1431388</v>
      </c>
      <c r="T35" s="184">
        <v>1436658</v>
      </c>
      <c r="U35" s="184">
        <v>1441733</v>
      </c>
      <c r="V35" s="184">
        <v>1446568</v>
      </c>
      <c r="W35" s="184">
        <v>1451154</v>
      </c>
      <c r="X35" s="184">
        <v>1455487</v>
      </c>
      <c r="Y35" s="184">
        <v>1459576</v>
      </c>
      <c r="Z35" s="184">
        <v>1463449</v>
      </c>
      <c r="AA35" s="184">
        <v>1467156</v>
      </c>
      <c r="AB35" s="184">
        <v>1470725</v>
      </c>
    </row>
    <row r="36" spans="1:28" x14ac:dyDescent="0.25">
      <c r="A36" s="72"/>
      <c r="B36" s="118" t="s">
        <v>50</v>
      </c>
      <c r="C36" s="184">
        <v>589936</v>
      </c>
      <c r="D36" s="184">
        <v>590482</v>
      </c>
      <c r="E36" s="184">
        <v>591053</v>
      </c>
      <c r="F36" s="184">
        <v>591637</v>
      </c>
      <c r="G36" s="184">
        <v>592294</v>
      </c>
      <c r="H36" s="184">
        <v>593054</v>
      </c>
      <c r="I36" s="184">
        <v>593932</v>
      </c>
      <c r="J36" s="184">
        <v>594914</v>
      </c>
      <c r="K36" s="184">
        <v>595955</v>
      </c>
      <c r="L36" s="184">
        <v>596991</v>
      </c>
      <c r="M36" s="184">
        <v>597969</v>
      </c>
      <c r="N36" s="184">
        <v>598874</v>
      </c>
      <c r="O36" s="184">
        <v>599694</v>
      </c>
      <c r="P36" s="184">
        <v>600418</v>
      </c>
      <c r="Q36" s="184">
        <v>601054</v>
      </c>
      <c r="R36" s="184">
        <v>601615</v>
      </c>
      <c r="S36" s="184">
        <v>602110</v>
      </c>
      <c r="T36" s="184">
        <v>602552</v>
      </c>
      <c r="U36" s="184">
        <v>602935</v>
      </c>
      <c r="V36" s="184">
        <v>603256</v>
      </c>
      <c r="W36" s="184">
        <v>603507</v>
      </c>
      <c r="X36" s="184">
        <v>603683</v>
      </c>
      <c r="Y36" s="184">
        <v>603792</v>
      </c>
      <c r="Z36" s="184">
        <v>603853</v>
      </c>
      <c r="AA36" s="184">
        <v>603884</v>
      </c>
      <c r="AB36" s="184">
        <v>603901</v>
      </c>
    </row>
    <row r="38" spans="1:28" ht="225" x14ac:dyDescent="0.25">
      <c r="A38" s="185" t="s">
        <v>387</v>
      </c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773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704</v>
      </c>
      <c r="B4" s="299">
        <f>$B$9/Befolkningstal!$B$4</f>
        <v>1.1893449129763534</v>
      </c>
      <c r="C4" s="299">
        <f>$B$9/Befolkningstal!$B$4</f>
        <v>1.1893449129763534</v>
      </c>
      <c r="D4" s="299">
        <f>$B$9/Befolkningstal!$B$4</f>
        <v>1.1893449129763534</v>
      </c>
    </row>
    <row r="5" spans="1:14" x14ac:dyDescent="0.25">
      <c r="A5" s="1"/>
      <c r="B5" s="299"/>
    </row>
    <row r="6" spans="1:14" x14ac:dyDescent="0.25">
      <c r="A6" s="1"/>
      <c r="B6" s="299"/>
    </row>
    <row r="8" spans="1:14" x14ac:dyDescent="0.25">
      <c r="A8" t="s">
        <v>686</v>
      </c>
      <c r="B8">
        <f>SUM(M15:M19)</f>
        <v>1030256</v>
      </c>
      <c r="C8" t="s">
        <v>688</v>
      </c>
      <c r="F8" s="202" t="s">
        <v>676</v>
      </c>
    </row>
    <row r="9" spans="1:14" x14ac:dyDescent="0.25">
      <c r="A9" t="s">
        <v>687</v>
      </c>
      <c r="B9" s="303">
        <f>B8*B30*1000</f>
        <v>6905432.9016786581</v>
      </c>
      <c r="C9" t="s">
        <v>705</v>
      </c>
      <c r="F9" s="203">
        <v>140000</v>
      </c>
      <c r="G9" s="302">
        <f>140000/Biogasudbytte!C18</f>
        <v>2333333.3333333335</v>
      </c>
    </row>
    <row r="10" spans="1:14" x14ac:dyDescent="0.25">
      <c r="A10" t="s">
        <v>689</v>
      </c>
    </row>
    <row r="12" spans="1:14" ht="17.25" x14ac:dyDescent="0.3">
      <c r="A12" s="182" t="s">
        <v>668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</row>
    <row r="13" spans="1:14" x14ac:dyDescent="0.25">
      <c r="A13" s="183" t="s">
        <v>97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</row>
    <row r="14" spans="1:14" x14ac:dyDescent="0.25">
      <c r="A14" s="72"/>
      <c r="B14" s="72"/>
      <c r="C14" s="72"/>
      <c r="D14" s="118" t="s">
        <v>660</v>
      </c>
      <c r="E14" s="118" t="s">
        <v>661</v>
      </c>
      <c r="F14" s="118" t="s">
        <v>662</v>
      </c>
      <c r="G14" s="118" t="s">
        <v>663</v>
      </c>
      <c r="H14" s="118" t="s">
        <v>664</v>
      </c>
      <c r="I14" s="118" t="s">
        <v>665</v>
      </c>
      <c r="J14" s="118" t="s">
        <v>666</v>
      </c>
      <c r="K14" s="118" t="s">
        <v>667</v>
      </c>
      <c r="L14" s="118" t="s">
        <v>94</v>
      </c>
      <c r="M14" s="118" t="s">
        <v>259</v>
      </c>
      <c r="N14" s="118" t="s">
        <v>620</v>
      </c>
    </row>
    <row r="15" spans="1:14" x14ac:dyDescent="0.25">
      <c r="A15" s="118" t="s">
        <v>669</v>
      </c>
      <c r="B15" s="118" t="s">
        <v>99</v>
      </c>
      <c r="C15" s="118" t="s">
        <v>670</v>
      </c>
      <c r="D15" s="283" t="s">
        <v>130</v>
      </c>
      <c r="E15" s="283" t="s">
        <v>130</v>
      </c>
      <c r="F15" s="283" t="s">
        <v>130</v>
      </c>
      <c r="G15" s="283" t="s">
        <v>130</v>
      </c>
      <c r="H15" s="283" t="s">
        <v>130</v>
      </c>
      <c r="I15" s="283" t="s">
        <v>130</v>
      </c>
      <c r="J15" s="283" t="s">
        <v>130</v>
      </c>
      <c r="K15" s="283" t="s">
        <v>130</v>
      </c>
      <c r="L15" s="283" t="s">
        <v>130</v>
      </c>
      <c r="M15" s="184">
        <v>260427</v>
      </c>
      <c r="N15" s="301">
        <f t="shared" ref="N15:N20" si="0">AVERAGEIF(D15:M15,"&gt;0")*1000</f>
        <v>260427000</v>
      </c>
    </row>
    <row r="16" spans="1:14" x14ac:dyDescent="0.25">
      <c r="A16" s="72"/>
      <c r="B16" s="72"/>
      <c r="C16" s="118" t="s">
        <v>671</v>
      </c>
      <c r="D16" s="283" t="s">
        <v>130</v>
      </c>
      <c r="E16" s="283" t="s">
        <v>130</v>
      </c>
      <c r="F16" s="283" t="s">
        <v>130</v>
      </c>
      <c r="G16" s="283" t="s">
        <v>130</v>
      </c>
      <c r="H16" s="283" t="s">
        <v>130</v>
      </c>
      <c r="I16" s="283" t="s">
        <v>130</v>
      </c>
      <c r="J16" s="283" t="s">
        <v>130</v>
      </c>
      <c r="K16" s="283" t="s">
        <v>130</v>
      </c>
      <c r="L16" s="283" t="s">
        <v>130</v>
      </c>
      <c r="M16" s="184">
        <v>871</v>
      </c>
      <c r="N16" s="301">
        <f t="shared" si="0"/>
        <v>871000</v>
      </c>
    </row>
    <row r="17" spans="1:14" x14ac:dyDescent="0.25">
      <c r="A17" s="72"/>
      <c r="B17" s="72"/>
      <c r="C17" s="118" t="s">
        <v>672</v>
      </c>
      <c r="D17" s="283" t="s">
        <v>130</v>
      </c>
      <c r="E17" s="184">
        <v>52749</v>
      </c>
      <c r="F17" s="184">
        <v>44752</v>
      </c>
      <c r="G17" s="184">
        <v>45513</v>
      </c>
      <c r="H17" s="184">
        <v>46463</v>
      </c>
      <c r="I17" s="184">
        <v>49231</v>
      </c>
      <c r="J17" s="184">
        <v>46930</v>
      </c>
      <c r="K17" s="184">
        <v>48463</v>
      </c>
      <c r="L17" s="184">
        <v>49844</v>
      </c>
      <c r="M17" s="184">
        <v>41550</v>
      </c>
      <c r="N17" s="301">
        <f t="shared" si="0"/>
        <v>47277222.222222216</v>
      </c>
    </row>
    <row r="18" spans="1:14" x14ac:dyDescent="0.25">
      <c r="A18" s="72"/>
      <c r="B18" s="72"/>
      <c r="C18" s="118" t="s">
        <v>673</v>
      </c>
      <c r="D18" s="184">
        <v>706269</v>
      </c>
      <c r="E18" s="184">
        <v>769131</v>
      </c>
      <c r="F18" s="184">
        <v>718074</v>
      </c>
      <c r="G18" s="184">
        <v>643849</v>
      </c>
      <c r="H18" s="184">
        <v>696742</v>
      </c>
      <c r="I18" s="184">
        <v>765740</v>
      </c>
      <c r="J18" s="184">
        <v>696745</v>
      </c>
      <c r="K18" s="184">
        <v>714169</v>
      </c>
      <c r="L18" s="184">
        <v>614460</v>
      </c>
      <c r="M18" s="184">
        <v>721022</v>
      </c>
      <c r="N18" s="301">
        <f t="shared" si="0"/>
        <v>704620100</v>
      </c>
    </row>
    <row r="19" spans="1:14" x14ac:dyDescent="0.25">
      <c r="A19" s="72"/>
      <c r="B19" s="72"/>
      <c r="C19" s="118" t="s">
        <v>674</v>
      </c>
      <c r="D19" s="283" t="s">
        <v>130</v>
      </c>
      <c r="E19" s="184">
        <v>10931</v>
      </c>
      <c r="F19" s="283" t="s">
        <v>130</v>
      </c>
      <c r="G19" s="184">
        <v>10175</v>
      </c>
      <c r="H19" s="184">
        <v>10014</v>
      </c>
      <c r="I19" s="184">
        <v>9600</v>
      </c>
      <c r="J19" s="184">
        <v>8438</v>
      </c>
      <c r="K19" s="184">
        <v>8435</v>
      </c>
      <c r="L19" s="184">
        <v>6438</v>
      </c>
      <c r="M19" s="184">
        <v>6386</v>
      </c>
      <c r="N19" s="301">
        <f t="shared" si="0"/>
        <v>8802125</v>
      </c>
    </row>
    <row r="20" spans="1:14" x14ac:dyDescent="0.25">
      <c r="A20" s="72"/>
      <c r="B20" s="72"/>
      <c r="C20" s="118" t="s">
        <v>675</v>
      </c>
      <c r="D20" s="283" t="s">
        <v>130</v>
      </c>
      <c r="E20" s="283" t="s">
        <v>130</v>
      </c>
      <c r="F20" s="283" t="s">
        <v>130</v>
      </c>
      <c r="G20" s="283" t="s">
        <v>130</v>
      </c>
      <c r="H20" s="184">
        <v>334595</v>
      </c>
      <c r="I20" s="184">
        <v>392260</v>
      </c>
      <c r="J20" s="184">
        <v>312980</v>
      </c>
      <c r="K20" s="184">
        <v>386102</v>
      </c>
      <c r="L20" s="184">
        <v>228159</v>
      </c>
      <c r="M20" s="184">
        <v>353152</v>
      </c>
      <c r="N20" s="301">
        <f t="shared" si="0"/>
        <v>334541333.33333331</v>
      </c>
    </row>
    <row r="21" spans="1:14" x14ac:dyDescent="0.25">
      <c r="N21" s="301">
        <f>SUM(N15:N20)</f>
        <v>1356538780.5555556</v>
      </c>
    </row>
    <row r="24" spans="1:14" x14ac:dyDescent="0.25">
      <c r="A24" s="162" t="s">
        <v>677</v>
      </c>
      <c r="B24" t="s">
        <v>772</v>
      </c>
    </row>
    <row r="25" spans="1:14" x14ac:dyDescent="0.25">
      <c r="A25" t="s">
        <v>678</v>
      </c>
      <c r="B25">
        <v>30</v>
      </c>
      <c r="C25" t="s">
        <v>679</v>
      </c>
    </row>
    <row r="26" spans="1:14" x14ac:dyDescent="0.25">
      <c r="A26" t="s">
        <v>680</v>
      </c>
      <c r="B26">
        <v>4.3</v>
      </c>
      <c r="C26" t="s">
        <v>681</v>
      </c>
    </row>
    <row r="27" spans="1:14" x14ac:dyDescent="0.25">
      <c r="A27" t="s">
        <v>680</v>
      </c>
      <c r="B27">
        <f>B26/B25</f>
        <v>0.14333333333333334</v>
      </c>
      <c r="C27" t="s">
        <v>682</v>
      </c>
    </row>
    <row r="28" spans="1:14" x14ac:dyDescent="0.25">
      <c r="A28" t="s">
        <v>683</v>
      </c>
      <c r="B28">
        <f>B27*0.65</f>
        <v>9.3166666666666675E-2</v>
      </c>
      <c r="C28" t="s">
        <v>684</v>
      </c>
    </row>
    <row r="29" spans="1:14" x14ac:dyDescent="0.25">
      <c r="A29" s="162" t="s">
        <v>691</v>
      </c>
    </row>
    <row r="30" spans="1:14" x14ac:dyDescent="0.25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2">
        <f>År1</f>
        <v>2019</v>
      </c>
      <c r="C1" s="162">
        <f>År2</f>
        <v>2030</v>
      </c>
      <c r="D1" s="162">
        <f>År3</f>
        <v>2050</v>
      </c>
    </row>
    <row r="2" spans="1:14" x14ac:dyDescent="0.25">
      <c r="A2" s="158" t="s">
        <v>703</v>
      </c>
      <c r="B2" s="229" t="e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#REF!</v>
      </c>
      <c r="C2" s="229" t="e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#REF!</v>
      </c>
      <c r="D2" s="229" t="e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#REF!</v>
      </c>
      <c r="G2" s="9"/>
      <c r="H2" s="8"/>
    </row>
    <row r="3" spans="1:14" ht="15.75" thickBot="1" x14ac:dyDescent="0.3">
      <c r="A3" s="227" t="s">
        <v>813</v>
      </c>
      <c r="B3" s="228">
        <f>SUM($C$17:$C$18,$D$18)</f>
        <v>358674</v>
      </c>
      <c r="C3" s="228">
        <f>SUM($C$17:$C$18,$D$18)</f>
        <v>358674</v>
      </c>
      <c r="D3" s="228">
        <f>SUM($C$17:$C$18,$D$18)</f>
        <v>358674</v>
      </c>
    </row>
    <row r="4" spans="1:14" ht="14.65" customHeight="1" thickBot="1" x14ac:dyDescent="0.3">
      <c r="A4" s="160" t="s">
        <v>817</v>
      </c>
      <c r="B4" s="161" t="e">
        <f ca="1">B3-$C$18+B2</f>
        <v>#REF!</v>
      </c>
      <c r="C4" s="161" t="e">
        <f ca="1">C3-$C$18+C2</f>
        <v>#REF!</v>
      </c>
      <c r="D4" s="161" t="e">
        <f ca="1">D3-$C$18+D2</f>
        <v>#REF!</v>
      </c>
      <c r="E4" s="486" t="s">
        <v>884</v>
      </c>
      <c r="F4" s="486"/>
      <c r="G4" s="486"/>
      <c r="H4" s="486"/>
      <c r="I4" s="486"/>
      <c r="J4" s="486"/>
      <c r="K4" s="486"/>
      <c r="L4" s="486"/>
      <c r="M4" s="486"/>
      <c r="N4" s="486"/>
    </row>
    <row r="5" spans="1:14" ht="14.65" customHeight="1" x14ac:dyDescent="0.25">
      <c r="A5" s="8" t="s">
        <v>517</v>
      </c>
      <c r="B5" s="159">
        <f>SUM($C$16:$D$16)</f>
        <v>982809</v>
      </c>
      <c r="C5" s="159">
        <f>SUM($C$16:$D$16)</f>
        <v>982809</v>
      </c>
      <c r="D5" s="159">
        <f>SUM($C$16:$D$16)</f>
        <v>982809</v>
      </c>
      <c r="E5" s="486"/>
      <c r="F5" s="486"/>
      <c r="G5" s="486"/>
      <c r="H5" s="486"/>
      <c r="I5" s="486"/>
      <c r="J5" s="486"/>
      <c r="K5" s="486"/>
      <c r="L5" s="486"/>
      <c r="M5" s="486"/>
      <c r="N5" s="486"/>
    </row>
    <row r="6" spans="1:14" x14ac:dyDescent="0.25">
      <c r="A6" s="8" t="s">
        <v>811</v>
      </c>
      <c r="B6" s="159">
        <f>$D$17+$D$19-SUM($C$26:$E$26)</f>
        <v>355018</v>
      </c>
      <c r="C6" s="159">
        <f>$D$17+$D$19-SUM($C$26:$E$26)</f>
        <v>355018</v>
      </c>
      <c r="D6" s="159">
        <f>$D$17+$D$19-SUM($C$26:$E$26)</f>
        <v>355018</v>
      </c>
      <c r="E6" s="486"/>
      <c r="F6" s="486"/>
      <c r="G6" s="486"/>
      <c r="H6" s="486"/>
      <c r="I6" s="486"/>
      <c r="J6" s="486"/>
      <c r="K6" s="486"/>
      <c r="L6" s="486"/>
      <c r="M6" s="486"/>
      <c r="N6" s="486"/>
    </row>
    <row r="7" spans="1:14" x14ac:dyDescent="0.25">
      <c r="A7" s="8" t="s">
        <v>814</v>
      </c>
      <c r="B7" s="159" t="e">
        <f ca="1">SUM(B4:B6)+E26+D26+C26</f>
        <v>#REF!</v>
      </c>
      <c r="C7" s="159"/>
      <c r="D7" s="159"/>
      <c r="E7" s="388"/>
      <c r="F7" s="388"/>
      <c r="G7" s="388"/>
      <c r="H7" s="388"/>
      <c r="I7" s="388"/>
      <c r="J7" s="388"/>
      <c r="K7" s="388"/>
      <c r="L7" s="388"/>
      <c r="M7" s="388"/>
      <c r="N7" s="388"/>
    </row>
    <row r="8" spans="1:14" x14ac:dyDescent="0.25">
      <c r="A8" s="8"/>
      <c r="B8" s="159"/>
      <c r="C8" s="159"/>
      <c r="D8" s="159"/>
      <c r="E8" s="388"/>
      <c r="F8" s="388"/>
      <c r="G8" s="388"/>
      <c r="H8" s="388"/>
      <c r="I8" s="388"/>
      <c r="J8" s="388"/>
      <c r="K8" s="388"/>
      <c r="L8" s="388"/>
      <c r="M8" s="388"/>
      <c r="N8" s="388"/>
    </row>
    <row r="9" spans="1:14" x14ac:dyDescent="0.25">
      <c r="A9" s="8"/>
      <c r="B9" s="159"/>
      <c r="C9" s="159"/>
      <c r="D9" s="159"/>
      <c r="E9" s="388"/>
      <c r="F9" s="388"/>
      <c r="G9" s="388"/>
      <c r="H9" s="388"/>
      <c r="I9" s="388"/>
      <c r="J9" s="388"/>
      <c r="K9" s="388"/>
      <c r="L9" s="388"/>
      <c r="M9" s="388"/>
      <c r="N9" s="388"/>
    </row>
    <row r="10" spans="1:14" x14ac:dyDescent="0.25">
      <c r="A10" t="s">
        <v>319</v>
      </c>
    </row>
    <row r="11" spans="1:14" x14ac:dyDescent="0.25">
      <c r="A11" s="72"/>
      <c r="K11" s="2"/>
      <c r="L11" s="2"/>
    </row>
    <row r="12" spans="1:14" ht="17.25" x14ac:dyDescent="0.3">
      <c r="A12" s="182" t="s">
        <v>313</v>
      </c>
      <c r="B12" s="72"/>
      <c r="C12" s="72"/>
      <c r="D12" s="72"/>
    </row>
    <row r="13" spans="1:14" x14ac:dyDescent="0.25">
      <c r="A13" s="183" t="s">
        <v>314</v>
      </c>
      <c r="B13" s="72"/>
      <c r="C13" s="72"/>
      <c r="D13" s="72"/>
    </row>
    <row r="14" spans="1:14" x14ac:dyDescent="0.25">
      <c r="A14" s="72"/>
      <c r="B14" s="72"/>
      <c r="C14" s="118" t="s">
        <v>315</v>
      </c>
      <c r="D14" s="118" t="s">
        <v>316</v>
      </c>
    </row>
    <row r="15" spans="1:14" x14ac:dyDescent="0.25">
      <c r="A15" s="118" t="s">
        <v>259</v>
      </c>
      <c r="B15" s="118" t="s">
        <v>700</v>
      </c>
      <c r="C15" s="184">
        <v>0</v>
      </c>
      <c r="D15" s="184">
        <v>0</v>
      </c>
    </row>
    <row r="16" spans="1:14" x14ac:dyDescent="0.25">
      <c r="A16" s="72"/>
      <c r="B16" s="118" t="s">
        <v>318</v>
      </c>
      <c r="C16" s="184">
        <v>793037</v>
      </c>
      <c r="D16" s="184">
        <v>189772</v>
      </c>
    </row>
    <row r="17" spans="1:5" x14ac:dyDescent="0.25">
      <c r="A17" s="72"/>
      <c r="B17" s="118" t="s">
        <v>701</v>
      </c>
      <c r="C17" s="184">
        <v>5534</v>
      </c>
      <c r="D17" s="184">
        <v>488981</v>
      </c>
    </row>
    <row r="18" spans="1:5" x14ac:dyDescent="0.25">
      <c r="A18" s="72"/>
      <c r="B18" s="118" t="s">
        <v>702</v>
      </c>
      <c r="C18" s="184">
        <v>130234</v>
      </c>
      <c r="D18" s="184">
        <v>222906</v>
      </c>
    </row>
    <row r="19" spans="1:5" x14ac:dyDescent="0.25">
      <c r="A19" s="72"/>
      <c r="B19" s="118" t="s">
        <v>852</v>
      </c>
      <c r="C19" s="184">
        <v>0</v>
      </c>
      <c r="D19" s="184">
        <v>224372</v>
      </c>
    </row>
    <row r="20" spans="1:5" x14ac:dyDescent="0.25">
      <c r="E20">
        <f>SUM(C16:D18)</f>
        <v>1830464</v>
      </c>
    </row>
    <row r="21" spans="1:5" ht="17.25" x14ac:dyDescent="0.3">
      <c r="A21" s="182" t="s">
        <v>313</v>
      </c>
      <c r="B21" s="72"/>
      <c r="C21" s="72"/>
      <c r="D21" s="72"/>
    </row>
    <row r="22" spans="1:5" x14ac:dyDescent="0.25">
      <c r="A22" s="183" t="s">
        <v>314</v>
      </c>
      <c r="B22" s="72"/>
      <c r="C22" s="72"/>
      <c r="D22" s="72"/>
    </row>
    <row r="23" spans="1:5" x14ac:dyDescent="0.25">
      <c r="A23" s="72"/>
      <c r="B23" s="72"/>
      <c r="C23" s="118" t="s">
        <v>320</v>
      </c>
      <c r="D23" s="118" t="s">
        <v>321</v>
      </c>
      <c r="E23" t="s">
        <v>810</v>
      </c>
    </row>
    <row r="24" spans="1:5" x14ac:dyDescent="0.25">
      <c r="A24" s="118" t="s">
        <v>259</v>
      </c>
      <c r="B24" s="118" t="s">
        <v>700</v>
      </c>
      <c r="C24" s="184">
        <v>0</v>
      </c>
      <c r="D24" s="184">
        <v>0</v>
      </c>
    </row>
    <row r="25" spans="1:5" x14ac:dyDescent="0.25">
      <c r="A25" s="72"/>
      <c r="B25" s="118" t="s">
        <v>318</v>
      </c>
      <c r="C25" s="184">
        <v>1204</v>
      </c>
      <c r="D25" s="184">
        <v>9</v>
      </c>
      <c r="E25">
        <v>6392</v>
      </c>
    </row>
    <row r="26" spans="1:5" x14ac:dyDescent="0.25">
      <c r="A26" s="72"/>
      <c r="B26" s="118" t="s">
        <v>701</v>
      </c>
      <c r="C26" s="184">
        <v>73281</v>
      </c>
      <c r="D26" s="184">
        <v>17318</v>
      </c>
      <c r="E26">
        <v>267736</v>
      </c>
    </row>
    <row r="27" spans="1:5" x14ac:dyDescent="0.25">
      <c r="A27" s="72"/>
      <c r="B27" s="118" t="s">
        <v>702</v>
      </c>
      <c r="C27" s="184">
        <v>48589</v>
      </c>
      <c r="D27" s="184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J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</cols>
  <sheetData>
    <row r="1" spans="1:10" x14ac:dyDescent="0.25">
      <c r="A1" s="354" t="s">
        <v>40</v>
      </c>
      <c r="B1" s="354" t="s">
        <v>644</v>
      </c>
      <c r="C1" s="354" t="s">
        <v>43</v>
      </c>
      <c r="E1" s="234" t="s">
        <v>513</v>
      </c>
    </row>
    <row r="2" spans="1:10" x14ac:dyDescent="0.25">
      <c r="A2" s="354" t="s">
        <v>37</v>
      </c>
      <c r="B2" s="376">
        <v>160.6</v>
      </c>
      <c r="C2" s="386">
        <v>0.85</v>
      </c>
      <c r="E2" s="235" t="s">
        <v>44</v>
      </c>
    </row>
    <row r="3" spans="1:10" x14ac:dyDescent="0.25">
      <c r="A3" s="354" t="s">
        <v>13</v>
      </c>
      <c r="B3" s="352">
        <v>51.25</v>
      </c>
      <c r="C3" s="353">
        <v>0.28000000000000003</v>
      </c>
    </row>
    <row r="4" spans="1:10" x14ac:dyDescent="0.25">
      <c r="A4" s="354" t="s">
        <v>488</v>
      </c>
      <c r="B4" s="376">
        <v>12</v>
      </c>
      <c r="C4" s="386">
        <v>0.05</v>
      </c>
    </row>
    <row r="5" spans="1:10" x14ac:dyDescent="0.25">
      <c r="A5" s="354" t="s">
        <v>489</v>
      </c>
      <c r="B5" s="376">
        <v>14.1</v>
      </c>
      <c r="C5" s="386">
        <v>7.5999999999999998E-2</v>
      </c>
    </row>
    <row r="6" spans="1:10" x14ac:dyDescent="0.25">
      <c r="A6" s="354" t="s">
        <v>490</v>
      </c>
      <c r="B6" s="376">
        <v>13.1</v>
      </c>
      <c r="C6" s="386">
        <v>6.3E-2</v>
      </c>
    </row>
    <row r="7" spans="1:10" x14ac:dyDescent="0.25">
      <c r="A7" s="354" t="s">
        <v>39</v>
      </c>
      <c r="B7" s="376">
        <v>60</v>
      </c>
      <c r="C7" s="386">
        <v>0.3</v>
      </c>
    </row>
    <row r="8" spans="1:10" x14ac:dyDescent="0.25">
      <c r="A8" s="354" t="s">
        <v>15</v>
      </c>
      <c r="B8" s="352">
        <v>100</v>
      </c>
      <c r="C8" s="353">
        <v>0.3</v>
      </c>
      <c r="I8" s="8"/>
      <c r="J8" s="8"/>
    </row>
    <row r="9" spans="1:10" x14ac:dyDescent="0.25">
      <c r="A9" s="354" t="s">
        <v>42</v>
      </c>
      <c r="B9" s="352">
        <v>75.599999999999994</v>
      </c>
      <c r="C9" s="353">
        <v>0.2</v>
      </c>
    </row>
    <row r="10" spans="1:10" x14ac:dyDescent="0.25">
      <c r="A10" s="354" t="s">
        <v>312</v>
      </c>
      <c r="B10" s="352">
        <v>94.9</v>
      </c>
      <c r="C10" s="353">
        <v>0.28000000000000003</v>
      </c>
    </row>
    <row r="11" spans="1:10" x14ac:dyDescent="0.25">
      <c r="A11" s="354" t="s">
        <v>41</v>
      </c>
      <c r="B11" s="352">
        <v>120.7</v>
      </c>
      <c r="C11" s="353">
        <v>0.42</v>
      </c>
      <c r="F11" s="8"/>
    </row>
    <row r="12" spans="1:10" x14ac:dyDescent="0.25">
      <c r="A12" s="354" t="s">
        <v>301</v>
      </c>
      <c r="B12" s="376">
        <v>25</v>
      </c>
      <c r="C12" s="386">
        <v>0.15</v>
      </c>
    </row>
    <row r="13" spans="1:10" x14ac:dyDescent="0.25">
      <c r="A13" s="354" t="s">
        <v>300</v>
      </c>
      <c r="B13" s="376">
        <v>25</v>
      </c>
      <c r="C13" s="386">
        <v>0.15</v>
      </c>
      <c r="I13" s="208"/>
      <c r="J13" s="8"/>
    </row>
    <row r="14" spans="1:10" x14ac:dyDescent="0.25">
      <c r="A14" s="354" t="s">
        <v>11</v>
      </c>
      <c r="B14" s="376">
        <v>95.4</v>
      </c>
      <c r="C14" s="386">
        <v>0.31</v>
      </c>
      <c r="I14" s="208"/>
      <c r="J14" s="8"/>
    </row>
    <row r="15" spans="1:10" x14ac:dyDescent="0.25">
      <c r="A15" s="354" t="s">
        <v>517</v>
      </c>
      <c r="B15" s="352">
        <v>47.3</v>
      </c>
      <c r="C15" s="353">
        <v>0.3</v>
      </c>
      <c r="I15" s="208"/>
      <c r="J15" s="8"/>
    </row>
    <row r="16" spans="1:10" x14ac:dyDescent="0.25">
      <c r="A16" s="354" t="s">
        <v>651</v>
      </c>
      <c r="B16" s="273">
        <f>'Procesdata (baggrund)'!I5</f>
        <v>15.822453396634783</v>
      </c>
      <c r="C16" s="375">
        <f>'Procesdata (baggrund)'!B5</f>
        <v>4.2763387558472386E-2</v>
      </c>
      <c r="I16" s="208"/>
      <c r="J16" s="8"/>
    </row>
    <row r="17" spans="1:10" x14ac:dyDescent="0.25">
      <c r="A17" s="354" t="s">
        <v>509</v>
      </c>
      <c r="B17" s="376">
        <v>423.36</v>
      </c>
      <c r="C17" s="386">
        <v>0.9</v>
      </c>
    </row>
    <row r="18" spans="1:10" x14ac:dyDescent="0.25">
      <c r="A18" s="354" t="s">
        <v>492</v>
      </c>
      <c r="B18" s="376">
        <v>13.9</v>
      </c>
      <c r="C18" s="386">
        <v>0.06</v>
      </c>
    </row>
    <row r="19" spans="1:10" x14ac:dyDescent="0.25">
      <c r="D19" s="163"/>
    </row>
    <row r="20" spans="1:10" x14ac:dyDescent="0.25">
      <c r="B20" s="163"/>
      <c r="C20" s="163"/>
      <c r="D20" s="163"/>
    </row>
    <row r="21" spans="1:10" x14ac:dyDescent="0.25">
      <c r="B21" s="163"/>
      <c r="C21" s="163"/>
      <c r="D21" s="163"/>
      <c r="I21" s="8"/>
      <c r="J21" s="8"/>
    </row>
    <row r="22" spans="1:10" x14ac:dyDescent="0.25">
      <c r="B22" s="163"/>
      <c r="C22" s="163"/>
      <c r="D22" s="163"/>
    </row>
    <row r="23" spans="1:10" x14ac:dyDescent="0.25">
      <c r="B23" s="163"/>
      <c r="C23" s="163"/>
      <c r="D23" s="163"/>
    </row>
    <row r="24" spans="1:10" x14ac:dyDescent="0.25">
      <c r="B24" s="163"/>
      <c r="C24" s="163"/>
      <c r="D24" s="163"/>
    </row>
    <row r="25" spans="1:10" x14ac:dyDescent="0.25">
      <c r="B25" s="163"/>
      <c r="C25" s="163"/>
      <c r="D25" s="163"/>
    </row>
    <row r="26" spans="1:10" x14ac:dyDescent="0.25">
      <c r="B26" s="163"/>
      <c r="C26" s="163"/>
      <c r="D26" s="163"/>
      <c r="I26" s="8"/>
      <c r="J26" s="8"/>
    </row>
    <row r="27" spans="1:10" x14ac:dyDescent="0.25">
      <c r="B27" s="163"/>
      <c r="C27" s="163"/>
      <c r="D27" s="163"/>
    </row>
    <row r="28" spans="1:10" x14ac:dyDescent="0.25">
      <c r="B28" s="163"/>
      <c r="C28" s="163"/>
      <c r="D28" s="163"/>
    </row>
    <row r="29" spans="1:10" x14ac:dyDescent="0.25">
      <c r="B29" s="163"/>
      <c r="C29" s="163"/>
      <c r="D29" s="163"/>
    </row>
    <row r="30" spans="1:10" x14ac:dyDescent="0.25">
      <c r="B30" s="163"/>
      <c r="C30" s="16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44"/>
      <c r="B1" s="244" t="s">
        <v>305</v>
      </c>
      <c r="C1" s="244" t="s">
        <v>886</v>
      </c>
      <c r="D1" s="244"/>
      <c r="E1" t="s">
        <v>887</v>
      </c>
    </row>
    <row r="2" spans="1:10" ht="15" customHeight="1" x14ac:dyDescent="0.25">
      <c r="A2" s="244" t="s">
        <v>37</v>
      </c>
      <c r="B2" s="244" t="s">
        <v>401</v>
      </c>
      <c r="C2" s="225">
        <f>D27</f>
        <v>1.0335806339134365E-5</v>
      </c>
      <c r="D2" s="431" t="s">
        <v>715</v>
      </c>
      <c r="E2">
        <v>14.5</v>
      </c>
    </row>
    <row r="3" spans="1:10" ht="45.75" customHeight="1" x14ac:dyDescent="0.25">
      <c r="A3" s="244" t="s">
        <v>711</v>
      </c>
      <c r="B3" s="244" t="s">
        <v>401</v>
      </c>
      <c r="C3" s="244">
        <f>35*10^-6</f>
        <v>3.4999999999999997E-5</v>
      </c>
      <c r="D3" s="432" t="s">
        <v>403</v>
      </c>
      <c r="E3">
        <v>37.200000000000003</v>
      </c>
    </row>
    <row r="4" spans="1:10" ht="45" x14ac:dyDescent="0.25">
      <c r="A4" s="244" t="s">
        <v>329</v>
      </c>
      <c r="B4" s="244" t="s">
        <v>401</v>
      </c>
      <c r="C4" s="244">
        <f>18.4*10^-6</f>
        <v>1.8399999999999997E-5</v>
      </c>
      <c r="D4" s="433" t="s">
        <v>508</v>
      </c>
    </row>
    <row r="5" spans="1:10" ht="15" customHeight="1" x14ac:dyDescent="0.25">
      <c r="A5" s="244" t="s">
        <v>395</v>
      </c>
      <c r="B5" s="244" t="s">
        <v>402</v>
      </c>
      <c r="C5" s="428">
        <f>D19</f>
        <v>1.449356890077532E-5</v>
      </c>
      <c r="D5" s="433" t="s">
        <v>716</v>
      </c>
      <c r="E5" s="228" t="s">
        <v>888</v>
      </c>
    </row>
    <row r="6" spans="1:10" ht="15" customHeight="1" x14ac:dyDescent="0.25">
      <c r="A6" s="244" t="s">
        <v>517</v>
      </c>
      <c r="B6" s="244" t="s">
        <v>401</v>
      </c>
      <c r="C6" s="428">
        <f>D24</f>
        <v>1.7852220520673815E-5</v>
      </c>
      <c r="D6" s="433" t="s">
        <v>715</v>
      </c>
      <c r="E6" t="s">
        <v>889</v>
      </c>
    </row>
    <row r="7" spans="1:10" ht="15" customHeight="1" x14ac:dyDescent="0.25">
      <c r="A7" s="244" t="s">
        <v>312</v>
      </c>
      <c r="B7" s="244" t="s">
        <v>401</v>
      </c>
      <c r="C7" s="428">
        <f>D24</f>
        <v>1.7852220520673815E-5</v>
      </c>
      <c r="D7" s="433" t="s">
        <v>715</v>
      </c>
      <c r="E7" t="s">
        <v>890</v>
      </c>
    </row>
    <row r="8" spans="1:10" x14ac:dyDescent="0.25">
      <c r="A8" s="415" t="s">
        <v>879</v>
      </c>
      <c r="B8" s="415" t="s">
        <v>401</v>
      </c>
      <c r="C8" s="430">
        <f>'Procesdata (baggrund)'!I23</f>
        <v>3.326857142857142E-5</v>
      </c>
      <c r="D8" s="415" t="s">
        <v>880</v>
      </c>
    </row>
    <row r="9" spans="1:10" x14ac:dyDescent="0.25">
      <c r="A9" s="415" t="s">
        <v>867</v>
      </c>
      <c r="B9" s="415" t="s">
        <v>401</v>
      </c>
      <c r="C9" s="429">
        <f>'Procesdata (baggrund)'!I24</f>
        <v>8.9614285714285689E-6</v>
      </c>
      <c r="D9" s="415" t="s">
        <v>880</v>
      </c>
    </row>
    <row r="10" spans="1:10" x14ac:dyDescent="0.25">
      <c r="A10" s="244" t="s">
        <v>302</v>
      </c>
      <c r="B10" s="244" t="s">
        <v>402</v>
      </c>
      <c r="C10" s="244">
        <f>35.9*10^-9</f>
        <v>3.5900000000000004E-8</v>
      </c>
      <c r="D10" s="356" t="s">
        <v>404</v>
      </c>
    </row>
    <row r="13" spans="1:10" x14ac:dyDescent="0.25">
      <c r="A13" s="244"/>
      <c r="B13" s="244" t="s">
        <v>695</v>
      </c>
      <c r="C13" s="244" t="s">
        <v>696</v>
      </c>
      <c r="D13" s="244" t="s">
        <v>804</v>
      </c>
    </row>
    <row r="14" spans="1:10" x14ac:dyDescent="0.25">
      <c r="A14" s="244" t="s">
        <v>623</v>
      </c>
      <c r="B14" s="244">
        <v>139000</v>
      </c>
      <c r="C14" s="244">
        <v>14.757999999999999</v>
      </c>
      <c r="D14" s="244"/>
    </row>
    <row r="15" spans="1:10" x14ac:dyDescent="0.25">
      <c r="A15" s="244" t="s">
        <v>697</v>
      </c>
      <c r="B15" s="244">
        <v>1763000</v>
      </c>
      <c r="C15" s="244">
        <v>21.187000000000001</v>
      </c>
      <c r="D15" s="244"/>
      <c r="J15" s="304"/>
    </row>
    <row r="16" spans="1:10" x14ac:dyDescent="0.25">
      <c r="A16" s="244" t="s">
        <v>698</v>
      </c>
      <c r="B16" s="244">
        <v>205000</v>
      </c>
      <c r="C16" s="244">
        <v>1.988</v>
      </c>
      <c r="D16" s="244"/>
    </row>
    <row r="17" spans="1:8" x14ac:dyDescent="0.25">
      <c r="A17" s="244" t="s">
        <v>699</v>
      </c>
      <c r="B17" s="244">
        <f>1643000*'Processer - data'!H424</f>
        <v>854360</v>
      </c>
      <c r="C17" s="244">
        <v>8.9450000000000003</v>
      </c>
      <c r="D17" s="244"/>
    </row>
    <row r="18" spans="1:8" x14ac:dyDescent="0.25">
      <c r="A18" s="244" t="s">
        <v>329</v>
      </c>
      <c r="B18" s="244"/>
      <c r="C18" s="244">
        <f>-D18*C4</f>
        <v>-3.9573247999999994</v>
      </c>
      <c r="D18" s="244">
        <v>215072</v>
      </c>
    </row>
    <row r="19" spans="1:8" x14ac:dyDescent="0.25">
      <c r="A19" s="244"/>
      <c r="B19" s="244">
        <f>SUM(B14:B17)</f>
        <v>2961360</v>
      </c>
      <c r="C19" s="244">
        <f>SUM(C14:C18)</f>
        <v>42.920675199999998</v>
      </c>
      <c r="D19" s="244">
        <f>C19/B19</f>
        <v>1.449356890077532E-5</v>
      </c>
    </row>
    <row r="20" spans="1:8" x14ac:dyDescent="0.25">
      <c r="H20" s="301"/>
    </row>
    <row r="21" spans="1:8" x14ac:dyDescent="0.25">
      <c r="A21" s="244" t="s">
        <v>806</v>
      </c>
      <c r="B21" s="244" t="s">
        <v>713</v>
      </c>
      <c r="C21" s="244" t="s">
        <v>714</v>
      </c>
      <c r="D21" s="244"/>
    </row>
    <row r="22" spans="1:8" x14ac:dyDescent="0.25">
      <c r="A22" s="244" t="s">
        <v>805</v>
      </c>
      <c r="B22" s="244">
        <v>633738</v>
      </c>
      <c r="C22" s="244"/>
      <c r="D22" s="244"/>
    </row>
    <row r="23" spans="1:8" x14ac:dyDescent="0.25">
      <c r="A23" s="244" t="s">
        <v>706</v>
      </c>
      <c r="B23" s="244">
        <f>SUM(Affald!C15:D18)-SUM(Affald!C26:D27)</f>
        <v>1678538</v>
      </c>
      <c r="C23" s="244"/>
      <c r="D23" s="244"/>
    </row>
    <row r="24" spans="1:8" x14ac:dyDescent="0.25">
      <c r="A24" s="244" t="s">
        <v>317</v>
      </c>
      <c r="B24" s="244">
        <f>B23-B22</f>
        <v>1044800</v>
      </c>
      <c r="C24" s="244">
        <v>18652</v>
      </c>
      <c r="D24" s="244">
        <f>C24/1000/B24</f>
        <v>1.7852220520673815E-5</v>
      </c>
    </row>
    <row r="26" spans="1:8" x14ac:dyDescent="0.25">
      <c r="A26" s="244"/>
      <c r="B26" s="244" t="s">
        <v>718</v>
      </c>
      <c r="C26" s="244" t="s">
        <v>714</v>
      </c>
      <c r="D26" s="244"/>
      <c r="E26" s="244"/>
    </row>
    <row r="27" spans="1:8" x14ac:dyDescent="0.25">
      <c r="A27" s="244" t="s">
        <v>717</v>
      </c>
      <c r="B27" s="244">
        <f>1813.9*1000</f>
        <v>1813900</v>
      </c>
      <c r="C27" s="355">
        <v>17963.28</v>
      </c>
      <c r="D27" s="244">
        <f>C27/1000/(B27-B28)</f>
        <v>1.0335806339134365E-5</v>
      </c>
      <c r="E27" s="244">
        <f>(B27-B28)</f>
        <v>1737966</v>
      </c>
    </row>
    <row r="28" spans="1:8" x14ac:dyDescent="0.25">
      <c r="A28" s="244" t="s">
        <v>719</v>
      </c>
      <c r="B28" s="244">
        <v>75934</v>
      </c>
      <c r="C28" s="244"/>
      <c r="D28" s="244"/>
      <c r="E28" s="244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workbookViewId="0">
      <selection activeCell="B4" sqref="B4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296" t="s">
        <v>14</v>
      </c>
      <c r="B2">
        <f>IFERROR(VLOOKUP(A2,Biogasudbytte!$A$2:$C$18,3,FALSE),VLOOKUP(A2,$I$2:$J$8,2,FALSE))</f>
        <v>0.85</v>
      </c>
      <c r="I2" s="296" t="s">
        <v>14</v>
      </c>
      <c r="J2">
        <v>0.85</v>
      </c>
    </row>
    <row r="3" spans="1:11" x14ac:dyDescent="0.25">
      <c r="A3" s="295" t="s">
        <v>312</v>
      </c>
      <c r="B3">
        <f>IFERROR(VLOOKUP(A3,Biogasudbytte!$A$2:$C$18,3,FALSE),VLOOKUP(A3,$I$2:$J$8,2,FALSE))</f>
        <v>0.28000000000000003</v>
      </c>
      <c r="I3" s="296" t="s">
        <v>178</v>
      </c>
      <c r="J3" s="163">
        <v>0.25</v>
      </c>
    </row>
    <row r="4" spans="1:11" x14ac:dyDescent="0.25">
      <c r="A4" s="296" t="s">
        <v>651</v>
      </c>
      <c r="B4">
        <f>IFERROR(VLOOKUP(A4,Biogasudbytte!$A$2:$C$18,3,FALSE),VLOOKUP(A4,$I$2:$J$8,2,FALSE))</f>
        <v>4.2763387558472386E-2</v>
      </c>
      <c r="I4" s="295" t="s">
        <v>329</v>
      </c>
      <c r="J4">
        <f>AVERAGE(0.46,0.37)</f>
        <v>0.41500000000000004</v>
      </c>
      <c r="K4" t="s">
        <v>708</v>
      </c>
    </row>
    <row r="5" spans="1:11" x14ac:dyDescent="0.25">
      <c r="A5" s="295" t="s">
        <v>39</v>
      </c>
      <c r="B5">
        <f>IFERROR(VLOOKUP(A5,Biogasudbytte!$A$2:$C$18,3,FALSE),VLOOKUP(A5,$I$2:$J$8,2,FALSE))</f>
        <v>0.3</v>
      </c>
      <c r="I5" s="296" t="s">
        <v>167</v>
      </c>
      <c r="J5">
        <v>0.91</v>
      </c>
      <c r="K5" t="s">
        <v>707</v>
      </c>
    </row>
    <row r="6" spans="1:11" x14ac:dyDescent="0.25">
      <c r="A6" s="295" t="s">
        <v>647</v>
      </c>
      <c r="B6" s="8">
        <f>'Procesdata (baggrund)'!B4</f>
        <v>0.34</v>
      </c>
      <c r="I6" s="296" t="s">
        <v>710</v>
      </c>
      <c r="J6">
        <v>0.91</v>
      </c>
      <c r="K6" t="s">
        <v>707</v>
      </c>
    </row>
    <row r="7" spans="1:11" x14ac:dyDescent="0.25">
      <c r="A7" s="296" t="s">
        <v>490</v>
      </c>
      <c r="B7">
        <f>IFERROR(VLOOKUP(A7,Biogasudbytte!$A$2:$C$18,3,FALSE),VLOOKUP(A7,$I$2:$J$8,2,FALSE))</f>
        <v>6.3E-2</v>
      </c>
      <c r="I7" s="296" t="s">
        <v>711</v>
      </c>
      <c r="J7">
        <v>0.91</v>
      </c>
      <c r="K7" t="s">
        <v>707</v>
      </c>
    </row>
    <row r="8" spans="1:11" x14ac:dyDescent="0.25">
      <c r="A8" s="295" t="s">
        <v>509</v>
      </c>
      <c r="B8">
        <f>IFERROR(VLOOKUP(A8,Biogasudbytte!$A$2:$C$18,3,FALSE),VLOOKUP(A8,$I$2:$J$8,2,FALSE))</f>
        <v>0.9</v>
      </c>
      <c r="I8" s="296" t="s">
        <v>395</v>
      </c>
      <c r="J8" s="163">
        <f>AVERAGE(0.58,0.57,0.57,0.565,0.54,0.5,0.49,0.46,0.44,0.43,0.42,0.37)</f>
        <v>0.49458333333333332</v>
      </c>
      <c r="K8" t="s">
        <v>708</v>
      </c>
    </row>
    <row r="9" spans="1:11" x14ac:dyDescent="0.25">
      <c r="A9" s="296" t="s">
        <v>13</v>
      </c>
      <c r="B9">
        <f>IFERROR(VLOOKUP(A9,Biogasudbytte!$A$2:$C$18,3,FALSE),VLOOKUP(A9,$I$2:$J$8,2,FALSE))</f>
        <v>0.28000000000000003</v>
      </c>
    </row>
    <row r="10" spans="1:11" x14ac:dyDescent="0.25">
      <c r="A10" s="295" t="s">
        <v>37</v>
      </c>
      <c r="B10">
        <f>IFERROR(VLOOKUP(A10,Biogasudbytte!$A$2:$C$18,3,FALSE),VLOOKUP(A10,$I$2:$J$8,2,FALSE))</f>
        <v>0.85</v>
      </c>
    </row>
    <row r="11" spans="1:11" x14ac:dyDescent="0.25">
      <c r="A11" s="296" t="s">
        <v>517</v>
      </c>
      <c r="B11">
        <f>IFERROR(VLOOKUP(A11,Biogasudbytte!$A$2:$C$18,3,FALSE),VLOOKUP(A11,$I$2:$J$8,2,FALSE))</f>
        <v>0.3</v>
      </c>
    </row>
    <row r="12" spans="1:11" x14ac:dyDescent="0.25">
      <c r="A12" s="295" t="s">
        <v>41</v>
      </c>
      <c r="B12">
        <f>IFERROR(VLOOKUP(A12,Biogasudbytte!$A$2:$C$18,3,FALSE),VLOOKUP(A12,$I$2:$J$8,2,FALSE))</f>
        <v>0.42</v>
      </c>
    </row>
    <row r="13" spans="1:11" x14ac:dyDescent="0.25">
      <c r="A13" s="296" t="s">
        <v>178</v>
      </c>
      <c r="B13">
        <f>IFERROR(VLOOKUP(A13,Biogasudbytte!$A$2:$C$18,3,FALSE),VLOOKUP(A13,$I$2:$J$8,2,FALSE))</f>
        <v>0.25</v>
      </c>
    </row>
    <row r="14" spans="1:11" x14ac:dyDescent="0.25">
      <c r="A14" s="295" t="s">
        <v>11</v>
      </c>
      <c r="B14">
        <f>IFERROR(VLOOKUP(A14,Biogasudbytte!$A$2:$C$18,3,FALSE),VLOOKUP(A14,$I$2:$J$8,2,FALSE))</f>
        <v>0.31</v>
      </c>
    </row>
    <row r="15" spans="1:11" x14ac:dyDescent="0.25">
      <c r="A15" s="296" t="s">
        <v>489</v>
      </c>
      <c r="B15">
        <f>IFERROR(VLOOKUP(A15,Biogasudbytte!$A$2:$C$18,3,FALSE),VLOOKUP(A15,$I$2:$J$8,2,FALSE))</f>
        <v>7.5999999999999998E-2</v>
      </c>
    </row>
    <row r="16" spans="1:11" x14ac:dyDescent="0.25">
      <c r="A16" s="295" t="s">
        <v>15</v>
      </c>
      <c r="B16">
        <f>IFERROR(VLOOKUP(A16,Biogasudbytte!$A$2:$C$18,3,FALSE),VLOOKUP(A16,$I$2:$J$8,2,FALSE))</f>
        <v>0.3</v>
      </c>
    </row>
    <row r="17" spans="1:2" x14ac:dyDescent="0.25">
      <c r="A17" s="296" t="s">
        <v>301</v>
      </c>
      <c r="B17">
        <f>IFERROR(VLOOKUP(A17,Biogasudbytte!$A$2:$C$18,3,FALSE),VLOOKUP(A17,$I$2:$J$8,2,FALSE))</f>
        <v>0.15</v>
      </c>
    </row>
    <row r="18" spans="1:2" x14ac:dyDescent="0.25">
      <c r="A18" s="295" t="s">
        <v>329</v>
      </c>
      <c r="B18">
        <f>IFERROR(VLOOKUP(A18,Biogasudbytte!$A$2:$C$18,3,FALSE),VLOOKUP(A18,$I$2:$J$8,2,FALSE))</f>
        <v>0.41500000000000004</v>
      </c>
    </row>
    <row r="19" spans="1:2" x14ac:dyDescent="0.25">
      <c r="A19" s="296" t="s">
        <v>167</v>
      </c>
      <c r="B19">
        <f>IFERROR(VLOOKUP(A19,Biogasudbytte!$A$2:$C$18,3,FALSE),VLOOKUP(A19,$I$2:$J$8,2,FALSE))</f>
        <v>0.91</v>
      </c>
    </row>
    <row r="20" spans="1:2" x14ac:dyDescent="0.25">
      <c r="A20" s="296" t="s">
        <v>710</v>
      </c>
      <c r="B20">
        <f>IFERROR(VLOOKUP(A20,Biogasudbytte!$A$2:$C$18,3,FALSE),VLOOKUP(A20,$I$2:$J$8,2,FALSE))</f>
        <v>0.91</v>
      </c>
    </row>
    <row r="21" spans="1:2" x14ac:dyDescent="0.25">
      <c r="A21" s="295" t="s">
        <v>42</v>
      </c>
      <c r="B21">
        <f>IFERROR(VLOOKUP(A21,Biogasudbytte!$A$2:$C$18,3,FALSE),VLOOKUP(A21,$I$2:$J$8,2,FALSE))</f>
        <v>0.2</v>
      </c>
    </row>
    <row r="22" spans="1:2" x14ac:dyDescent="0.25">
      <c r="A22" s="295" t="s">
        <v>492</v>
      </c>
      <c r="B22">
        <f>IFERROR(VLOOKUP(A22,Biogasudbytte!$A$2:$C$18,3,FALSE),VLOOKUP(A22,$I$2:$J$8,2,FALSE))</f>
        <v>0.06</v>
      </c>
    </row>
    <row r="23" spans="1:2" x14ac:dyDescent="0.25">
      <c r="A23" s="296" t="s">
        <v>488</v>
      </c>
      <c r="B23">
        <f>IFERROR(VLOOKUP(A23,Biogasudbytte!$A$2:$C$18,3,FALSE),VLOOKUP(A23,$I$2:$J$8,2,FALSE))</f>
        <v>0.05</v>
      </c>
    </row>
    <row r="24" spans="1:2" x14ac:dyDescent="0.25">
      <c r="A24" s="295" t="s">
        <v>300</v>
      </c>
      <c r="B24">
        <f>IFERROR(VLOOKUP(A24,Biogasudbytte!$A$2:$C$18,3,FALSE),VLOOKUP(A24,$I$2:$J$8,2,FALSE))</f>
        <v>0.15</v>
      </c>
    </row>
    <row r="25" spans="1:2" x14ac:dyDescent="0.25">
      <c r="A25" s="296" t="s">
        <v>395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4AF7B-D00D-4EF6-B821-CBB6A307E4EA}">
  <sheetPr codeName="Sheet6">
    <tabColor theme="5" tint="0.59999389629810485"/>
  </sheetPr>
  <dimension ref="A1:O49"/>
  <sheetViews>
    <sheetView workbookViewId="0">
      <selection activeCell="C15" sqref="C15"/>
    </sheetView>
  </sheetViews>
  <sheetFormatPr defaultRowHeight="15" x14ac:dyDescent="0.25"/>
  <cols>
    <col min="1" max="1" width="18" bestFit="1" customWidth="1"/>
    <col min="2" max="2" width="57.42578125" bestFit="1" customWidth="1"/>
    <col min="3" max="3" width="28.28515625" bestFit="1" customWidth="1"/>
    <col min="4" max="4" width="25.7109375" bestFit="1" customWidth="1"/>
    <col min="7" max="7" width="18.5703125" bestFit="1" customWidth="1"/>
    <col min="8" max="8" width="10.5703125" bestFit="1" customWidth="1"/>
    <col min="9" max="9" width="18.5703125" bestFit="1" customWidth="1"/>
    <col min="10" max="10" width="23.140625" bestFit="1" customWidth="1"/>
    <col min="11" max="11" width="14.5703125" bestFit="1" customWidth="1"/>
  </cols>
  <sheetData>
    <row r="1" spans="1:15" x14ac:dyDescent="0.25">
      <c r="B1" t="s">
        <v>896</v>
      </c>
      <c r="C1" t="s">
        <v>938</v>
      </c>
      <c r="D1" t="s">
        <v>939</v>
      </c>
      <c r="H1" s="487" t="s">
        <v>940</v>
      </c>
      <c r="I1" s="487"/>
      <c r="J1" s="487"/>
      <c r="K1" s="487"/>
      <c r="L1" s="487"/>
      <c r="N1" t="s">
        <v>325</v>
      </c>
      <c r="O1" s="451" t="s">
        <v>895</v>
      </c>
    </row>
    <row r="2" spans="1:15" x14ac:dyDescent="0.25">
      <c r="A2" s="450" t="s">
        <v>303</v>
      </c>
      <c r="B2" t="s">
        <v>898</v>
      </c>
      <c r="C2">
        <f>IF(D2&lt;&gt;"",D2*IFERROR(IF(VLOOKUP(A2,$J$4:$M$24,4,FALSE)=1,VLOOKUP(A2,$J$4:$M$24,3,FALSE),1),1),0)</f>
        <v>138</v>
      </c>
      <c r="D2">
        <v>138</v>
      </c>
      <c r="H2" s="487"/>
      <c r="I2" s="487"/>
      <c r="J2" s="487"/>
      <c r="K2" s="487"/>
      <c r="L2" s="487"/>
      <c r="N2" t="s">
        <v>942</v>
      </c>
    </row>
    <row r="3" spans="1:15" x14ac:dyDescent="0.25">
      <c r="A3" s="450" t="s">
        <v>14</v>
      </c>
      <c r="B3" t="s">
        <v>897</v>
      </c>
      <c r="C3">
        <f t="shared" ref="C3:C49" si="0">IF(D3&lt;&gt;"",D3*IFERROR(IF(VLOOKUP(A3,$J$4:$M$24,4,FALSE)=1,VLOOKUP(A3,$J$4:$M$24,3,FALSE),1),1),0)</f>
        <v>694.5</v>
      </c>
      <c r="D3">
        <v>694.5</v>
      </c>
      <c r="H3" t="s">
        <v>935</v>
      </c>
      <c r="I3" t="s">
        <v>941</v>
      </c>
      <c r="J3" t="s">
        <v>936</v>
      </c>
      <c r="K3" t="s">
        <v>944</v>
      </c>
      <c r="L3" t="s">
        <v>937</v>
      </c>
      <c r="M3" t="s">
        <v>945</v>
      </c>
      <c r="N3" t="s">
        <v>943</v>
      </c>
    </row>
    <row r="4" spans="1:15" ht="22.5" x14ac:dyDescent="0.25">
      <c r="A4" s="450" t="s">
        <v>312</v>
      </c>
      <c r="B4" t="s">
        <v>607</v>
      </c>
      <c r="C4">
        <f t="shared" si="0"/>
        <v>0</v>
      </c>
      <c r="H4" s="452" t="s">
        <v>914</v>
      </c>
      <c r="I4" s="163">
        <v>232.41388774529983</v>
      </c>
      <c r="J4" t="str">
        <f>A24</f>
        <v>Korn</v>
      </c>
      <c r="K4">
        <f>D24</f>
        <v>366</v>
      </c>
      <c r="L4">
        <f>IF(K4="","",I4/K4)</f>
        <v>0.63501062225491756</v>
      </c>
      <c r="M4">
        <v>1</v>
      </c>
      <c r="N4" s="191" t="s">
        <v>946</v>
      </c>
    </row>
    <row r="5" spans="1:15" ht="22.5" x14ac:dyDescent="0.25">
      <c r="A5" s="450" t="s">
        <v>302</v>
      </c>
      <c r="B5" t="s">
        <v>607</v>
      </c>
      <c r="C5">
        <f t="shared" si="0"/>
        <v>0</v>
      </c>
      <c r="H5" s="452" t="s">
        <v>915</v>
      </c>
      <c r="I5" s="163">
        <v>63.817687998642</v>
      </c>
      <c r="L5" t="str">
        <f t="shared" ref="L5:L24" si="1">IF(K5="","",I5/K5)</f>
        <v/>
      </c>
    </row>
    <row r="6" spans="1:15" x14ac:dyDescent="0.25">
      <c r="A6" s="450" t="s">
        <v>304</v>
      </c>
      <c r="B6" t="s">
        <v>607</v>
      </c>
      <c r="C6">
        <f t="shared" si="0"/>
        <v>0</v>
      </c>
      <c r="H6" s="453" t="s">
        <v>916</v>
      </c>
      <c r="I6" s="163"/>
      <c r="L6" t="str">
        <f t="shared" si="1"/>
        <v/>
      </c>
    </row>
    <row r="7" spans="1:15" ht="22.5" x14ac:dyDescent="0.25">
      <c r="A7" s="450" t="s">
        <v>651</v>
      </c>
      <c r="B7" t="s">
        <v>607</v>
      </c>
      <c r="C7">
        <f t="shared" si="0"/>
        <v>0</v>
      </c>
      <c r="H7" s="452" t="s">
        <v>917</v>
      </c>
      <c r="I7" s="163">
        <v>320.25894187779437</v>
      </c>
      <c r="L7" t="str">
        <f t="shared" si="1"/>
        <v/>
      </c>
    </row>
    <row r="8" spans="1:15" x14ac:dyDescent="0.25">
      <c r="A8" t="s">
        <v>39</v>
      </c>
      <c r="B8" t="s">
        <v>607</v>
      </c>
      <c r="C8">
        <f t="shared" si="0"/>
        <v>0</v>
      </c>
      <c r="H8" s="453" t="s">
        <v>918</v>
      </c>
      <c r="I8" s="163">
        <v>337.96296296296293</v>
      </c>
      <c r="L8" t="str">
        <f t="shared" si="1"/>
        <v/>
      </c>
    </row>
    <row r="9" spans="1:15" x14ac:dyDescent="0.25">
      <c r="A9" t="s">
        <v>647</v>
      </c>
      <c r="B9" t="s">
        <v>607</v>
      </c>
      <c r="C9">
        <f t="shared" si="0"/>
        <v>0</v>
      </c>
      <c r="H9" s="453" t="s">
        <v>919</v>
      </c>
      <c r="I9" s="163">
        <v>283.88888888888886</v>
      </c>
      <c r="L9" t="str">
        <f t="shared" si="1"/>
        <v/>
      </c>
    </row>
    <row r="10" spans="1:15" x14ac:dyDescent="0.25">
      <c r="A10" t="s">
        <v>490</v>
      </c>
      <c r="B10" t="s">
        <v>607</v>
      </c>
      <c r="C10">
        <f t="shared" si="0"/>
        <v>0</v>
      </c>
      <c r="H10" s="453" t="s">
        <v>920</v>
      </c>
      <c r="I10" s="163">
        <v>218.37606837606842</v>
      </c>
      <c r="L10" t="str">
        <f t="shared" si="1"/>
        <v/>
      </c>
    </row>
    <row r="11" spans="1:15" ht="22.5" x14ac:dyDescent="0.25">
      <c r="A11" t="s">
        <v>355</v>
      </c>
      <c r="B11" t="s">
        <v>899</v>
      </c>
      <c r="C11">
        <f t="shared" si="0"/>
        <v>152</v>
      </c>
      <c r="D11">
        <v>152</v>
      </c>
      <c r="H11" s="452" t="s">
        <v>921</v>
      </c>
      <c r="I11" s="163">
        <v>864.6176911544228</v>
      </c>
      <c r="J11" t="str">
        <f>A39</f>
        <v>Rapsolie</v>
      </c>
      <c r="K11">
        <f>D39</f>
        <v>900</v>
      </c>
      <c r="L11">
        <f t="shared" si="1"/>
        <v>0.96068632350491423</v>
      </c>
    </row>
    <row r="12" spans="1:15" x14ac:dyDescent="0.25">
      <c r="A12" t="s">
        <v>297</v>
      </c>
      <c r="B12" t="s">
        <v>900</v>
      </c>
      <c r="C12">
        <f t="shared" si="0"/>
        <v>559</v>
      </c>
      <c r="D12">
        <v>559</v>
      </c>
      <c r="H12" s="453" t="s">
        <v>922</v>
      </c>
      <c r="I12" s="163">
        <v>26.348323929638234</v>
      </c>
      <c r="J12" t="str">
        <f>A17</f>
        <v>Grøntsager</v>
      </c>
      <c r="K12">
        <f>D17</f>
        <v>39</v>
      </c>
      <c r="L12">
        <f t="shared" si="1"/>
        <v>0.67559804947790347</v>
      </c>
    </row>
    <row r="13" spans="1:15" ht="22.5" x14ac:dyDescent="0.25">
      <c r="A13" t="s">
        <v>143</v>
      </c>
      <c r="B13" t="s">
        <v>901</v>
      </c>
      <c r="C13">
        <f t="shared" si="0"/>
        <v>52</v>
      </c>
      <c r="D13">
        <v>52</v>
      </c>
      <c r="H13" s="452" t="s">
        <v>923</v>
      </c>
      <c r="I13" s="163">
        <v>47.845084409136049</v>
      </c>
      <c r="J13" t="str">
        <f>A13</f>
        <v>Frugt</v>
      </c>
      <c r="K13">
        <f>D13</f>
        <v>52</v>
      </c>
      <c r="L13">
        <f t="shared" si="1"/>
        <v>0.92009777709877016</v>
      </c>
    </row>
    <row r="14" spans="1:15" x14ac:dyDescent="0.25">
      <c r="A14" s="450" t="s">
        <v>509</v>
      </c>
      <c r="B14" t="s">
        <v>607</v>
      </c>
      <c r="C14">
        <f t="shared" si="0"/>
        <v>0</v>
      </c>
      <c r="H14" s="453" t="s">
        <v>924</v>
      </c>
      <c r="I14" s="163">
        <v>145.48042704626334</v>
      </c>
      <c r="L14" t="str">
        <f t="shared" si="1"/>
        <v/>
      </c>
    </row>
    <row r="15" spans="1:15" x14ac:dyDescent="0.25">
      <c r="A15" s="450" t="s">
        <v>13</v>
      </c>
      <c r="C15">
        <f t="shared" si="0"/>
        <v>33</v>
      </c>
      <c r="D15">
        <v>33</v>
      </c>
      <c r="H15" s="453" t="s">
        <v>925</v>
      </c>
      <c r="I15" s="163">
        <v>304.16666666666663</v>
      </c>
      <c r="L15" t="str">
        <f t="shared" si="1"/>
        <v/>
      </c>
    </row>
    <row r="16" spans="1:15" ht="22.5" x14ac:dyDescent="0.25">
      <c r="A16" s="450" t="s">
        <v>645</v>
      </c>
      <c r="B16" t="s">
        <v>607</v>
      </c>
      <c r="C16">
        <f t="shared" si="0"/>
        <v>0</v>
      </c>
      <c r="H16" s="452" t="s">
        <v>926</v>
      </c>
      <c r="I16" s="163">
        <v>61.901005718793137</v>
      </c>
      <c r="L16" t="str">
        <f t="shared" si="1"/>
        <v/>
      </c>
    </row>
    <row r="17" spans="1:12" x14ac:dyDescent="0.25">
      <c r="A17" s="450" t="s">
        <v>12</v>
      </c>
      <c r="B17" t="s">
        <v>902</v>
      </c>
      <c r="C17">
        <f t="shared" si="0"/>
        <v>39</v>
      </c>
      <c r="D17">
        <v>39</v>
      </c>
      <c r="H17" s="453" t="s">
        <v>927</v>
      </c>
      <c r="I17" s="163">
        <v>168.04788213627995</v>
      </c>
      <c r="J17" t="str">
        <f>A45</f>
        <v>Svinekød</v>
      </c>
      <c r="K17">
        <f>D45</f>
        <v>195</v>
      </c>
      <c r="L17">
        <f t="shared" si="1"/>
        <v>0.86178401095528179</v>
      </c>
    </row>
    <row r="18" spans="1:12" x14ac:dyDescent="0.25">
      <c r="A18" s="450" t="s">
        <v>37</v>
      </c>
      <c r="B18" t="s">
        <v>607</v>
      </c>
      <c r="C18">
        <f t="shared" si="0"/>
        <v>0</v>
      </c>
      <c r="H18" s="453" t="s">
        <v>928</v>
      </c>
      <c r="I18" s="163">
        <v>123.2810615199035</v>
      </c>
      <c r="L18" t="str">
        <f t="shared" si="1"/>
        <v/>
      </c>
    </row>
    <row r="19" spans="1:12" x14ac:dyDescent="0.25">
      <c r="A19" s="450" t="s">
        <v>517</v>
      </c>
      <c r="B19" t="s">
        <v>607</v>
      </c>
      <c r="C19">
        <f t="shared" si="0"/>
        <v>0</v>
      </c>
      <c r="H19" s="453" t="s">
        <v>929</v>
      </c>
      <c r="I19" s="163">
        <v>566.18110236220468</v>
      </c>
      <c r="L19" t="str">
        <f t="shared" si="1"/>
        <v/>
      </c>
    </row>
    <row r="20" spans="1:12" x14ac:dyDescent="0.25">
      <c r="A20" t="s">
        <v>487</v>
      </c>
      <c r="B20" t="s">
        <v>607</v>
      </c>
      <c r="C20">
        <f t="shared" si="0"/>
        <v>57</v>
      </c>
      <c r="D20">
        <v>57</v>
      </c>
      <c r="H20" s="453" t="s">
        <v>930</v>
      </c>
      <c r="I20" s="163">
        <v>154.19432709716355</v>
      </c>
      <c r="J20" t="str">
        <f>A2</f>
        <v>Æg</v>
      </c>
      <c r="K20">
        <f>D2</f>
        <v>138</v>
      </c>
      <c r="L20">
        <f t="shared" si="1"/>
        <v>1.1173501963562575</v>
      </c>
    </row>
    <row r="21" spans="1:12" ht="22.5" x14ac:dyDescent="0.25">
      <c r="A21" s="450" t="s">
        <v>41</v>
      </c>
      <c r="B21" t="s">
        <v>607</v>
      </c>
      <c r="C21">
        <f t="shared" si="0"/>
        <v>0</v>
      </c>
      <c r="H21" s="452" t="s">
        <v>931</v>
      </c>
      <c r="I21" s="163">
        <v>43.175229038617651</v>
      </c>
      <c r="J21" t="str">
        <f>A36</f>
        <v>Råmælk</v>
      </c>
      <c r="K21">
        <f>D36</f>
        <v>63</v>
      </c>
      <c r="L21">
        <f t="shared" si="1"/>
        <v>0.68532109585107381</v>
      </c>
    </row>
    <row r="22" spans="1:12" ht="22.5" x14ac:dyDescent="0.25">
      <c r="A22" s="450" t="s">
        <v>138</v>
      </c>
      <c r="B22" t="s">
        <v>607</v>
      </c>
      <c r="C22">
        <f t="shared" si="0"/>
        <v>0</v>
      </c>
      <c r="H22" s="452" t="s">
        <v>932</v>
      </c>
      <c r="I22" s="163">
        <v>115.54640069384216</v>
      </c>
      <c r="L22" t="str">
        <f t="shared" si="1"/>
        <v/>
      </c>
    </row>
    <row r="23" spans="1:12" ht="22.5" x14ac:dyDescent="0.25">
      <c r="A23" s="450" t="s">
        <v>178</v>
      </c>
      <c r="B23" t="s">
        <v>903</v>
      </c>
      <c r="C23">
        <f t="shared" si="0"/>
        <v>78</v>
      </c>
      <c r="D23">
        <v>78</v>
      </c>
      <c r="H23" s="452" t="s">
        <v>933</v>
      </c>
      <c r="I23" s="163">
        <v>0</v>
      </c>
      <c r="L23" t="str">
        <f t="shared" si="1"/>
        <v/>
      </c>
    </row>
    <row r="24" spans="1:12" x14ac:dyDescent="0.25">
      <c r="A24" s="450" t="s">
        <v>11</v>
      </c>
      <c r="B24" t="s">
        <v>904</v>
      </c>
      <c r="C24">
        <f t="shared" si="0"/>
        <v>232.41388774529983</v>
      </c>
      <c r="D24">
        <v>366</v>
      </c>
      <c r="H24" s="453" t="s">
        <v>934</v>
      </c>
      <c r="I24" s="163">
        <v>0</v>
      </c>
      <c r="L24" t="str">
        <f t="shared" si="1"/>
        <v/>
      </c>
    </row>
    <row r="25" spans="1:12" x14ac:dyDescent="0.25">
      <c r="A25" s="450" t="s">
        <v>310</v>
      </c>
      <c r="B25" t="s">
        <v>607</v>
      </c>
      <c r="C25">
        <f t="shared" si="0"/>
        <v>0</v>
      </c>
    </row>
    <row r="26" spans="1:12" x14ac:dyDescent="0.25">
      <c r="A26" s="450" t="s">
        <v>489</v>
      </c>
      <c r="B26" t="s">
        <v>607</v>
      </c>
      <c r="C26">
        <f t="shared" si="0"/>
        <v>0</v>
      </c>
    </row>
    <row r="27" spans="1:12" x14ac:dyDescent="0.25">
      <c r="A27" s="450" t="s">
        <v>420</v>
      </c>
      <c r="B27" t="s">
        <v>607</v>
      </c>
      <c r="C27">
        <f t="shared" si="0"/>
        <v>0</v>
      </c>
    </row>
    <row r="28" spans="1:12" x14ac:dyDescent="0.25">
      <c r="A28" t="s">
        <v>15</v>
      </c>
      <c r="B28" t="s">
        <v>905</v>
      </c>
      <c r="C28">
        <f t="shared" si="0"/>
        <v>91</v>
      </c>
      <c r="D28">
        <v>91</v>
      </c>
    </row>
    <row r="29" spans="1:12" x14ac:dyDescent="0.25">
      <c r="A29" s="450" t="s">
        <v>299</v>
      </c>
      <c r="B29" t="s">
        <v>906</v>
      </c>
      <c r="C29">
        <f t="shared" si="0"/>
        <v>63</v>
      </c>
      <c r="D29">
        <v>63</v>
      </c>
    </row>
    <row r="30" spans="1:12" x14ac:dyDescent="0.25">
      <c r="A30" s="450" t="s">
        <v>301</v>
      </c>
      <c r="B30" t="s">
        <v>907</v>
      </c>
      <c r="C30">
        <f t="shared" si="0"/>
        <v>83</v>
      </c>
      <c r="D30">
        <v>83</v>
      </c>
    </row>
    <row r="31" spans="1:12" x14ac:dyDescent="0.25">
      <c r="A31" s="450" t="s">
        <v>309</v>
      </c>
      <c r="B31" t="s">
        <v>309</v>
      </c>
      <c r="C31">
        <f t="shared" si="0"/>
        <v>195</v>
      </c>
      <c r="D31">
        <v>195</v>
      </c>
    </row>
    <row r="32" spans="1:12" x14ac:dyDescent="0.25">
      <c r="A32" s="450" t="s">
        <v>136</v>
      </c>
      <c r="B32" t="s">
        <v>908</v>
      </c>
      <c r="C32">
        <f t="shared" si="0"/>
        <v>39</v>
      </c>
      <c r="D32">
        <v>39</v>
      </c>
    </row>
    <row r="33" spans="1:4" x14ac:dyDescent="0.25">
      <c r="A33" s="450" t="s">
        <v>329</v>
      </c>
      <c r="B33" t="s">
        <v>607</v>
      </c>
      <c r="C33">
        <f t="shared" si="0"/>
        <v>0</v>
      </c>
    </row>
    <row r="34" spans="1:4" x14ac:dyDescent="0.25">
      <c r="A34" s="450" t="s">
        <v>867</v>
      </c>
      <c r="B34" t="s">
        <v>607</v>
      </c>
      <c r="C34">
        <f t="shared" si="0"/>
        <v>0</v>
      </c>
    </row>
    <row r="35" spans="1:4" x14ac:dyDescent="0.25">
      <c r="A35" s="450" t="s">
        <v>879</v>
      </c>
      <c r="B35" t="s">
        <v>607</v>
      </c>
      <c r="C35">
        <f t="shared" si="0"/>
        <v>0</v>
      </c>
    </row>
    <row r="36" spans="1:4" x14ac:dyDescent="0.25">
      <c r="A36" s="450" t="s">
        <v>292</v>
      </c>
      <c r="B36" t="s">
        <v>909</v>
      </c>
      <c r="C36">
        <f t="shared" si="0"/>
        <v>63</v>
      </c>
      <c r="D36">
        <v>63</v>
      </c>
    </row>
    <row r="37" spans="1:4" x14ac:dyDescent="0.25">
      <c r="A37" t="s">
        <v>167</v>
      </c>
      <c r="C37">
        <f t="shared" si="0"/>
        <v>0</v>
      </c>
    </row>
    <row r="38" spans="1:4" x14ac:dyDescent="0.25">
      <c r="A38" t="s">
        <v>710</v>
      </c>
      <c r="C38">
        <f t="shared" si="0"/>
        <v>0</v>
      </c>
    </row>
    <row r="39" spans="1:4" x14ac:dyDescent="0.25">
      <c r="A39" t="s">
        <v>711</v>
      </c>
      <c r="B39" t="s">
        <v>910</v>
      </c>
      <c r="C39">
        <f t="shared" si="0"/>
        <v>900</v>
      </c>
      <c r="D39">
        <v>900</v>
      </c>
    </row>
    <row r="40" spans="1:4" x14ac:dyDescent="0.25">
      <c r="A40" t="s">
        <v>42</v>
      </c>
      <c r="B40" t="s">
        <v>911</v>
      </c>
      <c r="C40">
        <f t="shared" si="0"/>
        <v>30</v>
      </c>
      <c r="D40">
        <v>30</v>
      </c>
    </row>
    <row r="41" spans="1:4" x14ac:dyDescent="0.25">
      <c r="A41" t="s">
        <v>415</v>
      </c>
      <c r="B41" t="s">
        <v>607</v>
      </c>
      <c r="C41">
        <f t="shared" si="0"/>
        <v>0</v>
      </c>
    </row>
    <row r="42" spans="1:4" x14ac:dyDescent="0.25">
      <c r="A42" t="s">
        <v>414</v>
      </c>
      <c r="B42" t="s">
        <v>607</v>
      </c>
      <c r="C42">
        <f t="shared" si="0"/>
        <v>0</v>
      </c>
    </row>
    <row r="43" spans="1:4" x14ac:dyDescent="0.25">
      <c r="A43" s="450" t="s">
        <v>492</v>
      </c>
      <c r="B43" t="s">
        <v>607</v>
      </c>
      <c r="C43">
        <f t="shared" si="0"/>
        <v>0</v>
      </c>
    </row>
    <row r="44" spans="1:4" x14ac:dyDescent="0.25">
      <c r="A44" s="450" t="s">
        <v>488</v>
      </c>
      <c r="B44" t="s">
        <v>607</v>
      </c>
      <c r="C44">
        <f t="shared" si="0"/>
        <v>0</v>
      </c>
    </row>
    <row r="45" spans="1:4" x14ac:dyDescent="0.25">
      <c r="A45" s="450" t="s">
        <v>308</v>
      </c>
      <c r="B45" t="s">
        <v>913</v>
      </c>
      <c r="C45">
        <f t="shared" si="0"/>
        <v>195</v>
      </c>
      <c r="D45">
        <v>195</v>
      </c>
    </row>
    <row r="46" spans="1:4" x14ac:dyDescent="0.25">
      <c r="A46" s="450" t="s">
        <v>300</v>
      </c>
      <c r="B46" t="s">
        <v>912</v>
      </c>
      <c r="C46">
        <f t="shared" si="0"/>
        <v>40.799999999999997</v>
      </c>
      <c r="D46">
        <v>40.799999999999997</v>
      </c>
    </row>
    <row r="47" spans="1:4" x14ac:dyDescent="0.25">
      <c r="A47" s="450" t="s">
        <v>342</v>
      </c>
      <c r="B47" t="s">
        <v>607</v>
      </c>
      <c r="C47">
        <f t="shared" si="0"/>
        <v>0</v>
      </c>
    </row>
    <row r="48" spans="1:4" x14ac:dyDescent="0.25">
      <c r="A48" s="450" t="s">
        <v>395</v>
      </c>
      <c r="B48" t="s">
        <v>607</v>
      </c>
      <c r="C48">
        <f t="shared" si="0"/>
        <v>0</v>
      </c>
    </row>
    <row r="49" spans="1:3" x14ac:dyDescent="0.25">
      <c r="A49" s="450" t="s">
        <v>298</v>
      </c>
      <c r="B49" t="s">
        <v>607</v>
      </c>
      <c r="C49">
        <f t="shared" si="0"/>
        <v>0</v>
      </c>
    </row>
  </sheetData>
  <mergeCells count="1">
    <mergeCell ref="H1:L2"/>
  </mergeCells>
  <hyperlinks>
    <hyperlink ref="N4" r:id="rId1" xr:uid="{2A0B688D-7EE7-467E-ACC2-71E6C85F5696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kcal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2023-12-20T12:37:52Z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484737634658813</vt:r8>
  </property>
</Properties>
</file>