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CCDB9E74-6A91-4ECC-80BA-CBA36F5DD7A8}" xr6:coauthVersionLast="47" xr6:coauthVersionMax="47" xr10:uidLastSave="{00000000-0000-0000-0000-000000000000}"/>
  <bookViews>
    <workbookView xWindow="-12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W3" i="34" a="1"/>
  <c r="B2" i="18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<sst xmlns="http://schemas.openxmlformats.org/spreadsheetml/2006/main" count="3746" uniqueCount="897">
  <si>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</si>
  <si>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</si>
  <si>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</si>
  <si>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</si>
  <si>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</si>
  <si>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</si>
  <si>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</si>
  <si>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</si>
  <si>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</si>
  <si>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</si>
  <si>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</si>
  <si>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</si>
  <si>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</si>
  <si>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</si>
  <si>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</si>
  <si>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</si>
  <si>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</si>
  <si>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</si>
  <si>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</si>
  <si>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</si>
  <si>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</si>
  <si>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</si>
  <si>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</si>
  <si>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</si>
  <si>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</si>
  <si>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</si>
  <si>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</si>
  <si>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</si>
  <si>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</si>
  <si>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</si>
  <si>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</si>
  <si>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</si>
  <si>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</si>
  <si>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</si>
  <si>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</si>
  <si>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</si>
  <si>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</si>
  <si>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</si>
  <si>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</si>
  <si>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</si>
  <si>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</si>
  <si>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</si>
  <si>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</si>
  <si>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</si>
  <si>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</si>
  <si>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</si>
  <si>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</si>
  <si>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</si>
  <si>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</si>
  <si>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</si>
  <si>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</si>
  <si>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</si>
  <si>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</si>
  <si>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</si>
  <si>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</si>
  <si>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</si>
  <si>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</si>
  <si>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</si>
  <si>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</si>
  <si>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</si>
  <si>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</si>
  <si>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</si>
  <si>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</si>
  <si>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</si>
  <si>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</si>
  <si>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</si>
  <si>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</si>
  <si>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</si>
  <si>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</si>
  <si>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</si>
  <si>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</si>
  <si>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</si>
  <si>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</si>
  <si>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</si>
  <si>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</si>
  <si>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</si>
  <si>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</si>
  <si>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</si>
  <si>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</si>
  <si>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</si>
  <si>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</si>
  <si>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</si>
  <si>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</si>
  <si>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</si>
  <si>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</si>
  <si>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</si>
  <si>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</si>
  <si>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</si>
  <si>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</si>
  <si>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</si>
  <si>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</si>
  <si>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</si>
  <si>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</si>
  <si>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</si>
  <si>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</si>
  <si>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</si>
  <si>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</si>
  <si>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</si>
  <si>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</si>
  <si>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</si>
  <si>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</si>
  <si>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</si>
  <si>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</si>
  <si>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</si>
  <si>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</si>
  <si>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</si>
  <si>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</si>
  <si>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</si>
  <si>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</si>
  <si>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</si>
  <si>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</si>
  <si>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</si>
  <si>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</si>
  <si>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</si>
  <si>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</si>
  <si>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</si>
  <si>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</si>
  <si>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</si>
  <si>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</si>
  <si>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</si>
  <si>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</si>
  <si>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</si>
  <si>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</si>
  <si>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</si>
  <si>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</si>
  <si>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</si>
  <si>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</si>
  <si>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</si>
  <si>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</si>
  <si>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</si>
  <si>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</si>
  <si>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</si>
  <si>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</si>
  <si>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</si>
  <si>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</si>
  <si>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</si>
  <si>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</si>
  <si>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</si>
  <si>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</si>
  <si>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</si>
  <si>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</si>
  <si>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</si>
  <si>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</si>
  <si>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</si>
  <si>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</si>
  <si>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</si>
  <si>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</si>
  <si>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</si>
  <si>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</si>
  <si>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</si>
  <si>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</si>
  <si>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</si>
  <si>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</si>
  <si>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</si>
  <si>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</si>
  <si>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</si>
  <si>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</si>
  <si>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</si>
  <si>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</si>
  <si>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</si>
  <si>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</si>
  <si>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</si>
  <si>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</si>
  <si>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</si>
  <si>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</si>
  <si>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</si>
  <si>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</si>
  <si>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</si>
  <si>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</si>
  <si>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</si>
  <si>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</si>
  <si>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</si>
  <si>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</si>
  <si>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</si>
  <si>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</si>
  <si>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</si>
  <si>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</si>
  <si>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</si>
  <si>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</si>
  <si>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</si>
  <si>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</si>
  <si>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</si>
  <si>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</si>
  <si>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</si>
  <si>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</si>
  <si>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</si>
  <si>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</si>
  <si>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</si>
  <si>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</si>
  <si>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</si>
  <si>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</si>
  <si>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</si>
  <si>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</si>
  <si>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</si>
  <si>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</si>
  <si>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</si>
  <si>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</si>
  <si>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</si>
  <si>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</si>
  <si>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</si>
  <si>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</si>
  <si>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</si>
  <si>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</si>
  <si>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</si>
  <si>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</si>
  <si>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</si>
  <si>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</si>
  <si>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</si>
  <si>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</si>
  <si>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</si>
  <si>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</si>
  <si>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</si>
  <si>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</si>
  <si>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</si>
  <si>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</si>
  <si>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</si>
  <si>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</si>
  <si>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</si>
  <si>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</si>
  <si>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</si>
  <si>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</si>
  <si>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</si>
  <si>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</si>
  <si>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</si>
  <si>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</si>
  <si>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</si>
  <si>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</si>
  <si>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</si>
  <si>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</si>
  <si>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</si>
  <si>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</si>
  <si>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</si>
  <si>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</si>
  <si>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</si>
  <si>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</si>
  <si>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</si>
  <si>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</si>
  <si>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</si>
  <si>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</si>
  <si>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</si>
  <si>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</si>
  <si>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</si>
  <si>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</si>
  <si>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</si>
  <si>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</si>
  <si>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</si>
  <si>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</si>
  <si>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</si>
  <si>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</si>
  <si>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</si>
  <si>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</si>
  <si>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</si>
  <si>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</si>
  <si>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</si>
  <si>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</si>
  <si>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</si>
  <si>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</si>
  <si>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</si>
  <si>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</si>
  <si>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</si>
  <si>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</si>
  <si>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</si>
  <si>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</si>
  <si>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</si>
  <si>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</si>
  <si>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</si>
  <si>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</si>
  <si>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</si>
  <si>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</si>
  <si>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</si>
  <si>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</si>
  <si>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</si>
  <si>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</si>
  <si>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</si>
  <si>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</si>
  <si>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</si>
  <si>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</si>
  <si>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</si>
  <si>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</si>
  <si>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</si>
  <si>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</si>
  <si>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</si>
  <si>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</si>
  <si>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</si>
  <si>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</si>
  <si>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</si>
  <si>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</si>
  <si>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</si>
  <si>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</si>
  <si>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</si>
  <si>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</si>
  <si>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</si>
  <si>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</si>
  <si>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</si>
  <si>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</si>
  <si>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</si>
  <si>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</si>
  <si>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</si>
  <si>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</si>
  <si>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</si>
  <si>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</si>
  <si>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</si>
  <si>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</si>
  <si>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</si>
  <si>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</si>
  <si>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</si>
  <si>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</si>
  <si>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</si>
  <si>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</si>
  <si>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</si>
  <si>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</si>
  <si>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</si>
  <si>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</si>
  <si>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</si>
  <si>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</si>
  <si>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</si>
  <si>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</si>
  <si>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</si>
  <si>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</si>
  <si>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</si>
  <si>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</si>
  <si>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</si>
  <si>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</si>
  <si>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</si>
  <si>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</si>
  <si>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</si>
  <si>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</si>
  <si>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</si>
  <si>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</si>
  <si>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</si>
  <si>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</si>
  <si>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</si>
  <si>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</si>
  <si>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</si>
  <si>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</si>
  <si>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</si>
  <si>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</si>
  <si>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</si>
  <si>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</si>
  <si>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</si>
  <si>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</si>
  <si>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</si>
  <si>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</si>
  <si>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</si>
  <si>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</si>
  <si>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</si>
  <si>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</si>
  <si>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</si>
  <si>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</si>
  <si>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</si>
  <si>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</si>
  <si>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</si>
  <si>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</si>
  <si>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</si>
  <si>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</si>
  <si>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</si>
  <si>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</si>
  <si>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</si>
  <si>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</si>
  <si>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</si>
  <si>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</si>
  <si>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</si>
  <si>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</si>
  <si>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</si>
  <si>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</si>
  <si>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</si>
  <si>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</si>
  <si>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</si>
  <si>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</si>
  <si>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</si>
  <si>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</si>
  <si>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</si>
  <si>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</si>
  <si>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</si>
  <si>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</si>
  <si>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</si>
  <si>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</si>
  <si>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</si>
  <si>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</si>
  <si>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</si>
  <si>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</si>
  <si>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</si>
  <si>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</si>
  <si>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</si>
  <si>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</si>
  <si>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</si>
  <si>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</si>
  <si>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</si>
  <si>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</si>
  <si>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</si>
  <si>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</si>
  <si>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</si>
  <si>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</si>
  <si>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</si>
  <si>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</si>
  <si>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</si>
  <si>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</si>
  <si>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</si>
  <si>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</si>
  <si>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</si>
  <si>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</si>
  <si>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</si>
  <si>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</si>
  <si>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</si>
  <si>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</si>
  <si>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</si>
  <si>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</si>
  <si>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</si>
  <si>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</si>
  <si>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</si>
  <si>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</si>
  <si>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</si>
  <si>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</si>
  <si>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</si>
  <si>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</si>
  <si>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</si>
  <si>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</si>
  <si>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</si>
  <si>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</si>
  <si>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</si>
  <si>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</si>
  <si>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</si>
  <si>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</si>
  <si>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</si>
  <si>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</si>
  <si>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</si>
  <si>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</si>
  <si>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</si>
  <si>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</si>
  <si>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</si>
  <si>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</si>
  <si>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</si>
  <si>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</si>
  <si>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</si>
  <si>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</si>
  <si>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</si>
  <si>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</si>
  <si>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</si>
  <si>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</si>
  <si>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</si>
  <si>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</si>
  <si>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</si>
  <si>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</si>
  <si>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</si>
  <si>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</si>
  <si>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</si>
  <si>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</si>
  <si>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</si>
  <si>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</si>
  <si>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</si>
  <si>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</si>
  <si>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</si>
  <si>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</si>
  <si>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</si>
  <si>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</si>
  <si>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</si>
  <si>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</si>
  <si>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</si>
  <si>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</si>
  <si>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</si>
  <si>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</si>
  <si>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</si>
  <si>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</si>
  <si>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</si>
  <si>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</si>
  <si>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</si>
  <si>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</si>
  <si>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</si>
  <si>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</si>
  <si>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</si>
  <si>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</si>
  <si>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</si>
  <si>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</si>
  <si>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</si>
  <si>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</si>
  <si>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</si>
  <si>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</si>
  <si>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</si>
  <si>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</si>
  <si>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</si>
  <si>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</si>
  <si>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</si>
  <si>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</si>
  <si>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</si>
  <si>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</si>
  <si>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</si>
  <si>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</si>
  <si>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</si>
  <si>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</si>
  <si>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</si>
  <si>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</si>
  <si>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</si>
  <si>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</si>
  <si>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</si>
  <si>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</si>
  <si>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</si>
  <si>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</si>
  <si>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</si>
  <si>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</si>
  <si>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</si>
  <si>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</si>
  <si>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</si>
  <si>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</si>
  <si>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</si>
  <si>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</si>
  <si>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</si>
  <si>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</si>
  <si>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</si>
  <si>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</si>
  <si>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</si>
  <si>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</si>
  <si>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</si>
  <si>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</si>
  <si>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</si>
  <si>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</si>
  <si>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</si>
  <si>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</si>
  <si>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</si>
  <si>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</si>
  <si>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</si>
  <si>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</si>
  <si>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</si>
  <si>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</si>
  <si>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</si>
  <si>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</si>
  <si>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</si>
  <si>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</si>
  <si>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</si>
  <si>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</si>
  <si>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</si>
  <si>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</si>
  <si>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</si>
  <si>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</si>
  <si>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</si>
  <si>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</si>
  <si>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</si>
  <si>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</si>
  <si>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</si>
  <si>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</si>
  <si>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</si>
  <si>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</si>
  <si>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</si>
  <si>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</si>
  <si>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</si>
  <si>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</si>
  <si>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</si>
  <si>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</si>
  <si>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</si>
  <si>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</si>
  <si>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</si>
  <si>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</si>
  <si>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</si>
  <si>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</si>
  <si>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</si>
  <si>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</si>
  <si>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</si>
  <si>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</si>
  <si>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</si>
  <si>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</si>
  <si>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</si>
  <si>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</si>
  <si>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</si>
  <si>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</si>
  <si>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</si>
  <si>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</si>
  <si>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</si>
  <si>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</si>
  <si>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</si>
  <si>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</si>
  <si>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</si>
  <si>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</si>
  <si>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</si>
  <si>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</si>
  <si>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</si>
  <si>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</si>
  <si>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</si>
  <si>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</si>
  <si>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</si>
  <si>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</si>
  <si>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</si>
  <si>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</si>
  <si>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</si>
  <si>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</si>
  <si>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</si>
  <si>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</si>
  <si>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</si>
  <si>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</si>
  <si>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</si>
  <si>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</si>
  <si>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</si>
  <si>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</si>
  <si>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</si>
  <si>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</si>
  <si>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</si>
  <si>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</si>
  <si>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</si>
  <si>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</si>
  <si>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</si>
  <si>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</si>
  <si>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</si>
  <si>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</si>
  <si>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</si>
  <si>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</si>
  <si>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</si>
  <si>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</si>
  <si>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</si>
  <si>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</si>
  <si>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</si>
  <si>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</si>
  <si>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</si>
  <si>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</si>
  <si>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</si>
  <si>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</si>
  <si>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</si>
  <si>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</si>
  <si>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</si>
  <si>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</si>
  <si>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</si>
  <si>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</si>
  <si>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</si>
  <si>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</si>
  <si>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</si>
  <si>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</si>
  <si>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</si>
  <si>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</si>
  <si>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</si>
  <si>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</si>
  <si>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</si>
  <si>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</si>
  <si>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</si>
  <si>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</si>
  <si>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</si>
  <si>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</si>
  <si>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</si>
  <si>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</si>
  <si>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</si>
  <si>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</si>
  <si>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</si>
  <si>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</si>
  <si>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</si>
  <si>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</si>
  <si>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</si>
  <si>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</si>
  <si>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</si>
  <si>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</si>
  <si>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</si>
  <si>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</si>
  <si>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</si>
  <si>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</si>
  <si>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</si>
  <si>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</si>
  <si>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</si>
  <si>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</si>
  <si>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</si>
  <si>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</si>
  <si>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</si>
  <si>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</si>
  <si>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</si>
  <si>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</si>
  <si>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</si>
  <si>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</si>
  <si>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</si>
  <si>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</si>
  <si>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</si>
  <si>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</si>
  <si>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</si>
  <si>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</si>
  <si>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</si>
  <si>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</si>
  <si>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</si>
  <si>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</si>
  <si>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</si>
  <si>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</si>
  <si>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</si>
  <si>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</si>
  <si>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</si>
  <si>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</si>
  <si>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</si>
  <si>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</si>
  <si>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</si>
  <si>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</si>
  <si>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</si>
  <si>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</si>
  <si>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</si>
  <si>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</si>
  <si>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</si>
  <si>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</si>
  <si>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</si>
  <si>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</si>
  <si>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</si>
  <si>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</si>
  <si>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</si>
  <si>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</si>
  <si>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</si>
  <si>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</si>
  <si>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</si>
  <si>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</si>
  <si>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</si>
  <si>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</si>
  <si>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</si>
  <si>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</si>
  <si>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</si>
  <si>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</si>
  <si>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</si>
  <si>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</si>
  <si>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</si>
  <si>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</si>
  <si>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</si>
  <si>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</si>
  <si>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</si>
  <si>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</si>
  <si>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</si>
  <si>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</si>
  <si>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</si>
  <si>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</si>
  <si>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</si>
  <si>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</si>
  <si>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</si>
  <si>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</si>
  <si>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</si>
  <si>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</si>
  <si>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</si>
  <si>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</si>
  <si>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</si>
  <si>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</si>
  <si>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</si>
  <si>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</si>
  <si>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</si>
  <si>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</si>
  <si>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</si>
  <si>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</si>
  <si>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</si>
  <si>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</si>
  <si>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</si>
  <si>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</si>
  <si>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</si>
  <si>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</si>
  <si>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</si>
  <si>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</si>
  <si>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</si>
  <si>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</si>
  <si>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</si>
  <si>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</si>
  <si>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</si>
  <si>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</si>
  <si>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</si>
  <si>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</si>
  <si>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</si>
  <si>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</si>
  <si>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</si>
  <si>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</si>
  <si>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</si>
  <si>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</si>
  <si>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</si>
  <si>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</si>
  <si>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</si>
  <si>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</si>
  <si>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</si>
  <si>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</si>
  <si>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</si>
  <si>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</si>
  <si>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</si>
  <si>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</si>
  <si>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</si>
  <si>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</si>
  <si>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</si>
  <si>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</si>
  <si>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</si>
  <si>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</si>
  <si>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</si>
  <si>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</si>
  <si>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</si>
  <si>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</si>
  <si>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</si>
  <si>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</si>
  <si>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</si>
  <si>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</si>
  <si>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</si>
  <si>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</si>
  <si>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</si>
  <si>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</si>
  <si>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</si>
  <si>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</si>
  <si>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</si>
  <si>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</si>
  <si>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</si>
  <si>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</si>
  <si>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</si>
  <si>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</si>
  <si>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</si>
  <si>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</si>
  <si>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</si>
  <si>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</si>
  <si>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</si>
  <si>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</si>
  <si>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</si>
  <si>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</si>
  <si>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</si>
  <si>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</si>
  <si>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</si>
  <si>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</si>
  <si>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</si>
  <si>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</si>
  <si>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</si>
  <si>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</si>
  <si>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</si>
  <si>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</si>
  <si>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</si>
  <si>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</si>
  <si>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</si>
  <si>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</si>
  <si>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</si>
  <si>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</si>
  <si>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</si>
  <si>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</si>
  <si>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</si>
  <si>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</si>
  <si>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</si>
  <si>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</si>
  <si>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</si>
  <si>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</si>
  <si>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</si>
  <si>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</si>
  <si>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</si>
  <si>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</si>
  <si>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</si>
  <si>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</si>
  <si>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</si>
  <si>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</si>
  <si>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</si>
  <si>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</si>
  <si>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</si>
  <si>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</si>
  <si>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</si>
  <si>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</si>
  <si>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</si>
  <si>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</si>
  <si>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</si>
  <si>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</si>
  <si>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</si>
  <si>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</si>
  <si>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</si>
  <si>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</si>
  <si>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</si>
  <si>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</si>
  <si>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</si>
  <si>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</si>
  <si>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</si>
  <si>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</si>
  <si>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</si>
  <si>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</si>
  <si>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</si>
  <si>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</si>
  <si>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</si>
  <si>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</si>
  <si>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</si>
  <si>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</si>
  <si>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</si>
  <si>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</si>
  <si>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</si>
  <si>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</si>
  <si>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</si>
  <si>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</si>
  <si>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</si>
  <si>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</si>
  <si>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</si>
  <si>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</si>
  <si>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</si>
  <si>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</si>
  <si>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</si>
  <si>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</si>
  <si>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</si>
  <si>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</si>
  <si>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</si>
  <si>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</si>
  <si>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</si>
  <si>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</si>
  <si>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</si>
  <si>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</si>
  <si>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</si>
  <si>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</si>
  <si>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</si>
  <si>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</si>
  <si>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</si>
  <si>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</si>
  <si>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</si>
  <si>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</si>
  <si>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</si>
  <si>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</si>
  <si>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</si>
  <si>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</si>
  <si>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</si>
  <si>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</si>
  <si>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</si>
  <si>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</si>
  <si>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</si>
  <si>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Scenarie_BAU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</si>
</sst>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7" sqref="B7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1" t="s">
        <v>0</v>
      </c>
      <c r="B1" s="511"/>
    </row>
    <row r="2" spans="1:5" ht="30" customHeight="1" x14ac:dyDescent="0.25">
      <c r="A2" s="510" t="s">
        <v>766</v>
      </c>
      <c r="B2" s="510"/>
    </row>
    <row r="3" spans="1:5" x14ac:dyDescent="0.25">
      <c r="A3" s="513" t="s">
        <v>6</v>
      </c>
      <c r="B3" s="513"/>
    </row>
    <row r="4" spans="1:5" ht="28.9" customHeight="1" x14ac:dyDescent="0.25">
      <c r="A4" s="510" t="s">
        <v>884</v>
      </c>
      <c r="B4" s="510"/>
    </row>
    <row r="5" spans="1:5" x14ac:dyDescent="0.25">
      <c r="A5" s="512" t="s">
        <v>765</v>
      </c>
      <c r="B5" s="512"/>
    </row>
    <row r="6" spans="1:5" x14ac:dyDescent="0.25">
      <c r="B6" s="493" t="s">
        <v>892</v>
      </c>
    </row>
    <row r="7" spans="1:5" x14ac:dyDescent="0.25">
      <c r="A7" s="2" t="s">
        <v>1</v>
      </c>
      <c r="B7" s="3" t="s">
        <v>896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10" t="s">
        <v>5</v>
      </c>
      <c r="B9" s="510"/>
    </row>
    <row r="10" spans="1:5" ht="15.75" thickTop="1" x14ac:dyDescent="0.25">
      <c r="A10" s="371" t="s">
        <v>754</v>
      </c>
      <c r="B10" s="372" t="s">
        <v>287</v>
      </c>
      <c r="D10" s="403" t="s">
        <v>269</v>
      </c>
      <c r="E10" s="404"/>
    </row>
    <row r="11" spans="1:5" x14ac:dyDescent="0.25">
      <c r="A11" s="373" t="s">
        <v>278</v>
      </c>
      <c r="B11" s="374" t="s">
        <v>755</v>
      </c>
      <c r="D11" s="405" t="s">
        <v>776</v>
      </c>
      <c r="E11" s="406" t="s">
        <v>270</v>
      </c>
    </row>
    <row r="12" spans="1:5" x14ac:dyDescent="0.25">
      <c r="A12" s="373"/>
      <c r="B12" s="374" t="s">
        <v>4</v>
      </c>
      <c r="D12" s="405" t="s">
        <v>271</v>
      </c>
      <c r="E12" s="406" t="s">
        <v>272</v>
      </c>
    </row>
    <row r="13" spans="1:5" x14ac:dyDescent="0.25">
      <c r="A13" s="375" t="s">
        <v>671</v>
      </c>
      <c r="B13" s="374" t="s">
        <v>756</v>
      </c>
      <c r="D13" s="405" t="s">
        <v>273</v>
      </c>
      <c r="E13" s="406" t="s">
        <v>274</v>
      </c>
    </row>
    <row r="14" spans="1:5" x14ac:dyDescent="0.25">
      <c r="A14" s="373" t="s">
        <v>279</v>
      </c>
      <c r="B14" s="374" t="s">
        <v>757</v>
      </c>
      <c r="D14" s="405"/>
      <c r="E14" s="406"/>
    </row>
    <row r="15" spans="1:5" x14ac:dyDescent="0.25">
      <c r="A15" s="373"/>
      <c r="B15" s="374"/>
      <c r="D15" s="407" t="s">
        <v>275</v>
      </c>
      <c r="E15" s="406"/>
    </row>
    <row r="16" spans="1:5" x14ac:dyDescent="0.25">
      <c r="A16" s="375" t="s">
        <v>758</v>
      </c>
      <c r="B16" s="376" t="s">
        <v>759</v>
      </c>
      <c r="D16" s="405" t="s">
        <v>276</v>
      </c>
      <c r="E16" s="406"/>
    </row>
    <row r="17" spans="1:5" x14ac:dyDescent="0.25">
      <c r="A17" s="373" t="s">
        <v>760</v>
      </c>
      <c r="B17" s="374" t="s">
        <v>761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528</v>
      </c>
      <c r="B19" s="376" t="s">
        <v>36</v>
      </c>
      <c r="D19" s="405" t="s">
        <v>277</v>
      </c>
      <c r="E19" s="406"/>
    </row>
    <row r="20" spans="1:5" x14ac:dyDescent="0.25">
      <c r="A20" s="373" t="s">
        <v>280</v>
      </c>
      <c r="B20" s="374" t="s">
        <v>762</v>
      </c>
      <c r="D20" s="405" t="s">
        <v>70</v>
      </c>
      <c r="E20" s="406"/>
    </row>
    <row r="21" spans="1:5" x14ac:dyDescent="0.25">
      <c r="A21" s="373" t="s">
        <v>281</v>
      </c>
      <c r="B21" s="374"/>
      <c r="D21" s="405"/>
      <c r="E21" s="406"/>
    </row>
    <row r="22" spans="1:5" x14ac:dyDescent="0.25">
      <c r="A22" s="373" t="s">
        <v>282</v>
      </c>
      <c r="B22" s="374"/>
      <c r="D22" s="407" t="s">
        <v>775</v>
      </c>
      <c r="E22" s="406"/>
    </row>
    <row r="23" spans="1:5" x14ac:dyDescent="0.25">
      <c r="A23" s="373" t="s">
        <v>283</v>
      </c>
      <c r="B23" s="374"/>
      <c r="D23" s="405">
        <v>2019</v>
      </c>
      <c r="E23" s="406"/>
    </row>
    <row r="24" spans="1:5" x14ac:dyDescent="0.25">
      <c r="A24" s="373" t="s">
        <v>763</v>
      </c>
      <c r="B24" s="374"/>
      <c r="D24" s="405">
        <v>2030</v>
      </c>
      <c r="E24" s="406"/>
    </row>
    <row r="25" spans="1:5" ht="15.75" thickBot="1" x14ac:dyDescent="0.3">
      <c r="A25" s="373" t="s">
        <v>764</v>
      </c>
      <c r="B25" s="374"/>
      <c r="D25" s="408">
        <v>2050</v>
      </c>
      <c r="E25" s="409"/>
    </row>
    <row r="26" spans="1:5" ht="15.75" thickTop="1" x14ac:dyDescent="0.25">
      <c r="A26" s="373" t="s">
        <v>284</v>
      </c>
      <c r="B26" s="374"/>
    </row>
    <row r="27" spans="1:5" x14ac:dyDescent="0.25">
      <c r="A27" s="373"/>
      <c r="B27" s="374"/>
    </row>
    <row r="28" spans="1:5" x14ac:dyDescent="0.25">
      <c r="A28" s="375" t="s">
        <v>808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133" activePane="bottomRight" state="frozen"/>
      <selection activeCell="E2" sqref="E2:E66"/>
      <selection pane="topRight" activeCell="E2" sqref="E2:E66"/>
      <selection pane="bottomLeft" activeCell="E2" sqref="E2:E66"/>
      <selection pane="bottomRight" activeCell="H155" sqref="H15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4" t="s">
        <v>311</v>
      </c>
      <c r="I1" s="514"/>
      <c r="J1" s="514"/>
      <c r="K1" s="155"/>
    </row>
    <row r="2" spans="1:11" ht="15.75" thickBot="1" x14ac:dyDescent="0.3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721</v>
      </c>
    </row>
    <row r="8" spans="1:11" ht="15.75" thickBot="1" x14ac:dyDescent="0.3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5.75" thickTop="1" x14ac:dyDescent="0.25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720</v>
      </c>
    </row>
    <row r="10" spans="1:11" ht="15.75" thickBot="1" x14ac:dyDescent="0.3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5.75" thickTop="1" x14ac:dyDescent="0.25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m3</v>
      </c>
      <c r="H11" s="176">
        <f>Hugst!$G$4*(1-Hugst!$G$5)</f>
        <v>3.0660755171951402</v>
      </c>
      <c r="I11" s="176">
        <f>Hugst!$G$4*(1-Hugst!$G$5)</f>
        <v>3.0660755171951402</v>
      </c>
      <c r="J11" s="176">
        <f>Hugst!$G$4*(1-Hugst!$G$5)</f>
        <v>3.0660755171951402</v>
      </c>
      <c r="K11" s="145"/>
    </row>
    <row r="12" spans="1:11" x14ac:dyDescent="0.25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m3</v>
      </c>
      <c r="H12" s="168">
        <f>Hugst!$G$4*Hugst!$G$5</f>
        <v>3.7581274663933448</v>
      </c>
      <c r="I12" s="168">
        <f>Hugst!$G$4*Hugst!$G$5</f>
        <v>3.7581274663933448</v>
      </c>
      <c r="J12" s="168">
        <f>Hugst!$G$4*Hugst!$G$5</f>
        <v>3.7581274663933448</v>
      </c>
      <c r="K12" s="147"/>
    </row>
    <row r="13" spans="1:11" x14ac:dyDescent="0.25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894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894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894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894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82"/>
    </row>
    <row r="28" spans="1:11" x14ac:dyDescent="0.25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82"/>
    </row>
    <row r="29" spans="1:11" x14ac:dyDescent="0.25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894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894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82"/>
    </row>
    <row r="36" spans="1:11" x14ac:dyDescent="0.25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82"/>
    </row>
    <row r="37" spans="1:11" x14ac:dyDescent="0.25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894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317">
        <f>H38</f>
        <v>-14.400000000000002</v>
      </c>
      <c r="J38" s="317">
        <f>I38</f>
        <v>-14.400000000000002</v>
      </c>
      <c r="K38" s="382"/>
    </row>
    <row r="39" spans="1:11" x14ac:dyDescent="0.25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82"/>
    </row>
    <row r="40" spans="1:11" x14ac:dyDescent="0.25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82"/>
    </row>
    <row r="41" spans="1:11" x14ac:dyDescent="0.25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894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82"/>
    </row>
    <row r="44" spans="1:11" x14ac:dyDescent="0.25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82"/>
    </row>
    <row r="45" spans="1:11" x14ac:dyDescent="0.25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894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317">
        <f>H46</f>
        <v>-6.9999999999999991</v>
      </c>
      <c r="J46" s="317">
        <f>I46</f>
        <v>-6.9999999999999991</v>
      </c>
      <c r="K46" s="503"/>
    </row>
    <row r="47" spans="1:11" x14ac:dyDescent="0.25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894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894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894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82"/>
    </row>
    <row r="60" spans="1:11" x14ac:dyDescent="0.25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82"/>
    </row>
    <row r="61" spans="1:11" x14ac:dyDescent="0.25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894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317">
        <f>H62</f>
        <v>-2.5882352941176467</v>
      </c>
      <c r="J62" s="317">
        <f>I62</f>
        <v>-2.5882352941176467</v>
      </c>
      <c r="K62" s="503"/>
    </row>
    <row r="63" spans="1:11" x14ac:dyDescent="0.25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894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82"/>
    </row>
    <row r="68" spans="1:11" x14ac:dyDescent="0.25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82"/>
    </row>
    <row r="69" spans="1:11" x14ac:dyDescent="0.25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894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82"/>
    </row>
    <row r="72" spans="1:11" x14ac:dyDescent="0.25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82"/>
    </row>
    <row r="73" spans="1:11" x14ac:dyDescent="0.25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894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82"/>
    </row>
    <row r="76" spans="1:11" x14ac:dyDescent="0.25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82"/>
    </row>
    <row r="77" spans="1:11" x14ac:dyDescent="0.25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894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317">
        <f>H78</f>
        <v>-3.5588235294117645</v>
      </c>
      <c r="J78" s="317">
        <f>I78</f>
        <v>-3.5588235294117645</v>
      </c>
      <c r="K78" s="503"/>
    </row>
    <row r="79" spans="1:11" x14ac:dyDescent="0.25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894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894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82"/>
    </row>
    <row r="88" spans="1:11" x14ac:dyDescent="0.25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82"/>
    </row>
    <row r="89" spans="1:11" x14ac:dyDescent="0.25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894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82"/>
    </row>
    <row r="92" spans="1:11" x14ac:dyDescent="0.25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82"/>
    </row>
    <row r="93" spans="1:11" x14ac:dyDescent="0.25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894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339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339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334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5.75" thickTop="1" x14ac:dyDescent="0.25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m3</v>
      </c>
      <c r="F423" s="146" t="s">
        <v>298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25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m3</v>
      </c>
      <c r="F424" s="150" t="s">
        <v>395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894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752</v>
      </c>
    </row>
    <row r="427" spans="1:14" x14ac:dyDescent="0.25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25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816</v>
      </c>
    </row>
    <row r="429" spans="1:14" ht="15.75" thickBot="1" x14ac:dyDescent="0.3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752</v>
      </c>
    </row>
    <row r="430" spans="1:14" ht="15.75" thickTop="1" x14ac:dyDescent="0.25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25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25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813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25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25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25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25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25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5.75" thickBot="1" x14ac:dyDescent="0.3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5.75" thickTop="1" x14ac:dyDescent="0.25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405</v>
      </c>
      <c r="B446" s="181"/>
      <c r="C446" s="181"/>
      <c r="D446" s="146" t="s">
        <v>710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405</v>
      </c>
      <c r="B451" s="181"/>
      <c r="C451" s="181"/>
      <c r="D451" s="146" t="s">
        <v>647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405</v>
      </c>
      <c r="B452" s="181"/>
      <c r="C452" s="181"/>
      <c r="D452" s="146" t="s">
        <v>645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651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5.75" thickTop="1" x14ac:dyDescent="0.25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25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25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25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25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5.75" thickBot="1" x14ac:dyDescent="0.3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5.75" thickTop="1" x14ac:dyDescent="0.25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398</v>
      </c>
      <c r="B482" s="181"/>
      <c r="C482" s="181"/>
      <c r="D482" s="150" t="s">
        <v>711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m3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398</v>
      </c>
      <c r="B487" s="181"/>
      <c r="C487" s="181"/>
      <c r="D487" s="150" t="s">
        <v>880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398</v>
      </c>
      <c r="B488" s="181"/>
      <c r="C488" s="181"/>
      <c r="D488" s="150" t="s">
        <v>868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646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646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646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712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710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712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711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866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866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880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866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s="146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646</v>
      </c>
      <c r="B24" s="172" t="s">
        <v>659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866</v>
      </c>
      <c r="B25" s="172" t="s">
        <v>867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712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894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645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868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880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710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711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s="456" t="s">
        <v>395</v>
      </c>
      <c r="F97" t="s">
        <v>615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543</v>
      </c>
      <c r="F98" t="s">
        <v>615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298</v>
      </c>
      <c r="F99" t="s">
        <v>615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8"/>
      <c r="B2" s="8"/>
      <c r="C2" s="8" t="s">
        <v>491</v>
      </c>
      <c r="D2" s="8" t="s">
        <v>652</v>
      </c>
      <c r="E2" s="8" t="s">
        <v>654</v>
      </c>
      <c r="F2" s="8" t="s">
        <v>653</v>
      </c>
      <c r="G2" s="8" t="s">
        <v>655</v>
      </c>
      <c r="H2" s="1" t="s">
        <v>658</v>
      </c>
      <c r="I2" s="1" t="s">
        <v>803</v>
      </c>
    </row>
    <row r="3" spans="1:9" x14ac:dyDescent="0.25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650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651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8" t="s">
        <v>751</v>
      </c>
      <c r="B10" s="8">
        <f>B11/B12</f>
        <v>0.30562345796166263</v>
      </c>
    </row>
    <row r="11" spans="1:9" x14ac:dyDescent="0.25">
      <c r="A11" s="8" t="s">
        <v>753</v>
      </c>
      <c r="B11" s="8">
        <f>(1582.7+27.63)*1000000</f>
        <v>1610330000.0000002</v>
      </c>
    </row>
    <row r="12" spans="1:9" x14ac:dyDescent="0.25">
      <c r="A12" s="8" t="s">
        <v>770</v>
      </c>
      <c r="B12" s="8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78" t="s">
        <v>869</v>
      </c>
      <c r="B15" s="478">
        <f>H22</f>
        <v>-0.65266666666666662</v>
      </c>
      <c r="C15" s="478" t="s">
        <v>878</v>
      </c>
    </row>
    <row r="16" spans="1:9" x14ac:dyDescent="0.25">
      <c r="A16" s="478" t="s">
        <v>880</v>
      </c>
      <c r="B16" s="478">
        <f>B23/1000</f>
        <v>0.14000000000000001</v>
      </c>
      <c r="C16" s="478" t="s">
        <v>879</v>
      </c>
    </row>
    <row r="17" spans="1:12" x14ac:dyDescent="0.25">
      <c r="A17" s="478" t="s">
        <v>868</v>
      </c>
      <c r="B17" s="478">
        <f>B24/1000</f>
        <v>0.56000000000000005</v>
      </c>
      <c r="C17" s="478" t="s">
        <v>879</v>
      </c>
    </row>
    <row r="19" spans="1:12" ht="15.75" thickBot="1" x14ac:dyDescent="0.3">
      <c r="A19" s="456" t="s">
        <v>870</v>
      </c>
      <c r="B19" s="456"/>
      <c r="C19" s="456"/>
      <c r="D19" s="456"/>
      <c r="E19" s="456"/>
      <c r="F19" s="456"/>
      <c r="G19" s="456"/>
      <c r="H19" s="456" t="s">
        <v>883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871</v>
      </c>
      <c r="C20" s="470"/>
      <c r="D20" s="469" t="s">
        <v>400</v>
      </c>
      <c r="E20" s="470"/>
      <c r="F20" s="159" t="s">
        <v>872</v>
      </c>
      <c r="G20" s="159"/>
      <c r="H20" s="480" t="s">
        <v>873</v>
      </c>
      <c r="I20" s="480" t="s">
        <v>804</v>
      </c>
      <c r="J20" s="480"/>
      <c r="K20" s="479" t="s">
        <v>874</v>
      </c>
      <c r="L20" s="479" t="s">
        <v>875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876</v>
      </c>
      <c r="L21" s="479">
        <v>12</v>
      </c>
    </row>
    <row r="22" spans="1:12" x14ac:dyDescent="0.25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877</v>
      </c>
      <c r="L22" s="479">
        <v>16</v>
      </c>
    </row>
    <row r="23" spans="1:12" x14ac:dyDescent="0.25">
      <c r="A23" s="471" t="s">
        <v>880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868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0" width="17.140625" style="47" customWidth="1"/>
    <col min="11" max="16384" width="9.140625" style="47"/>
  </cols>
  <sheetData>
    <row r="1" spans="1:5" ht="18.75" x14ac:dyDescent="0.3">
      <c r="A1" s="414" t="s">
        <v>779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780</v>
      </c>
      <c r="B3" s="410">
        <f>D23/C23</f>
        <v>0.77115679138975135</v>
      </c>
      <c r="C3" s="410">
        <f>E23/C23</f>
        <v>0.22884320861024854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25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5.75" thickBot="1" x14ac:dyDescent="0.3"/>
    <row r="25" spans="1:12" s="64" customFormat="1" ht="17.25" x14ac:dyDescent="0.3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25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25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25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25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25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25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25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25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25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25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25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25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25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25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25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25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25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25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25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25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25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25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25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25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5.75" thickBot="1" x14ac:dyDescent="0.3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25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25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5.75" thickBot="1" x14ac:dyDescent="0.3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15" t="s">
        <v>58</v>
      </c>
      <c r="C10" s="515"/>
      <c r="D10" s="515"/>
      <c r="E10" s="515"/>
      <c r="F10" s="515"/>
      <c r="G10" s="516"/>
    </row>
    <row r="11" spans="1:7" x14ac:dyDescent="0.25">
      <c r="A11" s="37"/>
      <c r="B11" s="515" t="s">
        <v>65</v>
      </c>
      <c r="C11" s="515"/>
      <c r="D11" s="515"/>
      <c r="E11" s="515"/>
      <c r="F11" s="515"/>
      <c r="G11" s="516"/>
    </row>
    <row r="12" spans="1:7" ht="28.5" customHeight="1" x14ac:dyDescent="0.25">
      <c r="A12" s="38"/>
      <c r="B12" s="517" t="s">
        <v>59</v>
      </c>
      <c r="C12" s="517"/>
      <c r="D12" s="517"/>
      <c r="E12" s="517"/>
      <c r="F12" s="517"/>
      <c r="G12" s="518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6.5" thickBot="1" x14ac:dyDescent="0.3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2.5" x14ac:dyDescent="0.25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25" t="s">
        <v>112</v>
      </c>
      <c r="B42" s="86" t="s">
        <v>111</v>
      </c>
      <c r="C42" s="527">
        <v>1.6</v>
      </c>
      <c r="D42" s="527">
        <v>1</v>
      </c>
      <c r="E42" s="527">
        <v>0.3</v>
      </c>
      <c r="F42" s="527">
        <v>0.3</v>
      </c>
      <c r="G42" s="527">
        <v>0</v>
      </c>
      <c r="H42" s="519">
        <v>5.9</v>
      </c>
      <c r="I42" s="521">
        <v>0</v>
      </c>
      <c r="J42" s="523">
        <v>12.2</v>
      </c>
    </row>
    <row r="43" spans="1:10" x14ac:dyDescent="0.25">
      <c r="A43" s="526"/>
      <c r="B43" s="84">
        <v>3.2</v>
      </c>
      <c r="C43" s="528"/>
      <c r="D43" s="528"/>
      <c r="E43" s="528"/>
      <c r="F43" s="528"/>
      <c r="G43" s="528"/>
      <c r="H43" s="520"/>
      <c r="I43" s="522"/>
      <c r="J43" s="524"/>
    </row>
    <row r="44" spans="1:10" x14ac:dyDescent="0.25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25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25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25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25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25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25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25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25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25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886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724</v>
      </c>
      <c r="D2" s="146"/>
      <c r="E2" s="146"/>
      <c r="F2" s="388"/>
      <c r="G2" s="388" t="s">
        <v>746</v>
      </c>
      <c r="H2" s="388"/>
      <c r="I2" s="389"/>
      <c r="K2" s="381" t="s">
        <v>62</v>
      </c>
      <c r="L2" s="146" t="s">
        <v>724</v>
      </c>
      <c r="M2" s="146"/>
      <c r="N2" s="146"/>
      <c r="O2" s="388"/>
      <c r="P2" s="388" t="s">
        <v>746</v>
      </c>
      <c r="Q2" s="388"/>
      <c r="R2" s="389"/>
      <c r="T2" s="381" t="s">
        <v>62</v>
      </c>
      <c r="U2" s="441" t="s">
        <v>724</v>
      </c>
      <c r="V2" s="441"/>
      <c r="W2" s="441"/>
      <c r="X2" s="388"/>
      <c r="Y2" s="388" t="s">
        <v>746</v>
      </c>
      <c r="Z2" s="388"/>
      <c r="AA2" s="389"/>
    </row>
    <row r="3" spans="1:27" x14ac:dyDescent="0.25">
      <c r="B3" s="381" t="s">
        <v>768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767</v>
      </c>
    </row>
    <row r="37" spans="1:10" x14ac:dyDescent="0.25">
      <c r="A37" s="350" t="s">
        <v>747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750</v>
      </c>
      <c r="H37" s="350" t="s">
        <v>725</v>
      </c>
    </row>
    <row r="38" spans="1:10" x14ac:dyDescent="0.25">
      <c r="A38" s="365" t="s">
        <v>748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749</v>
      </c>
    </row>
    <row r="39" spans="1:10" x14ac:dyDescent="0.25">
      <c r="A39" s="351" t="s">
        <v>726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727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728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729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730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731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732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733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734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735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736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737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738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739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740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741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742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743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744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745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J5" sqref="J5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541</v>
      </c>
    </row>
    <row r="21" spans="1:13" x14ac:dyDescent="0.25">
      <c r="A21" s="234" t="s">
        <v>68</v>
      </c>
    </row>
    <row r="22" spans="1:13" x14ac:dyDescent="0.25">
      <c r="A22" s="228" t="s">
        <v>496</v>
      </c>
    </row>
    <row r="23" spans="1:13" x14ac:dyDescent="0.25">
      <c r="A23" s="239" t="s">
        <v>332</v>
      </c>
      <c r="B23" s="239" t="s">
        <v>497</v>
      </c>
    </row>
    <row r="24" spans="1:13" x14ac:dyDescent="0.25">
      <c r="A24" s="230" t="s">
        <v>412</v>
      </c>
    </row>
    <row r="25" spans="1:13" x14ac:dyDescent="0.25">
      <c r="A25" s="3" t="s">
        <v>511</v>
      </c>
    </row>
    <row r="26" spans="1:13" x14ac:dyDescent="0.25">
      <c r="A26" s="254" t="s">
        <v>512</v>
      </c>
    </row>
    <row r="27" spans="1:13" x14ac:dyDescent="0.25">
      <c r="A27" s="214"/>
    </row>
    <row r="28" spans="1:13" ht="15.75" thickBot="1" x14ac:dyDescent="0.3">
      <c r="A28" s="2" t="s">
        <v>422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25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25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25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25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25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25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444" t="s">
        <v>851</v>
      </c>
    </row>
    <row r="43" spans="1:10" ht="15.75" thickBot="1" x14ac:dyDescent="0.3">
      <c r="A43" s="438" t="s">
        <v>822</v>
      </c>
      <c r="B43" s="440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444" t="s">
        <v>864</v>
      </c>
      <c r="J43" s="445">
        <v>2019</v>
      </c>
    </row>
    <row r="44" spans="1:10" x14ac:dyDescent="0.25">
      <c r="A44" s="437" t="s">
        <v>823</v>
      </c>
      <c r="B44" s="439">
        <v>3767.3551588371374</v>
      </c>
      <c r="C44" s="1" t="s">
        <v>837</v>
      </c>
      <c r="F44" s="1">
        <v>2578370</v>
      </c>
      <c r="I44" s="448" t="s">
        <v>839</v>
      </c>
      <c r="J44" s="446">
        <v>27.011008109722574</v>
      </c>
    </row>
    <row r="45" spans="1:10" x14ac:dyDescent="0.25">
      <c r="A45" s="437" t="s">
        <v>824</v>
      </c>
      <c r="B45" s="439">
        <v>2952.39814048791</v>
      </c>
      <c r="C45" s="1" t="s">
        <v>820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840</v>
      </c>
      <c r="J45" s="446">
        <v>13.494661638352639</v>
      </c>
    </row>
    <row r="46" spans="1:10" x14ac:dyDescent="0.25">
      <c r="A46" s="437" t="s">
        <v>825</v>
      </c>
      <c r="B46" s="439" t="s">
        <v>826</v>
      </c>
      <c r="F46" s="1">
        <v>2578370</v>
      </c>
      <c r="I46" s="448" t="s">
        <v>841</v>
      </c>
      <c r="J46" s="446">
        <v>4.2965611392438922E-2</v>
      </c>
    </row>
    <row r="47" spans="1:10" x14ac:dyDescent="0.25">
      <c r="A47" s="437" t="s">
        <v>827</v>
      </c>
      <c r="B47" s="439">
        <v>4072.8452465785531</v>
      </c>
      <c r="C47" s="1" t="s">
        <v>819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842</v>
      </c>
      <c r="J47" s="454"/>
    </row>
    <row r="48" spans="1:10" x14ac:dyDescent="0.25">
      <c r="A48" s="437" t="s">
        <v>828</v>
      </c>
      <c r="B48" s="439" t="s">
        <v>826</v>
      </c>
      <c r="F48" s="1">
        <v>2578370</v>
      </c>
      <c r="I48" s="448" t="s">
        <v>843</v>
      </c>
      <c r="J48" s="446">
        <v>5.411826658030066E-3</v>
      </c>
    </row>
    <row r="49" spans="1:10" x14ac:dyDescent="0.25">
      <c r="A49" s="437" t="s">
        <v>829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844</v>
      </c>
      <c r="J49" s="446">
        <v>0.47525986757812505</v>
      </c>
    </row>
    <row r="50" spans="1:10" x14ac:dyDescent="0.25">
      <c r="A50" s="437" t="s">
        <v>830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845</v>
      </c>
      <c r="J50" s="446">
        <v>41.882892458812613</v>
      </c>
    </row>
    <row r="51" spans="1:10" x14ac:dyDescent="0.25">
      <c r="A51" s="437" t="s">
        <v>831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846</v>
      </c>
      <c r="J51" s="446">
        <v>0.58710980836771465</v>
      </c>
    </row>
    <row r="52" spans="1:10" x14ac:dyDescent="0.25">
      <c r="A52" s="437" t="s">
        <v>832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847</v>
      </c>
      <c r="J52" s="446">
        <v>1.1986960661131167</v>
      </c>
    </row>
    <row r="53" spans="1:10" x14ac:dyDescent="0.25">
      <c r="A53" s="437" t="s">
        <v>833</v>
      </c>
      <c r="B53" s="439" t="s">
        <v>834</v>
      </c>
      <c r="F53" s="1">
        <v>2578370</v>
      </c>
      <c r="I53" s="448" t="s">
        <v>848</v>
      </c>
      <c r="J53" s="457">
        <v>2.5311427660799999E-3</v>
      </c>
    </row>
    <row r="54" spans="1:10" x14ac:dyDescent="0.25">
      <c r="A54" s="460" t="s">
        <v>835</v>
      </c>
      <c r="I54" s="448" t="s">
        <v>849</v>
      </c>
      <c r="J54" s="451">
        <v>3.2264792749629999E-4</v>
      </c>
    </row>
    <row r="55" spans="1:10" ht="15.75" thickBot="1" x14ac:dyDescent="0.3">
      <c r="A55" s="459" t="s">
        <v>836</v>
      </c>
      <c r="B55" s="461">
        <v>4586.0116630635248</v>
      </c>
      <c r="I55" s="442" t="s">
        <v>850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64"/>
      <c r="B63" s="449">
        <v>2019</v>
      </c>
      <c r="C63" s="1" t="s">
        <v>859</v>
      </c>
    </row>
    <row r="64" spans="1:10" x14ac:dyDescent="0.25">
      <c r="A64" s="465" t="s">
        <v>854</v>
      </c>
      <c r="B64" s="462">
        <v>12.32</v>
      </c>
      <c r="C64" s="467">
        <f>1-B65/B64</f>
        <v>0.40827922077922074</v>
      </c>
    </row>
    <row r="65" spans="1:3" x14ac:dyDescent="0.25">
      <c r="A65" s="465" t="s">
        <v>855</v>
      </c>
      <c r="B65" s="462">
        <v>7.29</v>
      </c>
      <c r="C65" s="467"/>
    </row>
    <row r="66" spans="1:3" x14ac:dyDescent="0.25">
      <c r="A66" s="465" t="s">
        <v>856</v>
      </c>
      <c r="B66" s="462">
        <v>13.33</v>
      </c>
      <c r="C66" s="467">
        <f>1-B67/B66</f>
        <v>0.2235558889722431</v>
      </c>
    </row>
    <row r="67" spans="1:3" x14ac:dyDescent="0.25">
      <c r="A67" s="465" t="s">
        <v>857</v>
      </c>
      <c r="B67" s="462">
        <v>10.35</v>
      </c>
      <c r="C67" s="467"/>
    </row>
    <row r="68" spans="1:3" ht="15.75" thickBot="1" x14ac:dyDescent="0.3">
      <c r="A68" s="466" t="s">
        <v>858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25">
      <c r="A8" s="267" t="s">
        <v>710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25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25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25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25">
      <c r="A13" s="300" t="s">
        <v>647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648</v>
      </c>
    </row>
    <row r="14" spans="1:18" x14ac:dyDescent="0.25">
      <c r="A14" s="300" t="s">
        <v>645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649</v>
      </c>
    </row>
    <row r="15" spans="1:18" x14ac:dyDescent="0.25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25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431</v>
      </c>
    </row>
    <row r="19" spans="1:11" x14ac:dyDescent="0.25">
      <c r="A19" s="217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25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25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25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449</v>
      </c>
      <c r="D37" s="220" t="s">
        <v>710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25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25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25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265</v>
      </c>
    </row>
    <row r="2" spans="1:21" x14ac:dyDescent="0.25">
      <c r="A2" s="417" t="s">
        <v>781</v>
      </c>
    </row>
    <row r="3" spans="1:21" x14ac:dyDescent="0.25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8" t="s">
        <v>305</v>
      </c>
      <c r="B4" s="8"/>
      <c r="C4" s="8" t="s">
        <v>782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783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810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864</v>
      </c>
      <c r="S7" s="1" t="s">
        <v>852</v>
      </c>
      <c r="U7" s="1" t="s">
        <v>865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840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841</v>
      </c>
      <c r="S10" s="455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321" t="s">
        <v>643</v>
      </c>
      <c r="N11" s="266"/>
      <c r="R11" s="447" t="s">
        <v>843</v>
      </c>
      <c r="S11" s="455">
        <v>0.46338099649199982</v>
      </c>
    </row>
    <row r="12" spans="1:21" x14ac:dyDescent="0.25">
      <c r="K12" s="1">
        <v>2.1978</v>
      </c>
      <c r="R12" s="447" t="s">
        <v>844</v>
      </c>
      <c r="S12" s="455">
        <v>2.7157706718750001</v>
      </c>
    </row>
    <row r="13" spans="1:21" x14ac:dyDescent="0.2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640</v>
      </c>
      <c r="N13" s="391" t="s">
        <v>643</v>
      </c>
      <c r="O13" s="8"/>
      <c r="R13" s="447" t="s">
        <v>845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642</v>
      </c>
      <c r="M14" s="8">
        <v>566639</v>
      </c>
      <c r="N14" s="8">
        <v>160.59029405341599</v>
      </c>
      <c r="O14" s="8" t="s">
        <v>626</v>
      </c>
      <c r="R14" s="447" t="s">
        <v>846</v>
      </c>
      <c r="S14" s="455">
        <v>2.5460227152417424E-2</v>
      </c>
    </row>
    <row r="15" spans="1:21" x14ac:dyDescent="0.25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641</v>
      </c>
      <c r="M15" s="8">
        <f>J7-M14</f>
        <v>924793</v>
      </c>
      <c r="N15" s="8">
        <v>40.474166115923701</v>
      </c>
      <c r="O15" s="8" t="s">
        <v>627</v>
      </c>
      <c r="R15" s="447" t="s">
        <v>847</v>
      </c>
      <c r="S15" s="455">
        <v>0.48616573334049179</v>
      </c>
    </row>
    <row r="16" spans="1:21" x14ac:dyDescent="0.25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848</v>
      </c>
      <c r="S16" s="455">
        <v>0.32571647999999997</v>
      </c>
    </row>
    <row r="17" spans="1:19" x14ac:dyDescent="0.25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850</v>
      </c>
      <c r="S18" s="453">
        <v>1.3538981647058823E-3</v>
      </c>
    </row>
    <row r="19" spans="1:19" ht="17.25" x14ac:dyDescent="0.3">
      <c r="A19" s="535" t="s">
        <v>264</v>
      </c>
      <c r="B19" s="535"/>
      <c r="C19" s="535"/>
      <c r="D19" s="34"/>
      <c r="E19" s="34"/>
      <c r="F19" s="34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1" t="s">
        <v>97</v>
      </c>
      <c r="B20" s="142"/>
      <c r="C20" s="142"/>
      <c r="D20" s="142"/>
      <c r="E20" s="142"/>
      <c r="F20" s="142"/>
      <c r="L20" s="218" t="s">
        <v>629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16" t="s">
        <v>634</v>
      </c>
      <c r="M28"/>
      <c r="N28"/>
      <c r="O28"/>
      <c r="P28"/>
      <c r="Q28"/>
      <c r="R28"/>
      <c r="S28"/>
    </row>
    <row r="29" spans="1:19" ht="15.75" thickBot="1" x14ac:dyDescent="0.3">
      <c r="A29" s="529" t="s">
        <v>257</v>
      </c>
      <c r="B29" s="529" t="s">
        <v>256</v>
      </c>
      <c r="C29" s="140"/>
      <c r="D29" s="140"/>
      <c r="E29" s="128" t="s">
        <v>255</v>
      </c>
      <c r="F29" s="140"/>
      <c r="G29" s="140"/>
      <c r="H29" s="531" t="s">
        <v>254</v>
      </c>
      <c r="I29" s="533" t="s">
        <v>253</v>
      </c>
      <c r="L29" s="217" t="s">
        <v>97</v>
      </c>
      <c r="M29"/>
      <c r="N29"/>
      <c r="O29"/>
      <c r="P29"/>
      <c r="Q29"/>
      <c r="R29"/>
      <c r="S29"/>
    </row>
    <row r="30" spans="1:19" ht="15.75" thickBot="1" x14ac:dyDescent="0.3">
      <c r="A30" s="530"/>
      <c r="B30" s="530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32"/>
      <c r="I30" s="534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630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631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771</v>
      </c>
      <c r="B1" s="9"/>
    </row>
    <row r="2" spans="1:23" ht="18.75" x14ac:dyDescent="0.3">
      <c r="A2" s="395"/>
      <c r="B2" s="396"/>
      <c r="C2" s="539" t="s">
        <v>772</v>
      </c>
      <c r="D2" s="540"/>
      <c r="E2" s="540"/>
      <c r="F2" s="541"/>
      <c r="G2" s="267"/>
      <c r="H2" s="267"/>
      <c r="I2" s="267"/>
    </row>
    <row r="3" spans="1:23" x14ac:dyDescent="0.25">
      <c r="A3" s="267" t="s">
        <v>622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785</v>
      </c>
      <c r="L3" t="s">
        <v>692</v>
      </c>
      <c r="M3" t="s">
        <v>693</v>
      </c>
      <c r="R3" t="s">
        <v>893</v>
      </c>
      <c r="U3" s="173"/>
      <c r="W3" s="509" cm="1">
        <f t="array" aca="1" ref="W3" ca="1">INDIRECT("["&amp;Overblik!$B$7&amp;".xlsm]Skovbrug!C9")</f>
        <v>5.0000000000000001E-3</v>
      </c>
    </row>
    <row r="4" spans="1:23" ht="14.25" customHeight="1" x14ac:dyDescent="0.25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6.824202983588485</v>
      </c>
      <c r="H4" s="422">
        <f>(4.7+0.3+1.2)*M4</f>
        <v>6.824202983588485</v>
      </c>
      <c r="I4" s="267" t="s">
        <v>620</v>
      </c>
      <c r="L4">
        <f>(2907+204+727)*1000/Arealanvendelse!C19</f>
        <v>6.824202983588485</v>
      </c>
      <c r="M4">
        <f>L4/(4.7+0.3+1.2)</f>
        <v>1.1006779005787879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545</v>
      </c>
      <c r="B5" s="267" t="s">
        <v>395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694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3.2978723404255318E-3</v>
      </c>
      <c r="W5" s="496">
        <f t="shared" ca="1" si="0"/>
        <v>1.7021276595744681E-3</v>
      </c>
    </row>
    <row r="6" spans="1:23" x14ac:dyDescent="0.25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1.9074743425132601</v>
      </c>
      <c r="G6" s="253"/>
      <c r="H6" s="422">
        <f>(3.1+0+0.9)*M4</f>
        <v>4.4027116023151516</v>
      </c>
      <c r="I6" s="267" t="s">
        <v>619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1.7372881355932203E-3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3" x14ac:dyDescent="0.25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0.99644182071588216</v>
      </c>
      <c r="G7" s="253"/>
      <c r="H7" s="422"/>
      <c r="I7" s="267"/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1.818181818181818E-3</v>
      </c>
      <c r="W7" s="496">
        <f t="shared" ca="1" si="6"/>
        <v>3.1818181818181819E-3</v>
      </c>
    </row>
    <row r="8" spans="1:23" x14ac:dyDescent="0.25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2.2834402547600621</v>
      </c>
      <c r="E8" s="297">
        <f t="shared" si="8"/>
        <v>2.4148286821172875</v>
      </c>
      <c r="F8" s="297">
        <f t="shared" si="8"/>
        <v>1.1100056793972521</v>
      </c>
      <c r="G8" s="253"/>
      <c r="H8" s="422">
        <f>(6.2+0.7+1.6)*M4</f>
        <v>9.355762154919697</v>
      </c>
      <c r="I8" s="267" t="s">
        <v>617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1.2195121951219514E-3</v>
      </c>
      <c r="V8" s="496">
        <f t="shared" ca="1" si="5"/>
        <v>6.7073170731707312E-4</v>
      </c>
      <c r="W8" s="496">
        <f t="shared" ca="1" si="6"/>
        <v>9.1463414634146336E-4</v>
      </c>
    </row>
    <row r="9" spans="1:23" x14ac:dyDescent="0.25">
      <c r="A9" s="8" t="s">
        <v>547</v>
      </c>
      <c r="B9" s="267" t="s">
        <v>395</v>
      </c>
      <c r="C9" s="297">
        <f>C21*C22</f>
        <v>0</v>
      </c>
      <c r="D9" s="297">
        <f>D21*D22</f>
        <v>0.57086006369001541</v>
      </c>
      <c r="E9" s="297">
        <f>E21*E22</f>
        <v>0.83590223611752268</v>
      </c>
      <c r="F9" s="297">
        <f>F21*F22</f>
        <v>0.55500283969862618</v>
      </c>
      <c r="G9" s="253"/>
      <c r="H9" s="422"/>
      <c r="I9" s="267"/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3" x14ac:dyDescent="0.25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1.3985083913236362</v>
      </c>
      <c r="G10" s="253"/>
      <c r="H10" s="422">
        <f>(4.4+0.1+0.9)*$M$4</f>
        <v>5.9436606631254554</v>
      </c>
      <c r="I10" s="267" t="s">
        <v>618</v>
      </c>
      <c r="L10" t="s">
        <v>550</v>
      </c>
      <c r="M10" s="1" t="s">
        <v>612</v>
      </c>
    </row>
    <row r="11" spans="1:23" x14ac:dyDescent="0.25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0.7628227589038018</v>
      </c>
      <c r="G11" s="253"/>
      <c r="H11" s="422"/>
      <c r="I11" s="267"/>
    </row>
    <row r="12" spans="1:23" x14ac:dyDescent="0.25">
      <c r="A12" s="8" t="s">
        <v>549</v>
      </c>
      <c r="B12" s="267" t="s">
        <v>543</v>
      </c>
      <c r="C12" s="297">
        <f>C25*(1-C26)</f>
        <v>0</v>
      </c>
      <c r="D12" s="297">
        <f t="shared" si="8"/>
        <v>0.5798693329878496</v>
      </c>
      <c r="E12" s="297">
        <f t="shared" si="8"/>
        <v>0.62416490703553229</v>
      </c>
      <c r="F12" s="297">
        <f t="shared" si="8"/>
        <v>0.51591315655536585</v>
      </c>
      <c r="G12" s="253"/>
      <c r="H12" s="422">
        <f>(4.4+0.1+0.9)*$M$4</f>
        <v>5.9436606631254554</v>
      </c>
      <c r="I12" s="267" t="s">
        <v>618</v>
      </c>
    </row>
    <row r="13" spans="1:23" x14ac:dyDescent="0.25">
      <c r="A13" s="8" t="s">
        <v>549</v>
      </c>
      <c r="B13" s="267" t="s">
        <v>395</v>
      </c>
      <c r="C13" s="297">
        <f>C25*C26</f>
        <v>0</v>
      </c>
      <c r="D13" s="297">
        <f>D25*D26</f>
        <v>2.0295426654574724</v>
      </c>
      <c r="E13" s="297">
        <f>E25*E26</f>
        <v>0.82550842543409109</v>
      </c>
      <c r="F13" s="297">
        <f>F25*F26</f>
        <v>0.28140717630292689</v>
      </c>
      <c r="G13" s="253"/>
      <c r="H13" s="422"/>
      <c r="I13" s="267"/>
    </row>
    <row r="14" spans="1:23" x14ac:dyDescent="0.25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0.17060507458971214</v>
      </c>
      <c r="F14" s="297">
        <f t="shared" si="8"/>
        <v>2.051145640608</v>
      </c>
      <c r="G14" s="423"/>
      <c r="H14" s="422">
        <f>(4.4+0.1+0.9)*$M$4</f>
        <v>5.9436606631254554</v>
      </c>
      <c r="I14" s="267" t="s">
        <v>618</v>
      </c>
    </row>
    <row r="15" spans="1:23" x14ac:dyDescent="0.25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0.22563896961865154</v>
      </c>
      <c r="F15" s="297">
        <f t="shared" si="9"/>
        <v>1.1188067130589092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546</v>
      </c>
      <c r="B19" s="300" t="s">
        <v>616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547</v>
      </c>
      <c r="B21" s="300" t="s">
        <v>616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300" t="s">
        <v>547</v>
      </c>
      <c r="J21" s="300" t="s">
        <v>616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548</v>
      </c>
      <c r="B23" s="300" t="s">
        <v>616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300" t="s">
        <v>547</v>
      </c>
      <c r="J23" s="300" t="s">
        <v>621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618</v>
      </c>
      <c r="I24" s="300" t="s">
        <v>548</v>
      </c>
      <c r="J24" s="300" t="s">
        <v>616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549</v>
      </c>
      <c r="B25" s="300" t="s">
        <v>616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550</v>
      </c>
      <c r="B27" s="300" t="s">
        <v>616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786</v>
      </c>
      <c r="B32" s="427" t="s">
        <v>799</v>
      </c>
      <c r="C32" s="427" t="s">
        <v>794</v>
      </c>
      <c r="D32" s="427" t="s">
        <v>795</v>
      </c>
      <c r="E32" s="427" t="s">
        <v>800</v>
      </c>
      <c r="F32" s="427" t="s">
        <v>796</v>
      </c>
      <c r="G32" s="427" t="s">
        <v>797</v>
      </c>
      <c r="H32" s="427" t="s">
        <v>798</v>
      </c>
      <c r="I32" s="427" t="s">
        <v>787</v>
      </c>
      <c r="J32" s="427" t="s">
        <v>801</v>
      </c>
    </row>
    <row r="33" spans="1:10" ht="15.75" thickBot="1" x14ac:dyDescent="0.3">
      <c r="A33" s="536" t="s">
        <v>788</v>
      </c>
      <c r="B33" s="537"/>
      <c r="C33" s="428"/>
      <c r="D33" s="428"/>
      <c r="E33" s="538"/>
      <c r="F33" s="538"/>
      <c r="G33" s="428"/>
      <c r="H33" s="428"/>
      <c r="I33" s="428"/>
      <c r="J33" s="429"/>
    </row>
    <row r="34" spans="1:10" ht="15.75" thickBot="1" x14ac:dyDescent="0.3">
      <c r="A34" s="430" t="s">
        <v>789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790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791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6" t="s">
        <v>792</v>
      </c>
      <c r="B37" s="537"/>
      <c r="C37" s="428"/>
      <c r="D37" s="428"/>
      <c r="E37" s="538"/>
      <c r="F37" s="538"/>
      <c r="G37" s="428"/>
      <c r="H37" s="428"/>
      <c r="I37" s="428"/>
      <c r="J37" s="429"/>
    </row>
    <row r="38" spans="1:10" ht="15.75" thickBot="1" x14ac:dyDescent="0.3">
      <c r="A38" s="430" t="s">
        <v>789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790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791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6" t="s">
        <v>793</v>
      </c>
      <c r="B41" s="537"/>
      <c r="C41" s="428"/>
      <c r="D41" s="428"/>
      <c r="E41" s="538"/>
      <c r="F41" s="538"/>
      <c r="G41" s="428"/>
      <c r="H41" s="428"/>
      <c r="I41" s="428"/>
      <c r="J41" s="429"/>
    </row>
    <row r="42" spans="1:10" ht="15.75" thickBot="1" x14ac:dyDescent="0.3">
      <c r="A42" s="430" t="s">
        <v>789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790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791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6" t="s">
        <v>792</v>
      </c>
      <c r="B45" s="537"/>
      <c r="C45" s="428"/>
      <c r="D45" s="428"/>
      <c r="E45" s="538"/>
      <c r="F45" s="538"/>
      <c r="G45" s="428"/>
      <c r="H45" s="428"/>
      <c r="I45" s="428"/>
      <c r="J45" s="429"/>
    </row>
    <row r="46" spans="1:10" ht="15.75" thickBot="1" x14ac:dyDescent="0.3">
      <c r="A46" s="430" t="s">
        <v>789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790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791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25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895</v>
      </c>
      <c r="K3" s="417"/>
      <c r="N3" s="1"/>
    </row>
    <row r="4" spans="1:14" x14ac:dyDescent="0.25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612</v>
      </c>
      <c r="B12" s="8" t="s">
        <v>550</v>
      </c>
      <c r="C12" s="267" t="s">
        <v>608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550</v>
      </c>
      <c r="C13" s="267" t="s">
        <v>609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5.75" thickBot="1" x14ac:dyDescent="0.3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5.75" thickBot="1" x14ac:dyDescent="0.3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6.25" thickBot="1" x14ac:dyDescent="0.3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389</v>
      </c>
      <c r="B8" s="196"/>
      <c r="C8" s="196"/>
      <c r="D8" s="196"/>
    </row>
    <row r="9" spans="1:4" x14ac:dyDescent="0.25">
      <c r="A9" s="198" t="s">
        <v>359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391</v>
      </c>
    </row>
    <row r="28" spans="1:28" x14ac:dyDescent="0.25">
      <c r="A28" s="195" t="s">
        <v>388</v>
      </c>
    </row>
    <row r="29" spans="1:28" ht="17.25" x14ac:dyDescent="0.3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25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686</v>
      </c>
      <c r="B8">
        <f>SUM(M15:M19)</f>
        <v>1030256</v>
      </c>
      <c r="C8" t="s">
        <v>688</v>
      </c>
      <c r="F8" s="218" t="s">
        <v>676</v>
      </c>
    </row>
    <row r="9" spans="1:14" x14ac:dyDescent="0.25">
      <c r="A9" t="s">
        <v>687</v>
      </c>
      <c r="B9" s="336">
        <f>B8*B30*1000</f>
        <v>6905432.9016786581</v>
      </c>
      <c r="C9" t="s">
        <v>705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329" t="s">
        <v>668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660</v>
      </c>
      <c r="E14" s="331" t="s">
        <v>661</v>
      </c>
      <c r="F14" s="331" t="s">
        <v>662</v>
      </c>
      <c r="G14" s="331" t="s">
        <v>663</v>
      </c>
      <c r="H14" s="331" t="s">
        <v>664</v>
      </c>
      <c r="I14" s="331" t="s">
        <v>665</v>
      </c>
      <c r="J14" s="331" t="s">
        <v>666</v>
      </c>
      <c r="K14" s="331" t="s">
        <v>667</v>
      </c>
      <c r="L14" s="331" t="s">
        <v>94</v>
      </c>
      <c r="M14" s="331" t="s">
        <v>259</v>
      </c>
      <c r="N14" s="331" t="s">
        <v>620</v>
      </c>
    </row>
    <row r="15" spans="1:14" x14ac:dyDescent="0.25">
      <c r="A15" s="331" t="s">
        <v>669</v>
      </c>
      <c r="B15" s="331" t="s">
        <v>99</v>
      </c>
      <c r="C15" s="331" t="s">
        <v>670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671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672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673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674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675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7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703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814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818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2" t="s">
        <v>885</v>
      </c>
      <c r="F4" s="542"/>
      <c r="G4" s="542"/>
      <c r="H4" s="542"/>
      <c r="I4" s="542"/>
      <c r="J4" s="542"/>
      <c r="K4" s="542"/>
      <c r="L4" s="542"/>
      <c r="M4" s="542"/>
      <c r="N4" s="542"/>
    </row>
    <row r="5" spans="1:14" ht="14.65" customHeight="1" x14ac:dyDescent="0.25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2"/>
      <c r="F5" s="542"/>
      <c r="G5" s="542"/>
      <c r="H5" s="542"/>
      <c r="I5" s="542"/>
      <c r="J5" s="542"/>
      <c r="K5" s="542"/>
      <c r="L5" s="542"/>
      <c r="M5" s="542"/>
      <c r="N5" s="542"/>
    </row>
    <row r="6" spans="1:14" x14ac:dyDescent="0.25">
      <c r="A6" s="162" t="s">
        <v>812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2"/>
      <c r="F6" s="542"/>
      <c r="G6" s="542"/>
      <c r="H6" s="542"/>
      <c r="I6" s="542"/>
      <c r="J6" s="542"/>
      <c r="K6" s="542"/>
      <c r="L6" s="542"/>
      <c r="M6" s="542"/>
      <c r="N6" s="542"/>
    </row>
    <row r="7" spans="1:14" x14ac:dyDescent="0.25">
      <c r="A7" s="162" t="s">
        <v>815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319</v>
      </c>
    </row>
    <row r="11" spans="1:14" x14ac:dyDescent="0.25">
      <c r="A11" s="166"/>
      <c r="K11" s="2"/>
      <c r="L11" s="2"/>
    </row>
    <row r="12" spans="1:14" ht="17.25" x14ac:dyDescent="0.3">
      <c r="A12" s="339" t="s">
        <v>313</v>
      </c>
      <c r="B12" s="338"/>
      <c r="C12" s="338"/>
      <c r="D12" s="338"/>
    </row>
    <row r="13" spans="1:14" x14ac:dyDescent="0.25">
      <c r="A13" s="340" t="s">
        <v>314</v>
      </c>
      <c r="B13" s="338"/>
      <c r="C13" s="338"/>
      <c r="D13" s="338"/>
    </row>
    <row r="14" spans="1:14" x14ac:dyDescent="0.25">
      <c r="A14" s="338"/>
      <c r="B14" s="338"/>
      <c r="C14" s="341" t="s">
        <v>315</v>
      </c>
      <c r="D14" s="341" t="s">
        <v>316</v>
      </c>
    </row>
    <row r="15" spans="1:14" x14ac:dyDescent="0.25">
      <c r="A15" s="341" t="s">
        <v>259</v>
      </c>
      <c r="B15" s="341" t="s">
        <v>700</v>
      </c>
      <c r="C15" s="342">
        <v>0</v>
      </c>
      <c r="D15" s="342">
        <v>0</v>
      </c>
    </row>
    <row r="16" spans="1:14" x14ac:dyDescent="0.25">
      <c r="A16" s="338"/>
      <c r="B16" s="341" t="s">
        <v>318</v>
      </c>
      <c r="C16" s="342">
        <v>793037</v>
      </c>
      <c r="D16" s="342">
        <v>189772</v>
      </c>
    </row>
    <row r="17" spans="1:5" x14ac:dyDescent="0.25">
      <c r="A17" s="338"/>
      <c r="B17" s="341" t="s">
        <v>701</v>
      </c>
      <c r="C17" s="342">
        <v>5534</v>
      </c>
      <c r="D17" s="342">
        <v>488981</v>
      </c>
    </row>
    <row r="18" spans="1:5" x14ac:dyDescent="0.25">
      <c r="A18" s="338"/>
      <c r="B18" s="341" t="s">
        <v>702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853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313</v>
      </c>
      <c r="B21" s="343"/>
      <c r="C21" s="343"/>
      <c r="D21" s="343"/>
    </row>
    <row r="22" spans="1:5" x14ac:dyDescent="0.25">
      <c r="A22" s="345" t="s">
        <v>314</v>
      </c>
      <c r="B22" s="343"/>
      <c r="C22" s="343"/>
      <c r="D22" s="343"/>
    </row>
    <row r="23" spans="1:5" x14ac:dyDescent="0.25">
      <c r="A23" s="343"/>
      <c r="B23" s="343"/>
      <c r="C23" s="346" t="s">
        <v>320</v>
      </c>
      <c r="D23" s="346" t="s">
        <v>321</v>
      </c>
      <c r="E23" t="s">
        <v>811</v>
      </c>
    </row>
    <row r="24" spans="1:5" x14ac:dyDescent="0.25">
      <c r="A24" s="346" t="s">
        <v>259</v>
      </c>
      <c r="B24" s="346" t="s">
        <v>700</v>
      </c>
      <c r="C24" s="347">
        <v>0</v>
      </c>
      <c r="D24" s="347">
        <v>0</v>
      </c>
    </row>
    <row r="25" spans="1:5" x14ac:dyDescent="0.25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701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702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644</v>
      </c>
      <c r="C1" s="400" t="s">
        <v>43</v>
      </c>
      <c r="E1" s="254" t="s">
        <v>513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488</v>
      </c>
      <c r="B4" s="422">
        <v>12</v>
      </c>
      <c r="C4" s="433">
        <v>0.05</v>
      </c>
    </row>
    <row r="5" spans="1:10" x14ac:dyDescent="0.25">
      <c r="A5" s="400" t="s">
        <v>489</v>
      </c>
      <c r="B5" s="422">
        <v>14.1</v>
      </c>
      <c r="C5" s="433">
        <v>7.5999999999999998E-2</v>
      </c>
    </row>
    <row r="6" spans="1:10" x14ac:dyDescent="0.25">
      <c r="A6" s="400" t="s">
        <v>490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312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301</v>
      </c>
      <c r="B12" s="422">
        <v>25</v>
      </c>
      <c r="C12" s="433">
        <v>0.15</v>
      </c>
    </row>
    <row r="13" spans="1:10" x14ac:dyDescent="0.25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651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509</v>
      </c>
      <c r="B17" s="422">
        <v>423.36</v>
      </c>
      <c r="C17" s="433">
        <v>0.9</v>
      </c>
    </row>
    <row r="18" spans="1:12" x14ac:dyDescent="0.25">
      <c r="A18" s="400" t="s">
        <v>492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305</v>
      </c>
      <c r="C1" s="267" t="s">
        <v>887</v>
      </c>
      <c r="D1" s="267"/>
      <c r="E1" t="s">
        <v>888</v>
      </c>
    </row>
    <row r="2" spans="1:10" ht="15" customHeight="1" x14ac:dyDescent="0.25">
      <c r="A2" s="267" t="s">
        <v>37</v>
      </c>
      <c r="B2" s="267" t="s">
        <v>401</v>
      </c>
      <c r="C2" s="245">
        <f>D27</f>
        <v>1.0335806339134365E-5</v>
      </c>
      <c r="D2" s="489" t="s">
        <v>715</v>
      </c>
      <c r="E2">
        <v>14.5</v>
      </c>
    </row>
    <row r="3" spans="1:10" ht="45.75" customHeight="1" x14ac:dyDescent="0.25">
      <c r="A3" s="267" t="s">
        <v>711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5" x14ac:dyDescent="0.25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25">
      <c r="A5" s="267" t="s">
        <v>395</v>
      </c>
      <c r="B5" s="267" t="s">
        <v>402</v>
      </c>
      <c r="C5" s="486">
        <f>D19</f>
        <v>1.449356890077532E-5</v>
      </c>
      <c r="D5" s="492" t="s">
        <v>716</v>
      </c>
      <c r="E5" s="485" t="s">
        <v>889</v>
      </c>
    </row>
    <row r="6" spans="1:10" ht="15" customHeight="1" x14ac:dyDescent="0.25">
      <c r="A6" s="267" t="s">
        <v>517</v>
      </c>
      <c r="B6" s="267" t="s">
        <v>401</v>
      </c>
      <c r="C6" s="486">
        <f>D24</f>
        <v>1.7852220520673815E-5</v>
      </c>
      <c r="D6" s="492" t="s">
        <v>715</v>
      </c>
      <c r="E6" t="s">
        <v>890</v>
      </c>
    </row>
    <row r="7" spans="1:10" ht="15" customHeight="1" x14ac:dyDescent="0.25">
      <c r="A7" s="267" t="s">
        <v>312</v>
      </c>
      <c r="B7" s="267" t="s">
        <v>401</v>
      </c>
      <c r="C7" s="486">
        <f>D24</f>
        <v>1.7852220520673815E-5</v>
      </c>
      <c r="D7" s="492" t="s">
        <v>715</v>
      </c>
      <c r="E7" t="s">
        <v>891</v>
      </c>
    </row>
    <row r="8" spans="1:10" s="456" customFormat="1" x14ac:dyDescent="0.25">
      <c r="A8" s="471" t="s">
        <v>880</v>
      </c>
      <c r="B8" s="471" t="s">
        <v>401</v>
      </c>
      <c r="C8" s="488">
        <f>'Procesdata (baggrund)'!I23</f>
        <v>3.326857142857142E-5</v>
      </c>
      <c r="D8" s="479" t="s">
        <v>881</v>
      </c>
    </row>
    <row r="9" spans="1:10" s="456" customFormat="1" x14ac:dyDescent="0.25">
      <c r="A9" s="471" t="s">
        <v>868</v>
      </c>
      <c r="B9" s="471" t="s">
        <v>401</v>
      </c>
      <c r="C9" s="487">
        <f>'Procesdata (baggrund)'!I24</f>
        <v>8.9614285714285689E-6</v>
      </c>
      <c r="D9" s="479" t="s">
        <v>881</v>
      </c>
    </row>
    <row r="10" spans="1:10" x14ac:dyDescent="0.25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25">
      <c r="A13" s="267"/>
      <c r="B13" s="267" t="s">
        <v>695</v>
      </c>
      <c r="C13" s="267" t="s">
        <v>696</v>
      </c>
      <c r="D13" s="267" t="s">
        <v>805</v>
      </c>
    </row>
    <row r="14" spans="1:10" x14ac:dyDescent="0.25">
      <c r="A14" s="267" t="s">
        <v>623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697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698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699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329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807</v>
      </c>
      <c r="B21" s="267" t="s">
        <v>713</v>
      </c>
      <c r="C21" s="267" t="s">
        <v>714</v>
      </c>
      <c r="D21" s="267"/>
    </row>
    <row r="22" spans="1:8" x14ac:dyDescent="0.25">
      <c r="A22" s="267" t="s">
        <v>806</v>
      </c>
      <c r="B22" s="267">
        <v>633738</v>
      </c>
      <c r="C22" s="267"/>
      <c r="D22" s="267"/>
    </row>
    <row r="23" spans="1:8" x14ac:dyDescent="0.25">
      <c r="A23" s="267" t="s">
        <v>706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718</v>
      </c>
      <c r="C26" s="267" t="s">
        <v>714</v>
      </c>
      <c r="D26" s="267"/>
      <c r="E26" s="267"/>
    </row>
    <row r="27" spans="1:8" x14ac:dyDescent="0.25">
      <c r="A27" s="267" t="s">
        <v>717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719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25">
      <c r="A4" s="323" t="s">
        <v>651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707</v>
      </c>
    </row>
    <row r="6" spans="1:11" x14ac:dyDescent="0.25">
      <c r="A6" s="323" t="s">
        <v>490</v>
      </c>
      <c r="B6">
        <f>IFERROR(VLOOKUP(A6,Biogasudbytte!$A$2:$C$18,3,FALSE),VLOOKUP(A6,$I$2:$J$8,2,FALSE))</f>
        <v>6.3E-2</v>
      </c>
      <c r="I6" s="323" t="s">
        <v>710</v>
      </c>
      <c r="J6">
        <v>0.91</v>
      </c>
      <c r="K6" t="s">
        <v>707</v>
      </c>
    </row>
    <row r="7" spans="1:11" x14ac:dyDescent="0.25">
      <c r="A7" s="322" t="s">
        <v>509</v>
      </c>
      <c r="B7">
        <f>IFERROR(VLOOKUP(A7,Biogasudbytte!$A$2:$C$18,3,FALSE),VLOOKUP(A7,$I$2:$J$8,2,FALSE))</f>
        <v>0.9</v>
      </c>
      <c r="I7" s="323" t="s">
        <v>711</v>
      </c>
      <c r="J7">
        <v>0.91</v>
      </c>
      <c r="K7" t="s">
        <v>707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f>AVERAGE(0.58,0.57,0.57,0.565,0.54,0.5,0.49,0.46,0.44,0.43,0.42,0.37)</f>
        <v>0.49458333333333332</v>
      </c>
      <c r="K8" t="s">
        <v>708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517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178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301</v>
      </c>
      <c r="B16">
        <f>IFERROR(VLOOKUP(A16,Biogasudbytte!$A$2:$C$18,3,FALSE),VLOOKUP(A16,$I$2:$J$8,2,FALSE))</f>
        <v>0.15</v>
      </c>
    </row>
    <row r="17" spans="1:2" x14ac:dyDescent="0.25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167</v>
      </c>
      <c r="B18">
        <f>IFERROR(VLOOKUP(A18,Biogasudbytte!$A$2:$C$18,3,FALSE),VLOOKUP(A18,$I$2:$J$8,2,FALSE))</f>
        <v>0.91</v>
      </c>
    </row>
    <row r="19" spans="1:2" x14ac:dyDescent="0.25">
      <c r="A19" s="323" t="s">
        <v>710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492</v>
      </c>
      <c r="B21">
        <f>IFERROR(VLOOKUP(A21,Biogasudbytte!$A$2:$C$18,3,FALSE),VLOOKUP(A21,$I$2:$J$8,2,FALSE))</f>
        <v>0.06</v>
      </c>
    </row>
    <row r="22" spans="1:2" x14ac:dyDescent="0.25">
      <c r="A22" s="323" t="s">
        <v>488</v>
      </c>
      <c r="B22">
        <f>IFERROR(VLOOKUP(A22,Biogasudbytte!$A$2:$C$18,3,FALSE),VLOOKUP(A22,$I$2:$J$8,2,FALSE))</f>
        <v>0.05</v>
      </c>
    </row>
    <row r="23" spans="1:2" x14ac:dyDescent="0.25">
      <c r="A23" s="322" t="s">
        <v>300</v>
      </c>
      <c r="B23">
        <f>IFERROR(VLOOKUP(A23,Biogasudbytte!$A$2:$C$18,3,FALSE),VLOOKUP(A23,$I$2:$J$8,2,FALSE))</f>
        <v>0.15</v>
      </c>
    </row>
    <row r="24" spans="1:2" x14ac:dyDescent="0.25">
      <c r="A24" s="323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2021-12-07T13:36:23Z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706369340419769</vt:r8>
  </property>
</Properties>
</file>