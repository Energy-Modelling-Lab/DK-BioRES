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A3771EE-7399-4278-A189-465B880CEE63}" xr6:coauthVersionLast="47" xr6:coauthVersionMax="47" xr10:uidLastSave="{00000000-0000-0000-0000-000000000000}"/>
  <bookViews>
    <workbookView xWindow="-120" yWindow="-120" windowWidth="29040" windowHeight="15840" tabRatio="808" firstSheet="2" activeTab="11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6" i="34" l="1"/>
  <c r="T6" i="34"/>
  <c r="U6" i="34"/>
  <c r="V6" i="34"/>
  <c r="W6" i="34"/>
  <c r="S7" i="34"/>
  <c r="T7" i="34"/>
  <c r="U7" i="34"/>
  <c r="V7" i="34"/>
  <c r="W7" i="34"/>
  <c r="S8" i="34"/>
  <c r="T8" i="34"/>
  <c r="U8" i="34"/>
  <c r="V8" i="34"/>
  <c r="W8" i="34"/>
  <c r="S9" i="34"/>
  <c r="T9" i="34"/>
  <c r="U9" i="34"/>
  <c r="V9" i="34"/>
  <c r="W9" i="34"/>
  <c r="T5" i="34"/>
  <c r="U5" i="34"/>
  <c r="V5" i="34"/>
  <c r="W5" i="34"/>
  <c r="S5" i="34"/>
  <c r="H8" i="34"/>
  <c r="H6" i="34"/>
  <c r="G5" i="34"/>
  <c r="M4" i="34"/>
  <c r="I22" i="37" l="1"/>
  <c r="B24" i="33"/>
  <c r="C18" i="33"/>
  <c r="D19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D2" i="18" a="1"/>
  <c r="C2" i="18" a="1"/>
  <c r="B2" i="18" a="1"/>
  <c r="D2" i="18" l="1"/>
  <c r="C2" i="18"/>
  <c r="B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6" i="18"/>
  <c r="D6" i="18"/>
  <c r="B6" i="18"/>
  <c r="J437" i="20" l="1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06" i="20"/>
  <c r="J406" i="20"/>
  <c r="H406" i="20"/>
  <c r="E406" i="20"/>
  <c r="G406" i="20"/>
  <c r="E20" i="18"/>
  <c r="C3" i="18"/>
  <c r="D3" i="18"/>
  <c r="B3" i="18"/>
  <c r="H417" i="20"/>
  <c r="H413" i="20"/>
  <c r="H409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H4" i="34"/>
  <c r="G4" i="34"/>
  <c r="J11" i="20"/>
  <c r="J12" i="20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9" i="33" s="1"/>
  <c r="C3" i="33"/>
  <c r="I460" i="20" s="1"/>
  <c r="H460" i="20"/>
  <c r="B23" i="33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C5" i="33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<sst xmlns="http://schemas.openxmlformats.org/spreadsheetml/2006/main" count="3664" uniqueCount="905">
  <si>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</si>
  <si>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</si>
  <si>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</si>
  <si>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</si>
  <si>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</si>
  <si>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</si>
  <si>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</si>
  <si>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</si>
  <si>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</si>
  <si>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</si>
  <si>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</si>
  <si>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</si>
  <si>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</si>
  <si>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</si>
  <si>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</si>
  <si>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</si>
  <si>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</si>
  <si>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</si>
  <si>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</si>
  <si>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</si>
  <si>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</si>
  <si>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</si>
  <si>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</si>
  <si>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</si>
  <si>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</si>
  <si>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</si>
  <si>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</si>
  <si>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</si>
  <si>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</si>
  <si>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</si>
  <si>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</si>
  <si>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</si>
  <si>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</si>
  <si>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</si>
  <si>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</si>
  <si>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</si>
  <si>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</si>
  <si>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</si>
  <si>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</si>
  <si>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</si>
  <si>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</si>
  <si>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</si>
  <si>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</si>
  <si>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</si>
  <si>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</si>
  <si>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</si>
  <si>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</si>
  <si>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</si>
  <si>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</si>
  <si>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</si>
  <si>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</si>
  <si>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</si>
  <si>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</si>
  <si>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</si>
  <si>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</si>
  <si>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</si>
  <si>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</si>
  <si>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</si>
  <si>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</si>
  <si>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</si>
  <si>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</si>
  <si>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</si>
  <si>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</si>
  <si>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</si>
  <si>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</si>
  <si>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</si>
  <si>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</si>
  <si>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</si>
  <si>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</si>
  <si>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</si>
  <si>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</si>
  <si>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</si>
  <si>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</si>
  <si>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</si>
  <si>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</si>
  <si>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</si>
  <si>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</si>
  <si>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</si>
  <si>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</si>
  <si>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</si>
  <si>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</si>
  <si>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</si>
  <si>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</si>
  <si>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</si>
  <si>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</si>
  <si>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</si>
  <si>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</si>
  <si>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</si>
  <si>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</si>
  <si>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</si>
  <si>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</si>
  <si>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</si>
  <si>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</si>
  <si>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</si>
  <si>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</si>
  <si>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</si>
  <si>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</si>
  <si>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</si>
  <si>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</si>
  <si>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</si>
  <si>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</si>
  <si>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</si>
  <si>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</si>
  <si>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</si>
  <si>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</si>
  <si>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</si>
  <si>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</si>
  <si>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</si>
  <si>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</si>
  <si>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</si>
  <si>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</si>
  <si>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</si>
  <si>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</si>
  <si>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</si>
  <si>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</si>
  <si>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</si>
  <si>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</si>
  <si>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</si>
  <si>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</si>
  <si>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</si>
  <si>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</si>
  <si>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</si>
  <si>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</si>
  <si>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</si>
  <si>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</si>
  <si>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</si>
  <si>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</si>
  <si>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</si>
  <si>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</si>
  <si>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</si>
  <si>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</si>
  <si>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</si>
  <si>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</si>
  <si>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</si>
  <si>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</si>
  <si>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</si>
  <si>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</si>
  <si>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</si>
  <si>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</si>
  <si>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</si>
  <si>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</si>
  <si>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</si>
  <si>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</si>
  <si>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</si>
  <si>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</si>
  <si>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</si>
  <si>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</si>
  <si>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</si>
  <si>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</si>
  <si>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</si>
  <si>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</si>
  <si>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</si>
  <si>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</si>
  <si>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</si>
  <si>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</si>
  <si>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</si>
  <si>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</si>
  <si>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</si>
  <si>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</si>
  <si>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</si>
  <si>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</si>
  <si>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</si>
  <si>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</si>
  <si>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</si>
  <si>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</si>
  <si>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</si>
  <si>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</si>
  <si>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</si>
  <si>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</si>
  <si>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</si>
  <si>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</si>
  <si>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</si>
  <si>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</si>
  <si>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</si>
  <si>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</si>
  <si>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</si>
  <si>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</si>
  <si>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</si>
  <si>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</si>
  <si>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</si>
  <si>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</si>
  <si>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</si>
  <si>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</si>
  <si>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</si>
  <si>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</si>
  <si>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</si>
  <si>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</si>
  <si>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</si>
  <si>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</si>
  <si>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</si>
  <si>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</si>
  <si>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</si>
  <si>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</si>
  <si>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</si>
  <si>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</si>
  <si>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</si>
  <si>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</si>
  <si>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</si>
  <si>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</si>
  <si>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</si>
  <si>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</si>
  <si>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</si>
  <si>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</si>
  <si>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</si>
  <si>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</si>
  <si>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</si>
  <si>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</si>
  <si>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</si>
  <si>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</si>
  <si>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</si>
  <si>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</si>
  <si>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</si>
  <si>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</si>
  <si>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</si>
  <si>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</si>
  <si>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</si>
  <si>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</si>
  <si>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</si>
  <si>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</si>
  <si>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</si>
  <si>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</si>
  <si>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</si>
  <si>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</si>
  <si>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</si>
  <si>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</si>
  <si>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</si>
  <si>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</si>
  <si>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</si>
  <si>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</si>
  <si>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</si>
  <si>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</si>
  <si>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</si>
  <si>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</si>
  <si>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</si>
  <si>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</si>
  <si>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</si>
  <si>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</si>
  <si>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</si>
  <si>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</si>
  <si>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</si>
  <si>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</si>
  <si>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</si>
  <si>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</si>
  <si>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</si>
  <si>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</si>
  <si>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</si>
  <si>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</si>
  <si>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</si>
  <si>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</si>
  <si>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</si>
  <si>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</si>
  <si>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</si>
  <si>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</si>
  <si>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</si>
  <si>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</si>
  <si>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</si>
  <si>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</si>
  <si>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</si>
  <si>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</si>
  <si>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</si>
  <si>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</si>
  <si>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</si>
  <si>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</si>
  <si>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</si>
  <si>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</si>
  <si>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</si>
  <si>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</si>
  <si>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</si>
  <si>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</si>
  <si>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</si>
  <si>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</si>
  <si>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</si>
  <si>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</si>
  <si>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</si>
  <si>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</si>
  <si>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</si>
  <si>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</si>
  <si>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</si>
  <si>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</si>
  <si>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</si>
  <si>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</si>
  <si>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</si>
  <si>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</si>
  <si>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</si>
  <si>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</si>
  <si>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</si>
  <si>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</si>
  <si>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</si>
  <si>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</si>
  <si>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</si>
  <si>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</si>
  <si>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</si>
  <si>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</si>
  <si>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</si>
  <si>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</si>
  <si>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</si>
  <si>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</si>
  <si>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</si>
  <si>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</si>
  <si>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</si>
  <si>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</si>
  <si>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</si>
  <si>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</si>
  <si>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</si>
  <si>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</si>
  <si>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</si>
  <si>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</si>
  <si>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</si>
  <si>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</si>
  <si>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</si>
  <si>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</si>
  <si>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</si>
  <si>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</si>
  <si>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</si>
  <si>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</si>
  <si>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</si>
  <si>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</si>
  <si>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</si>
  <si>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</si>
  <si>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</si>
  <si>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</si>
  <si>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</si>
  <si>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</si>
  <si>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</si>
  <si>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</si>
  <si>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</si>
  <si>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</si>
  <si>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</si>
  <si>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</si>
  <si>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</si>
  <si>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</si>
  <si>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</si>
  <si>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</si>
  <si>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</si>
  <si>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</si>
  <si>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</si>
  <si>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</si>
  <si>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</si>
  <si>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</si>
  <si>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</si>
  <si>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</si>
  <si>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</si>
  <si>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</si>
  <si>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</si>
  <si>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</si>
  <si>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</si>
  <si>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</si>
  <si>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</si>
  <si>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</si>
  <si>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</si>
  <si>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</si>
  <si>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</si>
  <si>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</si>
  <si>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</si>
  <si>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</si>
  <si>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</si>
  <si>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</si>
  <si>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</si>
  <si>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</si>
  <si>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</si>
  <si>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</si>
  <si>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</si>
  <si>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</si>
  <si>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</si>
  <si>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</si>
  <si>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</si>
  <si>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</si>
  <si>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</si>
  <si>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</si>
  <si>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</si>
  <si>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</si>
  <si>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</si>
  <si>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</si>
  <si>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</si>
  <si>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</si>
  <si>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</si>
  <si>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</si>
  <si>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</si>
  <si>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</si>
  <si>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</si>
  <si>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</si>
  <si>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</si>
  <si>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</si>
  <si>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</si>
  <si>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</si>
  <si>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</si>
  <si>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</si>
  <si>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</si>
  <si>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</si>
  <si>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</si>
  <si>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</si>
  <si>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</si>
  <si>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</si>
  <si>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</si>
  <si>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</si>
  <si>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</si>
  <si>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</si>
  <si>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</si>
  <si>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</si>
  <si>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</si>
  <si>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</si>
  <si>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</si>
  <si>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</si>
  <si>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</si>
  <si>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</si>
  <si>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</si>
  <si>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</si>
  <si>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</si>
  <si>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</si>
  <si>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</si>
  <si>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</si>
  <si>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</si>
  <si>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</si>
  <si>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</si>
  <si>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</si>
  <si>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</si>
  <si>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</si>
  <si>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</si>
  <si>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</si>
  <si>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</si>
  <si>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</si>
  <si>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</si>
  <si>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</si>
  <si>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</si>
  <si>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</si>
  <si>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</si>
  <si>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</si>
  <si>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</si>
  <si>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</si>
  <si>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</si>
  <si>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</si>
  <si>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</si>
  <si>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</si>
  <si>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</si>
  <si>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</si>
  <si>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</si>
  <si>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</si>
  <si>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</si>
  <si>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</si>
  <si>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</si>
  <si>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</si>
  <si>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</si>
  <si>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</si>
  <si>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</si>
  <si>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</si>
  <si>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</si>
  <si>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</si>
  <si>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</si>
  <si>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</si>
  <si>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</si>
  <si>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</si>
  <si>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</si>
  <si>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</si>
  <si>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</si>
  <si>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</si>
  <si>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</si>
  <si>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</si>
  <si>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</si>
  <si>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</si>
  <si>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</si>
  <si>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</si>
  <si>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</si>
  <si>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</si>
  <si>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</si>
  <si>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</si>
  <si>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</si>
  <si>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</si>
  <si>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</si>
  <si>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</si>
  <si>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</si>
  <si>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</si>
  <si>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</si>
  <si>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</si>
  <si>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</si>
  <si>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</si>
  <si>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</si>
  <si>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</si>
  <si>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</si>
  <si>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</si>
  <si>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</si>
  <si>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</si>
  <si>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</si>
  <si>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</si>
  <si>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</si>
  <si>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</si>
  <si>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</si>
  <si>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</si>
  <si>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</si>
  <si>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</si>
  <si>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</si>
  <si>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</si>
  <si>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</si>
  <si>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</si>
  <si>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</si>
  <si>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</si>
  <si>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</si>
  <si>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</si>
  <si>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</si>
  <si>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</si>
  <si>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</si>
  <si>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</si>
  <si>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</si>
  <si>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</si>
  <si>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</si>
  <si>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</si>
  <si>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</si>
  <si>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</si>
  <si>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</si>
  <si>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</si>
  <si>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</si>
  <si>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</si>
  <si>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</si>
  <si>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</si>
  <si>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</si>
  <si>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</si>
  <si>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</si>
  <si>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</si>
  <si>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</si>
  <si>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</si>
  <si>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</si>
  <si>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</si>
  <si>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</si>
  <si>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</si>
  <si>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</si>
  <si>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</si>
  <si>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</si>
  <si>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</si>
  <si>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</si>
  <si>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</si>
  <si>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</si>
  <si>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</si>
  <si>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</si>
  <si>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</si>
  <si>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</si>
  <si>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</si>
  <si>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</si>
  <si>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</si>
  <si>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</si>
  <si>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</si>
  <si>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</si>
  <si>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</si>
  <si>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</si>
  <si>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</si>
  <si>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</si>
  <si>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</si>
  <si>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</si>
  <si>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</si>
  <si>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</si>
  <si>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</si>
  <si>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</si>
  <si>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</si>
  <si>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</si>
  <si>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</si>
  <si>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</si>
  <si>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</si>
  <si>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</si>
  <si>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</si>
  <si>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</si>
  <si>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</si>
  <si>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</si>
  <si>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</si>
  <si>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</si>
  <si>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</si>
  <si>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</si>
  <si>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</si>
  <si>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</si>
  <si>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</si>
  <si>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</si>
  <si>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</si>
  <si>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</si>
  <si>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</si>
  <si>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</si>
  <si>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</si>
  <si>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</si>
  <si>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</si>
  <si>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</si>
  <si>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</si>
  <si>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</si>
  <si>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</si>
  <si>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</si>
  <si>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</si>
  <si>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</si>
  <si>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</si>
  <si>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</si>
  <si>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</si>
  <si>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</si>
  <si>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</si>
  <si>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</si>
  <si>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</si>
  <si>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</si>
  <si>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</si>
  <si>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</si>
  <si>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</si>
  <si>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</si>
  <si>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</si>
  <si>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</si>
  <si>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</si>
  <si>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</si>
  <si>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</si>
  <si>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</si>
  <si>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</si>
  <si>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</si>
  <si>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</si>
  <si>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</si>
  <si>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</si>
  <si>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</si>
  <si>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</si>
  <si>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</si>
  <si>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</si>
  <si>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</si>
  <si>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</si>
  <si>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</si>
  <si>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</si>
  <si>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</si>
  <si>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</si>
  <si>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</si>
  <si>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</si>
  <si>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</si>
  <si>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</si>
  <si>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</si>
  <si>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</si>
  <si>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</si>
  <si>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</si>
  <si>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</si>
  <si>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</si>
  <si>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</si>
  <si>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</si>
  <si>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</si>
  <si>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</si>
  <si>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</si>
  <si>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</si>
  <si>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</si>
  <si>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</si>
  <si>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</si>
  <si>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</si>
  <si>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</si>
  <si>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</si>
  <si>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</si>
  <si>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</si>
  <si>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</si>
  <si>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</si>
  <si>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</si>
  <si>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</si>
  <si>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</si>
  <si>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</si>
  <si>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</si>
  <si>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</si>
  <si>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</si>
  <si>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</si>
  <si>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</si>
  <si>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</si>
  <si>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</si>
  <si>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</si>
  <si>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</si>
  <si>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</si>
  <si>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</si>
  <si>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</si>
  <si>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</si>
  <si>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</si>
  <si>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</si>
  <si>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</si>
  <si>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</si>
  <si>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</si>
  <si>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</si>
  <si>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</si>
  <si>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</si>
  <si>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</si>
  <si>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</si>
  <si>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</si>
  <si>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</si>
  <si>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</si>
  <si>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</si>
  <si>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</si>
  <si>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</si>
  <si>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</si>
  <si>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</si>
  <si>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</si>
  <si>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</si>
  <si>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</si>
  <si>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</si>
  <si>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</si>
  <si>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</si>
  <si>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</si>
  <si>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</si>
  <si>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</si>
  <si>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</si>
  <si>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</si>
  <si>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</si>
  <si>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</si>
  <si>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</si>
  <si>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</si>
  <si>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</si>
  <si>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</si>
  <si>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</si>
  <si>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</si>
  <si>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</si>
  <si>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</si>
  <si>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</si>
  <si>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</si>
  <si>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</si>
  <si>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</si>
  <si>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</si>
  <si>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</si>
  <si>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</si>
  <si>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</si>
  <si>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</si>
  <si>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</si>
  <si>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</si>
  <si>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</si>
  <si>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</si>
  <si>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</si>
  <si>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</si>
  <si>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</si>
  <si>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</si>
  <si>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</si>
  <si>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</si>
  <si>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</si>
  <si>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</si>
  <si>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</si>
  <si>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</si>
  <si>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</si>
  <si>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</si>
  <si>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</si>
  <si>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</si>
  <si>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</si>
  <si>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</si>
  <si>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</si>
  <si>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</si>
  <si>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</si>
  <si>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</si>
  <si>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</si>
  <si>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</si>
  <si>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</si>
  <si>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</si>
  <si>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</si>
  <si>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</si>
  <si>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</si>
  <si>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</si>
  <si>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</si>
  <si>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</si>
  <si>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</si>
  <si>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</si>
  <si>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</si>
  <si>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</si>
  <si>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</si>
  <si>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</si>
  <si>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</si>
  <si>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</si>
  <si>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</si>
  <si>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</si>
  <si>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</si>
  <si>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</si>
  <si>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</si>
  <si>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</si>
  <si>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</si>
  <si>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</si>
  <si>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</si>
  <si>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</si>
  <si>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</si>
  <si>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</si>
  <si>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</si>
  <si>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</si>
  <si>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</si>
  <si>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</si>
  <si>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</si>
  <si>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</si>
  <si>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</si>
  <si>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</si>
  <si>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</si>
  <si>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</si>
  <si>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</si>
  <si>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</si>
  <si>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</si>
  <si>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</si>
  <si>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</si>
  <si>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</si>
  <si>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</si>
  <si>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</si>
  <si>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</si>
  <si>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</si>
  <si>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</si>
  <si>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</si>
  <si>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</si>
  <si>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</si>
  <si>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</si>
  <si>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</si>
  <si>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</si>
  <si>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</si>
  <si>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</si>
  <si>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</si>
  <si>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</si>
  <si>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</si>
  <si>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</si>
  <si>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</si>
  <si>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</si>
  <si>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</si>
  <si>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</si>
  <si>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</si>
  <si>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</si>
  <si>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</si>
  <si>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</si>
  <si>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</si>
  <si>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</si>
  <si>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</si>
  <si>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</si>
  <si>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</si>
  <si>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</si>
  <si>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</si>
  <si>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</si>
  <si>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</si>
  <si>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</si>
  <si>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</si>
  <si>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</si>
  <si>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</si>
  <si>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</si>
  <si>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</si>
  <si>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</si>
  <si>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</si>
  <si>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</si>
  <si>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</si>
  <si>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</si>
  <si>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</si>
  <si>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</si>
  <si>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</si>
  <si>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</si>
  <si>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</si>
  <si>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</si>
  <si>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</si>
  <si>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</si>
  <si>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</si>
  <si>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</si>
  <si>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</si>
  <si>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</si>
  <si>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</si>
  <si>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</si>
  <si>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</si>
  <si>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</si>
  <si>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</si>
  <si>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</si>
  <si>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</si>
  <si>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</si>
  <si>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</si>
  <si>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</si>
  <si>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</si>
  <si>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</si>
  <si>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</si>
  <si>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</si>
  <si>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</si>
  <si>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</si>
  <si>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</si>
  <si>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</si>
  <si>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</si>
  <si>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</si>
  <si>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</si>
  <si>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</si>
  <si>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</si>
  <si>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</si>
  <si>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</si>
  <si>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</si>
  <si>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</si>
  <si>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</si>
  <si>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</si>
  <si>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</si>
  <si>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</si>
  <si>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</si>
  <si>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</si>
  <si>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</si>
  <si>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</si>
  <si>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</si>
  <si>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</si>
  <si>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</si>
  <si>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</si>
  <si>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</si>
  <si>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</si>
  <si>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</si>
  <si>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</si>
  <si>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</si>
  <si>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</si>
  <si>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</si>
  <si>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</si>
  <si>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</si>
  <si>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</si>
  <si>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</si>
  <si>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</si>
  <si>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</si>
  <si>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</si>
  <si>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</si>
  <si>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</si>
  <si>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</si>
  <si>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</si>
  <si>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</si>
  <si>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</si>
  <si>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</si>
  <si>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</si>
  <si>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</si>
  <si>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</si>
  <si>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</si>
  <si>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</si>
  <si>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</si>
  <si>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</si>
  <si>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</si>
  <si>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</si>
  <si>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</si>
  <si>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</si>
  <si>
    <t>Foryngelse af skov per aldersklasse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</si>
</sst>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3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1" fontId="0" fillId="0" borderId="90" xfId="0" applyNumberFormat="1" applyBorder="1"/>
    <xf numFmtId="1" fontId="0" fillId="0" borderId="83" xfId="0" applyNumberFormat="1" applyFill="1" applyBorder="1"/>
    <xf numFmtId="10" fontId="0" fillId="5" borderId="83" xfId="1" applyNumberFormat="1" applyFont="1" applyFill="1" applyBorder="1"/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3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2"/>
    <tableColumn id="2" xr3:uid="{E199F127-A97F-4F9F-8581-E614CB144DF1}" name="Inputtyp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0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97" t="s">
        <v>0</v>
      </c>
      <c r="B1" s="497"/>
    </row>
    <row r="2" spans="1:5" ht="30" customHeight="1" x14ac:dyDescent="0.25">
      <c r="A2" s="496" t="s">
        <v>776</v>
      </c>
      <c r="B2" s="496"/>
    </row>
    <row r="3" spans="1:5" x14ac:dyDescent="0.25">
      <c r="A3" s="499" t="s">
        <v>6</v>
      </c>
      <c r="B3" s="499"/>
    </row>
    <row r="4" spans="1:5" ht="28.9" customHeight="1" x14ac:dyDescent="0.25">
      <c r="A4" s="496" t="s">
        <v>894</v>
      </c>
      <c r="B4" s="496"/>
    </row>
    <row r="5" spans="1:5" x14ac:dyDescent="0.25">
      <c r="A5" s="498" t="s">
        <v>775</v>
      </c>
      <c r="B5" s="498"/>
    </row>
    <row r="6" spans="1:5" x14ac:dyDescent="0.25">
      <c r="B6" s="495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96" t="s">
        <v>5</v>
      </c>
      <c r="B9" s="496"/>
    </row>
    <row r="10" spans="1:5" ht="15.75" thickTop="1" x14ac:dyDescent="0.25">
      <c r="A10" s="373" t="s">
        <v>764</v>
      </c>
      <c r="B10" s="374" t="s">
        <v>297</v>
      </c>
      <c r="D10" s="405" t="s">
        <v>279</v>
      </c>
      <c r="E10" s="406"/>
    </row>
    <row r="11" spans="1:5" x14ac:dyDescent="0.25">
      <c r="A11" s="375" t="s">
        <v>288</v>
      </c>
      <c r="B11" s="376" t="s">
        <v>765</v>
      </c>
      <c r="D11" s="407" t="s">
        <v>786</v>
      </c>
      <c r="E11" s="408" t="s">
        <v>280</v>
      </c>
    </row>
    <row r="12" spans="1:5" x14ac:dyDescent="0.25">
      <c r="A12" s="375"/>
      <c r="B12" s="376" t="s">
        <v>4</v>
      </c>
      <c r="D12" s="407" t="s">
        <v>281</v>
      </c>
      <c r="E12" s="408" t="s">
        <v>282</v>
      </c>
    </row>
    <row r="13" spans="1:5" x14ac:dyDescent="0.25">
      <c r="A13" s="377" t="s">
        <v>681</v>
      </c>
      <c r="B13" s="376" t="s">
        <v>766</v>
      </c>
      <c r="D13" s="407" t="s">
        <v>283</v>
      </c>
      <c r="E13" s="408" t="s">
        <v>284</v>
      </c>
    </row>
    <row r="14" spans="1:5" x14ac:dyDescent="0.25">
      <c r="A14" s="375" t="s">
        <v>289</v>
      </c>
      <c r="B14" s="376" t="s">
        <v>767</v>
      </c>
      <c r="D14" s="407"/>
      <c r="E14" s="408"/>
    </row>
    <row r="15" spans="1:5" x14ac:dyDescent="0.25">
      <c r="A15" s="375"/>
      <c r="B15" s="376"/>
      <c r="D15" s="409" t="s">
        <v>285</v>
      </c>
      <c r="E15" s="408"/>
    </row>
    <row r="16" spans="1:5" x14ac:dyDescent="0.25">
      <c r="A16" s="377" t="s">
        <v>768</v>
      </c>
      <c r="B16" s="378" t="s">
        <v>769</v>
      </c>
      <c r="D16" s="407" t="s">
        <v>286</v>
      </c>
      <c r="E16" s="408"/>
    </row>
    <row r="17" spans="1:5" x14ac:dyDescent="0.25">
      <c r="A17" s="375" t="s">
        <v>770</v>
      </c>
      <c r="B17" s="376" t="s">
        <v>771</v>
      </c>
      <c r="D17" s="407" t="s">
        <v>82</v>
      </c>
      <c r="E17" s="408"/>
    </row>
    <row r="18" spans="1:5" x14ac:dyDescent="0.25">
      <c r="A18" s="375"/>
      <c r="B18" s="376"/>
      <c r="D18" s="407" t="s">
        <v>77</v>
      </c>
      <c r="E18" s="408"/>
    </row>
    <row r="19" spans="1:5" x14ac:dyDescent="0.25">
      <c r="A19" s="377" t="s">
        <v>538</v>
      </c>
      <c r="B19" s="378" t="s">
        <v>36</v>
      </c>
      <c r="D19" s="407" t="s">
        <v>287</v>
      </c>
      <c r="E19" s="408"/>
    </row>
    <row r="20" spans="1:5" x14ac:dyDescent="0.25">
      <c r="A20" s="375" t="s">
        <v>290</v>
      </c>
      <c r="B20" s="376" t="s">
        <v>772</v>
      </c>
      <c r="D20" s="407" t="s">
        <v>70</v>
      </c>
      <c r="E20" s="408"/>
    </row>
    <row r="21" spans="1:5" x14ac:dyDescent="0.25">
      <c r="A21" s="375" t="s">
        <v>291</v>
      </c>
      <c r="B21" s="376"/>
      <c r="D21" s="407"/>
      <c r="E21" s="408"/>
    </row>
    <row r="22" spans="1:5" x14ac:dyDescent="0.25">
      <c r="A22" s="375" t="s">
        <v>292</v>
      </c>
      <c r="B22" s="376"/>
      <c r="D22" s="409" t="s">
        <v>785</v>
      </c>
      <c r="E22" s="408"/>
    </row>
    <row r="23" spans="1:5" x14ac:dyDescent="0.25">
      <c r="A23" s="375" t="s">
        <v>293</v>
      </c>
      <c r="B23" s="376"/>
      <c r="D23" s="407">
        <v>2019</v>
      </c>
      <c r="E23" s="408"/>
    </row>
    <row r="24" spans="1:5" x14ac:dyDescent="0.25">
      <c r="A24" s="375" t="s">
        <v>773</v>
      </c>
      <c r="B24" s="376"/>
      <c r="D24" s="407">
        <v>2030</v>
      </c>
      <c r="E24" s="408"/>
    </row>
    <row r="25" spans="1:5" ht="15.75" thickBot="1" x14ac:dyDescent="0.3">
      <c r="A25" s="375" t="s">
        <v>774</v>
      </c>
      <c r="B25" s="376"/>
      <c r="D25" s="410">
        <v>2050</v>
      </c>
      <c r="E25" s="411"/>
    </row>
    <row r="26" spans="1:5" ht="15.75" thickTop="1" x14ac:dyDescent="0.25">
      <c r="A26" s="375" t="s">
        <v>294</v>
      </c>
      <c r="B26" s="376"/>
    </row>
    <row r="27" spans="1:5" x14ac:dyDescent="0.25">
      <c r="A27" s="375"/>
      <c r="B27" s="376"/>
    </row>
    <row r="28" spans="1:5" x14ac:dyDescent="0.25">
      <c r="A28" s="377" t="s">
        <v>818</v>
      </c>
      <c r="B28" s="376"/>
    </row>
    <row r="29" spans="1:5" ht="15.75" thickBot="1" x14ac:dyDescent="0.3">
      <c r="A29" s="379" t="s">
        <v>3</v>
      </c>
      <c r="B29" s="380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5" priority="2">
      <formula>IF(FIND(" ",$B$7),1,0)</formula>
    </cfRule>
  </conditionalFormatting>
  <conditionalFormatting sqref="B6">
    <cfRule type="expression" dxfId="4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3" activePane="bottomRight" state="frozen"/>
      <selection activeCell="E2" sqref="E2:E66"/>
      <selection pane="topRight" activeCell="E2" sqref="E2:E66"/>
      <selection pane="bottomLeft" activeCell="E2" sqref="E2:E66"/>
      <selection pane="bottomRight" activeCell="J24" sqref="J24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500" t="s">
        <v>321</v>
      </c>
      <c r="I1" s="500"/>
      <c r="J1" s="500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9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>
        <f ca="1">Affald!B4/Befolkningstal!B$4</f>
        <v>6.1775632396189835E-2</v>
      </c>
      <c r="I4" s="263">
        <f ca="1">Affald!C4/Befolkningstal!C$4</f>
        <v>6.0231309915508513E-2</v>
      </c>
      <c r="J4" s="263">
        <f ca="1">Affald!D4/Befolkningstal!D$4</f>
        <v>5.8684951731790655E-2</v>
      </c>
      <c r="K4" s="264"/>
    </row>
    <row r="5" spans="1:11" x14ac:dyDescent="0.25">
      <c r="A5" s="436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50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ht="15.75" thickBot="1" x14ac:dyDescent="0.3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5.75" thickTop="1" x14ac:dyDescent="0.25">
      <c r="A14" s="186" t="s">
        <v>554</v>
      </c>
      <c r="B14" s="183"/>
      <c r="C14" s="183" t="s">
        <v>556</v>
      </c>
      <c r="D14" s="144" t="s">
        <v>561</v>
      </c>
      <c r="E14" s="144" t="str">
        <f>IFERROR(VLOOKUP(D14,Table2[],2,FALSE),"")</f>
        <v>Hektar</v>
      </c>
      <c r="F14" s="144" t="s">
        <v>553</v>
      </c>
      <c r="G14" s="144" t="str">
        <f>IFERROR(VLOOKUP(F14,Table2[],2,FALSE),"")</f>
        <v>m3</v>
      </c>
      <c r="H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25">
      <c r="A15" s="187" t="s">
        <v>554</v>
      </c>
      <c r="B15" s="185"/>
      <c r="C15" s="185" t="s">
        <v>556</v>
      </c>
      <c r="D15" s="146" t="s">
        <v>561</v>
      </c>
      <c r="E15" s="146" t="str">
        <f>IFERROR(VLOOKUP(D15,Table2[],2,FALSE),"")</f>
        <v>Hektar</v>
      </c>
      <c r="F15" s="150" t="s">
        <v>405</v>
      </c>
      <c r="G15" s="146" t="str">
        <f>IFERROR(VLOOKUP(F15,Table2[],2,FALSE),"")</f>
        <v>m3</v>
      </c>
      <c r="H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25">
      <c r="A16" s="187" t="s">
        <v>554</v>
      </c>
      <c r="B16" s="185"/>
      <c r="C16" s="185" t="s">
        <v>556</v>
      </c>
      <c r="D16" s="146" t="s">
        <v>561</v>
      </c>
      <c r="E16" s="146" t="str">
        <f>IFERROR(VLOOKUP(D16,Table2[],2,FALSE),"")</f>
        <v>Hektar</v>
      </c>
      <c r="F16" s="146" t="s">
        <v>344</v>
      </c>
      <c r="G16" s="146" t="str">
        <f>IFERROR(VLOOKUP(F16,Table2[],2,FALSE),"")</f>
        <v>t CO2-ækvivalenter</v>
      </c>
      <c r="H16" s="317">
        <f>-VLOOKUP($C16,'Kulstofoptag, skov'!$B$2:$I$13,MATCH(VALUE(RIGHT('Processer - data'!$D16,2)),'Kulstofoptag, skov'!$B$1:$I$1,0),FALSE)</f>
        <v>-2.5</v>
      </c>
      <c r="I16" s="317">
        <f>-VLOOKUP($C16,'Kulstofoptag, skov'!$B$2:$I$13,MATCH(VALUE(RIGHT('Processer - data'!$D16,2)),'Kulstofoptag, skov'!$B$1:$I$1,0),FALSE)</f>
        <v>-2.5</v>
      </c>
      <c r="J16" s="317">
        <f>-VLOOKUP($C16,'Kulstofoptag, skov'!$B$2:$I$13,MATCH(VALUE(RIGHT('Processer - data'!$D16,2)),'Kulstofoptag, skov'!$B$1:$I$1,0),FALSE)</f>
        <v>-2.5</v>
      </c>
      <c r="K16" s="147"/>
    </row>
    <row r="17" spans="1:11" x14ac:dyDescent="0.25">
      <c r="A17" s="187" t="s">
        <v>554</v>
      </c>
      <c r="B17" s="185"/>
      <c r="C17" s="185" t="s">
        <v>556</v>
      </c>
      <c r="D17" s="146" t="s">
        <v>562</v>
      </c>
      <c r="E17" s="146" t="str">
        <f>IFERROR(VLOOKUP(D17,Table2[],2,FALSE),"")</f>
        <v>Hektar</v>
      </c>
      <c r="F17" s="146" t="s">
        <v>553</v>
      </c>
      <c r="G17" s="146" t="str">
        <f>IFERROR(VLOOKUP(F17,Table2[],2,FALSE),"")</f>
        <v>m3</v>
      </c>
      <c r="H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25">
      <c r="A18" s="187" t="s">
        <v>554</v>
      </c>
      <c r="B18" s="185"/>
      <c r="C18" s="185" t="s">
        <v>556</v>
      </c>
      <c r="D18" s="146" t="s">
        <v>562</v>
      </c>
      <c r="E18" s="146" t="str">
        <f>IFERROR(VLOOKUP(D18,Table2[],2,FALSE),"")</f>
        <v>Hektar</v>
      </c>
      <c r="F18" s="146" t="s">
        <v>405</v>
      </c>
      <c r="G18" s="146" t="str">
        <f>IFERROR(VLOOKUP(F18,Table2[],2,FALSE),"")</f>
        <v>m3</v>
      </c>
      <c r="H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25">
      <c r="A19" s="187" t="s">
        <v>554</v>
      </c>
      <c r="B19" s="185"/>
      <c r="C19" s="185" t="s">
        <v>556</v>
      </c>
      <c r="D19" s="146" t="s">
        <v>562</v>
      </c>
      <c r="E19" s="146" t="str">
        <f>IFERROR(VLOOKUP(D19,Table2[],2,FALSE),"")</f>
        <v>Hektar</v>
      </c>
      <c r="F19" s="146" t="s">
        <v>344</v>
      </c>
      <c r="G19" s="146" t="str">
        <f>IFERROR(VLOOKUP(F19,Table2[],2,FALSE),"")</f>
        <v>t CO2-ækvivalenter</v>
      </c>
      <c r="H19" s="317">
        <f>-VLOOKUP($C19,'Kulstofoptag, skov'!$B$2:$I$13,MATCH(VALUE(RIGHT('Processer - data'!$D19,2)),'Kulstofoptag, skov'!$B$1:$I$1,0),FALSE)</f>
        <v>-5.5</v>
      </c>
      <c r="I19" s="317">
        <f>-VLOOKUP($C19,'Kulstofoptag, skov'!$B$2:$I$13,MATCH(VALUE(RIGHT('Processer - data'!$D19,2)),'Kulstofoptag, skov'!$B$1:$I$1,0),FALSE)</f>
        <v>-5.5</v>
      </c>
      <c r="J19" s="317">
        <f>-VLOOKUP($C19,'Kulstofoptag, skov'!$B$2:$I$13,MATCH(VALUE(RIGHT('Processer - data'!$D19,2)),'Kulstofoptag, skov'!$B$1:$I$1,0),FALSE)</f>
        <v>-5.5</v>
      </c>
      <c r="K19" s="147"/>
    </row>
    <row r="20" spans="1:11" x14ac:dyDescent="0.25">
      <c r="A20" s="187" t="s">
        <v>554</v>
      </c>
      <c r="B20" s="185"/>
      <c r="C20" s="185" t="s">
        <v>556</v>
      </c>
      <c r="D20" s="146" t="s">
        <v>563</v>
      </c>
      <c r="E20" s="146" t="str">
        <f>IFERROR(VLOOKUP(D20,Table2[],2,FALSE),"")</f>
        <v>Hektar</v>
      </c>
      <c r="F20" s="146" t="s">
        <v>553</v>
      </c>
      <c r="G20" s="146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25">
      <c r="A21" s="187" t="s">
        <v>554</v>
      </c>
      <c r="B21" s="185"/>
      <c r="C21" s="185" t="s">
        <v>556</v>
      </c>
      <c r="D21" s="146" t="s">
        <v>563</v>
      </c>
      <c r="E21" s="146" t="str">
        <f>IFERROR(VLOOKUP(D21,Table2[],2,FALSE),"")</f>
        <v>Hektar</v>
      </c>
      <c r="F21" s="146" t="s">
        <v>405</v>
      </c>
      <c r="G21" s="146" t="str">
        <f>IFERROR(VLOOKUP(F21,Table2[],2,FALSE),"")</f>
        <v>m3</v>
      </c>
      <c r="H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25">
      <c r="A22" s="187" t="s">
        <v>554</v>
      </c>
      <c r="B22" s="185"/>
      <c r="C22" s="185" t="s">
        <v>556</v>
      </c>
      <c r="D22" s="146" t="s">
        <v>563</v>
      </c>
      <c r="E22" s="146" t="str">
        <f>IFERROR(VLOOKUP(D22,Table2[],2,FALSE),"")</f>
        <v>Hektar</v>
      </c>
      <c r="F22" s="146" t="s">
        <v>344</v>
      </c>
      <c r="G22" s="146" t="str">
        <f>IFERROR(VLOOKUP(F22,Table2[],2,FALSE),"")</f>
        <v>t CO2-ækvivalenter</v>
      </c>
      <c r="H22" s="317">
        <f>-VLOOKUP($C22,'Kulstofoptag, skov'!$B$2:$I$13,MATCH(VALUE(RIGHT('Processer - data'!$D22,2)),'Kulstofoptag, skov'!$B$1:$I$1,0),FALSE)</f>
        <v>-14</v>
      </c>
      <c r="I22" s="317">
        <f>-VLOOKUP($C22,'Kulstofoptag, skov'!$B$2:$I$13,MATCH(VALUE(RIGHT('Processer - data'!$D22,2)),'Kulstofoptag, skov'!$B$1:$I$1,0),FALSE)</f>
        <v>-14</v>
      </c>
      <c r="J22" s="317">
        <f>-VLOOKUP($C22,'Kulstofoptag, skov'!$B$2:$I$13,MATCH(VALUE(RIGHT('Processer - data'!$D22,2)),'Kulstofoptag, skov'!$B$1:$I$1,0),FALSE)</f>
        <v>-14</v>
      </c>
      <c r="K22" s="147"/>
    </row>
    <row r="23" spans="1:11" x14ac:dyDescent="0.25">
      <c r="A23" s="187" t="s">
        <v>554</v>
      </c>
      <c r="B23" s="185"/>
      <c r="C23" s="185" t="s">
        <v>556</v>
      </c>
      <c r="D23" s="146" t="s">
        <v>564</v>
      </c>
      <c r="E23" s="146" t="str">
        <f>IFERROR(VLOOKUP(D23,Table2[],2,FALSE),"")</f>
        <v>Hektar</v>
      </c>
      <c r="F23" s="146" t="s">
        <v>553</v>
      </c>
      <c r="G23" s="146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25">
      <c r="A24" s="187" t="s">
        <v>554</v>
      </c>
      <c r="B24" s="185"/>
      <c r="C24" s="185" t="s">
        <v>556</v>
      </c>
      <c r="D24" s="146" t="s">
        <v>564</v>
      </c>
      <c r="E24" s="146" t="str">
        <f>IFERROR(VLOOKUP(D24,Table2[],2,FALSE),"")</f>
        <v>Hektar</v>
      </c>
      <c r="F24" s="146" t="s">
        <v>405</v>
      </c>
      <c r="G24" s="146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5.75" thickBot="1" x14ac:dyDescent="0.3">
      <c r="A25" s="187" t="s">
        <v>554</v>
      </c>
      <c r="B25" s="185"/>
      <c r="C25" s="185" t="s">
        <v>556</v>
      </c>
      <c r="D25" s="146" t="s">
        <v>564</v>
      </c>
      <c r="E25" s="146" t="str">
        <f>IFERROR(VLOOKUP(D25,Table2[],2,FALSE),"")</f>
        <v>Hektar</v>
      </c>
      <c r="F25" s="146" t="s">
        <v>344</v>
      </c>
      <c r="G25" s="146" t="str">
        <f>IFERROR(VLOOKUP(F25,Table2[],2,FALSE),"")</f>
        <v>t CO2-ækvivalenter</v>
      </c>
      <c r="H25" s="319">
        <f>-VLOOKUP($C25,'Kulstofoptag, skov'!$B$2:$I$13,MATCH(VALUE(RIGHT('Processer - data'!$D25,2)),'Kulstofoptag, skov'!$B$1:$I$1,0),FALSE)</f>
        <v>-14.5</v>
      </c>
      <c r="I25" s="319">
        <f>-VLOOKUP($C25,'Kulstofoptag, skov'!$B$2:$I$13,MATCH(VALUE(RIGHT('Processer - data'!$D25,2)),'Kulstofoptag, skov'!$B$1:$I$1,0),FALSE)</f>
        <v>-14.5</v>
      </c>
      <c r="J25" s="319">
        <f>-VLOOKUP($C25,'Kulstofoptag, skov'!$B$2:$I$13,MATCH(VALUE(RIGHT('Processer - data'!$D25,2)),'Kulstofoptag, skov'!$B$1:$I$1,0),FALSE)</f>
        <v>-14.5</v>
      </c>
      <c r="K25" s="147"/>
    </row>
    <row r="26" spans="1:11" ht="15.75" thickTop="1" x14ac:dyDescent="0.25">
      <c r="A26" s="186" t="s">
        <v>554</v>
      </c>
      <c r="B26" s="183"/>
      <c r="C26" s="183" t="s">
        <v>557</v>
      </c>
      <c r="D26" s="144" t="s">
        <v>565</v>
      </c>
      <c r="E26" s="144" t="str">
        <f>IFERROR(VLOOKUP(D26,Table2[],2,FALSE),"")</f>
        <v>Hektar</v>
      </c>
      <c r="F26" s="144" t="s">
        <v>553</v>
      </c>
      <c r="G26" s="144" t="str">
        <f>IFERROR(VLOOKUP(F26,Table2[],2,FALSE),"")</f>
        <v>m3</v>
      </c>
      <c r="H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25">
      <c r="A27" s="187" t="s">
        <v>554</v>
      </c>
      <c r="B27" s="185"/>
      <c r="C27" s="185" t="s">
        <v>557</v>
      </c>
      <c r="D27" s="146" t="s">
        <v>565</v>
      </c>
      <c r="E27" s="146" t="str">
        <f>IFERROR(VLOOKUP(D27,Table2[],2,FALSE),"")</f>
        <v>Hektar</v>
      </c>
      <c r="F27" s="150" t="s">
        <v>405</v>
      </c>
      <c r="G27" s="146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25">
      <c r="A28" s="187" t="s">
        <v>554</v>
      </c>
      <c r="B28" s="185"/>
      <c r="C28" s="185" t="s">
        <v>557</v>
      </c>
      <c r="D28" s="146" t="s">
        <v>565</v>
      </c>
      <c r="E28" s="146" t="str">
        <f>IFERROR(VLOOKUP(D28,Table2[],2,FALSE),"")</f>
        <v>Hektar</v>
      </c>
      <c r="F28" s="146" t="s">
        <v>344</v>
      </c>
      <c r="G28" s="146" t="str">
        <f>IFERROR(VLOOKUP(F28,Table2[],2,FALSE),"")</f>
        <v>t CO2-ækvivalenter</v>
      </c>
      <c r="H28" s="317">
        <f>-VLOOKUP($C28,'Kulstofoptag, skov'!$B$2:$I$13,MATCH(VALUE(RIGHT('Processer - data'!$D28,2)),'Kulstofoptag, skov'!$B$1:$I$1,0),FALSE)</f>
        <v>-12.5</v>
      </c>
      <c r="I28" s="317">
        <f>-VLOOKUP($C28,'Kulstofoptag, skov'!$B$2:$I$13,MATCH(VALUE(RIGHT('Processer - data'!$D28,2)),'Kulstofoptag, skov'!$B$1:$I$1,0),FALSE)</f>
        <v>-12.5</v>
      </c>
      <c r="J28" s="317">
        <f>-VLOOKUP($C28,'Kulstofoptag, skov'!$B$2:$I$13,MATCH(VALUE(RIGHT('Processer - data'!$D28,2)),'Kulstofoptag, skov'!$B$1:$I$1,0),FALSE)</f>
        <v>-12.5</v>
      </c>
      <c r="K28" s="147"/>
    </row>
    <row r="29" spans="1:11" x14ac:dyDescent="0.25">
      <c r="A29" s="187" t="s">
        <v>554</v>
      </c>
      <c r="B29" s="185"/>
      <c r="C29" s="185" t="s">
        <v>557</v>
      </c>
      <c r="D29" s="146" t="s">
        <v>566</v>
      </c>
      <c r="E29" s="146" t="str">
        <f>IFERROR(VLOOKUP(D29,Table2[],2,FALSE),"")</f>
        <v>Hektar</v>
      </c>
      <c r="F29" s="146" t="s">
        <v>553</v>
      </c>
      <c r="G29" s="146" t="str">
        <f>IFERROR(VLOOKUP(F29,Table2[],2,FALSE),"")</f>
        <v>m3</v>
      </c>
      <c r="H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25">
      <c r="A30" s="187" t="s">
        <v>554</v>
      </c>
      <c r="B30" s="185"/>
      <c r="C30" s="185" t="s">
        <v>557</v>
      </c>
      <c r="D30" s="146" t="s">
        <v>566</v>
      </c>
      <c r="E30" s="146" t="str">
        <f>IFERROR(VLOOKUP(D30,Table2[],2,FALSE),"")</f>
        <v>Hektar</v>
      </c>
      <c r="F30" s="146" t="s">
        <v>405</v>
      </c>
      <c r="G30" s="146" t="str">
        <f>IFERROR(VLOOKUP(F30,Table2[],2,FALSE),"")</f>
        <v>m3</v>
      </c>
      <c r="H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25">
      <c r="A31" s="187" t="s">
        <v>554</v>
      </c>
      <c r="B31" s="185"/>
      <c r="C31" s="185" t="s">
        <v>557</v>
      </c>
      <c r="D31" s="146" t="s">
        <v>566</v>
      </c>
      <c r="E31" s="146" t="str">
        <f>IFERROR(VLOOKUP(D31,Table2[],2,FALSE),"")</f>
        <v>Hektar</v>
      </c>
      <c r="F31" s="146" t="s">
        <v>344</v>
      </c>
      <c r="G31" s="146" t="str">
        <f>IFERROR(VLOOKUP(F31,Table2[],2,FALSE),"")</f>
        <v>t CO2-ækvivalenter</v>
      </c>
      <c r="H31" s="317">
        <f>-VLOOKUP($C31,'Kulstofoptag, skov'!$B$2:$I$13,MATCH(VALUE(RIGHT('Processer - data'!$D31,2)),'Kulstofoptag, skov'!$B$1:$I$1,0),FALSE)</f>
        <v>-16</v>
      </c>
      <c r="I31" s="317">
        <f>-VLOOKUP($C31,'Kulstofoptag, skov'!$B$2:$I$13,MATCH(VALUE(RIGHT('Processer - data'!$D31,2)),'Kulstofoptag, skov'!$B$1:$I$1,0),FALSE)</f>
        <v>-16</v>
      </c>
      <c r="J31" s="317">
        <f>-VLOOKUP($C31,'Kulstofoptag, skov'!$B$2:$I$13,MATCH(VALUE(RIGHT('Processer - data'!$D31,2)),'Kulstofoptag, skov'!$B$1:$I$1,0),FALSE)</f>
        <v>-16</v>
      </c>
      <c r="K31" s="147"/>
    </row>
    <row r="32" spans="1:11" x14ac:dyDescent="0.25">
      <c r="A32" s="187" t="s">
        <v>554</v>
      </c>
      <c r="B32" s="185"/>
      <c r="C32" s="185" t="s">
        <v>557</v>
      </c>
      <c r="D32" s="146" t="s">
        <v>567</v>
      </c>
      <c r="E32" s="146" t="str">
        <f>IFERROR(VLOOKUP(D32,Table2[],2,FALSE),"")</f>
        <v>Hektar</v>
      </c>
      <c r="F32" s="146" t="s">
        <v>553</v>
      </c>
      <c r="G32" s="146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25">
      <c r="A33" s="187" t="s">
        <v>554</v>
      </c>
      <c r="B33" s="185"/>
      <c r="C33" s="185" t="s">
        <v>557</v>
      </c>
      <c r="D33" s="146" t="s">
        <v>567</v>
      </c>
      <c r="E33" s="146" t="str">
        <f>IFERROR(VLOOKUP(D33,Table2[],2,FALSE),"")</f>
        <v>Hektar</v>
      </c>
      <c r="F33" s="146" t="s">
        <v>405</v>
      </c>
      <c r="G33" s="146" t="str">
        <f>IFERROR(VLOOKUP(F33,Table2[],2,FALSE),"")</f>
        <v>m3</v>
      </c>
      <c r="H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25">
      <c r="A34" s="187" t="s">
        <v>554</v>
      </c>
      <c r="B34" s="185"/>
      <c r="C34" s="185" t="s">
        <v>557</v>
      </c>
      <c r="D34" s="146" t="s">
        <v>567</v>
      </c>
      <c r="E34" s="146" t="str">
        <f>IFERROR(VLOOKUP(D34,Table2[],2,FALSE),"")</f>
        <v>Hektar</v>
      </c>
      <c r="F34" s="146" t="s">
        <v>344</v>
      </c>
      <c r="G34" s="146" t="str">
        <f>IFERROR(VLOOKUP(F34,Table2[],2,FALSE),"")</f>
        <v>t CO2-ækvivalenter</v>
      </c>
      <c r="H34" s="317">
        <f>-VLOOKUP($C34,'Kulstofoptag, skov'!$B$2:$I$13,MATCH(VALUE(RIGHT('Processer - data'!$D34,2)),'Kulstofoptag, skov'!$B$1:$I$1,0),FALSE)</f>
        <v>-0.5</v>
      </c>
      <c r="I34" s="317">
        <f>-VLOOKUP($C34,'Kulstofoptag, skov'!$B$2:$I$13,MATCH(VALUE(RIGHT('Processer - data'!$D34,2)),'Kulstofoptag, skov'!$B$1:$I$1,0),FALSE)</f>
        <v>-0.5</v>
      </c>
      <c r="J34" s="317">
        <f>-VLOOKUP($C34,'Kulstofoptag, skov'!$B$2:$I$13,MATCH(VALUE(RIGHT('Processer - data'!$D34,2)),'Kulstofoptag, skov'!$B$1:$I$1,0),FALSE)</f>
        <v>-0.5</v>
      </c>
      <c r="K34" s="147"/>
    </row>
    <row r="35" spans="1:11" x14ac:dyDescent="0.25">
      <c r="A35" s="187" t="s">
        <v>554</v>
      </c>
      <c r="B35" s="185"/>
      <c r="C35" s="185" t="s">
        <v>557</v>
      </c>
      <c r="D35" s="146" t="s">
        <v>568</v>
      </c>
      <c r="E35" s="146" t="str">
        <f>IFERROR(VLOOKUP(D35,Table2[],2,FALSE),"")</f>
        <v>Hektar</v>
      </c>
      <c r="F35" s="146" t="s">
        <v>553</v>
      </c>
      <c r="G35" s="146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25">
      <c r="A36" s="187" t="s">
        <v>554</v>
      </c>
      <c r="B36" s="185"/>
      <c r="C36" s="185" t="s">
        <v>557</v>
      </c>
      <c r="D36" s="146" t="s">
        <v>568</v>
      </c>
      <c r="E36" s="146" t="str">
        <f>IFERROR(VLOOKUP(D36,Table2[],2,FALSE),"")</f>
        <v>Hektar</v>
      </c>
      <c r="F36" s="146" t="s">
        <v>405</v>
      </c>
      <c r="G36" s="146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5.75" thickBot="1" x14ac:dyDescent="0.3">
      <c r="A37" s="187" t="s">
        <v>554</v>
      </c>
      <c r="B37" s="185"/>
      <c r="C37" s="185" t="s">
        <v>557</v>
      </c>
      <c r="D37" s="146" t="s">
        <v>568</v>
      </c>
      <c r="E37" s="146" t="str">
        <f>IFERROR(VLOOKUP(D37,Table2[],2,FALSE),"")</f>
        <v>Hektar</v>
      </c>
      <c r="F37" s="146" t="s">
        <v>344</v>
      </c>
      <c r="G37" s="146" t="str">
        <f>IFERROR(VLOOKUP(F37,Table2[],2,FALSE),"")</f>
        <v>t CO2-ækvivalenter</v>
      </c>
      <c r="H37" s="319">
        <f>-VLOOKUP($C37,'Kulstofoptag, skov'!$B$2:$I$13,MATCH(VALUE(RIGHT('Processer - data'!$D37,2)),'Kulstofoptag, skov'!$B$1:$I$1,0),FALSE)</f>
        <v>-12.5</v>
      </c>
      <c r="I37" s="319">
        <f>-VLOOKUP($C37,'Kulstofoptag, skov'!$B$2:$I$13,MATCH(VALUE(RIGHT('Processer - data'!$D37,2)),'Kulstofoptag, skov'!$B$1:$I$1,0),FALSE)</f>
        <v>-12.5</v>
      </c>
      <c r="J37" s="319">
        <f>-VLOOKUP($C37,'Kulstofoptag, skov'!$B$2:$I$13,MATCH(VALUE(RIGHT('Processer - data'!$D37,2)),'Kulstofoptag, skov'!$B$1:$I$1,0),FALSE)</f>
        <v>-12.5</v>
      </c>
      <c r="K37" s="147"/>
    </row>
    <row r="38" spans="1:11" ht="15.75" thickTop="1" x14ac:dyDescent="0.25">
      <c r="A38" s="186" t="s">
        <v>554</v>
      </c>
      <c r="B38" s="183"/>
      <c r="C38" s="183" t="s">
        <v>558</v>
      </c>
      <c r="D38" s="144" t="s">
        <v>569</v>
      </c>
      <c r="E38" s="144" t="str">
        <f>IFERROR(VLOOKUP(D38,Table2[],2,FALSE),"")</f>
        <v>Hektar</v>
      </c>
      <c r="F38" s="144" t="s">
        <v>553</v>
      </c>
      <c r="G38" s="144" t="str">
        <f>IFERROR(VLOOKUP(F38,Table2[],2,FALSE),"")</f>
        <v>m3</v>
      </c>
      <c r="H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25">
      <c r="A39" s="187" t="s">
        <v>554</v>
      </c>
      <c r="B39" s="185"/>
      <c r="C39" s="185" t="s">
        <v>558</v>
      </c>
      <c r="D39" s="146" t="s">
        <v>569</v>
      </c>
      <c r="E39" s="146" t="str">
        <f>IFERROR(VLOOKUP(D39,Table2[],2,FALSE),"")</f>
        <v>Hektar</v>
      </c>
      <c r="F39" s="150" t="s">
        <v>405</v>
      </c>
      <c r="G39" s="146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25">
      <c r="A40" s="187" t="s">
        <v>554</v>
      </c>
      <c r="B40" s="185"/>
      <c r="C40" s="185" t="s">
        <v>558</v>
      </c>
      <c r="D40" s="146" t="s">
        <v>569</v>
      </c>
      <c r="E40" s="146" t="str">
        <f>IFERROR(VLOOKUP(D40,Table2[],2,FALSE),"")</f>
        <v>Hektar</v>
      </c>
      <c r="F40" s="146" t="s">
        <v>344</v>
      </c>
      <c r="G40" s="146" t="str">
        <f>IFERROR(VLOOKUP(F40,Table2[],2,FALSE),"")</f>
        <v>t CO2-ækvivalenter</v>
      </c>
      <c r="H40" s="317">
        <f>-VLOOKUP($C40,'Kulstofoptag, skov'!$B$2:$I$13,MATCH(VALUE(RIGHT('Processer - data'!$D40,2)),'Kulstofoptag, skov'!$B$1:$I$1,0),FALSE)</f>
        <v>-2.5</v>
      </c>
      <c r="I40" s="317">
        <f>-VLOOKUP($C40,'Kulstofoptag, skov'!$B$2:$I$13,MATCH(VALUE(RIGHT('Processer - data'!$D40,2)),'Kulstofoptag, skov'!$B$1:$I$1,0),FALSE)</f>
        <v>-2.5</v>
      </c>
      <c r="J40" s="317">
        <f>-VLOOKUP($C40,'Kulstofoptag, skov'!$B$2:$I$13,MATCH(VALUE(RIGHT('Processer - data'!$D40,2)),'Kulstofoptag, skov'!$B$1:$I$1,0),FALSE)</f>
        <v>-2.5</v>
      </c>
      <c r="K40" s="147"/>
    </row>
    <row r="41" spans="1:11" x14ac:dyDescent="0.25">
      <c r="A41" s="187" t="s">
        <v>554</v>
      </c>
      <c r="B41" s="185"/>
      <c r="C41" s="185" t="s">
        <v>558</v>
      </c>
      <c r="D41" s="146" t="s">
        <v>570</v>
      </c>
      <c r="E41" s="146" t="str">
        <f>IFERROR(VLOOKUP(D41,Table2[],2,FALSE),"")</f>
        <v>Hektar</v>
      </c>
      <c r="F41" s="146" t="s">
        <v>553</v>
      </c>
      <c r="G41" s="146" t="str">
        <f>IFERROR(VLOOKUP(F41,Table2[],2,FALSE),"")</f>
        <v>m3</v>
      </c>
      <c r="H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25">
      <c r="A42" s="187" t="s">
        <v>554</v>
      </c>
      <c r="B42" s="185"/>
      <c r="C42" s="185" t="s">
        <v>558</v>
      </c>
      <c r="D42" s="146" t="s">
        <v>570</v>
      </c>
      <c r="E42" s="146" t="str">
        <f>IFERROR(VLOOKUP(D42,Table2[],2,FALSE),"")</f>
        <v>Hektar</v>
      </c>
      <c r="F42" s="146" t="s">
        <v>405</v>
      </c>
      <c r="G42" s="146" t="str">
        <f>IFERROR(VLOOKUP(F42,Table2[],2,FALSE),"")</f>
        <v>m3</v>
      </c>
      <c r="H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25">
      <c r="A43" s="187" t="s">
        <v>554</v>
      </c>
      <c r="B43" s="185"/>
      <c r="C43" s="185" t="s">
        <v>558</v>
      </c>
      <c r="D43" s="146" t="s">
        <v>570</v>
      </c>
      <c r="E43" s="146" t="str">
        <f>IFERROR(VLOOKUP(D43,Table2[],2,FALSE),"")</f>
        <v>Hektar</v>
      </c>
      <c r="F43" s="146" t="s">
        <v>344</v>
      </c>
      <c r="G43" s="146" t="str">
        <f>IFERROR(VLOOKUP(F43,Table2[],2,FALSE),"")</f>
        <v>t CO2-ækvivalenter</v>
      </c>
      <c r="H43" s="317">
        <f>-VLOOKUP($C43,'Kulstofoptag, skov'!$B$2:$I$13,MATCH(VALUE(RIGHT('Processer - data'!$D43,2)),'Kulstofoptag, skov'!$B$1:$I$1,0),FALSE)</f>
        <v>-4.25</v>
      </c>
      <c r="I43" s="317">
        <f>-VLOOKUP($C43,'Kulstofoptag, skov'!$B$2:$I$13,MATCH(VALUE(RIGHT('Processer - data'!$D43,2)),'Kulstofoptag, skov'!$B$1:$I$1,0),FALSE)</f>
        <v>-4.25</v>
      </c>
      <c r="J43" s="317">
        <f>-VLOOKUP($C43,'Kulstofoptag, skov'!$B$2:$I$13,MATCH(VALUE(RIGHT('Processer - data'!$D43,2)),'Kulstofoptag, skov'!$B$1:$I$1,0),FALSE)</f>
        <v>-4.25</v>
      </c>
      <c r="K43" s="147"/>
    </row>
    <row r="44" spans="1:11" x14ac:dyDescent="0.25">
      <c r="A44" s="187" t="s">
        <v>554</v>
      </c>
      <c r="B44" s="185"/>
      <c r="C44" s="185" t="s">
        <v>558</v>
      </c>
      <c r="D44" s="146" t="s">
        <v>571</v>
      </c>
      <c r="E44" s="146" t="str">
        <f>IFERROR(VLOOKUP(D44,Table2[],2,FALSE),"")</f>
        <v>Hektar</v>
      </c>
      <c r="F44" s="146" t="s">
        <v>553</v>
      </c>
      <c r="G44" s="146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25">
      <c r="A45" s="187" t="s">
        <v>554</v>
      </c>
      <c r="B45" s="185"/>
      <c r="C45" s="185" t="s">
        <v>558</v>
      </c>
      <c r="D45" s="146" t="s">
        <v>571</v>
      </c>
      <c r="E45" s="146" t="str">
        <f>IFERROR(VLOOKUP(D45,Table2[],2,FALSE),"")</f>
        <v>Hektar</v>
      </c>
      <c r="F45" s="146" t="s">
        <v>405</v>
      </c>
      <c r="G45" s="146" t="str">
        <f>IFERROR(VLOOKUP(F45,Table2[],2,FALSE),"")</f>
        <v>m3</v>
      </c>
      <c r="H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25">
      <c r="A46" s="187" t="s">
        <v>554</v>
      </c>
      <c r="B46" s="185"/>
      <c r="C46" s="185" t="s">
        <v>558</v>
      </c>
      <c r="D46" s="146" t="s">
        <v>571</v>
      </c>
      <c r="E46" s="146" t="str">
        <f>IFERROR(VLOOKUP(D46,Table2[],2,FALSE),"")</f>
        <v>Hektar</v>
      </c>
      <c r="F46" s="146" t="s">
        <v>344</v>
      </c>
      <c r="G46" s="146" t="str">
        <f>IFERROR(VLOOKUP(F46,Table2[],2,FALSE),"")</f>
        <v>t CO2-ækvivalenter</v>
      </c>
      <c r="H46" s="317">
        <f>-VLOOKUP($C46,'Kulstofoptag, skov'!$B$2:$I$13,MATCH(VALUE(RIGHT('Processer - data'!$D46,2)),'Kulstofoptag, skov'!$B$1:$I$1,0),FALSE)</f>
        <v>-13.75</v>
      </c>
      <c r="I46" s="317">
        <f>-VLOOKUP($C46,'Kulstofoptag, skov'!$B$2:$I$13,MATCH(VALUE(RIGHT('Processer - data'!$D46,2)),'Kulstofoptag, skov'!$B$1:$I$1,0),FALSE)</f>
        <v>-13.75</v>
      </c>
      <c r="J46" s="317">
        <f>-VLOOKUP($C46,'Kulstofoptag, skov'!$B$2:$I$13,MATCH(VALUE(RIGHT('Processer - data'!$D46,2)),'Kulstofoptag, skov'!$B$1:$I$1,0),FALSE)</f>
        <v>-13.75</v>
      </c>
      <c r="K46" s="147"/>
    </row>
    <row r="47" spans="1:11" x14ac:dyDescent="0.25">
      <c r="A47" s="187" t="s">
        <v>554</v>
      </c>
      <c r="B47" s="185"/>
      <c r="C47" s="185" t="s">
        <v>558</v>
      </c>
      <c r="D47" s="146" t="s">
        <v>572</v>
      </c>
      <c r="E47" s="146" t="str">
        <f>IFERROR(VLOOKUP(D47,Table2[],2,FALSE),"")</f>
        <v>Hektar</v>
      </c>
      <c r="F47" s="146" t="s">
        <v>553</v>
      </c>
      <c r="G47" s="146" t="str">
        <f>IFERROR(VLOOKUP(F47,Table2[],2,FALSE),"")</f>
        <v>m3</v>
      </c>
      <c r="H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25">
      <c r="A48" s="187" t="s">
        <v>554</v>
      </c>
      <c r="B48" s="185"/>
      <c r="C48" s="185" t="s">
        <v>558</v>
      </c>
      <c r="D48" s="146" t="s">
        <v>572</v>
      </c>
      <c r="E48" s="146" t="str">
        <f>IFERROR(VLOOKUP(D48,Table2[],2,FALSE),"")</f>
        <v>Hektar</v>
      </c>
      <c r="F48" s="146" t="s">
        <v>405</v>
      </c>
      <c r="G48" s="146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5.75" thickBot="1" x14ac:dyDescent="0.3">
      <c r="A49" s="187" t="s">
        <v>554</v>
      </c>
      <c r="B49" s="185"/>
      <c r="C49" s="185" t="s">
        <v>558</v>
      </c>
      <c r="D49" s="146" t="s">
        <v>572</v>
      </c>
      <c r="E49" s="146" t="str">
        <f>IFERROR(VLOOKUP(D49,Table2[],2,FALSE),"")</f>
        <v>Hektar</v>
      </c>
      <c r="F49" s="146" t="s">
        <v>344</v>
      </c>
      <c r="G49" s="146" t="str">
        <f>IFERROR(VLOOKUP(F49,Table2[],2,FALSE),"")</f>
        <v>t CO2-ækvivalenter</v>
      </c>
      <c r="H49" s="319">
        <f>-VLOOKUP($C49,'Kulstofoptag, skov'!$B$2:$I$13,MATCH(VALUE(RIGHT('Processer - data'!$D49,2)),'Kulstofoptag, skov'!$B$1:$I$1,0),FALSE)</f>
        <v>-13.25</v>
      </c>
      <c r="I49" s="319">
        <f>-VLOOKUP($C49,'Kulstofoptag, skov'!$B$2:$I$13,MATCH(VALUE(RIGHT('Processer - data'!$D49,2)),'Kulstofoptag, skov'!$B$1:$I$1,0),FALSE)</f>
        <v>-13.25</v>
      </c>
      <c r="J49" s="319">
        <f>-VLOOKUP($C49,'Kulstofoptag, skov'!$B$2:$I$13,MATCH(VALUE(RIGHT('Processer - data'!$D49,2)),'Kulstofoptag, skov'!$B$1:$I$1,0),FALSE)</f>
        <v>-13.25</v>
      </c>
      <c r="K49" s="147"/>
    </row>
    <row r="50" spans="1:11" ht="15.75" thickTop="1" x14ac:dyDescent="0.25">
      <c r="A50" s="186" t="s">
        <v>554</v>
      </c>
      <c r="B50" s="183"/>
      <c r="C50" s="183" t="s">
        <v>559</v>
      </c>
      <c r="D50" s="144" t="s">
        <v>573</v>
      </c>
      <c r="E50" s="144" t="str">
        <f>IFERROR(VLOOKUP(D50,Table2[],2,FALSE),"")</f>
        <v>Hektar</v>
      </c>
      <c r="F50" s="144" t="s">
        <v>553</v>
      </c>
      <c r="G50" s="144" t="str">
        <f>IFERROR(VLOOKUP(F50,Table2[],2,FALSE),"")</f>
        <v>m3</v>
      </c>
      <c r="H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25">
      <c r="A51" s="187" t="s">
        <v>554</v>
      </c>
      <c r="B51" s="185"/>
      <c r="C51" s="185" t="s">
        <v>559</v>
      </c>
      <c r="D51" s="146" t="s">
        <v>573</v>
      </c>
      <c r="E51" s="146" t="str">
        <f>IFERROR(VLOOKUP(D51,Table2[],2,FALSE),"")</f>
        <v>Hektar</v>
      </c>
      <c r="F51" s="150" t="s">
        <v>405</v>
      </c>
      <c r="G51" s="146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25">
      <c r="A52" s="187" t="s">
        <v>554</v>
      </c>
      <c r="B52" s="185"/>
      <c r="C52" s="185" t="s">
        <v>559</v>
      </c>
      <c r="D52" s="146" t="s">
        <v>573</v>
      </c>
      <c r="E52" s="146" t="str">
        <f>IFERROR(VLOOKUP(D52,Table2[],2,FALSE),"")</f>
        <v>Hektar</v>
      </c>
      <c r="F52" s="146" t="s">
        <v>344</v>
      </c>
      <c r="G52" s="146" t="str">
        <f>IFERROR(VLOOKUP(F52,Table2[],2,FALSE),"")</f>
        <v>t CO2-ækvivalenter</v>
      </c>
      <c r="H52" s="317">
        <f>-VLOOKUP($C52,'Kulstofoptag, skov'!$B$2:$I$13,MATCH(VALUE(RIGHT('Processer - data'!$D52,2)),'Kulstofoptag, skov'!$B$1:$I$1,0),FALSE)</f>
        <v>-9.5</v>
      </c>
      <c r="I52" s="317">
        <f>-VLOOKUP($C52,'Kulstofoptag, skov'!$B$2:$I$13,MATCH(VALUE(RIGHT('Processer - data'!$D52,2)),'Kulstofoptag, skov'!$B$1:$I$1,0),FALSE)</f>
        <v>-9.5</v>
      </c>
      <c r="J52" s="317">
        <f>-VLOOKUP($C52,'Kulstofoptag, skov'!$B$2:$I$13,MATCH(VALUE(RIGHT('Processer - data'!$D52,2)),'Kulstofoptag, skov'!$B$1:$I$1,0),FALSE)</f>
        <v>-9.5</v>
      </c>
      <c r="K52" s="147"/>
    </row>
    <row r="53" spans="1:11" x14ac:dyDescent="0.25">
      <c r="A53" s="187" t="s">
        <v>554</v>
      </c>
      <c r="B53" s="185"/>
      <c r="C53" s="185" t="s">
        <v>559</v>
      </c>
      <c r="D53" s="146" t="s">
        <v>574</v>
      </c>
      <c r="E53" s="146" t="str">
        <f>IFERROR(VLOOKUP(D53,Table2[],2,FALSE),"")</f>
        <v>Hektar</v>
      </c>
      <c r="F53" s="146" t="s">
        <v>553</v>
      </c>
      <c r="G53" s="146" t="str">
        <f>IFERROR(VLOOKUP(F53,Table2[],2,FALSE),"")</f>
        <v>m3</v>
      </c>
      <c r="H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25">
      <c r="A54" s="187" t="s">
        <v>554</v>
      </c>
      <c r="B54" s="185"/>
      <c r="C54" s="185" t="s">
        <v>559</v>
      </c>
      <c r="D54" s="146" t="s">
        <v>574</v>
      </c>
      <c r="E54" s="146" t="str">
        <f>IFERROR(VLOOKUP(D54,Table2[],2,FALSE),"")</f>
        <v>Hektar</v>
      </c>
      <c r="F54" s="146" t="s">
        <v>405</v>
      </c>
      <c r="G54" s="146" t="str">
        <f>IFERROR(VLOOKUP(F54,Table2[],2,FALSE),"")</f>
        <v>m3</v>
      </c>
      <c r="H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25">
      <c r="A55" s="187" t="s">
        <v>554</v>
      </c>
      <c r="B55" s="185"/>
      <c r="C55" s="185" t="s">
        <v>559</v>
      </c>
      <c r="D55" s="146" t="s">
        <v>574</v>
      </c>
      <c r="E55" s="146" t="str">
        <f>IFERROR(VLOOKUP(D55,Table2[],2,FALSE),"")</f>
        <v>Hektar</v>
      </c>
      <c r="F55" s="146" t="s">
        <v>344</v>
      </c>
      <c r="G55" s="146" t="str">
        <f>IFERROR(VLOOKUP(F55,Table2[],2,FALSE),"")</f>
        <v>t CO2-ækvivalenter</v>
      </c>
      <c r="H55" s="317">
        <f>-VLOOKUP($C55,'Kulstofoptag, skov'!$B$2:$I$13,MATCH(VALUE(RIGHT('Processer - data'!$D55,2)),'Kulstofoptag, skov'!$B$1:$I$1,0),FALSE)</f>
        <v>-8</v>
      </c>
      <c r="I55" s="317">
        <f>-VLOOKUP($C55,'Kulstofoptag, skov'!$B$2:$I$13,MATCH(VALUE(RIGHT('Processer - data'!$D55,2)),'Kulstofoptag, skov'!$B$1:$I$1,0),FALSE)</f>
        <v>-8</v>
      </c>
      <c r="J55" s="317">
        <f>-VLOOKUP($C55,'Kulstofoptag, skov'!$B$2:$I$13,MATCH(VALUE(RIGHT('Processer - data'!$D55,2)),'Kulstofoptag, skov'!$B$1:$I$1,0),FALSE)</f>
        <v>-8</v>
      </c>
      <c r="K55" s="147"/>
    </row>
    <row r="56" spans="1:11" x14ac:dyDescent="0.25">
      <c r="A56" s="187" t="s">
        <v>554</v>
      </c>
      <c r="B56" s="185"/>
      <c r="C56" s="185" t="s">
        <v>559</v>
      </c>
      <c r="D56" s="146" t="s">
        <v>575</v>
      </c>
      <c r="E56" s="146" t="str">
        <f>IFERROR(VLOOKUP(D56,Table2[],2,FALSE),"")</f>
        <v>Hektar</v>
      </c>
      <c r="F56" s="146" t="s">
        <v>553</v>
      </c>
      <c r="G56" s="146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25">
      <c r="A57" s="187" t="s">
        <v>554</v>
      </c>
      <c r="B57" s="185"/>
      <c r="C57" s="185" t="s">
        <v>559</v>
      </c>
      <c r="D57" s="146" t="s">
        <v>575</v>
      </c>
      <c r="E57" s="146" t="str">
        <f>IFERROR(VLOOKUP(D57,Table2[],2,FALSE),"")</f>
        <v>Hektar</v>
      </c>
      <c r="F57" s="146" t="s">
        <v>405</v>
      </c>
      <c r="G57" s="146" t="str">
        <f>IFERROR(VLOOKUP(F57,Table2[],2,FALSE),"")</f>
        <v>m3</v>
      </c>
      <c r="H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25">
      <c r="A58" s="187" t="s">
        <v>554</v>
      </c>
      <c r="B58" s="185"/>
      <c r="C58" s="185" t="s">
        <v>559</v>
      </c>
      <c r="D58" s="146" t="s">
        <v>575</v>
      </c>
      <c r="E58" s="146" t="str">
        <f>IFERROR(VLOOKUP(D58,Table2[],2,FALSE),"")</f>
        <v>Hektar</v>
      </c>
      <c r="F58" s="146" t="s">
        <v>344</v>
      </c>
      <c r="G58" s="146" t="str">
        <f>IFERROR(VLOOKUP(F58,Table2[],2,FALSE),"")</f>
        <v>t CO2-ækvivalenter</v>
      </c>
      <c r="H58" s="317">
        <f>-VLOOKUP($C58,'Kulstofoptag, skov'!$B$2:$I$13,MATCH(VALUE(RIGHT('Processer - data'!$D58,2)),'Kulstofoptag, skov'!$B$1:$I$1,0),FALSE)</f>
        <v>-4.5</v>
      </c>
      <c r="I58" s="317">
        <f>-VLOOKUP($C58,'Kulstofoptag, skov'!$B$2:$I$13,MATCH(VALUE(RIGHT('Processer - data'!$D58,2)),'Kulstofoptag, skov'!$B$1:$I$1,0),FALSE)</f>
        <v>-4.5</v>
      </c>
      <c r="J58" s="317">
        <f>-VLOOKUP($C58,'Kulstofoptag, skov'!$B$2:$I$13,MATCH(VALUE(RIGHT('Processer - data'!$D58,2)),'Kulstofoptag, skov'!$B$1:$I$1,0),FALSE)</f>
        <v>-4.5</v>
      </c>
      <c r="K58" s="147"/>
    </row>
    <row r="59" spans="1:11" x14ac:dyDescent="0.25">
      <c r="A59" s="187" t="s">
        <v>554</v>
      </c>
      <c r="B59" s="185"/>
      <c r="C59" s="185" t="s">
        <v>559</v>
      </c>
      <c r="D59" s="146" t="s">
        <v>576</v>
      </c>
      <c r="E59" s="146" t="str">
        <f>IFERROR(VLOOKUP(D59,Table2[],2,FALSE),"")</f>
        <v>Hektar</v>
      </c>
      <c r="F59" s="146" t="s">
        <v>553</v>
      </c>
      <c r="G59" s="146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25">
      <c r="A60" s="187" t="s">
        <v>554</v>
      </c>
      <c r="B60" s="185"/>
      <c r="C60" s="185" t="s">
        <v>559</v>
      </c>
      <c r="D60" s="146" t="s">
        <v>576</v>
      </c>
      <c r="E60" s="146" t="str">
        <f>IFERROR(VLOOKUP(D60,Table2[],2,FALSE),"")</f>
        <v>Hektar</v>
      </c>
      <c r="F60" s="146" t="s">
        <v>405</v>
      </c>
      <c r="G60" s="146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5.75" thickBot="1" x14ac:dyDescent="0.3">
      <c r="A61" s="187" t="s">
        <v>554</v>
      </c>
      <c r="B61" s="185"/>
      <c r="C61" s="185" t="s">
        <v>559</v>
      </c>
      <c r="D61" s="146" t="s">
        <v>576</v>
      </c>
      <c r="E61" s="146" t="str">
        <f>IFERROR(VLOOKUP(D61,Table2[],2,FALSE),"")</f>
        <v>Hektar</v>
      </c>
      <c r="F61" s="146" t="s">
        <v>344</v>
      </c>
      <c r="G61" s="146" t="str">
        <f>IFERROR(VLOOKUP(F61,Table2[],2,FALSE),"")</f>
        <v>t CO2-ækvivalenter</v>
      </c>
      <c r="H61" s="319">
        <f>-VLOOKUP($C61,'Kulstofoptag, skov'!$B$2:$I$13,MATCH(VALUE(RIGHT('Processer - data'!$D61,2)),'Kulstofoptag, skov'!$B$1:$I$1,0),FALSE)</f>
        <v>-13</v>
      </c>
      <c r="I61" s="319">
        <f>-VLOOKUP($C61,'Kulstofoptag, skov'!$B$2:$I$13,MATCH(VALUE(RIGHT('Processer - data'!$D61,2)),'Kulstofoptag, skov'!$B$1:$I$1,0),FALSE)</f>
        <v>-13</v>
      </c>
      <c r="J61" s="319">
        <f>-VLOOKUP($C61,'Kulstofoptag, skov'!$B$2:$I$13,MATCH(VALUE(RIGHT('Processer - data'!$D61,2)),'Kulstofoptag, skov'!$B$1:$I$1,0),FALSE)</f>
        <v>-13</v>
      </c>
      <c r="K61" s="147"/>
    </row>
    <row r="62" spans="1:11" ht="15.75" thickTop="1" x14ac:dyDescent="0.25">
      <c r="A62" s="186" t="s">
        <v>554</v>
      </c>
      <c r="B62" s="183"/>
      <c r="C62" s="183" t="s">
        <v>560</v>
      </c>
      <c r="D62" s="144" t="s">
        <v>577</v>
      </c>
      <c r="E62" s="144" t="str">
        <f>IFERROR(VLOOKUP(D62,Table2[],2,FALSE),"")</f>
        <v>Hektar</v>
      </c>
      <c r="F62" s="144" t="s">
        <v>553</v>
      </c>
      <c r="G62" s="144" t="str">
        <f>IFERROR(VLOOKUP(F62,Table2[],2,FALSE),"")</f>
        <v>m3</v>
      </c>
      <c r="H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25">
      <c r="A63" s="187" t="s">
        <v>554</v>
      </c>
      <c r="B63" s="185"/>
      <c r="C63" s="185" t="s">
        <v>560</v>
      </c>
      <c r="D63" s="146" t="s">
        <v>577</v>
      </c>
      <c r="E63" s="146" t="str">
        <f>IFERROR(VLOOKUP(D63,Table2[],2,FALSE),"")</f>
        <v>Hektar</v>
      </c>
      <c r="F63" s="150" t="s">
        <v>405</v>
      </c>
      <c r="G63" s="146" t="str">
        <f>IFERROR(VLOOKUP(F63,Table2[],2,FALSE),"")</f>
        <v>m3</v>
      </c>
      <c r="H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25">
      <c r="A64" s="187" t="s">
        <v>554</v>
      </c>
      <c r="B64" s="185"/>
      <c r="C64" s="185" t="s">
        <v>560</v>
      </c>
      <c r="D64" s="146" t="s">
        <v>577</v>
      </c>
      <c r="E64" s="146" t="str">
        <f>IFERROR(VLOOKUP(D64,Table2[],2,FALSE),"")</f>
        <v>Hektar</v>
      </c>
      <c r="F64" s="146" t="s">
        <v>344</v>
      </c>
      <c r="G64" s="146" t="str">
        <f>IFERROR(VLOOKUP(F64,Table2[],2,FALSE),"")</f>
        <v>t CO2-ækvivalenter</v>
      </c>
      <c r="H64" s="317">
        <f>-VLOOKUP($C64,'Kulstofoptag, skov'!$B$2:$I$13,MATCH(VALUE(RIGHT('Processer - data'!$D64,2)),'Kulstofoptag, skov'!$B$1:$I$1,0),FALSE)</f>
        <v>-2.6666666666666665</v>
      </c>
      <c r="I64" s="317">
        <f>-VLOOKUP($C64,'Kulstofoptag, skov'!$B$2:$I$13,MATCH(VALUE(RIGHT('Processer - data'!$D64,2)),'Kulstofoptag, skov'!$B$1:$I$1,0),FALSE)</f>
        <v>-2.6666666666666665</v>
      </c>
      <c r="J64" s="317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25">
      <c r="A65" s="187" t="s">
        <v>554</v>
      </c>
      <c r="B65" s="185"/>
      <c r="C65" s="185" t="s">
        <v>560</v>
      </c>
      <c r="D65" s="146" t="s">
        <v>578</v>
      </c>
      <c r="E65" s="146" t="str">
        <f>IFERROR(VLOOKUP(D65,Table2[],2,FALSE),"")</f>
        <v>Hektar</v>
      </c>
      <c r="F65" s="146" t="s">
        <v>553</v>
      </c>
      <c r="G65" s="146" t="str">
        <f>IFERROR(VLOOKUP(F65,Table2[],2,FALSE),"")</f>
        <v>m3</v>
      </c>
      <c r="H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25">
      <c r="A66" s="187" t="s">
        <v>554</v>
      </c>
      <c r="B66" s="185"/>
      <c r="C66" s="185" t="s">
        <v>560</v>
      </c>
      <c r="D66" s="146" t="s">
        <v>578</v>
      </c>
      <c r="E66" s="146" t="str">
        <f>IFERROR(VLOOKUP(D66,Table2[],2,FALSE),"")</f>
        <v>Hektar</v>
      </c>
      <c r="F66" s="146" t="s">
        <v>405</v>
      </c>
      <c r="G66" s="146" t="str">
        <f>IFERROR(VLOOKUP(F66,Table2[],2,FALSE),"")</f>
        <v>m3</v>
      </c>
      <c r="H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25">
      <c r="A67" s="187" t="s">
        <v>554</v>
      </c>
      <c r="B67" s="185"/>
      <c r="C67" s="185" t="s">
        <v>560</v>
      </c>
      <c r="D67" s="146" t="s">
        <v>578</v>
      </c>
      <c r="E67" s="146" t="str">
        <f>IFERROR(VLOOKUP(D67,Table2[],2,FALSE),"")</f>
        <v>Hektar</v>
      </c>
      <c r="F67" s="146" t="s">
        <v>344</v>
      </c>
      <c r="G67" s="146" t="str">
        <f>IFERROR(VLOOKUP(F67,Table2[],2,FALSE),"")</f>
        <v>t CO2-ækvivalenter</v>
      </c>
      <c r="H67" s="317">
        <f>-VLOOKUP($C67,'Kulstofoptag, skov'!$B$2:$I$13,MATCH(VALUE(RIGHT('Processer - data'!$D67,2)),'Kulstofoptag, skov'!$B$1:$I$1,0),FALSE)</f>
        <v>-2.6666666666666665</v>
      </c>
      <c r="I67" s="317">
        <f>-VLOOKUP($C67,'Kulstofoptag, skov'!$B$2:$I$13,MATCH(VALUE(RIGHT('Processer - data'!$D67,2)),'Kulstofoptag, skov'!$B$1:$I$1,0),FALSE)</f>
        <v>-2.6666666666666665</v>
      </c>
      <c r="J67" s="317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25">
      <c r="A68" s="187" t="s">
        <v>554</v>
      </c>
      <c r="B68" s="185"/>
      <c r="C68" s="185" t="s">
        <v>560</v>
      </c>
      <c r="D68" s="146" t="s">
        <v>579</v>
      </c>
      <c r="E68" s="146" t="str">
        <f>IFERROR(VLOOKUP(D68,Table2[],2,FALSE),"")</f>
        <v>Hektar</v>
      </c>
      <c r="F68" s="146" t="s">
        <v>553</v>
      </c>
      <c r="G68" s="146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25">
      <c r="A69" s="187" t="s">
        <v>554</v>
      </c>
      <c r="B69" s="185"/>
      <c r="C69" s="185" t="s">
        <v>560</v>
      </c>
      <c r="D69" s="146" t="s">
        <v>579</v>
      </c>
      <c r="E69" s="146" t="str">
        <f>IFERROR(VLOOKUP(D69,Table2[],2,FALSE),"")</f>
        <v>Hektar</v>
      </c>
      <c r="F69" s="146" t="s">
        <v>405</v>
      </c>
      <c r="G69" s="146" t="str">
        <f>IFERROR(VLOOKUP(F69,Table2[],2,FALSE),"")</f>
        <v>m3</v>
      </c>
      <c r="H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25">
      <c r="A70" s="187" t="s">
        <v>554</v>
      </c>
      <c r="B70" s="185"/>
      <c r="C70" s="185" t="s">
        <v>560</v>
      </c>
      <c r="D70" s="146" t="s">
        <v>579</v>
      </c>
      <c r="E70" s="146" t="str">
        <f>IFERROR(VLOOKUP(D70,Table2[],2,FALSE),"")</f>
        <v>Hektar</v>
      </c>
      <c r="F70" s="146" t="s">
        <v>344</v>
      </c>
      <c r="G70" s="146" t="str">
        <f>IFERROR(VLOOKUP(F70,Table2[],2,FALSE),"")</f>
        <v>t CO2-ækvivalenter</v>
      </c>
      <c r="H70" s="317">
        <f>-VLOOKUP($C70,'Kulstofoptag, skov'!$B$2:$I$13,MATCH(VALUE(RIGHT('Processer - data'!$D70,2)),'Kulstofoptag, skov'!$B$1:$I$1,0),FALSE)</f>
        <v>-3.3333333333333335</v>
      </c>
      <c r="I70" s="317">
        <f>-VLOOKUP($C70,'Kulstofoptag, skov'!$B$2:$I$13,MATCH(VALUE(RIGHT('Processer - data'!$D70,2)),'Kulstofoptag, skov'!$B$1:$I$1,0),FALSE)</f>
        <v>-3.3333333333333335</v>
      </c>
      <c r="J70" s="317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25">
      <c r="A71" s="187" t="s">
        <v>554</v>
      </c>
      <c r="B71" s="185"/>
      <c r="C71" s="185" t="s">
        <v>560</v>
      </c>
      <c r="D71" s="146" t="s">
        <v>580</v>
      </c>
      <c r="E71" s="146" t="str">
        <f>IFERROR(VLOOKUP(D71,Table2[],2,FALSE),"")</f>
        <v>Hektar</v>
      </c>
      <c r="F71" s="146" t="s">
        <v>553</v>
      </c>
      <c r="G71" s="146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25">
      <c r="A72" s="187" t="s">
        <v>554</v>
      </c>
      <c r="B72" s="185"/>
      <c r="C72" s="185" t="s">
        <v>560</v>
      </c>
      <c r="D72" s="146" t="s">
        <v>580</v>
      </c>
      <c r="E72" s="146" t="str">
        <f>IFERROR(VLOOKUP(D72,Table2[],2,FALSE),"")</f>
        <v>Hektar</v>
      </c>
      <c r="F72" s="146" t="s">
        <v>405</v>
      </c>
      <c r="G72" s="146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5.75" thickBot="1" x14ac:dyDescent="0.3">
      <c r="A73" s="187" t="s">
        <v>554</v>
      </c>
      <c r="B73" s="185"/>
      <c r="C73" s="185" t="s">
        <v>560</v>
      </c>
      <c r="D73" s="146" t="s">
        <v>580</v>
      </c>
      <c r="E73" s="146" t="str">
        <f>IFERROR(VLOOKUP(D73,Table2[],2,FALSE),"")</f>
        <v>Hektar</v>
      </c>
      <c r="F73" s="146" t="s">
        <v>344</v>
      </c>
      <c r="G73" s="146" t="str">
        <f>IFERROR(VLOOKUP(F73,Table2[],2,FALSE),"")</f>
        <v>t CO2-ækvivalenter</v>
      </c>
      <c r="H73" s="319">
        <f>-VLOOKUP($C73,'Kulstofoptag, skov'!$B$2:$I$13,MATCH(VALUE(RIGHT('Processer - data'!$D73,2)),'Kulstofoptag, skov'!$B$1:$I$1,0),FALSE)</f>
        <v>-4.333333333333333</v>
      </c>
      <c r="I73" s="319">
        <f>-VLOOKUP($C73,'Kulstofoptag, skov'!$B$2:$I$13,MATCH(VALUE(RIGHT('Processer - data'!$D73,2)),'Kulstofoptag, skov'!$B$1:$I$1,0),FALSE)</f>
        <v>-4.333333333333333</v>
      </c>
      <c r="J73" s="319">
        <f>-VLOOKUP($C73,'Kulstofoptag, skov'!$B$2:$I$13,MATCH(VALUE(RIGHT('Processer - data'!$D73,2)),'Kulstofoptag, skov'!$B$1:$I$1,0),FALSE)</f>
        <v>-4.333333333333333</v>
      </c>
      <c r="K73" s="147"/>
    </row>
    <row r="74" spans="1:11" ht="15.75" thickTop="1" x14ac:dyDescent="0.25">
      <c r="A74" s="186" t="s">
        <v>349</v>
      </c>
      <c r="B74" s="180" t="s">
        <v>45</v>
      </c>
      <c r="C74" s="180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8">
        <f>Dyrehold!$H$5</f>
        <v>1.3861685078371839</v>
      </c>
      <c r="I74" s="168">
        <f>Dyrehold!$H$5</f>
        <v>1.3861685078371839</v>
      </c>
      <c r="J74" s="168">
        <f>Dyrehold!$H$5</f>
        <v>1.3861685078371839</v>
      </c>
      <c r="K74" s="145"/>
    </row>
    <row r="75" spans="1:11" x14ac:dyDescent="0.25">
      <c r="A75" s="187" t="s">
        <v>349</v>
      </c>
      <c r="B75" s="181" t="s">
        <v>45</v>
      </c>
      <c r="C75" s="181"/>
      <c r="D75" s="146" t="s">
        <v>16</v>
      </c>
      <c r="E75" s="146" t="str">
        <f>IFERROR(VLOOKUP(D75,Table2[],2,FALSE),"")</f>
        <v>Antal</v>
      </c>
      <c r="F75" s="146" t="s">
        <v>498</v>
      </c>
      <c r="G75" s="146" t="str">
        <f>IFERROR(VLOOKUP(F75,Table2[],2,FALSE),"")</f>
        <v>Ton</v>
      </c>
      <c r="H75" s="168">
        <f>Dyrehold!$F$5</f>
        <v>1.4953335295833323</v>
      </c>
      <c r="I75" s="168">
        <f>Dyrehold!$F$5</f>
        <v>1.4953335295833323</v>
      </c>
      <c r="J75" s="168">
        <f>Dyrehold!$F$5</f>
        <v>1.4953335295833323</v>
      </c>
      <c r="K75" s="147"/>
    </row>
    <row r="76" spans="1:11" x14ac:dyDescent="0.25">
      <c r="A76" s="187" t="s">
        <v>349</v>
      </c>
      <c r="B76" s="181" t="s">
        <v>45</v>
      </c>
      <c r="C76" s="181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8">
        <f>Dyrehold!$G$5</f>
        <v>0.19169096925932338</v>
      </c>
      <c r="I76" s="168">
        <f>Dyrehold!$G$5</f>
        <v>0.19169096925932338</v>
      </c>
      <c r="J76" s="168">
        <f>Dyrehold!$G$5</f>
        <v>0.19169096925932338</v>
      </c>
      <c r="K76" s="147"/>
    </row>
    <row r="77" spans="1:11" x14ac:dyDescent="0.25">
      <c r="A77" s="187" t="s">
        <v>349</v>
      </c>
      <c r="B77" s="181" t="s">
        <v>45</v>
      </c>
      <c r="C77" s="181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8">
        <f>Dyrehold!$K$5</f>
        <v>1.5668203052737979E-2</v>
      </c>
      <c r="I77" s="168">
        <f>Dyrehold!$K$5</f>
        <v>1.5668203052737979E-2</v>
      </c>
      <c r="J77" s="168">
        <f>Dyrehold!$K$5</f>
        <v>1.5668203052737979E-2</v>
      </c>
      <c r="K77" s="147"/>
    </row>
    <row r="78" spans="1:11" x14ac:dyDescent="0.25">
      <c r="A78" s="187" t="s">
        <v>349</v>
      </c>
      <c r="B78" s="181" t="s">
        <v>45</v>
      </c>
      <c r="C78" s="181"/>
      <c r="D78" s="146" t="s">
        <v>16</v>
      </c>
      <c r="E78" s="146" t="str">
        <f>IFERROR(VLOOKUP(D78,Table2[],2,FALSE),"")</f>
        <v>Antal</v>
      </c>
      <c r="F78" s="146" t="s">
        <v>416</v>
      </c>
      <c r="G78" s="146" t="str">
        <f>IFERROR(VLOOKUP(F78,Table2[],2,FALSE),"")</f>
        <v>FE</v>
      </c>
      <c r="H78" s="201">
        <f>-Dyrehold!$C$5</f>
        <v>-855.47</v>
      </c>
      <c r="I78" s="201">
        <f>-Dyrehold!$C$5</f>
        <v>-855.47</v>
      </c>
      <c r="J78" s="201">
        <f>-Dyrehold!$C$5</f>
        <v>-855.47</v>
      </c>
      <c r="K78" s="147"/>
    </row>
    <row r="79" spans="1:11" x14ac:dyDescent="0.25">
      <c r="A79" s="187" t="s">
        <v>349</v>
      </c>
      <c r="B79" s="181" t="s">
        <v>45</v>
      </c>
      <c r="C79" s="181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8">
        <f>-Dyrehold!$L$5</f>
        <v>-6.5699999999999995E-2</v>
      </c>
      <c r="I79" s="168">
        <f>-Dyrehold!$L$5</f>
        <v>-6.5699999999999995E-2</v>
      </c>
      <c r="J79" s="168">
        <f>-Dyrehold!$L$5</f>
        <v>-6.5699999999999995E-2</v>
      </c>
      <c r="K79" s="147"/>
    </row>
    <row r="80" spans="1:11" ht="15.75" thickBot="1" x14ac:dyDescent="0.3">
      <c r="A80" s="188" t="s">
        <v>349</v>
      </c>
      <c r="B80" s="182" t="s">
        <v>45</v>
      </c>
      <c r="C80" s="182"/>
      <c r="D80" s="148" t="s">
        <v>16</v>
      </c>
      <c r="E80" s="148" t="str">
        <f>IFERROR(VLOOKUP(D80,Table2[],2,FALSE),"")</f>
        <v>Antal</v>
      </c>
      <c r="F80" s="202" t="s">
        <v>344</v>
      </c>
      <c r="G80" s="148" t="str">
        <f>IFERROR(VLOOKUP(F80,Table2[],2,FALSE),"")</f>
        <v>t CO2-ækvivalenter</v>
      </c>
      <c r="H80" s="177">
        <f>Dyrehold!$M$5</f>
        <v>0.11202449132751124</v>
      </c>
      <c r="I80" s="177">
        <f>Dyrehold!$M$5</f>
        <v>0.11202449132751124</v>
      </c>
      <c r="J80" s="177">
        <f>Dyrehold!$M$5</f>
        <v>0.11202449132751124</v>
      </c>
      <c r="K80" s="149"/>
    </row>
    <row r="81" spans="1:11" ht="15.75" thickTop="1" x14ac:dyDescent="0.25">
      <c r="A81" s="187" t="s">
        <v>349</v>
      </c>
      <c r="B81" s="181" t="s">
        <v>46</v>
      </c>
      <c r="C81" s="181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8">
        <f>Dyrehold!$H$6</f>
        <v>0.47263527552126194</v>
      </c>
      <c r="I81" s="168">
        <f>Dyrehold!$H$6</f>
        <v>0.47263527552126194</v>
      </c>
      <c r="J81" s="168">
        <f>Dyrehold!$H$6</f>
        <v>0.47263527552126194</v>
      </c>
      <c r="K81" s="147"/>
    </row>
    <row r="82" spans="1:11" x14ac:dyDescent="0.25">
      <c r="A82" s="187" t="s">
        <v>349</v>
      </c>
      <c r="B82" s="181" t="s">
        <v>46</v>
      </c>
      <c r="C82" s="181"/>
      <c r="D82" s="146" t="s">
        <v>16</v>
      </c>
      <c r="E82" s="146" t="str">
        <f>IFERROR(VLOOKUP(D82,Table2[],2,FALSE),"")</f>
        <v>Antal</v>
      </c>
      <c r="F82" s="146" t="s">
        <v>498</v>
      </c>
      <c r="G82" s="146" t="str">
        <f>IFERROR(VLOOKUP(F82,Table2[],2,FALSE),"")</f>
        <v>Ton</v>
      </c>
      <c r="H82" s="168">
        <f>Dyrehold!$F$6</f>
        <v>0</v>
      </c>
      <c r="I82" s="168">
        <f>Dyrehold!$F$6</f>
        <v>0</v>
      </c>
      <c r="J82" s="168">
        <f>Dyrehold!$F$6</f>
        <v>0</v>
      </c>
      <c r="K82" s="147"/>
    </row>
    <row r="83" spans="1:11" x14ac:dyDescent="0.25">
      <c r="A83" s="187" t="s">
        <v>349</v>
      </c>
      <c r="B83" s="181" t="s">
        <v>46</v>
      </c>
      <c r="C83" s="181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8">
        <f>Dyrehold!$G$6</f>
        <v>0.51229925609666671</v>
      </c>
      <c r="I83" s="168">
        <f>Dyrehold!$G$6</f>
        <v>0.51229925609666671</v>
      </c>
      <c r="J83" s="168">
        <f>Dyrehold!$G$6</f>
        <v>0.51229925609666671</v>
      </c>
      <c r="K83" s="147"/>
    </row>
    <row r="84" spans="1:11" x14ac:dyDescent="0.25">
      <c r="A84" s="187" t="s">
        <v>349</v>
      </c>
      <c r="B84" s="181" t="s">
        <v>46</v>
      </c>
      <c r="C84" s="181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8">
        <f>Dyrehold!$K$6</f>
        <v>1.5668203052737979E-2</v>
      </c>
      <c r="I84" s="168">
        <f>Dyrehold!$K$6</f>
        <v>1.5668203052737979E-2</v>
      </c>
      <c r="J84" s="168">
        <f>Dyrehold!$K$6</f>
        <v>1.5668203052737979E-2</v>
      </c>
      <c r="K84" s="147"/>
    </row>
    <row r="85" spans="1:11" x14ac:dyDescent="0.25">
      <c r="A85" s="187" t="s">
        <v>349</v>
      </c>
      <c r="B85" s="181" t="s">
        <v>46</v>
      </c>
      <c r="C85" s="181"/>
      <c r="D85" s="146" t="s">
        <v>16</v>
      </c>
      <c r="E85" s="146" t="str">
        <f>IFERROR(VLOOKUP(D85,Table2[],2,FALSE),"")</f>
        <v>Antal</v>
      </c>
      <c r="F85" s="146" t="s">
        <v>416</v>
      </c>
      <c r="G85" s="146" t="str">
        <f>IFERROR(VLOOKUP(F85,Table2[],2,FALSE),"")</f>
        <v>FE</v>
      </c>
      <c r="H85" s="201">
        <f>-Dyrehold!$C$6</f>
        <v>-855.47</v>
      </c>
      <c r="I85" s="201">
        <f>-Dyrehold!$C$6</f>
        <v>-855.47</v>
      </c>
      <c r="J85" s="201">
        <f>-Dyrehold!$C$6</f>
        <v>-855.47</v>
      </c>
      <c r="K85" s="147"/>
    </row>
    <row r="86" spans="1:11" x14ac:dyDescent="0.25">
      <c r="A86" s="187" t="s">
        <v>349</v>
      </c>
      <c r="B86" s="181" t="s">
        <v>46</v>
      </c>
      <c r="C86" s="181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8">
        <f>-Dyrehold!$L$6</f>
        <v>-5.7750000000000003E-2</v>
      </c>
      <c r="I86" s="168">
        <f>-Dyrehold!$L$6</f>
        <v>-5.7750000000000003E-2</v>
      </c>
      <c r="J86" s="168">
        <f>-Dyrehold!$L$6</f>
        <v>-5.7750000000000003E-2</v>
      </c>
      <c r="K86" s="147"/>
    </row>
    <row r="87" spans="1:11" ht="15.75" thickBot="1" x14ac:dyDescent="0.3">
      <c r="A87" s="187" t="s">
        <v>349</v>
      </c>
      <c r="B87" s="181" t="s">
        <v>46</v>
      </c>
      <c r="C87" s="181"/>
      <c r="D87" s="146" t="s">
        <v>16</v>
      </c>
      <c r="E87" s="146" t="str">
        <f>IFERROR(VLOOKUP(D87,Table2[],2,FALSE),"")</f>
        <v>Antal</v>
      </c>
      <c r="F87" s="150" t="s">
        <v>344</v>
      </c>
      <c r="G87" s="146" t="str">
        <f>IFERROR(VLOOKUP(F87,Table2[],2,FALSE),"")</f>
        <v>t CO2-ækvivalenter</v>
      </c>
      <c r="H87" s="177">
        <f>Dyrehold!$M$6</f>
        <v>0.12322694046026236</v>
      </c>
      <c r="I87" s="177">
        <f>Dyrehold!$M$6</f>
        <v>0.12322694046026236</v>
      </c>
      <c r="J87" s="177">
        <f>Dyrehold!$M$6</f>
        <v>0.12322694046026236</v>
      </c>
      <c r="K87" s="147"/>
    </row>
    <row r="88" spans="1:11" ht="15.75" thickTop="1" x14ac:dyDescent="0.25">
      <c r="A88" s="186" t="s">
        <v>351</v>
      </c>
      <c r="B88" s="180" t="s">
        <v>45</v>
      </c>
      <c r="C88" s="180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6">
        <f>Dyrehold!$H$7</f>
        <v>0.34772753819004898</v>
      </c>
      <c r="I88" s="176">
        <f>Dyrehold!$H$7</f>
        <v>0.34772753819004898</v>
      </c>
      <c r="J88" s="176">
        <f>Dyrehold!$H$7</f>
        <v>0.34772753819004898</v>
      </c>
      <c r="K88" s="145"/>
    </row>
    <row r="89" spans="1:11" x14ac:dyDescent="0.25">
      <c r="A89" s="187" t="s">
        <v>351</v>
      </c>
      <c r="B89" s="181" t="s">
        <v>45</v>
      </c>
      <c r="C89" s="181"/>
      <c r="D89" s="146" t="s">
        <v>17</v>
      </c>
      <c r="E89" s="146" t="str">
        <f>IFERROR(VLOOKUP(D89,Table2[],2,FALSE),"")</f>
        <v>Antal</v>
      </c>
      <c r="F89" s="146" t="s">
        <v>499</v>
      </c>
      <c r="G89" s="146" t="str">
        <f>IFERROR(VLOOKUP(F89,Table2[],2,FALSE),"")</f>
        <v>Ton</v>
      </c>
      <c r="H89" s="168">
        <f>Dyrehold!$F$7</f>
        <v>10.090491238149957</v>
      </c>
      <c r="I89" s="168">
        <f>Dyrehold!$F$7</f>
        <v>10.090491238149957</v>
      </c>
      <c r="J89" s="168">
        <f>Dyrehold!$F$7</f>
        <v>10.090491238149957</v>
      </c>
      <c r="K89" s="147"/>
    </row>
    <row r="90" spans="1:11" x14ac:dyDescent="0.25">
      <c r="A90" s="187" t="s">
        <v>351</v>
      </c>
      <c r="B90" s="181" t="s">
        <v>45</v>
      </c>
      <c r="C90" s="181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8">
        <f>Dyrehold!$G$7</f>
        <v>0.19774537441874415</v>
      </c>
      <c r="I90" s="168">
        <f>Dyrehold!$G$7</f>
        <v>0.19774537441874415</v>
      </c>
      <c r="J90" s="168">
        <f>Dyrehold!$G$7</f>
        <v>0.19774537441874415</v>
      </c>
      <c r="K90" s="147"/>
    </row>
    <row r="91" spans="1:11" x14ac:dyDescent="0.25">
      <c r="A91" s="187" t="s">
        <v>351</v>
      </c>
      <c r="B91" s="181" t="s">
        <v>45</v>
      </c>
      <c r="C91" s="181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8">
        <f>Dyrehold!$D$7</f>
        <v>3.7771765723503732</v>
      </c>
      <c r="I91" s="168">
        <f>Dyrehold!$D$7</f>
        <v>3.7771765723503732</v>
      </c>
      <c r="J91" s="168">
        <f>Dyrehold!$D$7</f>
        <v>3.7771765723503732</v>
      </c>
      <c r="K91" s="147"/>
    </row>
    <row r="92" spans="1:11" x14ac:dyDescent="0.25">
      <c r="A92" s="187" t="s">
        <v>351</v>
      </c>
      <c r="B92" s="181" t="s">
        <v>45</v>
      </c>
      <c r="C92" s="181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8">
        <f>Dyrehold!$K$7</f>
        <v>4.3029625219252375E-2</v>
      </c>
      <c r="I92" s="168">
        <f>Dyrehold!$K$7</f>
        <v>4.3029625219252375E-2</v>
      </c>
      <c r="J92" s="168">
        <f>Dyrehold!$K$7</f>
        <v>4.3029625219252375E-2</v>
      </c>
      <c r="K92" s="147"/>
    </row>
    <row r="93" spans="1:11" x14ac:dyDescent="0.25">
      <c r="A93" s="187" t="s">
        <v>351</v>
      </c>
      <c r="B93" s="181" t="s">
        <v>45</v>
      </c>
      <c r="C93" s="181"/>
      <c r="D93" s="146" t="s">
        <v>17</v>
      </c>
      <c r="E93" s="146" t="str">
        <f>IFERROR(VLOOKUP(D93,Table2[],2,FALSE),"")</f>
        <v>Antal</v>
      </c>
      <c r="F93" s="146" t="s">
        <v>416</v>
      </c>
      <c r="G93" s="146" t="str">
        <f>IFERROR(VLOOKUP(F93,Table2[],2,FALSE),"")</f>
        <v>FE</v>
      </c>
      <c r="H93" s="201">
        <f>-Dyrehold!$C$7</f>
        <v>-2618</v>
      </c>
      <c r="I93" s="201">
        <f>-Dyrehold!$C$7</f>
        <v>-2618</v>
      </c>
      <c r="J93" s="201">
        <f>-Dyrehold!$C$7</f>
        <v>-2618</v>
      </c>
      <c r="K93" s="147"/>
    </row>
    <row r="94" spans="1:11" x14ac:dyDescent="0.25">
      <c r="A94" s="187" t="s">
        <v>351</v>
      </c>
      <c r="B94" s="181" t="s">
        <v>45</v>
      </c>
      <c r="C94" s="181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5">
        <f>-Dyrehold!$L$7</f>
        <v>-1.095E-2</v>
      </c>
      <c r="I94" s="175">
        <f>-Dyrehold!$L$7</f>
        <v>-1.095E-2</v>
      </c>
      <c r="J94" s="175">
        <f>-Dyrehold!$L$7</f>
        <v>-1.095E-2</v>
      </c>
      <c r="K94" s="147"/>
    </row>
    <row r="95" spans="1:11" ht="15.75" thickBot="1" x14ac:dyDescent="0.3">
      <c r="A95" s="188" t="s">
        <v>351</v>
      </c>
      <c r="B95" s="182" t="s">
        <v>45</v>
      </c>
      <c r="C95" s="182"/>
      <c r="D95" s="148" t="s">
        <v>17</v>
      </c>
      <c r="E95" s="148" t="str">
        <f>IFERROR(VLOOKUP(D95,Table2[],2,FALSE),"")</f>
        <v>Antal</v>
      </c>
      <c r="F95" s="202" t="s">
        <v>344</v>
      </c>
      <c r="G95" s="148" t="str">
        <f>IFERROR(VLOOKUP(F95,Table2[],2,FALSE),"")</f>
        <v>t CO2-ækvivalenter</v>
      </c>
      <c r="H95" s="177">
        <f>Dyrehold!$M$7</f>
        <v>2.831717934524296</v>
      </c>
      <c r="I95" s="177">
        <f>Dyrehold!$M$7</f>
        <v>2.831717934524296</v>
      </c>
      <c r="J95" s="177">
        <f>Dyrehold!$M$7</f>
        <v>2.831717934524296</v>
      </c>
      <c r="K95" s="149"/>
    </row>
    <row r="96" spans="1:11" ht="15.75" thickTop="1" x14ac:dyDescent="0.25">
      <c r="A96" s="187" t="s">
        <v>351</v>
      </c>
      <c r="B96" s="181" t="s">
        <v>46</v>
      </c>
      <c r="C96" s="181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8">
        <f>Dyrehold!$H$8</f>
        <v>0.10430224472694208</v>
      </c>
      <c r="I96" s="168">
        <f>Dyrehold!$H$8</f>
        <v>0.10430224472694208</v>
      </c>
      <c r="J96" s="168">
        <f>Dyrehold!$H$8</f>
        <v>0.10430224472694208</v>
      </c>
      <c r="K96" s="147"/>
    </row>
    <row r="97" spans="1:11" x14ac:dyDescent="0.25">
      <c r="A97" s="187" t="s">
        <v>351</v>
      </c>
      <c r="B97" s="181" t="s">
        <v>46</v>
      </c>
      <c r="C97" s="181"/>
      <c r="D97" s="146" t="s">
        <v>17</v>
      </c>
      <c r="E97" s="146" t="str">
        <f>IFERROR(VLOOKUP(D97,Table2[],2,FALSE),"")</f>
        <v>Antal</v>
      </c>
      <c r="F97" s="146" t="s">
        <v>499</v>
      </c>
      <c r="G97" s="146" t="str">
        <f>IFERROR(VLOOKUP(F97,Table2[],2,FALSE),"")</f>
        <v>Ton</v>
      </c>
      <c r="H97" s="168">
        <f>Dyrehold!$F$8</f>
        <v>5.636332840052062</v>
      </c>
      <c r="I97" s="168">
        <f>Dyrehold!$F$8</f>
        <v>5.636332840052062</v>
      </c>
      <c r="J97" s="168">
        <f>Dyrehold!$F$8</f>
        <v>5.636332840052062</v>
      </c>
      <c r="K97" s="147"/>
    </row>
    <row r="98" spans="1:11" x14ac:dyDescent="0.25">
      <c r="A98" s="187" t="s">
        <v>351</v>
      </c>
      <c r="B98" s="181" t="s">
        <v>46</v>
      </c>
      <c r="C98" s="181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8">
        <f>Dyrehold!$G$8</f>
        <v>4.6534847647404926E-2</v>
      </c>
      <c r="I98" s="168">
        <f>Dyrehold!$G$8</f>
        <v>4.6534847647404926E-2</v>
      </c>
      <c r="J98" s="168">
        <f>Dyrehold!$G$8</f>
        <v>4.6534847647404926E-2</v>
      </c>
      <c r="K98" s="147"/>
    </row>
    <row r="99" spans="1:11" x14ac:dyDescent="0.25">
      <c r="A99" s="187" t="s">
        <v>351</v>
      </c>
      <c r="B99" s="181" t="s">
        <v>46</v>
      </c>
      <c r="C99" s="181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8">
        <f>Dyrehold!$D$8</f>
        <v>2.1529053078253426</v>
      </c>
      <c r="I99" s="168">
        <f>Dyrehold!$D$8</f>
        <v>2.1529053078253426</v>
      </c>
      <c r="J99" s="168">
        <f>Dyrehold!$D$8</f>
        <v>2.1529053078253426</v>
      </c>
      <c r="K99" s="147"/>
    </row>
    <row r="100" spans="1:11" x14ac:dyDescent="0.25">
      <c r="A100" s="187" t="s">
        <v>351</v>
      </c>
      <c r="B100" s="181" t="s">
        <v>46</v>
      </c>
      <c r="C100" s="181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8">
        <f>Dyrehold!$K$8</f>
        <v>4.3029625219252375E-2</v>
      </c>
      <c r="I100" s="168">
        <f>Dyrehold!$K$8</f>
        <v>4.3029625219252375E-2</v>
      </c>
      <c r="J100" s="168">
        <f>Dyrehold!$K$8</f>
        <v>4.3029625219252375E-2</v>
      </c>
      <c r="K100" s="147"/>
    </row>
    <row r="101" spans="1:11" x14ac:dyDescent="0.25">
      <c r="A101" s="187" t="s">
        <v>351</v>
      </c>
      <c r="B101" s="181" t="s">
        <v>46</v>
      </c>
      <c r="C101" s="181"/>
      <c r="D101" s="146" t="s">
        <v>17</v>
      </c>
      <c r="E101" s="146" t="str">
        <f>IFERROR(VLOOKUP(D101,Table2[],2,FALSE),"")</f>
        <v>Antal</v>
      </c>
      <c r="F101" s="146" t="s">
        <v>416</v>
      </c>
      <c r="G101" s="146" t="str">
        <f>IFERROR(VLOOKUP(F101,Table2[],2,FALSE),"")</f>
        <v>FE</v>
      </c>
      <c r="H101" s="201">
        <f>-Dyrehold!$C$8</f>
        <v>-2618</v>
      </c>
      <c r="I101" s="201">
        <f>-Dyrehold!$C$8</f>
        <v>-2618</v>
      </c>
      <c r="J101" s="201">
        <f>-Dyrehold!$C$8</f>
        <v>-2618</v>
      </c>
      <c r="K101" s="147"/>
    </row>
    <row r="102" spans="1:11" x14ac:dyDescent="0.25">
      <c r="A102" s="187" t="s">
        <v>351</v>
      </c>
      <c r="B102" s="181" t="s">
        <v>46</v>
      </c>
      <c r="C102" s="181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8">
        <f>-Dyrehold!$L$8</f>
        <v>-1.32E-2</v>
      </c>
      <c r="I102" s="168">
        <f>-Dyrehold!$L$8</f>
        <v>-1.32E-2</v>
      </c>
      <c r="J102" s="168">
        <f>-Dyrehold!$L$8</f>
        <v>-1.32E-2</v>
      </c>
      <c r="K102" s="147"/>
    </row>
    <row r="103" spans="1:11" ht="15.75" thickBot="1" x14ac:dyDescent="0.3">
      <c r="A103" s="187" t="s">
        <v>351</v>
      </c>
      <c r="B103" s="181" t="s">
        <v>46</v>
      </c>
      <c r="C103" s="181"/>
      <c r="D103" s="146" t="s">
        <v>17</v>
      </c>
      <c r="E103" s="146" t="str">
        <f>IFERROR(VLOOKUP(D103,Table2[],2,FALSE),"")</f>
        <v>Antal</v>
      </c>
      <c r="F103" s="150" t="s">
        <v>344</v>
      </c>
      <c r="G103" s="146" t="str">
        <f>IFERROR(VLOOKUP(F103,Table2[],2,FALSE),"")</f>
        <v>t CO2-ækvivalenter</v>
      </c>
      <c r="H103" s="177">
        <f>Dyrehold!$M$8</f>
        <v>2.3680201988872902</v>
      </c>
      <c r="I103" s="177">
        <f>Dyrehold!$M$8</f>
        <v>2.3680201988872902</v>
      </c>
      <c r="J103" s="177">
        <f>Dyrehold!$M$8</f>
        <v>2.3680201988872902</v>
      </c>
      <c r="K103" s="147"/>
    </row>
    <row r="104" spans="1:11" ht="15.75" thickTop="1" x14ac:dyDescent="0.25">
      <c r="A104" s="186" t="s">
        <v>350</v>
      </c>
      <c r="B104" s="180" t="s">
        <v>45</v>
      </c>
      <c r="C104" s="180"/>
      <c r="D104" s="144" t="s">
        <v>18</v>
      </c>
      <c r="E104" s="144" t="str">
        <f>IFERROR(VLOOKUP(D104,Table2[],2,FALSE),"")</f>
        <v>Antal</v>
      </c>
      <c r="F104" s="144" t="s">
        <v>364</v>
      </c>
      <c r="G104" s="144" t="str">
        <f>IFERROR(VLOOKUP(F104,Table2[],2,FALSE),"")</f>
        <v>Antal</v>
      </c>
      <c r="H104" s="176">
        <f>Dyrehold!$H$9</f>
        <v>5.3363578103053619</v>
      </c>
      <c r="I104" s="176">
        <f>Dyrehold!$H$9</f>
        <v>5.3363578103053619</v>
      </c>
      <c r="J104" s="176">
        <f>Dyrehold!$H$9</f>
        <v>5.3363578103053619</v>
      </c>
      <c r="K104" s="145"/>
    </row>
    <row r="105" spans="1:11" x14ac:dyDescent="0.25">
      <c r="A105" s="187" t="s">
        <v>350</v>
      </c>
      <c r="B105" s="181" t="s">
        <v>45</v>
      </c>
      <c r="C105" s="181"/>
      <c r="D105" s="146" t="s">
        <v>18</v>
      </c>
      <c r="E105" s="146" t="str">
        <f>IFERROR(VLOOKUP(D105,Table2[],2,FALSE),"")</f>
        <v>Antal</v>
      </c>
      <c r="F105" s="150" t="s">
        <v>500</v>
      </c>
      <c r="G105" s="146" t="str">
        <f>IFERROR(VLOOKUP(F105,Table2[],2,FALSE),"")</f>
        <v>Ton</v>
      </c>
      <c r="H105" s="175">
        <f>Dyrehold!$F$9</f>
        <v>3.3965332371824528E-4</v>
      </c>
      <c r="I105" s="175">
        <f>Dyrehold!$F$9</f>
        <v>3.3965332371824528E-4</v>
      </c>
      <c r="J105" s="175">
        <f>Dyrehold!$F$9</f>
        <v>3.3965332371824528E-4</v>
      </c>
      <c r="K105" s="147"/>
    </row>
    <row r="106" spans="1:11" x14ac:dyDescent="0.25">
      <c r="A106" s="187" t="s">
        <v>350</v>
      </c>
      <c r="B106" s="181" t="s">
        <v>45</v>
      </c>
      <c r="C106" s="181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8">
        <f>Dyrehold!$G$9</f>
        <v>7.5279568763122248E-3</v>
      </c>
      <c r="I106" s="168">
        <f>Dyrehold!$G$9</f>
        <v>7.5279568763122248E-3</v>
      </c>
      <c r="J106" s="168">
        <f>Dyrehold!$G$9</f>
        <v>7.5279568763122248E-3</v>
      </c>
      <c r="K106" s="147"/>
    </row>
    <row r="107" spans="1:11" x14ac:dyDescent="0.25">
      <c r="A107" s="187" t="s">
        <v>350</v>
      </c>
      <c r="B107" s="181" t="s">
        <v>45</v>
      </c>
      <c r="C107" s="181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3">
        <f>Dyrehold!$E$9</f>
        <v>1.1120887382109748E-2</v>
      </c>
      <c r="I107" s="203">
        <f>Dyrehold!$E$9</f>
        <v>1.1120887382109748E-2</v>
      </c>
      <c r="J107" s="203">
        <f>Dyrehold!$E$9</f>
        <v>1.1120887382109748E-2</v>
      </c>
      <c r="K107" s="147"/>
    </row>
    <row r="108" spans="1:11" x14ac:dyDescent="0.25">
      <c r="A108" s="187" t="s">
        <v>350</v>
      </c>
      <c r="B108" s="181" t="s">
        <v>45</v>
      </c>
      <c r="C108" s="181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3">
        <f>Dyrehold!$K$9</f>
        <v>4.6967971777477953E-4</v>
      </c>
      <c r="I108" s="203">
        <f>Dyrehold!$K$9</f>
        <v>4.6967971777477953E-4</v>
      </c>
      <c r="J108" s="203">
        <f>Dyrehold!$K$9</f>
        <v>4.6967971777477953E-4</v>
      </c>
      <c r="K108" s="147"/>
    </row>
    <row r="109" spans="1:11" x14ac:dyDescent="0.25">
      <c r="A109" s="187" t="s">
        <v>350</v>
      </c>
      <c r="B109" s="181" t="s">
        <v>45</v>
      </c>
      <c r="C109" s="181"/>
      <c r="D109" s="146" t="s">
        <v>18</v>
      </c>
      <c r="E109" s="146" t="str">
        <f>IFERROR(VLOOKUP(D109,Table2[],2,FALSE),"")</f>
        <v>Antal</v>
      </c>
      <c r="F109" s="146" t="s">
        <v>416</v>
      </c>
      <c r="G109" s="146" t="str">
        <f>IFERROR(VLOOKUP(F109,Table2[],2,FALSE),"")</f>
        <v>FE</v>
      </c>
      <c r="H109" s="201">
        <f>-Dyrehold!$C$9</f>
        <v>-18.48</v>
      </c>
      <c r="I109" s="201">
        <f>-Dyrehold!$C$9</f>
        <v>-18.48</v>
      </c>
      <c r="J109" s="201">
        <f>-Dyrehold!$C$9</f>
        <v>-18.48</v>
      </c>
      <c r="K109" s="147"/>
    </row>
    <row r="110" spans="1:11" x14ac:dyDescent="0.25">
      <c r="A110" s="187" t="s">
        <v>350</v>
      </c>
      <c r="B110" s="181" t="s">
        <v>45</v>
      </c>
      <c r="C110" s="181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8">
        <f>-Dyrehold!$L$9</f>
        <v>-4.3799999999999997E-4</v>
      </c>
      <c r="I110" s="168">
        <f>-Dyrehold!$L$9</f>
        <v>-4.3799999999999997E-4</v>
      </c>
      <c r="J110" s="168">
        <f>-Dyrehold!$L$9</f>
        <v>-4.3799999999999997E-4</v>
      </c>
      <c r="K110" s="147"/>
    </row>
    <row r="111" spans="1:11" ht="15.75" thickBot="1" x14ac:dyDescent="0.3">
      <c r="A111" s="188" t="s">
        <v>350</v>
      </c>
      <c r="B111" s="182" t="s">
        <v>45</v>
      </c>
      <c r="C111" s="182"/>
      <c r="D111" s="148" t="s">
        <v>18</v>
      </c>
      <c r="E111" s="148" t="str">
        <f>IFERROR(VLOOKUP(D111,Table2[],2,FALSE),"")</f>
        <v>Antal</v>
      </c>
      <c r="F111" s="202" t="s">
        <v>344</v>
      </c>
      <c r="G111" s="148" t="str">
        <f>IFERROR(VLOOKUP(F111,Table2[],2,FALSE),"")</f>
        <v>t CO2-ækvivalenter</v>
      </c>
      <c r="H111" s="177">
        <f>Dyrehold!$M$9</f>
        <v>7.1358057718871957E-4</v>
      </c>
      <c r="I111" s="177">
        <f>Dyrehold!$M$9</f>
        <v>7.1358057718871957E-4</v>
      </c>
      <c r="J111" s="177">
        <f>Dyrehold!$M$9</f>
        <v>7.1358057718871957E-4</v>
      </c>
      <c r="K111" s="149"/>
    </row>
    <row r="112" spans="1:11" ht="15.75" thickTop="1" x14ac:dyDescent="0.25">
      <c r="A112" s="187" t="s">
        <v>350</v>
      </c>
      <c r="B112" s="181" t="s">
        <v>46</v>
      </c>
      <c r="C112" s="181"/>
      <c r="D112" s="146" t="s">
        <v>18</v>
      </c>
      <c r="E112" s="146" t="str">
        <f>IFERROR(VLOOKUP(D112,Table2[],2,FALSE),"")</f>
        <v>Antal</v>
      </c>
      <c r="F112" s="146" t="s">
        <v>364</v>
      </c>
      <c r="G112" s="146" t="str">
        <f>IFERROR(VLOOKUP(F112,Table2[],2,FALSE),"")</f>
        <v>Antal</v>
      </c>
      <c r="H112" s="168">
        <f>Dyrehold!$H$10</f>
        <v>0.37369537669419861</v>
      </c>
      <c r="I112" s="168">
        <f>Dyrehold!$H$10</f>
        <v>0.37369537669419861</v>
      </c>
      <c r="J112" s="168">
        <f>Dyrehold!$H$10</f>
        <v>0.37369537669419861</v>
      </c>
      <c r="K112" s="147"/>
    </row>
    <row r="113" spans="1:11" x14ac:dyDescent="0.25">
      <c r="A113" s="187" t="s">
        <v>350</v>
      </c>
      <c r="B113" s="181" t="s">
        <v>46</v>
      </c>
      <c r="C113" s="181"/>
      <c r="D113" s="146" t="s">
        <v>18</v>
      </c>
      <c r="E113" s="146" t="str">
        <f>IFERROR(VLOOKUP(D113,Table2[],2,FALSE),"")</f>
        <v>Antal</v>
      </c>
      <c r="F113" s="150" t="s">
        <v>500</v>
      </c>
      <c r="G113" s="146" t="str">
        <f>IFERROR(VLOOKUP(F113,Table2[],2,FALSE),"")</f>
        <v>Ton</v>
      </c>
      <c r="H113" s="168">
        <f>Dyrehold!$F$10</f>
        <v>6.6023396673266124E-4</v>
      </c>
      <c r="I113" s="168">
        <f>Dyrehold!$F$10</f>
        <v>6.6023396673266124E-4</v>
      </c>
      <c r="J113" s="168">
        <f>Dyrehold!$F$10</f>
        <v>6.6023396673266124E-4</v>
      </c>
      <c r="K113" s="147"/>
    </row>
    <row r="114" spans="1:11" x14ac:dyDescent="0.25">
      <c r="A114" s="187" t="s">
        <v>350</v>
      </c>
      <c r="B114" s="181" t="s">
        <v>46</v>
      </c>
      <c r="C114" s="181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5">
        <f>Dyrehold!$G$10</f>
        <v>2.4860457648070043E-3</v>
      </c>
      <c r="I114" s="175">
        <f>Dyrehold!$G$10</f>
        <v>2.4860457648070043E-3</v>
      </c>
      <c r="J114" s="175">
        <f>Dyrehold!$G$10</f>
        <v>2.4860457648070043E-3</v>
      </c>
      <c r="K114" s="147"/>
    </row>
    <row r="115" spans="1:11" x14ac:dyDescent="0.25">
      <c r="A115" s="187" t="s">
        <v>350</v>
      </c>
      <c r="B115" s="181" t="s">
        <v>46</v>
      </c>
      <c r="C115" s="181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3">
        <f>Dyrehold!$E$10</f>
        <v>4.5769564887054442E-3</v>
      </c>
      <c r="I115" s="203">
        <f>Dyrehold!$E$10</f>
        <v>4.5769564887054442E-3</v>
      </c>
      <c r="J115" s="203">
        <f>Dyrehold!$E$10</f>
        <v>4.5769564887054442E-3</v>
      </c>
      <c r="K115" s="147"/>
    </row>
    <row r="116" spans="1:11" x14ac:dyDescent="0.25">
      <c r="A116" s="187" t="s">
        <v>350</v>
      </c>
      <c r="B116" s="181" t="s">
        <v>46</v>
      </c>
      <c r="C116" s="181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3">
        <f>Dyrehold!$K$10</f>
        <v>4.6967971777477953E-4</v>
      </c>
      <c r="I116" s="203">
        <f>Dyrehold!$K$10</f>
        <v>4.6967971777477953E-4</v>
      </c>
      <c r="J116" s="203">
        <f>Dyrehold!$K$10</f>
        <v>4.6967971777477953E-4</v>
      </c>
      <c r="K116" s="147"/>
    </row>
    <row r="117" spans="1:11" x14ac:dyDescent="0.25">
      <c r="A117" s="187" t="s">
        <v>350</v>
      </c>
      <c r="B117" s="181" t="s">
        <v>46</v>
      </c>
      <c r="C117" s="181"/>
      <c r="D117" s="146" t="s">
        <v>18</v>
      </c>
      <c r="E117" s="146" t="str">
        <f>IFERROR(VLOOKUP(D117,Table2[],2,FALSE),"")</f>
        <v>Antal</v>
      </c>
      <c r="F117" s="146" t="s">
        <v>416</v>
      </c>
      <c r="G117" s="146" t="str">
        <f>IFERROR(VLOOKUP(F117,Table2[],2,FALSE),"")</f>
        <v>FE</v>
      </c>
      <c r="H117" s="201">
        <f>-Dyrehold!$C$10</f>
        <v>-18.48</v>
      </c>
      <c r="I117" s="201">
        <f>-Dyrehold!$C$10</f>
        <v>-18.48</v>
      </c>
      <c r="J117" s="201">
        <f>-Dyrehold!$C$10</f>
        <v>-18.48</v>
      </c>
      <c r="K117" s="147"/>
    </row>
    <row r="118" spans="1:11" x14ac:dyDescent="0.25">
      <c r="A118" s="187" t="s">
        <v>350</v>
      </c>
      <c r="B118" s="181" t="s">
        <v>46</v>
      </c>
      <c r="C118" s="181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8">
        <f>-Dyrehold!$L$10</f>
        <v>-8.25E-4</v>
      </c>
      <c r="I118" s="168">
        <f>-Dyrehold!$L$10</f>
        <v>-8.25E-4</v>
      </c>
      <c r="J118" s="168">
        <f>-Dyrehold!$L$10</f>
        <v>-8.25E-4</v>
      </c>
      <c r="K118" s="147"/>
    </row>
    <row r="119" spans="1:11" ht="15.75" thickBot="1" x14ac:dyDescent="0.3">
      <c r="A119" s="187" t="s">
        <v>350</v>
      </c>
      <c r="B119" s="181" t="s">
        <v>46</v>
      </c>
      <c r="C119" s="181"/>
      <c r="D119" t="s">
        <v>18</v>
      </c>
      <c r="E119" t="str">
        <f>IFERROR(VLOOKUP(D119,Table2[],2,FALSE),"")</f>
        <v>Antal</v>
      </c>
      <c r="F119" s="150" t="s">
        <v>344</v>
      </c>
      <c r="G119" s="146" t="str">
        <f>IFERROR(VLOOKUP(F119,Table2[],2,FALSE),"")</f>
        <v>t CO2-ækvivalenter</v>
      </c>
      <c r="H119" s="177">
        <f>Dyrehold!$M$10</f>
        <v>7.8493863490759156E-4</v>
      </c>
      <c r="I119" s="177">
        <f>Dyrehold!$M$10</f>
        <v>7.8493863490759156E-4</v>
      </c>
      <c r="J119" s="177">
        <f>Dyrehold!$M$10</f>
        <v>7.8493863490759156E-4</v>
      </c>
      <c r="K119" s="147"/>
    </row>
    <row r="120" spans="1:11" ht="15.75" thickTop="1" x14ac:dyDescent="0.25">
      <c r="A120" s="186" t="s">
        <v>25</v>
      </c>
      <c r="B120" s="180" t="s">
        <v>45</v>
      </c>
      <c r="C120" s="180" t="str">
        <f>Jordbund1</f>
        <v>JB1-10</v>
      </c>
      <c r="D120" s="144" t="s">
        <v>358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25">
      <c r="A121" s="187" t="s">
        <v>25</v>
      </c>
      <c r="B121" s="181" t="s">
        <v>45</v>
      </c>
      <c r="C121" s="181" t="str">
        <f>Jordbund1</f>
        <v>JB1-10</v>
      </c>
      <c r="D121" s="146" t="s">
        <v>358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25">
      <c r="A122" s="187" t="s">
        <v>25</v>
      </c>
      <c r="B122" s="181" t="s">
        <v>45</v>
      </c>
      <c r="C122" s="181" t="str">
        <f>Jordbund1</f>
        <v>JB1-10</v>
      </c>
      <c r="D122" s="146" t="s">
        <v>358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5.75" thickBot="1" x14ac:dyDescent="0.3">
      <c r="A123" s="187" t="s">
        <v>25</v>
      </c>
      <c r="B123" s="181" t="s">
        <v>45</v>
      </c>
      <c r="C123" s="181" t="str">
        <f>Jordbund1</f>
        <v>JB1-10</v>
      </c>
      <c r="D123" s="146" t="s">
        <v>358</v>
      </c>
      <c r="E123" s="146" t="str">
        <f>IFERROR(VLOOKUP(D123,Table2[],2,FALSE),"")</f>
        <v>Hektar</v>
      </c>
      <c r="F123" s="150" t="s">
        <v>344</v>
      </c>
      <c r="G123" s="146" t="str">
        <f>IFERROR(VLOOKUP(F123,Table2[],2,FALSE),"")</f>
        <v>t CO2-ækvivalenter</v>
      </c>
      <c r="H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5.75" thickTop="1" x14ac:dyDescent="0.25">
      <c r="A124" s="186" t="s">
        <v>25</v>
      </c>
      <c r="B124" s="180" t="s">
        <v>45</v>
      </c>
      <c r="C124" s="180" t="str">
        <f>Organ6</f>
        <v>OC6</v>
      </c>
      <c r="D124" s="144" t="s">
        <v>358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25">
      <c r="A125" s="187" t="s">
        <v>25</v>
      </c>
      <c r="B125" s="181" t="s">
        <v>45</v>
      </c>
      <c r="C125" s="181" t="str">
        <f>Organ6</f>
        <v>OC6</v>
      </c>
      <c r="D125" s="146" t="s">
        <v>358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25">
      <c r="A126" s="187" t="s">
        <v>25</v>
      </c>
      <c r="B126" s="181" t="s">
        <v>45</v>
      </c>
      <c r="C126" s="181" t="str">
        <f>Organ6</f>
        <v>OC6</v>
      </c>
      <c r="D126" s="146" t="s">
        <v>358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5.75" thickBot="1" x14ac:dyDescent="0.3">
      <c r="A127" s="187" t="s">
        <v>25</v>
      </c>
      <c r="B127" s="181" t="s">
        <v>45</v>
      </c>
      <c r="C127" s="181" t="str">
        <f>Organ6</f>
        <v>OC6</v>
      </c>
      <c r="D127" s="146" t="s">
        <v>358</v>
      </c>
      <c r="E127" s="146" t="str">
        <f>IFERROR(VLOOKUP(D127,Table2[],2,FALSE),"")</f>
        <v>Hektar</v>
      </c>
      <c r="F127" s="150" t="s">
        <v>344</v>
      </c>
      <c r="G127" s="146" t="str">
        <f>IFERROR(VLOOKUP(F127,Table2[],2,FALSE),"")</f>
        <v>t CO2-ækvivalenter</v>
      </c>
      <c r="H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5.75" thickTop="1" x14ac:dyDescent="0.25">
      <c r="A128" s="186" t="s">
        <v>25</v>
      </c>
      <c r="B128" s="180" t="s">
        <v>45</v>
      </c>
      <c r="C128" s="180" t="str">
        <f>Organ12</f>
        <v>OC12</v>
      </c>
      <c r="D128" s="144" t="s">
        <v>358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25">
      <c r="A129" s="187" t="s">
        <v>25</v>
      </c>
      <c r="B129" s="181" t="s">
        <v>45</v>
      </c>
      <c r="C129" s="181" t="str">
        <f>Organ12</f>
        <v>OC12</v>
      </c>
      <c r="D129" s="146" t="s">
        <v>358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25">
      <c r="A130" s="187" t="s">
        <v>25</v>
      </c>
      <c r="B130" s="181" t="s">
        <v>45</v>
      </c>
      <c r="C130" s="181" t="str">
        <f>Organ12</f>
        <v>OC12</v>
      </c>
      <c r="D130" s="146" t="s">
        <v>358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5.75" thickBot="1" x14ac:dyDescent="0.3">
      <c r="A131" s="187" t="s">
        <v>25</v>
      </c>
      <c r="B131" s="181" t="s">
        <v>45</v>
      </c>
      <c r="C131" s="181" t="str">
        <f>Organ12</f>
        <v>OC12</v>
      </c>
      <c r="D131" s="146" t="s">
        <v>358</v>
      </c>
      <c r="E131" s="146" t="str">
        <f>IFERROR(VLOOKUP(D131,Table2[],2,FALSE),"")</f>
        <v>Hektar</v>
      </c>
      <c r="F131" s="150" t="s">
        <v>344</v>
      </c>
      <c r="G131" s="146" t="str">
        <f>IFERROR(VLOOKUP(F131,Table2[],2,FALSE),"")</f>
        <v>t CO2-ækvivalenter</v>
      </c>
      <c r="H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5.75" thickTop="1" x14ac:dyDescent="0.25">
      <c r="A132" s="186" t="s">
        <v>25</v>
      </c>
      <c r="B132" s="180" t="s">
        <v>46</v>
      </c>
      <c r="C132" s="180" t="str">
        <f>Jordbund1</f>
        <v>JB1-10</v>
      </c>
      <c r="D132" s="144" t="s">
        <v>358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25">
      <c r="A133" s="187" t="s">
        <v>25</v>
      </c>
      <c r="B133" s="181" t="s">
        <v>46</v>
      </c>
      <c r="C133" s="181" t="str">
        <f>Jordbund1</f>
        <v>JB1-10</v>
      </c>
      <c r="D133" s="146" t="s">
        <v>358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25">
      <c r="A134" s="187" t="s">
        <v>25</v>
      </c>
      <c r="B134" s="181" t="s">
        <v>46</v>
      </c>
      <c r="C134" s="181" t="str">
        <f>Jordbund1</f>
        <v>JB1-10</v>
      </c>
      <c r="D134" s="146" t="s">
        <v>358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5.75" thickBot="1" x14ac:dyDescent="0.3">
      <c r="A135" s="188" t="s">
        <v>25</v>
      </c>
      <c r="B135" s="182" t="s">
        <v>46</v>
      </c>
      <c r="C135" s="182" t="str">
        <f>Jordbund1</f>
        <v>JB1-10</v>
      </c>
      <c r="D135" s="148" t="s">
        <v>358</v>
      </c>
      <c r="E135" s="148" t="str">
        <f>IFERROR(VLOOKUP(D135,Table2[],2,FALSE),"")</f>
        <v>Hektar</v>
      </c>
      <c r="F135" s="202" t="s">
        <v>344</v>
      </c>
      <c r="G135" s="148" t="str">
        <f>IFERROR(VLOOKUP(F135,Table2[],2,FALSE),"")</f>
        <v>t CO2-ækvivalenter</v>
      </c>
      <c r="H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5.75" thickTop="1" x14ac:dyDescent="0.25">
      <c r="A136" s="186" t="s">
        <v>25</v>
      </c>
      <c r="B136" s="180" t="s">
        <v>46</v>
      </c>
      <c r="C136" s="180" t="str">
        <f>Organ6</f>
        <v>OC6</v>
      </c>
      <c r="D136" s="144" t="s">
        <v>358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25">
      <c r="A137" s="187" t="s">
        <v>25</v>
      </c>
      <c r="B137" s="181" t="s">
        <v>46</v>
      </c>
      <c r="C137" s="181" t="str">
        <f>Organ6</f>
        <v>OC6</v>
      </c>
      <c r="D137" s="146" t="s">
        <v>358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25">
      <c r="A138" s="187" t="s">
        <v>25</v>
      </c>
      <c r="B138" s="181" t="s">
        <v>46</v>
      </c>
      <c r="C138" s="181" t="str">
        <f>Organ6</f>
        <v>OC6</v>
      </c>
      <c r="D138" s="146" t="s">
        <v>358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5.75" thickBot="1" x14ac:dyDescent="0.3">
      <c r="A139" s="188" t="s">
        <v>25</v>
      </c>
      <c r="B139" s="182" t="s">
        <v>46</v>
      </c>
      <c r="C139" s="182" t="str">
        <f>Organ6</f>
        <v>OC6</v>
      </c>
      <c r="D139" s="148" t="s">
        <v>358</v>
      </c>
      <c r="E139" s="148" t="str">
        <f>IFERROR(VLOOKUP(D139,Table2[],2,FALSE),"")</f>
        <v>Hektar</v>
      </c>
      <c r="F139" s="202" t="s">
        <v>344</v>
      </c>
      <c r="G139" s="148" t="str">
        <f>IFERROR(VLOOKUP(F139,Table2[],2,FALSE),"")</f>
        <v>t CO2-ækvivalenter</v>
      </c>
      <c r="H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5.75" thickTop="1" x14ac:dyDescent="0.25">
      <c r="A140" s="186" t="s">
        <v>25</v>
      </c>
      <c r="B140" s="180" t="s">
        <v>46</v>
      </c>
      <c r="C140" s="180" t="str">
        <f>Organ12</f>
        <v>OC12</v>
      </c>
      <c r="D140" s="144" t="s">
        <v>358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25">
      <c r="A141" s="187" t="s">
        <v>25</v>
      </c>
      <c r="B141" s="181" t="s">
        <v>46</v>
      </c>
      <c r="C141" s="181" t="str">
        <f>Organ12</f>
        <v>OC12</v>
      </c>
      <c r="D141" s="146" t="s">
        <v>358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25">
      <c r="A142" s="187" t="s">
        <v>25</v>
      </c>
      <c r="B142" s="181" t="s">
        <v>46</v>
      </c>
      <c r="C142" s="181" t="str">
        <f>Organ12</f>
        <v>OC12</v>
      </c>
      <c r="D142" s="146" t="s">
        <v>358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5.75" thickBot="1" x14ac:dyDescent="0.3">
      <c r="A143" s="188" t="s">
        <v>25</v>
      </c>
      <c r="B143" s="182" t="s">
        <v>46</v>
      </c>
      <c r="C143" s="182" t="str">
        <f>Organ12</f>
        <v>OC12</v>
      </c>
      <c r="D143" s="148" t="s">
        <v>358</v>
      </c>
      <c r="E143" s="148" t="str">
        <f>IFERROR(VLOOKUP(D143,Table2[],2,FALSE),"")</f>
        <v>Hektar</v>
      </c>
      <c r="F143" s="202" t="s">
        <v>344</v>
      </c>
      <c r="G143" s="148" t="str">
        <f>IFERROR(VLOOKUP(F143,Table2[],2,FALSE),"")</f>
        <v>t CO2-ækvivalenter</v>
      </c>
      <c r="H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5.75" thickTop="1" x14ac:dyDescent="0.25">
      <c r="A144" s="186" t="s">
        <v>26</v>
      </c>
      <c r="B144" s="180" t="s">
        <v>45</v>
      </c>
      <c r="C144" s="180" t="str">
        <f>Jordbund1</f>
        <v>JB1-10</v>
      </c>
      <c r="D144" s="241" t="s">
        <v>356</v>
      </c>
      <c r="E144" s="241" t="str">
        <f>IFERROR(VLOOKUP(D144,Table2[],2,FALSE),"")</f>
        <v>Hektar</v>
      </c>
      <c r="F144" s="241" t="s">
        <v>12</v>
      </c>
      <c r="G144" s="241" t="str">
        <f>IFERROR(VLOOKUP(F144,Table2[],2,FALSE),"")</f>
        <v>Ton</v>
      </c>
      <c r="H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25">
      <c r="A145" s="187" t="s">
        <v>26</v>
      </c>
      <c r="B145" s="181" t="s">
        <v>45</v>
      </c>
      <c r="C145" s="181" t="str">
        <f>Jordbund1</f>
        <v>JB1-10</v>
      </c>
      <c r="D145" s="150" t="s">
        <v>356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5.75" thickBot="1" x14ac:dyDescent="0.3">
      <c r="A146" s="188" t="s">
        <v>26</v>
      </c>
      <c r="B146" s="182" t="s">
        <v>45</v>
      </c>
      <c r="C146" s="182" t="str">
        <f>Jordbund1</f>
        <v>JB1-10</v>
      </c>
      <c r="D146" s="202" t="s">
        <v>356</v>
      </c>
      <c r="E146" s="202" t="str">
        <f>IFERROR(VLOOKUP(D146,Table2[],2,FALSE),"")</f>
        <v>Hektar</v>
      </c>
      <c r="F146" s="202" t="s">
        <v>344</v>
      </c>
      <c r="G146" s="202" t="str">
        <f>IFERROR(VLOOKUP(F146,Table2[],2,FALSE),"")</f>
        <v>t CO2-ækvivalenter</v>
      </c>
      <c r="H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5.75" thickTop="1" x14ac:dyDescent="0.25">
      <c r="A147" s="186" t="s">
        <v>26</v>
      </c>
      <c r="B147" s="180" t="s">
        <v>45</v>
      </c>
      <c r="C147" s="180" t="str">
        <f>Organ6</f>
        <v>OC6</v>
      </c>
      <c r="D147" s="241" t="s">
        <v>356</v>
      </c>
      <c r="E147" s="241" t="str">
        <f>IFERROR(VLOOKUP(D147,Table2[],2,FALSE),"")</f>
        <v>Hektar</v>
      </c>
      <c r="F147" s="241" t="s">
        <v>12</v>
      </c>
      <c r="G147" s="241" t="str">
        <f>IFERROR(VLOOKUP(F147,Table2[],2,FALSE),"")</f>
        <v>Ton</v>
      </c>
      <c r="H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25">
      <c r="A148" s="187" t="s">
        <v>26</v>
      </c>
      <c r="B148" s="181" t="s">
        <v>45</v>
      </c>
      <c r="C148" s="181" t="str">
        <f>Organ6</f>
        <v>OC6</v>
      </c>
      <c r="D148" s="150" t="s">
        <v>356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5.75" thickBot="1" x14ac:dyDescent="0.3">
      <c r="A149" s="188" t="s">
        <v>26</v>
      </c>
      <c r="B149" s="182" t="s">
        <v>45</v>
      </c>
      <c r="C149" s="182" t="str">
        <f>Organ6</f>
        <v>OC6</v>
      </c>
      <c r="D149" s="202" t="s">
        <v>356</v>
      </c>
      <c r="E149" s="202" t="str">
        <f>IFERROR(VLOOKUP(D149,Table2[],2,FALSE),"")</f>
        <v>Hektar</v>
      </c>
      <c r="F149" s="202" t="s">
        <v>344</v>
      </c>
      <c r="G149" s="202" t="str">
        <f>IFERROR(VLOOKUP(F149,Table2[],2,FALSE),"")</f>
        <v>t CO2-ækvivalenter</v>
      </c>
      <c r="H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5.75" thickTop="1" x14ac:dyDescent="0.25">
      <c r="A150" s="186" t="s">
        <v>26</v>
      </c>
      <c r="B150" s="180" t="s">
        <v>45</v>
      </c>
      <c r="C150" s="180" t="str">
        <f>Organ12</f>
        <v>OC12</v>
      </c>
      <c r="D150" s="241" t="s">
        <v>356</v>
      </c>
      <c r="E150" s="241" t="str">
        <f>IFERROR(VLOOKUP(D150,Table2[],2,FALSE),"")</f>
        <v>Hektar</v>
      </c>
      <c r="F150" s="241" t="s">
        <v>12</v>
      </c>
      <c r="G150" s="241" t="str">
        <f>IFERROR(VLOOKUP(F150,Table2[],2,FALSE),"")</f>
        <v>Ton</v>
      </c>
      <c r="H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25">
      <c r="A151" s="187" t="s">
        <v>26</v>
      </c>
      <c r="B151" s="181" t="s">
        <v>45</v>
      </c>
      <c r="C151" s="181" t="str">
        <f>Organ12</f>
        <v>OC12</v>
      </c>
      <c r="D151" s="150" t="s">
        <v>356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5.75" thickBot="1" x14ac:dyDescent="0.3">
      <c r="A152" s="188" t="s">
        <v>26</v>
      </c>
      <c r="B152" s="182" t="s">
        <v>45</v>
      </c>
      <c r="C152" s="182" t="str">
        <f>Organ12</f>
        <v>OC12</v>
      </c>
      <c r="D152" s="202" t="s">
        <v>356</v>
      </c>
      <c r="E152" s="202" t="str">
        <f>IFERROR(VLOOKUP(D152,Table2[],2,FALSE),"")</f>
        <v>Hektar</v>
      </c>
      <c r="F152" s="202" t="s">
        <v>344</v>
      </c>
      <c r="G152" s="202" t="str">
        <f>IFERROR(VLOOKUP(F152,Table2[],2,FALSE),"")</f>
        <v>t CO2-ækvivalenter</v>
      </c>
      <c r="H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5.75" thickTop="1" x14ac:dyDescent="0.25">
      <c r="A153" s="186" t="s">
        <v>26</v>
      </c>
      <c r="B153" s="180" t="s">
        <v>46</v>
      </c>
      <c r="C153" s="180" t="str">
        <f>Jordbund1</f>
        <v>JB1-10</v>
      </c>
      <c r="D153" s="241" t="s">
        <v>356</v>
      </c>
      <c r="E153" s="241" t="str">
        <f>IFERROR(VLOOKUP(D153,Table2[],2,FALSE),"")</f>
        <v>Hektar</v>
      </c>
      <c r="F153" s="241" t="s">
        <v>12</v>
      </c>
      <c r="G153" s="241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25">
      <c r="A154" s="187" t="s">
        <v>26</v>
      </c>
      <c r="B154" s="181" t="s">
        <v>46</v>
      </c>
      <c r="C154" s="181" t="str">
        <f>Jordbund1</f>
        <v>JB1-10</v>
      </c>
      <c r="D154" s="150" t="s">
        <v>356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8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5.75" thickBot="1" x14ac:dyDescent="0.3">
      <c r="A155" s="188" t="s">
        <v>26</v>
      </c>
      <c r="B155" s="182" t="s">
        <v>46</v>
      </c>
      <c r="C155" s="182" t="str">
        <f>Jordbund1</f>
        <v>JB1-10</v>
      </c>
      <c r="D155" s="202" t="s">
        <v>356</v>
      </c>
      <c r="E155" s="202" t="str">
        <f>IFERROR(VLOOKUP(D155,Table2[],2,FALSE),"")</f>
        <v>Hektar</v>
      </c>
      <c r="F155" s="202" t="s">
        <v>344</v>
      </c>
      <c r="G155" s="202" t="str">
        <f>IFERROR(VLOOKUP(F155,Table2[],2,FALSE),"")</f>
        <v>t CO2-ækvivalenter</v>
      </c>
      <c r="H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5.75" thickTop="1" x14ac:dyDescent="0.25">
      <c r="A156" s="186" t="s">
        <v>26</v>
      </c>
      <c r="B156" s="180" t="s">
        <v>46</v>
      </c>
      <c r="C156" s="180" t="str">
        <f>Organ6</f>
        <v>OC6</v>
      </c>
      <c r="D156" s="241" t="s">
        <v>356</v>
      </c>
      <c r="E156" s="241" t="str">
        <f>IFERROR(VLOOKUP(D156,Table2[],2,FALSE),"")</f>
        <v>Hektar</v>
      </c>
      <c r="F156" s="241" t="s">
        <v>12</v>
      </c>
      <c r="G156" s="241" t="str">
        <f>IFERROR(VLOOKUP(F156,Table2[],2,FALSE),"")</f>
        <v>Ton</v>
      </c>
      <c r="H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25">
      <c r="A157" s="187" t="s">
        <v>26</v>
      </c>
      <c r="B157" s="181" t="s">
        <v>46</v>
      </c>
      <c r="C157" s="181" t="str">
        <f>Organ6</f>
        <v>OC6</v>
      </c>
      <c r="D157" s="150" t="s">
        <v>356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8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5.75" thickBot="1" x14ac:dyDescent="0.3">
      <c r="A158" s="188" t="s">
        <v>26</v>
      </c>
      <c r="B158" s="182" t="s">
        <v>46</v>
      </c>
      <c r="C158" s="182" t="str">
        <f>Organ6</f>
        <v>OC6</v>
      </c>
      <c r="D158" s="202" t="s">
        <v>356</v>
      </c>
      <c r="E158" s="202" t="str">
        <f>IFERROR(VLOOKUP(D158,Table2[],2,FALSE),"")</f>
        <v>Hektar</v>
      </c>
      <c r="F158" s="202" t="s">
        <v>344</v>
      </c>
      <c r="G158" s="202" t="str">
        <f>IFERROR(VLOOKUP(F158,Table2[],2,FALSE),"")</f>
        <v>t CO2-ækvivalenter</v>
      </c>
      <c r="H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5.75" thickTop="1" x14ac:dyDescent="0.25">
      <c r="A159" s="186" t="s">
        <v>26</v>
      </c>
      <c r="B159" s="180" t="s">
        <v>46</v>
      </c>
      <c r="C159" s="180" t="str">
        <f>Organ12</f>
        <v>OC12</v>
      </c>
      <c r="D159" s="241" t="s">
        <v>356</v>
      </c>
      <c r="E159" s="241" t="str">
        <f>IFERROR(VLOOKUP(D159,Table2[],2,FALSE),"")</f>
        <v>Hektar</v>
      </c>
      <c r="F159" s="241" t="s">
        <v>12</v>
      </c>
      <c r="G159" s="241" t="str">
        <f>IFERROR(VLOOKUP(F159,Table2[],2,FALSE),"")</f>
        <v>Ton</v>
      </c>
      <c r="H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25">
      <c r="A160" s="187" t="s">
        <v>26</v>
      </c>
      <c r="B160" s="181" t="s">
        <v>46</v>
      </c>
      <c r="C160" s="181" t="str">
        <f>Organ12</f>
        <v>OC12</v>
      </c>
      <c r="D160" s="150" t="s">
        <v>356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8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5.75" thickBot="1" x14ac:dyDescent="0.3">
      <c r="A161" s="188" t="s">
        <v>26</v>
      </c>
      <c r="B161" s="182" t="s">
        <v>46</v>
      </c>
      <c r="C161" s="182" t="str">
        <f>Organ12</f>
        <v>OC12</v>
      </c>
      <c r="D161" s="202" t="s">
        <v>356</v>
      </c>
      <c r="E161" s="202" t="str">
        <f>IFERROR(VLOOKUP(D161,Table2[],2,FALSE),"")</f>
        <v>Hektar</v>
      </c>
      <c r="F161" s="202" t="s">
        <v>344</v>
      </c>
      <c r="G161" s="202" t="str">
        <f>IFERROR(VLOOKUP(F161,Table2[],2,FALSE),"")</f>
        <v>t CO2-ækvivalenter</v>
      </c>
      <c r="H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5.75" thickTop="1" x14ac:dyDescent="0.25">
      <c r="A162" s="187" t="s">
        <v>27</v>
      </c>
      <c r="B162" s="181" t="s">
        <v>45</v>
      </c>
      <c r="C162" s="181"/>
      <c r="D162" s="150" t="s">
        <v>356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25">
      <c r="A163" s="187" t="s">
        <v>27</v>
      </c>
      <c r="B163" s="181" t="s">
        <v>45</v>
      </c>
      <c r="C163" s="181"/>
      <c r="D163" s="150" t="s">
        <v>356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5.75" thickBot="1" x14ac:dyDescent="0.3">
      <c r="A164" s="187" t="s">
        <v>27</v>
      </c>
      <c r="B164" s="181" t="s">
        <v>45</v>
      </c>
      <c r="C164" s="181"/>
      <c r="D164" s="150" t="s">
        <v>356</v>
      </c>
      <c r="E164" s="150" t="str">
        <f>IFERROR(VLOOKUP(D164,Table2[],2,FALSE),"")</f>
        <v>Hektar</v>
      </c>
      <c r="F164" s="150" t="s">
        <v>344</v>
      </c>
      <c r="G164" s="150" t="str">
        <f>IFERROR(VLOOKUP(F164,Table2[],2,FALSE),"")</f>
        <v>t CO2-ækvivalenter</v>
      </c>
      <c r="H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5.75" thickTop="1" x14ac:dyDescent="0.25">
      <c r="A165" s="186" t="s">
        <v>27</v>
      </c>
      <c r="B165" s="180" t="s">
        <v>46</v>
      </c>
      <c r="C165" s="180"/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25">
      <c r="A166" s="187" t="s">
        <v>27</v>
      </c>
      <c r="B166" s="181" t="s">
        <v>46</v>
      </c>
      <c r="C166" s="181"/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5.75" thickBot="1" x14ac:dyDescent="0.3">
      <c r="A167" s="188" t="s">
        <v>27</v>
      </c>
      <c r="B167" s="182" t="s">
        <v>46</v>
      </c>
      <c r="C167" s="182"/>
      <c r="D167" s="148" t="s">
        <v>356</v>
      </c>
      <c r="E167" s="148" t="str">
        <f>IFERROR(VLOOKUP(D167,Table2[],2,FALSE),"")</f>
        <v>Hektar</v>
      </c>
      <c r="F167" s="202" t="s">
        <v>344</v>
      </c>
      <c r="G167" s="148" t="str">
        <f>IFERROR(VLOOKUP(F167,Table2[],2,FALSE),"")</f>
        <v>t CO2-ækvivalenter</v>
      </c>
      <c r="H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5.75" thickTop="1" x14ac:dyDescent="0.25">
      <c r="A168" s="186" t="s">
        <v>304</v>
      </c>
      <c r="B168" s="180" t="s">
        <v>45</v>
      </c>
      <c r="C168" s="180" t="str">
        <f>Jordbund1</f>
        <v>JB1-10</v>
      </c>
      <c r="D168" s="144" t="s">
        <v>357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25">
      <c r="A169" s="187" t="s">
        <v>304</v>
      </c>
      <c r="B169" s="181" t="s">
        <v>45</v>
      </c>
      <c r="C169" s="181" t="str">
        <f>Jordbund1</f>
        <v>JB1-10</v>
      </c>
      <c r="D169" s="146" t="s">
        <v>357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5.75" thickBot="1" x14ac:dyDescent="0.3">
      <c r="A170" s="188" t="s">
        <v>304</v>
      </c>
      <c r="B170" s="182" t="s">
        <v>45</v>
      </c>
      <c r="C170" s="182" t="str">
        <f>Jordbund1</f>
        <v>JB1-10</v>
      </c>
      <c r="D170" s="148" t="s">
        <v>357</v>
      </c>
      <c r="E170" s="148" t="str">
        <f>IFERROR(VLOOKUP(D170,Table2[],2,FALSE),"")</f>
        <v>Hektar</v>
      </c>
      <c r="F170" s="202" t="s">
        <v>344</v>
      </c>
      <c r="G170" s="148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5.75" thickTop="1" x14ac:dyDescent="0.25">
      <c r="A171" s="187" t="s">
        <v>304</v>
      </c>
      <c r="B171" s="181" t="s">
        <v>45</v>
      </c>
      <c r="C171" s="181" t="str">
        <f>Organ6</f>
        <v>OC6</v>
      </c>
      <c r="D171" s="146" t="s">
        <v>357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25">
      <c r="A172" s="187" t="s">
        <v>304</v>
      </c>
      <c r="B172" s="181" t="s">
        <v>45</v>
      </c>
      <c r="C172" s="181" t="str">
        <f>Organ6</f>
        <v>OC6</v>
      </c>
      <c r="D172" s="146" t="s">
        <v>357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5.75" thickBot="1" x14ac:dyDescent="0.3">
      <c r="A173" s="188" t="s">
        <v>304</v>
      </c>
      <c r="B173" s="182" t="s">
        <v>45</v>
      </c>
      <c r="C173" s="182" t="str">
        <f>Organ6</f>
        <v>OC6</v>
      </c>
      <c r="D173" s="148" t="s">
        <v>357</v>
      </c>
      <c r="E173" s="148" t="str">
        <f>IFERROR(VLOOKUP(D173,Table2[],2,FALSE),"")</f>
        <v>Hektar</v>
      </c>
      <c r="F173" s="202" t="s">
        <v>344</v>
      </c>
      <c r="G173" s="148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5.75" thickTop="1" x14ac:dyDescent="0.25">
      <c r="A174" s="186" t="s">
        <v>304</v>
      </c>
      <c r="B174" s="180" t="s">
        <v>45</v>
      </c>
      <c r="C174" s="180" t="str">
        <f>Organ12</f>
        <v>OC12</v>
      </c>
      <c r="D174" s="144" t="s">
        <v>357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25">
      <c r="A175" s="187" t="s">
        <v>304</v>
      </c>
      <c r="B175" s="181" t="s">
        <v>45</v>
      </c>
      <c r="C175" s="181" t="str">
        <f>Organ12</f>
        <v>OC12</v>
      </c>
      <c r="D175" s="146" t="s">
        <v>357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5.75" thickBot="1" x14ac:dyDescent="0.3">
      <c r="A176" s="188" t="s">
        <v>304</v>
      </c>
      <c r="B176" s="182" t="s">
        <v>45</v>
      </c>
      <c r="C176" s="182" t="str">
        <f>Organ12</f>
        <v>OC12</v>
      </c>
      <c r="D176" s="148" t="s">
        <v>357</v>
      </c>
      <c r="E176" s="148" t="str">
        <f>IFERROR(VLOOKUP(D176,Table2[],2,FALSE),"")</f>
        <v>Hektar</v>
      </c>
      <c r="F176" s="202" t="s">
        <v>344</v>
      </c>
      <c r="G176" s="148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5.75" thickTop="1" x14ac:dyDescent="0.25">
      <c r="A177" s="186" t="s">
        <v>304</v>
      </c>
      <c r="B177" s="180" t="s">
        <v>46</v>
      </c>
      <c r="C177" s="180" t="str">
        <f>Jordbund1</f>
        <v>JB1-10</v>
      </c>
      <c r="D177" s="144" t="s">
        <v>357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25">
      <c r="A178" s="187" t="s">
        <v>304</v>
      </c>
      <c r="B178" s="181" t="s">
        <v>46</v>
      </c>
      <c r="C178" s="181" t="str">
        <f>Jordbund1</f>
        <v>JB1-10</v>
      </c>
      <c r="D178" s="146" t="s">
        <v>357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5.75" thickBot="1" x14ac:dyDescent="0.3">
      <c r="A179" s="188" t="s">
        <v>304</v>
      </c>
      <c r="B179" s="182" t="s">
        <v>46</v>
      </c>
      <c r="C179" s="182" t="str">
        <f>Jordbund1</f>
        <v>JB1-10</v>
      </c>
      <c r="D179" s="148" t="s">
        <v>357</v>
      </c>
      <c r="E179" s="148" t="str">
        <f>IFERROR(VLOOKUP(D179,Table2[],2,FALSE),"")</f>
        <v>Hektar</v>
      </c>
      <c r="F179" s="202" t="s">
        <v>344</v>
      </c>
      <c r="G179" s="148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5.75" thickTop="1" x14ac:dyDescent="0.25">
      <c r="A180" s="186" t="s">
        <v>304</v>
      </c>
      <c r="B180" s="180" t="s">
        <v>46</v>
      </c>
      <c r="C180" s="180" t="str">
        <f>Organ6</f>
        <v>OC6</v>
      </c>
      <c r="D180" s="144" t="s">
        <v>357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25">
      <c r="A181" s="187" t="s">
        <v>304</v>
      </c>
      <c r="B181" s="181" t="s">
        <v>46</v>
      </c>
      <c r="C181" s="181" t="str">
        <f>Organ6</f>
        <v>OC6</v>
      </c>
      <c r="D181" s="146" t="s">
        <v>357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5.75" thickBot="1" x14ac:dyDescent="0.3">
      <c r="A182" s="188" t="s">
        <v>304</v>
      </c>
      <c r="B182" s="182" t="s">
        <v>46</v>
      </c>
      <c r="C182" s="182" t="str">
        <f>Organ6</f>
        <v>OC6</v>
      </c>
      <c r="D182" s="148" t="s">
        <v>357</v>
      </c>
      <c r="E182" s="148" t="str">
        <f>IFERROR(VLOOKUP(D182,Table2[],2,FALSE),"")</f>
        <v>Hektar</v>
      </c>
      <c r="F182" s="202" t="s">
        <v>344</v>
      </c>
      <c r="G182" s="148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5.75" thickTop="1" x14ac:dyDescent="0.25">
      <c r="A183" s="186" t="s">
        <v>304</v>
      </c>
      <c r="B183" s="180" t="s">
        <v>46</v>
      </c>
      <c r="C183" s="180" t="str">
        <f>Organ12</f>
        <v>OC12</v>
      </c>
      <c r="D183" s="144" t="s">
        <v>357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25">
      <c r="A184" s="187" t="s">
        <v>304</v>
      </c>
      <c r="B184" s="181" t="s">
        <v>46</v>
      </c>
      <c r="C184" s="181" t="str">
        <f>Organ12</f>
        <v>OC12</v>
      </c>
      <c r="D184" s="146" t="s">
        <v>357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5.75" thickBot="1" x14ac:dyDescent="0.3">
      <c r="A185" s="188" t="s">
        <v>304</v>
      </c>
      <c r="B185" s="182" t="s">
        <v>46</v>
      </c>
      <c r="C185" s="182" t="str">
        <f>Organ12</f>
        <v>OC12</v>
      </c>
      <c r="D185" s="148" t="s">
        <v>357</v>
      </c>
      <c r="E185" s="148" t="str">
        <f>IFERROR(VLOOKUP(D185,Table2[],2,FALSE),"")</f>
        <v>Hektar</v>
      </c>
      <c r="F185" s="202" t="s">
        <v>344</v>
      </c>
      <c r="G185" s="148" t="str">
        <f>IFERROR(VLOOKUP(F185,Table2[],2,FALSE),"")</f>
        <v>t CO2-ækvivalenter</v>
      </c>
      <c r="H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5.75" thickTop="1" x14ac:dyDescent="0.25">
      <c r="A186" s="186" t="s">
        <v>28</v>
      </c>
      <c r="B186" s="180" t="s">
        <v>45</v>
      </c>
      <c r="C186" s="180" t="str">
        <f>Jordbund1</f>
        <v>JB1-10</v>
      </c>
      <c r="D186" s="144" t="s">
        <v>355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25">
      <c r="A187" s="187" t="s">
        <v>28</v>
      </c>
      <c r="B187" s="181" t="s">
        <v>45</v>
      </c>
      <c r="C187" s="181" t="str">
        <f>Jordbund1</f>
        <v>JB1-10</v>
      </c>
      <c r="D187" s="146" t="s">
        <v>355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5.75" thickBot="1" x14ac:dyDescent="0.3">
      <c r="A188" s="188" t="s">
        <v>28</v>
      </c>
      <c r="B188" s="182" t="s">
        <v>45</v>
      </c>
      <c r="C188" s="182" t="str">
        <f>Jordbund1</f>
        <v>JB1-10</v>
      </c>
      <c r="D188" s="148" t="s">
        <v>355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5.75" thickTop="1" x14ac:dyDescent="0.25">
      <c r="A189" s="186" t="s">
        <v>28</v>
      </c>
      <c r="B189" s="180" t="s">
        <v>45</v>
      </c>
      <c r="C189" s="180" t="str">
        <f>Organ6</f>
        <v>OC6</v>
      </c>
      <c r="D189" s="144" t="s">
        <v>355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25">
      <c r="A190" s="187" t="s">
        <v>28</v>
      </c>
      <c r="B190" s="181" t="s">
        <v>45</v>
      </c>
      <c r="C190" s="181" t="str">
        <f>Organ6</f>
        <v>OC6</v>
      </c>
      <c r="D190" s="146" t="s">
        <v>355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5.75" thickBot="1" x14ac:dyDescent="0.3">
      <c r="A191" s="188" t="s">
        <v>28</v>
      </c>
      <c r="B191" s="182" t="s">
        <v>45</v>
      </c>
      <c r="C191" s="182" t="str">
        <f>Organ6</f>
        <v>OC6</v>
      </c>
      <c r="D191" s="148" t="s">
        <v>355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5.75" thickTop="1" x14ac:dyDescent="0.25">
      <c r="A192" s="186" t="s">
        <v>28</v>
      </c>
      <c r="B192" s="180" t="s">
        <v>45</v>
      </c>
      <c r="C192" s="180" t="str">
        <f>Organ12</f>
        <v>OC12</v>
      </c>
      <c r="D192" s="144" t="s">
        <v>355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25">
      <c r="A193" s="187" t="s">
        <v>28</v>
      </c>
      <c r="B193" s="181" t="s">
        <v>45</v>
      </c>
      <c r="C193" s="181" t="str">
        <f>Organ12</f>
        <v>OC12</v>
      </c>
      <c r="D193" s="146" t="s">
        <v>355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5.75" thickBot="1" x14ac:dyDescent="0.3">
      <c r="A194" s="188" t="s">
        <v>28</v>
      </c>
      <c r="B194" s="182" t="s">
        <v>45</v>
      </c>
      <c r="C194" s="182" t="str">
        <f>Organ12</f>
        <v>OC12</v>
      </c>
      <c r="D194" s="148" t="s">
        <v>355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5.75" thickTop="1" x14ac:dyDescent="0.25">
      <c r="A195" s="186" t="s">
        <v>28</v>
      </c>
      <c r="B195" s="180" t="s">
        <v>46</v>
      </c>
      <c r="C195" s="180" t="str">
        <f>Jordbund1</f>
        <v>JB1-10</v>
      </c>
      <c r="D195" s="144" t="s">
        <v>355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25">
      <c r="A196" s="187" t="s">
        <v>28</v>
      </c>
      <c r="B196" s="181" t="s">
        <v>46</v>
      </c>
      <c r="C196" s="181" t="str">
        <f>Jordbund1</f>
        <v>JB1-10</v>
      </c>
      <c r="D196" s="146" t="s">
        <v>355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5.75" thickBot="1" x14ac:dyDescent="0.3">
      <c r="A197" s="188" t="s">
        <v>28</v>
      </c>
      <c r="B197" s="182" t="s">
        <v>46</v>
      </c>
      <c r="C197" s="182" t="str">
        <f>Jordbund1</f>
        <v>JB1-10</v>
      </c>
      <c r="D197" s="148" t="s">
        <v>355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5.75" thickTop="1" x14ac:dyDescent="0.25">
      <c r="A198" s="186" t="s">
        <v>28</v>
      </c>
      <c r="B198" s="180" t="s">
        <v>46</v>
      </c>
      <c r="C198" s="180" t="str">
        <f>Organ6</f>
        <v>OC6</v>
      </c>
      <c r="D198" s="144" t="s">
        <v>355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25">
      <c r="A199" s="187" t="s">
        <v>28</v>
      </c>
      <c r="B199" s="181" t="s">
        <v>46</v>
      </c>
      <c r="C199" s="181" t="str">
        <f>Organ6</f>
        <v>OC6</v>
      </c>
      <c r="D199" s="146" t="s">
        <v>355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5.75" thickBot="1" x14ac:dyDescent="0.3">
      <c r="A200" s="188" t="s">
        <v>28</v>
      </c>
      <c r="B200" s="182" t="s">
        <v>46</v>
      </c>
      <c r="C200" s="182" t="str">
        <f>Organ6</f>
        <v>OC6</v>
      </c>
      <c r="D200" s="148" t="s">
        <v>355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5.75" thickTop="1" x14ac:dyDescent="0.25">
      <c r="A201" s="186" t="s">
        <v>28</v>
      </c>
      <c r="B201" s="180" t="s">
        <v>46</v>
      </c>
      <c r="C201" s="180" t="str">
        <f>Organ12</f>
        <v>OC12</v>
      </c>
      <c r="D201" s="144" t="s">
        <v>355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25">
      <c r="A202" s="187" t="s">
        <v>28</v>
      </c>
      <c r="B202" s="181" t="s">
        <v>46</v>
      </c>
      <c r="C202" s="181" t="str">
        <f>Organ12</f>
        <v>OC12</v>
      </c>
      <c r="D202" s="146" t="s">
        <v>355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5.75" thickBot="1" x14ac:dyDescent="0.3">
      <c r="A203" s="188" t="s">
        <v>28</v>
      </c>
      <c r="B203" s="182" t="s">
        <v>46</v>
      </c>
      <c r="C203" s="182" t="str">
        <f>Organ12</f>
        <v>OC12</v>
      </c>
      <c r="D203" s="148" t="s">
        <v>355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5.75" thickTop="1" x14ac:dyDescent="0.25">
      <c r="A204" s="186" t="s">
        <v>29</v>
      </c>
      <c r="B204" s="180" t="s">
        <v>45</v>
      </c>
      <c r="C204" s="180" t="str">
        <f>Jordbund1</f>
        <v>JB1-10</v>
      </c>
      <c r="D204" s="144" t="s">
        <v>353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25">
      <c r="A205" s="187" t="s">
        <v>29</v>
      </c>
      <c r="B205" s="181" t="s">
        <v>45</v>
      </c>
      <c r="C205" s="181" t="str">
        <f>Jordbund1</f>
        <v>JB1-10</v>
      </c>
      <c r="D205" s="146" t="s">
        <v>353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25">
      <c r="A206" s="187" t="s">
        <v>29</v>
      </c>
      <c r="B206" s="181" t="s">
        <v>45</v>
      </c>
      <c r="C206" s="181" t="str">
        <f>Jordbund1</f>
        <v>JB1-10</v>
      </c>
      <c r="D206" s="146" t="s">
        <v>353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5.75" thickBot="1" x14ac:dyDescent="0.3">
      <c r="A207" s="188" t="s">
        <v>29</v>
      </c>
      <c r="B207" s="182" t="s">
        <v>45</v>
      </c>
      <c r="C207" s="182" t="str">
        <f>Jordbund1</f>
        <v>JB1-10</v>
      </c>
      <c r="D207" s="148" t="s">
        <v>353</v>
      </c>
      <c r="E207" s="148" t="str">
        <f>IFERROR(VLOOKUP(D207,Table2[],2,FALSE),"")</f>
        <v>Hektar</v>
      </c>
      <c r="F207" s="202" t="s">
        <v>344</v>
      </c>
      <c r="G207" s="148" t="str">
        <f>IFERROR(VLOOKUP(F207,Table2[],2,FALSE),"")</f>
        <v>t CO2-ækvivalenter</v>
      </c>
      <c r="H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5.75" thickTop="1" x14ac:dyDescent="0.25">
      <c r="A208" s="186" t="s">
        <v>29</v>
      </c>
      <c r="B208" s="180" t="s">
        <v>45</v>
      </c>
      <c r="C208" s="180" t="str">
        <f>Organ6</f>
        <v>OC6</v>
      </c>
      <c r="D208" s="144" t="s">
        <v>353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25">
      <c r="A209" s="187" t="s">
        <v>29</v>
      </c>
      <c r="B209" s="181" t="s">
        <v>45</v>
      </c>
      <c r="C209" s="181" t="str">
        <f>Organ6</f>
        <v>OC6</v>
      </c>
      <c r="D209" s="146" t="s">
        <v>353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25">
      <c r="A210" s="187" t="s">
        <v>29</v>
      </c>
      <c r="B210" s="181" t="s">
        <v>45</v>
      </c>
      <c r="C210" s="181" t="str">
        <f>Organ6</f>
        <v>OC6</v>
      </c>
      <c r="D210" s="146" t="s">
        <v>353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5.75" thickBot="1" x14ac:dyDescent="0.3">
      <c r="A211" s="188" t="s">
        <v>29</v>
      </c>
      <c r="B211" s="182" t="s">
        <v>45</v>
      </c>
      <c r="C211" s="182" t="str">
        <f>Organ6</f>
        <v>OC6</v>
      </c>
      <c r="D211" s="148" t="s">
        <v>353</v>
      </c>
      <c r="E211" s="148" t="str">
        <f>IFERROR(VLOOKUP(D211,Table2[],2,FALSE),"")</f>
        <v>Hektar</v>
      </c>
      <c r="F211" s="202" t="s">
        <v>344</v>
      </c>
      <c r="G211" s="148" t="str">
        <f>IFERROR(VLOOKUP(F211,Table2[],2,FALSE),"")</f>
        <v>t CO2-ækvivalenter</v>
      </c>
      <c r="H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5.75" thickTop="1" x14ac:dyDescent="0.25">
      <c r="A212" s="186" t="s">
        <v>29</v>
      </c>
      <c r="B212" s="180" t="s">
        <v>45</v>
      </c>
      <c r="C212" s="180" t="str">
        <f>Organ12</f>
        <v>OC12</v>
      </c>
      <c r="D212" s="144" t="s">
        <v>353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25">
      <c r="A213" s="187" t="s">
        <v>29</v>
      </c>
      <c r="B213" s="181" t="s">
        <v>45</v>
      </c>
      <c r="C213" s="181" t="str">
        <f>Organ12</f>
        <v>OC12</v>
      </c>
      <c r="D213" s="146" t="s">
        <v>353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25">
      <c r="A214" s="187" t="s">
        <v>29</v>
      </c>
      <c r="B214" s="181" t="s">
        <v>45</v>
      </c>
      <c r="C214" s="181" t="str">
        <f>Organ12</f>
        <v>OC12</v>
      </c>
      <c r="D214" s="146" t="s">
        <v>353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5.75" thickBot="1" x14ac:dyDescent="0.3">
      <c r="A215" s="188" t="s">
        <v>29</v>
      </c>
      <c r="B215" s="182" t="s">
        <v>45</v>
      </c>
      <c r="C215" s="182" t="str">
        <f>Organ12</f>
        <v>OC12</v>
      </c>
      <c r="D215" s="148" t="s">
        <v>353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29</v>
      </c>
      <c r="B216" s="180" t="s">
        <v>46</v>
      </c>
      <c r="C216" s="180" t="str">
        <f>Jordbund1</f>
        <v>JB1-10</v>
      </c>
      <c r="D216" s="144" t="s">
        <v>353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25">
      <c r="A217" s="187" t="s">
        <v>29</v>
      </c>
      <c r="B217" s="181" t="s">
        <v>46</v>
      </c>
      <c r="C217" s="181" t="str">
        <f>Jordbund1</f>
        <v>JB1-10</v>
      </c>
      <c r="D217" s="146" t="s">
        <v>353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25">
      <c r="A218" s="187" t="s">
        <v>29</v>
      </c>
      <c r="B218" s="181" t="s">
        <v>46</v>
      </c>
      <c r="C218" s="181" t="str">
        <f>Jordbund1</f>
        <v>JB1-10</v>
      </c>
      <c r="D218" s="146" t="s">
        <v>353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5.75" thickBot="1" x14ac:dyDescent="0.3">
      <c r="A219" s="188" t="s">
        <v>29</v>
      </c>
      <c r="B219" s="182" t="s">
        <v>46</v>
      </c>
      <c r="C219" s="182" t="str">
        <f>Jordbund1</f>
        <v>JB1-10</v>
      </c>
      <c r="D219" s="148" t="s">
        <v>353</v>
      </c>
      <c r="E219" s="148" t="str">
        <f>IFERROR(VLOOKUP(D219,Table2[],2,FALSE),"")</f>
        <v>Hektar</v>
      </c>
      <c r="F219" s="202" t="s">
        <v>344</v>
      </c>
      <c r="G219" s="148" t="str">
        <f>IFERROR(VLOOKUP(F219,Table2[],2,FALSE),"")</f>
        <v>t CO2-ækvivalenter</v>
      </c>
      <c r="H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5.75" thickTop="1" x14ac:dyDescent="0.25">
      <c r="A220" s="186" t="s">
        <v>29</v>
      </c>
      <c r="B220" s="180" t="s">
        <v>46</v>
      </c>
      <c r="C220" s="180" t="str">
        <f>Organ6</f>
        <v>OC6</v>
      </c>
      <c r="D220" s="144" t="s">
        <v>353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25">
      <c r="A221" s="187" t="s">
        <v>29</v>
      </c>
      <c r="B221" s="181" t="s">
        <v>46</v>
      </c>
      <c r="C221" s="181" t="str">
        <f>Organ6</f>
        <v>OC6</v>
      </c>
      <c r="D221" s="146" t="s">
        <v>353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25">
      <c r="A222" s="187" t="s">
        <v>29</v>
      </c>
      <c r="B222" s="181" t="s">
        <v>46</v>
      </c>
      <c r="C222" s="181" t="str">
        <f>Organ6</f>
        <v>OC6</v>
      </c>
      <c r="D222" s="146" t="s">
        <v>353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5.75" thickBot="1" x14ac:dyDescent="0.3">
      <c r="A223" s="188" t="s">
        <v>29</v>
      </c>
      <c r="B223" s="182" t="s">
        <v>46</v>
      </c>
      <c r="C223" s="182" t="str">
        <f>Organ6</f>
        <v>OC6</v>
      </c>
      <c r="D223" s="148" t="s">
        <v>353</v>
      </c>
      <c r="E223" s="148" t="str">
        <f>IFERROR(VLOOKUP(D223,Table2[],2,FALSE),"")</f>
        <v>Hektar</v>
      </c>
      <c r="F223" s="202" t="s">
        <v>344</v>
      </c>
      <c r="G223" s="148" t="str">
        <f>IFERROR(VLOOKUP(F223,Table2[],2,FALSE),"")</f>
        <v>t CO2-ækvivalenter</v>
      </c>
      <c r="H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5.75" thickTop="1" x14ac:dyDescent="0.25">
      <c r="A224" s="186" t="s">
        <v>29</v>
      </c>
      <c r="B224" s="180" t="s">
        <v>46</v>
      </c>
      <c r="C224" s="180" t="str">
        <f>Organ12</f>
        <v>OC12</v>
      </c>
      <c r="D224" s="144" t="s">
        <v>353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25">
      <c r="A225" s="187" t="s">
        <v>29</v>
      </c>
      <c r="B225" s="181" t="s">
        <v>46</v>
      </c>
      <c r="C225" s="181" t="str">
        <f>Organ12</f>
        <v>OC12</v>
      </c>
      <c r="D225" s="146" t="s">
        <v>353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25">
      <c r="A226" s="187" t="s">
        <v>29</v>
      </c>
      <c r="B226" s="181" t="s">
        <v>46</v>
      </c>
      <c r="C226" s="181" t="str">
        <f>Organ12</f>
        <v>OC12</v>
      </c>
      <c r="D226" s="146" t="s">
        <v>353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5.75" thickBot="1" x14ac:dyDescent="0.3">
      <c r="A227" s="188" t="s">
        <v>29</v>
      </c>
      <c r="B227" s="182" t="s">
        <v>46</v>
      </c>
      <c r="C227" s="182" t="str">
        <f>Organ12</f>
        <v>OC12</v>
      </c>
      <c r="D227" s="148" t="s">
        <v>353</v>
      </c>
      <c r="E227" s="148" t="str">
        <f>IFERROR(VLOOKUP(D227,Table2[],2,FALSE),"")</f>
        <v>Hektar</v>
      </c>
      <c r="F227" s="202" t="s">
        <v>344</v>
      </c>
      <c r="G227" s="148" t="str">
        <f>IFERROR(VLOOKUP(F227,Table2[],2,FALSE),"")</f>
        <v>t CO2-ækvivalenter</v>
      </c>
      <c r="H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5.75" thickTop="1" x14ac:dyDescent="0.25">
      <c r="A228" s="187" t="s">
        <v>30</v>
      </c>
      <c r="B228" s="181" t="s">
        <v>45</v>
      </c>
      <c r="C228" s="181" t="str">
        <f>Jordbund1</f>
        <v>JB1-10</v>
      </c>
      <c r="D228" s="146" t="s">
        <v>363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25">
      <c r="A229" s="187" t="s">
        <v>30</v>
      </c>
      <c r="B229" s="181" t="s">
        <v>45</v>
      </c>
      <c r="C229" s="181" t="str">
        <f>Jordbund1</f>
        <v>JB1-10</v>
      </c>
      <c r="D229" s="146" t="s">
        <v>363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5.75" thickBot="1" x14ac:dyDescent="0.3">
      <c r="A230" s="188" t="s">
        <v>30</v>
      </c>
      <c r="B230" s="182" t="s">
        <v>45</v>
      </c>
      <c r="C230" s="182" t="str">
        <f>Jordbund1</f>
        <v>JB1-10</v>
      </c>
      <c r="D230" s="148" t="s">
        <v>363</v>
      </c>
      <c r="E230" s="148" t="str">
        <f>IFERROR(VLOOKUP(D230,Table2[],2,FALSE),"")</f>
        <v>Hektar</v>
      </c>
      <c r="F230" s="202" t="s">
        <v>344</v>
      </c>
      <c r="G230" s="148" t="str">
        <f>IFERROR(VLOOKUP(F230,Table2[],2,FALSE),"")</f>
        <v>t CO2-ækvivalenter</v>
      </c>
      <c r="H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5.75" thickTop="1" x14ac:dyDescent="0.25">
      <c r="A231" s="186" t="s">
        <v>30</v>
      </c>
      <c r="B231" s="180" t="s">
        <v>45</v>
      </c>
      <c r="C231" s="180" t="str">
        <f>Organ6</f>
        <v>OC6</v>
      </c>
      <c r="D231" s="144" t="s">
        <v>363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25">
      <c r="A232" s="187" t="s">
        <v>30</v>
      </c>
      <c r="B232" s="181" t="s">
        <v>45</v>
      </c>
      <c r="C232" s="181" t="str">
        <f>Organ6</f>
        <v>OC6</v>
      </c>
      <c r="D232" s="146" t="s">
        <v>363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5.75" thickBot="1" x14ac:dyDescent="0.3">
      <c r="A233" s="188" t="s">
        <v>30</v>
      </c>
      <c r="B233" s="182" t="s">
        <v>45</v>
      </c>
      <c r="C233" s="182" t="str">
        <f>Organ6</f>
        <v>OC6</v>
      </c>
      <c r="D233" s="148" t="s">
        <v>363</v>
      </c>
      <c r="E233" s="148" t="str">
        <f>IFERROR(VLOOKUP(D233,Table2[],2,FALSE),"")</f>
        <v>Hektar</v>
      </c>
      <c r="F233" s="202" t="s">
        <v>344</v>
      </c>
      <c r="G233" s="148" t="str">
        <f>IFERROR(VLOOKUP(F233,Table2[],2,FALSE),"")</f>
        <v>t CO2-ækvivalenter</v>
      </c>
      <c r="H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5.75" thickTop="1" x14ac:dyDescent="0.25">
      <c r="A234" s="186" t="s">
        <v>30</v>
      </c>
      <c r="B234" s="180" t="s">
        <v>45</v>
      </c>
      <c r="C234" s="180" t="str">
        <f>Organ12</f>
        <v>OC12</v>
      </c>
      <c r="D234" s="144" t="s">
        <v>363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25">
      <c r="A235" s="187" t="s">
        <v>30</v>
      </c>
      <c r="B235" s="181" t="s">
        <v>45</v>
      </c>
      <c r="C235" s="181" t="str">
        <f>Organ12</f>
        <v>OC12</v>
      </c>
      <c r="D235" s="146" t="s">
        <v>363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5.75" thickBot="1" x14ac:dyDescent="0.3">
      <c r="A236" s="188" t="s">
        <v>30</v>
      </c>
      <c r="B236" s="182" t="s">
        <v>45</v>
      </c>
      <c r="C236" s="182" t="str">
        <f>Organ12</f>
        <v>OC12</v>
      </c>
      <c r="D236" s="148" t="s">
        <v>363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30</v>
      </c>
      <c r="B237" s="180" t="s">
        <v>46</v>
      </c>
      <c r="C237" s="180" t="str">
        <f>Jordbund1</f>
        <v>JB1-10</v>
      </c>
      <c r="D237" s="144" t="s">
        <v>363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25">
      <c r="A238" s="187" t="s">
        <v>30</v>
      </c>
      <c r="B238" s="181" t="s">
        <v>46</v>
      </c>
      <c r="C238" s="181" t="str">
        <f>Jordbund1</f>
        <v>JB1-10</v>
      </c>
      <c r="D238" s="146" t="s">
        <v>363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5.75" thickBot="1" x14ac:dyDescent="0.3">
      <c r="A239" s="188" t="s">
        <v>30</v>
      </c>
      <c r="B239" s="182" t="s">
        <v>46</v>
      </c>
      <c r="C239" s="182" t="str">
        <f>Jordbund1</f>
        <v>JB1-10</v>
      </c>
      <c r="D239" s="148" t="s">
        <v>363</v>
      </c>
      <c r="E239" s="148" t="str">
        <f>IFERROR(VLOOKUP(D239,Table2[],2,FALSE),"")</f>
        <v>Hektar</v>
      </c>
      <c r="F239" s="202" t="s">
        <v>344</v>
      </c>
      <c r="G239" s="148" t="str">
        <f>IFERROR(VLOOKUP(F239,Table2[],2,FALSE),"")</f>
        <v>t CO2-ækvivalenter</v>
      </c>
      <c r="H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5.75" thickTop="1" x14ac:dyDescent="0.25">
      <c r="A240" s="186" t="s">
        <v>30</v>
      </c>
      <c r="B240" s="180" t="s">
        <v>46</v>
      </c>
      <c r="C240" s="180" t="str">
        <f>Organ6</f>
        <v>OC6</v>
      </c>
      <c r="D240" s="144" t="s">
        <v>363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25">
      <c r="A241" s="187" t="s">
        <v>30</v>
      </c>
      <c r="B241" s="181" t="s">
        <v>46</v>
      </c>
      <c r="C241" s="181" t="str">
        <f>Organ6</f>
        <v>OC6</v>
      </c>
      <c r="D241" s="146" t="s">
        <v>363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5.75" thickBot="1" x14ac:dyDescent="0.3">
      <c r="A242" s="188" t="s">
        <v>30</v>
      </c>
      <c r="B242" s="182" t="s">
        <v>46</v>
      </c>
      <c r="C242" s="182" t="str">
        <f>Organ6</f>
        <v>OC6</v>
      </c>
      <c r="D242" s="148" t="s">
        <v>363</v>
      </c>
      <c r="E242" s="148" t="str">
        <f>IFERROR(VLOOKUP(D242,Table2[],2,FALSE),"")</f>
        <v>Hektar</v>
      </c>
      <c r="F242" s="202" t="s">
        <v>344</v>
      </c>
      <c r="G242" s="148" t="str">
        <f>IFERROR(VLOOKUP(F242,Table2[],2,FALSE),"")</f>
        <v>t CO2-ækvivalenter</v>
      </c>
      <c r="H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5.75" thickTop="1" x14ac:dyDescent="0.25">
      <c r="A243" s="186" t="s">
        <v>30</v>
      </c>
      <c r="B243" s="180" t="s">
        <v>46</v>
      </c>
      <c r="C243" s="180" t="str">
        <f>Organ12</f>
        <v>OC12</v>
      </c>
      <c r="D243" s="144" t="s">
        <v>363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25">
      <c r="A244" s="187" t="s">
        <v>30</v>
      </c>
      <c r="B244" s="181" t="s">
        <v>46</v>
      </c>
      <c r="C244" s="181" t="str">
        <f>Organ12</f>
        <v>OC12</v>
      </c>
      <c r="D244" s="146" t="s">
        <v>363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5.75" thickBot="1" x14ac:dyDescent="0.3">
      <c r="A245" s="188" t="s">
        <v>30</v>
      </c>
      <c r="B245" s="182" t="s">
        <v>46</v>
      </c>
      <c r="C245" s="182" t="str">
        <f>Organ12</f>
        <v>OC12</v>
      </c>
      <c r="D245" s="148" t="s">
        <v>363</v>
      </c>
      <c r="E245" s="148" t="str">
        <f>IFERROR(VLOOKUP(D245,Table2[],2,FALSE),"")</f>
        <v>Hektar</v>
      </c>
      <c r="F245" s="202" t="s">
        <v>344</v>
      </c>
      <c r="G245" s="148" t="str">
        <f>IFERROR(VLOOKUP(F245,Table2[],2,FALSE),"")</f>
        <v>t CO2-ækvivalenter</v>
      </c>
      <c r="H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5.75" thickTop="1" x14ac:dyDescent="0.25">
      <c r="A246" s="186" t="s">
        <v>545</v>
      </c>
      <c r="B246" s="180" t="s">
        <v>45</v>
      </c>
      <c r="C246" s="180" t="str">
        <f>Jordbund1</f>
        <v>JB1-10</v>
      </c>
      <c r="D246" s="144" t="s">
        <v>547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25">
      <c r="A247" s="187" t="s">
        <v>545</v>
      </c>
      <c r="B247" s="181" t="s">
        <v>45</v>
      </c>
      <c r="C247" s="181" t="str">
        <f>Jordbund1</f>
        <v>JB1-10</v>
      </c>
      <c r="D247" s="146" t="s">
        <v>547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5.75" thickBot="1" x14ac:dyDescent="0.3">
      <c r="A248" s="188" t="s">
        <v>545</v>
      </c>
      <c r="B248" s="182" t="s">
        <v>45</v>
      </c>
      <c r="C248" s="182" t="str">
        <f>Jordbund1</f>
        <v>JB1-10</v>
      </c>
      <c r="D248" s="148" t="s">
        <v>547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5.75" thickTop="1" x14ac:dyDescent="0.25">
      <c r="A249" s="186" t="s">
        <v>545</v>
      </c>
      <c r="B249" s="180" t="s">
        <v>45</v>
      </c>
      <c r="C249" s="180" t="str">
        <f>Organ6</f>
        <v>OC6</v>
      </c>
      <c r="D249" s="144" t="s">
        <v>547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25">
      <c r="A250" s="187" t="s">
        <v>545</v>
      </c>
      <c r="B250" s="181" t="s">
        <v>45</v>
      </c>
      <c r="C250" s="181" t="str">
        <f>Organ6</f>
        <v>OC6</v>
      </c>
      <c r="D250" s="146" t="s">
        <v>547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5.75" thickBot="1" x14ac:dyDescent="0.3">
      <c r="A251" s="188" t="s">
        <v>545</v>
      </c>
      <c r="B251" s="182" t="s">
        <v>45</v>
      </c>
      <c r="C251" s="182" t="str">
        <f>Organ6</f>
        <v>OC6</v>
      </c>
      <c r="D251" s="148" t="s">
        <v>547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5.75" thickTop="1" x14ac:dyDescent="0.25">
      <c r="A252" s="186" t="s">
        <v>545</v>
      </c>
      <c r="B252" s="180" t="s">
        <v>45</v>
      </c>
      <c r="C252" s="180" t="str">
        <f>Organ12</f>
        <v>OC12</v>
      </c>
      <c r="D252" s="144" t="s">
        <v>547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25">
      <c r="A253" s="187" t="s">
        <v>545</v>
      </c>
      <c r="B253" s="181" t="s">
        <v>45</v>
      </c>
      <c r="C253" s="181" t="str">
        <f>Organ12</f>
        <v>OC12</v>
      </c>
      <c r="D253" s="146" t="s">
        <v>547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5.75" thickBot="1" x14ac:dyDescent="0.3">
      <c r="A254" s="188" t="s">
        <v>545</v>
      </c>
      <c r="B254" s="182" t="s">
        <v>45</v>
      </c>
      <c r="C254" s="182" t="str">
        <f>Organ12</f>
        <v>OC12</v>
      </c>
      <c r="D254" s="148" t="s">
        <v>547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5.75" thickTop="1" x14ac:dyDescent="0.25">
      <c r="A255" s="186" t="s">
        <v>545</v>
      </c>
      <c r="B255" s="180" t="s">
        <v>46</v>
      </c>
      <c r="C255" s="180" t="str">
        <f>Jordbund1</f>
        <v>JB1-10</v>
      </c>
      <c r="D255" s="144" t="s">
        <v>547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25">
      <c r="A256" s="187" t="s">
        <v>545</v>
      </c>
      <c r="B256" s="181" t="s">
        <v>46</v>
      </c>
      <c r="C256" s="181" t="str">
        <f>Jordbund1</f>
        <v>JB1-10</v>
      </c>
      <c r="D256" s="146" t="s">
        <v>547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5.75" thickBot="1" x14ac:dyDescent="0.3">
      <c r="A257" s="188" t="s">
        <v>545</v>
      </c>
      <c r="B257" s="182" t="s">
        <v>46</v>
      </c>
      <c r="C257" s="182" t="str">
        <f>Jordbund1</f>
        <v>JB1-10</v>
      </c>
      <c r="D257" s="148" t="s">
        <v>547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5.75" thickTop="1" x14ac:dyDescent="0.25">
      <c r="A258" s="186" t="s">
        <v>545</v>
      </c>
      <c r="B258" s="180" t="s">
        <v>46</v>
      </c>
      <c r="C258" s="180" t="str">
        <f>Organ6</f>
        <v>OC6</v>
      </c>
      <c r="D258" s="144" t="s">
        <v>547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25">
      <c r="A259" s="187" t="s">
        <v>545</v>
      </c>
      <c r="B259" s="181" t="s">
        <v>46</v>
      </c>
      <c r="C259" s="181" t="str">
        <f>Organ6</f>
        <v>OC6</v>
      </c>
      <c r="D259" s="146" t="s">
        <v>547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5.75" thickBot="1" x14ac:dyDescent="0.3">
      <c r="A260" s="188" t="s">
        <v>545</v>
      </c>
      <c r="B260" s="182" t="s">
        <v>46</v>
      </c>
      <c r="C260" s="182" t="str">
        <f>Organ6</f>
        <v>OC6</v>
      </c>
      <c r="D260" s="148" t="s">
        <v>547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5.75" thickTop="1" x14ac:dyDescent="0.25">
      <c r="A261" s="186" t="s">
        <v>545</v>
      </c>
      <c r="B261" s="180" t="s">
        <v>46</v>
      </c>
      <c r="C261" s="180" t="str">
        <f>Organ12</f>
        <v>OC12</v>
      </c>
      <c r="D261" s="144" t="s">
        <v>547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25">
      <c r="A262" s="187" t="s">
        <v>545</v>
      </c>
      <c r="B262" s="181" t="s">
        <v>46</v>
      </c>
      <c r="C262" s="181" t="str">
        <f>Organ12</f>
        <v>OC12</v>
      </c>
      <c r="D262" s="146" t="s">
        <v>547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5.75" thickBot="1" x14ac:dyDescent="0.3">
      <c r="A263" s="188" t="s">
        <v>545</v>
      </c>
      <c r="B263" s="182" t="s">
        <v>46</v>
      </c>
      <c r="C263" s="182" t="str">
        <f>Organ12</f>
        <v>OC12</v>
      </c>
      <c r="D263" s="148" t="s">
        <v>547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5.75" thickTop="1" x14ac:dyDescent="0.25">
      <c r="A264" s="186" t="s">
        <v>546</v>
      </c>
      <c r="B264" s="180" t="s">
        <v>45</v>
      </c>
      <c r="C264" s="180" t="str">
        <f>Jordbund1</f>
        <v>JB1-10</v>
      </c>
      <c r="D264" s="144" t="s">
        <v>548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25">
      <c r="A265" s="187" t="s">
        <v>546</v>
      </c>
      <c r="B265" s="181" t="s">
        <v>45</v>
      </c>
      <c r="C265" s="181" t="str">
        <f>Jordbund1</f>
        <v>JB1-10</v>
      </c>
      <c r="D265" s="146" t="s">
        <v>548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5.75" thickBot="1" x14ac:dyDescent="0.3">
      <c r="A266" s="188" t="s">
        <v>546</v>
      </c>
      <c r="B266" s="182" t="s">
        <v>45</v>
      </c>
      <c r="C266" s="182" t="str">
        <f>Jordbund1</f>
        <v>JB1-10</v>
      </c>
      <c r="D266" s="148" t="s">
        <v>548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5.75" thickTop="1" x14ac:dyDescent="0.25">
      <c r="A267" s="186" t="s">
        <v>546</v>
      </c>
      <c r="B267" s="180" t="s">
        <v>45</v>
      </c>
      <c r="C267" s="180" t="str">
        <f>Organ6</f>
        <v>OC6</v>
      </c>
      <c r="D267" s="144" t="s">
        <v>548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25">
      <c r="A268" s="187" t="s">
        <v>546</v>
      </c>
      <c r="B268" s="181" t="s">
        <v>45</v>
      </c>
      <c r="C268" s="181" t="str">
        <f>Organ6</f>
        <v>OC6</v>
      </c>
      <c r="D268" s="146" t="s">
        <v>548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5.75" thickBot="1" x14ac:dyDescent="0.3">
      <c r="A269" s="188" t="s">
        <v>546</v>
      </c>
      <c r="B269" s="182" t="s">
        <v>45</v>
      </c>
      <c r="C269" s="182" t="str">
        <f>Organ6</f>
        <v>OC6</v>
      </c>
      <c r="D269" s="148" t="s">
        <v>548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5.75" thickTop="1" x14ac:dyDescent="0.25">
      <c r="A270" s="186" t="s">
        <v>546</v>
      </c>
      <c r="B270" s="180" t="s">
        <v>45</v>
      </c>
      <c r="C270" s="180" t="str">
        <f>Organ12</f>
        <v>OC12</v>
      </c>
      <c r="D270" s="144" t="s">
        <v>548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25">
      <c r="A271" s="187" t="s">
        <v>546</v>
      </c>
      <c r="B271" s="181" t="s">
        <v>45</v>
      </c>
      <c r="C271" s="181" t="str">
        <f>Organ12</f>
        <v>OC12</v>
      </c>
      <c r="D271" s="146" t="s">
        <v>548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5.75" thickBot="1" x14ac:dyDescent="0.3">
      <c r="A272" s="188" t="s">
        <v>546</v>
      </c>
      <c r="B272" s="182" t="s">
        <v>45</v>
      </c>
      <c r="C272" s="182" t="str">
        <f>Organ12</f>
        <v>OC12</v>
      </c>
      <c r="D272" s="148" t="s">
        <v>548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5.75" thickTop="1" x14ac:dyDescent="0.25">
      <c r="A273" s="186" t="s">
        <v>546</v>
      </c>
      <c r="B273" s="180" t="s">
        <v>46</v>
      </c>
      <c r="C273" s="180" t="str">
        <f>Jordbund1</f>
        <v>JB1-10</v>
      </c>
      <c r="D273" s="144" t="s">
        <v>548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25">
      <c r="A274" s="187" t="s">
        <v>546</v>
      </c>
      <c r="B274" s="181" t="s">
        <v>46</v>
      </c>
      <c r="C274" s="181" t="str">
        <f>Jordbund1</f>
        <v>JB1-10</v>
      </c>
      <c r="D274" s="146" t="s">
        <v>548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5.75" thickBot="1" x14ac:dyDescent="0.3">
      <c r="A275" s="188" t="s">
        <v>546</v>
      </c>
      <c r="B275" s="182" t="s">
        <v>46</v>
      </c>
      <c r="C275" s="182" t="str">
        <f>Jordbund1</f>
        <v>JB1-10</v>
      </c>
      <c r="D275" s="148" t="s">
        <v>548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5.75" thickTop="1" x14ac:dyDescent="0.25">
      <c r="A276" s="186" t="s">
        <v>546</v>
      </c>
      <c r="B276" s="180" t="s">
        <v>46</v>
      </c>
      <c r="C276" s="180" t="str">
        <f>Organ6</f>
        <v>OC6</v>
      </c>
      <c r="D276" s="144" t="s">
        <v>548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25">
      <c r="A277" s="187" t="s">
        <v>546</v>
      </c>
      <c r="B277" s="181" t="s">
        <v>46</v>
      </c>
      <c r="C277" s="181" t="str">
        <f>Organ6</f>
        <v>OC6</v>
      </c>
      <c r="D277" s="146" t="s">
        <v>548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5.75" thickBot="1" x14ac:dyDescent="0.3">
      <c r="A278" s="188" t="s">
        <v>546</v>
      </c>
      <c r="B278" s="182" t="s">
        <v>46</v>
      </c>
      <c r="C278" s="182" t="str">
        <f>Organ6</f>
        <v>OC6</v>
      </c>
      <c r="D278" s="148" t="s">
        <v>548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5.75" thickTop="1" x14ac:dyDescent="0.25">
      <c r="A279" s="186" t="s">
        <v>546</v>
      </c>
      <c r="B279" s="180" t="s">
        <v>46</v>
      </c>
      <c r="C279" s="180" t="str">
        <f>Organ12</f>
        <v>OC12</v>
      </c>
      <c r="D279" s="144" t="s">
        <v>548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25">
      <c r="A280" s="187" t="s">
        <v>546</v>
      </c>
      <c r="B280" s="181" t="s">
        <v>46</v>
      </c>
      <c r="C280" s="181" t="str">
        <f>Organ12</f>
        <v>OC12</v>
      </c>
      <c r="D280" s="146" t="s">
        <v>548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5.75" thickBot="1" x14ac:dyDescent="0.3">
      <c r="A281" s="188" t="s">
        <v>546</v>
      </c>
      <c r="B281" s="182" t="s">
        <v>46</v>
      </c>
      <c r="C281" s="182" t="str">
        <f>Organ12</f>
        <v>OC12</v>
      </c>
      <c r="D281" s="148" t="s">
        <v>548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5.75" thickTop="1" x14ac:dyDescent="0.25">
      <c r="A282" s="186" t="s">
        <v>31</v>
      </c>
      <c r="B282" s="180" t="s">
        <v>45</v>
      </c>
      <c r="C282" s="180" t="str">
        <f>Jordbund1</f>
        <v>JB1-10</v>
      </c>
      <c r="D282" s="144" t="s">
        <v>359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25">
      <c r="A283" s="187" t="s">
        <v>31</v>
      </c>
      <c r="B283" s="181" t="s">
        <v>45</v>
      </c>
      <c r="C283" s="181" t="str">
        <f>Jordbund1</f>
        <v>JB1-10</v>
      </c>
      <c r="D283" s="146" t="s">
        <v>359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5.75" thickBot="1" x14ac:dyDescent="0.3">
      <c r="A284" s="188" t="s">
        <v>31</v>
      </c>
      <c r="B284" s="182" t="s">
        <v>45</v>
      </c>
      <c r="C284" s="182" t="str">
        <f>Jordbund1</f>
        <v>JB1-10</v>
      </c>
      <c r="D284" s="148" t="s">
        <v>359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5.75" thickTop="1" x14ac:dyDescent="0.25">
      <c r="A285" s="186" t="s">
        <v>31</v>
      </c>
      <c r="B285" s="180" t="s">
        <v>45</v>
      </c>
      <c r="C285" s="180" t="str">
        <f>Organ6</f>
        <v>OC6</v>
      </c>
      <c r="D285" s="144" t="s">
        <v>359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25">
      <c r="A286" s="187" t="s">
        <v>31</v>
      </c>
      <c r="B286" s="181" t="s">
        <v>45</v>
      </c>
      <c r="C286" s="181" t="str">
        <f>Organ6</f>
        <v>OC6</v>
      </c>
      <c r="D286" s="146" t="s">
        <v>359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5.75" thickBot="1" x14ac:dyDescent="0.3">
      <c r="A287" s="188" t="s">
        <v>31</v>
      </c>
      <c r="B287" s="182" t="s">
        <v>45</v>
      </c>
      <c r="C287" s="182" t="str">
        <f>Organ6</f>
        <v>OC6</v>
      </c>
      <c r="D287" s="148" t="s">
        <v>359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5.75" thickTop="1" x14ac:dyDescent="0.25">
      <c r="A288" s="186" t="s">
        <v>31</v>
      </c>
      <c r="B288" s="180" t="s">
        <v>45</v>
      </c>
      <c r="C288" s="180" t="str">
        <f>Organ12</f>
        <v>OC12</v>
      </c>
      <c r="D288" s="144" t="s">
        <v>359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25">
      <c r="A289" s="187" t="s">
        <v>31</v>
      </c>
      <c r="B289" s="181" t="s">
        <v>45</v>
      </c>
      <c r="C289" s="181" t="str">
        <f>Organ12</f>
        <v>OC12</v>
      </c>
      <c r="D289" s="146" t="s">
        <v>359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5.75" thickBot="1" x14ac:dyDescent="0.3">
      <c r="A290" s="188" t="s">
        <v>31</v>
      </c>
      <c r="B290" s="182" t="s">
        <v>45</v>
      </c>
      <c r="C290" s="182" t="str">
        <f>Organ12</f>
        <v>OC12</v>
      </c>
      <c r="D290" s="148" t="s">
        <v>359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5.75" thickTop="1" x14ac:dyDescent="0.25">
      <c r="A291" s="186" t="s">
        <v>31</v>
      </c>
      <c r="B291" s="180" t="s">
        <v>46</v>
      </c>
      <c r="C291" s="180" t="str">
        <f>Jordbund1</f>
        <v>JB1-10</v>
      </c>
      <c r="D291" s="144" t="s">
        <v>359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25">
      <c r="A292" s="187" t="s">
        <v>31</v>
      </c>
      <c r="B292" s="181" t="s">
        <v>46</v>
      </c>
      <c r="C292" s="181" t="str">
        <f>Jordbund1</f>
        <v>JB1-10</v>
      </c>
      <c r="D292" s="146" t="s">
        <v>359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5.75" thickBot="1" x14ac:dyDescent="0.3">
      <c r="A293" s="188" t="s">
        <v>31</v>
      </c>
      <c r="B293" s="182" t="s">
        <v>46</v>
      </c>
      <c r="C293" s="182" t="str">
        <f>Jordbund1</f>
        <v>JB1-10</v>
      </c>
      <c r="D293" s="148" t="s">
        <v>359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5.75" thickTop="1" x14ac:dyDescent="0.25">
      <c r="A294" s="186" t="s">
        <v>31</v>
      </c>
      <c r="B294" s="180" t="s">
        <v>46</v>
      </c>
      <c r="C294" s="180" t="str">
        <f>Organ6</f>
        <v>OC6</v>
      </c>
      <c r="D294" s="144" t="s">
        <v>359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25">
      <c r="A295" s="187" t="s">
        <v>31</v>
      </c>
      <c r="B295" s="181" t="s">
        <v>46</v>
      </c>
      <c r="C295" s="181" t="str">
        <f>Organ6</f>
        <v>OC6</v>
      </c>
      <c r="D295" s="146" t="s">
        <v>359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5.75" thickBot="1" x14ac:dyDescent="0.3">
      <c r="A296" s="188" t="s">
        <v>31</v>
      </c>
      <c r="B296" s="182" t="s">
        <v>46</v>
      </c>
      <c r="C296" s="182" t="str">
        <f>Organ6</f>
        <v>OC6</v>
      </c>
      <c r="D296" s="148" t="s">
        <v>359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5.75" thickTop="1" x14ac:dyDescent="0.25">
      <c r="A297" s="186" t="s">
        <v>31</v>
      </c>
      <c r="B297" s="180" t="s">
        <v>46</v>
      </c>
      <c r="C297" s="180" t="str">
        <f>Organ12</f>
        <v>OC12</v>
      </c>
      <c r="D297" s="144" t="s">
        <v>359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25">
      <c r="A298" s="187" t="s">
        <v>31</v>
      </c>
      <c r="B298" s="181" t="s">
        <v>46</v>
      </c>
      <c r="C298" s="181" t="str">
        <f>Organ12</f>
        <v>OC12</v>
      </c>
      <c r="D298" s="146" t="s">
        <v>359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5.75" thickBot="1" x14ac:dyDescent="0.3">
      <c r="A299" s="188" t="s">
        <v>31</v>
      </c>
      <c r="B299" s="182" t="s">
        <v>46</v>
      </c>
      <c r="C299" s="182" t="str">
        <f>Organ12</f>
        <v>OC12</v>
      </c>
      <c r="D299" s="148" t="s">
        <v>359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5.75" thickTop="1" x14ac:dyDescent="0.25">
      <c r="A300" s="186" t="s">
        <v>305</v>
      </c>
      <c r="B300" s="180" t="s">
        <v>45</v>
      </c>
      <c r="C300" s="180" t="str">
        <f>Jordbund1</f>
        <v>JB1-10</v>
      </c>
      <c r="D300" s="144" t="s">
        <v>362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25">
      <c r="A301" s="187" t="s">
        <v>305</v>
      </c>
      <c r="B301" s="181" t="s">
        <v>45</v>
      </c>
      <c r="C301" s="181" t="str">
        <f>Jordbund1</f>
        <v>JB1-10</v>
      </c>
      <c r="D301" s="146" t="s">
        <v>362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25">
      <c r="A302" s="187" t="s">
        <v>305</v>
      </c>
      <c r="B302" s="181" t="s">
        <v>45</v>
      </c>
      <c r="C302" s="181" t="str">
        <f>Jordbund1</f>
        <v>JB1-10</v>
      </c>
      <c r="D302" s="146" t="s">
        <v>362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5.75" thickBot="1" x14ac:dyDescent="0.3">
      <c r="A303" s="188" t="s">
        <v>305</v>
      </c>
      <c r="B303" s="182" t="s">
        <v>45</v>
      </c>
      <c r="C303" s="182" t="str">
        <f>Jordbund1</f>
        <v>JB1-10</v>
      </c>
      <c r="D303" s="148" t="s">
        <v>362</v>
      </c>
      <c r="E303" s="148" t="str">
        <f>IFERROR(VLOOKUP(D303,Table2[],2,FALSE),"")</f>
        <v>Hektar</v>
      </c>
      <c r="F303" s="202" t="s">
        <v>344</v>
      </c>
      <c r="G303" s="148" t="str">
        <f>IFERROR(VLOOKUP(F303,Table2[],2,FALSE),"")</f>
        <v>t CO2-ækvivalenter</v>
      </c>
      <c r="H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5.75" thickTop="1" x14ac:dyDescent="0.25">
      <c r="A304" s="186" t="s">
        <v>305</v>
      </c>
      <c r="B304" s="180" t="s">
        <v>45</v>
      </c>
      <c r="C304" s="180" t="str">
        <f>Organ6</f>
        <v>OC6</v>
      </c>
      <c r="D304" s="144" t="s">
        <v>362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25">
      <c r="A305" s="187" t="s">
        <v>305</v>
      </c>
      <c r="B305" s="181" t="s">
        <v>45</v>
      </c>
      <c r="C305" s="181" t="str">
        <f>Organ6</f>
        <v>OC6</v>
      </c>
      <c r="D305" s="146" t="s">
        <v>362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25">
      <c r="A306" s="187" t="s">
        <v>305</v>
      </c>
      <c r="B306" s="181" t="s">
        <v>45</v>
      </c>
      <c r="C306" s="181" t="str">
        <f>Organ6</f>
        <v>OC6</v>
      </c>
      <c r="D306" s="146" t="s">
        <v>362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5.75" thickBot="1" x14ac:dyDescent="0.3">
      <c r="A307" s="188" t="s">
        <v>305</v>
      </c>
      <c r="B307" s="182" t="s">
        <v>45</v>
      </c>
      <c r="C307" s="182" t="str">
        <f>Organ6</f>
        <v>OC6</v>
      </c>
      <c r="D307" s="148" t="s">
        <v>362</v>
      </c>
      <c r="E307" s="148" t="str">
        <f>IFERROR(VLOOKUP(D307,Table2[],2,FALSE),"")</f>
        <v>Hektar</v>
      </c>
      <c r="F307" s="202" t="s">
        <v>344</v>
      </c>
      <c r="G307" s="148" t="str">
        <f>IFERROR(VLOOKUP(F307,Table2[],2,FALSE),"")</f>
        <v>t CO2-ækvivalenter</v>
      </c>
      <c r="H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5.75" thickTop="1" x14ac:dyDescent="0.25">
      <c r="A308" s="186" t="s">
        <v>305</v>
      </c>
      <c r="B308" s="180" t="s">
        <v>45</v>
      </c>
      <c r="C308" s="180" t="str">
        <f>Organ12</f>
        <v>OC12</v>
      </c>
      <c r="D308" s="144" t="s">
        <v>362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25">
      <c r="A309" s="187" t="s">
        <v>305</v>
      </c>
      <c r="B309" s="181" t="s">
        <v>45</v>
      </c>
      <c r="C309" s="181" t="str">
        <f>Organ12</f>
        <v>OC12</v>
      </c>
      <c r="D309" s="146" t="s">
        <v>362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25">
      <c r="A310" s="187" t="s">
        <v>305</v>
      </c>
      <c r="B310" s="181" t="s">
        <v>45</v>
      </c>
      <c r="C310" s="181" t="str">
        <f>Organ12</f>
        <v>OC12</v>
      </c>
      <c r="D310" s="146" t="s">
        <v>362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5.75" thickBot="1" x14ac:dyDescent="0.3">
      <c r="A311" s="188" t="s">
        <v>305</v>
      </c>
      <c r="B311" s="182" t="s">
        <v>45</v>
      </c>
      <c r="C311" s="182" t="str">
        <f>Organ12</f>
        <v>OC12</v>
      </c>
      <c r="D311" s="148" t="s">
        <v>362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305</v>
      </c>
      <c r="B312" s="180" t="s">
        <v>46</v>
      </c>
      <c r="C312" s="180" t="str">
        <f>Jordbund1</f>
        <v>JB1-10</v>
      </c>
      <c r="D312" s="144" t="s">
        <v>362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25">
      <c r="A313" s="187" t="s">
        <v>305</v>
      </c>
      <c r="B313" s="181" t="s">
        <v>46</v>
      </c>
      <c r="C313" s="181" t="str">
        <f>Jordbund1</f>
        <v>JB1-10</v>
      </c>
      <c r="D313" s="146" t="s">
        <v>362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25">
      <c r="A314" s="187" t="s">
        <v>305</v>
      </c>
      <c r="B314" s="181" t="s">
        <v>46</v>
      </c>
      <c r="C314" s="181" t="str">
        <f>Jordbund1</f>
        <v>JB1-10</v>
      </c>
      <c r="D314" s="146" t="s">
        <v>362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5.75" thickBot="1" x14ac:dyDescent="0.3">
      <c r="A315" s="188" t="s">
        <v>305</v>
      </c>
      <c r="B315" s="182" t="s">
        <v>46</v>
      </c>
      <c r="C315" s="182" t="str">
        <f>Jordbund1</f>
        <v>JB1-10</v>
      </c>
      <c r="D315" s="148" t="s">
        <v>362</v>
      </c>
      <c r="E315" s="148" t="str">
        <f>IFERROR(VLOOKUP(D315,Table2[],2,FALSE),"")</f>
        <v>Hektar</v>
      </c>
      <c r="F315" s="202" t="s">
        <v>344</v>
      </c>
      <c r="G315" s="148" t="str">
        <f>IFERROR(VLOOKUP(F315,Table2[],2,FALSE),"")</f>
        <v>t CO2-ækvivalenter</v>
      </c>
      <c r="H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5.75" thickTop="1" x14ac:dyDescent="0.25">
      <c r="A316" s="186" t="s">
        <v>305</v>
      </c>
      <c r="B316" s="180" t="s">
        <v>46</v>
      </c>
      <c r="C316" s="180" t="str">
        <f>Organ6</f>
        <v>OC6</v>
      </c>
      <c r="D316" s="144" t="s">
        <v>362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25">
      <c r="A317" s="187" t="s">
        <v>305</v>
      </c>
      <c r="B317" s="181" t="s">
        <v>46</v>
      </c>
      <c r="C317" s="181" t="str">
        <f>Organ6</f>
        <v>OC6</v>
      </c>
      <c r="D317" s="146" t="s">
        <v>362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25">
      <c r="A318" s="187" t="s">
        <v>305</v>
      </c>
      <c r="B318" s="181" t="s">
        <v>46</v>
      </c>
      <c r="C318" s="181" t="str">
        <f>Organ6</f>
        <v>OC6</v>
      </c>
      <c r="D318" s="146" t="s">
        <v>362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5.75" thickBot="1" x14ac:dyDescent="0.3">
      <c r="A319" s="188" t="s">
        <v>305</v>
      </c>
      <c r="B319" s="182" t="s">
        <v>46</v>
      </c>
      <c r="C319" s="182" t="str">
        <f>Organ6</f>
        <v>OC6</v>
      </c>
      <c r="D319" s="148" t="s">
        <v>362</v>
      </c>
      <c r="E319" s="148" t="str">
        <f>IFERROR(VLOOKUP(D319,Table2[],2,FALSE),"")</f>
        <v>Hektar</v>
      </c>
      <c r="F319" s="202" t="s">
        <v>344</v>
      </c>
      <c r="G319" s="148" t="str">
        <f>IFERROR(VLOOKUP(F319,Table2[],2,FALSE),"")</f>
        <v>t CO2-ækvivalenter</v>
      </c>
      <c r="H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5.75" thickTop="1" x14ac:dyDescent="0.25">
      <c r="A320" s="186" t="s">
        <v>305</v>
      </c>
      <c r="B320" s="180" t="s">
        <v>46</v>
      </c>
      <c r="C320" s="180" t="str">
        <f>Organ12</f>
        <v>OC12</v>
      </c>
      <c r="D320" s="144" t="s">
        <v>362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25">
      <c r="A321" s="187" t="s">
        <v>305</v>
      </c>
      <c r="B321" s="181" t="s">
        <v>46</v>
      </c>
      <c r="C321" s="181" t="str">
        <f>Organ12</f>
        <v>OC12</v>
      </c>
      <c r="D321" s="146" t="s">
        <v>362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25">
      <c r="A322" s="187" t="s">
        <v>305</v>
      </c>
      <c r="B322" s="181" t="s">
        <v>46</v>
      </c>
      <c r="C322" s="181" t="str">
        <f>Organ12</f>
        <v>OC12</v>
      </c>
      <c r="D322" s="146" t="s">
        <v>362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5.75" thickBot="1" x14ac:dyDescent="0.3">
      <c r="A323" s="188" t="s">
        <v>305</v>
      </c>
      <c r="B323" s="182" t="s">
        <v>46</v>
      </c>
      <c r="C323" s="182" t="str">
        <f>Organ12</f>
        <v>OC12</v>
      </c>
      <c r="D323" s="148" t="s">
        <v>362</v>
      </c>
      <c r="E323" s="148" t="str">
        <f>IFERROR(VLOOKUP(D323,Table2[],2,FALSE),"")</f>
        <v>Hektar</v>
      </c>
      <c r="F323" s="202" t="s">
        <v>344</v>
      </c>
      <c r="G323" s="148" t="str">
        <f>IFERROR(VLOOKUP(F323,Table2[],2,FALSE),"")</f>
        <v>t CO2-ækvivalenter</v>
      </c>
      <c r="H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5.75" thickTop="1" x14ac:dyDescent="0.25">
      <c r="A324" s="187" t="s">
        <v>306</v>
      </c>
      <c r="B324" s="181" t="s">
        <v>45</v>
      </c>
      <c r="C324" s="181" t="str">
        <f>Jordbund1</f>
        <v>JB1-10</v>
      </c>
      <c r="D324" s="146" t="s">
        <v>354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25">
      <c r="A325" s="187" t="s">
        <v>306</v>
      </c>
      <c r="B325" s="181" t="s">
        <v>45</v>
      </c>
      <c r="C325" s="181" t="str">
        <f>Jordbund1</f>
        <v>JB1-10</v>
      </c>
      <c r="D325" s="146" t="s">
        <v>354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25">
      <c r="A326" s="187" t="s">
        <v>306</v>
      </c>
      <c r="B326" s="181" t="s">
        <v>45</v>
      </c>
      <c r="C326" s="181" t="str">
        <f>Jordbund1</f>
        <v>JB1-10</v>
      </c>
      <c r="D326" s="146" t="s">
        <v>354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5.75" thickBot="1" x14ac:dyDescent="0.3">
      <c r="A327" s="188" t="s">
        <v>306</v>
      </c>
      <c r="B327" s="182" t="s">
        <v>45</v>
      </c>
      <c r="C327" s="182" t="str">
        <f>Jordbund1</f>
        <v>JB1-10</v>
      </c>
      <c r="D327" s="148" t="s">
        <v>354</v>
      </c>
      <c r="E327" s="148" t="str">
        <f>IFERROR(VLOOKUP(D327,Table2[],2,FALSE),"")</f>
        <v>Hektar</v>
      </c>
      <c r="F327" s="202" t="s">
        <v>344</v>
      </c>
      <c r="G327" s="148" t="str">
        <f>IFERROR(VLOOKUP(F327,Table2[],2,FALSE),"")</f>
        <v>t CO2-ækvivalenter</v>
      </c>
      <c r="H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5.75" thickTop="1" x14ac:dyDescent="0.25">
      <c r="A328" s="186" t="s">
        <v>306</v>
      </c>
      <c r="B328" s="180" t="s">
        <v>45</v>
      </c>
      <c r="C328" s="180" t="str">
        <f>Organ6</f>
        <v>OC6</v>
      </c>
      <c r="D328" s="144" t="s">
        <v>354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25">
      <c r="A329" s="187" t="s">
        <v>306</v>
      </c>
      <c r="B329" s="181" t="s">
        <v>45</v>
      </c>
      <c r="C329" s="181" t="str">
        <f>Organ6</f>
        <v>OC6</v>
      </c>
      <c r="D329" s="146" t="s">
        <v>354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25">
      <c r="A330" s="187" t="s">
        <v>306</v>
      </c>
      <c r="B330" s="181" t="s">
        <v>45</v>
      </c>
      <c r="C330" s="181" t="str">
        <f>Organ6</f>
        <v>OC6</v>
      </c>
      <c r="D330" s="146" t="s">
        <v>354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5.75" thickBot="1" x14ac:dyDescent="0.3">
      <c r="A331" s="188" t="s">
        <v>306</v>
      </c>
      <c r="B331" s="182" t="s">
        <v>45</v>
      </c>
      <c r="C331" s="182" t="str">
        <f>Organ6</f>
        <v>OC6</v>
      </c>
      <c r="D331" s="148" t="s">
        <v>354</v>
      </c>
      <c r="E331" s="148" t="str">
        <f>IFERROR(VLOOKUP(D331,Table2[],2,FALSE),"")</f>
        <v>Hektar</v>
      </c>
      <c r="F331" s="202" t="s">
        <v>344</v>
      </c>
      <c r="G331" s="148" t="str">
        <f>IFERROR(VLOOKUP(F331,Table2[],2,FALSE),"")</f>
        <v>t CO2-ækvivalenter</v>
      </c>
      <c r="H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5.75" thickTop="1" x14ac:dyDescent="0.25">
      <c r="A332" s="186" t="s">
        <v>306</v>
      </c>
      <c r="B332" s="180" t="s">
        <v>45</v>
      </c>
      <c r="C332" s="180" t="str">
        <f>Organ12</f>
        <v>OC12</v>
      </c>
      <c r="D332" s="144" t="s">
        <v>354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25">
      <c r="A333" s="187" t="s">
        <v>306</v>
      </c>
      <c r="B333" s="181" t="s">
        <v>45</v>
      </c>
      <c r="C333" s="181" t="str">
        <f>Organ12</f>
        <v>OC12</v>
      </c>
      <c r="D333" s="146" t="s">
        <v>354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25">
      <c r="A334" s="187" t="s">
        <v>306</v>
      </c>
      <c r="B334" s="181" t="s">
        <v>45</v>
      </c>
      <c r="C334" s="181" t="str">
        <f>Organ12</f>
        <v>OC12</v>
      </c>
      <c r="D334" s="146" t="s">
        <v>354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5.75" thickBot="1" x14ac:dyDescent="0.3">
      <c r="A335" s="188" t="s">
        <v>306</v>
      </c>
      <c r="B335" s="182" t="s">
        <v>45</v>
      </c>
      <c r="C335" s="182" t="str">
        <f>Organ12</f>
        <v>OC12</v>
      </c>
      <c r="D335" s="148" t="s">
        <v>354</v>
      </c>
      <c r="E335" s="148" t="str">
        <f>IFERROR(VLOOKUP(D335,Table2[],2,FALSE),"")</f>
        <v>Hektar</v>
      </c>
      <c r="F335" s="202" t="s">
        <v>344</v>
      </c>
      <c r="G335" s="148" t="str">
        <f>IFERROR(VLOOKUP(F335,Table2[],2,FALSE),"")</f>
        <v>t CO2-ækvivalenter</v>
      </c>
      <c r="H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5.75" thickTop="1" x14ac:dyDescent="0.25">
      <c r="A336" s="186" t="s">
        <v>306</v>
      </c>
      <c r="B336" s="180" t="s">
        <v>46</v>
      </c>
      <c r="C336" s="180" t="str">
        <f>Jordbund1</f>
        <v>JB1-10</v>
      </c>
      <c r="D336" s="144" t="s">
        <v>354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25">
      <c r="A337" s="187" t="s">
        <v>306</v>
      </c>
      <c r="B337" s="181" t="s">
        <v>46</v>
      </c>
      <c r="C337" s="181" t="str">
        <f>Jordbund1</f>
        <v>JB1-10</v>
      </c>
      <c r="D337" s="146" t="s">
        <v>354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25">
      <c r="A338" s="187" t="s">
        <v>306</v>
      </c>
      <c r="B338" s="181" t="s">
        <v>46</v>
      </c>
      <c r="C338" s="181" t="str">
        <f>Jordbund1</f>
        <v>JB1-10</v>
      </c>
      <c r="D338" s="146" t="s">
        <v>354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5.75" thickBot="1" x14ac:dyDescent="0.3">
      <c r="A339" s="188" t="s">
        <v>306</v>
      </c>
      <c r="B339" s="182" t="s">
        <v>46</v>
      </c>
      <c r="C339" s="182" t="str">
        <f>Jordbund1</f>
        <v>JB1-10</v>
      </c>
      <c r="D339" s="148" t="s">
        <v>354</v>
      </c>
      <c r="E339" s="148" t="str">
        <f>IFERROR(VLOOKUP(D339,Table2[],2,FALSE),"")</f>
        <v>Hektar</v>
      </c>
      <c r="F339" s="202" t="s">
        <v>344</v>
      </c>
      <c r="G339" s="148" t="str">
        <f>IFERROR(VLOOKUP(F339,Table2[],2,FALSE),"")</f>
        <v>t CO2-ækvivalenter</v>
      </c>
      <c r="H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5.75" thickTop="1" x14ac:dyDescent="0.25">
      <c r="A340" s="186" t="s">
        <v>306</v>
      </c>
      <c r="B340" s="180" t="s">
        <v>46</v>
      </c>
      <c r="C340" s="180" t="str">
        <f>Organ6</f>
        <v>OC6</v>
      </c>
      <c r="D340" s="144" t="s">
        <v>354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25">
      <c r="A341" s="187" t="s">
        <v>306</v>
      </c>
      <c r="B341" s="181" t="s">
        <v>46</v>
      </c>
      <c r="C341" s="181" t="str">
        <f>Organ6</f>
        <v>OC6</v>
      </c>
      <c r="D341" s="146" t="s">
        <v>354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25">
      <c r="A342" s="187" t="s">
        <v>306</v>
      </c>
      <c r="B342" s="181" t="s">
        <v>46</v>
      </c>
      <c r="C342" s="181" t="str">
        <f>Organ6</f>
        <v>OC6</v>
      </c>
      <c r="D342" s="146" t="s">
        <v>354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5.75" thickBot="1" x14ac:dyDescent="0.3">
      <c r="A343" s="188" t="s">
        <v>306</v>
      </c>
      <c r="B343" s="182" t="s">
        <v>46</v>
      </c>
      <c r="C343" s="182" t="str">
        <f>Organ6</f>
        <v>OC6</v>
      </c>
      <c r="D343" s="148" t="s">
        <v>354</v>
      </c>
      <c r="E343" s="148" t="str">
        <f>IFERROR(VLOOKUP(D343,Table2[],2,FALSE),"")</f>
        <v>Hektar</v>
      </c>
      <c r="F343" s="202" t="s">
        <v>344</v>
      </c>
      <c r="G343" s="148" t="str">
        <f>IFERROR(VLOOKUP(F343,Table2[],2,FALSE),"")</f>
        <v>t CO2-ækvivalenter</v>
      </c>
      <c r="H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5.75" thickTop="1" x14ac:dyDescent="0.25">
      <c r="A344" s="186" t="s">
        <v>306</v>
      </c>
      <c r="B344" s="180" t="s">
        <v>46</v>
      </c>
      <c r="C344" s="180" t="str">
        <f>Organ12</f>
        <v>OC12</v>
      </c>
      <c r="D344" s="144" t="s">
        <v>354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25">
      <c r="A345" s="187" t="s">
        <v>306</v>
      </c>
      <c r="B345" s="181" t="s">
        <v>46</v>
      </c>
      <c r="C345" s="181" t="str">
        <f>Organ12</f>
        <v>OC12</v>
      </c>
      <c r="D345" s="146" t="s">
        <v>354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25">
      <c r="A346" s="187" t="s">
        <v>306</v>
      </c>
      <c r="B346" s="181" t="s">
        <v>46</v>
      </c>
      <c r="C346" s="181" t="str">
        <f>Organ12</f>
        <v>OC12</v>
      </c>
      <c r="D346" s="146" t="s">
        <v>354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5.75" thickBot="1" x14ac:dyDescent="0.3">
      <c r="A347" s="188" t="s">
        <v>306</v>
      </c>
      <c r="B347" s="182" t="s">
        <v>46</v>
      </c>
      <c r="C347" s="182" t="str">
        <f>Organ12</f>
        <v>OC12</v>
      </c>
      <c r="D347" s="148" t="s">
        <v>354</v>
      </c>
      <c r="E347" s="148" t="str">
        <f>IFERROR(VLOOKUP(D347,Table2[],2,FALSE),"")</f>
        <v>Hektar</v>
      </c>
      <c r="F347" s="202" t="s">
        <v>344</v>
      </c>
      <c r="G347" s="148" t="str">
        <f>IFERROR(VLOOKUP(F347,Table2[],2,FALSE),"")</f>
        <v>t CO2-ækvivalenter</v>
      </c>
      <c r="H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5.75" thickTop="1" x14ac:dyDescent="0.25">
      <c r="A348" s="186" t="s">
        <v>550</v>
      </c>
      <c r="B348" s="180" t="s">
        <v>45</v>
      </c>
      <c r="C348" s="180" t="str">
        <f>Jordbund1</f>
        <v>JB1-10</v>
      </c>
      <c r="D348" s="144" t="s">
        <v>549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25">
      <c r="A349" s="187" t="s">
        <v>550</v>
      </c>
      <c r="B349" s="181" t="s">
        <v>45</v>
      </c>
      <c r="C349" s="181" t="str">
        <f>Jordbund1</f>
        <v>JB1-10</v>
      </c>
      <c r="D349" s="146" t="s">
        <v>549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5.75" thickBot="1" x14ac:dyDescent="0.3">
      <c r="A350" s="188" t="s">
        <v>550</v>
      </c>
      <c r="B350" s="182" t="s">
        <v>45</v>
      </c>
      <c r="C350" s="182" t="str">
        <f>Jordbund1</f>
        <v>JB1-10</v>
      </c>
      <c r="D350" s="148" t="s">
        <v>549</v>
      </c>
      <c r="E350" s="148" t="str">
        <f>IFERROR(VLOOKUP(D350,Table2[],2,FALSE),"")</f>
        <v>Hektar</v>
      </c>
      <c r="F350" s="202" t="s">
        <v>344</v>
      </c>
      <c r="G350" s="148" t="str">
        <f>IFERROR(VLOOKUP(F350,Table2[],2,FALSE),"")</f>
        <v>t CO2-ækvivalenter</v>
      </c>
      <c r="H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5.75" thickTop="1" x14ac:dyDescent="0.25">
      <c r="A351" s="186" t="s">
        <v>550</v>
      </c>
      <c r="B351" s="180" t="s">
        <v>45</v>
      </c>
      <c r="C351" s="180" t="str">
        <f>Organ6</f>
        <v>OC6</v>
      </c>
      <c r="D351" s="144" t="s">
        <v>549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25">
      <c r="A352" s="187" t="s">
        <v>550</v>
      </c>
      <c r="B352" s="181" t="s">
        <v>45</v>
      </c>
      <c r="C352" s="181" t="str">
        <f>Organ6</f>
        <v>OC6</v>
      </c>
      <c r="D352" s="146" t="s">
        <v>549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5.75" thickBot="1" x14ac:dyDescent="0.3">
      <c r="A353" s="188" t="s">
        <v>550</v>
      </c>
      <c r="B353" s="182" t="s">
        <v>45</v>
      </c>
      <c r="C353" s="182" t="str">
        <f>Organ6</f>
        <v>OC6</v>
      </c>
      <c r="D353" s="148" t="s">
        <v>549</v>
      </c>
      <c r="E353" s="148" t="str">
        <f>IFERROR(VLOOKUP(D353,Table2[],2,FALSE),"")</f>
        <v>Hektar</v>
      </c>
      <c r="F353" s="202" t="s">
        <v>344</v>
      </c>
      <c r="G353" s="148" t="str">
        <f>IFERROR(VLOOKUP(F353,Table2[],2,FALSE),"")</f>
        <v>t CO2-ækvivalenter</v>
      </c>
      <c r="H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5.75" thickTop="1" x14ac:dyDescent="0.25">
      <c r="A354" s="186" t="s">
        <v>550</v>
      </c>
      <c r="B354" s="180" t="s">
        <v>45</v>
      </c>
      <c r="C354" s="180" t="str">
        <f>Organ12</f>
        <v>OC12</v>
      </c>
      <c r="D354" s="144" t="s">
        <v>549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25">
      <c r="A355" s="187" t="s">
        <v>550</v>
      </c>
      <c r="B355" s="181" t="s">
        <v>45</v>
      </c>
      <c r="C355" s="181" t="str">
        <f>Organ12</f>
        <v>OC12</v>
      </c>
      <c r="D355" s="146" t="s">
        <v>549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5.75" thickBot="1" x14ac:dyDescent="0.3">
      <c r="A356" s="188" t="s">
        <v>550</v>
      </c>
      <c r="B356" s="182" t="s">
        <v>45</v>
      </c>
      <c r="C356" s="182" t="str">
        <f>Organ12</f>
        <v>OC12</v>
      </c>
      <c r="D356" s="148" t="s">
        <v>549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5.75" thickTop="1" x14ac:dyDescent="0.25">
      <c r="A357" s="186" t="s">
        <v>550</v>
      </c>
      <c r="B357" s="180" t="s">
        <v>46</v>
      </c>
      <c r="C357" s="180" t="str">
        <f>Jordbund1</f>
        <v>JB1-10</v>
      </c>
      <c r="D357" s="144" t="s">
        <v>549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25">
      <c r="A358" s="187" t="s">
        <v>550</v>
      </c>
      <c r="B358" s="181" t="s">
        <v>46</v>
      </c>
      <c r="C358" s="181" t="str">
        <f>Jordbund1</f>
        <v>JB1-10</v>
      </c>
      <c r="D358" s="146" t="s">
        <v>549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5.75" thickBot="1" x14ac:dyDescent="0.3">
      <c r="A359" s="188" t="s">
        <v>550</v>
      </c>
      <c r="B359" s="182" t="s">
        <v>46</v>
      </c>
      <c r="C359" s="182" t="str">
        <f>Jordbund1</f>
        <v>JB1-10</v>
      </c>
      <c r="D359" s="148" t="s">
        <v>549</v>
      </c>
      <c r="E359" s="148" t="str">
        <f>IFERROR(VLOOKUP(D359,Table2[],2,FALSE),"")</f>
        <v>Hektar</v>
      </c>
      <c r="F359" s="202" t="s">
        <v>344</v>
      </c>
      <c r="G359" s="148" t="str">
        <f>IFERROR(VLOOKUP(F359,Table2[],2,FALSE),"")</f>
        <v>t CO2-ækvivalenter</v>
      </c>
      <c r="H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5.75" thickTop="1" x14ac:dyDescent="0.25">
      <c r="A360" s="186" t="s">
        <v>550</v>
      </c>
      <c r="B360" s="180" t="s">
        <v>46</v>
      </c>
      <c r="C360" s="180" t="str">
        <f>Organ6</f>
        <v>OC6</v>
      </c>
      <c r="D360" s="144" t="s">
        <v>549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25">
      <c r="A361" s="187" t="s">
        <v>550</v>
      </c>
      <c r="B361" s="181" t="s">
        <v>46</v>
      </c>
      <c r="C361" s="181" t="str">
        <f>Organ6</f>
        <v>OC6</v>
      </c>
      <c r="D361" s="146" t="s">
        <v>549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5.75" thickBot="1" x14ac:dyDescent="0.3">
      <c r="A362" s="188" t="s">
        <v>550</v>
      </c>
      <c r="B362" s="182" t="s">
        <v>46</v>
      </c>
      <c r="C362" s="182" t="str">
        <f>Organ6</f>
        <v>OC6</v>
      </c>
      <c r="D362" s="148" t="s">
        <v>549</v>
      </c>
      <c r="E362" s="148" t="str">
        <f>IFERROR(VLOOKUP(D362,Table2[],2,FALSE),"")</f>
        <v>Hektar</v>
      </c>
      <c r="F362" s="202" t="s">
        <v>344</v>
      </c>
      <c r="G362" s="148" t="str">
        <f>IFERROR(VLOOKUP(F362,Table2[],2,FALSE),"")</f>
        <v>t CO2-ækvivalenter</v>
      </c>
      <c r="H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5.75" thickTop="1" x14ac:dyDescent="0.25">
      <c r="A363" s="186" t="s">
        <v>550</v>
      </c>
      <c r="B363" s="180" t="s">
        <v>46</v>
      </c>
      <c r="C363" s="180" t="str">
        <f>Organ12</f>
        <v>OC12</v>
      </c>
      <c r="D363" s="144" t="s">
        <v>549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25">
      <c r="A364" s="187" t="s">
        <v>550</v>
      </c>
      <c r="B364" s="181" t="s">
        <v>46</v>
      </c>
      <c r="C364" s="181" t="str">
        <f>Organ12</f>
        <v>OC12</v>
      </c>
      <c r="D364" s="146" t="s">
        <v>549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5.75" thickBot="1" x14ac:dyDescent="0.3">
      <c r="A365" s="188" t="s">
        <v>550</v>
      </c>
      <c r="B365" s="182" t="s">
        <v>46</v>
      </c>
      <c r="C365" s="182" t="str">
        <f>Organ12</f>
        <v>OC12</v>
      </c>
      <c r="D365" s="148" t="s">
        <v>549</v>
      </c>
      <c r="E365" s="148" t="str">
        <f>IFERROR(VLOOKUP(D365,Table2[],2,FALSE),"")</f>
        <v>Hektar</v>
      </c>
      <c r="F365" s="202" t="s">
        <v>344</v>
      </c>
      <c r="G365" s="148" t="str">
        <f>IFERROR(VLOOKUP(F365,Table2[],2,FALSE),"")</f>
        <v>t CO2-ækvivalenter</v>
      </c>
      <c r="H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5.75" thickTop="1" x14ac:dyDescent="0.25">
      <c r="A366" s="186" t="s">
        <v>32</v>
      </c>
      <c r="B366" s="180" t="s">
        <v>45</v>
      </c>
      <c r="C366" s="180" t="str">
        <f>Jordbund1</f>
        <v>JB1-10</v>
      </c>
      <c r="D366" s="144" t="s">
        <v>361</v>
      </c>
      <c r="E366" s="144" t="str">
        <f>IFERROR(VLOOKUP(D366,Table2[],2,FALSE),"")</f>
        <v>Hektar</v>
      </c>
      <c r="F366" s="144" t="s">
        <v>339</v>
      </c>
      <c r="G366" s="144" t="str">
        <f>IFERROR(VLOOKUP(F366,Table2[],2,FALSE),"")</f>
        <v>Ton</v>
      </c>
      <c r="H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25">
      <c r="A367" s="187" t="s">
        <v>32</v>
      </c>
      <c r="B367" s="181" t="s">
        <v>45</v>
      </c>
      <c r="C367" s="181" t="str">
        <f>Jordbund1</f>
        <v>JB1-10</v>
      </c>
      <c r="D367" s="146" t="s">
        <v>361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5.75" thickBot="1" x14ac:dyDescent="0.3">
      <c r="A368" s="188" t="s">
        <v>32</v>
      </c>
      <c r="B368" s="182" t="s">
        <v>45</v>
      </c>
      <c r="C368" s="182" t="str">
        <f>Jordbund1</f>
        <v>JB1-10</v>
      </c>
      <c r="D368" s="148" t="s">
        <v>361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5.75" thickTop="1" x14ac:dyDescent="0.25">
      <c r="A369" s="186" t="s">
        <v>32</v>
      </c>
      <c r="B369" s="180" t="s">
        <v>45</v>
      </c>
      <c r="C369" s="180" t="str">
        <f>Organ6</f>
        <v>OC6</v>
      </c>
      <c r="D369" s="144" t="s">
        <v>361</v>
      </c>
      <c r="E369" s="144" t="str">
        <f>IFERROR(VLOOKUP(D369,Table2[],2,FALSE),"")</f>
        <v>Hektar</v>
      </c>
      <c r="F369" s="144" t="s">
        <v>339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25">
      <c r="A370" s="187" t="s">
        <v>32</v>
      </c>
      <c r="B370" s="181" t="s">
        <v>45</v>
      </c>
      <c r="C370" s="181" t="str">
        <f>Organ6</f>
        <v>OC6</v>
      </c>
      <c r="D370" s="146" t="s">
        <v>361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5.75" thickBot="1" x14ac:dyDescent="0.3">
      <c r="A371" s="188" t="s">
        <v>32</v>
      </c>
      <c r="B371" s="182" t="s">
        <v>45</v>
      </c>
      <c r="C371" s="182" t="str">
        <f>Organ6</f>
        <v>OC6</v>
      </c>
      <c r="D371" s="148" t="s">
        <v>361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5.75" thickTop="1" x14ac:dyDescent="0.25">
      <c r="A372" s="187" t="s">
        <v>32</v>
      </c>
      <c r="B372" s="181" t="s">
        <v>45</v>
      </c>
      <c r="C372" s="181" t="str">
        <f>Organ12</f>
        <v>OC12</v>
      </c>
      <c r="D372" s="146" t="s">
        <v>361</v>
      </c>
      <c r="E372" s="146" t="str">
        <f>IFERROR(VLOOKUP(D372,Table2[],2,FALSE),"")</f>
        <v>Hektar</v>
      </c>
      <c r="F372" s="146" t="s">
        <v>339</v>
      </c>
      <c r="G372" s="146" t="str">
        <f>IFERROR(VLOOKUP(F372,Table2[],2,FALSE),"")</f>
        <v>Ton</v>
      </c>
      <c r="H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25">
      <c r="A373" s="187" t="s">
        <v>32</v>
      </c>
      <c r="B373" s="181" t="s">
        <v>45</v>
      </c>
      <c r="C373" s="181" t="str">
        <f>Organ12</f>
        <v>OC12</v>
      </c>
      <c r="D373" s="146" t="s">
        <v>361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5.75" thickBot="1" x14ac:dyDescent="0.3">
      <c r="A374" s="188" t="s">
        <v>32</v>
      </c>
      <c r="B374" s="182" t="s">
        <v>45</v>
      </c>
      <c r="C374" s="182" t="str">
        <f>Organ12</f>
        <v>OC12</v>
      </c>
      <c r="D374" s="148" t="s">
        <v>361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5.75" thickTop="1" x14ac:dyDescent="0.25">
      <c r="A375" s="186" t="s">
        <v>32</v>
      </c>
      <c r="B375" s="180" t="s">
        <v>46</v>
      </c>
      <c r="C375" s="180" t="str">
        <f>Jordbund1</f>
        <v>JB1-10</v>
      </c>
      <c r="D375" s="144" t="s">
        <v>361</v>
      </c>
      <c r="E375" s="144" t="str">
        <f>IFERROR(VLOOKUP(D375,Table2[],2,FALSE),"")</f>
        <v>Hektar</v>
      </c>
      <c r="F375" s="144" t="s">
        <v>339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25">
      <c r="A376" s="187" t="s">
        <v>32</v>
      </c>
      <c r="B376" s="181" t="s">
        <v>46</v>
      </c>
      <c r="C376" s="181" t="str">
        <f>Jordbund1</f>
        <v>JB1-10</v>
      </c>
      <c r="D376" s="146" t="s">
        <v>361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5.75" thickBot="1" x14ac:dyDescent="0.3">
      <c r="A377" s="188" t="s">
        <v>32</v>
      </c>
      <c r="B377" s="182" t="s">
        <v>46</v>
      </c>
      <c r="C377" s="182" t="str">
        <f>Jordbund1</f>
        <v>JB1-10</v>
      </c>
      <c r="D377" s="148" t="s">
        <v>361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5.75" thickTop="1" x14ac:dyDescent="0.25">
      <c r="A378" s="186" t="s">
        <v>32</v>
      </c>
      <c r="B378" s="180" t="s">
        <v>46</v>
      </c>
      <c r="C378" s="180" t="str">
        <f>Organ6</f>
        <v>OC6</v>
      </c>
      <c r="D378" s="144" t="s">
        <v>361</v>
      </c>
      <c r="E378" s="144" t="str">
        <f>IFERROR(VLOOKUP(D378,Table2[],2,FALSE),"")</f>
        <v>Hektar</v>
      </c>
      <c r="F378" s="144" t="s">
        <v>339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25">
      <c r="A379" s="187" t="s">
        <v>32</v>
      </c>
      <c r="B379" s="181" t="s">
        <v>46</v>
      </c>
      <c r="C379" s="181" t="str">
        <f>Organ6</f>
        <v>OC6</v>
      </c>
      <c r="D379" s="146" t="s">
        <v>361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5.75" thickBot="1" x14ac:dyDescent="0.3">
      <c r="A380" s="188" t="s">
        <v>32</v>
      </c>
      <c r="B380" s="182" t="s">
        <v>46</v>
      </c>
      <c r="C380" s="182" t="str">
        <f>Organ6</f>
        <v>OC6</v>
      </c>
      <c r="D380" s="148" t="s">
        <v>361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5.75" thickTop="1" x14ac:dyDescent="0.25">
      <c r="A381" s="186" t="s">
        <v>32</v>
      </c>
      <c r="B381" s="180" t="s">
        <v>46</v>
      </c>
      <c r="C381" s="180" t="str">
        <f>Organ12</f>
        <v>OC12</v>
      </c>
      <c r="D381" s="144" t="s">
        <v>361</v>
      </c>
      <c r="E381" s="144" t="str">
        <f>IFERROR(VLOOKUP(D381,Table2[],2,FALSE),"")</f>
        <v>Hektar</v>
      </c>
      <c r="F381" s="144" t="s">
        <v>339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25">
      <c r="A382" s="187" t="s">
        <v>32</v>
      </c>
      <c r="B382" s="181" t="s">
        <v>46</v>
      </c>
      <c r="C382" s="181" t="str">
        <f>Organ12</f>
        <v>OC12</v>
      </c>
      <c r="D382" s="146" t="s">
        <v>361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5.75" thickBot="1" x14ac:dyDescent="0.3">
      <c r="A383" s="188" t="s">
        <v>32</v>
      </c>
      <c r="B383" s="182" t="s">
        <v>46</v>
      </c>
      <c r="C383" s="182" t="str">
        <f>Organ12</f>
        <v>OC12</v>
      </c>
      <c r="D383" s="148" t="s">
        <v>361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5.75" thickTop="1" x14ac:dyDescent="0.25">
      <c r="A384" s="186" t="s">
        <v>61</v>
      </c>
      <c r="B384" s="180" t="s">
        <v>45</v>
      </c>
      <c r="C384" s="180" t="str">
        <f>Jordbund1</f>
        <v>JB1-10</v>
      </c>
      <c r="D384" s="144" t="s">
        <v>360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540</v>
      </c>
    </row>
    <row r="385" spans="1:11" s="146" customFormat="1" x14ac:dyDescent="0.25">
      <c r="A385" s="187" t="s">
        <v>61</v>
      </c>
      <c r="B385" s="181" t="s">
        <v>45</v>
      </c>
      <c r="C385" s="181" t="str">
        <f>Jordbund1</f>
        <v>JB1-10</v>
      </c>
      <c r="D385" s="146" t="s">
        <v>360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540</v>
      </c>
    </row>
    <row r="386" spans="1:11" s="146" customFormat="1" ht="15.75" thickBot="1" x14ac:dyDescent="0.3">
      <c r="A386" s="188" t="s">
        <v>61</v>
      </c>
      <c r="B386" s="182" t="s">
        <v>45</v>
      </c>
      <c r="C386" s="182" t="str">
        <f>Jordbund1</f>
        <v>JB1-10</v>
      </c>
      <c r="D386" s="148" t="s">
        <v>360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540</v>
      </c>
    </row>
    <row r="387" spans="1:11" s="146" customFormat="1" ht="15.75" thickTop="1" x14ac:dyDescent="0.25">
      <c r="A387" s="186" t="s">
        <v>61</v>
      </c>
      <c r="B387" s="180" t="s">
        <v>45</v>
      </c>
      <c r="C387" s="180" t="str">
        <f>Organ6</f>
        <v>OC6</v>
      </c>
      <c r="D387" s="144" t="s">
        <v>360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540</v>
      </c>
    </row>
    <row r="388" spans="1:11" s="146" customFormat="1" x14ac:dyDescent="0.25">
      <c r="A388" s="187" t="s">
        <v>61</v>
      </c>
      <c r="B388" s="181" t="s">
        <v>45</v>
      </c>
      <c r="C388" s="181" t="str">
        <f>Organ6</f>
        <v>OC6</v>
      </c>
      <c r="D388" s="146" t="s">
        <v>360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540</v>
      </c>
    </row>
    <row r="389" spans="1:11" s="146" customFormat="1" ht="15.75" thickBot="1" x14ac:dyDescent="0.3">
      <c r="A389" s="188" t="s">
        <v>61</v>
      </c>
      <c r="B389" s="182" t="s">
        <v>45</v>
      </c>
      <c r="C389" s="182" t="str">
        <f>Organ6</f>
        <v>OC6</v>
      </c>
      <c r="D389" s="148" t="s">
        <v>360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540</v>
      </c>
    </row>
    <row r="390" spans="1:11" s="146" customFormat="1" ht="15.75" thickTop="1" x14ac:dyDescent="0.25">
      <c r="A390" s="186" t="s">
        <v>61</v>
      </c>
      <c r="B390" s="180" t="s">
        <v>45</v>
      </c>
      <c r="C390" s="180" t="str">
        <f>Organ12</f>
        <v>OC12</v>
      </c>
      <c r="D390" s="144" t="s">
        <v>360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540</v>
      </c>
    </row>
    <row r="391" spans="1:11" s="146" customFormat="1" x14ac:dyDescent="0.25">
      <c r="A391" s="187" t="s">
        <v>61</v>
      </c>
      <c r="B391" s="181" t="s">
        <v>45</v>
      </c>
      <c r="C391" s="181" t="str">
        <f>Organ12</f>
        <v>OC12</v>
      </c>
      <c r="D391" s="146" t="s">
        <v>360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540</v>
      </c>
    </row>
    <row r="392" spans="1:11" s="146" customFormat="1" ht="15.75" thickBot="1" x14ac:dyDescent="0.3">
      <c r="A392" s="188" t="s">
        <v>61</v>
      </c>
      <c r="B392" s="182" t="s">
        <v>45</v>
      </c>
      <c r="C392" s="182" t="str">
        <f>Organ12</f>
        <v>OC12</v>
      </c>
      <c r="D392" s="148" t="s">
        <v>360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540</v>
      </c>
    </row>
    <row r="393" spans="1:11" s="146" customFormat="1" ht="15.75" thickTop="1" x14ac:dyDescent="0.25">
      <c r="A393" s="186" t="s">
        <v>61</v>
      </c>
      <c r="B393" s="180" t="s">
        <v>46</v>
      </c>
      <c r="C393" s="180" t="str">
        <f>Jordbund1</f>
        <v>JB1-10</v>
      </c>
      <c r="D393" s="144" t="s">
        <v>360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540</v>
      </c>
    </row>
    <row r="394" spans="1:11" s="146" customFormat="1" x14ac:dyDescent="0.25">
      <c r="A394" s="187" t="s">
        <v>61</v>
      </c>
      <c r="B394" s="181" t="s">
        <v>46</v>
      </c>
      <c r="C394" s="181" t="str">
        <f>Jordbund1</f>
        <v>JB1-10</v>
      </c>
      <c r="D394" s="146" t="s">
        <v>360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540</v>
      </c>
    </row>
    <row r="395" spans="1:11" s="146" customFormat="1" ht="15.75" thickBot="1" x14ac:dyDescent="0.3">
      <c r="A395" s="188" t="s">
        <v>61</v>
      </c>
      <c r="B395" s="182" t="s">
        <v>46</v>
      </c>
      <c r="C395" s="182" t="str">
        <f>Jordbund1</f>
        <v>JB1-10</v>
      </c>
      <c r="D395" s="148" t="s">
        <v>360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540</v>
      </c>
    </row>
    <row r="396" spans="1:11" s="146" customFormat="1" ht="15.75" thickTop="1" x14ac:dyDescent="0.25">
      <c r="A396" s="186" t="s">
        <v>61</v>
      </c>
      <c r="B396" s="180" t="s">
        <v>46</v>
      </c>
      <c r="C396" s="180" t="str">
        <f>Organ6</f>
        <v>OC6</v>
      </c>
      <c r="D396" s="144" t="s">
        <v>360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540</v>
      </c>
    </row>
    <row r="397" spans="1:11" s="146" customFormat="1" x14ac:dyDescent="0.25">
      <c r="A397" s="187" t="s">
        <v>61</v>
      </c>
      <c r="B397" s="181" t="s">
        <v>46</v>
      </c>
      <c r="C397" s="181" t="str">
        <f>Organ6</f>
        <v>OC6</v>
      </c>
      <c r="D397" s="146" t="s">
        <v>360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540</v>
      </c>
    </row>
    <row r="398" spans="1:11" s="146" customFormat="1" ht="15.75" thickBot="1" x14ac:dyDescent="0.3">
      <c r="A398" s="188" t="s">
        <v>61</v>
      </c>
      <c r="B398" s="182" t="s">
        <v>46</v>
      </c>
      <c r="C398" s="182" t="str">
        <f>Organ6</f>
        <v>OC6</v>
      </c>
      <c r="D398" s="148" t="s">
        <v>360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540</v>
      </c>
    </row>
    <row r="399" spans="1:11" s="146" customFormat="1" ht="15.75" thickTop="1" x14ac:dyDescent="0.25">
      <c r="A399" s="186" t="s">
        <v>61</v>
      </c>
      <c r="B399" s="180" t="s">
        <v>46</v>
      </c>
      <c r="C399" s="180" t="str">
        <f>Organ12</f>
        <v>OC12</v>
      </c>
      <c r="D399" s="144" t="s">
        <v>360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540</v>
      </c>
    </row>
    <row r="400" spans="1:11" s="146" customFormat="1" x14ac:dyDescent="0.25">
      <c r="A400" s="187" t="s">
        <v>61</v>
      </c>
      <c r="B400" s="181" t="s">
        <v>46</v>
      </c>
      <c r="C400" s="181" t="str">
        <f>Organ12</f>
        <v>OC12</v>
      </c>
      <c r="D400" s="146" t="s">
        <v>360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540</v>
      </c>
    </row>
    <row r="401" spans="1:14" s="146" customFormat="1" ht="15.75" thickBot="1" x14ac:dyDescent="0.3">
      <c r="A401" s="188" t="s">
        <v>61</v>
      </c>
      <c r="B401" s="182" t="s">
        <v>46</v>
      </c>
      <c r="C401" s="182" t="str">
        <f>Organ12</f>
        <v>OC12</v>
      </c>
      <c r="D401" s="148" t="s">
        <v>360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540</v>
      </c>
    </row>
    <row r="402" spans="1:14" ht="15.75" thickTop="1" x14ac:dyDescent="0.25">
      <c r="A402" s="187" t="s">
        <v>33</v>
      </c>
      <c r="B402" s="181"/>
      <c r="C402" s="181"/>
      <c r="D402" s="146" t="s">
        <v>553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8">
        <v>0.48</v>
      </c>
      <c r="I402" s="208">
        <v>0.48</v>
      </c>
      <c r="J402" s="208">
        <v>0.48</v>
      </c>
      <c r="K402" s="147" t="s">
        <v>624</v>
      </c>
    </row>
    <row r="403" spans="1:14" s="146" customFormat="1" ht="15.75" thickBot="1" x14ac:dyDescent="0.3">
      <c r="A403" s="187" t="s">
        <v>33</v>
      </c>
      <c r="B403" s="181"/>
      <c r="C403" s="181"/>
      <c r="D403" s="146" t="s">
        <v>553</v>
      </c>
      <c r="E403" s="146" t="str">
        <f>IFERROR(VLOOKUP(D403,Table2[],2,FALSE),"")</f>
        <v>m3</v>
      </c>
      <c r="F403" s="150" t="s">
        <v>405</v>
      </c>
      <c r="G403" s="146" t="str">
        <f>IFERROR(VLOOKUP(F403,Table2[],2,FALSE),"")</f>
        <v>m3</v>
      </c>
      <c r="H403" s="208">
        <v>0.52</v>
      </c>
      <c r="I403" s="208">
        <v>0.52</v>
      </c>
      <c r="J403" s="208">
        <v>0.52</v>
      </c>
      <c r="K403" s="147" t="s">
        <v>624</v>
      </c>
    </row>
    <row r="404" spans="1:14" ht="15.75" thickTop="1" x14ac:dyDescent="0.25">
      <c r="A404" s="186" t="s">
        <v>34</v>
      </c>
      <c r="B404" s="183"/>
      <c r="C404" s="183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0">
        <f>1-H405-H407</f>
        <v>0.64217654203833741</v>
      </c>
      <c r="I404" s="210">
        <f>H404</f>
        <v>0.64217654203833741</v>
      </c>
      <c r="J404" s="210">
        <f>I404</f>
        <v>0.64217654203833741</v>
      </c>
      <c r="K404" s="145" t="s">
        <v>762</v>
      </c>
    </row>
    <row r="405" spans="1:14" x14ac:dyDescent="0.25">
      <c r="A405" s="187" t="s">
        <v>34</v>
      </c>
      <c r="B405" s="185"/>
      <c r="C405" s="185"/>
      <c r="D405" s="146" t="s">
        <v>302</v>
      </c>
      <c r="E405" s="146" t="str">
        <f>IFERROR(VLOOKUP(D405,Table2[],2,FALSE),"")</f>
        <v>Ton</v>
      </c>
      <c r="F405" s="150" t="s">
        <v>502</v>
      </c>
      <c r="G405" s="146" t="str">
        <f>IFERROR(VLOOKUP(F405,Table2[],2,FALSE),"")</f>
        <v>Ton</v>
      </c>
      <c r="H405" s="211">
        <f>0.025</f>
        <v>2.5000000000000001E-2</v>
      </c>
      <c r="I405" s="211">
        <f>0.025</f>
        <v>2.5000000000000001E-2</v>
      </c>
      <c r="J405" s="211">
        <f>0.025</f>
        <v>2.5000000000000001E-2</v>
      </c>
      <c r="K405" s="147" t="s">
        <v>423</v>
      </c>
    </row>
    <row r="406" spans="1:14" x14ac:dyDescent="0.25">
      <c r="A406" s="187" t="s">
        <v>34</v>
      </c>
      <c r="B406" s="185"/>
      <c r="C406" s="185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38">
        <f>0.003285</f>
        <v>3.2850000000000002E-3</v>
      </c>
      <c r="I406" s="438">
        <f t="shared" ref="I406:J406" si="1">0.003285</f>
        <v>3.2850000000000002E-3</v>
      </c>
      <c r="J406" s="438">
        <f t="shared" si="1"/>
        <v>3.2850000000000002E-3</v>
      </c>
      <c r="K406" s="147" t="s">
        <v>826</v>
      </c>
    </row>
    <row r="407" spans="1:14" ht="15.75" thickBot="1" x14ac:dyDescent="0.3">
      <c r="A407" s="187" t="s">
        <v>34</v>
      </c>
      <c r="B407" s="185"/>
      <c r="C407" s="185"/>
      <c r="D407" s="146" t="s">
        <v>302</v>
      </c>
      <c r="E407" s="146" t="str">
        <f>IFERROR(VLOOKUP(D407,Table2[],2,FALSE),"")</f>
        <v>Ton</v>
      </c>
      <c r="F407" s="146" t="s">
        <v>430</v>
      </c>
      <c r="G407" s="146" t="str">
        <f>IFERROR(VLOOKUP(F407,Table2[],2,FALSE),"")</f>
        <v>Ton</v>
      </c>
      <c r="H407" s="211">
        <f>0.0272+'Procesdata (baggrund)'!$B$10</f>
        <v>0.33282345796166263</v>
      </c>
      <c r="I407" s="211">
        <f>0.0272+'Procesdata (baggrund)'!$B$10</f>
        <v>0.33282345796166263</v>
      </c>
      <c r="J407" s="211">
        <f>0.0272+'Procesdata (baggrund)'!$B$10</f>
        <v>0.33282345796166263</v>
      </c>
      <c r="K407" s="147" t="s">
        <v>762</v>
      </c>
    </row>
    <row r="408" spans="1:14" ht="15.75" thickTop="1" x14ac:dyDescent="0.25">
      <c r="A408" s="186" t="s">
        <v>35</v>
      </c>
      <c r="B408" s="180"/>
      <c r="C408" s="180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0">
        <f>1770.5/18356</f>
        <v>9.6453475702767494E-2</v>
      </c>
      <c r="I408" s="210">
        <f t="shared" ref="I408:J408" si="2">1770.5/18356</f>
        <v>9.6453475702767494E-2</v>
      </c>
      <c r="J408" s="210">
        <f t="shared" si="2"/>
        <v>9.6453475702767494E-2</v>
      </c>
      <c r="K408" s="145" t="s">
        <v>423</v>
      </c>
    </row>
    <row r="409" spans="1:14" x14ac:dyDescent="0.25">
      <c r="A409" s="187" t="s">
        <v>35</v>
      </c>
      <c r="B409" s="181"/>
      <c r="C409" s="181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2">
        <f>21.2/18356*N410</f>
        <v>1.3691762911309652E-3</v>
      </c>
      <c r="I409" s="212">
        <f t="shared" ref="I409:J409" si="3">21.2/18356*1.6</f>
        <v>1.8478971453475702E-3</v>
      </c>
      <c r="J409" s="212">
        <f t="shared" si="3"/>
        <v>1.8478971453475702E-3</v>
      </c>
      <c r="K409" s="147" t="s">
        <v>510</v>
      </c>
    </row>
    <row r="410" spans="1:14" x14ac:dyDescent="0.25">
      <c r="A410" s="187" t="s">
        <v>35</v>
      </c>
      <c r="B410" s="181"/>
      <c r="C410" s="181"/>
      <c r="D410" s="146" t="s">
        <v>300</v>
      </c>
      <c r="E410" s="146" t="str">
        <f>IFERROR(VLOOKUP(D410,Table2[],2,FALSE),"")</f>
        <v>Antal</v>
      </c>
      <c r="F410" s="146" t="s">
        <v>424</v>
      </c>
      <c r="G410" s="146" t="str">
        <f>IFERROR(VLOOKUP(F410,Table2[],2,FALSE),"")</f>
        <v>Ton</v>
      </c>
      <c r="H410" s="212">
        <f>(90.5+67.4)/18356</f>
        <v>8.602091959032469E-3</v>
      </c>
      <c r="I410" s="212">
        <f t="shared" ref="I410:J410" si="4">(90.5+67.4)/18356</f>
        <v>8.602091959032469E-3</v>
      </c>
      <c r="J410" s="212">
        <f t="shared" si="4"/>
        <v>8.602091959032469E-3</v>
      </c>
      <c r="K410" s="147" t="s">
        <v>423</v>
      </c>
      <c r="M410" t="s">
        <v>823</v>
      </c>
      <c r="N410">
        <v>1.1855</v>
      </c>
    </row>
    <row r="411" spans="1:14" x14ac:dyDescent="0.25">
      <c r="A411" s="187" t="s">
        <v>35</v>
      </c>
      <c r="B411" s="181"/>
      <c r="C411" s="181"/>
      <c r="D411" s="146" t="s">
        <v>300</v>
      </c>
      <c r="E411" s="146" t="str">
        <f>IFERROR(VLOOKUP(D411,Table2[],2,FALSE),"")</f>
        <v>Antal</v>
      </c>
      <c r="F411" s="146" t="s">
        <v>425</v>
      </c>
      <c r="G411" s="146" t="str">
        <f>IFERROR(VLOOKUP(F411,Table2[],2,FALSE),"")</f>
        <v>Ton</v>
      </c>
      <c r="H411" s="212">
        <f>(151.6+4.2)/18356</f>
        <v>8.4876879494443225E-3</v>
      </c>
      <c r="I411" s="212">
        <f t="shared" ref="I411:J411" si="5">(151.6+4.2)/18356</f>
        <v>8.4876879494443225E-3</v>
      </c>
      <c r="J411" s="212">
        <f t="shared" si="5"/>
        <v>8.4876879494443225E-3</v>
      </c>
      <c r="K411" s="147" t="s">
        <v>423</v>
      </c>
    </row>
    <row r="412" spans="1:14" x14ac:dyDescent="0.25">
      <c r="A412" s="187" t="s">
        <v>35</v>
      </c>
      <c r="B412" s="181"/>
      <c r="C412" s="181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1">
        <f>123400/495000</f>
        <v>0.24929292929292929</v>
      </c>
      <c r="I412" s="211">
        <f t="shared" ref="I412:J412" si="6">123400/495000</f>
        <v>0.24929292929292929</v>
      </c>
      <c r="J412" s="211">
        <f t="shared" si="6"/>
        <v>0.24929292929292929</v>
      </c>
      <c r="K412" s="147" t="s">
        <v>423</v>
      </c>
    </row>
    <row r="413" spans="1:14" x14ac:dyDescent="0.25">
      <c r="A413" s="187" t="s">
        <v>35</v>
      </c>
      <c r="B413" s="181"/>
      <c r="C413" s="181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1">
        <f>(45)/495*N410</f>
        <v>0.10777272727272727</v>
      </c>
      <c r="I413" s="211">
        <f>(45)/495*1.33</f>
        <v>0.12090909090909092</v>
      </c>
      <c r="J413" s="211">
        <f>(45)/495*1.33</f>
        <v>0.12090909090909092</v>
      </c>
      <c r="K413" s="147" t="s">
        <v>510</v>
      </c>
    </row>
    <row r="414" spans="1:14" x14ac:dyDescent="0.25">
      <c r="A414" s="187" t="s">
        <v>35</v>
      </c>
      <c r="B414" s="181"/>
      <c r="C414" s="181"/>
      <c r="D414" s="146" t="s">
        <v>301</v>
      </c>
      <c r="E414" s="146" t="str">
        <f>IFERROR(VLOOKUP(D414,Table2[],2,FALSE),"")</f>
        <v>Antal</v>
      </c>
      <c r="F414" s="146" t="s">
        <v>424</v>
      </c>
      <c r="G414" s="146" t="str">
        <f>IFERROR(VLOOKUP(F414,Table2[],2,FALSE),"")</f>
        <v>Ton</v>
      </c>
      <c r="H414" s="211">
        <f>7.9/495</f>
        <v>1.5959595959595962E-2</v>
      </c>
      <c r="I414" s="211">
        <f t="shared" ref="I414:J414" si="7">7.9/495</f>
        <v>1.5959595959595962E-2</v>
      </c>
      <c r="J414" s="211">
        <f t="shared" si="7"/>
        <v>1.5959595959595962E-2</v>
      </c>
      <c r="K414" s="147" t="s">
        <v>423</v>
      </c>
    </row>
    <row r="415" spans="1:14" x14ac:dyDescent="0.25">
      <c r="A415" s="187" t="s">
        <v>35</v>
      </c>
      <c r="B415" s="181"/>
      <c r="C415" s="181"/>
      <c r="D415" s="146" t="s">
        <v>301</v>
      </c>
      <c r="E415" s="146" t="str">
        <f>IFERROR(VLOOKUP(D415,Table2[],2,FALSE),"")</f>
        <v>Antal</v>
      </c>
      <c r="F415" s="146" t="s">
        <v>425</v>
      </c>
      <c r="G415" s="146" t="str">
        <f>IFERROR(VLOOKUP(F415,Table2[],2,FALSE),"")</f>
        <v>Ton</v>
      </c>
      <c r="H415" s="211">
        <f>(39.5+19.8+4.4+0.1+17.4)/495</f>
        <v>0.16404040404040401</v>
      </c>
      <c r="I415" s="211">
        <f t="shared" ref="I415:J415" si="8">(39.5+19.8+4.4+0.1+17.4)/495</f>
        <v>0.16404040404040401</v>
      </c>
      <c r="J415" s="211">
        <f t="shared" si="8"/>
        <v>0.16404040404040401</v>
      </c>
      <c r="K415" s="147" t="s">
        <v>423</v>
      </c>
    </row>
    <row r="416" spans="1:14" x14ac:dyDescent="0.25">
      <c r="A416" s="187" t="s">
        <v>35</v>
      </c>
      <c r="B416" s="181"/>
      <c r="C416" s="181"/>
      <c r="D416" s="146" t="s">
        <v>364</v>
      </c>
      <c r="E416" s="146" t="str">
        <f>IFERROR(VLOOKUP(D416,Table2[],2,FALSE),"")</f>
        <v>Antal</v>
      </c>
      <c r="F416" s="146" t="s">
        <v>365</v>
      </c>
      <c r="G416" s="146" t="str">
        <f>IFERROR(VLOOKUP(F416,Table2[],2,FALSE),"")</f>
        <v>Ton</v>
      </c>
      <c r="H416" s="212">
        <f>192000/101500000*(1-0.0023)</f>
        <v>1.8872748768472907E-3</v>
      </c>
      <c r="I416" s="212">
        <f t="shared" ref="I416:J416" si="9">192000/101500000*(1-0.0023)</f>
        <v>1.8872748768472907E-3</v>
      </c>
      <c r="J416" s="212">
        <f t="shared" si="9"/>
        <v>1.8872748768472907E-3</v>
      </c>
      <c r="K416" s="147" t="s">
        <v>423</v>
      </c>
    </row>
    <row r="417" spans="1:11" ht="15.75" thickBot="1" x14ac:dyDescent="0.3">
      <c r="A417" s="187" t="s">
        <v>35</v>
      </c>
      <c r="B417" s="181"/>
      <c r="C417" s="181"/>
      <c r="D417" s="150" t="s">
        <v>364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5">
        <f>192000/101500000*(0.0023)*N410</f>
        <v>5.1578009852216749E-6</v>
      </c>
      <c r="I417" s="215">
        <f t="shared" ref="I417:J417" si="10">192000/101500000*(0.0023)*1.6</f>
        <v>6.9611822660098529E-6</v>
      </c>
      <c r="J417" s="215">
        <f t="shared" si="10"/>
        <v>6.9611822660098529E-6</v>
      </c>
      <c r="K417" s="147" t="s">
        <v>510</v>
      </c>
    </row>
    <row r="418" spans="1:11" ht="15.75" thickTop="1" x14ac:dyDescent="0.25">
      <c r="A418" s="186" t="s">
        <v>415</v>
      </c>
      <c r="B418" s="180"/>
      <c r="C418" s="180"/>
      <c r="D418" s="144" t="s">
        <v>11</v>
      </c>
      <c r="E418" s="144" t="str">
        <f>IFERROR(VLOOKUP(D418,Table2[],2,FALSE),"")</f>
        <v>Ton</v>
      </c>
      <c r="F418" s="144" t="s">
        <v>416</v>
      </c>
      <c r="G418" s="144" t="str">
        <f>IFERROR(VLOOKUP(F418,Table2[],2,FALSE),"")</f>
        <v>FE</v>
      </c>
      <c r="H418" s="204">
        <f>VLOOKUP('Processer - data'!$D418,Foder!$A$2:$C$16,3,FALSE)</f>
        <v>899.89334145969838</v>
      </c>
      <c r="I418" s="204">
        <f>VLOOKUP('Processer - data'!$D418,Foder!$A$2:$C$16,3,FALSE)</f>
        <v>899.89334145969838</v>
      </c>
      <c r="J418" s="204">
        <f>VLOOKUP('Processer - data'!$D418,Foder!$A$2:$C$16,3,FALSE)</f>
        <v>899.89334145969838</v>
      </c>
      <c r="K418" s="145"/>
    </row>
    <row r="419" spans="1:11" x14ac:dyDescent="0.25">
      <c r="A419" s="187" t="s">
        <v>415</v>
      </c>
      <c r="B419" s="181"/>
      <c r="C419" s="181"/>
      <c r="D419" s="146" t="s">
        <v>37</v>
      </c>
      <c r="E419" s="146" t="str">
        <f>IFERROR(VLOOKUP(D419,Table2[],2,FALSE),"")</f>
        <v>Ton</v>
      </c>
      <c r="F419" s="146" t="s">
        <v>416</v>
      </c>
      <c r="G419" s="146" t="str">
        <f>IFERROR(VLOOKUP(F419,Table2[],2,FALSE),"")</f>
        <v>FE</v>
      </c>
      <c r="H419" s="201">
        <f>VLOOKUP('Processer - data'!$D419,Foder!$A$2:$C$16,3,FALSE)</f>
        <v>190.03476245654693</v>
      </c>
      <c r="I419" s="201">
        <f>VLOOKUP('Processer - data'!$D419,Foder!$A$2:$C$16,3,FALSE)</f>
        <v>190.03476245654693</v>
      </c>
      <c r="J419" s="201">
        <f>VLOOKUP('Processer - data'!$D419,Foder!$A$2:$C$16,3,FALSE)</f>
        <v>190.03476245654693</v>
      </c>
      <c r="K419" s="147"/>
    </row>
    <row r="420" spans="1:11" x14ac:dyDescent="0.25">
      <c r="A420" s="187" t="s">
        <v>415</v>
      </c>
      <c r="B420" s="181"/>
      <c r="C420" s="181"/>
      <c r="D420" s="146" t="s">
        <v>188</v>
      </c>
      <c r="E420" s="146" t="str">
        <f>IFERROR(VLOOKUP(D420,Table2[],2,FALSE),"")</f>
        <v>Ton</v>
      </c>
      <c r="F420" s="146" t="s">
        <v>416</v>
      </c>
      <c r="G420" s="146" t="str">
        <f>IFERROR(VLOOKUP(F420,Table2[],2,FALSE),"")</f>
        <v>FE</v>
      </c>
      <c r="H420" s="201">
        <f>VLOOKUP('Processer - data'!$D420,Foder!$A$2:$C$16,3,FALSE)</f>
        <v>250</v>
      </c>
      <c r="I420" s="201">
        <f>VLOOKUP('Processer - data'!$D420,Foder!$A$2:$C$16,3,FALSE)</f>
        <v>250</v>
      </c>
      <c r="J420" s="201">
        <f>VLOOKUP('Processer - data'!$D420,Foder!$A$2:$C$16,3,FALSE)</f>
        <v>250</v>
      </c>
      <c r="K420" s="147"/>
    </row>
    <row r="421" spans="1:11" x14ac:dyDescent="0.25">
      <c r="A421" s="187" t="s">
        <v>415</v>
      </c>
      <c r="B421" s="181"/>
      <c r="C421" s="181"/>
      <c r="D421" s="146" t="s">
        <v>14</v>
      </c>
      <c r="E421" s="146" t="str">
        <f>IFERROR(VLOOKUP(D421,Table2[],2,FALSE),"")</f>
        <v>Ton</v>
      </c>
      <c r="F421" s="146" t="s">
        <v>416</v>
      </c>
      <c r="G421" s="146" t="str">
        <f>IFERROR(VLOOKUP(F421,Table2[],2,FALSE),"")</f>
        <v>FE</v>
      </c>
      <c r="H421" s="201">
        <f>VLOOKUP('Processer - data'!$D421,Foder!$A$2:$C$16,3,FALSE)</f>
        <v>1083.3333333333333</v>
      </c>
      <c r="I421" s="201">
        <f>VLOOKUP('Processer - data'!$D421,Foder!$A$2:$C$16,3,FALSE)</f>
        <v>1083.3333333333333</v>
      </c>
      <c r="J421" s="201">
        <f>VLOOKUP('Processer - data'!$D421,Foder!$A$2:$C$16,3,FALSE)</f>
        <v>1083.3333333333333</v>
      </c>
      <c r="K421" s="147"/>
    </row>
    <row r="422" spans="1:11" x14ac:dyDescent="0.25">
      <c r="A422" s="187" t="s">
        <v>415</v>
      </c>
      <c r="B422" s="181"/>
      <c r="C422" s="181"/>
      <c r="D422" s="146" t="s">
        <v>42</v>
      </c>
      <c r="E422" s="146" t="str">
        <f>IFERROR(VLOOKUP(D422,Table2[],2,FALSE),"")</f>
        <v>Ton</v>
      </c>
      <c r="F422" s="146" t="s">
        <v>416</v>
      </c>
      <c r="G422" s="146" t="str">
        <f>IFERROR(VLOOKUP(F422,Table2[],2,FALSE),"")</f>
        <v>FE</v>
      </c>
      <c r="H422" s="201">
        <f>VLOOKUP('Processer - data'!$D422,Foder!$A$2:$C$16,3,FALSE)</f>
        <v>152.28966986155484</v>
      </c>
      <c r="I422" s="201">
        <f>VLOOKUP('Processer - data'!$D422,Foder!$A$2:$C$16,3,FALSE)</f>
        <v>152.28966986155484</v>
      </c>
      <c r="J422" s="201">
        <f>VLOOKUP('Processer - data'!$D422,Foder!$A$2:$C$16,3,FALSE)</f>
        <v>152.28966986155484</v>
      </c>
      <c r="K422" s="147"/>
    </row>
    <row r="423" spans="1:11" x14ac:dyDescent="0.25">
      <c r="A423" s="187" t="s">
        <v>415</v>
      </c>
      <c r="B423" s="181"/>
      <c r="C423" s="181"/>
      <c r="D423" s="146" t="s">
        <v>15</v>
      </c>
      <c r="E423" s="146" t="str">
        <f>IFERROR(VLOOKUP(D423,Table2[],2,FALSE),"")</f>
        <v>Ton</v>
      </c>
      <c r="F423" s="146" t="s">
        <v>416</v>
      </c>
      <c r="G423" s="146" t="str">
        <f>IFERROR(VLOOKUP(F423,Table2[],2,FALSE),"")</f>
        <v>FE</v>
      </c>
      <c r="H423" s="201">
        <f>VLOOKUP('Processer - data'!$D423,Foder!$A$2:$C$16,3,FALSE)</f>
        <v>264.92478226444973</v>
      </c>
      <c r="I423" s="201">
        <f>VLOOKUP('Processer - data'!$D423,Foder!$A$2:$C$16,3,FALSE)</f>
        <v>264.92478226444973</v>
      </c>
      <c r="J423" s="201">
        <f>VLOOKUP('Processer - data'!$D423,Foder!$A$2:$C$16,3,FALSE)</f>
        <v>264.92478226444973</v>
      </c>
      <c r="K423" s="147"/>
    </row>
    <row r="424" spans="1:11" x14ac:dyDescent="0.25">
      <c r="A424" s="187" t="s">
        <v>415</v>
      </c>
      <c r="B424" s="181"/>
      <c r="C424" s="181"/>
      <c r="D424" s="146" t="s">
        <v>720</v>
      </c>
      <c r="E424" s="146" t="str">
        <f>IFERROR(VLOOKUP(D424,Table2[],2,FALSE),"")</f>
        <v>Ton</v>
      </c>
      <c r="F424" s="146" t="s">
        <v>416</v>
      </c>
      <c r="G424" s="146" t="str">
        <f>IFERROR(VLOOKUP(F424,Table2[],2,FALSE),"")</f>
        <v>FE</v>
      </c>
      <c r="H424" s="201">
        <f>VLOOKUP('Processer - data'!$D424,Foder!$A$2:$C$16,3,FALSE)</f>
        <v>1008.3682008368201</v>
      </c>
      <c r="I424" s="201">
        <f>VLOOKUP('Processer - data'!$D424,Foder!$A$2:$C$16,3,FALSE)</f>
        <v>1008.3682008368201</v>
      </c>
      <c r="J424" s="201">
        <f>VLOOKUP('Processer - data'!$D424,Foder!$A$2:$C$16,3,FALSE)</f>
        <v>1008.3682008368201</v>
      </c>
      <c r="K424" s="147"/>
    </row>
    <row r="425" spans="1:11" x14ac:dyDescent="0.25">
      <c r="A425" s="187" t="s">
        <v>415</v>
      </c>
      <c r="B425" s="181"/>
      <c r="C425" s="181"/>
      <c r="D425" s="146" t="s">
        <v>310</v>
      </c>
      <c r="E425" s="146" t="str">
        <f>IFERROR(VLOOKUP(D425,Table2[],2,FALSE),"")</f>
        <v>Ton</v>
      </c>
      <c r="F425" s="146" t="s">
        <v>416</v>
      </c>
      <c r="G425" s="146" t="str">
        <f>IFERROR(VLOOKUP(F425,Table2[],2,FALSE),"")</f>
        <v>FE</v>
      </c>
      <c r="H425" s="201">
        <f>VLOOKUP('Processer - data'!$D425,Foder!$A$2:$C$16,3,FALSE)</f>
        <v>1360</v>
      </c>
      <c r="I425" s="201">
        <f>VLOOKUP('Processer - data'!$D425,Foder!$A$2:$C$16,3,FALSE)</f>
        <v>1360</v>
      </c>
      <c r="J425" s="201">
        <f>VLOOKUP('Processer - data'!$D425,Foder!$A$2:$C$16,3,FALSE)</f>
        <v>1360</v>
      </c>
      <c r="K425" s="147"/>
    </row>
    <row r="426" spans="1:11" x14ac:dyDescent="0.25">
      <c r="A426" s="187" t="s">
        <v>415</v>
      </c>
      <c r="B426" s="181"/>
      <c r="C426" s="181"/>
      <c r="D426" s="146" t="s">
        <v>311</v>
      </c>
      <c r="E426" s="146" t="str">
        <f>IFERROR(VLOOKUP(D426,Table2[],2,FALSE),"")</f>
        <v>Ton</v>
      </c>
      <c r="F426" s="146" t="s">
        <v>416</v>
      </c>
      <c r="G426" s="146" t="str">
        <f>IFERROR(VLOOKUP(F426,Table2[],2,FALSE),"")</f>
        <v>FE</v>
      </c>
      <c r="H426" s="201">
        <f>VLOOKUP('Processer - data'!$D426,Foder!$A$2:$C$16,3,FALSE)</f>
        <v>1410</v>
      </c>
      <c r="I426" s="201">
        <f>VLOOKUP('Processer - data'!$D426,Foder!$A$2:$C$16,3,FALSE)</f>
        <v>1410</v>
      </c>
      <c r="J426" s="201">
        <f>VLOOKUP('Processer - data'!$D426,Foder!$A$2:$C$16,3,FALSE)</f>
        <v>1410</v>
      </c>
      <c r="K426" s="147"/>
    </row>
    <row r="427" spans="1:11" x14ac:dyDescent="0.25">
      <c r="A427" s="187" t="s">
        <v>415</v>
      </c>
      <c r="B427" s="181"/>
      <c r="C427" s="181"/>
      <c r="D427" s="146" t="s">
        <v>13</v>
      </c>
      <c r="E427" s="146" t="str">
        <f>IFERROR(VLOOKUP(D427,Table2[],2,FALSE),"")</f>
        <v>Ton</v>
      </c>
      <c r="F427" s="146" t="s">
        <v>416</v>
      </c>
      <c r="G427" s="146" t="str">
        <f>IFERROR(VLOOKUP(F427,Table2[],2,FALSE),"")</f>
        <v>FE</v>
      </c>
      <c r="H427" s="201">
        <f>VLOOKUP('Processer - data'!$D427,Foder!$A$2:$C$16,3,FALSE)</f>
        <v>166.31286143034919</v>
      </c>
      <c r="I427" s="201">
        <f>VLOOKUP('Processer - data'!$D427,Foder!$A$2:$C$16,3,FALSE)</f>
        <v>166.31286143034919</v>
      </c>
      <c r="J427" s="201">
        <f>VLOOKUP('Processer - data'!$D427,Foder!$A$2:$C$16,3,FALSE)</f>
        <v>166.31286143034919</v>
      </c>
      <c r="K427" s="147"/>
    </row>
    <row r="428" spans="1:11" x14ac:dyDescent="0.25">
      <c r="A428" s="187" t="s">
        <v>415</v>
      </c>
      <c r="B428" s="181"/>
      <c r="C428" s="181"/>
      <c r="D428" s="146" t="s">
        <v>430</v>
      </c>
      <c r="E428" s="146" t="str">
        <f>IFERROR(VLOOKUP(D428,Table2[],2,FALSE),"")</f>
        <v>Ton</v>
      </c>
      <c r="F428" s="146" t="s">
        <v>416</v>
      </c>
      <c r="G428" s="146" t="str">
        <f>IFERROR(VLOOKUP(F428,Table2[],2,FALSE),"")</f>
        <v>FE</v>
      </c>
      <c r="H428" s="201">
        <f>VLOOKUP('Processer - data'!$D428,Foder!$A$2:$C$16,3,FALSE)</f>
        <v>96.335697399527191</v>
      </c>
      <c r="I428" s="201">
        <f>VLOOKUP('Processer - data'!$D428,Foder!$A$2:$C$16,3,FALSE)</f>
        <v>96.335697399527191</v>
      </c>
      <c r="J428" s="201">
        <f>VLOOKUP('Processer - data'!$D428,Foder!$A$2:$C$16,3,FALSE)</f>
        <v>96.335697399527191</v>
      </c>
      <c r="K428" s="147"/>
    </row>
    <row r="429" spans="1:11" x14ac:dyDescent="0.25">
      <c r="A429" s="187" t="s">
        <v>415</v>
      </c>
      <c r="B429" s="181"/>
      <c r="C429" s="181"/>
      <c r="D429" s="146" t="s">
        <v>657</v>
      </c>
      <c r="E429" s="146" t="str">
        <f>IFERROR(VLOOKUP(D429,Table2[],2,FALSE),"")</f>
        <v>Ton</v>
      </c>
      <c r="F429" s="146" t="s">
        <v>416</v>
      </c>
      <c r="G429" s="146" t="str">
        <f>IFERROR(VLOOKUP(F429,Table2[],2,FALSE),"")</f>
        <v>FE</v>
      </c>
      <c r="H429" s="201">
        <f>VLOOKUP('Processer - data'!$D429,Foder!$A$2:$C$16,3,FALSE)</f>
        <v>309.40000000000003</v>
      </c>
      <c r="I429" s="201">
        <f>VLOOKUP('Processer - data'!$D429,Foder!$A$2:$C$16,3,FALSE)</f>
        <v>309.40000000000003</v>
      </c>
      <c r="J429" s="201">
        <f>VLOOKUP('Processer - data'!$D429,Foder!$A$2:$C$16,3,FALSE)</f>
        <v>309.40000000000003</v>
      </c>
      <c r="K429" s="147"/>
    </row>
    <row r="430" spans="1:11" x14ac:dyDescent="0.25">
      <c r="A430" s="187" t="s">
        <v>415</v>
      </c>
      <c r="B430" s="181"/>
      <c r="C430" s="181"/>
      <c r="D430" s="146" t="s">
        <v>655</v>
      </c>
      <c r="E430" s="146" t="str">
        <f>IFERROR(VLOOKUP(D430,Table2[],2,FALSE),"")</f>
        <v>Ton</v>
      </c>
      <c r="F430" s="146" t="s">
        <v>416</v>
      </c>
      <c r="G430" s="146" t="str">
        <f>IFERROR(VLOOKUP(F430,Table2[],2,FALSE),"")</f>
        <v>FE</v>
      </c>
      <c r="H430" s="201">
        <f>VLOOKUP('Processer - data'!$D430,Foder!$A$2:$C$16,3,FALSE)</f>
        <v>2750</v>
      </c>
      <c r="I430" s="201">
        <f>VLOOKUP('Processer - data'!$D430,Foder!$A$2:$C$16,3,FALSE)</f>
        <v>2750</v>
      </c>
      <c r="J430" s="201">
        <f>VLOOKUP('Processer - data'!$D430,Foder!$A$2:$C$16,3,FALSE)</f>
        <v>2750</v>
      </c>
      <c r="K430" s="147"/>
    </row>
    <row r="431" spans="1:11" x14ac:dyDescent="0.25">
      <c r="A431" s="187" t="s">
        <v>415</v>
      </c>
      <c r="B431" s="181"/>
      <c r="C431" s="181"/>
      <c r="D431" s="146" t="s">
        <v>424</v>
      </c>
      <c r="E431" s="146" t="str">
        <f>IFERROR(VLOOKUP(D431,Table2[],2,FALSE),"")</f>
        <v>Ton</v>
      </c>
      <c r="F431" s="146" t="s">
        <v>416</v>
      </c>
      <c r="G431" s="146" t="str">
        <f>IFERROR(VLOOKUP(F431,Table2[],2,FALSE),"")</f>
        <v>FE</v>
      </c>
      <c r="H431" s="201">
        <f>VLOOKUP('Processer - data'!$D431,Foder!$A$2:$C$16,3,FALSE)</f>
        <v>2750</v>
      </c>
      <c r="I431" s="201">
        <f>VLOOKUP('Processer - data'!$D431,Foder!$A$2:$C$16,3,FALSE)</f>
        <v>2750</v>
      </c>
      <c r="J431" s="201">
        <f>VLOOKUP('Processer - data'!$D431,Foder!$A$2:$C$16,3,FALSE)</f>
        <v>2750</v>
      </c>
      <c r="K431" s="147"/>
    </row>
    <row r="432" spans="1:11" ht="15.75" thickBot="1" x14ac:dyDescent="0.3">
      <c r="A432" s="188" t="s">
        <v>415</v>
      </c>
      <c r="B432" s="182"/>
      <c r="C432" s="182"/>
      <c r="D432" s="148" t="s">
        <v>497</v>
      </c>
      <c r="E432" s="148" t="str">
        <f>IFERROR(VLOOKUP(D432,Table2[],2,FALSE),"")</f>
        <v>Ton</v>
      </c>
      <c r="F432" s="148" t="s">
        <v>416</v>
      </c>
      <c r="G432" s="148" t="str">
        <f>IFERROR(VLOOKUP(F432,Table2[],2,FALSE),"")</f>
        <v>FE</v>
      </c>
      <c r="H432" s="205">
        <f>VLOOKUP('Processer - data'!$D432,Foder!$A$2:$C$16,3,FALSE)</f>
        <v>743.22820037105748</v>
      </c>
      <c r="I432" s="205">
        <f>VLOOKUP('Processer - data'!$D432,Foder!$A$2:$C$16,3,FALSE)</f>
        <v>743.22820037105748</v>
      </c>
      <c r="J432" s="205">
        <f>VLOOKUP('Processer - data'!$D432,Foder!$A$2:$C$16,3,FALSE)</f>
        <v>743.22820037105748</v>
      </c>
      <c r="K432" s="149"/>
    </row>
    <row r="433" spans="1:15" ht="15.75" thickTop="1" x14ac:dyDescent="0.25">
      <c r="A433" s="187" t="s">
        <v>36</v>
      </c>
      <c r="B433" s="181"/>
      <c r="C433" s="181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3">
        <f>VLOOKUP('Processer - data'!$D433,Biogasudbytte!$A$2:$C$18,2,FALSE)</f>
        <v>160.6</v>
      </c>
      <c r="I433" s="173">
        <f>VLOOKUP('Processer - data'!$D433,Biogasudbytte!$A$2:$C$18,2,FALSE)</f>
        <v>160.6</v>
      </c>
      <c r="J433" s="173">
        <f>VLOOKUP('Processer - data'!$D433,Biogasudbytte!$A$2:$C$18,2,FALSE)</f>
        <v>160.6</v>
      </c>
      <c r="K433" s="147"/>
    </row>
    <row r="434" spans="1:15" x14ac:dyDescent="0.25">
      <c r="A434" s="187" t="s">
        <v>36</v>
      </c>
      <c r="B434" s="181"/>
      <c r="C434" s="181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3">
        <f>VLOOKUP('Processer - data'!$D434,Biogasudbytte!$A$2:$C$18,2,FALSE)</f>
        <v>95.4</v>
      </c>
      <c r="I434" s="173">
        <f>VLOOKUP('Processer - data'!$D434,Biogasudbytte!$A$2:$C$18,2,FALSE)</f>
        <v>95.4</v>
      </c>
      <c r="J434" s="173">
        <f>VLOOKUP('Processer - data'!$D434,Biogasudbytte!$A$2:$C$18,2,FALSE)</f>
        <v>95.4</v>
      </c>
      <c r="K434" s="147"/>
    </row>
    <row r="435" spans="1:15" x14ac:dyDescent="0.25">
      <c r="A435" s="187" t="s">
        <v>36</v>
      </c>
      <c r="B435" s="181"/>
      <c r="C435" s="181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3">
        <f>VLOOKUP('Processer - data'!$D435,Biogasudbytte!$A$2:$C$18,2,FALSE)</f>
        <v>51.25</v>
      </c>
      <c r="I435" s="173">
        <f>VLOOKUP('Processer - data'!$D435,Biogasudbytte!$A$2:$C$18,2,FALSE)</f>
        <v>51.25</v>
      </c>
      <c r="J435" s="173">
        <f>VLOOKUP('Processer - data'!$D435,Biogasudbytte!$A$2:$C$18,2,FALSE)</f>
        <v>51.25</v>
      </c>
      <c r="K435" s="147"/>
      <c r="O435" s="9"/>
    </row>
    <row r="436" spans="1:15" x14ac:dyDescent="0.25">
      <c r="A436" s="187" t="s">
        <v>36</v>
      </c>
      <c r="B436" s="181"/>
      <c r="C436" s="181"/>
      <c r="D436" s="146" t="s">
        <v>498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3">
        <f>VLOOKUP('Processer - data'!$D436,Biogasudbytte!$A$2:$C$18,2,FALSE)</f>
        <v>12</v>
      </c>
      <c r="I436" s="173">
        <f>VLOOKUP('Processer - data'!$D436,Biogasudbytte!$A$2:$C$18,2,FALSE)</f>
        <v>12</v>
      </c>
      <c r="J436" s="173">
        <f>VLOOKUP('Processer - data'!$D436,Biogasudbytte!$A$2:$C$18,2,FALSE)</f>
        <v>12</v>
      </c>
      <c r="K436" s="147"/>
      <c r="O436" s="10"/>
    </row>
    <row r="437" spans="1:15" s="458" customFormat="1" x14ac:dyDescent="0.25">
      <c r="A437" s="187" t="s">
        <v>36</v>
      </c>
      <c r="B437" s="181"/>
      <c r="C437" s="181"/>
      <c r="D437" s="443" t="s">
        <v>498</v>
      </c>
      <c r="E437" s="443" t="str">
        <f>IFERROR(VLOOKUP(D437,Table2[],2,FALSE),"")</f>
        <v>Ton</v>
      </c>
      <c r="F437" s="443" t="s">
        <v>344</v>
      </c>
      <c r="G437" s="443" t="str">
        <f>IFERROR(VLOOKUP(F437,Table2[],2,FALSE),"")</f>
        <v>t CO2-ækvivalenter</v>
      </c>
      <c r="H437" s="470">
        <f>-Dyrehold!$U$13*Afgrødedata!$C$66</f>
        <v>-1.2727600045138086E-2</v>
      </c>
      <c r="I437" s="470">
        <f>-Dyrehold!$U$13*Afgrødedata!$C$66</f>
        <v>-1.2727600045138086E-2</v>
      </c>
      <c r="J437" s="470">
        <f>-Dyrehold!$U$13*Afgrødedata!$C$66</f>
        <v>-1.2727600045138086E-2</v>
      </c>
      <c r="K437" s="147"/>
      <c r="O437" s="10"/>
    </row>
    <row r="438" spans="1:15" x14ac:dyDescent="0.25">
      <c r="A438" s="187" t="s">
        <v>36</v>
      </c>
      <c r="B438" s="181"/>
      <c r="C438" s="181"/>
      <c r="D438" s="146" t="s">
        <v>499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3">
        <f>VLOOKUP('Processer - data'!$D438,Biogasudbytte!$A$2:$C$18,2,FALSE)</f>
        <v>14.1</v>
      </c>
      <c r="I438" s="173">
        <f>VLOOKUP('Processer - data'!$D438,Biogasudbytte!$A$2:$C$18,2,FALSE)</f>
        <v>14.1</v>
      </c>
      <c r="J438" s="173">
        <f>VLOOKUP('Processer - data'!$D438,Biogasudbytte!$A$2:$C$18,2,FALSE)</f>
        <v>14.1</v>
      </c>
      <c r="K438" s="147"/>
      <c r="O438" s="10"/>
    </row>
    <row r="439" spans="1:15" s="458" customFormat="1" x14ac:dyDescent="0.25">
      <c r="A439" s="187" t="s">
        <v>36</v>
      </c>
      <c r="B439" s="181"/>
      <c r="C439" s="181"/>
      <c r="D439" s="443" t="s">
        <v>499</v>
      </c>
      <c r="E439" s="443" t="str">
        <f>IFERROR(VLOOKUP(D439,Table2[],2,FALSE),"")</f>
        <v>Ton</v>
      </c>
      <c r="F439" s="443" t="s">
        <v>344</v>
      </c>
      <c r="G439" s="443" t="str">
        <f>IFERROR(VLOOKUP(F439,Table2[],2,FALSE),"")</f>
        <v>t CO2-ækvivalenter</v>
      </c>
      <c r="H439" s="470">
        <f>-Dyrehold!$U$8*Afgrødedata!$C$64</f>
        <v>-2.942635474487016E-2</v>
      </c>
      <c r="I439" s="470">
        <f>-Dyrehold!$U$8*Afgrødedata!$C$64</f>
        <v>-2.942635474487016E-2</v>
      </c>
      <c r="J439" s="470">
        <f>-Dyrehold!$U$8*Afgrødedata!$C$64</f>
        <v>-2.942635474487016E-2</v>
      </c>
      <c r="K439" s="147"/>
      <c r="O439" s="10"/>
    </row>
    <row r="440" spans="1:15" x14ac:dyDescent="0.25">
      <c r="A440" s="187" t="s">
        <v>36</v>
      </c>
      <c r="B440" s="181"/>
      <c r="C440" s="181"/>
      <c r="D440" s="146" t="s">
        <v>500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3">
        <f>VLOOKUP('Processer - data'!$D440,Biogasudbytte!$A$2:$C$18,2,FALSE)</f>
        <v>13.1</v>
      </c>
      <c r="I440" s="173">
        <f>VLOOKUP('Processer - data'!$D440,Biogasudbytte!$A$2:$C$18,2,FALSE)</f>
        <v>13.1</v>
      </c>
      <c r="J440" s="173">
        <f>VLOOKUP('Processer - data'!$D440,Biogasudbytte!$A$2:$C$18,2,FALSE)</f>
        <v>13.1</v>
      </c>
      <c r="K440" s="147"/>
      <c r="O440" s="10"/>
    </row>
    <row r="441" spans="1:15" x14ac:dyDescent="0.25">
      <c r="A441" s="187" t="s">
        <v>36</v>
      </c>
      <c r="B441" s="181"/>
      <c r="C441" s="181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3">
        <f>VLOOKUP('Processer - data'!$D441,Biogasudbytte!$A$2:$C$18,2,FALSE)</f>
        <v>60</v>
      </c>
      <c r="I441" s="173">
        <f>VLOOKUP('Processer - data'!$D441,Biogasudbytte!$A$2:$C$18,2,FALSE)</f>
        <v>60</v>
      </c>
      <c r="J441" s="173">
        <f>VLOOKUP('Processer - data'!$D441,Biogasudbytte!$A$2:$C$18,2,FALSE)</f>
        <v>60</v>
      </c>
      <c r="K441" s="147"/>
      <c r="O441" s="9"/>
    </row>
    <row r="442" spans="1:15" x14ac:dyDescent="0.25">
      <c r="A442" s="187" t="s">
        <v>36</v>
      </c>
      <c r="B442" s="181"/>
      <c r="C442" s="181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3">
        <f>VLOOKUP('Processer - data'!$D442,Biogasudbytte!$A$2:$C$18,2,FALSE)</f>
        <v>100</v>
      </c>
      <c r="I442" s="173">
        <f>VLOOKUP('Processer - data'!$D442,Biogasudbytte!$A$2:$C$18,2,FALSE)</f>
        <v>100</v>
      </c>
      <c r="J442" s="173">
        <f>VLOOKUP('Processer - data'!$D442,Biogasudbytte!$A$2:$C$18,2,FALSE)</f>
        <v>100</v>
      </c>
      <c r="K442" s="147"/>
      <c r="O442" s="9"/>
    </row>
    <row r="443" spans="1:15" x14ac:dyDescent="0.25">
      <c r="A443" s="187" t="s">
        <v>36</v>
      </c>
      <c r="B443" s="181"/>
      <c r="C443" s="181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3">
        <f>VLOOKUP('Processer - data'!$D443,Biogasudbytte!$A$2:$C$18,2,FALSE)</f>
        <v>75.599999999999994</v>
      </c>
      <c r="I443" s="173">
        <f>VLOOKUP('Processer - data'!$D443,Biogasudbytte!$A$2:$C$18,2,FALSE)</f>
        <v>75.599999999999994</v>
      </c>
      <c r="J443" s="173">
        <f>VLOOKUP('Processer - data'!$D443,Biogasudbytte!$A$2:$C$18,2,FALSE)</f>
        <v>75.599999999999994</v>
      </c>
      <c r="K443" s="147"/>
      <c r="O443" s="9"/>
    </row>
    <row r="444" spans="1:15" x14ac:dyDescent="0.25">
      <c r="A444" s="187" t="s">
        <v>36</v>
      </c>
      <c r="B444" s="181"/>
      <c r="C444" s="181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3">
        <f>VLOOKUP('Processer - data'!$D444,Biogasudbytte!$A$2:$C$18,2,FALSE)</f>
        <v>94.9</v>
      </c>
      <c r="I444" s="173">
        <f>VLOOKUP('Processer - data'!$D444,Biogasudbytte!$A$2:$C$18,2,FALSE)</f>
        <v>94.9</v>
      </c>
      <c r="J444" s="173">
        <f>VLOOKUP('Processer - data'!$D444,Biogasudbytte!$A$2:$C$18,2,FALSE)</f>
        <v>94.9</v>
      </c>
      <c r="K444" s="147"/>
      <c r="O444" s="9"/>
    </row>
    <row r="445" spans="1:15" x14ac:dyDescent="0.25">
      <c r="A445" s="187" t="s">
        <v>36</v>
      </c>
      <c r="B445" s="181"/>
      <c r="C445" s="181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3">
        <f>VLOOKUP('Processer - data'!$D445,Biogasudbytte!$A$2:$C$18,2,FALSE)</f>
        <v>120.7</v>
      </c>
      <c r="I445" s="173">
        <f>VLOOKUP('Processer - data'!$D445,Biogasudbytte!$A$2:$C$18,2,FALSE)</f>
        <v>120.7</v>
      </c>
      <c r="J445" s="173">
        <f>VLOOKUP('Processer - data'!$D445,Biogasudbytte!$A$2:$C$18,2,FALSE)</f>
        <v>120.7</v>
      </c>
      <c r="K445" s="147"/>
      <c r="O445" s="9"/>
    </row>
    <row r="446" spans="1:15" x14ac:dyDescent="0.25">
      <c r="A446" s="187" t="s">
        <v>36</v>
      </c>
      <c r="B446" s="181"/>
      <c r="C446" s="181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3">
        <f>VLOOKUP('Processer - data'!$D446,Biogasudbytte!$A$2:$C$18,2,FALSE)</f>
        <v>25</v>
      </c>
      <c r="I446" s="173">
        <f>VLOOKUP('Processer - data'!$D446,Biogasudbytte!$A$2:$C$18,2,FALSE)</f>
        <v>25</v>
      </c>
      <c r="J446" s="173">
        <f>VLOOKUP('Processer - data'!$D446,Biogasudbytte!$A$2:$C$18,2,FALSE)</f>
        <v>25</v>
      </c>
      <c r="K446" s="147"/>
      <c r="O446" s="9"/>
    </row>
    <row r="447" spans="1:15" x14ac:dyDescent="0.25">
      <c r="A447" s="187" t="s">
        <v>36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3">
        <f>VLOOKUP('Processer - data'!$D447,Biogasudbytte!$A$2:$C$18,2,FALSE)</f>
        <v>25</v>
      </c>
      <c r="I447" s="173">
        <f>VLOOKUP('Processer - data'!$D447,Biogasudbytte!$A$2:$C$18,2,FALSE)</f>
        <v>25</v>
      </c>
      <c r="J447" s="173">
        <f>VLOOKUP('Processer - data'!$D447,Biogasudbytte!$A$2:$C$18,2,FALSE)</f>
        <v>25</v>
      </c>
      <c r="K447" s="147"/>
      <c r="O447" s="9"/>
    </row>
    <row r="448" spans="1:15" x14ac:dyDescent="0.25">
      <c r="A448" s="187" t="s">
        <v>36</v>
      </c>
      <c r="B448" s="181"/>
      <c r="C448" s="181"/>
      <c r="D448" s="146" t="s">
        <v>527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3">
        <f>VLOOKUP('Processer - data'!$D448,Biogasudbytte!$A$2:$C$18,2,FALSE)</f>
        <v>47.3</v>
      </c>
      <c r="I448" s="173">
        <f>VLOOKUP('Processer - data'!$D448,Biogasudbytte!$A$2:$C$18,2,FALSE)</f>
        <v>47.3</v>
      </c>
      <c r="J448" s="173">
        <f>VLOOKUP('Processer - data'!$D448,Biogasudbytte!$A$2:$C$18,2,FALSE)</f>
        <v>47.3</v>
      </c>
      <c r="K448" s="147"/>
      <c r="O448" s="9"/>
    </row>
    <row r="449" spans="1:15" x14ac:dyDescent="0.25">
      <c r="A449" s="187" t="s">
        <v>36</v>
      </c>
      <c r="B449" s="181"/>
      <c r="C449" s="181"/>
      <c r="D449" s="146" t="s">
        <v>661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3">
        <f>VLOOKUP('Processer - data'!$D449,Biogasudbytte!$A$2:$C$18,2,FALSE)</f>
        <v>15.822453396634783</v>
      </c>
      <c r="I449" s="173">
        <f>VLOOKUP('Processer - data'!$D449,Biogasudbytte!$A$2:$C$18,2,FALSE)</f>
        <v>15.822453396634783</v>
      </c>
      <c r="J449" s="173">
        <f>VLOOKUP('Processer - data'!$D449,Biogasudbytte!$A$2:$C$18,2,FALSE)</f>
        <v>15.822453396634783</v>
      </c>
      <c r="K449" s="147"/>
      <c r="O449" s="9"/>
    </row>
    <row r="450" spans="1:15" x14ac:dyDescent="0.25">
      <c r="A450" s="187" t="s">
        <v>36</v>
      </c>
      <c r="B450" s="181"/>
      <c r="C450" s="181"/>
      <c r="D450" s="146" t="s">
        <v>519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3">
        <f>VLOOKUP('Processer - data'!$D450,Biogasudbytte!$A$2:$C$18,2,FALSE)</f>
        <v>423.36</v>
      </c>
      <c r="I450" s="173">
        <f>VLOOKUP('Processer - data'!$D450,Biogasudbytte!$A$2:$C$18,2,FALSE)</f>
        <v>423.36</v>
      </c>
      <c r="J450" s="173">
        <f>VLOOKUP('Processer - data'!$D450,Biogasudbytte!$A$2:$C$18,2,FALSE)</f>
        <v>423.36</v>
      </c>
      <c r="K450" s="147"/>
      <c r="O450" s="9"/>
    </row>
    <row r="451" spans="1:15" x14ac:dyDescent="0.25">
      <c r="A451" s="187" t="s">
        <v>36</v>
      </c>
      <c r="B451" s="181"/>
      <c r="C451" s="181"/>
      <c r="D451" s="146" t="s">
        <v>502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3">
        <f>VLOOKUP('Processer - data'!$D451,Biogasudbytte!$A$2:$C$18,2,FALSE)</f>
        <v>13.9</v>
      </c>
      <c r="I451" s="173">
        <f>VLOOKUP('Processer - data'!$D451,Biogasudbytte!$A$2:$C$18,2,FALSE)</f>
        <v>13.9</v>
      </c>
      <c r="J451" s="173">
        <f>VLOOKUP('Processer - data'!$D451,Biogasudbytte!$A$2:$C$18,2,FALSE)</f>
        <v>13.9</v>
      </c>
      <c r="K451" s="147"/>
      <c r="O451" s="9"/>
    </row>
    <row r="452" spans="1:15" ht="15.75" thickBot="1" x14ac:dyDescent="0.3">
      <c r="A452" s="187" t="s">
        <v>36</v>
      </c>
      <c r="B452" s="181"/>
      <c r="C452" s="181"/>
      <c r="D452" s="150" t="s">
        <v>352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8">
        <f>0.9193</f>
        <v>0.91930000000000001</v>
      </c>
      <c r="I452" s="208">
        <f>0.9193</f>
        <v>0.91930000000000001</v>
      </c>
      <c r="J452" s="208">
        <f>0.9193</f>
        <v>0.91930000000000001</v>
      </c>
      <c r="K452" s="147" t="s">
        <v>508</v>
      </c>
      <c r="O452" s="9"/>
    </row>
    <row r="453" spans="1:15" s="146" customFormat="1" ht="15.75" thickTop="1" x14ac:dyDescent="0.25">
      <c r="A453" s="186" t="s">
        <v>303</v>
      </c>
      <c r="B453" s="180"/>
      <c r="C453" s="180"/>
      <c r="D453" s="241" t="s">
        <v>498</v>
      </c>
      <c r="E453" s="241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2">
        <f>5.3</f>
        <v>5.3</v>
      </c>
      <c r="I453" s="242">
        <f>H453</f>
        <v>5.3</v>
      </c>
      <c r="J453" s="242">
        <f>I453</f>
        <v>5.3</v>
      </c>
      <c r="K453" s="145" t="s">
        <v>552</v>
      </c>
    </row>
    <row r="454" spans="1:15" s="146" customFormat="1" x14ac:dyDescent="0.25">
      <c r="A454" s="187" t="s">
        <v>303</v>
      </c>
      <c r="B454" s="181"/>
      <c r="C454" s="181"/>
      <c r="D454" s="150" t="s">
        <v>499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3">
        <f>8</f>
        <v>8</v>
      </c>
      <c r="I454" s="243">
        <f t="shared" ref="I454:I457" si="11">H454</f>
        <v>8</v>
      </c>
      <c r="J454" s="243">
        <f>I454</f>
        <v>8</v>
      </c>
      <c r="K454" s="147" t="s">
        <v>552</v>
      </c>
    </row>
    <row r="455" spans="1:15" s="146" customFormat="1" x14ac:dyDescent="0.25">
      <c r="A455" s="187" t="s">
        <v>303</v>
      </c>
      <c r="B455" s="181"/>
      <c r="C455" s="181"/>
      <c r="D455" s="150" t="s">
        <v>500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3">
        <f>7</f>
        <v>7</v>
      </c>
      <c r="I455" s="243">
        <f t="shared" si="11"/>
        <v>7</v>
      </c>
      <c r="J455" s="243">
        <f>I455</f>
        <v>7</v>
      </c>
      <c r="K455" s="147" t="s">
        <v>552</v>
      </c>
    </row>
    <row r="456" spans="1:15" s="146" customFormat="1" x14ac:dyDescent="0.25">
      <c r="A456" s="187" t="s">
        <v>303</v>
      </c>
      <c r="B456" s="181"/>
      <c r="C456" s="181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3">
        <v>14</v>
      </c>
      <c r="I456" s="243">
        <f t="shared" si="11"/>
        <v>14</v>
      </c>
      <c r="J456" s="243">
        <f>I456</f>
        <v>14</v>
      </c>
      <c r="K456" s="147" t="s">
        <v>552</v>
      </c>
    </row>
    <row r="457" spans="1:15" s="146" customFormat="1" x14ac:dyDescent="0.25">
      <c r="A457" s="187" t="s">
        <v>303</v>
      </c>
      <c r="B457" s="181"/>
      <c r="C457" s="181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09">
        <f>7</f>
        <v>7</v>
      </c>
      <c r="I457" s="209">
        <f t="shared" si="11"/>
        <v>7</v>
      </c>
      <c r="J457" s="209">
        <f>I457</f>
        <v>7</v>
      </c>
      <c r="K457" s="147" t="s">
        <v>422</v>
      </c>
    </row>
    <row r="458" spans="1:15" s="146" customFormat="1" ht="15.75" thickBot="1" x14ac:dyDescent="0.3">
      <c r="A458" s="187" t="s">
        <v>303</v>
      </c>
      <c r="B458" s="181"/>
      <c r="C458" s="181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09">
        <v>160</v>
      </c>
      <c r="I458" s="209">
        <f t="shared" ref="I458" si="12">H458</f>
        <v>160</v>
      </c>
      <c r="J458" s="209">
        <f>I458</f>
        <v>160</v>
      </c>
      <c r="K458" s="147" t="s">
        <v>421</v>
      </c>
    </row>
    <row r="459" spans="1:15" ht="15.75" thickTop="1" x14ac:dyDescent="0.25">
      <c r="A459" s="186" t="s">
        <v>408</v>
      </c>
      <c r="B459" s="180"/>
      <c r="C459" s="180"/>
      <c r="D459" s="144" t="s">
        <v>37</v>
      </c>
      <c r="E459" s="144" t="str">
        <f>IFERROR(VLOOKUP(D459,Table2[],2,FALSE),"")</f>
        <v>Ton</v>
      </c>
      <c r="F459" s="144" t="s">
        <v>409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25">
      <c r="A460" s="187" t="s">
        <v>408</v>
      </c>
      <c r="B460" s="181"/>
      <c r="C460" s="181"/>
      <c r="D460" s="150" t="s">
        <v>721</v>
      </c>
      <c r="E460" s="146" t="str">
        <f>IFERROR(VLOOKUP(D460,Table2[],2,FALSE),"")</f>
        <v>Ton</v>
      </c>
      <c r="F460" s="146" t="s">
        <v>409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25">
      <c r="A461" s="187" t="s">
        <v>408</v>
      </c>
      <c r="B461" s="181"/>
      <c r="C461" s="181"/>
      <c r="D461" s="150" t="s">
        <v>339</v>
      </c>
      <c r="E461" s="146" t="str">
        <f>IFERROR(VLOOKUP(D461,Table2[],2,FALSE),"")</f>
        <v>Ton</v>
      </c>
      <c r="F461" s="146" t="s">
        <v>409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25">
      <c r="A462" s="187" t="s">
        <v>408</v>
      </c>
      <c r="B462" s="181"/>
      <c r="C462" s="181"/>
      <c r="D462" s="146" t="s">
        <v>405</v>
      </c>
      <c r="E462" s="146" t="str">
        <f>IFERROR(VLOOKUP(D462,Table2[],2,FALSE),"")</f>
        <v>m3</v>
      </c>
      <c r="F462" s="146" t="s">
        <v>409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25">
      <c r="A463" s="187" t="s">
        <v>408</v>
      </c>
      <c r="B463" s="181"/>
      <c r="C463" s="181"/>
      <c r="D463" s="146" t="s">
        <v>527</v>
      </c>
      <c r="E463" s="146" t="str">
        <f>IFERROR(VLOOKUP(D463,Table2[],2,FALSE),"")</f>
        <v>Ton</v>
      </c>
      <c r="F463" s="146" t="s">
        <v>409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25">
      <c r="A464" s="187" t="s">
        <v>408</v>
      </c>
      <c r="B464" s="181"/>
      <c r="C464" s="181"/>
      <c r="D464" s="146" t="s">
        <v>322</v>
      </c>
      <c r="E464" s="146" t="str">
        <f>IFERROR(VLOOKUP(D464,Table2[],2,FALSE),"")</f>
        <v>Ton</v>
      </c>
      <c r="F464" s="146" t="s">
        <v>409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58" customFormat="1" x14ac:dyDescent="0.25">
      <c r="A465" s="187" t="s">
        <v>408</v>
      </c>
      <c r="B465" s="181"/>
      <c r="C465" s="181"/>
      <c r="D465" s="150" t="s">
        <v>890</v>
      </c>
      <c r="E465" s="443" t="str">
        <f>IFERROR(VLOOKUP(D465,Table2[],2,FALSE),"")</f>
        <v>Ton</v>
      </c>
      <c r="F465" s="443" t="s">
        <v>409</v>
      </c>
      <c r="G465" s="443" t="str">
        <f>IFERROR(VLOOKUP(F465,Table2[],2,FALSE),"")</f>
        <v>PJ</v>
      </c>
      <c r="H465" s="443">
        <f>VLOOKUP($D465,Energiindhold!$A$2:$C$10,3,FALSE)</f>
        <v>3.326857142857142E-5</v>
      </c>
      <c r="I465" s="443">
        <f>VLOOKUP($D465,Energiindhold!$A$2:$C$10,3,FALSE)</f>
        <v>3.326857142857142E-5</v>
      </c>
      <c r="J465" s="443">
        <f>VLOOKUP($D465,Energiindhold!$A$2:$C$10,3,FALSE)</f>
        <v>3.326857142857142E-5</v>
      </c>
      <c r="K465" s="147"/>
    </row>
    <row r="466" spans="1:11" s="458" customFormat="1" x14ac:dyDescent="0.25">
      <c r="A466" s="187" t="s">
        <v>408</v>
      </c>
      <c r="B466" s="181"/>
      <c r="C466" s="181"/>
      <c r="D466" s="150" t="s">
        <v>878</v>
      </c>
      <c r="E466" s="443" t="str">
        <f>IFERROR(VLOOKUP(D466,Table2[],2,FALSE),"")</f>
        <v>Ton</v>
      </c>
      <c r="F466" s="443" t="s">
        <v>409</v>
      </c>
      <c r="G466" s="443" t="str">
        <f>IFERROR(VLOOKUP(F466,Table2[],2,FALSE),"")</f>
        <v>PJ</v>
      </c>
      <c r="H466" s="443">
        <f>VLOOKUP($D466,Energiindhold!$A$2:$C$10,3,FALSE)</f>
        <v>8.9614285714285689E-6</v>
      </c>
      <c r="I466" s="443">
        <f>VLOOKUP($D466,Energiindhold!$A$2:$C$10,3,FALSE)</f>
        <v>8.9614285714285689E-6</v>
      </c>
      <c r="J466" s="443">
        <f>VLOOKUP($D466,Energiindhold!$A$2:$C$10,3,FALSE)</f>
        <v>8.9614285714285689E-6</v>
      </c>
      <c r="K466" s="147"/>
    </row>
    <row r="467" spans="1:11" ht="15.75" thickBot="1" x14ac:dyDescent="0.3">
      <c r="A467" s="188" t="s">
        <v>408</v>
      </c>
      <c r="B467" s="182"/>
      <c r="C467" s="182"/>
      <c r="D467" s="148" t="s">
        <v>312</v>
      </c>
      <c r="E467" s="148" t="str">
        <f>IFERROR(VLOOKUP(D467,Table2[],2,FALSE),"")</f>
        <v>Nm3 CH4</v>
      </c>
      <c r="F467" s="148" t="s">
        <v>409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5.75" thickTop="1" x14ac:dyDescent="0.25">
      <c r="A468" s="186" t="s">
        <v>656</v>
      </c>
      <c r="B468" s="180"/>
      <c r="C468" s="180"/>
      <c r="D468" s="144" t="s">
        <v>13</v>
      </c>
      <c r="E468" s="144" t="str">
        <f>IFERROR(VLOOKUP(D468,Table2[],2,FALSE),"")</f>
        <v>Ton</v>
      </c>
      <c r="F468" s="144" t="s">
        <v>655</v>
      </c>
      <c r="G468" s="144" t="str">
        <f>IFERROR(VLOOKUP(F468,Table2[],2,FALSE),"")</f>
        <v>Ton</v>
      </c>
      <c r="H468" s="176">
        <f>'Procesdata (baggrund)'!E3</f>
        <v>0.16717139181723129</v>
      </c>
      <c r="I468" s="176">
        <f t="shared" ref="I468:J470" si="13">H468</f>
        <v>0.16717139181723129</v>
      </c>
      <c r="J468" s="176">
        <f t="shared" si="13"/>
        <v>0.16717139181723129</v>
      </c>
      <c r="K468" s="145"/>
    </row>
    <row r="469" spans="1:11" x14ac:dyDescent="0.25">
      <c r="A469" s="187" t="s">
        <v>656</v>
      </c>
      <c r="B469" s="181"/>
      <c r="C469" s="181"/>
      <c r="D469" s="146" t="s">
        <v>13</v>
      </c>
      <c r="E469" s="146" t="str">
        <f>IFERROR(VLOOKUP(D469,Table2[],2,FALSE),"")</f>
        <v>Ton</v>
      </c>
      <c r="F469" s="146" t="s">
        <v>657</v>
      </c>
      <c r="G469" s="146" t="str">
        <f>IFERROR(VLOOKUP(F469,Table2[],2,FALSE),"")</f>
        <v>Ton</v>
      </c>
      <c r="H469" s="168">
        <f>'Procesdata (baggrund)'!E4</f>
        <v>0.34417639491782914</v>
      </c>
      <c r="I469" s="168">
        <f t="shared" si="13"/>
        <v>0.34417639491782914</v>
      </c>
      <c r="J469" s="168">
        <f t="shared" si="13"/>
        <v>0.34417639491782914</v>
      </c>
      <c r="K469" s="147"/>
    </row>
    <row r="470" spans="1:11" ht="15.75" thickBot="1" x14ac:dyDescent="0.3">
      <c r="A470" s="188" t="s">
        <v>656</v>
      </c>
      <c r="B470" s="182"/>
      <c r="C470" s="182"/>
      <c r="D470" s="148" t="s">
        <v>13</v>
      </c>
      <c r="E470" s="148" t="str">
        <f>IFERROR(VLOOKUP(D470,Table2[],2,FALSE),"")</f>
        <v>Ton</v>
      </c>
      <c r="F470" s="148" t="s">
        <v>661</v>
      </c>
      <c r="G470" s="148" t="str">
        <f>IFERROR(VLOOKUP(F470,Table2[],2,FALSE),"")</f>
        <v>PJ</v>
      </c>
      <c r="H470" s="177">
        <f>'Procesdata (baggrund)'!E5</f>
        <v>0.48865221326493952</v>
      </c>
      <c r="I470" s="177">
        <f t="shared" si="13"/>
        <v>0.48865221326493952</v>
      </c>
      <c r="J470" s="177">
        <f t="shared" si="13"/>
        <v>0.48865221326493952</v>
      </c>
      <c r="K470" s="149"/>
    </row>
    <row r="471" spans="1:11" ht="15.75" thickTop="1" x14ac:dyDescent="0.25">
      <c r="A471" s="186" t="s">
        <v>722</v>
      </c>
      <c r="B471" s="180"/>
      <c r="C471" s="180"/>
      <c r="D471" s="144" t="s">
        <v>177</v>
      </c>
      <c r="E471" s="144" t="str">
        <f>IFERROR(VLOOKUP(D471,Table2[],2,FALSE),"")</f>
        <v>Ton</v>
      </c>
      <c r="F471" s="144" t="s">
        <v>720</v>
      </c>
      <c r="G471" s="144" t="str">
        <f>IFERROR(VLOOKUP(F471,Table2[],2,FALSE),"")</f>
        <v>Ton</v>
      </c>
      <c r="H471" s="176">
        <v>0.5</v>
      </c>
      <c r="I471" s="176">
        <f t="shared" ref="I471:I475" si="14">H471</f>
        <v>0.5</v>
      </c>
      <c r="J471" s="176">
        <f t="shared" ref="J471:J475" si="15">I471</f>
        <v>0.5</v>
      </c>
      <c r="K471" s="145"/>
    </row>
    <row r="472" spans="1:11" ht="15.75" thickBot="1" x14ac:dyDescent="0.3">
      <c r="A472" s="188" t="s">
        <v>722</v>
      </c>
      <c r="B472" s="182"/>
      <c r="C472" s="182"/>
      <c r="D472" s="148" t="s">
        <v>177</v>
      </c>
      <c r="E472" s="148" t="str">
        <f>IFERROR(VLOOKUP(D472,Table2[],2,FALSE),"")</f>
        <v>Ton</v>
      </c>
      <c r="F472" s="148" t="s">
        <v>721</v>
      </c>
      <c r="G472" s="148" t="str">
        <f>IFERROR(VLOOKUP(F472,Table2[],2,FALSE),"")</f>
        <v>Ton</v>
      </c>
      <c r="H472" s="177">
        <v>0.32</v>
      </c>
      <c r="I472" s="177">
        <f t="shared" si="14"/>
        <v>0.32</v>
      </c>
      <c r="J472" s="177">
        <f t="shared" si="15"/>
        <v>0.32</v>
      </c>
      <c r="K472" s="149"/>
    </row>
    <row r="473" spans="1:11" ht="15.75" thickTop="1" x14ac:dyDescent="0.25">
      <c r="A473" s="186" t="s">
        <v>876</v>
      </c>
      <c r="B473" s="180"/>
      <c r="C473" s="180"/>
      <c r="D473" s="144" t="s">
        <v>37</v>
      </c>
      <c r="E473" s="144" t="str">
        <f>IFERROR(VLOOKUP(D473,Table2[],2,FALSE),"")</f>
        <v>Ton</v>
      </c>
      <c r="F473" s="144" t="s">
        <v>344</v>
      </c>
      <c r="G473" s="144" t="str">
        <f>IFERROR(VLOOKUP(F473,Table2[],2,FALSE),"")</f>
        <v>t CO2-ækvivalenter</v>
      </c>
      <c r="H473" s="176">
        <f>'Procesdata (baggrund)'!B15</f>
        <v>-0.65266666666666662</v>
      </c>
      <c r="I473" s="176">
        <f t="shared" si="14"/>
        <v>-0.65266666666666662</v>
      </c>
      <c r="J473" s="176">
        <f t="shared" si="15"/>
        <v>-0.65266666666666662</v>
      </c>
      <c r="K473" s="145"/>
    </row>
    <row r="474" spans="1:11" x14ac:dyDescent="0.25">
      <c r="A474" s="187" t="s">
        <v>876</v>
      </c>
      <c r="B474" s="181"/>
      <c r="C474" s="181"/>
      <c r="D474" s="443" t="s">
        <v>37</v>
      </c>
      <c r="E474" s="443" t="str">
        <f>IFERROR(VLOOKUP(D474,Table2[],2,FALSE),"")</f>
        <v>Ton</v>
      </c>
      <c r="F474" s="150" t="s">
        <v>890</v>
      </c>
      <c r="G474" s="443" t="str">
        <f>IFERROR(VLOOKUP(F474,Table2[],2,FALSE),"")</f>
        <v>Ton</v>
      </c>
      <c r="H474" s="168">
        <f>'Procesdata (baggrund)'!B16</f>
        <v>0.14000000000000001</v>
      </c>
      <c r="I474" s="168">
        <f t="shared" si="14"/>
        <v>0.14000000000000001</v>
      </c>
      <c r="J474" s="168">
        <f t="shared" si="15"/>
        <v>0.14000000000000001</v>
      </c>
      <c r="K474" s="147"/>
    </row>
    <row r="475" spans="1:11" ht="15.75" thickBot="1" x14ac:dyDescent="0.3">
      <c r="A475" s="188" t="s">
        <v>876</v>
      </c>
      <c r="B475" s="182"/>
      <c r="C475" s="182"/>
      <c r="D475" s="148" t="s">
        <v>37</v>
      </c>
      <c r="E475" s="148" t="str">
        <f>IFERROR(VLOOKUP(D475,Table2[],2,FALSE),"")</f>
        <v>Ton</v>
      </c>
      <c r="F475" s="148" t="s">
        <v>878</v>
      </c>
      <c r="G475" s="148" t="str">
        <f>IFERROR(VLOOKUP(F475,Table2[],2,FALSE),"")</f>
        <v>Ton</v>
      </c>
      <c r="H475" s="177">
        <f>'Procesdata (baggrund)'!B17</f>
        <v>0.56000000000000005</v>
      </c>
      <c r="I475" s="177">
        <f t="shared" si="14"/>
        <v>0.56000000000000005</v>
      </c>
      <c r="J475" s="177">
        <f t="shared" si="15"/>
        <v>0.56000000000000005</v>
      </c>
      <c r="K475" s="149"/>
    </row>
    <row r="476" spans="1:11" ht="15.75" thickTop="1" x14ac:dyDescent="0.25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8" t="b">
        <f>IF(COUNTIF('Processer - data'!$D:$F,Table2[[#This Row],[Råvare]])&gt;0,TRUE,FALSE)</f>
        <v>1</v>
      </c>
    </row>
    <row r="45" spans="1:8" x14ac:dyDescent="0.25">
      <c r="E45" s="443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25">
      <c r="E46" s="458" t="s">
        <v>409</v>
      </c>
      <c r="F46" t="s">
        <v>410</v>
      </c>
      <c r="H46" t="b">
        <f>IF(COUNTIF('Processer - data'!$D:$F,Table2[[#This Row],[Råvare]])&gt;0,TRUE,FALSE)</f>
        <v>1</v>
      </c>
    </row>
    <row r="47" spans="1:8" x14ac:dyDescent="0.25">
      <c r="E47" t="s">
        <v>657</v>
      </c>
      <c r="F47" t="s">
        <v>317</v>
      </c>
      <c r="H47" s="213" t="b">
        <f>IF(COUNTIF('Processer - data'!$D:$F,Table2[[#This Row],[Råvare]])&gt;0,TRUE,FALSE)</f>
        <v>1</v>
      </c>
    </row>
    <row r="48" spans="1:8" x14ac:dyDescent="0.25">
      <c r="E48" t="s">
        <v>18</v>
      </c>
      <c r="F48" t="s">
        <v>316</v>
      </c>
      <c r="G48">
        <v>1</v>
      </c>
      <c r="H48" s="458" t="b">
        <f>IF(COUNTIF('Processer - data'!$D:$F,Table2[[#This Row],[Råvare]])&gt;0,TRUE,FALSE)</f>
        <v>1</v>
      </c>
    </row>
    <row r="49" spans="5:8" x14ac:dyDescent="0.25">
      <c r="E49" t="s">
        <v>500</v>
      </c>
      <c r="F49" t="s">
        <v>317</v>
      </c>
      <c r="H49" s="213" t="b">
        <f>IF(COUNTIF('Processer - data'!$D:$F,Table2[[#This Row],[Råvare]])&gt;0,TRUE,FALSE)</f>
        <v>1</v>
      </c>
    </row>
    <row r="50" spans="5:8" x14ac:dyDescent="0.25">
      <c r="E50" t="s">
        <v>365</v>
      </c>
      <c r="F50" t="s">
        <v>317</v>
      </c>
      <c r="H50" s="458" t="b">
        <f>IF(COUNTIF('Processer - data'!$D:$F,Table2[[#This Row],[Råvare]])&gt;0,TRUE,FALSE)</f>
        <v>1</v>
      </c>
    </row>
    <row r="51" spans="5:8" x14ac:dyDescent="0.25">
      <c r="E51" t="s">
        <v>416</v>
      </c>
      <c r="F51" t="s">
        <v>343</v>
      </c>
      <c r="H51" t="b">
        <f>IF(COUNTIF('Processer - data'!$D:$F,Table2[[#This Row],[Råvare]])&gt;0,TRUE,FALSE)</f>
        <v>1</v>
      </c>
    </row>
    <row r="52" spans="5:8" x14ac:dyDescent="0.25">
      <c r="E52" s="443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25">
      <c r="E53" s="458" t="s">
        <v>153</v>
      </c>
      <c r="F53" t="s">
        <v>317</v>
      </c>
      <c r="H53" s="213" t="b">
        <f>IF(COUNTIF('Processer - data'!$D:$F,Table2[[#This Row],[Råvare]])&gt;0,TRUE,FALSE)</f>
        <v>1</v>
      </c>
    </row>
    <row r="54" spans="5:8" x14ac:dyDescent="0.25">
      <c r="E54" t="s">
        <v>519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43" t="s">
        <v>303</v>
      </c>
      <c r="F55" t="s">
        <v>420</v>
      </c>
      <c r="H55" s="458" t="b">
        <f>IF(COUNTIF('Processer - data'!$D:$F,Table2[[#This Row],[Råvare]])&gt;0,TRUE,FALSE)</f>
        <v>1</v>
      </c>
    </row>
    <row r="56" spans="5:8" x14ac:dyDescent="0.25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25">
      <c r="E57" s="458" t="s">
        <v>655</v>
      </c>
      <c r="F57" t="s">
        <v>317</v>
      </c>
      <c r="H57" s="213" t="b">
        <f>IF(COUNTIF('Processer - data'!$D:$F,Table2[[#This Row],[Råvare]])&gt;0,TRUE,FALSE)</f>
        <v>1</v>
      </c>
    </row>
    <row r="58" spans="5:8" x14ac:dyDescent="0.25">
      <c r="E58" s="443" t="s">
        <v>12</v>
      </c>
      <c r="F58" t="s">
        <v>317</v>
      </c>
      <c r="H58" s="458" t="b">
        <f>IF(COUNTIF('Processer - data'!$D:$F,Table2[[#This Row],[Råvare]])&gt;0,TRUE,FALSE)</f>
        <v>1</v>
      </c>
    </row>
    <row r="59" spans="5:8" x14ac:dyDescent="0.25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58" t="s">
        <v>527</v>
      </c>
      <c r="F60" t="s">
        <v>317</v>
      </c>
      <c r="H60" s="213" t="b">
        <f>IF(COUNTIF('Processer - data'!$D:$F,Table2[[#This Row],[Råvare]])&gt;0,TRUE,FALSE)</f>
        <v>1</v>
      </c>
    </row>
    <row r="61" spans="5:8" x14ac:dyDescent="0.25">
      <c r="E61" t="s">
        <v>497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43" t="s">
        <v>41</v>
      </c>
      <c r="F62" t="s">
        <v>317</v>
      </c>
      <c r="H62" s="458" t="b">
        <f>IF(COUNTIF('Processer - data'!$D:$F,Table2[[#This Row],[Råvare]])&gt;0,TRUE,FALSE)</f>
        <v>1</v>
      </c>
    </row>
    <row r="63" spans="5:8" x14ac:dyDescent="0.25">
      <c r="E63" s="458" t="s">
        <v>148</v>
      </c>
      <c r="F63" t="s">
        <v>317</v>
      </c>
      <c r="H63" s="213" t="b">
        <f>IF(COUNTIF('Processer - data'!$D:$F,Table2[[#This Row],[Råvare]])&gt;0,TRUE,FALSE)</f>
        <v>1</v>
      </c>
    </row>
    <row r="64" spans="5:8" x14ac:dyDescent="0.25">
      <c r="E64" s="443" t="s">
        <v>188</v>
      </c>
      <c r="F64" t="s">
        <v>317</v>
      </c>
      <c r="H64" s="458" t="b">
        <f>IF(COUNTIF('Processer - data'!$D:$F,Table2[[#This Row],[Råvare]])&gt;0,TRUE,FALSE)</f>
        <v>1</v>
      </c>
    </row>
    <row r="65" spans="5:8" x14ac:dyDescent="0.25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25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25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58" t="s">
        <v>499</v>
      </c>
      <c r="F68" t="s">
        <v>317</v>
      </c>
      <c r="H68" s="213" t="b">
        <f>IF(COUNTIF('Processer - data'!$D:$F,Table2[[#This Row],[Råvare]])&gt;0,TRUE,FALSE)</f>
        <v>1</v>
      </c>
    </row>
    <row r="69" spans="5:8" x14ac:dyDescent="0.25">
      <c r="E69" t="s">
        <v>430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43" t="s">
        <v>15</v>
      </c>
      <c r="F70" t="s">
        <v>317</v>
      </c>
      <c r="H70" s="458" t="b">
        <f>IF(COUNTIF('Processer - data'!$D:$F,Table2[[#This Row],[Råvare]])&gt;0,TRUE,FALSE)</f>
        <v>1</v>
      </c>
    </row>
    <row r="71" spans="5:8" x14ac:dyDescent="0.25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25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25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58" t="s">
        <v>146</v>
      </c>
      <c r="F75" t="s">
        <v>317</v>
      </c>
      <c r="H75" s="213" t="b">
        <f>IF(COUNTIF('Processer - data'!$D:$F,Table2[[#This Row],[Råvare]])&gt;0,TRUE,FALSE)</f>
        <v>1</v>
      </c>
    </row>
    <row r="76" spans="5:8" x14ac:dyDescent="0.25">
      <c r="E76" s="443" t="s">
        <v>339</v>
      </c>
      <c r="F76" t="s">
        <v>317</v>
      </c>
      <c r="H76" s="458" t="b">
        <f>IF(COUNTIF('Processer - data'!$D:$F,Table2[[#This Row],[Råvare]])&gt;0,TRUE,FALSE)</f>
        <v>1</v>
      </c>
    </row>
    <row r="77" spans="5:8" x14ac:dyDescent="0.25">
      <c r="E77" s="458" t="s">
        <v>878</v>
      </c>
      <c r="F77" t="s">
        <v>317</v>
      </c>
      <c r="H77" s="213" t="b">
        <f>IF(COUNTIF('Processer - data'!$D:$F,Table2[[#This Row],[Råvare]])&gt;0,TRUE,FALSE)</f>
        <v>1</v>
      </c>
    </row>
    <row r="78" spans="5:8" x14ac:dyDescent="0.25">
      <c r="E78" s="458" t="s">
        <v>890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43" t="s">
        <v>302</v>
      </c>
      <c r="F79" t="s">
        <v>317</v>
      </c>
      <c r="H79" s="458" t="b">
        <f>IF(COUNTIF('Processer - data'!$D:$F,Table2[[#This Row],[Råvare]])&gt;0,TRUE,FALSE)</f>
        <v>1</v>
      </c>
    </row>
    <row r="80" spans="5:8" x14ac:dyDescent="0.25">
      <c r="E80" s="443" t="s">
        <v>177</v>
      </c>
      <c r="F80" t="s">
        <v>317</v>
      </c>
      <c r="H80" s="458" t="b">
        <f>IF(COUNTIF('Processer - data'!$D:$F,Table2[[#This Row],[Råvare]])&gt;0,TRUE,FALSE)</f>
        <v>1</v>
      </c>
    </row>
    <row r="81" spans="5:8" x14ac:dyDescent="0.25">
      <c r="E81" s="458" t="s">
        <v>720</v>
      </c>
      <c r="F81" t="s">
        <v>317</v>
      </c>
      <c r="H81" s="213" t="b">
        <f>IF(COUNTIF('Processer - data'!$D:$F,Table2[[#This Row],[Råvare]])&gt;0,TRUE,FALSE)</f>
        <v>1</v>
      </c>
    </row>
    <row r="82" spans="5:8" x14ac:dyDescent="0.25">
      <c r="E82" s="458" t="s">
        <v>721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25">
      <c r="E84" s="443" t="s">
        <v>364</v>
      </c>
      <c r="F84" t="s">
        <v>316</v>
      </c>
      <c r="H84" t="b">
        <f>IF(COUNTIF('Processer - data'!$D:$F,Table2[[#This Row],[Råvare]])&gt;0,TRUE,FALSE)</f>
        <v>1</v>
      </c>
    </row>
    <row r="85" spans="5:8" x14ac:dyDescent="0.25">
      <c r="E85" s="443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58" t="s">
        <v>425</v>
      </c>
      <c r="F86" t="s">
        <v>317</v>
      </c>
      <c r="H86" t="b">
        <f>IF(COUNTIF('Processer - data'!$D:$F,Table2[[#This Row],[Råvare]])&gt;0,TRUE,FALSE)</f>
        <v>1</v>
      </c>
    </row>
    <row r="87" spans="5:8" x14ac:dyDescent="0.25">
      <c r="E87" s="458" t="s">
        <v>424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25">
      <c r="E89" s="146" t="s">
        <v>502</v>
      </c>
      <c r="F89" t="s">
        <v>317</v>
      </c>
      <c r="H89" t="b">
        <f>IF(COUNTIF('Processer - data'!$D:$F,Table2[[#This Row],[Råvare]])&gt;0,TRUE,FALSE)</f>
        <v>1</v>
      </c>
    </row>
    <row r="90" spans="5:8" x14ac:dyDescent="0.25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25">
      <c r="E91" s="146" t="s">
        <v>498</v>
      </c>
      <c r="F91" t="s">
        <v>317</v>
      </c>
      <c r="H91" t="b">
        <f>IF(COUNTIF('Processer - data'!$D:$F,Table2[[#This Row],[Råvare]])&gt;0,TRUE,FALSE)</f>
        <v>1</v>
      </c>
    </row>
    <row r="92" spans="5:8" x14ac:dyDescent="0.25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3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3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25">
      <c r="E95" s="458" t="s">
        <v>352</v>
      </c>
      <c r="F95" t="s">
        <v>317</v>
      </c>
      <c r="H95" t="b">
        <f>IF(COUNTIF('Processer - data'!$D:$F,Table2[[#This Row],[Råvare]])&gt;0,TRUE,FALSE)</f>
        <v>1</v>
      </c>
    </row>
    <row r="96" spans="5:8" x14ac:dyDescent="0.25">
      <c r="E96" s="458" t="s">
        <v>405</v>
      </c>
      <c r="F96" t="s">
        <v>625</v>
      </c>
      <c r="H96" t="b">
        <f>IF(COUNTIF('Processer - data'!$D:$F,Table2[[#This Row],[Råvare]])&gt;0,TRUE,FALSE)</f>
        <v>1</v>
      </c>
    </row>
    <row r="97" spans="5:8" x14ac:dyDescent="0.25">
      <c r="E97" s="443" t="s">
        <v>553</v>
      </c>
      <c r="F97" t="s">
        <v>625</v>
      </c>
      <c r="H97" s="458" t="b">
        <f>IF(COUNTIF('Processer - data'!$D:$F,Table2[[#This Row],[Råvare]])&gt;0,TRUE,FALSE)</f>
        <v>1</v>
      </c>
    </row>
    <row r="98" spans="5:8" x14ac:dyDescent="0.25">
      <c r="E98" s="443" t="s">
        <v>308</v>
      </c>
      <c r="F98" t="s">
        <v>625</v>
      </c>
      <c r="H98" s="458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6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6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7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80" t="s">
        <v>879</v>
      </c>
      <c r="B15" s="480">
        <f>H22</f>
        <v>-0.65266666666666662</v>
      </c>
      <c r="C15" s="480" t="s">
        <v>888</v>
      </c>
    </row>
    <row r="16" spans="1:9" x14ac:dyDescent="0.25">
      <c r="A16" s="480" t="s">
        <v>890</v>
      </c>
      <c r="B16" s="480">
        <f>B23/1000</f>
        <v>0.14000000000000001</v>
      </c>
      <c r="C16" s="480" t="s">
        <v>889</v>
      </c>
    </row>
    <row r="17" spans="1:12" x14ac:dyDescent="0.25">
      <c r="A17" s="480" t="s">
        <v>878</v>
      </c>
      <c r="B17" s="480">
        <f>B24/1000</f>
        <v>0.56000000000000005</v>
      </c>
      <c r="C17" s="480" t="s">
        <v>889</v>
      </c>
    </row>
    <row r="19" spans="1:12" ht="15.75" thickBot="1" x14ac:dyDescent="0.3">
      <c r="A19" s="458" t="s">
        <v>880</v>
      </c>
      <c r="B19" s="458"/>
      <c r="C19" s="458"/>
      <c r="D19" s="458"/>
      <c r="E19" s="458"/>
      <c r="F19" s="458"/>
      <c r="G19" s="458"/>
      <c r="H19" s="458" t="s">
        <v>893</v>
      </c>
      <c r="I19" s="458"/>
      <c r="J19" s="458"/>
      <c r="K19" s="458"/>
      <c r="L19" s="458"/>
    </row>
    <row r="20" spans="1:12" ht="15.75" thickBot="1" x14ac:dyDescent="0.3">
      <c r="A20" s="471"/>
      <c r="B20" s="471" t="s">
        <v>881</v>
      </c>
      <c r="C20" s="472"/>
      <c r="D20" s="471" t="s">
        <v>410</v>
      </c>
      <c r="E20" s="472"/>
      <c r="F20" s="159" t="s">
        <v>882</v>
      </c>
      <c r="G20" s="159"/>
      <c r="H20" s="482" t="s">
        <v>883</v>
      </c>
      <c r="I20" s="482" t="s">
        <v>814</v>
      </c>
      <c r="J20" s="482"/>
      <c r="K20" s="481" t="s">
        <v>884</v>
      </c>
      <c r="L20" s="481" t="s">
        <v>885</v>
      </c>
    </row>
    <row r="21" spans="1:12" x14ac:dyDescent="0.25">
      <c r="A21" s="474" t="s">
        <v>37</v>
      </c>
      <c r="B21" s="474">
        <v>1000</v>
      </c>
      <c r="C21" s="475">
        <v>1</v>
      </c>
      <c r="D21" s="474">
        <f>16.4/1000000</f>
        <v>1.6399999999999999E-5</v>
      </c>
      <c r="E21" s="475">
        <v>1</v>
      </c>
      <c r="F21" s="474">
        <v>420</v>
      </c>
      <c r="G21" s="476"/>
      <c r="H21" s="482"/>
      <c r="I21" s="482"/>
      <c r="J21" s="482"/>
      <c r="K21" s="481" t="s">
        <v>886</v>
      </c>
      <c r="L21" s="481">
        <v>12</v>
      </c>
    </row>
    <row r="22" spans="1:12" x14ac:dyDescent="0.25">
      <c r="A22" s="473" t="s">
        <v>344</v>
      </c>
      <c r="B22" s="473">
        <v>300</v>
      </c>
      <c r="C22" s="477">
        <v>0.3</v>
      </c>
      <c r="D22" s="473">
        <f>$D$21*E22</f>
        <v>6.740399999999999E-6</v>
      </c>
      <c r="E22" s="478">
        <v>0.41099999999999998</v>
      </c>
      <c r="F22" s="473">
        <v>178</v>
      </c>
      <c r="G22" s="479">
        <v>0.42</v>
      </c>
      <c r="H22" s="482">
        <f>-(F22*(2*L22/L21)+F22)/1000</f>
        <v>-0.65266666666666662</v>
      </c>
      <c r="I22" s="482">
        <f>D22/(B22/1000)</f>
        <v>2.2467999999999999E-5</v>
      </c>
      <c r="J22" s="482"/>
      <c r="K22" s="481" t="s">
        <v>887</v>
      </c>
      <c r="L22" s="481">
        <v>16</v>
      </c>
    </row>
    <row r="23" spans="1:12" x14ac:dyDescent="0.25">
      <c r="A23" s="473" t="s">
        <v>890</v>
      </c>
      <c r="B23" s="473">
        <v>140</v>
      </c>
      <c r="C23" s="477">
        <v>0.14000000000000001</v>
      </c>
      <c r="D23" s="473">
        <f t="shared" ref="D23:D24" si="0">$D$21*E23</f>
        <v>4.6575999999999992E-6</v>
      </c>
      <c r="E23" s="478">
        <v>0.28399999999999997</v>
      </c>
      <c r="F23" s="473">
        <v>98</v>
      </c>
      <c r="G23" s="479">
        <v>0.23</v>
      </c>
      <c r="H23" s="482"/>
      <c r="I23" s="482">
        <f t="shared" ref="I23:I24" si="1">D23/(B23/1000)</f>
        <v>3.326857142857142E-5</v>
      </c>
      <c r="J23" s="482"/>
      <c r="K23" s="481"/>
      <c r="L23" s="481"/>
    </row>
    <row r="24" spans="1:12" x14ac:dyDescent="0.25">
      <c r="A24" s="473" t="s">
        <v>878</v>
      </c>
      <c r="B24" s="473">
        <v>560</v>
      </c>
      <c r="C24" s="477">
        <v>0.56000000000000005</v>
      </c>
      <c r="D24" s="473">
        <f t="shared" si="0"/>
        <v>5.0183999999999993E-6</v>
      </c>
      <c r="E24" s="478">
        <v>0.30599999999999999</v>
      </c>
      <c r="F24" s="473">
        <v>144</v>
      </c>
      <c r="G24" s="479">
        <v>0.34</v>
      </c>
      <c r="H24" s="482"/>
      <c r="I24" s="482">
        <f t="shared" si="1"/>
        <v>8.9614285714285689E-6</v>
      </c>
      <c r="J24" s="482"/>
      <c r="K24" s="481"/>
      <c r="L24" s="481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6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2">
        <f>D23/C23</f>
        <v>0.77115679138975146</v>
      </c>
      <c r="C3" s="412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3" t="str">
        <f>Bebyg</f>
        <v>Bebyggelse &amp; infrastruktur</v>
      </c>
      <c r="B7" s="415">
        <f>SUM(D15:D17)/SUM($C15:$C17)</f>
        <v>0.69809884645309694</v>
      </c>
      <c r="C7" s="415">
        <f>SUM(E15:E17)/SUM($C15:$C17)</f>
        <v>0.30191806772436658</v>
      </c>
      <c r="D7" s="71"/>
      <c r="E7" s="71"/>
    </row>
    <row r="8" spans="1:5" x14ac:dyDescent="0.25">
      <c r="A8" s="413" t="str">
        <f>Afgrøder</f>
        <v>Landbrugsafgrøder</v>
      </c>
      <c r="B8" s="415">
        <f>D18/$C18</f>
        <v>0.77910074969845278</v>
      </c>
      <c r="C8" s="415">
        <f>E18/$C18</f>
        <v>0.22089925030154711</v>
      </c>
      <c r="D8" s="71"/>
      <c r="E8" s="71"/>
    </row>
    <row r="9" spans="1:5" x14ac:dyDescent="0.25">
      <c r="A9" s="413" t="str">
        <f>SkovAreal</f>
        <v>Skov</v>
      </c>
      <c r="B9" s="415">
        <f>D19/$C19</f>
        <v>0.77355804310298804</v>
      </c>
      <c r="C9" s="415">
        <f>E19/$C19</f>
        <v>0.22642416045274155</v>
      </c>
      <c r="D9" s="71"/>
      <c r="E9" s="71"/>
    </row>
    <row r="10" spans="1:5" x14ac:dyDescent="0.25">
      <c r="A10" s="413" t="str">
        <f>NaturAreal</f>
        <v>Natur</v>
      </c>
      <c r="B10" s="415">
        <f>SUM(D20:D21)/SUM($C20:$C21)</f>
        <v>0.82510044406851346</v>
      </c>
      <c r="C10" s="415">
        <f>SUM(E20:E21)/SUM($C20:$C21)</f>
        <v>0.17494184817086067</v>
      </c>
      <c r="D10" s="71"/>
      <c r="E10" s="71"/>
    </row>
    <row r="11" spans="1:5" ht="15.75" thickBot="1" x14ac:dyDescent="0.3">
      <c r="A11" s="414" t="str">
        <f>IKareal</f>
        <v>Ikke klassificeret</v>
      </c>
      <c r="B11" s="415">
        <f>D22/$C22</f>
        <v>0.70816884300030369</v>
      </c>
      <c r="C11" s="415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507" t="s">
        <v>58</v>
      </c>
      <c r="C10" s="507"/>
      <c r="D10" s="507"/>
      <c r="E10" s="507"/>
      <c r="F10" s="507"/>
      <c r="G10" s="508"/>
    </row>
    <row r="11" spans="1:7" x14ac:dyDescent="0.25">
      <c r="A11" s="37"/>
      <c r="B11" s="507" t="s">
        <v>65</v>
      </c>
      <c r="C11" s="507"/>
      <c r="D11" s="507"/>
      <c r="E11" s="507"/>
      <c r="F11" s="507"/>
      <c r="G11" s="508"/>
    </row>
    <row r="12" spans="1:7" ht="28.5" customHeight="1" x14ac:dyDescent="0.25">
      <c r="A12" s="38"/>
      <c r="B12" s="509" t="s">
        <v>59</v>
      </c>
      <c r="C12" s="509"/>
      <c r="D12" s="509"/>
      <c r="E12" s="509"/>
      <c r="F12" s="509"/>
      <c r="G12" s="510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503" t="s">
        <v>122</v>
      </c>
      <c r="B42" s="86" t="s">
        <v>121</v>
      </c>
      <c r="C42" s="505">
        <v>1.6</v>
      </c>
      <c r="D42" s="505">
        <v>1</v>
      </c>
      <c r="E42" s="505">
        <v>0.3</v>
      </c>
      <c r="F42" s="505">
        <v>0.3</v>
      </c>
      <c r="G42" s="505">
        <v>0</v>
      </c>
      <c r="H42" s="511">
        <v>5.9</v>
      </c>
      <c r="I42" s="513">
        <v>0</v>
      </c>
      <c r="J42" s="501">
        <v>12.2</v>
      </c>
    </row>
    <row r="43" spans="1:10" x14ac:dyDescent="0.25">
      <c r="A43" s="504"/>
      <c r="B43" s="84">
        <v>3.2</v>
      </c>
      <c r="C43" s="506"/>
      <c r="D43" s="506"/>
      <c r="E43" s="506"/>
      <c r="F43" s="506"/>
      <c r="G43" s="506"/>
      <c r="H43" s="512"/>
      <c r="I43" s="514"/>
      <c r="J43" s="502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81" t="s">
        <v>366</v>
      </c>
      <c r="C1" s="262"/>
      <c r="D1" s="262"/>
      <c r="E1" s="262"/>
      <c r="F1" s="262"/>
      <c r="G1" s="262"/>
      <c r="H1" s="262"/>
      <c r="I1" s="382"/>
      <c r="K1" s="381" t="s">
        <v>367</v>
      </c>
      <c r="L1" s="262"/>
      <c r="M1" s="262"/>
      <c r="N1" s="262"/>
      <c r="O1" s="262"/>
      <c r="P1" s="262"/>
      <c r="Q1" s="262"/>
      <c r="R1" s="382"/>
      <c r="T1" s="381" t="s">
        <v>897</v>
      </c>
      <c r="U1" s="262"/>
      <c r="V1" s="262"/>
      <c r="W1" s="262"/>
      <c r="X1" s="262"/>
      <c r="Y1" s="262"/>
      <c r="Z1" s="262"/>
      <c r="AA1" s="382"/>
    </row>
    <row r="2" spans="1:27" x14ac:dyDescent="0.25">
      <c r="B2" s="383" t="s">
        <v>62</v>
      </c>
      <c r="C2" s="146" t="s">
        <v>734</v>
      </c>
      <c r="D2" s="146"/>
      <c r="E2" s="146"/>
      <c r="F2" s="390"/>
      <c r="G2" s="390" t="s">
        <v>756</v>
      </c>
      <c r="H2" s="390"/>
      <c r="I2" s="391"/>
      <c r="K2" s="383" t="s">
        <v>62</v>
      </c>
      <c r="L2" s="146" t="s">
        <v>734</v>
      </c>
      <c r="M2" s="146"/>
      <c r="N2" s="146"/>
      <c r="O2" s="390"/>
      <c r="P2" s="390" t="s">
        <v>756</v>
      </c>
      <c r="Q2" s="390"/>
      <c r="R2" s="391"/>
      <c r="T2" s="383" t="s">
        <v>62</v>
      </c>
      <c r="U2" s="443" t="s">
        <v>734</v>
      </c>
      <c r="V2" s="443"/>
      <c r="W2" s="443"/>
      <c r="X2" s="390"/>
      <c r="Y2" s="390" t="s">
        <v>756</v>
      </c>
      <c r="Z2" s="390"/>
      <c r="AA2" s="391"/>
    </row>
    <row r="3" spans="1:27" x14ac:dyDescent="0.25">
      <c r="B3" s="383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0"/>
      <c r="G3" s="146" t="str">
        <f>Jordbund1</f>
        <v>JB1-10</v>
      </c>
      <c r="H3" s="146" t="str">
        <f>Organ6</f>
        <v>OC6</v>
      </c>
      <c r="I3" s="384" t="str">
        <f>Organ12</f>
        <v>OC12</v>
      </c>
      <c r="J3" s="372"/>
      <c r="K3" s="383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0"/>
      <c r="P3" s="146" t="str">
        <f>Jordbund1</f>
        <v>JB1-10</v>
      </c>
      <c r="Q3" s="146" t="str">
        <f>Organ6</f>
        <v>OC6</v>
      </c>
      <c r="R3" s="384" t="str">
        <f>Organ12</f>
        <v>OC12</v>
      </c>
      <c r="T3" s="383" t="s">
        <v>778</v>
      </c>
      <c r="U3" s="443" t="str">
        <f>Jordbund1</f>
        <v>JB1-10</v>
      </c>
      <c r="V3" s="443" t="str">
        <f>Organ6</f>
        <v>OC6</v>
      </c>
      <c r="W3" s="443" t="str">
        <f>Organ12</f>
        <v>OC12</v>
      </c>
      <c r="X3" s="390"/>
      <c r="Y3" s="443" t="str">
        <f>Jordbund1</f>
        <v>JB1-10</v>
      </c>
      <c r="Z3" s="443" t="str">
        <f>Organ6</f>
        <v>OC6</v>
      </c>
      <c r="AA3" s="384" t="str">
        <f>Organ12</f>
        <v>OC12</v>
      </c>
    </row>
    <row r="4" spans="1:27" x14ac:dyDescent="0.25">
      <c r="A4" s="167" t="s">
        <v>11</v>
      </c>
      <c r="B4" s="383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90" t="s">
        <v>11</v>
      </c>
      <c r="G4" s="371">
        <f>C4/SUM(C$4:C$17)</f>
        <v>0.52078807763652124</v>
      </c>
      <c r="H4" s="371">
        <f t="shared" ref="H4:I17" si="1">D4/SUM(D$4:D$17)</f>
        <v>0.29260742948449031</v>
      </c>
      <c r="I4" s="385">
        <f t="shared" si="1"/>
        <v>0.19001733521339526</v>
      </c>
      <c r="J4" s="226"/>
      <c r="K4" s="383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90" t="s">
        <v>11</v>
      </c>
      <c r="P4" s="371">
        <f>L4/SUM(L$4:L$17)</f>
        <v>0.59758624874726696</v>
      </c>
      <c r="Q4" s="371">
        <f t="shared" ref="Q4:R17" si="5">M4/SUM(M$4:M$17)</f>
        <v>0.38313743571343106</v>
      </c>
      <c r="R4" s="385">
        <f t="shared" si="5"/>
        <v>0.26300634149592406</v>
      </c>
      <c r="S4" s="226"/>
      <c r="T4" s="383">
        <f>SUM(B4,K4)</f>
        <v>1371329</v>
      </c>
      <c r="U4" s="443">
        <f t="shared" ref="U4:W4" si="6">SUM(C4,L4)</f>
        <v>1325250.4726813775</v>
      </c>
      <c r="V4" s="443">
        <f t="shared" si="6"/>
        <v>30981.331745759828</v>
      </c>
      <c r="W4" s="443">
        <f t="shared" si="6"/>
        <v>15097.195572862413</v>
      </c>
      <c r="X4" s="390" t="s">
        <v>11</v>
      </c>
      <c r="Y4" s="371">
        <f>U4/SUM(U$4:U$17)</f>
        <v>0.53753334285647836</v>
      </c>
      <c r="Z4" s="371">
        <f t="shared" ref="Z4:AA4" si="7">V4/SUM(V$4:V$17)</f>
        <v>0.3103851136120081</v>
      </c>
      <c r="AA4" s="385">
        <f t="shared" si="7"/>
        <v>0.20372190135299265</v>
      </c>
    </row>
    <row r="5" spans="1:27" x14ac:dyDescent="0.25">
      <c r="A5" s="167" t="s">
        <v>14</v>
      </c>
      <c r="B5" s="383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90" t="s">
        <v>14</v>
      </c>
      <c r="G5" s="371">
        <f t="shared" ref="G5:G17" si="10">C5/SUM(C$4:C$17)</f>
        <v>3.5982037432552356E-2</v>
      </c>
      <c r="H5" s="371">
        <f t="shared" si="1"/>
        <v>2.5083538683672694E-2</v>
      </c>
      <c r="I5" s="385">
        <f t="shared" si="1"/>
        <v>1.0941050385004404E-2</v>
      </c>
      <c r="J5" s="226"/>
      <c r="K5" s="383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90" t="s">
        <v>14</v>
      </c>
      <c r="P5" s="371">
        <f t="shared" ref="P5:P17" si="11">L5/SUM(L$4:L$17)</f>
        <v>1.3024294772492263E-2</v>
      </c>
      <c r="Q5" s="371">
        <f t="shared" si="5"/>
        <v>1.0360648699894549E-2</v>
      </c>
      <c r="R5" s="385">
        <f t="shared" si="5"/>
        <v>4.777062450510427E-3</v>
      </c>
      <c r="S5" s="226"/>
      <c r="T5" s="383">
        <f t="shared" ref="T5:T17" si="12">SUM(B5,K5)</f>
        <v>79310</v>
      </c>
      <c r="U5" s="443">
        <f t="shared" ref="U5:U17" si="13">SUM(C5,L5)</f>
        <v>76369.814227471288</v>
      </c>
      <c r="V5" s="443">
        <f t="shared" ref="V5:V17" si="14">SUM(D5,M5)</f>
        <v>2215.1471789908956</v>
      </c>
      <c r="W5" s="443">
        <f t="shared" ref="W5:W17" si="15">SUM(E5,N5)</f>
        <v>725.03859353781286</v>
      </c>
      <c r="X5" s="390" t="s">
        <v>14</v>
      </c>
      <c r="Y5" s="371">
        <f t="shared" ref="Y5:Y17" si="16">U5/SUM(U$4:U$17)</f>
        <v>3.0976273829928767E-2</v>
      </c>
      <c r="Z5" s="371">
        <f t="shared" ref="Z5:Z17" si="17">V5/SUM(V$4:V$17)</f>
        <v>2.2192354881984948E-2</v>
      </c>
      <c r="AA5" s="385">
        <f t="shared" ref="AA5:AA17" si="18">W5/SUM(W$4:W$17)</f>
        <v>9.7836873157640305E-3</v>
      </c>
    </row>
    <row r="6" spans="1:27" x14ac:dyDescent="0.25">
      <c r="A6" s="167" t="s">
        <v>177</v>
      </c>
      <c r="B6" s="383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90" t="s">
        <v>177</v>
      </c>
      <c r="G6" s="371">
        <f t="shared" si="10"/>
        <v>6.0508874709232517E-2</v>
      </c>
      <c r="H6" s="371">
        <f t="shared" si="1"/>
        <v>2.68590267661553E-2</v>
      </c>
      <c r="I6" s="385">
        <f t="shared" si="1"/>
        <v>1.4168164812818053E-2</v>
      </c>
      <c r="J6" s="226"/>
      <c r="K6" s="383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90" t="s">
        <v>177</v>
      </c>
      <c r="P6" s="371">
        <f t="shared" si="11"/>
        <v>8.2618389494347674E-2</v>
      </c>
      <c r="Q6" s="371">
        <f t="shared" si="5"/>
        <v>4.184827857039744E-2</v>
      </c>
      <c r="R6" s="385">
        <f t="shared" si="5"/>
        <v>2.3334832279686194E-2</v>
      </c>
      <c r="S6" s="226"/>
      <c r="T6" s="383">
        <f t="shared" si="12"/>
        <v>165218</v>
      </c>
      <c r="U6" s="443">
        <f t="shared" si="13"/>
        <v>161065.73076556949</v>
      </c>
      <c r="V6" s="443">
        <f t="shared" si="14"/>
        <v>2974.7614293410334</v>
      </c>
      <c r="W6" s="443">
        <f t="shared" si="15"/>
        <v>1177.5078050894758</v>
      </c>
      <c r="X6" s="390" t="s">
        <v>177</v>
      </c>
      <c r="Y6" s="371">
        <f t="shared" si="16"/>
        <v>6.5329688585482673E-2</v>
      </c>
      <c r="Z6" s="371">
        <f t="shared" si="17"/>
        <v>2.9802516941222323E-2</v>
      </c>
      <c r="AA6" s="385">
        <f t="shared" si="18"/>
        <v>1.5889317175039771E-2</v>
      </c>
    </row>
    <row r="7" spans="1:27" x14ac:dyDescent="0.25">
      <c r="A7" s="167" t="s">
        <v>13</v>
      </c>
      <c r="B7" s="383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90" t="s">
        <v>13</v>
      </c>
      <c r="G7" s="371">
        <f t="shared" si="10"/>
        <v>0.1153713931066581</v>
      </c>
      <c r="H7" s="371">
        <f t="shared" si="1"/>
        <v>0.247864579659376</v>
      </c>
      <c r="I7" s="385">
        <f t="shared" si="1"/>
        <v>0.32676260561918435</v>
      </c>
      <c r="J7" s="226"/>
      <c r="K7" s="383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90" t="s">
        <v>13</v>
      </c>
      <c r="P7" s="371">
        <f t="shared" si="11"/>
        <v>5.0192728928725582E-2</v>
      </c>
      <c r="Q7" s="371">
        <f t="shared" si="5"/>
        <v>0.12305147357318001</v>
      </c>
      <c r="R7" s="385">
        <f t="shared" si="5"/>
        <v>0.17147801882246</v>
      </c>
      <c r="S7" s="226"/>
      <c r="T7" s="383">
        <f t="shared" si="12"/>
        <v>293751</v>
      </c>
      <c r="U7" s="443">
        <f t="shared" si="13"/>
        <v>249402.02848152956</v>
      </c>
      <c r="V7" s="443">
        <f t="shared" si="14"/>
        <v>22294.313979031187</v>
      </c>
      <c r="W7" s="443">
        <f t="shared" si="15"/>
        <v>22054.657539439253</v>
      </c>
      <c r="X7" s="390" t="s">
        <v>13</v>
      </c>
      <c r="Y7" s="371">
        <f t="shared" si="16"/>
        <v>0.10115967422642448</v>
      </c>
      <c r="Z7" s="371">
        <f t="shared" si="17"/>
        <v>0.22335460702816423</v>
      </c>
      <c r="AA7" s="385">
        <f t="shared" si="18"/>
        <v>0.29760605179547317</v>
      </c>
    </row>
    <row r="8" spans="1:27" x14ac:dyDescent="0.25">
      <c r="A8" s="167" t="s">
        <v>12</v>
      </c>
      <c r="B8" s="383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90" t="s">
        <v>12</v>
      </c>
      <c r="G8" s="371">
        <f t="shared" si="10"/>
        <v>4.464610531367031E-3</v>
      </c>
      <c r="H8" s="371">
        <f t="shared" si="1"/>
        <v>1.1592719622443278E-3</v>
      </c>
      <c r="I8" s="385">
        <f t="shared" si="1"/>
        <v>3.7980026350827641E-4</v>
      </c>
      <c r="J8" s="226"/>
      <c r="K8" s="383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90" t="s">
        <v>12</v>
      </c>
      <c r="P8" s="371">
        <f t="shared" si="11"/>
        <v>7.865213752064254E-3</v>
      </c>
      <c r="Q8" s="371">
        <f t="shared" si="5"/>
        <v>2.3304616484464778E-3</v>
      </c>
      <c r="R8" s="385">
        <f t="shared" si="5"/>
        <v>8.0707825675165219E-4</v>
      </c>
      <c r="S8" s="226"/>
      <c r="T8" s="383">
        <f t="shared" si="12"/>
        <v>13008</v>
      </c>
      <c r="U8" s="443">
        <f t="shared" si="13"/>
        <v>12835.238529322392</v>
      </c>
      <c r="V8" s="443">
        <f t="shared" si="14"/>
        <v>138.67031297478138</v>
      </c>
      <c r="W8" s="443">
        <f t="shared" si="15"/>
        <v>34.091157702826294</v>
      </c>
      <c r="X8" s="390" t="s">
        <v>12</v>
      </c>
      <c r="Y8" s="371">
        <f t="shared" si="16"/>
        <v>5.2060865589185204E-3</v>
      </c>
      <c r="Z8" s="371">
        <f t="shared" si="17"/>
        <v>1.3892624500617522E-3</v>
      </c>
      <c r="AA8" s="385">
        <f t="shared" si="18"/>
        <v>4.600268594935945E-4</v>
      </c>
    </row>
    <row r="9" spans="1:27" x14ac:dyDescent="0.25">
      <c r="A9" s="167" t="s">
        <v>188</v>
      </c>
      <c r="B9" s="383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90" t="s">
        <v>188</v>
      </c>
      <c r="G9" s="371">
        <f t="shared" si="10"/>
        <v>2.6596251788237935E-2</v>
      </c>
      <c r="H9" s="371">
        <f t="shared" si="1"/>
        <v>1.8301899560384409E-2</v>
      </c>
      <c r="I9" s="385">
        <f t="shared" si="1"/>
        <v>2.0102939321744374E-2</v>
      </c>
      <c r="J9" s="226"/>
      <c r="K9" s="383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90" t="s">
        <v>188</v>
      </c>
      <c r="P9" s="371">
        <f t="shared" si="11"/>
        <v>5.0455539319474536E-3</v>
      </c>
      <c r="Q9" s="371">
        <f t="shared" si="5"/>
        <v>3.9619980918168913E-3</v>
      </c>
      <c r="R9" s="385">
        <f t="shared" si="5"/>
        <v>4.6002497853152241E-3</v>
      </c>
      <c r="S9" s="226"/>
      <c r="T9" s="383">
        <f t="shared" si="12"/>
        <v>56806</v>
      </c>
      <c r="U9" s="443">
        <f t="shared" si="13"/>
        <v>53986.205746374755</v>
      </c>
      <c r="V9" s="443">
        <f t="shared" si="14"/>
        <v>1545.7396106832807</v>
      </c>
      <c r="W9" s="443">
        <f t="shared" si="15"/>
        <v>1274.054642941966</v>
      </c>
      <c r="X9" s="390" t="s">
        <v>188</v>
      </c>
      <c r="Y9" s="371">
        <f t="shared" si="16"/>
        <v>2.189728375215861E-2</v>
      </c>
      <c r="Z9" s="371">
        <f t="shared" si="17"/>
        <v>1.5485924511368826E-2</v>
      </c>
      <c r="AA9" s="385">
        <f t="shared" si="18"/>
        <v>1.7192122406779854E-2</v>
      </c>
    </row>
    <row r="10" spans="1:27" x14ac:dyDescent="0.25">
      <c r="A10" s="167" t="s">
        <v>42</v>
      </c>
      <c r="B10" s="383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90" t="s">
        <v>42</v>
      </c>
      <c r="G10" s="371">
        <f t="shared" si="10"/>
        <v>2.5963485234511219E-3</v>
      </c>
      <c r="H10" s="371">
        <f t="shared" si="1"/>
        <v>4.801561809645839E-4</v>
      </c>
      <c r="I10" s="385">
        <f t="shared" si="1"/>
        <v>2.1739444616266637E-4</v>
      </c>
      <c r="J10" s="226"/>
      <c r="K10" s="383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90" t="s">
        <v>42</v>
      </c>
      <c r="P10" s="371">
        <f t="shared" si="11"/>
        <v>5.2451600979001756E-2</v>
      </c>
      <c r="Q10" s="371">
        <f t="shared" si="5"/>
        <v>1.1068989105563098E-2</v>
      </c>
      <c r="R10" s="385">
        <f t="shared" si="5"/>
        <v>5.2975813997076116E-3</v>
      </c>
      <c r="S10" s="226"/>
      <c r="T10" s="383">
        <f t="shared" si="12"/>
        <v>33544</v>
      </c>
      <c r="U10" s="443">
        <f t="shared" si="13"/>
        <v>33201.720909530726</v>
      </c>
      <c r="V10" s="443">
        <f t="shared" si="14"/>
        <v>255.48059990324134</v>
      </c>
      <c r="W10" s="443">
        <f t="shared" si="15"/>
        <v>86.798490566037771</v>
      </c>
      <c r="X10" s="390" t="s">
        <v>42</v>
      </c>
      <c r="Y10" s="371">
        <f t="shared" si="16"/>
        <v>1.3466912404096722E-2</v>
      </c>
      <c r="Z10" s="371">
        <f t="shared" si="17"/>
        <v>2.5595211877063469E-3</v>
      </c>
      <c r="AA10" s="385">
        <f t="shared" si="18"/>
        <v>1.1712608111448329E-3</v>
      </c>
    </row>
    <row r="11" spans="1:27" x14ac:dyDescent="0.25">
      <c r="A11" s="167" t="s">
        <v>15</v>
      </c>
      <c r="B11" s="383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90" t="s">
        <v>15</v>
      </c>
      <c r="G11" s="371">
        <f t="shared" si="10"/>
        <v>8.8910930707760349E-2</v>
      </c>
      <c r="H11" s="371">
        <f t="shared" si="1"/>
        <v>6.1980947409938016E-2</v>
      </c>
      <c r="I11" s="385">
        <f t="shared" si="1"/>
        <v>2.7035127582052489E-2</v>
      </c>
      <c r="J11" s="226"/>
      <c r="K11" s="383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90" t="s">
        <v>15</v>
      </c>
      <c r="P11" s="371">
        <f t="shared" si="11"/>
        <v>1.4835264654900416E-2</v>
      </c>
      <c r="Q11" s="371">
        <f t="shared" si="5"/>
        <v>1.180125052022097E-2</v>
      </c>
      <c r="R11" s="385">
        <f t="shared" si="5"/>
        <v>5.4412915988347344E-3</v>
      </c>
      <c r="S11" s="226"/>
      <c r="T11" s="383">
        <f t="shared" si="12"/>
        <v>186289</v>
      </c>
      <c r="U11" s="443">
        <f t="shared" si="13"/>
        <v>179382.88138471061</v>
      </c>
      <c r="V11" s="443">
        <f t="shared" si="14"/>
        <v>5203.0961143239801</v>
      </c>
      <c r="W11" s="443">
        <f t="shared" si="15"/>
        <v>1703.0225009653971</v>
      </c>
      <c r="X11" s="390" t="s">
        <v>15</v>
      </c>
      <c r="Y11" s="371">
        <f t="shared" si="16"/>
        <v>7.2759287296729286E-2</v>
      </c>
      <c r="Z11" s="371">
        <f t="shared" si="17"/>
        <v>5.2126990273737149E-2</v>
      </c>
      <c r="AA11" s="385">
        <f t="shared" si="18"/>
        <v>2.2980624465595331E-2</v>
      </c>
    </row>
    <row r="12" spans="1:27" x14ac:dyDescent="0.25">
      <c r="A12" s="167" t="s">
        <v>153</v>
      </c>
      <c r="B12" s="383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90" t="s">
        <v>153</v>
      </c>
      <c r="G12" s="371">
        <f t="shared" si="10"/>
        <v>1.6337629108489173E-3</v>
      </c>
      <c r="H12" s="371">
        <f t="shared" si="1"/>
        <v>1.0558987213584255E-3</v>
      </c>
      <c r="I12" s="385">
        <f t="shared" si="1"/>
        <v>7.7474460216058903E-4</v>
      </c>
      <c r="J12" s="226"/>
      <c r="K12" s="383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90" t="s">
        <v>153</v>
      </c>
      <c r="P12" s="371">
        <f t="shared" si="11"/>
        <v>3.4518876571883301E-3</v>
      </c>
      <c r="Q12" s="371">
        <f t="shared" si="5"/>
        <v>2.5457723300503447E-3</v>
      </c>
      <c r="R12" s="385">
        <f t="shared" si="5"/>
        <v>1.9745112589809222E-3</v>
      </c>
      <c r="S12" s="226"/>
      <c r="T12" s="383">
        <f t="shared" si="12"/>
        <v>5214</v>
      </c>
      <c r="U12" s="443">
        <f t="shared" si="13"/>
        <v>5005.2933759327088</v>
      </c>
      <c r="V12" s="443">
        <f t="shared" si="14"/>
        <v>134.59860787409963</v>
      </c>
      <c r="W12" s="443">
        <f t="shared" si="15"/>
        <v>74.108016193190934</v>
      </c>
      <c r="X12" s="390" t="s">
        <v>153</v>
      </c>
      <c r="Y12" s="371">
        <f t="shared" si="16"/>
        <v>2.0301913757470973E-3</v>
      </c>
      <c r="Z12" s="371">
        <f t="shared" si="17"/>
        <v>1.3484702510484653E-3</v>
      </c>
      <c r="AA12" s="385">
        <f t="shared" si="18"/>
        <v>1.0000152605503254E-3</v>
      </c>
    </row>
    <row r="13" spans="1:27" x14ac:dyDescent="0.25">
      <c r="A13" s="167" t="s">
        <v>146</v>
      </c>
      <c r="B13" s="383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90" t="s">
        <v>146</v>
      </c>
      <c r="G13" s="371">
        <f t="shared" si="10"/>
        <v>2.8894569741786228E-2</v>
      </c>
      <c r="H13" s="371">
        <f t="shared" si="1"/>
        <v>1.8674520667567855E-2</v>
      </c>
      <c r="I13" s="385">
        <f t="shared" si="1"/>
        <v>1.3702056639031946E-2</v>
      </c>
      <c r="J13" s="226"/>
      <c r="K13" s="383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90" t="s">
        <v>146</v>
      </c>
      <c r="P13" s="371">
        <f t="shared" si="11"/>
        <v>2.4648152078224853E-2</v>
      </c>
      <c r="Q13" s="371">
        <f t="shared" si="5"/>
        <v>1.8178049165924595E-2</v>
      </c>
      <c r="R13" s="385">
        <f t="shared" si="5"/>
        <v>1.4098968050185802E-2</v>
      </c>
      <c r="S13" s="226"/>
      <c r="T13" s="383">
        <f t="shared" si="12"/>
        <v>71830</v>
      </c>
      <c r="U13" s="443">
        <f t="shared" si="13"/>
        <v>68954.78005240632</v>
      </c>
      <c r="V13" s="443">
        <f t="shared" si="14"/>
        <v>1854.2803996157609</v>
      </c>
      <c r="W13" s="443">
        <f t="shared" si="15"/>
        <v>1020.9395479779257</v>
      </c>
      <c r="X13" s="390" t="s">
        <v>146</v>
      </c>
      <c r="Y13" s="371">
        <f t="shared" si="16"/>
        <v>2.7968670218625629E-2</v>
      </c>
      <c r="Z13" s="371">
        <f t="shared" si="17"/>
        <v>1.8577026876258396E-2</v>
      </c>
      <c r="AA13" s="385">
        <f t="shared" si="18"/>
        <v>1.3776581543024526E-2</v>
      </c>
    </row>
    <row r="14" spans="1:27" x14ac:dyDescent="0.25">
      <c r="A14" s="167" t="s">
        <v>307</v>
      </c>
      <c r="B14" s="383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90" t="s">
        <v>307</v>
      </c>
      <c r="G14" s="371">
        <f t="shared" si="10"/>
        <v>3.0394546158686284E-2</v>
      </c>
      <c r="H14" s="371">
        <f t="shared" si="1"/>
        <v>4.6094224108143921E-2</v>
      </c>
      <c r="I14" s="385">
        <f t="shared" si="1"/>
        <v>4.3595363130338828E-2</v>
      </c>
      <c r="J14" s="226"/>
      <c r="K14" s="383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90" t="s">
        <v>307</v>
      </c>
      <c r="P14" s="371">
        <f t="shared" si="11"/>
        <v>7.6260655541220079E-2</v>
      </c>
      <c r="Q14" s="371">
        <f t="shared" si="5"/>
        <v>0.13197177490971568</v>
      </c>
      <c r="R14" s="385">
        <f t="shared" si="5"/>
        <v>0.13194064586313403</v>
      </c>
      <c r="S14" s="226"/>
      <c r="T14" s="383">
        <f t="shared" si="12"/>
        <v>110336</v>
      </c>
      <c r="U14" s="443">
        <f t="shared" si="13"/>
        <v>99591.775690819195</v>
      </c>
      <c r="V14" s="443">
        <f t="shared" si="14"/>
        <v>6284.2307081888212</v>
      </c>
      <c r="W14" s="443">
        <f t="shared" si="15"/>
        <v>4459.9936009919775</v>
      </c>
      <c r="X14" s="390" t="s">
        <v>307</v>
      </c>
      <c r="Y14" s="371">
        <f t="shared" si="16"/>
        <v>4.0395307311065158E-2</v>
      </c>
      <c r="Z14" s="371">
        <f t="shared" si="17"/>
        <v>6.2958289796312947E-2</v>
      </c>
      <c r="AA14" s="385">
        <f t="shared" si="18"/>
        <v>6.0183255362306794E-2</v>
      </c>
    </row>
    <row r="15" spans="1:27" x14ac:dyDescent="0.25">
      <c r="A15" s="167" t="s">
        <v>148</v>
      </c>
      <c r="B15" s="383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90" t="s">
        <v>148</v>
      </c>
      <c r="G15" s="371">
        <f t="shared" si="10"/>
        <v>8.1942098326515649E-3</v>
      </c>
      <c r="H15" s="371">
        <f t="shared" si="1"/>
        <v>5.2959065402847453E-3</v>
      </c>
      <c r="I15" s="385">
        <f t="shared" si="1"/>
        <v>3.8857656730126948E-3</v>
      </c>
      <c r="J15" s="226"/>
      <c r="K15" s="383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90" t="s">
        <v>148</v>
      </c>
      <c r="P15" s="371">
        <f t="shared" si="11"/>
        <v>5.4090883153768499E-3</v>
      </c>
      <c r="Q15" s="371">
        <f t="shared" si="5"/>
        <v>3.9892107541244148E-3</v>
      </c>
      <c r="R15" s="385">
        <f t="shared" si="5"/>
        <v>3.0940479065976268E-3</v>
      </c>
      <c r="S15" s="226"/>
      <c r="T15" s="383">
        <f t="shared" si="12"/>
        <v>19485</v>
      </c>
      <c r="U15" s="443">
        <f t="shared" si="13"/>
        <v>18705.052057930348</v>
      </c>
      <c r="V15" s="443">
        <f t="shared" si="14"/>
        <v>503.00227741212723</v>
      </c>
      <c r="W15" s="443">
        <f t="shared" si="15"/>
        <v>276.94566465752303</v>
      </c>
      <c r="X15" s="390" t="s">
        <v>148</v>
      </c>
      <c r="Y15" s="371">
        <f t="shared" si="16"/>
        <v>7.5869349743828522E-3</v>
      </c>
      <c r="Z15" s="371">
        <f t="shared" si="17"/>
        <v>5.0393062603911291E-3</v>
      </c>
      <c r="AA15" s="385">
        <f t="shared" si="18"/>
        <v>3.7371111146572858E-3</v>
      </c>
    </row>
    <row r="16" spans="1:27" x14ac:dyDescent="0.25">
      <c r="A16" s="167" t="s">
        <v>339</v>
      </c>
      <c r="B16" s="383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90" t="s">
        <v>339</v>
      </c>
      <c r="G16" s="371">
        <f t="shared" si="10"/>
        <v>3.0140932866304453E-3</v>
      </c>
      <c r="H16" s="371">
        <f t="shared" si="1"/>
        <v>8.6978313609362562E-3</v>
      </c>
      <c r="I16" s="385">
        <f t="shared" si="1"/>
        <v>9.1724425287411978E-3</v>
      </c>
      <c r="J16" s="226"/>
      <c r="K16" s="383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90" t="s">
        <v>339</v>
      </c>
      <c r="P16" s="371">
        <f t="shared" si="11"/>
        <v>2.5711346585440159E-3</v>
      </c>
      <c r="Q16" s="371">
        <f t="shared" si="5"/>
        <v>8.4665951501828891E-3</v>
      </c>
      <c r="R16" s="385">
        <f t="shared" si="5"/>
        <v>9.4381433066404435E-3</v>
      </c>
      <c r="S16" s="226"/>
      <c r="T16" s="383">
        <f t="shared" si="12"/>
        <v>8740</v>
      </c>
      <c r="U16" s="443">
        <f t="shared" si="13"/>
        <v>7192.9134607071901</v>
      </c>
      <c r="V16" s="443">
        <f t="shared" si="14"/>
        <v>863.64830984697483</v>
      </c>
      <c r="W16" s="443">
        <f t="shared" si="15"/>
        <v>683.43822944583485</v>
      </c>
      <c r="X16" s="390" t="s">
        <v>339</v>
      </c>
      <c r="Y16" s="371">
        <f t="shared" si="16"/>
        <v>2.9175094799916215E-3</v>
      </c>
      <c r="Z16" s="371">
        <f t="shared" si="17"/>
        <v>8.6524227225758237E-3</v>
      </c>
      <c r="AA16" s="385">
        <f t="shared" si="18"/>
        <v>9.2223310540071532E-3</v>
      </c>
    </row>
    <row r="17" spans="1:27" ht="15.75" thickBot="1" x14ac:dyDescent="0.3">
      <c r="A17" s="167" t="s">
        <v>61</v>
      </c>
      <c r="B17" s="386">
        <f>SUM(Afgrødefordeling!G15:I15)</f>
        <v>180200</v>
      </c>
      <c r="C17" s="387">
        <f t="shared" si="8"/>
        <v>140059.66485275724</v>
      </c>
      <c r="D17" s="387">
        <f t="shared" si="9"/>
        <v>19720.343681186703</v>
      </c>
      <c r="E17" s="387">
        <f t="shared" si="0"/>
        <v>20419.991466056061</v>
      </c>
      <c r="F17" s="392" t="s">
        <v>61</v>
      </c>
      <c r="G17" s="388">
        <f t="shared" si="10"/>
        <v>7.2650293633615873E-2</v>
      </c>
      <c r="H17" s="388">
        <f t="shared" si="1"/>
        <v>0.24584476889448309</v>
      </c>
      <c r="I17" s="389">
        <f t="shared" si="1"/>
        <v>0.33924520978284484</v>
      </c>
      <c r="J17" s="226"/>
      <c r="K17" s="386">
        <f>SUM(Afgrødefordeling!E15:F15)</f>
        <v>44292</v>
      </c>
      <c r="L17" s="387">
        <f t="shared" si="2"/>
        <v>34425.764015861954</v>
      </c>
      <c r="M17" s="387">
        <f t="shared" si="3"/>
        <v>4847.1335312270894</v>
      </c>
      <c r="N17" s="387">
        <f t="shared" si="4"/>
        <v>5019.10245291096</v>
      </c>
      <c r="O17" s="392" t="s">
        <v>61</v>
      </c>
      <c r="P17" s="388">
        <f t="shared" si="11"/>
        <v>6.4039786488699332E-2</v>
      </c>
      <c r="Q17" s="388">
        <f t="shared" si="5"/>
        <v>0.24728806176705159</v>
      </c>
      <c r="R17" s="389">
        <f t="shared" si="5"/>
        <v>0.36071122752527124</v>
      </c>
      <c r="S17" s="226"/>
      <c r="T17" s="386">
        <f t="shared" si="12"/>
        <v>224492</v>
      </c>
      <c r="U17" s="446">
        <f t="shared" si="13"/>
        <v>174485.4288686192</v>
      </c>
      <c r="V17" s="446">
        <f t="shared" si="14"/>
        <v>24567.477212413793</v>
      </c>
      <c r="W17" s="446">
        <f t="shared" si="15"/>
        <v>25439.093918967021</v>
      </c>
      <c r="X17" s="392" t="s">
        <v>61</v>
      </c>
      <c r="Y17" s="388">
        <f t="shared" si="16"/>
        <v>7.0772837129970206E-2</v>
      </c>
      <c r="Z17" s="388">
        <f t="shared" si="17"/>
        <v>0.24612819320715937</v>
      </c>
      <c r="AA17" s="389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51">
        <f>C47+C48+D47+D48</f>
        <v>1319772.3796480037</v>
      </c>
      <c r="C21" s="351">
        <f>E47+E48</f>
        <v>30853.266431994874</v>
      </c>
      <c r="D21" s="351">
        <f>F47+F48</f>
        <v>15034.789375999229</v>
      </c>
      <c r="E21" s="351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51">
        <f>C50+D50</f>
        <v>184592.82739200146</v>
      </c>
      <c r="C22" s="351">
        <f>E50</f>
        <v>5354.2133759997832</v>
      </c>
      <c r="D22" s="351">
        <f>F50</f>
        <v>1752.4846080000284</v>
      </c>
      <c r="E22" s="351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51">
        <f>C57+D57</f>
        <v>160896.53324799926</v>
      </c>
      <c r="C23" s="351">
        <f>E57</f>
        <v>2971.636480000067</v>
      </c>
      <c r="D23" s="351">
        <f>F57</f>
        <v>1176.2708480000085</v>
      </c>
      <c r="E23" s="351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51">
        <f>SUM(C42,C44,C40,C58,D42,D44,D40,D58)</f>
        <v>349496.61081599921</v>
      </c>
      <c r="C24" s="351">
        <f>SUM(E42,E44,E40,E58)</f>
        <v>31241.875711994078</v>
      </c>
      <c r="D24" s="351">
        <f>SUM(F42,F44,F40,F58)</f>
        <v>30906.035967996911</v>
      </c>
      <c r="E24" s="351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51">
        <f>C45+D45</f>
        <v>14404.881919999816</v>
      </c>
      <c r="C25" s="351">
        <f>E45</f>
        <v>155.62854399999989</v>
      </c>
      <c r="D25" s="351">
        <f>F45</f>
        <v>38.260223999999972</v>
      </c>
      <c r="E25" s="351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51">
        <f>C46+D46</f>
        <v>53989.796864000178</v>
      </c>
      <c r="C26" s="351">
        <f>E46</f>
        <v>1545.8424320000133</v>
      </c>
      <c r="D26" s="351">
        <f>F46</f>
        <v>1274.1393920000037</v>
      </c>
      <c r="E26" s="351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51">
        <f>C41+D41+C59+D59</f>
        <v>33088.070143999983</v>
      </c>
      <c r="C27" s="351">
        <f>E41+E59</f>
        <v>254.60607999999976</v>
      </c>
      <c r="D27" s="351">
        <f>F41+F59</f>
        <v>86.501375999999993</v>
      </c>
      <c r="E27" s="351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51">
        <f>C50+D50</f>
        <v>184592.82739200146</v>
      </c>
      <c r="C28" s="351">
        <f>E50</f>
        <v>5354.2133759997832</v>
      </c>
      <c r="D28" s="351">
        <f>F50</f>
        <v>1752.4846080000284</v>
      </c>
      <c r="E28" s="351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51">
        <f>C38+D38</f>
        <v>226640.62873599993</v>
      </c>
      <c r="C29" s="351">
        <f>E38</f>
        <v>6094.6503680000005</v>
      </c>
      <c r="D29" s="351">
        <f>F38</f>
        <v>3355.6249599999983</v>
      </c>
      <c r="E29" s="351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51">
        <f>C38+D38</f>
        <v>226640.62873599993</v>
      </c>
      <c r="C30" s="351">
        <f>E38</f>
        <v>6094.6503680000005</v>
      </c>
      <c r="D30" s="351">
        <f>F38</f>
        <v>3355.6249599999983</v>
      </c>
      <c r="E30" s="351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51">
        <f>C42+D42</f>
        <v>236731.80902400045</v>
      </c>
      <c r="C31" s="351">
        <f>E42</f>
        <v>14937.752575997654</v>
      </c>
      <c r="D31" s="351">
        <f>F42</f>
        <v>10601.501439999198</v>
      </c>
      <c r="E31" s="351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51">
        <f>C38+D38</f>
        <v>226640.62873599993</v>
      </c>
      <c r="C32" s="351">
        <f>E38</f>
        <v>6094.6503680000005</v>
      </c>
      <c r="D32" s="351">
        <f>F38</f>
        <v>3355.6249599999983</v>
      </c>
      <c r="E32" s="351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51">
        <f>SUM(C51:D56)+C39+D39</f>
        <v>7038.0328960000279</v>
      </c>
      <c r="C33" s="351">
        <f>SUM(E51:E56)+E39</f>
        <v>845.05190399999913</v>
      </c>
      <c r="D33" s="351">
        <f>SUM(F51:F56)+F39</f>
        <v>668.72217599999976</v>
      </c>
      <c r="E33" s="351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51">
        <f>C43+D43</f>
        <v>132314.75967999725</v>
      </c>
      <c r="C34" s="351">
        <f>E43</f>
        <v>18629.864191994773</v>
      </c>
      <c r="D34" s="351">
        <f>F43</f>
        <v>19290.823423997452</v>
      </c>
      <c r="E34" s="351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2" t="s">
        <v>757</v>
      </c>
      <c r="B37" s="483"/>
      <c r="C37" s="352" t="str">
        <f>Jordbund1</f>
        <v>JB1-10</v>
      </c>
      <c r="D37" s="352" t="str">
        <f>Jordbund1</f>
        <v>JB1-10</v>
      </c>
      <c r="E37" s="352" t="str">
        <f>Organ6</f>
        <v>OC6</v>
      </c>
      <c r="F37" s="352" t="str">
        <f>Organ12</f>
        <v>OC12</v>
      </c>
      <c r="G37" s="352" t="s">
        <v>760</v>
      </c>
      <c r="H37" s="352" t="s">
        <v>735</v>
      </c>
    </row>
    <row r="38" spans="1:10" x14ac:dyDescent="0.25">
      <c r="A38" s="367" t="s">
        <v>758</v>
      </c>
      <c r="B38" s="484"/>
      <c r="C38" s="368">
        <v>211475.16313599993</v>
      </c>
      <c r="D38" s="368">
        <v>15165.465599999985</v>
      </c>
      <c r="E38" s="368">
        <v>6094.6503680000005</v>
      </c>
      <c r="F38" s="368">
        <v>3355.6249599999983</v>
      </c>
      <c r="G38" s="369">
        <f>SUM(C38:F38)</f>
        <v>236090.90406399991</v>
      </c>
      <c r="H38" s="370">
        <f t="shared" ref="H38:H61" si="23">E38+F38</f>
        <v>9450.2753279999997</v>
      </c>
      <c r="I38" s="10"/>
      <c r="J38" t="s">
        <v>759</v>
      </c>
    </row>
    <row r="39" spans="1:10" x14ac:dyDescent="0.25">
      <c r="A39" s="353" t="s">
        <v>736</v>
      </c>
      <c r="B39" s="458" t="s">
        <v>339</v>
      </c>
      <c r="C39" s="354">
        <v>15.248640000000002</v>
      </c>
      <c r="D39" s="354">
        <v>1.940736</v>
      </c>
      <c r="E39" s="354">
        <v>1.84832</v>
      </c>
      <c r="F39" s="354">
        <v>1.7559040000000001</v>
      </c>
      <c r="G39" s="355">
        <f t="shared" ref="G39:G61" si="24">SUM(C39:F39)</f>
        <v>20.793600000000005</v>
      </c>
      <c r="H39" s="356">
        <f t="shared" si="23"/>
        <v>3.6042240000000003</v>
      </c>
      <c r="I39" s="10"/>
    </row>
    <row r="40" spans="1:10" x14ac:dyDescent="0.25">
      <c r="A40" s="353" t="s">
        <v>737</v>
      </c>
      <c r="B40" s="458" t="s">
        <v>13</v>
      </c>
      <c r="C40" s="354">
        <v>73.285888000000028</v>
      </c>
      <c r="D40" s="354">
        <v>3.049728</v>
      </c>
      <c r="E40" s="354">
        <v>3.142144</v>
      </c>
      <c r="F40" s="354">
        <v>0.64691200000000004</v>
      </c>
      <c r="G40" s="355">
        <f t="shared" si="24"/>
        <v>80.124672000000032</v>
      </c>
      <c r="H40" s="356">
        <f t="shared" si="23"/>
        <v>3.789056</v>
      </c>
      <c r="I40" s="10"/>
    </row>
    <row r="41" spans="1:10" x14ac:dyDescent="0.25">
      <c r="A41" s="353" t="s">
        <v>738</v>
      </c>
      <c r="B41" s="458" t="s">
        <v>42</v>
      </c>
      <c r="C41" s="354">
        <v>3930.2676479999996</v>
      </c>
      <c r="D41" s="354">
        <v>379.82975999999979</v>
      </c>
      <c r="E41" s="354">
        <v>79.108095999999961</v>
      </c>
      <c r="F41" s="354">
        <v>23.196415999999999</v>
      </c>
      <c r="G41" s="355">
        <f t="shared" si="24"/>
        <v>4412.4019199999993</v>
      </c>
      <c r="H41" s="356">
        <f t="shared" si="23"/>
        <v>102.30451199999996</v>
      </c>
      <c r="I41" s="10"/>
    </row>
    <row r="42" spans="1:10" ht="30" x14ac:dyDescent="0.25">
      <c r="A42" s="353" t="s">
        <v>739</v>
      </c>
      <c r="B42" s="458" t="s">
        <v>13</v>
      </c>
      <c r="C42" s="354">
        <v>208091.7209600049</v>
      </c>
      <c r="D42" s="354">
        <v>28640.08806399555</v>
      </c>
      <c r="E42" s="354">
        <v>14937.752575997654</v>
      </c>
      <c r="F42" s="357">
        <v>10601.501439999198</v>
      </c>
      <c r="G42" s="355">
        <f t="shared" si="24"/>
        <v>262271.0630399973</v>
      </c>
      <c r="H42" s="357">
        <f t="shared" si="23"/>
        <v>25539.254015996852</v>
      </c>
      <c r="I42" s="10"/>
    </row>
    <row r="43" spans="1:10" x14ac:dyDescent="0.25">
      <c r="A43" s="353" t="s">
        <v>740</v>
      </c>
      <c r="B43" s="485" t="s">
        <v>13</v>
      </c>
      <c r="C43" s="354">
        <v>110825.72928000614</v>
      </c>
      <c r="D43" s="354">
        <v>21489.030399991108</v>
      </c>
      <c r="E43" s="354">
        <v>18629.864191994773</v>
      </c>
      <c r="F43" s="358">
        <v>19290.823423997452</v>
      </c>
      <c r="G43" s="355">
        <f t="shared" si="24"/>
        <v>170235.44729598946</v>
      </c>
      <c r="H43" s="359">
        <f t="shared" si="23"/>
        <v>37920.687615992225</v>
      </c>
      <c r="I43" s="10"/>
    </row>
    <row r="44" spans="1:10" x14ac:dyDescent="0.25">
      <c r="A44" s="353" t="s">
        <v>741</v>
      </c>
      <c r="B44" s="458" t="s">
        <v>13</v>
      </c>
      <c r="C44" s="354">
        <v>90259.749888005244</v>
      </c>
      <c r="D44" s="354">
        <v>22425.20447999347</v>
      </c>
      <c r="E44" s="354">
        <v>16300.334079996423</v>
      </c>
      <c r="F44" s="354">
        <v>20303.055871997716</v>
      </c>
      <c r="G44" s="355">
        <f t="shared" si="24"/>
        <v>149288.34431999284</v>
      </c>
      <c r="H44" s="356">
        <f t="shared" si="23"/>
        <v>36603.389951994141</v>
      </c>
      <c r="I44" s="10"/>
    </row>
    <row r="45" spans="1:10" x14ac:dyDescent="0.25">
      <c r="A45" s="353" t="s">
        <v>742</v>
      </c>
      <c r="B45" s="458" t="s">
        <v>12</v>
      </c>
      <c r="C45" s="354">
        <v>13805.286911999812</v>
      </c>
      <c r="D45" s="354">
        <v>599.5950080000033</v>
      </c>
      <c r="E45" s="354">
        <v>155.62854399999989</v>
      </c>
      <c r="F45" s="354">
        <v>38.260223999999972</v>
      </c>
      <c r="G45" s="355">
        <f t="shared" si="24"/>
        <v>14598.770687999815</v>
      </c>
      <c r="H45" s="356">
        <f t="shared" si="23"/>
        <v>193.88876799999986</v>
      </c>
      <c r="I45" s="10"/>
    </row>
    <row r="46" spans="1:10" x14ac:dyDescent="0.25">
      <c r="A46" s="353" t="s">
        <v>188</v>
      </c>
      <c r="B46" s="458" t="s">
        <v>188</v>
      </c>
      <c r="C46" s="354">
        <v>48738.904576000285</v>
      </c>
      <c r="D46" s="354">
        <v>5250.8922879998936</v>
      </c>
      <c r="E46" s="354">
        <v>1545.8424320000133</v>
      </c>
      <c r="F46" s="354">
        <v>1274.1393920000037</v>
      </c>
      <c r="G46" s="355">
        <f t="shared" si="24"/>
        <v>56809.778688000195</v>
      </c>
      <c r="H46" s="356">
        <f t="shared" si="23"/>
        <v>2819.9818240000168</v>
      </c>
      <c r="I46" s="10"/>
    </row>
    <row r="47" spans="1:10" x14ac:dyDescent="0.25">
      <c r="A47" s="353" t="s">
        <v>743</v>
      </c>
      <c r="B47" s="458" t="s">
        <v>11</v>
      </c>
      <c r="C47" s="354">
        <v>743359.37075199408</v>
      </c>
      <c r="D47" s="354">
        <v>43981.32889600304</v>
      </c>
      <c r="E47" s="354">
        <v>16210.41331199711</v>
      </c>
      <c r="F47" s="360">
        <v>7501.03705599962</v>
      </c>
      <c r="G47" s="355">
        <f t="shared" si="24"/>
        <v>811052.15001599386</v>
      </c>
      <c r="H47" s="361">
        <f t="shared" si="23"/>
        <v>23711.450367996731</v>
      </c>
      <c r="I47" s="10"/>
    </row>
    <row r="48" spans="1:10" x14ac:dyDescent="0.25">
      <c r="A48" s="353" t="s">
        <v>744</v>
      </c>
      <c r="B48" s="458" t="s">
        <v>11</v>
      </c>
      <c r="C48" s="354">
        <v>494124.60108800628</v>
      </c>
      <c r="D48" s="354">
        <v>38307.078912000463</v>
      </c>
      <c r="E48" s="354">
        <v>14642.853119997766</v>
      </c>
      <c r="F48" s="360">
        <v>7533.7523199996103</v>
      </c>
      <c r="G48" s="355">
        <f t="shared" si="24"/>
        <v>554608.28544000408</v>
      </c>
      <c r="H48" s="361">
        <f t="shared" si="23"/>
        <v>22176.605439997376</v>
      </c>
      <c r="I48" s="10"/>
    </row>
    <row r="49" spans="1:9" x14ac:dyDescent="0.25">
      <c r="A49" s="353" t="s">
        <v>745</v>
      </c>
      <c r="B49" s="485"/>
      <c r="C49" s="354">
        <v>86.131711999999993</v>
      </c>
      <c r="D49" s="354">
        <v>10.350592000000001</v>
      </c>
      <c r="E49" s="354">
        <v>9.2416000000000036</v>
      </c>
      <c r="F49" s="354">
        <v>2.5876480000000002</v>
      </c>
      <c r="G49" s="355">
        <f t="shared" si="24"/>
        <v>108.31155200000001</v>
      </c>
      <c r="H49" s="356">
        <f t="shared" si="23"/>
        <v>11.829248000000003</v>
      </c>
      <c r="I49" s="10"/>
    </row>
    <row r="50" spans="1:9" x14ac:dyDescent="0.25">
      <c r="A50" s="353" t="s">
        <v>746</v>
      </c>
      <c r="B50" s="458" t="s">
        <v>15</v>
      </c>
      <c r="C50" s="354">
        <v>168888.20684800297</v>
      </c>
      <c r="D50" s="354">
        <v>15704.620543998477</v>
      </c>
      <c r="E50" s="354">
        <v>5354.2133759997832</v>
      </c>
      <c r="F50" s="360">
        <v>1752.4846080000284</v>
      </c>
      <c r="G50" s="355">
        <f t="shared" si="24"/>
        <v>191699.52537600129</v>
      </c>
      <c r="H50" s="361">
        <f t="shared" si="23"/>
        <v>7106.6979839998112</v>
      </c>
      <c r="I50" s="10"/>
    </row>
    <row r="51" spans="1:9" x14ac:dyDescent="0.25">
      <c r="A51" s="353" t="s">
        <v>747</v>
      </c>
      <c r="B51" s="458" t="s">
        <v>339</v>
      </c>
      <c r="C51" s="354">
        <v>61.918719999999993</v>
      </c>
      <c r="D51" s="354">
        <v>15.987968000000006</v>
      </c>
      <c r="E51" s="354">
        <v>33.824256000000005</v>
      </c>
      <c r="F51" s="354">
        <v>7.3008640000000016</v>
      </c>
      <c r="G51" s="355">
        <f t="shared" si="24"/>
        <v>119.03180800000001</v>
      </c>
      <c r="H51" s="356">
        <f t="shared" si="23"/>
        <v>41.12512000000001</v>
      </c>
      <c r="I51" s="10"/>
    </row>
    <row r="52" spans="1:9" x14ac:dyDescent="0.25">
      <c r="A52" s="353" t="s">
        <v>748</v>
      </c>
      <c r="B52" s="458" t="s">
        <v>339</v>
      </c>
      <c r="C52" s="354">
        <v>1267.3006080000034</v>
      </c>
      <c r="D52" s="354">
        <v>296.28569599999986</v>
      </c>
      <c r="E52" s="354">
        <v>298.22643199999976</v>
      </c>
      <c r="F52" s="354">
        <v>244.07065599999987</v>
      </c>
      <c r="G52" s="355">
        <f t="shared" si="24"/>
        <v>2105.8833920000029</v>
      </c>
      <c r="H52" s="356">
        <f t="shared" si="23"/>
        <v>542.29708799999958</v>
      </c>
      <c r="I52" s="10"/>
    </row>
    <row r="53" spans="1:9" x14ac:dyDescent="0.25">
      <c r="A53" s="353" t="s">
        <v>749</v>
      </c>
      <c r="B53" s="458" t="s">
        <v>339</v>
      </c>
      <c r="C53" s="354">
        <v>787.6615680000001</v>
      </c>
      <c r="D53" s="354">
        <v>136.77567999999974</v>
      </c>
      <c r="E53" s="354">
        <v>87.887615999999952</v>
      </c>
      <c r="F53" s="354">
        <v>49.350143999999986</v>
      </c>
      <c r="G53" s="355">
        <f t="shared" si="24"/>
        <v>1061.6750079999997</v>
      </c>
      <c r="H53" s="356">
        <f t="shared" si="23"/>
        <v>137.23775999999992</v>
      </c>
      <c r="I53" s="10"/>
    </row>
    <row r="54" spans="1:9" ht="30" x14ac:dyDescent="0.25">
      <c r="A54" s="353" t="s">
        <v>750</v>
      </c>
      <c r="B54" s="458" t="s">
        <v>339</v>
      </c>
      <c r="C54" s="354">
        <v>0.36966399999999999</v>
      </c>
      <c r="D54" s="354">
        <v>9.2415999999999998E-2</v>
      </c>
      <c r="E54" s="354">
        <v>9.2415999999999998E-2</v>
      </c>
      <c r="F54" s="354">
        <v>0</v>
      </c>
      <c r="G54" s="355">
        <f t="shared" si="24"/>
        <v>0.55449599999999999</v>
      </c>
      <c r="H54" s="356">
        <f t="shared" si="23"/>
        <v>9.2415999999999998E-2</v>
      </c>
      <c r="I54" s="10"/>
    </row>
    <row r="55" spans="1:9" x14ac:dyDescent="0.25">
      <c r="A55" s="353" t="s">
        <v>751</v>
      </c>
      <c r="B55" s="458" t="s">
        <v>339</v>
      </c>
      <c r="C55" s="354">
        <v>1993.5055360000119</v>
      </c>
      <c r="D55" s="354">
        <v>314.67647999999991</v>
      </c>
      <c r="E55" s="354">
        <v>289.44691199999971</v>
      </c>
      <c r="F55" s="354">
        <v>302.93964799999998</v>
      </c>
      <c r="G55" s="355">
        <f t="shared" si="24"/>
        <v>2900.5685760000119</v>
      </c>
      <c r="H55" s="356">
        <f t="shared" si="23"/>
        <v>592.38655999999969</v>
      </c>
      <c r="I55" s="10"/>
    </row>
    <row r="56" spans="1:9" x14ac:dyDescent="0.25">
      <c r="A56" s="353" t="s">
        <v>752</v>
      </c>
      <c r="B56" s="458" t="s">
        <v>339</v>
      </c>
      <c r="C56" s="354">
        <v>1918.4637440000135</v>
      </c>
      <c r="D56" s="354">
        <v>227.80543999999972</v>
      </c>
      <c r="E56" s="354">
        <v>133.72595199999981</v>
      </c>
      <c r="F56" s="354">
        <v>63.304959999999973</v>
      </c>
      <c r="G56" s="355">
        <f t="shared" si="24"/>
        <v>2343.3000960000131</v>
      </c>
      <c r="H56" s="356">
        <f t="shared" si="23"/>
        <v>197.03091199999977</v>
      </c>
      <c r="I56" s="10"/>
    </row>
    <row r="57" spans="1:9" x14ac:dyDescent="0.25">
      <c r="A57" s="353" t="s">
        <v>753</v>
      </c>
      <c r="B57" s="458" t="s">
        <v>177</v>
      </c>
      <c r="C57" s="354">
        <v>152559.31622399975</v>
      </c>
      <c r="D57" s="354">
        <v>8337.2170239995157</v>
      </c>
      <c r="E57" s="354">
        <v>2971.636480000067</v>
      </c>
      <c r="F57" s="360">
        <v>1176.2708480000085</v>
      </c>
      <c r="G57" s="355">
        <f t="shared" si="24"/>
        <v>165044.44057599935</v>
      </c>
      <c r="H57" s="361">
        <f t="shared" si="23"/>
        <v>4147.9073280000757</v>
      </c>
      <c r="I57" s="10"/>
    </row>
    <row r="58" spans="1:9" x14ac:dyDescent="0.25">
      <c r="A58" s="353" t="s">
        <v>754</v>
      </c>
      <c r="B58" s="458" t="s">
        <v>13</v>
      </c>
      <c r="C58" s="354">
        <v>3.2345599999999997</v>
      </c>
      <c r="D58" s="354">
        <v>0.27724799999999999</v>
      </c>
      <c r="E58" s="354">
        <v>0.64691200000000004</v>
      </c>
      <c r="F58" s="354">
        <v>0.83174400000000004</v>
      </c>
      <c r="G58" s="355">
        <f t="shared" si="24"/>
        <v>4.9904639999999993</v>
      </c>
      <c r="H58" s="356">
        <f t="shared" si="23"/>
        <v>1.478656</v>
      </c>
      <c r="I58" s="10"/>
    </row>
    <row r="59" spans="1:9" x14ac:dyDescent="0.25">
      <c r="A59" s="353" t="s">
        <v>187</v>
      </c>
      <c r="B59" s="458" t="s">
        <v>42</v>
      </c>
      <c r="C59" s="354">
        <v>28433.261055999981</v>
      </c>
      <c r="D59" s="354">
        <v>344.71167999999966</v>
      </c>
      <c r="E59" s="354">
        <v>175.4979839999998</v>
      </c>
      <c r="F59" s="354">
        <v>63.304959999999987</v>
      </c>
      <c r="G59" s="355">
        <f t="shared" si="24"/>
        <v>29016.775679999984</v>
      </c>
      <c r="H59" s="356">
        <f t="shared" si="23"/>
        <v>238.8029439999998</v>
      </c>
      <c r="I59" s="10"/>
    </row>
    <row r="60" spans="1:9" x14ac:dyDescent="0.25">
      <c r="A60" s="353" t="s">
        <v>755</v>
      </c>
      <c r="B60" s="485"/>
      <c r="C60" s="354">
        <v>40.663039999999995</v>
      </c>
      <c r="D60" s="354">
        <v>8.0401920000000029</v>
      </c>
      <c r="E60" s="354">
        <v>9.3340160000000036</v>
      </c>
      <c r="F60" s="354">
        <v>6.5615360000000003</v>
      </c>
      <c r="G60" s="355">
        <f t="shared" si="24"/>
        <v>64.598784000000009</v>
      </c>
      <c r="H60" s="356">
        <f t="shared" si="23"/>
        <v>15.895552000000004</v>
      </c>
      <c r="I60" s="10"/>
    </row>
    <row r="61" spans="1:9" x14ac:dyDescent="0.25">
      <c r="A61" s="362" t="s">
        <v>57</v>
      </c>
      <c r="B61" s="486"/>
      <c r="C61" s="363">
        <f>SUM(C38:C60)</f>
        <v>2280739.3620480192</v>
      </c>
      <c r="D61" s="363">
        <f>SUM(D38:D60)</f>
        <v>201640.34483198149</v>
      </c>
      <c r="E61" s="363">
        <f>SUM(E38:E60)</f>
        <v>97965.211135983569</v>
      </c>
      <c r="F61" s="363">
        <f>SUM(F38:F60)</f>
        <v>73592.801535993625</v>
      </c>
      <c r="G61" s="363">
        <f t="shared" si="24"/>
        <v>2653937.7195519782</v>
      </c>
      <c r="H61" s="364">
        <f t="shared" si="23"/>
        <v>171558.01267197719</v>
      </c>
      <c r="I61" s="365"/>
    </row>
    <row r="62" spans="1:9" x14ac:dyDescent="0.25">
      <c r="E62" s="366"/>
    </row>
    <row r="63" spans="1:9" x14ac:dyDescent="0.25">
      <c r="B63" s="336"/>
      <c r="C63" s="336"/>
      <c r="D63" s="336"/>
      <c r="E63" s="336"/>
    </row>
    <row r="64" spans="1:9" x14ac:dyDescent="0.25">
      <c r="B64" s="336"/>
      <c r="C64" s="336"/>
      <c r="D64" s="336"/>
      <c r="E64" s="336"/>
    </row>
    <row r="65" spans="2:5" x14ac:dyDescent="0.25">
      <c r="B65" s="336"/>
      <c r="C65" s="336"/>
      <c r="D65" s="336"/>
      <c r="E65" s="336"/>
    </row>
    <row r="66" spans="2:5" x14ac:dyDescent="0.25">
      <c r="B66" s="336"/>
      <c r="C66" s="336"/>
      <c r="D66" s="336"/>
      <c r="E66" s="336"/>
    </row>
    <row r="67" spans="2:5" x14ac:dyDescent="0.25">
      <c r="B67" s="336"/>
      <c r="C67" s="336"/>
      <c r="D67" s="336"/>
      <c r="E67" s="336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20" sqref="C20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6" t="s">
        <v>861</v>
      </c>
    </row>
    <row r="43" spans="1:10" ht="15.75" thickBot="1" x14ac:dyDescent="0.3">
      <c r="A43" s="440" t="s">
        <v>832</v>
      </c>
      <c r="B43" s="442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6" t="s">
        <v>874</v>
      </c>
      <c r="J43" s="447">
        <v>2019</v>
      </c>
    </row>
    <row r="44" spans="1:10" x14ac:dyDescent="0.25">
      <c r="A44" s="439" t="s">
        <v>833</v>
      </c>
      <c r="B44" s="441">
        <v>3767.3551588371374</v>
      </c>
      <c r="C44" s="1" t="s">
        <v>847</v>
      </c>
      <c r="F44" s="1">
        <v>2578370</v>
      </c>
      <c r="I44" s="450" t="s">
        <v>849</v>
      </c>
      <c r="J44" s="448">
        <v>27.011008109722574</v>
      </c>
    </row>
    <row r="45" spans="1:10" x14ac:dyDescent="0.25">
      <c r="A45" s="439" t="s">
        <v>834</v>
      </c>
      <c r="B45" s="441">
        <v>2952.39814048791</v>
      </c>
      <c r="C45" s="1" t="s">
        <v>830</v>
      </c>
      <c r="D45" s="460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0" t="s">
        <v>850</v>
      </c>
      <c r="J45" s="448">
        <v>13.494661638352639</v>
      </c>
    </row>
    <row r="46" spans="1:10" x14ac:dyDescent="0.25">
      <c r="A46" s="439" t="s">
        <v>835</v>
      </c>
      <c r="B46" s="441" t="s">
        <v>836</v>
      </c>
      <c r="F46" s="1">
        <v>2578370</v>
      </c>
      <c r="I46" s="450" t="s">
        <v>851</v>
      </c>
      <c r="J46" s="448">
        <v>4.2965611392438922E-2</v>
      </c>
    </row>
    <row r="47" spans="1:10" x14ac:dyDescent="0.25">
      <c r="A47" s="439" t="s">
        <v>837</v>
      </c>
      <c r="B47" s="441">
        <v>4072.8452465785531</v>
      </c>
      <c r="C47" s="1" t="s">
        <v>829</v>
      </c>
      <c r="D47" s="460">
        <f>(B47*1000-E47)/F46</f>
        <v>1.6416267822611006</v>
      </c>
      <c r="E47" s="1">
        <v>-159876</v>
      </c>
      <c r="F47" s="1">
        <v>2578370</v>
      </c>
      <c r="I47" s="450" t="s">
        <v>852</v>
      </c>
      <c r="J47" s="456"/>
    </row>
    <row r="48" spans="1:10" x14ac:dyDescent="0.25">
      <c r="A48" s="439" t="s">
        <v>838</v>
      </c>
      <c r="B48" s="441" t="s">
        <v>836</v>
      </c>
      <c r="F48" s="1">
        <v>2578370</v>
      </c>
      <c r="I48" s="450" t="s">
        <v>853</v>
      </c>
      <c r="J48" s="448">
        <v>5.411826658030066E-3</v>
      </c>
    </row>
    <row r="49" spans="1:10" x14ac:dyDescent="0.25">
      <c r="A49" s="439" t="s">
        <v>839</v>
      </c>
      <c r="B49" s="441">
        <v>4.4812370430000001</v>
      </c>
      <c r="D49" s="1">
        <f>B49/F49</f>
        <v>1.7380116286646214E-6</v>
      </c>
      <c r="F49" s="1">
        <v>2578370</v>
      </c>
      <c r="I49" s="450" t="s">
        <v>854</v>
      </c>
      <c r="J49" s="448">
        <v>0.47525986757812505</v>
      </c>
    </row>
    <row r="50" spans="1:10" x14ac:dyDescent="0.25">
      <c r="A50" s="439" t="s">
        <v>840</v>
      </c>
      <c r="B50" s="441">
        <v>239.91601891630901</v>
      </c>
      <c r="D50" s="1">
        <f t="shared" ref="D50:D52" si="8">B50/F50</f>
        <v>9.3049492088532299E-5</v>
      </c>
      <c r="F50" s="1">
        <v>2578370</v>
      </c>
      <c r="I50" s="450" t="s">
        <v>855</v>
      </c>
      <c r="J50" s="448">
        <v>41.882892458812613</v>
      </c>
    </row>
    <row r="51" spans="1:10" x14ac:dyDescent="0.25">
      <c r="A51" s="439" t="s">
        <v>841</v>
      </c>
      <c r="B51" s="441">
        <v>1.39333333333333</v>
      </c>
      <c r="D51" s="1">
        <f t="shared" si="8"/>
        <v>5.4039309072527606E-7</v>
      </c>
      <c r="F51" s="1">
        <v>2578370</v>
      </c>
      <c r="I51" s="450" t="s">
        <v>856</v>
      </c>
      <c r="J51" s="448">
        <v>0.58710980836771465</v>
      </c>
    </row>
    <row r="52" spans="1:10" x14ac:dyDescent="0.25">
      <c r="A52" s="439" t="s">
        <v>842</v>
      </c>
      <c r="B52" s="441">
        <v>2.871</v>
      </c>
      <c r="D52" s="1">
        <f t="shared" si="8"/>
        <v>1.1134941843102424E-6</v>
      </c>
      <c r="F52" s="1">
        <v>2578370</v>
      </c>
      <c r="I52" s="450" t="s">
        <v>857</v>
      </c>
      <c r="J52" s="448">
        <v>1.1986960661131167</v>
      </c>
    </row>
    <row r="53" spans="1:10" x14ac:dyDescent="0.25">
      <c r="A53" s="439" t="s">
        <v>843</v>
      </c>
      <c r="B53" s="441" t="s">
        <v>844</v>
      </c>
      <c r="F53" s="1">
        <v>2578370</v>
      </c>
      <c r="I53" s="450" t="s">
        <v>858</v>
      </c>
      <c r="J53" s="459">
        <v>2.5311427660799999E-3</v>
      </c>
    </row>
    <row r="54" spans="1:10" x14ac:dyDescent="0.25">
      <c r="A54" s="462" t="s">
        <v>845</v>
      </c>
      <c r="I54" s="450" t="s">
        <v>859</v>
      </c>
      <c r="J54" s="453">
        <v>3.2264792749629999E-4</v>
      </c>
    </row>
    <row r="55" spans="1:10" ht="15.75" thickBot="1" x14ac:dyDescent="0.3">
      <c r="A55" s="461" t="s">
        <v>846</v>
      </c>
      <c r="B55" s="463">
        <v>4586.0116630635248</v>
      </c>
      <c r="I55" s="444" t="s">
        <v>860</v>
      </c>
      <c r="J55" s="459">
        <v>1.4385168E-3</v>
      </c>
    </row>
    <row r="56" spans="1:10" ht="15.75" thickBot="1" x14ac:dyDescent="0.3">
      <c r="B56" s="265">
        <f>SUM(B44,B45,B47,B55)</f>
        <v>15378.610208967126</v>
      </c>
      <c r="I56" s="454" t="s">
        <v>111</v>
      </c>
      <c r="J56" s="44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6"/>
      <c r="B63" s="451">
        <v>2019</v>
      </c>
      <c r="C63" s="1" t="s">
        <v>869</v>
      </c>
    </row>
    <row r="64" spans="1:10" x14ac:dyDescent="0.25">
      <c r="A64" s="467" t="s">
        <v>864</v>
      </c>
      <c r="B64" s="464">
        <v>12.32</v>
      </c>
      <c r="C64" s="469">
        <f>1-B65/B64</f>
        <v>0.40827922077922074</v>
      </c>
    </row>
    <row r="65" spans="1:3" x14ac:dyDescent="0.25">
      <c r="A65" s="467" t="s">
        <v>865</v>
      </c>
      <c r="B65" s="464">
        <v>7.29</v>
      </c>
      <c r="C65" s="469"/>
    </row>
    <row r="66" spans="1:3" x14ac:dyDescent="0.25">
      <c r="A66" s="467" t="s">
        <v>866</v>
      </c>
      <c r="B66" s="464">
        <v>13.33</v>
      </c>
      <c r="C66" s="469">
        <f>1-B67/B66</f>
        <v>0.2235558889722431</v>
      </c>
    </row>
    <row r="67" spans="1:3" x14ac:dyDescent="0.25">
      <c r="A67" s="467" t="s">
        <v>867</v>
      </c>
      <c r="B67" s="464">
        <v>10.35</v>
      </c>
      <c r="C67" s="469"/>
    </row>
    <row r="68" spans="1:3" ht="15.75" thickBot="1" x14ac:dyDescent="0.3">
      <c r="A68" s="468" t="s">
        <v>868</v>
      </c>
      <c r="B68" s="465">
        <v>10.14</v>
      </c>
      <c r="C68" s="469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7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7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7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7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7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7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7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7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7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7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7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7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7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7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7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9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8">
        <f>1111*0.77</f>
        <v>855.47</v>
      </c>
      <c r="D5" s="418"/>
      <c r="E5" s="418"/>
      <c r="F5" s="420">
        <f>17657*(1-0)*1000/I5</f>
        <v>1.4953335295833323</v>
      </c>
      <c r="G5" s="420">
        <f>2515*(1-0.1)*1000/I5</f>
        <v>0.19169096925932338</v>
      </c>
      <c r="H5" s="420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20">
        <f>87.68*1000/SUM(I5:I6)*K12</f>
        <v>1.5668203052737979E-2</v>
      </c>
      <c r="L5" s="420">
        <f>18/1000*365/100</f>
        <v>6.5699999999999995E-2</v>
      </c>
      <c r="M5" s="420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8">
        <f>1111*0.77</f>
        <v>855.47</v>
      </c>
      <c r="D6" s="418"/>
      <c r="E6" s="418"/>
      <c r="F6" s="420">
        <f>17657*(0)*1000/I6</f>
        <v>0</v>
      </c>
      <c r="G6" s="420">
        <f>2515*(0.1)*1000/I6</f>
        <v>0.51229925609666671</v>
      </c>
      <c r="H6" s="420">
        <f>H60/SUM(H58:H61)</f>
        <v>0.47263527552126194</v>
      </c>
      <c r="I6" s="297">
        <f>SUM(H58:H61)</f>
        <v>490924</v>
      </c>
      <c r="J6" s="297"/>
      <c r="K6" s="420">
        <f>K5</f>
        <v>1.5668203052737979E-2</v>
      </c>
      <c r="L6" s="420">
        <f>35/1000*(365-200)/100</f>
        <v>5.7750000000000003E-2</v>
      </c>
      <c r="M6" s="420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8">
        <f>3400*0.77</f>
        <v>2618</v>
      </c>
      <c r="D7" s="418">
        <f>4786000000/1000/I7</f>
        <v>3.7771765723503732</v>
      </c>
      <c r="E7" s="418"/>
      <c r="F7" s="420">
        <f>14050*(1-0.09)*1000/I7</f>
        <v>10.090491238149957</v>
      </c>
      <c r="G7" s="420">
        <f>261*(1-0.04)*1000/I7</f>
        <v>0.19774537441874415</v>
      </c>
      <c r="H7" s="420">
        <f>(464000-23400)/I7</f>
        <v>0.34772753819004898</v>
      </c>
      <c r="I7" s="297">
        <f>J7-I8</f>
        <v>1267084</v>
      </c>
      <c r="J7" s="297">
        <f>SUM(D22:D26)</f>
        <v>1491432</v>
      </c>
      <c r="K7" s="420">
        <f>(21+8.2)*1000/SUM(I7:I8)*K12</f>
        <v>4.3029625219252375E-2</v>
      </c>
      <c r="L7" s="420">
        <f>3/1000*365/100</f>
        <v>1.095E-2</v>
      </c>
      <c r="M7" s="420">
        <f t="shared" si="0"/>
        <v>2.831717934524296</v>
      </c>
      <c r="N7" s="265">
        <f>((N14+S8)*M14+(N15+S9)*M15)/J7</f>
        <v>113.26871738097185</v>
      </c>
      <c r="R7" s="446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8">
        <f>3400*0.77</f>
        <v>2618</v>
      </c>
      <c r="D8" s="418">
        <f>483000000/1000/I8</f>
        <v>2.1529053078253426</v>
      </c>
      <c r="E8" s="418"/>
      <c r="F8" s="420">
        <f>14050*(0.09)*1000/I8</f>
        <v>5.636332840052062</v>
      </c>
      <c r="G8" s="420">
        <f>261*(0.04)*1000/I8</f>
        <v>4.6534847647404926E-2</v>
      </c>
      <c r="H8" s="420">
        <f>23400/I8</f>
        <v>0.10430224472694208</v>
      </c>
      <c r="I8" s="297">
        <f>SUM(H36:H51)</f>
        <v>224348</v>
      </c>
      <c r="J8" s="297"/>
      <c r="K8" s="420">
        <f>K7</f>
        <v>4.3029625219252375E-2</v>
      </c>
      <c r="L8" s="420">
        <f>8/1000*(365-200)/100</f>
        <v>1.32E-2</v>
      </c>
      <c r="M8" s="420">
        <f t="shared" si="0"/>
        <v>2.3680201988872902</v>
      </c>
      <c r="N8" s="265">
        <f>(N14*M14+N15*M15)/J7*O4</f>
        <v>94.720807955491594</v>
      </c>
      <c r="R8" s="449" t="s">
        <v>849</v>
      </c>
      <c r="S8" s="457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8">
        <f>24*0.77</f>
        <v>18.48</v>
      </c>
      <c r="D9" s="418"/>
      <c r="E9" s="418">
        <f>220000000/1000/I9</f>
        <v>1.1120887382109748E-2</v>
      </c>
      <c r="F9" s="420">
        <f>8883/I9*46496/(46496+14973)</f>
        <v>3.3965332371824528E-4</v>
      </c>
      <c r="G9" s="420">
        <f>157070/I9*5445008/(5445008+297894)</f>
        <v>7.5279568763122248E-3</v>
      </c>
      <c r="H9" s="420">
        <f>105567000/I9</f>
        <v>5.3363578103053619</v>
      </c>
      <c r="I9" s="297">
        <f>J9-I10</f>
        <v>19782594</v>
      </c>
      <c r="J9" s="297">
        <f>SUM(F22:F26)</f>
        <v>23059881</v>
      </c>
      <c r="K9" s="420">
        <f>154000*3.2%/J9*K12</f>
        <v>4.6967971777477953E-4</v>
      </c>
      <c r="L9" s="420">
        <f>0.12/1000*365/100</f>
        <v>4.3799999999999997E-4</v>
      </c>
      <c r="M9" s="420">
        <f t="shared" si="0"/>
        <v>7.1358057718871957E-4</v>
      </c>
      <c r="N9" s="265">
        <f>0.00308299593513136+S14</f>
        <v>2.8543223087548784E-2</v>
      </c>
      <c r="R9" s="449" t="s">
        <v>850</v>
      </c>
      <c r="S9" s="457">
        <v>14.592057308217106</v>
      </c>
    </row>
    <row r="10" spans="1:21" x14ac:dyDescent="0.25">
      <c r="A10" s="8"/>
      <c r="B10" s="8" t="s">
        <v>46</v>
      </c>
      <c r="C10" s="418">
        <f>24*0.77</f>
        <v>18.48</v>
      </c>
      <c r="D10" s="418"/>
      <c r="E10" s="418">
        <f>15000000/1000/I10</f>
        <v>4.5769564887054442E-3</v>
      </c>
      <c r="F10" s="420">
        <f>8883/I10*14973/(46496+14973)</f>
        <v>6.6023396673266124E-4</v>
      </c>
      <c r="G10" s="420">
        <f>157070/I10*297894/(5445008+297894)</f>
        <v>2.4860457648070043E-3</v>
      </c>
      <c r="H10" s="420">
        <f>SUM(H70:H71)/I10</f>
        <v>0.37369537669419861</v>
      </c>
      <c r="I10" s="297">
        <f>SUM(H65:H78)</f>
        <v>3277287</v>
      </c>
      <c r="J10" s="297"/>
      <c r="K10" s="420">
        <f>K9</f>
        <v>4.6967971777477953E-4</v>
      </c>
      <c r="L10" s="420">
        <f>0.5/1000*(365-200)/100</f>
        <v>8.25E-4</v>
      </c>
      <c r="M10" s="420">
        <f t="shared" si="0"/>
        <v>7.8493863490759156E-4</v>
      </c>
      <c r="N10" s="265">
        <f>N9*O4</f>
        <v>3.1397545396303662E-2</v>
      </c>
      <c r="R10" s="449" t="s">
        <v>851</v>
      </c>
      <c r="S10" s="457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3" t="s">
        <v>653</v>
      </c>
      <c r="N11" s="266"/>
      <c r="R11" s="449" t="s">
        <v>853</v>
      </c>
      <c r="S11" s="457">
        <v>0.46338099649199982</v>
      </c>
    </row>
    <row r="12" spans="1:21" x14ac:dyDescent="0.25">
      <c r="K12" s="1">
        <v>2.1978</v>
      </c>
      <c r="R12" s="449" t="s">
        <v>854</v>
      </c>
      <c r="S12" s="457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3" t="s">
        <v>653</v>
      </c>
      <c r="O13" s="8"/>
      <c r="R13" s="449" t="s">
        <v>855</v>
      </c>
      <c r="S13" s="457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9" t="s">
        <v>856</v>
      </c>
      <c r="S14" s="457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9" t="s">
        <v>857</v>
      </c>
      <c r="S15" s="457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9" t="s">
        <v>858</v>
      </c>
      <c r="S16" s="457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9" t="s">
        <v>859</v>
      </c>
      <c r="S17" s="457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2" t="s">
        <v>860</v>
      </c>
      <c r="S18" s="455">
        <v>1.3538981647058823E-3</v>
      </c>
    </row>
    <row r="19" spans="1:19" ht="17.25" x14ac:dyDescent="0.3">
      <c r="A19" s="521" t="s">
        <v>274</v>
      </c>
      <c r="B19" s="521"/>
      <c r="C19" s="521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21">
        <v>29506</v>
      </c>
      <c r="E22" s="421">
        <v>287584</v>
      </c>
      <c r="F22" s="421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21">
        <v>69462</v>
      </c>
      <c r="E23" s="421">
        <v>1268965</v>
      </c>
      <c r="F23" s="421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21">
        <v>571543</v>
      </c>
      <c r="E24" s="421">
        <v>3681778</v>
      </c>
      <c r="F24" s="421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21">
        <v>475308</v>
      </c>
      <c r="E25" s="421">
        <v>4307984</v>
      </c>
      <c r="F25" s="421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21">
        <v>345613</v>
      </c>
      <c r="E26" s="421">
        <v>2752681</v>
      </c>
      <c r="F26" s="421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15" t="s">
        <v>267</v>
      </c>
      <c r="B29" s="515" t="s">
        <v>266</v>
      </c>
      <c r="C29" s="140"/>
      <c r="D29" s="140"/>
      <c r="E29" s="128" t="s">
        <v>265</v>
      </c>
      <c r="F29" s="140"/>
      <c r="G29" s="140"/>
      <c r="H29" s="517" t="s">
        <v>264</v>
      </c>
      <c r="I29" s="519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16"/>
      <c r="B30" s="516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18"/>
      <c r="I30" s="520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2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W48"/>
  <sheetViews>
    <sheetView tabSelected="1" workbookViewId="0">
      <selection activeCell="V7" sqref="V7"/>
    </sheetView>
  </sheetViews>
  <sheetFormatPr defaultRowHeight="15" x14ac:dyDescent="0.25"/>
  <cols>
    <col min="1" max="1" width="13.7109375" customWidth="1"/>
    <col min="18" max="18" width="11.28515625" customWidth="1"/>
    <col min="19" max="22" width="9.5703125" bestFit="1" customWidth="1"/>
  </cols>
  <sheetData>
    <row r="1" spans="1:23" ht="18.75" x14ac:dyDescent="0.3">
      <c r="A1" s="394" t="s">
        <v>781</v>
      </c>
      <c r="B1" s="9"/>
    </row>
    <row r="2" spans="1:23" ht="18.75" x14ac:dyDescent="0.3">
      <c r="A2" s="397"/>
      <c r="B2" s="398"/>
      <c r="C2" s="525" t="s">
        <v>782</v>
      </c>
      <c r="D2" s="526"/>
      <c r="E2" s="526"/>
      <c r="F2" s="527"/>
      <c r="G2" s="267"/>
      <c r="H2" s="267"/>
      <c r="I2" s="267"/>
    </row>
    <row r="3" spans="1:2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  <c r="R3" t="s">
        <v>904</v>
      </c>
      <c r="U3" s="173"/>
      <c r="W3" s="226">
        <v>5.0000000000000001E-3</v>
      </c>
    </row>
    <row r="4" spans="1:2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4">
        <f>H4</f>
        <v>6.8302753109928638</v>
      </c>
      <c r="H4" s="424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  <c r="S4" s="529">
        <v>10</v>
      </c>
      <c r="T4" s="529">
        <v>20</v>
      </c>
      <c r="U4" s="529">
        <v>30</v>
      </c>
      <c r="V4" s="529">
        <v>40</v>
      </c>
      <c r="W4" s="530">
        <v>100</v>
      </c>
    </row>
    <row r="5" spans="1:23" x14ac:dyDescent="0.25">
      <c r="A5" s="267" t="s">
        <v>555</v>
      </c>
      <c r="B5" s="267" t="s">
        <v>405</v>
      </c>
      <c r="C5" s="395"/>
      <c r="D5" s="395"/>
      <c r="E5" s="395"/>
      <c r="F5" s="395"/>
      <c r="G5" s="422">
        <f>(139+1763+205)/3826</f>
        <v>0.55070569785676948</v>
      </c>
      <c r="H5" s="424"/>
      <c r="I5" s="267"/>
      <c r="L5" t="s">
        <v>704</v>
      </c>
      <c r="M5" s="1" t="s">
        <v>614</v>
      </c>
      <c r="R5" s="458" t="s">
        <v>556</v>
      </c>
      <c r="S5" s="531">
        <f>SUMIFS(C$19:C$28,$A$19:$A$28,$R5,$B$19:$B$28,"Hugst")/SUMIF($A$6:$A$15,$R5,$H$6:$H$15)*$W$3</f>
        <v>0</v>
      </c>
      <c r="T5" s="531">
        <f t="shared" ref="T5:W5" si="0">SUMIFS(D$19:D$28,$A$19:$A$28,$R5,$B$19:$B$28,"Hugst")/SUMIF($A$6:$A$15,$R5,$H$6:$H$15)*$W$3</f>
        <v>0</v>
      </c>
      <c r="U5" s="531">
        <f t="shared" si="0"/>
        <v>0</v>
      </c>
      <c r="V5" s="531">
        <f t="shared" si="0"/>
        <v>3.2978723404255323E-3</v>
      </c>
      <c r="W5" s="531">
        <f t="shared" si="0"/>
        <v>1.7021276595744681E-3</v>
      </c>
    </row>
    <row r="6" spans="1:2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F6" si="1">D19*(1-D20)</f>
        <v>0</v>
      </c>
      <c r="E6" s="297">
        <f t="shared" si="1"/>
        <v>0</v>
      </c>
      <c r="F6" s="297">
        <f t="shared" si="1"/>
        <v>1.9091716555549518</v>
      </c>
      <c r="G6" s="253"/>
      <c r="H6" s="424">
        <f>(3.1+0+0.9)*M4</f>
        <v>4.4066292328986219</v>
      </c>
      <c r="I6" s="267" t="s">
        <v>629</v>
      </c>
      <c r="L6" t="s">
        <v>556</v>
      </c>
      <c r="M6" s="1" t="s">
        <v>615</v>
      </c>
      <c r="R6" s="458" t="s">
        <v>557</v>
      </c>
      <c r="S6" s="531">
        <f t="shared" ref="S6:S9" si="2">SUMIFS(C$19:C$28,$A$19:$A$28,$R6,$B$19:$B$28,"Hugst")/SUMIF($A$6:$A$15,$R6,$H$6:$H$15)*$W$3</f>
        <v>0</v>
      </c>
      <c r="T6" s="531">
        <f t="shared" ref="T6:T9" si="3">SUMIFS(D$19:D$28,$A$19:$A$28,$R6,$B$19:$B$28,"Hugst")/SUMIF($A$6:$A$15,$R6,$H$6:$H$15)*$W$3</f>
        <v>1.5254237288135591E-3</v>
      </c>
      <c r="U6" s="531">
        <f t="shared" ref="U6:U9" si="4">SUMIFS(E$19:E$28,$A$19:$A$28,$R6,$B$19:$B$28,"Hugst")/SUMIF($A$6:$A$15,$R6,$H$6:$H$15)*$W$3</f>
        <v>1.7372881355932205E-3</v>
      </c>
      <c r="V6" s="531">
        <f t="shared" ref="V6:V9" si="5">SUMIFS(F$19:F$28,$A$19:$A$28,$R6,$B$19:$B$28,"Hugst")/SUMIF($A$6:$A$15,$R6,$H$6:$H$15)*$W$3</f>
        <v>8.8983050847457623E-4</v>
      </c>
      <c r="W6" s="531">
        <f t="shared" ref="W6:W9" si="6">SUMIFS(G$19:G$28,$A$19:$A$28,$R6,$B$19:$B$28,"Hugst")/SUMIF($A$6:$A$15,$R6,$H$6:$H$15)*$W$3</f>
        <v>8.4745762711864404E-4</v>
      </c>
    </row>
    <row r="7" spans="1:2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7">D19*D20</f>
        <v>0</v>
      </c>
      <c r="E7" s="297">
        <f t="shared" si="7"/>
        <v>0</v>
      </c>
      <c r="F7" s="297">
        <f t="shared" si="7"/>
        <v>0.99732847678243752</v>
      </c>
      <c r="G7" s="253"/>
      <c r="H7" s="424"/>
      <c r="I7" s="267"/>
      <c r="L7" t="s">
        <v>557</v>
      </c>
      <c r="M7" s="1" t="s">
        <v>616</v>
      </c>
      <c r="R7" s="458" t="s">
        <v>558</v>
      </c>
      <c r="S7" s="531">
        <f t="shared" si="2"/>
        <v>0</v>
      </c>
      <c r="T7" s="531">
        <f t="shared" si="3"/>
        <v>0</v>
      </c>
      <c r="U7" s="531">
        <f t="shared" si="4"/>
        <v>0</v>
      </c>
      <c r="V7" s="531">
        <f t="shared" si="5"/>
        <v>1.8181818181818182E-3</v>
      </c>
      <c r="W7" s="531">
        <f t="shared" si="6"/>
        <v>3.1818181818181819E-3</v>
      </c>
    </row>
    <row r="8" spans="1:2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8">D21*(1-D22)</f>
        <v>2.2854721106219968</v>
      </c>
      <c r="E8" s="297">
        <f t="shared" si="8"/>
        <v>2.4169774503204851</v>
      </c>
      <c r="F8" s="297">
        <f t="shared" si="8"/>
        <v>1.1109933871079152</v>
      </c>
      <c r="G8" s="253"/>
      <c r="H8" s="424">
        <f>(6.2+0.7+1.6)*M4</f>
        <v>9.3640871199095717</v>
      </c>
      <c r="I8" s="267" t="s">
        <v>627</v>
      </c>
      <c r="L8" t="s">
        <v>558</v>
      </c>
      <c r="M8" s="1" t="s">
        <v>620</v>
      </c>
      <c r="R8" s="458" t="s">
        <v>559</v>
      </c>
      <c r="S8" s="531">
        <f t="shared" si="2"/>
        <v>0</v>
      </c>
      <c r="T8" s="531">
        <f t="shared" si="3"/>
        <v>2.1951219512195124E-3</v>
      </c>
      <c r="U8" s="531">
        <f t="shared" si="4"/>
        <v>1.2195121951219512E-3</v>
      </c>
      <c r="V8" s="531">
        <f t="shared" si="5"/>
        <v>6.7073170731707312E-4</v>
      </c>
      <c r="W8" s="531">
        <f t="shared" si="6"/>
        <v>9.1463414634146336E-4</v>
      </c>
    </row>
    <row r="9" spans="1:2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4"/>
      <c r="I9" s="267"/>
      <c r="L9" t="s">
        <v>559</v>
      </c>
      <c r="M9" s="1" t="s">
        <v>621</v>
      </c>
      <c r="R9" s="458" t="s">
        <v>560</v>
      </c>
      <c r="S9" s="531">
        <f t="shared" si="2"/>
        <v>0</v>
      </c>
      <c r="T9" s="531">
        <f t="shared" si="3"/>
        <v>0</v>
      </c>
      <c r="U9" s="531">
        <f t="shared" si="4"/>
        <v>3.3333333333333332E-4</v>
      </c>
      <c r="V9" s="531">
        <f t="shared" si="5"/>
        <v>2.6666666666666666E-3</v>
      </c>
      <c r="W9" s="531">
        <f t="shared" si="6"/>
        <v>2E-3</v>
      </c>
    </row>
    <row r="10" spans="1:2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8"/>
        <v>0</v>
      </c>
      <c r="E10" s="297">
        <f t="shared" si="8"/>
        <v>0</v>
      </c>
      <c r="F10" s="297">
        <f t="shared" si="8"/>
        <v>1.3997528151560328</v>
      </c>
      <c r="G10" s="253"/>
      <c r="H10" s="424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2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4"/>
      <c r="I11" s="267"/>
    </row>
    <row r="12" spans="1:2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8"/>
        <v>0.5803853136012822</v>
      </c>
      <c r="E12" s="297">
        <f t="shared" si="8"/>
        <v>0.62472030283471314</v>
      </c>
      <c r="F12" s="297">
        <f t="shared" si="8"/>
        <v>0.51637222754231693</v>
      </c>
      <c r="G12" s="253"/>
      <c r="H12" s="424">
        <f>(4.4+0.1+0.9)*$M$4</f>
        <v>5.9489494644131398</v>
      </c>
      <c r="I12" s="267" t="s">
        <v>628</v>
      </c>
    </row>
    <row r="13" spans="1:2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4"/>
      <c r="I13" s="267"/>
    </row>
    <row r="14" spans="1:2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8"/>
        <v>0</v>
      </c>
      <c r="E14" s="297">
        <f t="shared" si="8"/>
        <v>0.17075688277482162</v>
      </c>
      <c r="F14" s="297">
        <f t="shared" si="8"/>
        <v>2.0529707955621812</v>
      </c>
      <c r="G14" s="425"/>
      <c r="H14" s="424">
        <f>(4.4+0.1+0.9)*$M$4</f>
        <v>5.9489494644131398</v>
      </c>
      <c r="I14" s="267" t="s">
        <v>628</v>
      </c>
    </row>
    <row r="15" spans="1:2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9">D27*D28</f>
        <v>0</v>
      </c>
      <c r="E15" s="297">
        <f t="shared" si="9"/>
        <v>0.22583974818605437</v>
      </c>
      <c r="F15" s="297">
        <f t="shared" si="9"/>
        <v>1.1198022521248263</v>
      </c>
      <c r="G15" s="396"/>
      <c r="H15" s="267"/>
      <c r="I15" s="267"/>
    </row>
    <row r="16" spans="1:23" x14ac:dyDescent="0.25">
      <c r="H16" s="206"/>
    </row>
    <row r="18" spans="1:15" x14ac:dyDescent="0.25">
      <c r="A18" s="300"/>
      <c r="B18" s="300"/>
      <c r="C18" s="399">
        <v>10</v>
      </c>
      <c r="D18" s="399">
        <v>20</v>
      </c>
      <c r="E18" s="399">
        <v>30</v>
      </c>
      <c r="F18" s="399">
        <v>40</v>
      </c>
      <c r="G18" s="399">
        <v>100</v>
      </c>
    </row>
    <row r="19" spans="1:15" x14ac:dyDescent="0.25">
      <c r="A19" s="300" t="s">
        <v>556</v>
      </c>
      <c r="B19" s="300" t="s">
        <v>626</v>
      </c>
      <c r="C19" s="426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6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6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7">
        <f>AVERAGE(C22,C24)</f>
        <v>0.9285714285714286</v>
      </c>
      <c r="D20" s="427">
        <f>AVERAGE(D22,D24)</f>
        <v>0.48888888888888882</v>
      </c>
      <c r="E20" s="427">
        <f>AVERAGE(E22,E24)</f>
        <v>0.41329365079365077</v>
      </c>
      <c r="F20" s="427">
        <f>AVERAGE(F22,F24)</f>
        <v>0.34313725490196079</v>
      </c>
      <c r="G20" s="427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6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3">
        <f>1-K22-K23</f>
        <v>0.125</v>
      </c>
      <c r="L21" s="423">
        <f>1-L22-L23</f>
        <v>0.6</v>
      </c>
      <c r="M21" s="423">
        <f>1-M22-M23</f>
        <v>0.65</v>
      </c>
      <c r="N21" s="423">
        <f>1-N22-N23</f>
        <v>0.6</v>
      </c>
      <c r="O21" s="423">
        <f>1-O22-O23</f>
        <v>0.5</v>
      </c>
    </row>
    <row r="22" spans="1:15" x14ac:dyDescent="0.25">
      <c r="A22" s="300" t="s">
        <v>557</v>
      </c>
      <c r="B22" s="300" t="s">
        <v>408</v>
      </c>
      <c r="C22" s="427">
        <f>K22/SUM(K21:K22)</f>
        <v>0.8571428571428571</v>
      </c>
      <c r="D22" s="427">
        <f>L22/SUM(L21:L22)</f>
        <v>0.19999999999999998</v>
      </c>
      <c r="E22" s="427">
        <f>M22/SUM(M21:M22)</f>
        <v>0.25714285714285717</v>
      </c>
      <c r="F22" s="427">
        <f>N22/SUM(N21:N22)</f>
        <v>0.33333333333333337</v>
      </c>
      <c r="G22" s="427">
        <f>O22/SUM(O21:O22)</f>
        <v>0.44444444444444448</v>
      </c>
      <c r="I22" s="300" t="s">
        <v>557</v>
      </c>
      <c r="J22" s="300" t="s">
        <v>408</v>
      </c>
      <c r="K22" s="427">
        <f>AVERAGE(AVERAGEIF($B$31:$J$31,K$20,$B39:$J39),AVERAGEIF($B$31:$J$31,K$20,$B47:$J47))/100</f>
        <v>0.75</v>
      </c>
      <c r="L22" s="427">
        <f t="shared" ref="L22:O22" si="10">AVERAGE(AVERAGEIF($B$31:$J$31,L$20,$B39:$J39),AVERAGEIF($B$31:$J$31,L$20,$B47:$J47))/100</f>
        <v>0.15</v>
      </c>
      <c r="M22" s="427">
        <f t="shared" si="10"/>
        <v>0.22500000000000001</v>
      </c>
      <c r="N22" s="427">
        <f t="shared" si="10"/>
        <v>0.3</v>
      </c>
      <c r="O22" s="427">
        <f t="shared" si="10"/>
        <v>0.4</v>
      </c>
    </row>
    <row r="23" spans="1:15" x14ac:dyDescent="0.25">
      <c r="A23" s="300" t="s">
        <v>558</v>
      </c>
      <c r="B23" s="300" t="s">
        <v>626</v>
      </c>
      <c r="C23" s="426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6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6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7">
        <f>AVERAGE(AVERAGEIF($B$31:$J$31,K$20,$B40:$J40),AVERAGEIF($B$31:$J$31,K$20,$B48:$J48))/100</f>
        <v>0.125</v>
      </c>
      <c r="L23" s="427">
        <f t="shared" ref="L23:O23" si="11">AVERAGE(AVERAGEIF($B$31:$J$31,L$20,$B40:$J40),AVERAGEIF($B$31:$J$31,L$20,$B48:$J48))/100</f>
        <v>0.25</v>
      </c>
      <c r="M23" s="427">
        <f t="shared" si="11"/>
        <v>0.125</v>
      </c>
      <c r="N23" s="427">
        <f t="shared" si="11"/>
        <v>0.1</v>
      </c>
      <c r="O23" s="427">
        <f t="shared" si="11"/>
        <v>0.1</v>
      </c>
    </row>
    <row r="24" spans="1:15" x14ac:dyDescent="0.25">
      <c r="A24" s="300" t="s">
        <v>558</v>
      </c>
      <c r="B24" s="300" t="s">
        <v>408</v>
      </c>
      <c r="C24" s="427">
        <f>K25/SUM(K24:K25)</f>
        <v>1</v>
      </c>
      <c r="D24" s="427">
        <f>L25/SUM(L24:L25)</f>
        <v>0.77777777777777768</v>
      </c>
      <c r="E24" s="427">
        <f>M25/SUM(M24:M25)</f>
        <v>0.56944444444444442</v>
      </c>
      <c r="F24" s="427">
        <f>N25/SUM(N24:N25)</f>
        <v>0.35294117647058826</v>
      </c>
      <c r="G24" s="427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3">
        <f>1-K25-K26</f>
        <v>0</v>
      </c>
      <c r="L24" s="423">
        <f>1-L25-L26</f>
        <v>0.20000000000000004</v>
      </c>
      <c r="M24" s="423">
        <f>1-M25-M26</f>
        <v>0.38750000000000007</v>
      </c>
      <c r="N24" s="423">
        <f>1-N25-N26</f>
        <v>0.54999999999999993</v>
      </c>
      <c r="O24" s="423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6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7">
        <f>AVERAGE(AVERAGEIF($B$31:$J$31,K$20,$B35:$J35),AVERAGEIF($B$31:$J$31,K$20,$B43:$J43))/100</f>
        <v>0.85</v>
      </c>
      <c r="L25" s="427">
        <f t="shared" ref="L25:O26" si="12">AVERAGE(AVERAGEIF($B$31:$J$31,L$20,$B35:$J35),AVERAGEIF($B$31:$J$31,L$20,$B43:$J43))/100</f>
        <v>0.7</v>
      </c>
      <c r="M25" s="427">
        <f t="shared" si="12"/>
        <v>0.51249999999999996</v>
      </c>
      <c r="N25" s="427">
        <f t="shared" si="12"/>
        <v>0.3</v>
      </c>
      <c r="O25" s="427">
        <f t="shared" si="12"/>
        <v>0.36249999999999999</v>
      </c>
    </row>
    <row r="26" spans="1:15" x14ac:dyDescent="0.25">
      <c r="A26" s="300" t="s">
        <v>559</v>
      </c>
      <c r="B26" s="300" t="s">
        <v>408</v>
      </c>
      <c r="C26" s="427">
        <f>C24</f>
        <v>1</v>
      </c>
      <c r="D26" s="427">
        <f t="shared" ref="D26:G26" si="13">D24</f>
        <v>0.77777777777777768</v>
      </c>
      <c r="E26" s="427">
        <f t="shared" si="13"/>
        <v>0.56944444444444442</v>
      </c>
      <c r="F26" s="427">
        <f t="shared" si="13"/>
        <v>0.35294117647058826</v>
      </c>
      <c r="G26" s="427">
        <f t="shared" si="13"/>
        <v>0.42647058823529416</v>
      </c>
      <c r="I26" s="300" t="s">
        <v>558</v>
      </c>
      <c r="J26" s="300" t="s">
        <v>631</v>
      </c>
      <c r="K26" s="427">
        <f>AVERAGE(AVERAGEIF($B$31:$J$31,K$20,$B36:$J36),AVERAGEIF($B$31:$J$31,K$20,$B44:$J44))/100</f>
        <v>0.15</v>
      </c>
      <c r="L26" s="427">
        <f t="shared" si="12"/>
        <v>0.1</v>
      </c>
      <c r="M26" s="427">
        <f t="shared" si="12"/>
        <v>0.1</v>
      </c>
      <c r="N26" s="427">
        <f t="shared" si="12"/>
        <v>0.15</v>
      </c>
      <c r="O26" s="427">
        <f t="shared" si="12"/>
        <v>0.15</v>
      </c>
    </row>
    <row r="27" spans="1:15" x14ac:dyDescent="0.25">
      <c r="A27" s="300" t="s">
        <v>560</v>
      </c>
      <c r="B27" s="300" t="s">
        <v>626</v>
      </c>
      <c r="C27" s="426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6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6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7">
        <f>C24</f>
        <v>1</v>
      </c>
      <c r="D28" s="427">
        <f t="shared" ref="D28:G28" si="14">D24</f>
        <v>0.77777777777777768</v>
      </c>
      <c r="E28" s="427">
        <f t="shared" si="14"/>
        <v>0.56944444444444442</v>
      </c>
      <c r="F28" s="427">
        <f t="shared" si="14"/>
        <v>0.35294117647058826</v>
      </c>
      <c r="G28" s="427">
        <f t="shared" si="14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8" t="s">
        <v>796</v>
      </c>
      <c r="B32" s="429" t="s">
        <v>809</v>
      </c>
      <c r="C32" s="429" t="s">
        <v>804</v>
      </c>
      <c r="D32" s="429" t="s">
        <v>805</v>
      </c>
      <c r="E32" s="429" t="s">
        <v>810</v>
      </c>
      <c r="F32" s="429" t="s">
        <v>806</v>
      </c>
      <c r="G32" s="429" t="s">
        <v>807</v>
      </c>
      <c r="H32" s="429" t="s">
        <v>808</v>
      </c>
      <c r="I32" s="429" t="s">
        <v>797</v>
      </c>
      <c r="J32" s="429" t="s">
        <v>811</v>
      </c>
    </row>
    <row r="33" spans="1:10" ht="15.75" thickBot="1" x14ac:dyDescent="0.3">
      <c r="A33" s="522" t="s">
        <v>798</v>
      </c>
      <c r="B33" s="523"/>
      <c r="C33" s="430"/>
      <c r="D33" s="430"/>
      <c r="E33" s="524"/>
      <c r="F33" s="524"/>
      <c r="G33" s="430"/>
      <c r="H33" s="430"/>
      <c r="I33" s="430"/>
      <c r="J33" s="431"/>
    </row>
    <row r="34" spans="1:10" ht="15.75" thickBot="1" x14ac:dyDescent="0.3">
      <c r="A34" s="432" t="s">
        <v>799</v>
      </c>
      <c r="B34" s="433">
        <v>0</v>
      </c>
      <c r="C34" s="433">
        <v>0</v>
      </c>
      <c r="D34" s="433">
        <v>20</v>
      </c>
      <c r="E34" s="433">
        <v>30</v>
      </c>
      <c r="F34" s="433">
        <v>40</v>
      </c>
      <c r="G34" s="433">
        <v>50</v>
      </c>
      <c r="H34" s="433">
        <v>55</v>
      </c>
      <c r="I34" s="433">
        <v>50</v>
      </c>
      <c r="J34" s="433">
        <v>45</v>
      </c>
    </row>
    <row r="35" spans="1:10" ht="15.75" thickBot="1" x14ac:dyDescent="0.3">
      <c r="A35" s="432" t="s">
        <v>800</v>
      </c>
      <c r="B35" s="433">
        <v>80</v>
      </c>
      <c r="C35" s="433">
        <v>90</v>
      </c>
      <c r="D35" s="433">
        <v>70</v>
      </c>
      <c r="E35" s="433">
        <v>60</v>
      </c>
      <c r="F35" s="433">
        <v>50</v>
      </c>
      <c r="G35" s="433">
        <v>35</v>
      </c>
      <c r="H35" s="433">
        <v>30</v>
      </c>
      <c r="I35" s="433">
        <v>35</v>
      </c>
      <c r="J35" s="433">
        <v>40</v>
      </c>
    </row>
    <row r="36" spans="1:10" ht="15.75" thickBot="1" x14ac:dyDescent="0.3">
      <c r="A36" s="432" t="s">
        <v>801</v>
      </c>
      <c r="B36" s="433">
        <v>20</v>
      </c>
      <c r="C36" s="433">
        <v>10</v>
      </c>
      <c r="D36" s="433">
        <v>10</v>
      </c>
      <c r="E36" s="433">
        <v>10</v>
      </c>
      <c r="F36" s="433">
        <v>10</v>
      </c>
      <c r="G36" s="433">
        <v>15</v>
      </c>
      <c r="H36" s="433">
        <v>15</v>
      </c>
      <c r="I36" s="433">
        <v>15</v>
      </c>
      <c r="J36" s="433">
        <v>15</v>
      </c>
    </row>
    <row r="37" spans="1:10" ht="15.75" thickBot="1" x14ac:dyDescent="0.3">
      <c r="A37" s="522" t="s">
        <v>802</v>
      </c>
      <c r="B37" s="523"/>
      <c r="C37" s="430"/>
      <c r="D37" s="430"/>
      <c r="E37" s="524"/>
      <c r="F37" s="524"/>
      <c r="G37" s="430"/>
      <c r="H37" s="430"/>
      <c r="I37" s="430"/>
      <c r="J37" s="431"/>
    </row>
    <row r="38" spans="1:10" ht="15.75" thickBot="1" x14ac:dyDescent="0.3">
      <c r="A38" s="432" t="s">
        <v>799</v>
      </c>
      <c r="B38" s="433">
        <v>0</v>
      </c>
      <c r="C38" s="433">
        <v>25</v>
      </c>
      <c r="D38" s="433">
        <v>60</v>
      </c>
      <c r="E38" s="433">
        <v>65</v>
      </c>
      <c r="F38" s="433">
        <v>65</v>
      </c>
      <c r="G38" s="433">
        <v>60</v>
      </c>
      <c r="H38" s="433">
        <v>60</v>
      </c>
      <c r="I38" s="433">
        <v>50</v>
      </c>
      <c r="J38" s="433">
        <v>50</v>
      </c>
    </row>
    <row r="39" spans="1:10" ht="15.75" thickBot="1" x14ac:dyDescent="0.3">
      <c r="A39" s="432" t="s">
        <v>800</v>
      </c>
      <c r="B39" s="433">
        <v>90</v>
      </c>
      <c r="C39" s="433">
        <v>60</v>
      </c>
      <c r="D39" s="433">
        <v>15</v>
      </c>
      <c r="E39" s="433">
        <v>20</v>
      </c>
      <c r="F39" s="433">
        <v>25</v>
      </c>
      <c r="G39" s="433">
        <v>30</v>
      </c>
      <c r="H39" s="433">
        <v>30</v>
      </c>
      <c r="I39" s="433">
        <v>40</v>
      </c>
      <c r="J39" s="433">
        <v>40</v>
      </c>
    </row>
    <row r="40" spans="1:10" ht="15.75" thickBot="1" x14ac:dyDescent="0.3">
      <c r="A40" s="432" t="s">
        <v>801</v>
      </c>
      <c r="B40" s="433">
        <v>10</v>
      </c>
      <c r="C40" s="433">
        <v>15</v>
      </c>
      <c r="D40" s="433">
        <v>25</v>
      </c>
      <c r="E40" s="433">
        <v>15</v>
      </c>
      <c r="F40" s="433">
        <v>10</v>
      </c>
      <c r="G40" s="433">
        <v>10</v>
      </c>
      <c r="H40" s="433">
        <v>10</v>
      </c>
      <c r="I40" s="433">
        <v>10</v>
      </c>
      <c r="J40" s="433">
        <v>10</v>
      </c>
    </row>
    <row r="41" spans="1:10" ht="15.75" thickBot="1" x14ac:dyDescent="0.3">
      <c r="A41" s="522" t="s">
        <v>803</v>
      </c>
      <c r="B41" s="523"/>
      <c r="C41" s="430"/>
      <c r="D41" s="430"/>
      <c r="E41" s="524"/>
      <c r="F41" s="524"/>
      <c r="G41" s="430"/>
      <c r="H41" s="430"/>
      <c r="I41" s="430"/>
      <c r="J41" s="431"/>
    </row>
    <row r="42" spans="1:10" ht="15.75" thickBot="1" x14ac:dyDescent="0.3">
      <c r="A42" s="432" t="s">
        <v>799</v>
      </c>
      <c r="B42" s="433">
        <v>0</v>
      </c>
      <c r="C42" s="433">
        <v>0</v>
      </c>
      <c r="D42" s="433">
        <v>20</v>
      </c>
      <c r="E42" s="433">
        <v>35</v>
      </c>
      <c r="F42" s="433">
        <v>50</v>
      </c>
      <c r="G42" s="433">
        <v>55</v>
      </c>
      <c r="H42" s="433">
        <v>60</v>
      </c>
      <c r="I42" s="433">
        <v>55</v>
      </c>
      <c r="J42" s="433">
        <v>45</v>
      </c>
    </row>
    <row r="43" spans="1:10" ht="15.75" thickBot="1" x14ac:dyDescent="0.3">
      <c r="A43" s="432" t="s">
        <v>800</v>
      </c>
      <c r="B43" s="433">
        <v>80</v>
      </c>
      <c r="C43" s="433">
        <v>90</v>
      </c>
      <c r="D43" s="433">
        <v>70</v>
      </c>
      <c r="E43" s="433">
        <v>55</v>
      </c>
      <c r="F43" s="433">
        <v>40</v>
      </c>
      <c r="G43" s="433">
        <v>30</v>
      </c>
      <c r="H43" s="433">
        <v>25</v>
      </c>
      <c r="I43" s="433">
        <v>30</v>
      </c>
      <c r="J43" s="433">
        <v>40</v>
      </c>
    </row>
    <row r="44" spans="1:10" ht="15.75" thickBot="1" x14ac:dyDescent="0.3">
      <c r="A44" s="432" t="s">
        <v>801</v>
      </c>
      <c r="B44" s="433">
        <v>20</v>
      </c>
      <c r="C44" s="433">
        <v>10</v>
      </c>
      <c r="D44" s="433">
        <v>10</v>
      </c>
      <c r="E44" s="433">
        <v>10</v>
      </c>
      <c r="F44" s="433">
        <v>10</v>
      </c>
      <c r="G44" s="433">
        <v>15</v>
      </c>
      <c r="H44" s="433">
        <v>15</v>
      </c>
      <c r="I44" s="433">
        <v>15</v>
      </c>
      <c r="J44" s="433">
        <v>15</v>
      </c>
    </row>
    <row r="45" spans="1:10" ht="15.75" thickBot="1" x14ac:dyDescent="0.3">
      <c r="A45" s="522" t="s">
        <v>802</v>
      </c>
      <c r="B45" s="523"/>
      <c r="C45" s="430"/>
      <c r="D45" s="430"/>
      <c r="E45" s="524"/>
      <c r="F45" s="524"/>
      <c r="G45" s="430"/>
      <c r="H45" s="430"/>
      <c r="I45" s="430"/>
      <c r="J45" s="431"/>
    </row>
    <row r="46" spans="1:10" ht="15.75" thickBot="1" x14ac:dyDescent="0.3">
      <c r="A46" s="432" t="s">
        <v>799</v>
      </c>
      <c r="B46" s="433">
        <v>0</v>
      </c>
      <c r="C46" s="433">
        <v>25</v>
      </c>
      <c r="D46" s="433">
        <v>60</v>
      </c>
      <c r="E46" s="433">
        <v>65</v>
      </c>
      <c r="F46" s="433">
        <v>65</v>
      </c>
      <c r="G46" s="433">
        <v>60</v>
      </c>
      <c r="H46" s="433">
        <v>60</v>
      </c>
      <c r="I46" s="433">
        <v>50</v>
      </c>
      <c r="J46" s="433">
        <v>50</v>
      </c>
    </row>
    <row r="47" spans="1:10" ht="15.75" thickBot="1" x14ac:dyDescent="0.3">
      <c r="A47" s="432" t="s">
        <v>800</v>
      </c>
      <c r="B47" s="433">
        <v>90</v>
      </c>
      <c r="C47" s="433">
        <v>60</v>
      </c>
      <c r="D47" s="433">
        <v>15</v>
      </c>
      <c r="E47" s="433">
        <v>20</v>
      </c>
      <c r="F47" s="433">
        <v>25</v>
      </c>
      <c r="G47" s="433">
        <v>30</v>
      </c>
      <c r="H47" s="433">
        <v>30</v>
      </c>
      <c r="I47" s="433">
        <v>40</v>
      </c>
      <c r="J47" s="433">
        <v>40</v>
      </c>
    </row>
    <row r="48" spans="1:10" ht="15.75" thickBot="1" x14ac:dyDescent="0.3">
      <c r="A48" s="432" t="s">
        <v>801</v>
      </c>
      <c r="B48" s="433">
        <v>10</v>
      </c>
      <c r="C48" s="433">
        <v>15</v>
      </c>
      <c r="D48" s="433">
        <v>25</v>
      </c>
      <c r="E48" s="433">
        <v>15</v>
      </c>
      <c r="F48" s="433">
        <v>10</v>
      </c>
      <c r="G48" s="433">
        <v>10</v>
      </c>
      <c r="H48" s="433">
        <v>10</v>
      </c>
      <c r="I48" s="433">
        <v>10</v>
      </c>
      <c r="J48" s="433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F5" sqref="F5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67">
        <f>B74</f>
        <v>1</v>
      </c>
      <c r="E2" s="267">
        <f t="shared" ref="E2:G3" si="0">C74</f>
        <v>1</v>
      </c>
      <c r="F2" s="267">
        <f t="shared" si="0"/>
        <v>1</v>
      </c>
      <c r="G2" s="267">
        <f t="shared" si="0"/>
        <v>1</v>
      </c>
      <c r="H2" s="267">
        <f t="shared" ref="H2" si="1">F74</f>
        <v>1</v>
      </c>
      <c r="I2" s="267">
        <f>F74</f>
        <v>1</v>
      </c>
    </row>
    <row r="3" spans="1:14" x14ac:dyDescent="0.25">
      <c r="A3" s="8"/>
      <c r="B3" s="267" t="s">
        <v>555</v>
      </c>
      <c r="C3" s="267" t="s">
        <v>619</v>
      </c>
      <c r="D3" s="267">
        <f>B75</f>
        <v>8</v>
      </c>
      <c r="E3" s="267">
        <f t="shared" si="0"/>
        <v>8</v>
      </c>
      <c r="F3" s="267">
        <f t="shared" si="0"/>
        <v>8</v>
      </c>
      <c r="G3" s="267">
        <f t="shared" si="0"/>
        <v>8</v>
      </c>
      <c r="H3" s="267">
        <f t="shared" ref="H3" si="2">F75</f>
        <v>8</v>
      </c>
      <c r="I3" s="267">
        <f>F75</f>
        <v>8</v>
      </c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67">
        <f>AVERAGE(B32,B29)</f>
        <v>2.5</v>
      </c>
      <c r="E4" s="267">
        <f t="shared" ref="E4:G5" si="3">AVERAGE(C32,C29)</f>
        <v>5.5</v>
      </c>
      <c r="F4" s="267">
        <f t="shared" si="3"/>
        <v>14</v>
      </c>
      <c r="G4" s="267">
        <f t="shared" si="3"/>
        <v>14.5</v>
      </c>
      <c r="H4" s="267">
        <f t="shared" ref="H4" si="4">AVERAGE(F32,F29)</f>
        <v>5.5</v>
      </c>
      <c r="I4" s="267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67">
        <f>AVERAGE(B33,B30)</f>
        <v>0</v>
      </c>
      <c r="E5" s="267">
        <f t="shared" si="3"/>
        <v>0</v>
      </c>
      <c r="F5" s="267">
        <f t="shared" si="3"/>
        <v>0</v>
      </c>
      <c r="G5" s="267">
        <f t="shared" si="3"/>
        <v>15.5</v>
      </c>
      <c r="H5" s="267">
        <f t="shared" ref="H5" si="5">AVERAGE(F33,F30)</f>
        <v>8</v>
      </c>
      <c r="I5" s="267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67">
        <f>AVERAGE(B47,B50)</f>
        <v>12.5</v>
      </c>
      <c r="E6" s="267">
        <f t="shared" ref="E6:H6" si="6">AVERAGE(C47,C50)</f>
        <v>16</v>
      </c>
      <c r="F6" s="267">
        <f t="shared" si="6"/>
        <v>0.5</v>
      </c>
      <c r="G6" s="267">
        <f t="shared" si="6"/>
        <v>12.5</v>
      </c>
      <c r="H6" s="267">
        <f t="shared" si="6"/>
        <v>6</v>
      </c>
      <c r="I6" s="267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67">
        <f>AVERAGE(B48,B51)</f>
        <v>0</v>
      </c>
      <c r="E7" s="267">
        <f t="shared" ref="E7:H7" si="7">AVERAGE(C48,C51)</f>
        <v>18</v>
      </c>
      <c r="F7" s="267">
        <f t="shared" si="7"/>
        <v>20.5</v>
      </c>
      <c r="G7" s="267">
        <f t="shared" si="7"/>
        <v>10.5</v>
      </c>
      <c r="H7" s="267">
        <f t="shared" si="7"/>
        <v>10</v>
      </c>
      <c r="I7" s="267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67">
        <f>AVERAGE(B23,B26,B20,B17)</f>
        <v>2.5</v>
      </c>
      <c r="E8" s="267">
        <f t="shared" ref="E8:H8" si="8">AVERAGE(C23,C26,C20,C17)</f>
        <v>4.25</v>
      </c>
      <c r="F8" s="267">
        <f t="shared" si="8"/>
        <v>13.75</v>
      </c>
      <c r="G8" s="267">
        <f t="shared" si="8"/>
        <v>13.25</v>
      </c>
      <c r="H8" s="267">
        <f t="shared" si="8"/>
        <v>5.25</v>
      </c>
      <c r="I8" s="267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67">
        <f>AVERAGE(B24,B27,B21,B18)</f>
        <v>0</v>
      </c>
      <c r="E9" s="267">
        <f t="shared" ref="E9" si="9">AVERAGE(C24,C27,C21,C18)</f>
        <v>0</v>
      </c>
      <c r="F9" s="267">
        <f t="shared" ref="F9" si="10">AVERAGE(D24,D27,D21,D18)</f>
        <v>0</v>
      </c>
      <c r="G9" s="267">
        <f t="shared" ref="G9:H9" si="11">AVERAGE(E24,E27,E21,E18)</f>
        <v>4</v>
      </c>
      <c r="H9" s="267">
        <f t="shared" si="11"/>
        <v>7</v>
      </c>
      <c r="I9" s="267">
        <f t="shared" ref="I9" si="12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67">
        <f>AVERAGE(B41,B44)</f>
        <v>9.5</v>
      </c>
      <c r="E10" s="267">
        <f t="shared" ref="E10:H10" si="13">AVERAGE(C41,C44)</f>
        <v>8</v>
      </c>
      <c r="F10" s="267">
        <f t="shared" si="13"/>
        <v>4.5</v>
      </c>
      <c r="G10" s="267">
        <f t="shared" si="13"/>
        <v>13</v>
      </c>
      <c r="H10" s="267">
        <f t="shared" si="13"/>
        <v>5.5</v>
      </c>
      <c r="I10" s="267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67">
        <f>AVERAGE(B42,B45)</f>
        <v>0</v>
      </c>
      <c r="E11" s="267">
        <f t="shared" ref="E11" si="14">AVERAGE(C42,C45)</f>
        <v>18</v>
      </c>
      <c r="F11" s="267">
        <f t="shared" ref="F11" si="15">AVERAGE(D42,D45)</f>
        <v>10</v>
      </c>
      <c r="G11" s="267">
        <f t="shared" ref="G11:H11" si="16">AVERAGE(E42,E45)</f>
        <v>5.5</v>
      </c>
      <c r="H11" s="267">
        <f t="shared" si="16"/>
        <v>7.5</v>
      </c>
      <c r="I11" s="267">
        <f t="shared" ref="I11" si="17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396">
        <f>AVERAGE(B59,B62,B65)</f>
        <v>2.6666666666666665</v>
      </c>
      <c r="E12" s="396">
        <f t="shared" ref="E12:H12" si="18">AVERAGE(C59,C62,C65)</f>
        <v>2.6666666666666665</v>
      </c>
      <c r="F12" s="396">
        <f t="shared" si="18"/>
        <v>3.3333333333333335</v>
      </c>
      <c r="G12" s="396">
        <f t="shared" si="18"/>
        <v>4.333333333333333</v>
      </c>
      <c r="H12" s="396">
        <f t="shared" si="18"/>
        <v>5.333333333333333</v>
      </c>
      <c r="I12" s="396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396">
        <f>AVERAGE(B60,B63,B66)</f>
        <v>0</v>
      </c>
      <c r="E13" s="396">
        <f t="shared" ref="E13" si="19">AVERAGE(C60,C63,C66)</f>
        <v>0</v>
      </c>
      <c r="F13" s="396">
        <f t="shared" ref="F13" si="20">AVERAGE(D60,D63,D66)</f>
        <v>0.33333333333333331</v>
      </c>
      <c r="G13" s="396">
        <f t="shared" ref="G13:H13" si="21">AVERAGE(E60,E63,E66)</f>
        <v>2.6666666666666665</v>
      </c>
      <c r="H13" s="396">
        <f t="shared" si="21"/>
        <v>2</v>
      </c>
      <c r="I13" s="396">
        <f t="shared" ref="I13" si="22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20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21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21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21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21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21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21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21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21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21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21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21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21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21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21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21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21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21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21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21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21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21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21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21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21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21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21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21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21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21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21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21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21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21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21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21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21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21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21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21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21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21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21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21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21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21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21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21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21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21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21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21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21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21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21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21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21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21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21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21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21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21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21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21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21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21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2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8">
        <f>$B$9/Befolkningstal!$B$4</f>
        <v>1.1893449129763534</v>
      </c>
      <c r="C4" s="328">
        <f>$B$9/Befolkningstal!$B$4</f>
        <v>1.1893449129763534</v>
      </c>
      <c r="D4" s="328">
        <f>$B$9/Befolkningstal!$B$4</f>
        <v>1.1893449129763534</v>
      </c>
    </row>
    <row r="5" spans="1:14" x14ac:dyDescent="0.25">
      <c r="A5" s="1"/>
      <c r="B5" s="328"/>
    </row>
    <row r="6" spans="1:14" x14ac:dyDescent="0.25">
      <c r="A6" s="1"/>
      <c r="B6" s="328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8">
        <f>B8*B30*1000</f>
        <v>6905432.9016786581</v>
      </c>
      <c r="C9" t="s">
        <v>715</v>
      </c>
      <c r="F9" s="219">
        <v>140000</v>
      </c>
      <c r="G9" s="337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31" t="s">
        <v>678</v>
      </c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</row>
    <row r="13" spans="1:14" x14ac:dyDescent="0.25">
      <c r="A13" s="332" t="s">
        <v>107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</row>
    <row r="14" spans="1:14" x14ac:dyDescent="0.25">
      <c r="A14" s="330"/>
      <c r="B14" s="330"/>
      <c r="C14" s="330"/>
      <c r="D14" s="333" t="s">
        <v>670</v>
      </c>
      <c r="E14" s="333" t="s">
        <v>671</v>
      </c>
      <c r="F14" s="333" t="s">
        <v>672</v>
      </c>
      <c r="G14" s="333" t="s">
        <v>673</v>
      </c>
      <c r="H14" s="333" t="s">
        <v>674</v>
      </c>
      <c r="I14" s="333" t="s">
        <v>675</v>
      </c>
      <c r="J14" s="333" t="s">
        <v>676</v>
      </c>
      <c r="K14" s="333" t="s">
        <v>677</v>
      </c>
      <c r="L14" s="333" t="s">
        <v>94</v>
      </c>
      <c r="M14" s="333" t="s">
        <v>269</v>
      </c>
      <c r="N14" s="333" t="s">
        <v>630</v>
      </c>
    </row>
    <row r="15" spans="1:14" x14ac:dyDescent="0.25">
      <c r="A15" s="333" t="s">
        <v>679</v>
      </c>
      <c r="B15" s="333" t="s">
        <v>109</v>
      </c>
      <c r="C15" s="333" t="s">
        <v>680</v>
      </c>
      <c r="D15" s="334" t="s">
        <v>140</v>
      </c>
      <c r="E15" s="334" t="s">
        <v>140</v>
      </c>
      <c r="F15" s="334" t="s">
        <v>140</v>
      </c>
      <c r="G15" s="334" t="s">
        <v>140</v>
      </c>
      <c r="H15" s="334" t="s">
        <v>140</v>
      </c>
      <c r="I15" s="334" t="s">
        <v>140</v>
      </c>
      <c r="J15" s="334" t="s">
        <v>140</v>
      </c>
      <c r="K15" s="334" t="s">
        <v>140</v>
      </c>
      <c r="L15" s="334" t="s">
        <v>140</v>
      </c>
      <c r="M15" s="335">
        <v>260427</v>
      </c>
      <c r="N15" s="336">
        <f>AVERAGEIF(D15:M15,"&gt;0")*1000</f>
        <v>260427000</v>
      </c>
    </row>
    <row r="16" spans="1:14" x14ac:dyDescent="0.25">
      <c r="A16" s="330"/>
      <c r="B16" s="330"/>
      <c r="C16" s="333" t="s">
        <v>681</v>
      </c>
      <c r="D16" s="334" t="s">
        <v>140</v>
      </c>
      <c r="E16" s="334" t="s">
        <v>140</v>
      </c>
      <c r="F16" s="334" t="s">
        <v>140</v>
      </c>
      <c r="G16" s="334" t="s">
        <v>140</v>
      </c>
      <c r="H16" s="334" t="s">
        <v>140</v>
      </c>
      <c r="I16" s="334" t="s">
        <v>140</v>
      </c>
      <c r="J16" s="334" t="s">
        <v>140</v>
      </c>
      <c r="K16" s="334" t="s">
        <v>140</v>
      </c>
      <c r="L16" s="334" t="s">
        <v>140</v>
      </c>
      <c r="M16" s="335">
        <v>871</v>
      </c>
      <c r="N16" s="336">
        <f t="shared" ref="N16:N20" si="0">AVERAGEIF(D16:M16,"&gt;0")*1000</f>
        <v>871000</v>
      </c>
    </row>
    <row r="17" spans="1:14" x14ac:dyDescent="0.25">
      <c r="A17" s="330"/>
      <c r="B17" s="330"/>
      <c r="C17" s="333" t="s">
        <v>682</v>
      </c>
      <c r="D17" s="334" t="s">
        <v>140</v>
      </c>
      <c r="E17" s="335">
        <v>52749</v>
      </c>
      <c r="F17" s="335">
        <v>44752</v>
      </c>
      <c r="G17" s="335">
        <v>45513</v>
      </c>
      <c r="H17" s="335">
        <v>46463</v>
      </c>
      <c r="I17" s="335">
        <v>49231</v>
      </c>
      <c r="J17" s="335">
        <v>46930</v>
      </c>
      <c r="K17" s="335">
        <v>48463</v>
      </c>
      <c r="L17" s="335">
        <v>49844</v>
      </c>
      <c r="M17" s="335">
        <v>41550</v>
      </c>
      <c r="N17" s="336">
        <f t="shared" si="0"/>
        <v>47277222.222222216</v>
      </c>
    </row>
    <row r="18" spans="1:14" x14ac:dyDescent="0.25">
      <c r="A18" s="330"/>
      <c r="B18" s="330"/>
      <c r="C18" s="333" t="s">
        <v>683</v>
      </c>
      <c r="D18" s="335">
        <v>706269</v>
      </c>
      <c r="E18" s="335">
        <v>769131</v>
      </c>
      <c r="F18" s="335">
        <v>718074</v>
      </c>
      <c r="G18" s="335">
        <v>643849</v>
      </c>
      <c r="H18" s="335">
        <v>696742</v>
      </c>
      <c r="I18" s="335">
        <v>765740</v>
      </c>
      <c r="J18" s="335">
        <v>696745</v>
      </c>
      <c r="K18" s="335">
        <v>714169</v>
      </c>
      <c r="L18" s="335">
        <v>614460</v>
      </c>
      <c r="M18" s="335">
        <v>721022</v>
      </c>
      <c r="N18" s="336">
        <f t="shared" si="0"/>
        <v>704620100</v>
      </c>
    </row>
    <row r="19" spans="1:14" x14ac:dyDescent="0.25">
      <c r="A19" s="330"/>
      <c r="B19" s="330"/>
      <c r="C19" s="333" t="s">
        <v>684</v>
      </c>
      <c r="D19" s="334" t="s">
        <v>140</v>
      </c>
      <c r="E19" s="335">
        <v>10931</v>
      </c>
      <c r="F19" s="334" t="s">
        <v>140</v>
      </c>
      <c r="G19" s="335">
        <v>10175</v>
      </c>
      <c r="H19" s="335">
        <v>10014</v>
      </c>
      <c r="I19" s="335">
        <v>9600</v>
      </c>
      <c r="J19" s="335">
        <v>8438</v>
      </c>
      <c r="K19" s="335">
        <v>8435</v>
      </c>
      <c r="L19" s="335">
        <v>6438</v>
      </c>
      <c r="M19" s="335">
        <v>6386</v>
      </c>
      <c r="N19" s="336">
        <f t="shared" si="0"/>
        <v>8802125</v>
      </c>
    </row>
    <row r="20" spans="1:14" x14ac:dyDescent="0.25">
      <c r="A20" s="330"/>
      <c r="B20" s="330"/>
      <c r="C20" s="333" t="s">
        <v>685</v>
      </c>
      <c r="D20" s="334" t="s">
        <v>140</v>
      </c>
      <c r="E20" s="334" t="s">
        <v>140</v>
      </c>
      <c r="F20" s="334" t="s">
        <v>140</v>
      </c>
      <c r="G20" s="334" t="s">
        <v>140</v>
      </c>
      <c r="H20" s="335">
        <v>334595</v>
      </c>
      <c r="I20" s="335">
        <v>392260</v>
      </c>
      <c r="J20" s="335">
        <v>312980</v>
      </c>
      <c r="K20" s="335">
        <v>386102</v>
      </c>
      <c r="L20" s="335">
        <v>228159</v>
      </c>
      <c r="M20" s="335">
        <v>353152</v>
      </c>
      <c r="N20" s="336">
        <f t="shared" si="0"/>
        <v>334541333.33333331</v>
      </c>
    </row>
    <row r="21" spans="1:14" x14ac:dyDescent="0.25">
      <c r="N21" s="336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C3" sqref="C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130234.32551850226</v>
      </c>
      <c r="C2" s="249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135554.97174274383</v>
      </c>
      <c r="D2" s="249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141336.81510959953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>
        <f ca="1">B3-$C$18+B2</f>
        <v>358674.32551850227</v>
      </c>
      <c r="C4" s="165">
        <f ca="1">C3-$C$18+C2</f>
        <v>363994.97174274386</v>
      </c>
      <c r="D4" s="165">
        <f ca="1">D3-$C$18+D2</f>
        <v>369776.8151095995</v>
      </c>
      <c r="E4" s="528" t="s">
        <v>896</v>
      </c>
      <c r="F4" s="528"/>
      <c r="G4" s="528"/>
      <c r="H4" s="528"/>
      <c r="I4" s="528"/>
      <c r="J4" s="528"/>
      <c r="K4" s="528"/>
      <c r="L4" s="528"/>
      <c r="M4" s="528"/>
      <c r="N4" s="528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28"/>
      <c r="F5" s="528"/>
      <c r="G5" s="528"/>
      <c r="H5" s="528"/>
      <c r="I5" s="528"/>
      <c r="J5" s="528"/>
      <c r="K5" s="528"/>
      <c r="L5" s="528"/>
      <c r="M5" s="528"/>
      <c r="N5" s="528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28"/>
      <c r="F6" s="528"/>
      <c r="G6" s="528"/>
      <c r="H6" s="528"/>
      <c r="I6" s="528"/>
      <c r="J6" s="528"/>
      <c r="K6" s="528"/>
      <c r="L6" s="528"/>
      <c r="M6" s="528"/>
      <c r="N6" s="528"/>
    </row>
    <row r="7" spans="1:14" x14ac:dyDescent="0.25">
      <c r="A7" s="162" t="s">
        <v>825</v>
      </c>
      <c r="B7" s="163">
        <f ca="1">SUM(B4:B6)+E26+D26+C26</f>
        <v>2054836.3255185024</v>
      </c>
      <c r="C7" s="163"/>
      <c r="D7" s="163"/>
      <c r="E7" s="437"/>
      <c r="F7" s="437"/>
      <c r="G7" s="437"/>
      <c r="H7" s="437"/>
      <c r="I7" s="437"/>
      <c r="J7" s="437"/>
      <c r="K7" s="437"/>
      <c r="L7" s="437"/>
      <c r="M7" s="437"/>
      <c r="N7" s="437"/>
    </row>
    <row r="8" spans="1:14" x14ac:dyDescent="0.25">
      <c r="A8" s="162"/>
      <c r="B8" s="163"/>
      <c r="C8" s="163"/>
      <c r="D8" s="163"/>
      <c r="E8" s="437"/>
      <c r="F8" s="437"/>
      <c r="G8" s="437"/>
      <c r="H8" s="437"/>
      <c r="I8" s="437"/>
      <c r="J8" s="437"/>
      <c r="K8" s="437"/>
      <c r="L8" s="437"/>
      <c r="M8" s="437"/>
      <c r="N8" s="437"/>
    </row>
    <row r="9" spans="1:14" x14ac:dyDescent="0.25">
      <c r="A9" s="162"/>
      <c r="B9" s="163"/>
      <c r="C9" s="163"/>
      <c r="D9" s="163"/>
      <c r="E9" s="437"/>
      <c r="F9" s="437"/>
      <c r="G9" s="437"/>
      <c r="H9" s="437"/>
      <c r="I9" s="437"/>
      <c r="J9" s="437"/>
      <c r="K9" s="437"/>
      <c r="L9" s="437"/>
      <c r="M9" s="437"/>
      <c r="N9" s="437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41" t="s">
        <v>323</v>
      </c>
      <c r="B12" s="340"/>
      <c r="C12" s="340"/>
      <c r="D12" s="340"/>
    </row>
    <row r="13" spans="1:14" x14ac:dyDescent="0.25">
      <c r="A13" s="342" t="s">
        <v>324</v>
      </c>
      <c r="B13" s="340"/>
      <c r="C13" s="340"/>
      <c r="D13" s="340"/>
    </row>
    <row r="14" spans="1:14" x14ac:dyDescent="0.25">
      <c r="A14" s="340"/>
      <c r="B14" s="340"/>
      <c r="C14" s="343" t="s">
        <v>325</v>
      </c>
      <c r="D14" s="343" t="s">
        <v>326</v>
      </c>
    </row>
    <row r="15" spans="1:14" x14ac:dyDescent="0.25">
      <c r="A15" s="343" t="s">
        <v>269</v>
      </c>
      <c r="B15" s="343" t="s">
        <v>710</v>
      </c>
      <c r="C15" s="344">
        <v>0</v>
      </c>
      <c r="D15" s="344">
        <v>0</v>
      </c>
    </row>
    <row r="16" spans="1:14" x14ac:dyDescent="0.25">
      <c r="A16" s="340"/>
      <c r="B16" s="343" t="s">
        <v>328</v>
      </c>
      <c r="C16" s="344">
        <v>793037</v>
      </c>
      <c r="D16" s="344">
        <v>189772</v>
      </c>
    </row>
    <row r="17" spans="1:5" x14ac:dyDescent="0.25">
      <c r="A17" s="340"/>
      <c r="B17" s="343" t="s">
        <v>711</v>
      </c>
      <c r="C17" s="344">
        <v>5534</v>
      </c>
      <c r="D17" s="344">
        <v>488981</v>
      </c>
    </row>
    <row r="18" spans="1:5" x14ac:dyDescent="0.25">
      <c r="A18" s="340"/>
      <c r="B18" s="343" t="s">
        <v>712</v>
      </c>
      <c r="C18" s="344">
        <v>130234</v>
      </c>
      <c r="D18" s="344">
        <v>222906</v>
      </c>
    </row>
    <row r="19" spans="1:5" s="458" customFormat="1" x14ac:dyDescent="0.25">
      <c r="A19" s="345"/>
      <c r="B19" s="348" t="s">
        <v>863</v>
      </c>
      <c r="C19" s="349">
        <v>0</v>
      </c>
      <c r="D19" s="349">
        <v>224372</v>
      </c>
    </row>
    <row r="20" spans="1:5" x14ac:dyDescent="0.25">
      <c r="E20">
        <f>SUM(C16:D18)</f>
        <v>1830464</v>
      </c>
    </row>
    <row r="21" spans="1:5" ht="17.25" x14ac:dyDescent="0.3">
      <c r="A21" s="346" t="s">
        <v>323</v>
      </c>
      <c r="B21" s="345"/>
      <c r="C21" s="345"/>
      <c r="D21" s="345"/>
    </row>
    <row r="22" spans="1:5" x14ac:dyDescent="0.25">
      <c r="A22" s="347" t="s">
        <v>324</v>
      </c>
      <c r="B22" s="345"/>
      <c r="C22" s="345"/>
      <c r="D22" s="345"/>
    </row>
    <row r="23" spans="1:5" x14ac:dyDescent="0.25">
      <c r="A23" s="345"/>
      <c r="B23" s="345"/>
      <c r="C23" s="348" t="s">
        <v>330</v>
      </c>
      <c r="D23" s="348" t="s">
        <v>331</v>
      </c>
      <c r="E23" t="s">
        <v>821</v>
      </c>
    </row>
    <row r="24" spans="1:5" x14ac:dyDescent="0.25">
      <c r="A24" s="348" t="s">
        <v>269</v>
      </c>
      <c r="B24" s="348" t="s">
        <v>710</v>
      </c>
      <c r="C24" s="349">
        <v>0</v>
      </c>
      <c r="D24" s="349">
        <v>0</v>
      </c>
    </row>
    <row r="25" spans="1:5" x14ac:dyDescent="0.25">
      <c r="A25" s="345"/>
      <c r="B25" s="348" t="s">
        <v>328</v>
      </c>
      <c r="C25" s="349">
        <v>1204</v>
      </c>
      <c r="D25" s="349">
        <v>9</v>
      </c>
      <c r="E25">
        <v>6392</v>
      </c>
    </row>
    <row r="26" spans="1:5" x14ac:dyDescent="0.25">
      <c r="A26" s="345"/>
      <c r="B26" s="348" t="s">
        <v>711</v>
      </c>
      <c r="C26" s="349">
        <v>73281</v>
      </c>
      <c r="D26" s="349">
        <v>17318</v>
      </c>
      <c r="E26">
        <v>267736</v>
      </c>
    </row>
    <row r="27" spans="1:5" x14ac:dyDescent="0.25">
      <c r="A27" s="345"/>
      <c r="B27" s="348" t="s">
        <v>712</v>
      </c>
      <c r="C27" s="349">
        <v>48589</v>
      </c>
      <c r="D27" s="349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2" t="s">
        <v>40</v>
      </c>
      <c r="B1" s="402" t="s">
        <v>654</v>
      </c>
      <c r="C1" s="402" t="s">
        <v>43</v>
      </c>
      <c r="E1" s="254" t="s">
        <v>523</v>
      </c>
    </row>
    <row r="2" spans="1:10" customFormat="1" x14ac:dyDescent="0.25">
      <c r="A2" s="402" t="s">
        <v>37</v>
      </c>
      <c r="B2" s="424">
        <v>160.6</v>
      </c>
      <c r="C2" s="435">
        <v>0.85</v>
      </c>
      <c r="E2" s="255" t="s">
        <v>44</v>
      </c>
    </row>
    <row r="3" spans="1:10" x14ac:dyDescent="0.25">
      <c r="A3" s="402" t="s">
        <v>13</v>
      </c>
      <c r="B3" s="400">
        <v>51.25</v>
      </c>
      <c r="C3" s="401">
        <v>0.28000000000000003</v>
      </c>
    </row>
    <row r="4" spans="1:10" x14ac:dyDescent="0.25">
      <c r="A4" s="402" t="s">
        <v>498</v>
      </c>
      <c r="B4" s="424">
        <v>12</v>
      </c>
      <c r="C4" s="435">
        <v>0.05</v>
      </c>
    </row>
    <row r="5" spans="1:10" x14ac:dyDescent="0.25">
      <c r="A5" s="402" t="s">
        <v>499</v>
      </c>
      <c r="B5" s="424">
        <v>14.1</v>
      </c>
      <c r="C5" s="435">
        <v>7.5999999999999998E-2</v>
      </c>
    </row>
    <row r="6" spans="1:10" x14ac:dyDescent="0.25">
      <c r="A6" s="402" t="s">
        <v>500</v>
      </c>
      <c r="B6" s="424">
        <v>13.1</v>
      </c>
      <c r="C6" s="435">
        <v>6.3E-2</v>
      </c>
    </row>
    <row r="7" spans="1:10" x14ac:dyDescent="0.25">
      <c r="A7" s="402" t="s">
        <v>39</v>
      </c>
      <c r="B7" s="424">
        <v>60</v>
      </c>
      <c r="C7" s="435">
        <v>0.3</v>
      </c>
    </row>
    <row r="8" spans="1:10" x14ac:dyDescent="0.25">
      <c r="A8" s="402" t="s">
        <v>15</v>
      </c>
      <c r="B8" s="400">
        <v>100</v>
      </c>
      <c r="C8" s="401">
        <v>0.3</v>
      </c>
      <c r="I8" s="162"/>
      <c r="J8" s="162"/>
    </row>
    <row r="9" spans="1:10" x14ac:dyDescent="0.25">
      <c r="A9" s="402" t="s">
        <v>42</v>
      </c>
      <c r="B9" s="400">
        <v>75.599999999999994</v>
      </c>
      <c r="C9" s="401">
        <v>0.2</v>
      </c>
    </row>
    <row r="10" spans="1:10" x14ac:dyDescent="0.25">
      <c r="A10" s="402" t="s">
        <v>322</v>
      </c>
      <c r="B10" s="400">
        <v>94.9</v>
      </c>
      <c r="C10" s="401">
        <v>0.28000000000000003</v>
      </c>
    </row>
    <row r="11" spans="1:10" x14ac:dyDescent="0.25">
      <c r="A11" s="402" t="s">
        <v>41</v>
      </c>
      <c r="B11" s="400">
        <v>120.7</v>
      </c>
      <c r="C11" s="401">
        <v>0.42</v>
      </c>
      <c r="F11" s="162"/>
    </row>
    <row r="12" spans="1:10" x14ac:dyDescent="0.25">
      <c r="A12" s="402" t="s">
        <v>311</v>
      </c>
      <c r="B12" s="424">
        <v>25</v>
      </c>
      <c r="C12" s="435">
        <v>0.15</v>
      </c>
    </row>
    <row r="13" spans="1:10" x14ac:dyDescent="0.25">
      <c r="A13" s="402" t="s">
        <v>310</v>
      </c>
      <c r="B13" s="424">
        <v>25</v>
      </c>
      <c r="C13" s="435">
        <v>0.15</v>
      </c>
      <c r="I13" s="434"/>
      <c r="J13" s="162"/>
    </row>
    <row r="14" spans="1:10" x14ac:dyDescent="0.25">
      <c r="A14" s="402" t="s">
        <v>11</v>
      </c>
      <c r="B14" s="424">
        <v>95.4</v>
      </c>
      <c r="C14" s="435">
        <v>0.31</v>
      </c>
      <c r="I14" s="434"/>
      <c r="J14" s="162"/>
    </row>
    <row r="15" spans="1:10" x14ac:dyDescent="0.25">
      <c r="A15" s="402" t="s">
        <v>527</v>
      </c>
      <c r="B15" s="400">
        <v>47.3</v>
      </c>
      <c r="C15" s="401">
        <v>0.3</v>
      </c>
      <c r="I15" s="434"/>
      <c r="J15" s="162"/>
    </row>
    <row r="16" spans="1:10" x14ac:dyDescent="0.25">
      <c r="A16" s="402" t="s">
        <v>661</v>
      </c>
      <c r="B16" s="297">
        <f>'Procesdata (baggrund)'!I5</f>
        <v>15.822453396634783</v>
      </c>
      <c r="C16" s="423">
        <f>'Procesdata (baggrund)'!B5</f>
        <v>4.2763387558472386E-2</v>
      </c>
      <c r="I16" s="434"/>
      <c r="J16" s="162"/>
    </row>
    <row r="17" spans="1:12" x14ac:dyDescent="0.25">
      <c r="A17" s="402" t="s">
        <v>519</v>
      </c>
      <c r="B17" s="424">
        <v>423.36</v>
      </c>
      <c r="C17" s="435">
        <v>0.9</v>
      </c>
    </row>
    <row r="18" spans="1:12" x14ac:dyDescent="0.25">
      <c r="A18" s="402" t="s">
        <v>502</v>
      </c>
      <c r="B18" s="424">
        <v>13.9</v>
      </c>
      <c r="C18" s="435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3"/>
      <c r="L25" s="443"/>
    </row>
    <row r="26" spans="1:12" x14ac:dyDescent="0.25">
      <c r="A26" s="146"/>
      <c r="B26" s="173"/>
      <c r="C26" s="173"/>
      <c r="D26" s="173"/>
      <c r="I26" s="162"/>
      <c r="J26" s="162"/>
      <c r="K26" s="443"/>
      <c r="L26" s="443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491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492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493" t="s">
        <v>518</v>
      </c>
    </row>
    <row r="5" spans="1:10" ht="15" customHeight="1" x14ac:dyDescent="0.25">
      <c r="A5" s="267" t="s">
        <v>405</v>
      </c>
      <c r="B5" s="267" t="s">
        <v>412</v>
      </c>
      <c r="C5" s="488">
        <f>D19</f>
        <v>1.449356890077532E-5</v>
      </c>
      <c r="D5" s="494" t="s">
        <v>726</v>
      </c>
      <c r="E5" s="487" t="s">
        <v>900</v>
      </c>
    </row>
    <row r="6" spans="1:10" ht="15" customHeight="1" x14ac:dyDescent="0.25">
      <c r="A6" s="267" t="s">
        <v>527</v>
      </c>
      <c r="B6" s="267" t="s">
        <v>411</v>
      </c>
      <c r="C6" s="488">
        <f>D24</f>
        <v>1.7852220520673815E-5</v>
      </c>
      <c r="D6" s="494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488">
        <f>D24</f>
        <v>1.7852220520673815E-5</v>
      </c>
      <c r="D7" s="494" t="s">
        <v>725</v>
      </c>
      <c r="E7" t="s">
        <v>902</v>
      </c>
    </row>
    <row r="8" spans="1:10" s="458" customFormat="1" x14ac:dyDescent="0.25">
      <c r="A8" s="473" t="s">
        <v>890</v>
      </c>
      <c r="B8" s="473" t="s">
        <v>411</v>
      </c>
      <c r="C8" s="490">
        <f>'Procesdata (baggrund)'!I23</f>
        <v>3.326857142857142E-5</v>
      </c>
      <c r="D8" s="481" t="s">
        <v>891</v>
      </c>
    </row>
    <row r="9" spans="1:10" s="458" customFormat="1" x14ac:dyDescent="0.25">
      <c r="A9" s="473" t="s">
        <v>878</v>
      </c>
      <c r="B9" s="473" t="s">
        <v>411</v>
      </c>
      <c r="C9" s="489">
        <f>'Procesdata (baggrund)'!I24</f>
        <v>8.9614285714285689E-6</v>
      </c>
      <c r="D9" s="481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4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9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8"/>
    </row>
    <row r="17" spans="1:8" x14ac:dyDescent="0.25">
      <c r="A17" s="267" t="s">
        <v>709</v>
      </c>
      <c r="B17" s="267">
        <f>1643000*'Processer - data'!H403</f>
        <v>854360</v>
      </c>
      <c r="C17" s="267">
        <v>8.9450000000000003</v>
      </c>
      <c r="D17" s="267"/>
      <c r="F17" s="458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6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3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A20" sqref="A20:XFD2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5" t="s">
        <v>14</v>
      </c>
      <c r="B2">
        <f>IFERROR(VLOOKUP(A2,Biogasudbytte!$A$2:$C$18,3,FALSE),VLOOKUP(A2,$I$2:$J$8,2,FALSE))</f>
        <v>0.85</v>
      </c>
      <c r="I2" s="325" t="s">
        <v>14</v>
      </c>
      <c r="J2">
        <v>0.85</v>
      </c>
    </row>
    <row r="3" spans="1:11" x14ac:dyDescent="0.25">
      <c r="A3" s="324" t="s">
        <v>322</v>
      </c>
      <c r="B3">
        <f>IFERROR(VLOOKUP(A3,Biogasudbytte!$A$2:$C$18,3,FALSE),VLOOKUP(A3,$I$2:$J$8,2,FALSE))</f>
        <v>0.28000000000000003</v>
      </c>
      <c r="I3" s="325" t="s">
        <v>188</v>
      </c>
      <c r="J3" s="173">
        <v>0.25</v>
      </c>
    </row>
    <row r="4" spans="1:11" x14ac:dyDescent="0.25">
      <c r="A4" s="325" t="s">
        <v>661</v>
      </c>
      <c r="B4">
        <f>IFERROR(VLOOKUP(A4,Biogasudbytte!$A$2:$C$18,3,FALSE),VLOOKUP(A4,$I$2:$J$8,2,FALSE))</f>
        <v>4.2763387558472386E-2</v>
      </c>
      <c r="I4" s="324" t="s">
        <v>339</v>
      </c>
      <c r="J4">
        <f>AVERAGE(0.46,0.37)</f>
        <v>0.41500000000000004</v>
      </c>
      <c r="K4" t="s">
        <v>718</v>
      </c>
    </row>
    <row r="5" spans="1:11" x14ac:dyDescent="0.25">
      <c r="A5" s="324" t="s">
        <v>39</v>
      </c>
      <c r="B5">
        <f>IFERROR(VLOOKUP(A5,Biogasudbytte!$A$2:$C$18,3,FALSE),VLOOKUP(A5,$I$2:$J$8,2,FALSE))</f>
        <v>0.3</v>
      </c>
      <c r="I5" s="325" t="s">
        <v>177</v>
      </c>
      <c r="J5">
        <v>0.91</v>
      </c>
      <c r="K5" t="s">
        <v>717</v>
      </c>
    </row>
    <row r="6" spans="1:11" x14ac:dyDescent="0.25">
      <c r="A6" s="325" t="s">
        <v>500</v>
      </c>
      <c r="B6">
        <f>IFERROR(VLOOKUP(A6,Biogasudbytte!$A$2:$C$18,3,FALSE),VLOOKUP(A6,$I$2:$J$8,2,FALSE))</f>
        <v>6.3E-2</v>
      </c>
      <c r="I6" s="325" t="s">
        <v>720</v>
      </c>
      <c r="J6">
        <v>0.91</v>
      </c>
      <c r="K6" t="s">
        <v>717</v>
      </c>
    </row>
    <row r="7" spans="1:11" x14ac:dyDescent="0.25">
      <c r="A7" s="324" t="s">
        <v>519</v>
      </c>
      <c r="B7">
        <f>IFERROR(VLOOKUP(A7,Biogasudbytte!$A$2:$C$18,3,FALSE),VLOOKUP(A7,$I$2:$J$8,2,FALSE))</f>
        <v>0.9</v>
      </c>
      <c r="I7" s="325" t="s">
        <v>721</v>
      </c>
      <c r="J7">
        <v>0.91</v>
      </c>
      <c r="K7" t="s">
        <v>717</v>
      </c>
    </row>
    <row r="8" spans="1:11" x14ac:dyDescent="0.25">
      <c r="A8" s="325" t="s">
        <v>13</v>
      </c>
      <c r="B8">
        <f>IFERROR(VLOOKUP(A8,Biogasudbytte!$A$2:$C$18,3,FALSE),VLOOKUP(A8,$I$2:$J$8,2,FALSE))</f>
        <v>0.28000000000000003</v>
      </c>
      <c r="I8" s="325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4" t="s">
        <v>37</v>
      </c>
      <c r="B9">
        <f>IFERROR(VLOOKUP(A9,Biogasudbytte!$A$2:$C$18,3,FALSE),VLOOKUP(A9,$I$2:$J$8,2,FALSE))</f>
        <v>0.85</v>
      </c>
    </row>
    <row r="10" spans="1:11" x14ac:dyDescent="0.25">
      <c r="A10" s="325" t="s">
        <v>527</v>
      </c>
      <c r="B10">
        <f>IFERROR(VLOOKUP(A10,Biogasudbytte!$A$2:$C$18,3,FALSE),VLOOKUP(A10,$I$2:$J$8,2,FALSE))</f>
        <v>0.3</v>
      </c>
    </row>
    <row r="11" spans="1:11" x14ac:dyDescent="0.25">
      <c r="A11" s="324" t="s">
        <v>41</v>
      </c>
      <c r="B11">
        <f>IFERROR(VLOOKUP(A11,Biogasudbytte!$A$2:$C$18,3,FALSE),VLOOKUP(A11,$I$2:$J$8,2,FALSE))</f>
        <v>0.42</v>
      </c>
    </row>
    <row r="12" spans="1:11" x14ac:dyDescent="0.25">
      <c r="A12" s="325" t="s">
        <v>188</v>
      </c>
      <c r="B12">
        <f>IFERROR(VLOOKUP(A12,Biogasudbytte!$A$2:$C$18,3,FALSE),VLOOKUP(A12,$I$2:$J$8,2,FALSE))</f>
        <v>0.25</v>
      </c>
    </row>
    <row r="13" spans="1:11" x14ac:dyDescent="0.25">
      <c r="A13" s="324" t="s">
        <v>11</v>
      </c>
      <c r="B13">
        <f>IFERROR(VLOOKUP(A13,Biogasudbytte!$A$2:$C$18,3,FALSE),VLOOKUP(A13,$I$2:$J$8,2,FALSE))</f>
        <v>0.31</v>
      </c>
    </row>
    <row r="14" spans="1:11" x14ac:dyDescent="0.25">
      <c r="A14" s="325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4" t="s">
        <v>15</v>
      </c>
      <c r="B15">
        <f>IFERROR(VLOOKUP(A15,Biogasudbytte!$A$2:$C$18,3,FALSE),VLOOKUP(A15,$I$2:$J$8,2,FALSE))</f>
        <v>0.3</v>
      </c>
    </row>
    <row r="16" spans="1:11" x14ac:dyDescent="0.25">
      <c r="A16" s="325" t="s">
        <v>311</v>
      </c>
      <c r="B16">
        <f>IFERROR(VLOOKUP(A16,Biogasudbytte!$A$2:$C$18,3,FALSE),VLOOKUP(A16,$I$2:$J$8,2,FALSE))</f>
        <v>0.15</v>
      </c>
    </row>
    <row r="17" spans="1:2" x14ac:dyDescent="0.25">
      <c r="A17" s="324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5" t="s">
        <v>177</v>
      </c>
      <c r="B18">
        <f>IFERROR(VLOOKUP(A18,Biogasudbytte!$A$2:$C$18,3,FALSE),VLOOKUP(A18,$I$2:$J$8,2,FALSE))</f>
        <v>0.91</v>
      </c>
    </row>
    <row r="19" spans="1:2" x14ac:dyDescent="0.25">
      <c r="A19" s="325" t="s">
        <v>720</v>
      </c>
      <c r="B19">
        <f>IFERROR(VLOOKUP(A19,Biogasudbytte!$A$2:$C$18,3,FALSE),VLOOKUP(A19,$I$2:$J$8,2,FALSE))</f>
        <v>0.91</v>
      </c>
    </row>
    <row r="20" spans="1:2" x14ac:dyDescent="0.25">
      <c r="A20" s="324" t="s">
        <v>42</v>
      </c>
      <c r="B20">
        <f>IFERROR(VLOOKUP(A20,Biogasudbytte!$A$2:$C$18,3,FALSE),VLOOKUP(A20,$I$2:$J$8,2,FALSE))</f>
        <v>0.2</v>
      </c>
    </row>
    <row r="21" spans="1:2" x14ac:dyDescent="0.25">
      <c r="A21" s="324" t="s">
        <v>502</v>
      </c>
      <c r="B21">
        <f>IFERROR(VLOOKUP(A21,Biogasudbytte!$A$2:$C$18,3,FALSE),VLOOKUP(A21,$I$2:$J$8,2,FALSE))</f>
        <v>0.06</v>
      </c>
    </row>
    <row r="22" spans="1:2" x14ac:dyDescent="0.25">
      <c r="A22" s="325" t="s">
        <v>498</v>
      </c>
      <c r="B22">
        <f>IFERROR(VLOOKUP(A22,Biogasudbytte!$A$2:$C$18,3,FALSE),VLOOKUP(A22,$I$2:$J$8,2,FALSE))</f>
        <v>0.05</v>
      </c>
    </row>
    <row r="23" spans="1:2" x14ac:dyDescent="0.25">
      <c r="A23" s="324" t="s">
        <v>310</v>
      </c>
      <c r="B23">
        <f>IFERROR(VLOOKUP(A23,Biogasudbytte!$A$2:$C$18,3,FALSE),VLOOKUP(A23,$I$2:$J$8,2,FALSE))</f>
        <v>0.15</v>
      </c>
    </row>
    <row r="24" spans="1:2" x14ac:dyDescent="0.25">
      <c r="A24" s="325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2021-09-14T11:34:25Z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188499093055725</vt:r8>
  </property>
</Properties>
</file>